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JULES\Desktop\"/>
    </mc:Choice>
  </mc:AlternateContent>
  <xr:revisionPtr revIDLastSave="0" documentId="13_ncr:1_{AA5D2B53-4A98-46B9-8D5E-B6391CC33EF9}" xr6:coauthVersionLast="47" xr6:coauthVersionMax="47" xr10:uidLastSave="{00000000-0000-0000-0000-000000000000}"/>
  <bookViews>
    <workbookView xWindow="-120" yWindow="-120" windowWidth="24240" windowHeight="13140" activeTab="5" xr2:uid="{00000000-000D-0000-FFFF-FFFF00000000}"/>
  </bookViews>
  <sheets>
    <sheet name="Original" sheetId="1" r:id="rId1"/>
    <sheet name="PIVOT TABLES" sheetId="11" r:id="rId2"/>
    <sheet name="COPY" sheetId="9" r:id="rId3"/>
    <sheet name="HLOOKUP" sheetId="5" r:id="rId4"/>
    <sheet name="Sheet2" sheetId="3" r:id="rId5"/>
    <sheet name="CHARTS" sheetId="13" r:id="rId6"/>
  </sheets>
  <definedNames>
    <definedName name="_xlnm._FilterDatabase" localSheetId="0" hidden="1">Original!$A$1:$AJ$878</definedName>
    <definedName name="Slicer_Age_Category">#N/A</definedName>
    <definedName name="Slicer_Department">#N/A</definedName>
    <definedName name="Slicer_Education_Level">#N/A</definedName>
    <definedName name="Slicer_Gender">#N/A</definedName>
    <definedName name="Slicer_Marital_Status">#N/A</definedName>
    <definedName name="Slicer_Marital_Status1">#N/A</definedName>
    <definedName name="Slicer_Office_Location">#N/A</definedName>
    <definedName name="Slicer_Office_Location1">#N/A</definedName>
  </definedNames>
  <calcPr calcId="191029"/>
  <pivotCaches>
    <pivotCache cacheId="65"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877" i="9" l="1"/>
  <c r="AB877" i="9"/>
  <c r="AA877" i="9"/>
  <c r="Z877" i="9"/>
  <c r="R877" i="9"/>
  <c r="M877" i="9"/>
  <c r="L877" i="9"/>
  <c r="K877" i="9"/>
  <c r="J877" i="9"/>
  <c r="H877" i="9"/>
  <c r="F877" i="9"/>
  <c r="E877" i="9"/>
  <c r="AC876" i="9"/>
  <c r="AB876" i="9"/>
  <c r="AA876" i="9"/>
  <c r="Z876" i="9"/>
  <c r="R876" i="9"/>
  <c r="M876" i="9"/>
  <c r="N876" i="9" s="1"/>
  <c r="L876" i="9"/>
  <c r="K876" i="9"/>
  <c r="J876" i="9"/>
  <c r="H876" i="9"/>
  <c r="F876" i="9"/>
  <c r="E876" i="9"/>
  <c r="AC875" i="9"/>
  <c r="AB875" i="9"/>
  <c r="AA875" i="9"/>
  <c r="Z875" i="9"/>
  <c r="R875" i="9"/>
  <c r="M875" i="9"/>
  <c r="L875" i="9"/>
  <c r="K875" i="9"/>
  <c r="J875" i="9"/>
  <c r="H875" i="9"/>
  <c r="F875" i="9"/>
  <c r="E875" i="9"/>
  <c r="AC874" i="9"/>
  <c r="AB874" i="9"/>
  <c r="AA874" i="9"/>
  <c r="Z874" i="9"/>
  <c r="R874" i="9"/>
  <c r="M874" i="9"/>
  <c r="N874" i="9" s="1"/>
  <c r="L874" i="9"/>
  <c r="K874" i="9"/>
  <c r="J874" i="9"/>
  <c r="H874" i="9"/>
  <c r="F874" i="9"/>
  <c r="E874" i="9"/>
  <c r="AC873" i="9"/>
  <c r="AB873" i="9"/>
  <c r="AA873" i="9"/>
  <c r="Z873" i="9"/>
  <c r="R873" i="9"/>
  <c r="M873" i="9"/>
  <c r="O873" i="9" s="1"/>
  <c r="L873" i="9"/>
  <c r="K873" i="9"/>
  <c r="J873" i="9"/>
  <c r="H873" i="9"/>
  <c r="F873" i="9"/>
  <c r="E873" i="9"/>
  <c r="AC872" i="9"/>
  <c r="AB872" i="9"/>
  <c r="AA872" i="9"/>
  <c r="Z872" i="9"/>
  <c r="R872" i="9"/>
  <c r="M872" i="9"/>
  <c r="L872" i="9"/>
  <c r="K872" i="9"/>
  <c r="J872" i="9"/>
  <c r="H872" i="9"/>
  <c r="F872" i="9"/>
  <c r="E872" i="9"/>
  <c r="AC871" i="9"/>
  <c r="AB871" i="9"/>
  <c r="AA871" i="9"/>
  <c r="Z871" i="9"/>
  <c r="R871" i="9"/>
  <c r="M871" i="9"/>
  <c r="P871" i="9" s="1"/>
  <c r="L871" i="9"/>
  <c r="K871" i="9"/>
  <c r="J871" i="9"/>
  <c r="H871" i="9"/>
  <c r="F871" i="9"/>
  <c r="E871" i="9"/>
  <c r="AC870" i="9"/>
  <c r="AB870" i="9"/>
  <c r="AA870" i="9"/>
  <c r="Z870" i="9"/>
  <c r="R870" i="9"/>
  <c r="M870" i="9"/>
  <c r="O870" i="9" s="1"/>
  <c r="L870" i="9"/>
  <c r="K870" i="9"/>
  <c r="J870" i="9"/>
  <c r="H870" i="9"/>
  <c r="F870" i="9"/>
  <c r="E870" i="9"/>
  <c r="AC869" i="9"/>
  <c r="AB869" i="9"/>
  <c r="AA869" i="9"/>
  <c r="Z869" i="9"/>
  <c r="R869" i="9"/>
  <c r="M869" i="9"/>
  <c r="L869" i="9"/>
  <c r="K869" i="9"/>
  <c r="J869" i="9"/>
  <c r="H869" i="9"/>
  <c r="F869" i="9"/>
  <c r="E869" i="9"/>
  <c r="AC868" i="9"/>
  <c r="AB868" i="9"/>
  <c r="AA868" i="9"/>
  <c r="Z868" i="9"/>
  <c r="R868" i="9"/>
  <c r="M868" i="9"/>
  <c r="L868" i="9"/>
  <c r="K868" i="9"/>
  <c r="J868" i="9"/>
  <c r="H868" i="9"/>
  <c r="F868" i="9"/>
  <c r="E868" i="9"/>
  <c r="AC867" i="9"/>
  <c r="AB867" i="9"/>
  <c r="AA867" i="9"/>
  <c r="Z867" i="9"/>
  <c r="R867" i="9"/>
  <c r="M867" i="9"/>
  <c r="L867" i="9"/>
  <c r="K867" i="9"/>
  <c r="J867" i="9"/>
  <c r="H867" i="9"/>
  <c r="F867" i="9"/>
  <c r="E867" i="9"/>
  <c r="AC866" i="9"/>
  <c r="AB866" i="9"/>
  <c r="AA866" i="9"/>
  <c r="Z866" i="9"/>
  <c r="R866" i="9"/>
  <c r="M866" i="9"/>
  <c r="O866" i="9" s="1"/>
  <c r="L866" i="9"/>
  <c r="K866" i="9"/>
  <c r="J866" i="9"/>
  <c r="H866" i="9"/>
  <c r="F866" i="9"/>
  <c r="E866" i="9"/>
  <c r="AC865" i="9"/>
  <c r="AB865" i="9"/>
  <c r="AA865" i="9"/>
  <c r="Z865" i="9"/>
  <c r="R865" i="9"/>
  <c r="M865" i="9"/>
  <c r="P865" i="9" s="1"/>
  <c r="L865" i="9"/>
  <c r="K865" i="9"/>
  <c r="J865" i="9"/>
  <c r="H865" i="9"/>
  <c r="F865" i="9"/>
  <c r="E865" i="9"/>
  <c r="AC864" i="9"/>
  <c r="AB864" i="9"/>
  <c r="AA864" i="9"/>
  <c r="Z864" i="9"/>
  <c r="R864" i="9"/>
  <c r="M864" i="9"/>
  <c r="L864" i="9"/>
  <c r="K864" i="9"/>
  <c r="J864" i="9"/>
  <c r="H864" i="9"/>
  <c r="F864" i="9"/>
  <c r="E864" i="9"/>
  <c r="AC863" i="9"/>
  <c r="AB863" i="9"/>
  <c r="AA863" i="9"/>
  <c r="Z863" i="9"/>
  <c r="R863" i="9"/>
  <c r="M863" i="9"/>
  <c r="L863" i="9"/>
  <c r="K863" i="9"/>
  <c r="J863" i="9"/>
  <c r="H863" i="9"/>
  <c r="F863" i="9"/>
  <c r="E863" i="9"/>
  <c r="AC862" i="9"/>
  <c r="AB862" i="9"/>
  <c r="AA862" i="9"/>
  <c r="Z862" i="9"/>
  <c r="R862" i="9"/>
  <c r="M862" i="9"/>
  <c r="N862" i="9" s="1"/>
  <c r="L862" i="9"/>
  <c r="K862" i="9"/>
  <c r="J862" i="9"/>
  <c r="H862" i="9"/>
  <c r="F862" i="9"/>
  <c r="E862" i="9"/>
  <c r="AC861" i="9"/>
  <c r="AB861" i="9"/>
  <c r="AA861" i="9"/>
  <c r="Z861" i="9"/>
  <c r="R861" i="9"/>
  <c r="M861" i="9"/>
  <c r="L861" i="9"/>
  <c r="K861" i="9"/>
  <c r="J861" i="9"/>
  <c r="H861" i="9"/>
  <c r="F861" i="9"/>
  <c r="E861" i="9"/>
  <c r="AC860" i="9"/>
  <c r="AB860" i="9"/>
  <c r="AA860" i="9"/>
  <c r="Z860" i="9"/>
  <c r="R860" i="9"/>
  <c r="M860" i="9"/>
  <c r="L860" i="9"/>
  <c r="K860" i="9"/>
  <c r="J860" i="9"/>
  <c r="H860" i="9"/>
  <c r="F860" i="9"/>
  <c r="E860" i="9"/>
  <c r="AC859" i="9"/>
  <c r="AB859" i="9"/>
  <c r="AA859" i="9"/>
  <c r="Z859" i="9"/>
  <c r="R859" i="9"/>
  <c r="M859" i="9"/>
  <c r="P859" i="9" s="1"/>
  <c r="L859" i="9"/>
  <c r="K859" i="9"/>
  <c r="J859" i="9"/>
  <c r="H859" i="9"/>
  <c r="F859" i="9"/>
  <c r="E859" i="9"/>
  <c r="AC858" i="9"/>
  <c r="AB858" i="9"/>
  <c r="AA858" i="9"/>
  <c r="Z858" i="9"/>
  <c r="R858" i="9"/>
  <c r="M858" i="9"/>
  <c r="L858" i="9"/>
  <c r="K858" i="9"/>
  <c r="J858" i="9"/>
  <c r="H858" i="9"/>
  <c r="F858" i="9"/>
  <c r="E858" i="9"/>
  <c r="AC857" i="9"/>
  <c r="AB857" i="9"/>
  <c r="AA857" i="9"/>
  <c r="Z857" i="9"/>
  <c r="R857" i="9"/>
  <c r="M857" i="9"/>
  <c r="L857" i="9"/>
  <c r="K857" i="9"/>
  <c r="J857" i="9"/>
  <c r="H857" i="9"/>
  <c r="F857" i="9"/>
  <c r="E857" i="9"/>
  <c r="AC856" i="9"/>
  <c r="AB856" i="9"/>
  <c r="AA856" i="9"/>
  <c r="Z856" i="9"/>
  <c r="R856" i="9"/>
  <c r="M856" i="9"/>
  <c r="L856" i="9"/>
  <c r="K856" i="9"/>
  <c r="J856" i="9"/>
  <c r="H856" i="9"/>
  <c r="F856" i="9"/>
  <c r="E856" i="9"/>
  <c r="AC855" i="9"/>
  <c r="AB855" i="9"/>
  <c r="AA855" i="9"/>
  <c r="Z855" i="9"/>
  <c r="R855" i="9"/>
  <c r="M855" i="9"/>
  <c r="L855" i="9"/>
  <c r="K855" i="9"/>
  <c r="J855" i="9"/>
  <c r="H855" i="9"/>
  <c r="F855" i="9"/>
  <c r="E855" i="9"/>
  <c r="AC854" i="9"/>
  <c r="AB854" i="9"/>
  <c r="AA854" i="9"/>
  <c r="Z854" i="9"/>
  <c r="R854" i="9"/>
  <c r="M854" i="9"/>
  <c r="L854" i="9"/>
  <c r="K854" i="9"/>
  <c r="J854" i="9"/>
  <c r="H854" i="9"/>
  <c r="F854" i="9"/>
  <c r="E854" i="9"/>
  <c r="AC853" i="9"/>
  <c r="AB853" i="9"/>
  <c r="AA853" i="9"/>
  <c r="Z853" i="9"/>
  <c r="R853" i="9"/>
  <c r="M853" i="9"/>
  <c r="L853" i="9"/>
  <c r="K853" i="9"/>
  <c r="J853" i="9"/>
  <c r="H853" i="9"/>
  <c r="F853" i="9"/>
  <c r="E853" i="9"/>
  <c r="AC852" i="9"/>
  <c r="AB852" i="9"/>
  <c r="AA852" i="9"/>
  <c r="Z852" i="9"/>
  <c r="R852" i="9"/>
  <c r="M852" i="9"/>
  <c r="N852" i="9" s="1"/>
  <c r="L852" i="9"/>
  <c r="K852" i="9"/>
  <c r="J852" i="9"/>
  <c r="H852" i="9"/>
  <c r="F852" i="9"/>
  <c r="E852" i="9"/>
  <c r="AC851" i="9"/>
  <c r="AB851" i="9"/>
  <c r="AA851" i="9"/>
  <c r="Z851" i="9"/>
  <c r="R851" i="9"/>
  <c r="M851" i="9"/>
  <c r="L851" i="9"/>
  <c r="K851" i="9"/>
  <c r="J851" i="9"/>
  <c r="H851" i="9"/>
  <c r="F851" i="9"/>
  <c r="E851" i="9"/>
  <c r="AC850" i="9"/>
  <c r="AB850" i="9"/>
  <c r="AA850" i="9"/>
  <c r="Z850" i="9"/>
  <c r="R850" i="9"/>
  <c r="M850" i="9"/>
  <c r="P850" i="9" s="1"/>
  <c r="L850" i="9"/>
  <c r="K850" i="9"/>
  <c r="J850" i="9"/>
  <c r="H850" i="9"/>
  <c r="F850" i="9"/>
  <c r="E850" i="9"/>
  <c r="AC849" i="9"/>
  <c r="AB849" i="9"/>
  <c r="AA849" i="9"/>
  <c r="Z849" i="9"/>
  <c r="R849" i="9"/>
  <c r="M849" i="9"/>
  <c r="P849" i="9" s="1"/>
  <c r="L849" i="9"/>
  <c r="K849" i="9"/>
  <c r="J849" i="9"/>
  <c r="H849" i="9"/>
  <c r="F849" i="9"/>
  <c r="E849" i="9"/>
  <c r="AC848" i="9"/>
  <c r="AB848" i="9"/>
  <c r="AA848" i="9"/>
  <c r="Z848" i="9"/>
  <c r="R848" i="9"/>
  <c r="M848" i="9"/>
  <c r="N848" i="9" s="1"/>
  <c r="L848" i="9"/>
  <c r="K848" i="9"/>
  <c r="J848" i="9"/>
  <c r="H848" i="9"/>
  <c r="F848" i="9"/>
  <c r="E848" i="9"/>
  <c r="AC847" i="9"/>
  <c r="AB847" i="9"/>
  <c r="AA847" i="9"/>
  <c r="Z847" i="9"/>
  <c r="R847" i="9"/>
  <c r="M847" i="9"/>
  <c r="P847" i="9" s="1"/>
  <c r="L847" i="9"/>
  <c r="K847" i="9"/>
  <c r="J847" i="9"/>
  <c r="H847" i="9"/>
  <c r="F847" i="9"/>
  <c r="E847" i="9"/>
  <c r="AC846" i="9"/>
  <c r="AB846" i="9"/>
  <c r="AA846" i="9"/>
  <c r="Z846" i="9"/>
  <c r="R846" i="9"/>
  <c r="M846" i="9"/>
  <c r="L846" i="9"/>
  <c r="K846" i="9"/>
  <c r="J846" i="9"/>
  <c r="H846" i="9"/>
  <c r="F846" i="9"/>
  <c r="E846" i="9"/>
  <c r="AC845" i="9"/>
  <c r="AB845" i="9"/>
  <c r="AA845" i="9"/>
  <c r="Z845" i="9"/>
  <c r="R845" i="9"/>
  <c r="M845" i="9"/>
  <c r="L845" i="9"/>
  <c r="K845" i="9"/>
  <c r="J845" i="9"/>
  <c r="H845" i="9"/>
  <c r="F845" i="9"/>
  <c r="E845" i="9"/>
  <c r="AC844" i="9"/>
  <c r="AB844" i="9"/>
  <c r="AA844" i="9"/>
  <c r="Z844" i="9"/>
  <c r="R844" i="9"/>
  <c r="M844" i="9"/>
  <c r="L844" i="9"/>
  <c r="K844" i="9"/>
  <c r="J844" i="9"/>
  <c r="H844" i="9"/>
  <c r="F844" i="9"/>
  <c r="E844" i="9"/>
  <c r="AC843" i="9"/>
  <c r="AB843" i="9"/>
  <c r="AA843" i="9"/>
  <c r="Z843" i="9"/>
  <c r="R843" i="9"/>
  <c r="M843" i="9"/>
  <c r="L843" i="9"/>
  <c r="K843" i="9"/>
  <c r="J843" i="9"/>
  <c r="H843" i="9"/>
  <c r="F843" i="9"/>
  <c r="E843" i="9"/>
  <c r="AC842" i="9"/>
  <c r="AB842" i="9"/>
  <c r="AA842" i="9"/>
  <c r="Z842" i="9"/>
  <c r="R842" i="9"/>
  <c r="M842" i="9"/>
  <c r="N842" i="9" s="1"/>
  <c r="L842" i="9"/>
  <c r="K842" i="9"/>
  <c r="J842" i="9"/>
  <c r="H842" i="9"/>
  <c r="F842" i="9"/>
  <c r="E842" i="9"/>
  <c r="AC841" i="9"/>
  <c r="AB841" i="9"/>
  <c r="AA841" i="9"/>
  <c r="Z841" i="9"/>
  <c r="R841" i="9"/>
  <c r="M841" i="9"/>
  <c r="L841" i="9"/>
  <c r="K841" i="9"/>
  <c r="J841" i="9"/>
  <c r="H841" i="9"/>
  <c r="F841" i="9"/>
  <c r="E841" i="9"/>
  <c r="AC840" i="9"/>
  <c r="AB840" i="9"/>
  <c r="AA840" i="9"/>
  <c r="Z840" i="9"/>
  <c r="R840" i="9"/>
  <c r="M840" i="9"/>
  <c r="L840" i="9"/>
  <c r="K840" i="9"/>
  <c r="J840" i="9"/>
  <c r="H840" i="9"/>
  <c r="F840" i="9"/>
  <c r="E840" i="9"/>
  <c r="AC839" i="9"/>
  <c r="AB839" i="9"/>
  <c r="AA839" i="9"/>
  <c r="Z839" i="9"/>
  <c r="R839" i="9"/>
  <c r="M839" i="9"/>
  <c r="L839" i="9"/>
  <c r="K839" i="9"/>
  <c r="J839" i="9"/>
  <c r="H839" i="9"/>
  <c r="F839" i="9"/>
  <c r="E839" i="9"/>
  <c r="AC838" i="9"/>
  <c r="AB838" i="9"/>
  <c r="AA838" i="9"/>
  <c r="Z838" i="9"/>
  <c r="R838" i="9"/>
  <c r="M838" i="9"/>
  <c r="O838" i="9" s="1"/>
  <c r="L838" i="9"/>
  <c r="K838" i="9"/>
  <c r="J838" i="9"/>
  <c r="H838" i="9"/>
  <c r="F838" i="9"/>
  <c r="E838" i="9"/>
  <c r="AC837" i="9"/>
  <c r="AB837" i="9"/>
  <c r="AA837" i="9"/>
  <c r="Z837" i="9"/>
  <c r="R837" i="9"/>
  <c r="M837" i="9"/>
  <c r="P837" i="9" s="1"/>
  <c r="L837" i="9"/>
  <c r="K837" i="9"/>
  <c r="J837" i="9"/>
  <c r="H837" i="9"/>
  <c r="F837" i="9"/>
  <c r="E837" i="9"/>
  <c r="AC836" i="9"/>
  <c r="AB836" i="9"/>
  <c r="AA836" i="9"/>
  <c r="Z836" i="9"/>
  <c r="R836" i="9"/>
  <c r="M836" i="9"/>
  <c r="N836" i="9" s="1"/>
  <c r="L836" i="9"/>
  <c r="K836" i="9"/>
  <c r="J836" i="9"/>
  <c r="H836" i="9"/>
  <c r="F836" i="9"/>
  <c r="E836" i="9"/>
  <c r="AC835" i="9"/>
  <c r="AB835" i="9"/>
  <c r="AA835" i="9"/>
  <c r="Z835" i="9"/>
  <c r="R835" i="9"/>
  <c r="M835" i="9"/>
  <c r="L835" i="9"/>
  <c r="K835" i="9"/>
  <c r="J835" i="9"/>
  <c r="H835" i="9"/>
  <c r="F835" i="9"/>
  <c r="E835" i="9"/>
  <c r="AC834" i="9"/>
  <c r="AB834" i="9"/>
  <c r="AA834" i="9"/>
  <c r="Z834" i="9"/>
  <c r="R834" i="9"/>
  <c r="M834" i="9"/>
  <c r="L834" i="9"/>
  <c r="K834" i="9"/>
  <c r="J834" i="9"/>
  <c r="H834" i="9"/>
  <c r="F834" i="9"/>
  <c r="E834" i="9"/>
  <c r="AC833" i="9"/>
  <c r="AB833" i="9"/>
  <c r="AA833" i="9"/>
  <c r="Z833" i="9"/>
  <c r="R833" i="9"/>
  <c r="M833" i="9"/>
  <c r="L833" i="9"/>
  <c r="K833" i="9"/>
  <c r="J833" i="9"/>
  <c r="H833" i="9"/>
  <c r="F833" i="9"/>
  <c r="E833" i="9"/>
  <c r="AC832" i="9"/>
  <c r="AB832" i="9"/>
  <c r="AA832" i="9"/>
  <c r="Z832" i="9"/>
  <c r="R832" i="9"/>
  <c r="M832" i="9"/>
  <c r="N832" i="9" s="1"/>
  <c r="L832" i="9"/>
  <c r="K832" i="9"/>
  <c r="J832" i="9"/>
  <c r="H832" i="9"/>
  <c r="F832" i="9"/>
  <c r="E832" i="9"/>
  <c r="AC831" i="9"/>
  <c r="AB831" i="9"/>
  <c r="AA831" i="9"/>
  <c r="Z831" i="9"/>
  <c r="R831" i="9"/>
  <c r="M831" i="9"/>
  <c r="P831" i="9" s="1"/>
  <c r="L831" i="9"/>
  <c r="K831" i="9"/>
  <c r="J831" i="9"/>
  <c r="H831" i="9"/>
  <c r="F831" i="9"/>
  <c r="E831" i="9"/>
  <c r="AC830" i="9"/>
  <c r="AB830" i="9"/>
  <c r="AA830" i="9"/>
  <c r="Z830" i="9"/>
  <c r="R830" i="9"/>
  <c r="M830" i="9"/>
  <c r="L830" i="9"/>
  <c r="K830" i="9"/>
  <c r="J830" i="9"/>
  <c r="H830" i="9"/>
  <c r="F830" i="9"/>
  <c r="E830" i="9"/>
  <c r="AC829" i="9"/>
  <c r="AB829" i="9"/>
  <c r="AA829" i="9"/>
  <c r="Z829" i="9"/>
  <c r="R829" i="9"/>
  <c r="M829" i="9"/>
  <c r="L829" i="9"/>
  <c r="K829" i="9"/>
  <c r="J829" i="9"/>
  <c r="H829" i="9"/>
  <c r="F829" i="9"/>
  <c r="E829" i="9"/>
  <c r="AC828" i="9"/>
  <c r="AB828" i="9"/>
  <c r="AA828" i="9"/>
  <c r="Z828" i="9"/>
  <c r="R828" i="9"/>
  <c r="M828" i="9"/>
  <c r="L828" i="9"/>
  <c r="K828" i="9"/>
  <c r="J828" i="9"/>
  <c r="H828" i="9"/>
  <c r="F828" i="9"/>
  <c r="E828" i="9"/>
  <c r="AC827" i="9"/>
  <c r="AB827" i="9"/>
  <c r="AA827" i="9"/>
  <c r="Z827" i="9"/>
  <c r="R827" i="9"/>
  <c r="M827" i="9"/>
  <c r="L827" i="9"/>
  <c r="K827" i="9"/>
  <c r="J827" i="9"/>
  <c r="H827" i="9"/>
  <c r="F827" i="9"/>
  <c r="E827" i="9"/>
  <c r="AC826" i="9"/>
  <c r="AB826" i="9"/>
  <c r="AA826" i="9"/>
  <c r="Z826" i="9"/>
  <c r="R826" i="9"/>
  <c r="M826" i="9"/>
  <c r="L826" i="9"/>
  <c r="K826" i="9"/>
  <c r="J826" i="9"/>
  <c r="H826" i="9"/>
  <c r="F826" i="9"/>
  <c r="E826" i="9"/>
  <c r="AC825" i="9"/>
  <c r="AB825" i="9"/>
  <c r="AA825" i="9"/>
  <c r="Z825" i="9"/>
  <c r="R825" i="9"/>
  <c r="M825" i="9"/>
  <c r="L825" i="9"/>
  <c r="K825" i="9"/>
  <c r="J825" i="9"/>
  <c r="H825" i="9"/>
  <c r="F825" i="9"/>
  <c r="E825" i="9"/>
  <c r="AC824" i="9"/>
  <c r="AB824" i="9"/>
  <c r="AA824" i="9"/>
  <c r="Z824" i="9"/>
  <c r="R824" i="9"/>
  <c r="M824" i="9"/>
  <c r="L824" i="9"/>
  <c r="K824" i="9"/>
  <c r="J824" i="9"/>
  <c r="H824" i="9"/>
  <c r="F824" i="9"/>
  <c r="E824" i="9"/>
  <c r="AC823" i="9"/>
  <c r="AB823" i="9"/>
  <c r="AA823" i="9"/>
  <c r="Z823" i="9"/>
  <c r="R823" i="9"/>
  <c r="M823" i="9"/>
  <c r="L823" i="9"/>
  <c r="K823" i="9"/>
  <c r="J823" i="9"/>
  <c r="H823" i="9"/>
  <c r="F823" i="9"/>
  <c r="E823" i="9"/>
  <c r="AC822" i="9"/>
  <c r="AB822" i="9"/>
  <c r="AA822" i="9"/>
  <c r="Z822" i="9"/>
  <c r="R822" i="9"/>
  <c r="M822" i="9"/>
  <c r="O822" i="9" s="1"/>
  <c r="L822" i="9"/>
  <c r="K822" i="9"/>
  <c r="J822" i="9"/>
  <c r="H822" i="9"/>
  <c r="F822" i="9"/>
  <c r="E822" i="9"/>
  <c r="AC821" i="9"/>
  <c r="AB821" i="9"/>
  <c r="AA821" i="9"/>
  <c r="Z821" i="9"/>
  <c r="R821" i="9"/>
  <c r="M821" i="9"/>
  <c r="P821" i="9" s="1"/>
  <c r="L821" i="9"/>
  <c r="K821" i="9"/>
  <c r="J821" i="9"/>
  <c r="H821" i="9"/>
  <c r="F821" i="9"/>
  <c r="E821" i="9"/>
  <c r="AC820" i="9"/>
  <c r="AB820" i="9"/>
  <c r="AA820" i="9"/>
  <c r="Z820" i="9"/>
  <c r="R820" i="9"/>
  <c r="M820" i="9"/>
  <c r="N820" i="9" s="1"/>
  <c r="L820" i="9"/>
  <c r="K820" i="9"/>
  <c r="J820" i="9"/>
  <c r="H820" i="9"/>
  <c r="F820" i="9"/>
  <c r="E820" i="9"/>
  <c r="AC819" i="9"/>
  <c r="AB819" i="9"/>
  <c r="AA819" i="9"/>
  <c r="Z819" i="9"/>
  <c r="R819" i="9"/>
  <c r="M819" i="9"/>
  <c r="L819" i="9"/>
  <c r="K819" i="9"/>
  <c r="J819" i="9"/>
  <c r="H819" i="9"/>
  <c r="F819" i="9"/>
  <c r="E819" i="9"/>
  <c r="AC818" i="9"/>
  <c r="AB818" i="9"/>
  <c r="AA818" i="9"/>
  <c r="Z818" i="9"/>
  <c r="R818" i="9"/>
  <c r="M818" i="9"/>
  <c r="L818" i="9"/>
  <c r="K818" i="9"/>
  <c r="J818" i="9"/>
  <c r="H818" i="9"/>
  <c r="F818" i="9"/>
  <c r="E818" i="9"/>
  <c r="AC817" i="9"/>
  <c r="AB817" i="9"/>
  <c r="AA817" i="9"/>
  <c r="Z817" i="9"/>
  <c r="R817" i="9"/>
  <c r="M817" i="9"/>
  <c r="L817" i="9"/>
  <c r="K817" i="9"/>
  <c r="J817" i="9"/>
  <c r="H817" i="9"/>
  <c r="F817" i="9"/>
  <c r="E817" i="9"/>
  <c r="AC816" i="9"/>
  <c r="AB816" i="9"/>
  <c r="AA816" i="9"/>
  <c r="Z816" i="9"/>
  <c r="R816" i="9"/>
  <c r="M816" i="9"/>
  <c r="N816" i="9" s="1"/>
  <c r="L816" i="9"/>
  <c r="K816" i="9"/>
  <c r="J816" i="9"/>
  <c r="H816" i="9"/>
  <c r="F816" i="9"/>
  <c r="E816" i="9"/>
  <c r="AC815" i="9"/>
  <c r="AB815" i="9"/>
  <c r="AA815" i="9"/>
  <c r="Z815" i="9"/>
  <c r="R815" i="9"/>
  <c r="M815" i="9"/>
  <c r="P815" i="9" s="1"/>
  <c r="L815" i="9"/>
  <c r="K815" i="9"/>
  <c r="J815" i="9"/>
  <c r="H815" i="9"/>
  <c r="F815" i="9"/>
  <c r="E815" i="9"/>
  <c r="AC814" i="9"/>
  <c r="AB814" i="9"/>
  <c r="AA814" i="9"/>
  <c r="Z814" i="9"/>
  <c r="R814" i="9"/>
  <c r="M814" i="9"/>
  <c r="L814" i="9"/>
  <c r="K814" i="9"/>
  <c r="J814" i="9"/>
  <c r="H814" i="9"/>
  <c r="F814" i="9"/>
  <c r="E814" i="9"/>
  <c r="AC813" i="9"/>
  <c r="AB813" i="9"/>
  <c r="AA813" i="9"/>
  <c r="Z813" i="9"/>
  <c r="R813" i="9"/>
  <c r="M813" i="9"/>
  <c r="P813" i="9" s="1"/>
  <c r="L813" i="9"/>
  <c r="K813" i="9"/>
  <c r="J813" i="9"/>
  <c r="H813" i="9"/>
  <c r="F813" i="9"/>
  <c r="E813" i="9"/>
  <c r="AC812" i="9"/>
  <c r="AB812" i="9"/>
  <c r="AA812" i="9"/>
  <c r="Z812" i="9"/>
  <c r="R812" i="9"/>
  <c r="M812" i="9"/>
  <c r="L812" i="9"/>
  <c r="K812" i="9"/>
  <c r="J812" i="9"/>
  <c r="H812" i="9"/>
  <c r="F812" i="9"/>
  <c r="E812" i="9"/>
  <c r="AC811" i="9"/>
  <c r="AB811" i="9"/>
  <c r="AA811" i="9"/>
  <c r="Z811" i="9"/>
  <c r="R811" i="9"/>
  <c r="M811" i="9"/>
  <c r="L811" i="9"/>
  <c r="K811" i="9"/>
  <c r="J811" i="9"/>
  <c r="H811" i="9"/>
  <c r="F811" i="9"/>
  <c r="E811" i="9"/>
  <c r="AC810" i="9"/>
  <c r="AB810" i="9"/>
  <c r="AA810" i="9"/>
  <c r="Z810" i="9"/>
  <c r="R810" i="9"/>
  <c r="M810" i="9"/>
  <c r="L810" i="9"/>
  <c r="K810" i="9"/>
  <c r="J810" i="9"/>
  <c r="H810" i="9"/>
  <c r="F810" i="9"/>
  <c r="E810" i="9"/>
  <c r="AC809" i="9"/>
  <c r="AB809" i="9"/>
  <c r="AA809" i="9"/>
  <c r="Z809" i="9"/>
  <c r="R809" i="9"/>
  <c r="M809" i="9"/>
  <c r="L809" i="9"/>
  <c r="K809" i="9"/>
  <c r="J809" i="9"/>
  <c r="H809" i="9"/>
  <c r="F809" i="9"/>
  <c r="E809" i="9"/>
  <c r="AC808" i="9"/>
  <c r="AB808" i="9"/>
  <c r="AA808" i="9"/>
  <c r="Z808" i="9"/>
  <c r="R808" i="9"/>
  <c r="M808" i="9"/>
  <c r="L808" i="9"/>
  <c r="K808" i="9"/>
  <c r="J808" i="9"/>
  <c r="H808" i="9"/>
  <c r="F808" i="9"/>
  <c r="E808" i="9"/>
  <c r="AC807" i="9"/>
  <c r="AB807" i="9"/>
  <c r="AA807" i="9"/>
  <c r="Z807" i="9"/>
  <c r="R807" i="9"/>
  <c r="M807" i="9"/>
  <c r="L807" i="9"/>
  <c r="K807" i="9"/>
  <c r="J807" i="9"/>
  <c r="H807" i="9"/>
  <c r="F807" i="9"/>
  <c r="E807" i="9"/>
  <c r="AC806" i="9"/>
  <c r="AB806" i="9"/>
  <c r="AA806" i="9"/>
  <c r="Z806" i="9"/>
  <c r="R806" i="9"/>
  <c r="M806" i="9"/>
  <c r="L806" i="9"/>
  <c r="K806" i="9"/>
  <c r="J806" i="9"/>
  <c r="H806" i="9"/>
  <c r="F806" i="9"/>
  <c r="E806" i="9"/>
  <c r="AC805" i="9"/>
  <c r="AB805" i="9"/>
  <c r="AA805" i="9"/>
  <c r="Z805" i="9"/>
  <c r="R805" i="9"/>
  <c r="M805" i="9"/>
  <c r="L805" i="9"/>
  <c r="K805" i="9"/>
  <c r="J805" i="9"/>
  <c r="H805" i="9"/>
  <c r="F805" i="9"/>
  <c r="E805" i="9"/>
  <c r="AC804" i="9"/>
  <c r="AB804" i="9"/>
  <c r="AA804" i="9"/>
  <c r="Z804" i="9"/>
  <c r="R804" i="9"/>
  <c r="M804" i="9"/>
  <c r="N804" i="9" s="1"/>
  <c r="L804" i="9"/>
  <c r="K804" i="9"/>
  <c r="J804" i="9"/>
  <c r="H804" i="9"/>
  <c r="F804" i="9"/>
  <c r="E804" i="9"/>
  <c r="AC803" i="9"/>
  <c r="AB803" i="9"/>
  <c r="AA803" i="9"/>
  <c r="Z803" i="9"/>
  <c r="R803" i="9"/>
  <c r="M803" i="9"/>
  <c r="L803" i="9"/>
  <c r="K803" i="9"/>
  <c r="J803" i="9"/>
  <c r="H803" i="9"/>
  <c r="F803" i="9"/>
  <c r="E803" i="9"/>
  <c r="AC802" i="9"/>
  <c r="AB802" i="9"/>
  <c r="AA802" i="9"/>
  <c r="Z802" i="9"/>
  <c r="R802" i="9"/>
  <c r="M802" i="9"/>
  <c r="N802" i="9" s="1"/>
  <c r="L802" i="9"/>
  <c r="K802" i="9"/>
  <c r="J802" i="9"/>
  <c r="H802" i="9"/>
  <c r="F802" i="9"/>
  <c r="E802" i="9"/>
  <c r="AC801" i="9"/>
  <c r="AB801" i="9"/>
  <c r="AA801" i="9"/>
  <c r="Z801" i="9"/>
  <c r="R801" i="9"/>
  <c r="M801" i="9"/>
  <c r="L801" i="9"/>
  <c r="K801" i="9"/>
  <c r="J801" i="9"/>
  <c r="H801" i="9"/>
  <c r="F801" i="9"/>
  <c r="E801" i="9"/>
  <c r="AC800" i="9"/>
  <c r="AB800" i="9"/>
  <c r="AA800" i="9"/>
  <c r="Z800" i="9"/>
  <c r="R800" i="9"/>
  <c r="M800" i="9"/>
  <c r="N800" i="9" s="1"/>
  <c r="L800" i="9"/>
  <c r="K800" i="9"/>
  <c r="J800" i="9"/>
  <c r="H800" i="9"/>
  <c r="F800" i="9"/>
  <c r="E800" i="9"/>
  <c r="AC799" i="9"/>
  <c r="AB799" i="9"/>
  <c r="AA799" i="9"/>
  <c r="Z799" i="9"/>
  <c r="R799" i="9"/>
  <c r="M799" i="9"/>
  <c r="P799" i="9" s="1"/>
  <c r="L799" i="9"/>
  <c r="K799" i="9"/>
  <c r="J799" i="9"/>
  <c r="H799" i="9"/>
  <c r="F799" i="9"/>
  <c r="E799" i="9"/>
  <c r="AC798" i="9"/>
  <c r="AB798" i="9"/>
  <c r="AA798" i="9"/>
  <c r="Z798" i="9"/>
  <c r="R798" i="9"/>
  <c r="M798" i="9"/>
  <c r="N798" i="9" s="1"/>
  <c r="L798" i="9"/>
  <c r="K798" i="9"/>
  <c r="J798" i="9"/>
  <c r="H798" i="9"/>
  <c r="F798" i="9"/>
  <c r="E798" i="9"/>
  <c r="AC797" i="9"/>
  <c r="AB797" i="9"/>
  <c r="AA797" i="9"/>
  <c r="Z797" i="9"/>
  <c r="R797" i="9"/>
  <c r="M797" i="9"/>
  <c r="L797" i="9"/>
  <c r="K797" i="9"/>
  <c r="J797" i="9"/>
  <c r="H797" i="9"/>
  <c r="F797" i="9"/>
  <c r="E797" i="9"/>
  <c r="AC796" i="9"/>
  <c r="AB796" i="9"/>
  <c r="AA796" i="9"/>
  <c r="Z796" i="9"/>
  <c r="R796" i="9"/>
  <c r="M796" i="9"/>
  <c r="L796" i="9"/>
  <c r="K796" i="9"/>
  <c r="J796" i="9"/>
  <c r="H796" i="9"/>
  <c r="F796" i="9"/>
  <c r="E796" i="9"/>
  <c r="AC795" i="9"/>
  <c r="AB795" i="9"/>
  <c r="AA795" i="9"/>
  <c r="Z795" i="9"/>
  <c r="R795" i="9"/>
  <c r="M795" i="9"/>
  <c r="L795" i="9"/>
  <c r="K795" i="9"/>
  <c r="J795" i="9"/>
  <c r="H795" i="9"/>
  <c r="F795" i="9"/>
  <c r="E795" i="9"/>
  <c r="AC794" i="9"/>
  <c r="AB794" i="9"/>
  <c r="AA794" i="9"/>
  <c r="Z794" i="9"/>
  <c r="R794" i="9"/>
  <c r="M794" i="9"/>
  <c r="L794" i="9"/>
  <c r="K794" i="9"/>
  <c r="J794" i="9"/>
  <c r="H794" i="9"/>
  <c r="F794" i="9"/>
  <c r="E794" i="9"/>
  <c r="AC793" i="9"/>
  <c r="AB793" i="9"/>
  <c r="AA793" i="9"/>
  <c r="Z793" i="9"/>
  <c r="R793" i="9"/>
  <c r="M793" i="9"/>
  <c r="O793" i="9" s="1"/>
  <c r="L793" i="9"/>
  <c r="K793" i="9"/>
  <c r="J793" i="9"/>
  <c r="H793" i="9"/>
  <c r="F793" i="9"/>
  <c r="E793" i="9"/>
  <c r="AC792" i="9"/>
  <c r="AB792" i="9"/>
  <c r="AA792" i="9"/>
  <c r="Z792" i="9"/>
  <c r="R792" i="9"/>
  <c r="M792" i="9"/>
  <c r="L792" i="9"/>
  <c r="K792" i="9"/>
  <c r="J792" i="9"/>
  <c r="H792" i="9"/>
  <c r="F792" i="9"/>
  <c r="E792" i="9"/>
  <c r="AC791" i="9"/>
  <c r="AB791" i="9"/>
  <c r="AA791" i="9"/>
  <c r="Z791" i="9"/>
  <c r="R791" i="9"/>
  <c r="M791" i="9"/>
  <c r="L791" i="9"/>
  <c r="K791" i="9"/>
  <c r="J791" i="9"/>
  <c r="H791" i="9"/>
  <c r="F791" i="9"/>
  <c r="E791" i="9"/>
  <c r="AC790" i="9"/>
  <c r="AB790" i="9"/>
  <c r="AA790" i="9"/>
  <c r="Z790" i="9"/>
  <c r="R790" i="9"/>
  <c r="M790" i="9"/>
  <c r="L790" i="9"/>
  <c r="K790" i="9"/>
  <c r="J790" i="9"/>
  <c r="H790" i="9"/>
  <c r="F790" i="9"/>
  <c r="E790" i="9"/>
  <c r="AC789" i="9"/>
  <c r="AB789" i="9"/>
  <c r="AA789" i="9"/>
  <c r="Z789" i="9"/>
  <c r="R789" i="9"/>
  <c r="M789" i="9"/>
  <c r="L789" i="9"/>
  <c r="K789" i="9"/>
  <c r="J789" i="9"/>
  <c r="H789" i="9"/>
  <c r="F789" i="9"/>
  <c r="E789" i="9"/>
  <c r="AC788" i="9"/>
  <c r="AB788" i="9"/>
  <c r="AA788" i="9"/>
  <c r="Z788" i="9"/>
  <c r="R788" i="9"/>
  <c r="M788" i="9"/>
  <c r="N788" i="9" s="1"/>
  <c r="L788" i="9"/>
  <c r="K788" i="9"/>
  <c r="J788" i="9"/>
  <c r="H788" i="9"/>
  <c r="F788" i="9"/>
  <c r="E788" i="9"/>
  <c r="AC787" i="9"/>
  <c r="AB787" i="9"/>
  <c r="AA787" i="9"/>
  <c r="Z787" i="9"/>
  <c r="R787" i="9"/>
  <c r="M787" i="9"/>
  <c r="L787" i="9"/>
  <c r="K787" i="9"/>
  <c r="J787" i="9"/>
  <c r="H787" i="9"/>
  <c r="F787" i="9"/>
  <c r="E787" i="9"/>
  <c r="AC786" i="9"/>
  <c r="AB786" i="9"/>
  <c r="AA786" i="9"/>
  <c r="Z786" i="9"/>
  <c r="R786" i="9"/>
  <c r="M786" i="9"/>
  <c r="N786" i="9" s="1"/>
  <c r="L786" i="9"/>
  <c r="K786" i="9"/>
  <c r="J786" i="9"/>
  <c r="H786" i="9"/>
  <c r="F786" i="9"/>
  <c r="E786" i="9"/>
  <c r="AC785" i="9"/>
  <c r="AB785" i="9"/>
  <c r="AA785" i="9"/>
  <c r="Z785" i="9"/>
  <c r="R785" i="9"/>
  <c r="M785" i="9"/>
  <c r="L785" i="9"/>
  <c r="K785" i="9"/>
  <c r="J785" i="9"/>
  <c r="H785" i="9"/>
  <c r="F785" i="9"/>
  <c r="E785" i="9"/>
  <c r="AC784" i="9"/>
  <c r="AB784" i="9"/>
  <c r="AA784" i="9"/>
  <c r="Z784" i="9"/>
  <c r="R784" i="9"/>
  <c r="M784" i="9"/>
  <c r="N784" i="9" s="1"/>
  <c r="L784" i="9"/>
  <c r="K784" i="9"/>
  <c r="J784" i="9"/>
  <c r="H784" i="9"/>
  <c r="F784" i="9"/>
  <c r="E784" i="9"/>
  <c r="AC783" i="9"/>
  <c r="AB783" i="9"/>
  <c r="AA783" i="9"/>
  <c r="Z783" i="9"/>
  <c r="R783" i="9"/>
  <c r="M783" i="9"/>
  <c r="P783" i="9" s="1"/>
  <c r="L783" i="9"/>
  <c r="K783" i="9"/>
  <c r="J783" i="9"/>
  <c r="H783" i="9"/>
  <c r="F783" i="9"/>
  <c r="E783" i="9"/>
  <c r="AC782" i="9"/>
  <c r="AB782" i="9"/>
  <c r="AA782" i="9"/>
  <c r="Z782" i="9"/>
  <c r="R782" i="9"/>
  <c r="M782" i="9"/>
  <c r="N782" i="9" s="1"/>
  <c r="L782" i="9"/>
  <c r="K782" i="9"/>
  <c r="J782" i="9"/>
  <c r="H782" i="9"/>
  <c r="F782" i="9"/>
  <c r="E782" i="9"/>
  <c r="AC781" i="9"/>
  <c r="AB781" i="9"/>
  <c r="AA781" i="9"/>
  <c r="Z781" i="9"/>
  <c r="R781" i="9"/>
  <c r="M781" i="9"/>
  <c r="L781" i="9"/>
  <c r="K781" i="9"/>
  <c r="J781" i="9"/>
  <c r="H781" i="9"/>
  <c r="F781" i="9"/>
  <c r="E781" i="9"/>
  <c r="AC780" i="9"/>
  <c r="AB780" i="9"/>
  <c r="AA780" i="9"/>
  <c r="Z780" i="9"/>
  <c r="R780" i="9"/>
  <c r="M780" i="9"/>
  <c r="L780" i="9"/>
  <c r="K780" i="9"/>
  <c r="J780" i="9"/>
  <c r="H780" i="9"/>
  <c r="F780" i="9"/>
  <c r="E780" i="9"/>
  <c r="AC779" i="9"/>
  <c r="AB779" i="9"/>
  <c r="AA779" i="9"/>
  <c r="Z779" i="9"/>
  <c r="R779" i="9"/>
  <c r="M779" i="9"/>
  <c r="L779" i="9"/>
  <c r="K779" i="9"/>
  <c r="J779" i="9"/>
  <c r="H779" i="9"/>
  <c r="F779" i="9"/>
  <c r="E779" i="9"/>
  <c r="AC778" i="9"/>
  <c r="AB778" i="9"/>
  <c r="AA778" i="9"/>
  <c r="Z778" i="9"/>
  <c r="R778" i="9"/>
  <c r="M778" i="9"/>
  <c r="O778" i="9" s="1"/>
  <c r="L778" i="9"/>
  <c r="K778" i="9"/>
  <c r="J778" i="9"/>
  <c r="H778" i="9"/>
  <c r="F778" i="9"/>
  <c r="E778" i="9"/>
  <c r="AC777" i="9"/>
  <c r="AB777" i="9"/>
  <c r="AA777" i="9"/>
  <c r="Z777" i="9"/>
  <c r="R777" i="9"/>
  <c r="M777" i="9"/>
  <c r="P777" i="9" s="1"/>
  <c r="L777" i="9"/>
  <c r="K777" i="9"/>
  <c r="J777" i="9"/>
  <c r="H777" i="9"/>
  <c r="F777" i="9"/>
  <c r="E777" i="9"/>
  <c r="AC776" i="9"/>
  <c r="AB776" i="9"/>
  <c r="AA776" i="9"/>
  <c r="Z776" i="9"/>
  <c r="R776" i="9"/>
  <c r="M776" i="9"/>
  <c r="L776" i="9"/>
  <c r="K776" i="9"/>
  <c r="J776" i="9"/>
  <c r="H776" i="9"/>
  <c r="F776" i="9"/>
  <c r="E776" i="9"/>
  <c r="AC775" i="9"/>
  <c r="AB775" i="9"/>
  <c r="AA775" i="9"/>
  <c r="Z775" i="9"/>
  <c r="R775" i="9"/>
  <c r="M775" i="9"/>
  <c r="L775" i="9"/>
  <c r="K775" i="9"/>
  <c r="J775" i="9"/>
  <c r="H775" i="9"/>
  <c r="F775" i="9"/>
  <c r="E775" i="9"/>
  <c r="AC774" i="9"/>
  <c r="AB774" i="9"/>
  <c r="AA774" i="9"/>
  <c r="Z774" i="9"/>
  <c r="R774" i="9"/>
  <c r="M774" i="9"/>
  <c r="L774" i="9"/>
  <c r="K774" i="9"/>
  <c r="J774" i="9"/>
  <c r="H774" i="9"/>
  <c r="F774" i="9"/>
  <c r="E774" i="9"/>
  <c r="AC773" i="9"/>
  <c r="AB773" i="9"/>
  <c r="AA773" i="9"/>
  <c r="Z773" i="9"/>
  <c r="R773" i="9"/>
  <c r="M773" i="9"/>
  <c r="L773" i="9"/>
  <c r="K773" i="9"/>
  <c r="J773" i="9"/>
  <c r="H773" i="9"/>
  <c r="F773" i="9"/>
  <c r="E773" i="9"/>
  <c r="AC772" i="9"/>
  <c r="AB772" i="9"/>
  <c r="AA772" i="9"/>
  <c r="Z772" i="9"/>
  <c r="R772" i="9"/>
  <c r="M772" i="9"/>
  <c r="N772" i="9" s="1"/>
  <c r="L772" i="9"/>
  <c r="K772" i="9"/>
  <c r="J772" i="9"/>
  <c r="H772" i="9"/>
  <c r="F772" i="9"/>
  <c r="E772" i="9"/>
  <c r="AC771" i="9"/>
  <c r="AB771" i="9"/>
  <c r="AA771" i="9"/>
  <c r="Z771" i="9"/>
  <c r="R771" i="9"/>
  <c r="M771" i="9"/>
  <c r="L771" i="9"/>
  <c r="K771" i="9"/>
  <c r="J771" i="9"/>
  <c r="H771" i="9"/>
  <c r="F771" i="9"/>
  <c r="E771" i="9"/>
  <c r="AC770" i="9"/>
  <c r="AB770" i="9"/>
  <c r="AA770" i="9"/>
  <c r="Z770" i="9"/>
  <c r="R770" i="9"/>
  <c r="M770" i="9"/>
  <c r="L770" i="9"/>
  <c r="K770" i="9"/>
  <c r="J770" i="9"/>
  <c r="H770" i="9"/>
  <c r="F770" i="9"/>
  <c r="E770" i="9"/>
  <c r="AC769" i="9"/>
  <c r="AB769" i="9"/>
  <c r="AA769" i="9"/>
  <c r="Z769" i="9"/>
  <c r="R769" i="9"/>
  <c r="M769" i="9"/>
  <c r="L769" i="9"/>
  <c r="K769" i="9"/>
  <c r="J769" i="9"/>
  <c r="H769" i="9"/>
  <c r="F769" i="9"/>
  <c r="E769" i="9"/>
  <c r="AC768" i="9"/>
  <c r="AB768" i="9"/>
  <c r="AA768" i="9"/>
  <c r="Z768" i="9"/>
  <c r="R768" i="9"/>
  <c r="M768" i="9"/>
  <c r="N768" i="9" s="1"/>
  <c r="L768" i="9"/>
  <c r="K768" i="9"/>
  <c r="J768" i="9"/>
  <c r="H768" i="9"/>
  <c r="F768" i="9"/>
  <c r="E768" i="9"/>
  <c r="AC767" i="9"/>
  <c r="AB767" i="9"/>
  <c r="AA767" i="9"/>
  <c r="Z767" i="9"/>
  <c r="R767" i="9"/>
  <c r="M767" i="9"/>
  <c r="P767" i="9" s="1"/>
  <c r="L767" i="9"/>
  <c r="K767" i="9"/>
  <c r="J767" i="9"/>
  <c r="H767" i="9"/>
  <c r="F767" i="9"/>
  <c r="E767" i="9"/>
  <c r="AC766" i="9"/>
  <c r="AB766" i="9"/>
  <c r="AA766" i="9"/>
  <c r="Z766" i="9"/>
  <c r="R766" i="9"/>
  <c r="M766" i="9"/>
  <c r="L766" i="9"/>
  <c r="K766" i="9"/>
  <c r="J766" i="9"/>
  <c r="H766" i="9"/>
  <c r="F766" i="9"/>
  <c r="E766" i="9"/>
  <c r="AC765" i="9"/>
  <c r="AB765" i="9"/>
  <c r="AA765" i="9"/>
  <c r="Z765" i="9"/>
  <c r="R765" i="9"/>
  <c r="M765" i="9"/>
  <c r="L765" i="9"/>
  <c r="K765" i="9"/>
  <c r="J765" i="9"/>
  <c r="H765" i="9"/>
  <c r="F765" i="9"/>
  <c r="E765" i="9"/>
  <c r="AC764" i="9"/>
  <c r="AB764" i="9"/>
  <c r="AA764" i="9"/>
  <c r="Z764" i="9"/>
  <c r="R764" i="9"/>
  <c r="M764" i="9"/>
  <c r="L764" i="9"/>
  <c r="K764" i="9"/>
  <c r="J764" i="9"/>
  <c r="H764" i="9"/>
  <c r="F764" i="9"/>
  <c r="E764" i="9"/>
  <c r="AC763" i="9"/>
  <c r="AB763" i="9"/>
  <c r="AA763" i="9"/>
  <c r="Z763" i="9"/>
  <c r="R763" i="9"/>
  <c r="M763" i="9"/>
  <c r="L763" i="9"/>
  <c r="K763" i="9"/>
  <c r="J763" i="9"/>
  <c r="H763" i="9"/>
  <c r="F763" i="9"/>
  <c r="E763" i="9"/>
  <c r="AC762" i="9"/>
  <c r="AB762" i="9"/>
  <c r="AA762" i="9"/>
  <c r="Z762" i="9"/>
  <c r="R762" i="9"/>
  <c r="M762" i="9"/>
  <c r="N762" i="9" s="1"/>
  <c r="L762" i="9"/>
  <c r="K762" i="9"/>
  <c r="J762" i="9"/>
  <c r="H762" i="9"/>
  <c r="F762" i="9"/>
  <c r="E762" i="9"/>
  <c r="AC761" i="9"/>
  <c r="AB761" i="9"/>
  <c r="AA761" i="9"/>
  <c r="Z761" i="9"/>
  <c r="R761" i="9"/>
  <c r="M761" i="9"/>
  <c r="L761" i="9"/>
  <c r="K761" i="9"/>
  <c r="J761" i="9"/>
  <c r="H761" i="9"/>
  <c r="F761" i="9"/>
  <c r="E761" i="9"/>
  <c r="AC760" i="9"/>
  <c r="AB760" i="9"/>
  <c r="AA760" i="9"/>
  <c r="Z760" i="9"/>
  <c r="R760" i="9"/>
  <c r="M760" i="9"/>
  <c r="L760" i="9"/>
  <c r="K760" i="9"/>
  <c r="J760" i="9"/>
  <c r="H760" i="9"/>
  <c r="F760" i="9"/>
  <c r="E760" i="9"/>
  <c r="AC759" i="9"/>
  <c r="AB759" i="9"/>
  <c r="AA759" i="9"/>
  <c r="Z759" i="9"/>
  <c r="R759" i="9"/>
  <c r="M759" i="9"/>
  <c r="L759" i="9"/>
  <c r="K759" i="9"/>
  <c r="J759" i="9"/>
  <c r="H759" i="9"/>
  <c r="F759" i="9"/>
  <c r="E759" i="9"/>
  <c r="AC758" i="9"/>
  <c r="AB758" i="9"/>
  <c r="AA758" i="9"/>
  <c r="Z758" i="9"/>
  <c r="R758" i="9"/>
  <c r="M758" i="9"/>
  <c r="L758" i="9"/>
  <c r="K758" i="9"/>
  <c r="J758" i="9"/>
  <c r="H758" i="9"/>
  <c r="F758" i="9"/>
  <c r="E758" i="9"/>
  <c r="AC757" i="9"/>
  <c r="AB757" i="9"/>
  <c r="AA757" i="9"/>
  <c r="Z757" i="9"/>
  <c r="R757" i="9"/>
  <c r="M757" i="9"/>
  <c r="P757" i="9" s="1"/>
  <c r="L757" i="9"/>
  <c r="K757" i="9"/>
  <c r="J757" i="9"/>
  <c r="H757" i="9"/>
  <c r="F757" i="9"/>
  <c r="E757" i="9"/>
  <c r="AC756" i="9"/>
  <c r="AB756" i="9"/>
  <c r="AA756" i="9"/>
  <c r="Z756" i="9"/>
  <c r="R756" i="9"/>
  <c r="M756" i="9"/>
  <c r="N756" i="9" s="1"/>
  <c r="L756" i="9"/>
  <c r="K756" i="9"/>
  <c r="J756" i="9"/>
  <c r="H756" i="9"/>
  <c r="F756" i="9"/>
  <c r="E756" i="9"/>
  <c r="AC755" i="9"/>
  <c r="AB755" i="9"/>
  <c r="AA755" i="9"/>
  <c r="Z755" i="9"/>
  <c r="R755" i="9"/>
  <c r="M755" i="9"/>
  <c r="L755" i="9"/>
  <c r="K755" i="9"/>
  <c r="J755" i="9"/>
  <c r="H755" i="9"/>
  <c r="F755" i="9"/>
  <c r="E755" i="9"/>
  <c r="AC754" i="9"/>
  <c r="AB754" i="9"/>
  <c r="AA754" i="9"/>
  <c r="Z754" i="9"/>
  <c r="R754" i="9"/>
  <c r="M754" i="9"/>
  <c r="N754" i="9" s="1"/>
  <c r="L754" i="9"/>
  <c r="K754" i="9"/>
  <c r="J754" i="9"/>
  <c r="H754" i="9"/>
  <c r="F754" i="9"/>
  <c r="E754" i="9"/>
  <c r="AC753" i="9"/>
  <c r="AB753" i="9"/>
  <c r="AA753" i="9"/>
  <c r="Z753" i="9"/>
  <c r="R753" i="9"/>
  <c r="M753" i="9"/>
  <c r="L753" i="9"/>
  <c r="K753" i="9"/>
  <c r="J753" i="9"/>
  <c r="H753" i="9"/>
  <c r="F753" i="9"/>
  <c r="E753" i="9"/>
  <c r="AC752" i="9"/>
  <c r="AB752" i="9"/>
  <c r="AA752" i="9"/>
  <c r="Z752" i="9"/>
  <c r="R752" i="9"/>
  <c r="M752" i="9"/>
  <c r="O752" i="9" s="1"/>
  <c r="L752" i="9"/>
  <c r="K752" i="9"/>
  <c r="J752" i="9"/>
  <c r="H752" i="9"/>
  <c r="F752" i="9"/>
  <c r="E752" i="9"/>
  <c r="AC751" i="9"/>
  <c r="AB751" i="9"/>
  <c r="AA751" i="9"/>
  <c r="Z751" i="9"/>
  <c r="R751" i="9"/>
  <c r="M751" i="9"/>
  <c r="P751" i="9" s="1"/>
  <c r="L751" i="9"/>
  <c r="K751" i="9"/>
  <c r="J751" i="9"/>
  <c r="H751" i="9"/>
  <c r="F751" i="9"/>
  <c r="E751" i="9"/>
  <c r="AC750" i="9"/>
  <c r="AB750" i="9"/>
  <c r="AA750" i="9"/>
  <c r="Z750" i="9"/>
  <c r="R750" i="9"/>
  <c r="M750" i="9"/>
  <c r="N750" i="9" s="1"/>
  <c r="L750" i="9"/>
  <c r="K750" i="9"/>
  <c r="J750" i="9"/>
  <c r="H750" i="9"/>
  <c r="F750" i="9"/>
  <c r="E750" i="9"/>
  <c r="AC749" i="9"/>
  <c r="AB749" i="9"/>
  <c r="AA749" i="9"/>
  <c r="Z749" i="9"/>
  <c r="R749" i="9"/>
  <c r="M749" i="9"/>
  <c r="P749" i="9" s="1"/>
  <c r="L749" i="9"/>
  <c r="K749" i="9"/>
  <c r="J749" i="9"/>
  <c r="H749" i="9"/>
  <c r="F749" i="9"/>
  <c r="E749" i="9"/>
  <c r="AC748" i="9"/>
  <c r="AB748" i="9"/>
  <c r="AA748" i="9"/>
  <c r="Z748" i="9"/>
  <c r="R748" i="9"/>
  <c r="M748" i="9"/>
  <c r="L748" i="9"/>
  <c r="K748" i="9"/>
  <c r="J748" i="9"/>
  <c r="H748" i="9"/>
  <c r="F748" i="9"/>
  <c r="E748" i="9"/>
  <c r="AC747" i="9"/>
  <c r="AB747" i="9"/>
  <c r="AA747" i="9"/>
  <c r="Z747" i="9"/>
  <c r="R747" i="9"/>
  <c r="M747" i="9"/>
  <c r="L747" i="9"/>
  <c r="K747" i="9"/>
  <c r="J747" i="9"/>
  <c r="H747" i="9"/>
  <c r="F747" i="9"/>
  <c r="E747" i="9"/>
  <c r="AC746" i="9"/>
  <c r="AB746" i="9"/>
  <c r="AA746" i="9"/>
  <c r="Z746" i="9"/>
  <c r="R746" i="9"/>
  <c r="M746" i="9"/>
  <c r="L746" i="9"/>
  <c r="K746" i="9"/>
  <c r="J746" i="9"/>
  <c r="H746" i="9"/>
  <c r="F746" i="9"/>
  <c r="E746" i="9"/>
  <c r="AC745" i="9"/>
  <c r="AB745" i="9"/>
  <c r="AA745" i="9"/>
  <c r="Z745" i="9"/>
  <c r="R745" i="9"/>
  <c r="M745" i="9"/>
  <c r="P745" i="9" s="1"/>
  <c r="L745" i="9"/>
  <c r="K745" i="9"/>
  <c r="J745" i="9"/>
  <c r="H745" i="9"/>
  <c r="F745" i="9"/>
  <c r="E745" i="9"/>
  <c r="AC744" i="9"/>
  <c r="AB744" i="9"/>
  <c r="AA744" i="9"/>
  <c r="Z744" i="9"/>
  <c r="R744" i="9"/>
  <c r="M744" i="9"/>
  <c r="O744" i="9" s="1"/>
  <c r="L744" i="9"/>
  <c r="K744" i="9"/>
  <c r="J744" i="9"/>
  <c r="H744" i="9"/>
  <c r="F744" i="9"/>
  <c r="E744" i="9"/>
  <c r="AC743" i="9"/>
  <c r="AB743" i="9"/>
  <c r="AA743" i="9"/>
  <c r="Z743" i="9"/>
  <c r="R743" i="9"/>
  <c r="M743" i="9"/>
  <c r="P743" i="9" s="1"/>
  <c r="L743" i="9"/>
  <c r="K743" i="9"/>
  <c r="J743" i="9"/>
  <c r="H743" i="9"/>
  <c r="F743" i="9"/>
  <c r="E743" i="9"/>
  <c r="AC742" i="9"/>
  <c r="AB742" i="9"/>
  <c r="AA742" i="9"/>
  <c r="Z742" i="9"/>
  <c r="R742" i="9"/>
  <c r="M742" i="9"/>
  <c r="N742" i="9" s="1"/>
  <c r="L742" i="9"/>
  <c r="K742" i="9"/>
  <c r="J742" i="9"/>
  <c r="H742" i="9"/>
  <c r="F742" i="9"/>
  <c r="E742" i="9"/>
  <c r="AC741" i="9"/>
  <c r="AB741" i="9"/>
  <c r="AA741" i="9"/>
  <c r="Z741" i="9"/>
  <c r="R741" i="9"/>
  <c r="M741" i="9"/>
  <c r="L741" i="9"/>
  <c r="K741" i="9"/>
  <c r="J741" i="9"/>
  <c r="H741" i="9"/>
  <c r="F741" i="9"/>
  <c r="E741" i="9"/>
  <c r="AC740" i="9"/>
  <c r="AB740" i="9"/>
  <c r="AA740" i="9"/>
  <c r="Z740" i="9"/>
  <c r="R740" i="9"/>
  <c r="M740" i="9"/>
  <c r="L740" i="9"/>
  <c r="K740" i="9"/>
  <c r="J740" i="9"/>
  <c r="H740" i="9"/>
  <c r="F740" i="9"/>
  <c r="E740" i="9"/>
  <c r="AC739" i="9"/>
  <c r="AB739" i="9"/>
  <c r="AA739" i="9"/>
  <c r="Z739" i="9"/>
  <c r="R739" i="9"/>
  <c r="M739" i="9"/>
  <c r="L739" i="9"/>
  <c r="K739" i="9"/>
  <c r="J739" i="9"/>
  <c r="H739" i="9"/>
  <c r="F739" i="9"/>
  <c r="E739" i="9"/>
  <c r="AC738" i="9"/>
  <c r="AB738" i="9"/>
  <c r="AA738" i="9"/>
  <c r="Z738" i="9"/>
  <c r="R738" i="9"/>
  <c r="M738" i="9"/>
  <c r="N738" i="9" s="1"/>
  <c r="L738" i="9"/>
  <c r="K738" i="9"/>
  <c r="J738" i="9"/>
  <c r="H738" i="9"/>
  <c r="F738" i="9"/>
  <c r="E738" i="9"/>
  <c r="AC737" i="9"/>
  <c r="AB737" i="9"/>
  <c r="AA737" i="9"/>
  <c r="Z737" i="9"/>
  <c r="R737" i="9"/>
  <c r="M737" i="9"/>
  <c r="P737" i="9" s="1"/>
  <c r="L737" i="9"/>
  <c r="K737" i="9"/>
  <c r="J737" i="9"/>
  <c r="H737" i="9"/>
  <c r="F737" i="9"/>
  <c r="E737" i="9"/>
  <c r="AC736" i="9"/>
  <c r="AB736" i="9"/>
  <c r="AA736" i="9"/>
  <c r="Z736" i="9"/>
  <c r="R736" i="9"/>
  <c r="M736" i="9"/>
  <c r="L736" i="9"/>
  <c r="K736" i="9"/>
  <c r="J736" i="9"/>
  <c r="H736" i="9"/>
  <c r="F736" i="9"/>
  <c r="E736" i="9"/>
  <c r="AC735" i="9"/>
  <c r="AB735" i="9"/>
  <c r="AA735" i="9"/>
  <c r="Z735" i="9"/>
  <c r="R735" i="9"/>
  <c r="M735" i="9"/>
  <c r="P735" i="9" s="1"/>
  <c r="L735" i="9"/>
  <c r="K735" i="9"/>
  <c r="J735" i="9"/>
  <c r="H735" i="9"/>
  <c r="F735" i="9"/>
  <c r="E735" i="9"/>
  <c r="AC734" i="9"/>
  <c r="AB734" i="9"/>
  <c r="AA734" i="9"/>
  <c r="Z734" i="9"/>
  <c r="R734" i="9"/>
  <c r="M734" i="9"/>
  <c r="L734" i="9"/>
  <c r="K734" i="9"/>
  <c r="J734" i="9"/>
  <c r="H734" i="9"/>
  <c r="F734" i="9"/>
  <c r="E734" i="9"/>
  <c r="AC733" i="9"/>
  <c r="AB733" i="9"/>
  <c r="AA733" i="9"/>
  <c r="Z733" i="9"/>
  <c r="R733" i="9"/>
  <c r="M733" i="9"/>
  <c r="P733" i="9" s="1"/>
  <c r="L733" i="9"/>
  <c r="K733" i="9"/>
  <c r="J733" i="9"/>
  <c r="H733" i="9"/>
  <c r="F733" i="9"/>
  <c r="E733" i="9"/>
  <c r="AC732" i="9"/>
  <c r="AB732" i="9"/>
  <c r="AA732" i="9"/>
  <c r="Z732" i="9"/>
  <c r="R732" i="9"/>
  <c r="M732" i="9"/>
  <c r="L732" i="9"/>
  <c r="K732" i="9"/>
  <c r="J732" i="9"/>
  <c r="H732" i="9"/>
  <c r="F732" i="9"/>
  <c r="E732" i="9"/>
  <c r="AC731" i="9"/>
  <c r="AB731" i="9"/>
  <c r="AA731" i="9"/>
  <c r="Z731" i="9"/>
  <c r="R731" i="9"/>
  <c r="M731" i="9"/>
  <c r="L731" i="9"/>
  <c r="K731" i="9"/>
  <c r="J731" i="9"/>
  <c r="H731" i="9"/>
  <c r="F731" i="9"/>
  <c r="E731" i="9"/>
  <c r="AC730" i="9"/>
  <c r="AB730" i="9"/>
  <c r="AA730" i="9"/>
  <c r="Z730" i="9"/>
  <c r="R730" i="9"/>
  <c r="M730" i="9"/>
  <c r="L730" i="9"/>
  <c r="K730" i="9"/>
  <c r="J730" i="9"/>
  <c r="H730" i="9"/>
  <c r="F730" i="9"/>
  <c r="E730" i="9"/>
  <c r="AC729" i="9"/>
  <c r="AB729" i="9"/>
  <c r="AA729" i="9"/>
  <c r="Z729" i="9"/>
  <c r="R729" i="9"/>
  <c r="M729" i="9"/>
  <c r="L729" i="9"/>
  <c r="K729" i="9"/>
  <c r="J729" i="9"/>
  <c r="H729" i="9"/>
  <c r="F729" i="9"/>
  <c r="E729" i="9"/>
  <c r="AC728" i="9"/>
  <c r="AB728" i="9"/>
  <c r="AA728" i="9"/>
  <c r="Z728" i="9"/>
  <c r="R728" i="9"/>
  <c r="M728" i="9"/>
  <c r="N728" i="9" s="1"/>
  <c r="L728" i="9"/>
  <c r="K728" i="9"/>
  <c r="J728" i="9"/>
  <c r="H728" i="9"/>
  <c r="F728" i="9"/>
  <c r="E728" i="9"/>
  <c r="AC727" i="9"/>
  <c r="AB727" i="9"/>
  <c r="AA727" i="9"/>
  <c r="Z727" i="9"/>
  <c r="R727" i="9"/>
  <c r="M727" i="9"/>
  <c r="L727" i="9"/>
  <c r="K727" i="9"/>
  <c r="J727" i="9"/>
  <c r="H727" i="9"/>
  <c r="F727" i="9"/>
  <c r="E727" i="9"/>
  <c r="AC726" i="9"/>
  <c r="AB726" i="9"/>
  <c r="AA726" i="9"/>
  <c r="Z726" i="9"/>
  <c r="R726" i="9"/>
  <c r="M726" i="9"/>
  <c r="N726" i="9" s="1"/>
  <c r="L726" i="9"/>
  <c r="K726" i="9"/>
  <c r="J726" i="9"/>
  <c r="H726" i="9"/>
  <c r="F726" i="9"/>
  <c r="E726" i="9"/>
  <c r="AC725" i="9"/>
  <c r="AB725" i="9"/>
  <c r="AA725" i="9"/>
  <c r="Z725" i="9"/>
  <c r="R725" i="9"/>
  <c r="M725" i="9"/>
  <c r="L725" i="9"/>
  <c r="K725" i="9"/>
  <c r="J725" i="9"/>
  <c r="H725" i="9"/>
  <c r="F725" i="9"/>
  <c r="E725" i="9"/>
  <c r="AC724" i="9"/>
  <c r="AB724" i="9"/>
  <c r="AA724" i="9"/>
  <c r="Z724" i="9"/>
  <c r="R724" i="9"/>
  <c r="M724" i="9"/>
  <c r="L724" i="9"/>
  <c r="K724" i="9"/>
  <c r="J724" i="9"/>
  <c r="H724" i="9"/>
  <c r="F724" i="9"/>
  <c r="E724" i="9"/>
  <c r="AC723" i="9"/>
  <c r="AB723" i="9"/>
  <c r="AA723" i="9"/>
  <c r="Z723" i="9"/>
  <c r="R723" i="9"/>
  <c r="M723" i="9"/>
  <c r="L723" i="9"/>
  <c r="K723" i="9"/>
  <c r="J723" i="9"/>
  <c r="H723" i="9"/>
  <c r="F723" i="9"/>
  <c r="E723" i="9"/>
  <c r="AC722" i="9"/>
  <c r="AB722" i="9"/>
  <c r="AA722" i="9"/>
  <c r="Z722" i="9"/>
  <c r="R722" i="9"/>
  <c r="M722" i="9"/>
  <c r="N722" i="9" s="1"/>
  <c r="L722" i="9"/>
  <c r="K722" i="9"/>
  <c r="J722" i="9"/>
  <c r="H722" i="9"/>
  <c r="F722" i="9"/>
  <c r="E722" i="9"/>
  <c r="AC721" i="9"/>
  <c r="AB721" i="9"/>
  <c r="AA721" i="9"/>
  <c r="Z721" i="9"/>
  <c r="R721" i="9"/>
  <c r="M721" i="9"/>
  <c r="P721" i="9" s="1"/>
  <c r="L721" i="9"/>
  <c r="K721" i="9"/>
  <c r="J721" i="9"/>
  <c r="H721" i="9"/>
  <c r="F721" i="9"/>
  <c r="E721" i="9"/>
  <c r="AC720" i="9"/>
  <c r="AB720" i="9"/>
  <c r="AA720" i="9"/>
  <c r="Z720" i="9"/>
  <c r="R720" i="9"/>
  <c r="M720" i="9"/>
  <c r="N720" i="9" s="1"/>
  <c r="L720" i="9"/>
  <c r="K720" i="9"/>
  <c r="J720" i="9"/>
  <c r="H720" i="9"/>
  <c r="F720" i="9"/>
  <c r="E720" i="9"/>
  <c r="AC719" i="9"/>
  <c r="AB719" i="9"/>
  <c r="AA719" i="9"/>
  <c r="Z719" i="9"/>
  <c r="R719" i="9"/>
  <c r="M719" i="9"/>
  <c r="L719" i="9"/>
  <c r="K719" i="9"/>
  <c r="J719" i="9"/>
  <c r="H719" i="9"/>
  <c r="F719" i="9"/>
  <c r="E719" i="9"/>
  <c r="AC718" i="9"/>
  <c r="AB718" i="9"/>
  <c r="AA718" i="9"/>
  <c r="Z718" i="9"/>
  <c r="R718" i="9"/>
  <c r="M718" i="9"/>
  <c r="L718" i="9"/>
  <c r="K718" i="9"/>
  <c r="J718" i="9"/>
  <c r="H718" i="9"/>
  <c r="F718" i="9"/>
  <c r="E718" i="9"/>
  <c r="AC717" i="9"/>
  <c r="AB717" i="9"/>
  <c r="AA717" i="9"/>
  <c r="Z717" i="9"/>
  <c r="R717" i="9"/>
  <c r="M717" i="9"/>
  <c r="L717" i="9"/>
  <c r="K717" i="9"/>
  <c r="J717" i="9"/>
  <c r="H717" i="9"/>
  <c r="F717" i="9"/>
  <c r="E717" i="9"/>
  <c r="AC716" i="9"/>
  <c r="AB716" i="9"/>
  <c r="AA716" i="9"/>
  <c r="Z716" i="9"/>
  <c r="R716" i="9"/>
  <c r="M716" i="9"/>
  <c r="L716" i="9"/>
  <c r="K716" i="9"/>
  <c r="J716" i="9"/>
  <c r="H716" i="9"/>
  <c r="F716" i="9"/>
  <c r="E716" i="9"/>
  <c r="AC715" i="9"/>
  <c r="AB715" i="9"/>
  <c r="AA715" i="9"/>
  <c r="Z715" i="9"/>
  <c r="R715" i="9"/>
  <c r="M715" i="9"/>
  <c r="P715" i="9" s="1"/>
  <c r="L715" i="9"/>
  <c r="K715" i="9"/>
  <c r="J715" i="9"/>
  <c r="H715" i="9"/>
  <c r="F715" i="9"/>
  <c r="E715" i="9"/>
  <c r="AC714" i="9"/>
  <c r="AB714" i="9"/>
  <c r="AA714" i="9"/>
  <c r="Z714" i="9"/>
  <c r="R714" i="9"/>
  <c r="M714" i="9"/>
  <c r="N714" i="9" s="1"/>
  <c r="L714" i="9"/>
  <c r="K714" i="9"/>
  <c r="J714" i="9"/>
  <c r="H714" i="9"/>
  <c r="F714" i="9"/>
  <c r="E714" i="9"/>
  <c r="AC713" i="9"/>
  <c r="AB713" i="9"/>
  <c r="AA713" i="9"/>
  <c r="Z713" i="9"/>
  <c r="R713" i="9"/>
  <c r="M713" i="9"/>
  <c r="P713" i="9" s="1"/>
  <c r="L713" i="9"/>
  <c r="K713" i="9"/>
  <c r="J713" i="9"/>
  <c r="H713" i="9"/>
  <c r="F713" i="9"/>
  <c r="E713" i="9"/>
  <c r="AC712" i="9"/>
  <c r="AB712" i="9"/>
  <c r="AA712" i="9"/>
  <c r="Z712" i="9"/>
  <c r="R712" i="9"/>
  <c r="M712" i="9"/>
  <c r="L712" i="9"/>
  <c r="K712" i="9"/>
  <c r="J712" i="9"/>
  <c r="H712" i="9"/>
  <c r="F712" i="9"/>
  <c r="E712" i="9"/>
  <c r="AC711" i="9"/>
  <c r="AB711" i="9"/>
  <c r="AA711" i="9"/>
  <c r="Z711" i="9"/>
  <c r="R711" i="9"/>
  <c r="M711" i="9"/>
  <c r="O711" i="9" s="1"/>
  <c r="L711" i="9"/>
  <c r="K711" i="9"/>
  <c r="J711" i="9"/>
  <c r="H711" i="9"/>
  <c r="F711" i="9"/>
  <c r="E711" i="9"/>
  <c r="AC710" i="9"/>
  <c r="AB710" i="9"/>
  <c r="AA710" i="9"/>
  <c r="Z710" i="9"/>
  <c r="R710" i="9"/>
  <c r="M710" i="9"/>
  <c r="L710" i="9"/>
  <c r="K710" i="9"/>
  <c r="J710" i="9"/>
  <c r="H710" i="9"/>
  <c r="F710" i="9"/>
  <c r="E710" i="9"/>
  <c r="AC709" i="9"/>
  <c r="AB709" i="9"/>
  <c r="AA709" i="9"/>
  <c r="Z709" i="9"/>
  <c r="R709" i="9"/>
  <c r="M709" i="9"/>
  <c r="L709" i="9"/>
  <c r="K709" i="9"/>
  <c r="J709" i="9"/>
  <c r="H709" i="9"/>
  <c r="F709" i="9"/>
  <c r="E709" i="9"/>
  <c r="AC708" i="9"/>
  <c r="AB708" i="9"/>
  <c r="AA708" i="9"/>
  <c r="Z708" i="9"/>
  <c r="R708" i="9"/>
  <c r="M708" i="9"/>
  <c r="N708" i="9" s="1"/>
  <c r="L708" i="9"/>
  <c r="K708" i="9"/>
  <c r="J708" i="9"/>
  <c r="H708" i="9"/>
  <c r="F708" i="9"/>
  <c r="E708" i="9"/>
  <c r="AC707" i="9"/>
  <c r="AB707" i="9"/>
  <c r="AA707" i="9"/>
  <c r="Z707" i="9"/>
  <c r="R707" i="9"/>
  <c r="M707" i="9"/>
  <c r="P707" i="9" s="1"/>
  <c r="L707" i="9"/>
  <c r="K707" i="9"/>
  <c r="J707" i="9"/>
  <c r="H707" i="9"/>
  <c r="F707" i="9"/>
  <c r="E707" i="9"/>
  <c r="AC706" i="9"/>
  <c r="AB706" i="9"/>
  <c r="AA706" i="9"/>
  <c r="Z706" i="9"/>
  <c r="R706" i="9"/>
  <c r="M706" i="9"/>
  <c r="N706" i="9" s="1"/>
  <c r="L706" i="9"/>
  <c r="K706" i="9"/>
  <c r="J706" i="9"/>
  <c r="H706" i="9"/>
  <c r="F706" i="9"/>
  <c r="E706" i="9"/>
  <c r="AC705" i="9"/>
  <c r="AB705" i="9"/>
  <c r="AA705" i="9"/>
  <c r="Z705" i="9"/>
  <c r="R705" i="9"/>
  <c r="M705" i="9"/>
  <c r="P705" i="9" s="1"/>
  <c r="L705" i="9"/>
  <c r="K705" i="9"/>
  <c r="J705" i="9"/>
  <c r="H705" i="9"/>
  <c r="F705" i="9"/>
  <c r="E705" i="9"/>
  <c r="AC704" i="9"/>
  <c r="AB704" i="9"/>
  <c r="AA704" i="9"/>
  <c r="Z704" i="9"/>
  <c r="R704" i="9"/>
  <c r="M704" i="9"/>
  <c r="L704" i="9"/>
  <c r="K704" i="9"/>
  <c r="J704" i="9"/>
  <c r="H704" i="9"/>
  <c r="F704" i="9"/>
  <c r="E704" i="9"/>
  <c r="AC703" i="9"/>
  <c r="AB703" i="9"/>
  <c r="AA703" i="9"/>
  <c r="Z703" i="9"/>
  <c r="R703" i="9"/>
  <c r="M703" i="9"/>
  <c r="L703" i="9"/>
  <c r="K703" i="9"/>
  <c r="J703" i="9"/>
  <c r="H703" i="9"/>
  <c r="F703" i="9"/>
  <c r="E703" i="9"/>
  <c r="AC702" i="9"/>
  <c r="AB702" i="9"/>
  <c r="AA702" i="9"/>
  <c r="Z702" i="9"/>
  <c r="R702" i="9"/>
  <c r="M702" i="9"/>
  <c r="L702" i="9"/>
  <c r="K702" i="9"/>
  <c r="J702" i="9"/>
  <c r="H702" i="9"/>
  <c r="F702" i="9"/>
  <c r="E702" i="9"/>
  <c r="AC701" i="9"/>
  <c r="AB701" i="9"/>
  <c r="AA701" i="9"/>
  <c r="Z701" i="9"/>
  <c r="R701" i="9"/>
  <c r="M701" i="9"/>
  <c r="L701" i="9"/>
  <c r="K701" i="9"/>
  <c r="J701" i="9"/>
  <c r="H701" i="9"/>
  <c r="F701" i="9"/>
  <c r="E701" i="9"/>
  <c r="AC700" i="9"/>
  <c r="AB700" i="9"/>
  <c r="AA700" i="9"/>
  <c r="Z700" i="9"/>
  <c r="R700" i="9"/>
  <c r="M700" i="9"/>
  <c r="N700" i="9" s="1"/>
  <c r="L700" i="9"/>
  <c r="K700" i="9"/>
  <c r="J700" i="9"/>
  <c r="H700" i="9"/>
  <c r="F700" i="9"/>
  <c r="E700" i="9"/>
  <c r="AC699" i="9"/>
  <c r="AB699" i="9"/>
  <c r="AA699" i="9"/>
  <c r="Z699" i="9"/>
  <c r="R699" i="9"/>
  <c r="M699" i="9"/>
  <c r="P699" i="9" s="1"/>
  <c r="L699" i="9"/>
  <c r="K699" i="9"/>
  <c r="J699" i="9"/>
  <c r="H699" i="9"/>
  <c r="F699" i="9"/>
  <c r="E699" i="9"/>
  <c r="AC698" i="9"/>
  <c r="AB698" i="9"/>
  <c r="AA698" i="9"/>
  <c r="Z698" i="9"/>
  <c r="R698" i="9"/>
  <c r="M698" i="9"/>
  <c r="N698" i="9" s="1"/>
  <c r="L698" i="9"/>
  <c r="K698" i="9"/>
  <c r="J698" i="9"/>
  <c r="H698" i="9"/>
  <c r="F698" i="9"/>
  <c r="E698" i="9"/>
  <c r="AC697" i="9"/>
  <c r="AB697" i="9"/>
  <c r="AA697" i="9"/>
  <c r="Z697" i="9"/>
  <c r="R697" i="9"/>
  <c r="M697" i="9"/>
  <c r="P697" i="9" s="1"/>
  <c r="L697" i="9"/>
  <c r="K697" i="9"/>
  <c r="J697" i="9"/>
  <c r="H697" i="9"/>
  <c r="F697" i="9"/>
  <c r="E697" i="9"/>
  <c r="AC696" i="9"/>
  <c r="AB696" i="9"/>
  <c r="AA696" i="9"/>
  <c r="Z696" i="9"/>
  <c r="R696" i="9"/>
  <c r="M696" i="9"/>
  <c r="P696" i="9" s="1"/>
  <c r="L696" i="9"/>
  <c r="K696" i="9"/>
  <c r="J696" i="9"/>
  <c r="H696" i="9"/>
  <c r="F696" i="9"/>
  <c r="E696" i="9"/>
  <c r="AC695" i="9"/>
  <c r="AB695" i="9"/>
  <c r="AA695" i="9"/>
  <c r="Z695" i="9"/>
  <c r="R695" i="9"/>
  <c r="M695" i="9"/>
  <c r="L695" i="9"/>
  <c r="K695" i="9"/>
  <c r="J695" i="9"/>
  <c r="H695" i="9"/>
  <c r="F695" i="9"/>
  <c r="E695" i="9"/>
  <c r="AC694" i="9"/>
  <c r="AB694" i="9"/>
  <c r="AA694" i="9"/>
  <c r="Z694" i="9"/>
  <c r="R694" i="9"/>
  <c r="M694" i="9"/>
  <c r="L694" i="9"/>
  <c r="K694" i="9"/>
  <c r="J694" i="9"/>
  <c r="H694" i="9"/>
  <c r="F694" i="9"/>
  <c r="E694" i="9"/>
  <c r="AC693" i="9"/>
  <c r="AB693" i="9"/>
  <c r="AA693" i="9"/>
  <c r="Z693" i="9"/>
  <c r="R693" i="9"/>
  <c r="M693" i="9"/>
  <c r="P693" i="9" s="1"/>
  <c r="L693" i="9"/>
  <c r="K693" i="9"/>
  <c r="J693" i="9"/>
  <c r="H693" i="9"/>
  <c r="F693" i="9"/>
  <c r="E693" i="9"/>
  <c r="AC692" i="9"/>
  <c r="AB692" i="9"/>
  <c r="AA692" i="9"/>
  <c r="Z692" i="9"/>
  <c r="R692" i="9"/>
  <c r="M692" i="9"/>
  <c r="N692" i="9" s="1"/>
  <c r="L692" i="9"/>
  <c r="K692" i="9"/>
  <c r="J692" i="9"/>
  <c r="H692" i="9"/>
  <c r="F692" i="9"/>
  <c r="E692" i="9"/>
  <c r="AC691" i="9"/>
  <c r="AB691" i="9"/>
  <c r="AA691" i="9"/>
  <c r="Z691" i="9"/>
  <c r="R691" i="9"/>
  <c r="M691" i="9"/>
  <c r="L691" i="9"/>
  <c r="K691" i="9"/>
  <c r="J691" i="9"/>
  <c r="H691" i="9"/>
  <c r="F691" i="9"/>
  <c r="E691" i="9"/>
  <c r="AC690" i="9"/>
  <c r="AB690" i="9"/>
  <c r="AA690" i="9"/>
  <c r="Z690" i="9"/>
  <c r="R690" i="9"/>
  <c r="M690" i="9"/>
  <c r="N690" i="9" s="1"/>
  <c r="L690" i="9"/>
  <c r="K690" i="9"/>
  <c r="J690" i="9"/>
  <c r="H690" i="9"/>
  <c r="F690" i="9"/>
  <c r="E690" i="9"/>
  <c r="AC689" i="9"/>
  <c r="AB689" i="9"/>
  <c r="AA689" i="9"/>
  <c r="Z689" i="9"/>
  <c r="R689" i="9"/>
  <c r="M689" i="9"/>
  <c r="L689" i="9"/>
  <c r="K689" i="9"/>
  <c r="J689" i="9"/>
  <c r="H689" i="9"/>
  <c r="F689" i="9"/>
  <c r="E689" i="9"/>
  <c r="AC688" i="9"/>
  <c r="AB688" i="9"/>
  <c r="AA688" i="9"/>
  <c r="Z688" i="9"/>
  <c r="R688" i="9"/>
  <c r="M688" i="9"/>
  <c r="L688" i="9"/>
  <c r="K688" i="9"/>
  <c r="J688" i="9"/>
  <c r="H688" i="9"/>
  <c r="F688" i="9"/>
  <c r="E688" i="9"/>
  <c r="AC687" i="9"/>
  <c r="AB687" i="9"/>
  <c r="AA687" i="9"/>
  <c r="Z687" i="9"/>
  <c r="R687" i="9"/>
  <c r="M687" i="9"/>
  <c r="N687" i="9" s="1"/>
  <c r="L687" i="9"/>
  <c r="K687" i="9"/>
  <c r="J687" i="9"/>
  <c r="H687" i="9"/>
  <c r="F687" i="9"/>
  <c r="E687" i="9"/>
  <c r="AC686" i="9"/>
  <c r="AB686" i="9"/>
  <c r="AA686" i="9"/>
  <c r="Z686" i="9"/>
  <c r="R686" i="9"/>
  <c r="M686" i="9"/>
  <c r="L686" i="9"/>
  <c r="K686" i="9"/>
  <c r="J686" i="9"/>
  <c r="H686" i="9"/>
  <c r="F686" i="9"/>
  <c r="E686" i="9"/>
  <c r="AC685" i="9"/>
  <c r="AB685" i="9"/>
  <c r="AA685" i="9"/>
  <c r="Z685" i="9"/>
  <c r="R685" i="9"/>
  <c r="M685" i="9"/>
  <c r="P685" i="9" s="1"/>
  <c r="L685" i="9"/>
  <c r="K685" i="9"/>
  <c r="J685" i="9"/>
  <c r="H685" i="9"/>
  <c r="F685" i="9"/>
  <c r="E685" i="9"/>
  <c r="AC684" i="9"/>
  <c r="AB684" i="9"/>
  <c r="AA684" i="9"/>
  <c r="Z684" i="9"/>
  <c r="R684" i="9"/>
  <c r="M684" i="9"/>
  <c r="N684" i="9" s="1"/>
  <c r="L684" i="9"/>
  <c r="K684" i="9"/>
  <c r="J684" i="9"/>
  <c r="H684" i="9"/>
  <c r="F684" i="9"/>
  <c r="E684" i="9"/>
  <c r="AC683" i="9"/>
  <c r="AB683" i="9"/>
  <c r="AA683" i="9"/>
  <c r="Z683" i="9"/>
  <c r="R683" i="9"/>
  <c r="M683" i="9"/>
  <c r="L683" i="9"/>
  <c r="K683" i="9"/>
  <c r="J683" i="9"/>
  <c r="H683" i="9"/>
  <c r="F683" i="9"/>
  <c r="E683" i="9"/>
  <c r="AC682" i="9"/>
  <c r="AB682" i="9"/>
  <c r="AA682" i="9"/>
  <c r="Z682" i="9"/>
  <c r="R682" i="9"/>
  <c r="M682" i="9"/>
  <c r="N682" i="9" s="1"/>
  <c r="L682" i="9"/>
  <c r="K682" i="9"/>
  <c r="J682" i="9"/>
  <c r="H682" i="9"/>
  <c r="F682" i="9"/>
  <c r="E682" i="9"/>
  <c r="AC681" i="9"/>
  <c r="AB681" i="9"/>
  <c r="AA681" i="9"/>
  <c r="Z681" i="9"/>
  <c r="R681" i="9"/>
  <c r="M681" i="9"/>
  <c r="L681" i="9"/>
  <c r="K681" i="9"/>
  <c r="J681" i="9"/>
  <c r="H681" i="9"/>
  <c r="F681" i="9"/>
  <c r="E681" i="9"/>
  <c r="AC680" i="9"/>
  <c r="AB680" i="9"/>
  <c r="AA680" i="9"/>
  <c r="Z680" i="9"/>
  <c r="R680" i="9"/>
  <c r="M680" i="9"/>
  <c r="N680" i="9" s="1"/>
  <c r="L680" i="9"/>
  <c r="K680" i="9"/>
  <c r="J680" i="9"/>
  <c r="H680" i="9"/>
  <c r="F680" i="9"/>
  <c r="E680" i="9"/>
  <c r="AC679" i="9"/>
  <c r="AB679" i="9"/>
  <c r="AA679" i="9"/>
  <c r="Z679" i="9"/>
  <c r="R679" i="9"/>
  <c r="M679" i="9"/>
  <c r="L679" i="9"/>
  <c r="K679" i="9"/>
  <c r="J679" i="9"/>
  <c r="H679" i="9"/>
  <c r="F679" i="9"/>
  <c r="E679" i="9"/>
  <c r="AC678" i="9"/>
  <c r="AB678" i="9"/>
  <c r="AA678" i="9"/>
  <c r="Z678" i="9"/>
  <c r="R678" i="9"/>
  <c r="M678" i="9"/>
  <c r="N678" i="9" s="1"/>
  <c r="L678" i="9"/>
  <c r="K678" i="9"/>
  <c r="J678" i="9"/>
  <c r="H678" i="9"/>
  <c r="F678" i="9"/>
  <c r="E678" i="9"/>
  <c r="AC677" i="9"/>
  <c r="AB677" i="9"/>
  <c r="AA677" i="9"/>
  <c r="Z677" i="9"/>
  <c r="R677" i="9"/>
  <c r="M677" i="9"/>
  <c r="P677" i="9" s="1"/>
  <c r="L677" i="9"/>
  <c r="K677" i="9"/>
  <c r="J677" i="9"/>
  <c r="H677" i="9"/>
  <c r="F677" i="9"/>
  <c r="E677" i="9"/>
  <c r="AC676" i="9"/>
  <c r="AB676" i="9"/>
  <c r="AA676" i="9"/>
  <c r="Z676" i="9"/>
  <c r="R676" i="9"/>
  <c r="M676" i="9"/>
  <c r="N676" i="9" s="1"/>
  <c r="L676" i="9"/>
  <c r="K676" i="9"/>
  <c r="J676" i="9"/>
  <c r="H676" i="9"/>
  <c r="F676" i="9"/>
  <c r="E676" i="9"/>
  <c r="AC675" i="9"/>
  <c r="AB675" i="9"/>
  <c r="AA675" i="9"/>
  <c r="Z675" i="9"/>
  <c r="R675" i="9"/>
  <c r="M675" i="9"/>
  <c r="L675" i="9"/>
  <c r="K675" i="9"/>
  <c r="J675" i="9"/>
  <c r="H675" i="9"/>
  <c r="F675" i="9"/>
  <c r="E675" i="9"/>
  <c r="AC674" i="9"/>
  <c r="AB674" i="9"/>
  <c r="AA674" i="9"/>
  <c r="Z674" i="9"/>
  <c r="R674" i="9"/>
  <c r="M674" i="9"/>
  <c r="L674" i="9"/>
  <c r="K674" i="9"/>
  <c r="J674" i="9"/>
  <c r="H674" i="9"/>
  <c r="F674" i="9"/>
  <c r="E674" i="9"/>
  <c r="AC673" i="9"/>
  <c r="AB673" i="9"/>
  <c r="AA673" i="9"/>
  <c r="Z673" i="9"/>
  <c r="R673" i="9"/>
  <c r="M673" i="9"/>
  <c r="L673" i="9"/>
  <c r="K673" i="9"/>
  <c r="J673" i="9"/>
  <c r="H673" i="9"/>
  <c r="F673" i="9"/>
  <c r="E673" i="9"/>
  <c r="AC672" i="9"/>
  <c r="AB672" i="9"/>
  <c r="AA672" i="9"/>
  <c r="Z672" i="9"/>
  <c r="R672" i="9"/>
  <c r="M672" i="9"/>
  <c r="L672" i="9"/>
  <c r="K672" i="9"/>
  <c r="J672" i="9"/>
  <c r="H672" i="9"/>
  <c r="F672" i="9"/>
  <c r="E672" i="9"/>
  <c r="AC671" i="9"/>
  <c r="AB671" i="9"/>
  <c r="AA671" i="9"/>
  <c r="Z671" i="9"/>
  <c r="R671" i="9"/>
  <c r="M671" i="9"/>
  <c r="P671" i="9" s="1"/>
  <c r="L671" i="9"/>
  <c r="K671" i="9"/>
  <c r="J671" i="9"/>
  <c r="H671" i="9"/>
  <c r="F671" i="9"/>
  <c r="E671" i="9"/>
  <c r="AC670" i="9"/>
  <c r="AB670" i="9"/>
  <c r="AA670" i="9"/>
  <c r="Z670" i="9"/>
  <c r="R670" i="9"/>
  <c r="M670" i="9"/>
  <c r="N670" i="9" s="1"/>
  <c r="L670" i="9"/>
  <c r="K670" i="9"/>
  <c r="J670" i="9"/>
  <c r="H670" i="9"/>
  <c r="F670" i="9"/>
  <c r="E670" i="9"/>
  <c r="AC669" i="9"/>
  <c r="AB669" i="9"/>
  <c r="AA669" i="9"/>
  <c r="Z669" i="9"/>
  <c r="R669" i="9"/>
  <c r="M669" i="9"/>
  <c r="P669" i="9" s="1"/>
  <c r="L669" i="9"/>
  <c r="K669" i="9"/>
  <c r="J669" i="9"/>
  <c r="H669" i="9"/>
  <c r="F669" i="9"/>
  <c r="E669" i="9"/>
  <c r="AC668" i="9"/>
  <c r="AB668" i="9"/>
  <c r="AA668" i="9"/>
  <c r="Z668" i="9"/>
  <c r="R668" i="9"/>
  <c r="M668" i="9"/>
  <c r="N668" i="9" s="1"/>
  <c r="L668" i="9"/>
  <c r="K668" i="9"/>
  <c r="J668" i="9"/>
  <c r="H668" i="9"/>
  <c r="F668" i="9"/>
  <c r="E668" i="9"/>
  <c r="AC667" i="9"/>
  <c r="AB667" i="9"/>
  <c r="AA667" i="9"/>
  <c r="Z667" i="9"/>
  <c r="R667" i="9"/>
  <c r="M667" i="9"/>
  <c r="L667" i="9"/>
  <c r="K667" i="9"/>
  <c r="J667" i="9"/>
  <c r="H667" i="9"/>
  <c r="F667" i="9"/>
  <c r="E667" i="9"/>
  <c r="AC666" i="9"/>
  <c r="AB666" i="9"/>
  <c r="AA666" i="9"/>
  <c r="Z666" i="9"/>
  <c r="R666" i="9"/>
  <c r="M666" i="9"/>
  <c r="L666" i="9"/>
  <c r="K666" i="9"/>
  <c r="J666" i="9"/>
  <c r="H666" i="9"/>
  <c r="F666" i="9"/>
  <c r="E666" i="9"/>
  <c r="AC665" i="9"/>
  <c r="AB665" i="9"/>
  <c r="AA665" i="9"/>
  <c r="Z665" i="9"/>
  <c r="R665" i="9"/>
  <c r="M665" i="9"/>
  <c r="L665" i="9"/>
  <c r="K665" i="9"/>
  <c r="J665" i="9"/>
  <c r="H665" i="9"/>
  <c r="F665" i="9"/>
  <c r="E665" i="9"/>
  <c r="AC664" i="9"/>
  <c r="AB664" i="9"/>
  <c r="AA664" i="9"/>
  <c r="Z664" i="9"/>
  <c r="R664" i="9"/>
  <c r="M664" i="9"/>
  <c r="N664" i="9" s="1"/>
  <c r="L664" i="9"/>
  <c r="K664" i="9"/>
  <c r="J664" i="9"/>
  <c r="H664" i="9"/>
  <c r="F664" i="9"/>
  <c r="E664" i="9"/>
  <c r="AC663" i="9"/>
  <c r="AB663" i="9"/>
  <c r="AA663" i="9"/>
  <c r="Z663" i="9"/>
  <c r="R663" i="9"/>
  <c r="M663" i="9"/>
  <c r="L663" i="9"/>
  <c r="K663" i="9"/>
  <c r="J663" i="9"/>
  <c r="H663" i="9"/>
  <c r="F663" i="9"/>
  <c r="E663" i="9"/>
  <c r="AC662" i="9"/>
  <c r="AB662" i="9"/>
  <c r="AA662" i="9"/>
  <c r="Z662" i="9"/>
  <c r="R662" i="9"/>
  <c r="M662" i="9"/>
  <c r="O662" i="9" s="1"/>
  <c r="L662" i="9"/>
  <c r="K662" i="9"/>
  <c r="J662" i="9"/>
  <c r="H662" i="9"/>
  <c r="F662" i="9"/>
  <c r="E662" i="9"/>
  <c r="AC661" i="9"/>
  <c r="AB661" i="9"/>
  <c r="AA661" i="9"/>
  <c r="Z661" i="9"/>
  <c r="R661" i="9"/>
  <c r="M661" i="9"/>
  <c r="N661" i="9" s="1"/>
  <c r="L661" i="9"/>
  <c r="K661" i="9"/>
  <c r="J661" i="9"/>
  <c r="H661" i="9"/>
  <c r="F661" i="9"/>
  <c r="E661" i="9"/>
  <c r="AC660" i="9"/>
  <c r="AB660" i="9"/>
  <c r="AA660" i="9"/>
  <c r="Z660" i="9"/>
  <c r="R660" i="9"/>
  <c r="M660" i="9"/>
  <c r="L660" i="9"/>
  <c r="K660" i="9"/>
  <c r="J660" i="9"/>
  <c r="H660" i="9"/>
  <c r="F660" i="9"/>
  <c r="E660" i="9"/>
  <c r="AC659" i="9"/>
  <c r="AB659" i="9"/>
  <c r="AA659" i="9"/>
  <c r="Z659" i="9"/>
  <c r="R659" i="9"/>
  <c r="M659" i="9"/>
  <c r="L659" i="9"/>
  <c r="K659" i="9"/>
  <c r="J659" i="9"/>
  <c r="H659" i="9"/>
  <c r="F659" i="9"/>
  <c r="E659" i="9"/>
  <c r="AC658" i="9"/>
  <c r="AB658" i="9"/>
  <c r="AA658" i="9"/>
  <c r="Z658" i="9"/>
  <c r="R658" i="9"/>
  <c r="M658" i="9"/>
  <c r="L658" i="9"/>
  <c r="K658" i="9"/>
  <c r="J658" i="9"/>
  <c r="H658" i="9"/>
  <c r="F658" i="9"/>
  <c r="E658" i="9"/>
  <c r="AC657" i="9"/>
  <c r="AB657" i="9"/>
  <c r="AA657" i="9"/>
  <c r="Z657" i="9"/>
  <c r="R657" i="9"/>
  <c r="M657" i="9"/>
  <c r="N657" i="9" s="1"/>
  <c r="L657" i="9"/>
  <c r="K657" i="9"/>
  <c r="J657" i="9"/>
  <c r="H657" i="9"/>
  <c r="F657" i="9"/>
  <c r="E657" i="9"/>
  <c r="AC656" i="9"/>
  <c r="AB656" i="9"/>
  <c r="AA656" i="9"/>
  <c r="Z656" i="9"/>
  <c r="R656" i="9"/>
  <c r="M656" i="9"/>
  <c r="N656" i="9" s="1"/>
  <c r="L656" i="9"/>
  <c r="K656" i="9"/>
  <c r="J656" i="9"/>
  <c r="H656" i="9"/>
  <c r="F656" i="9"/>
  <c r="E656" i="9"/>
  <c r="AC655" i="9"/>
  <c r="AB655" i="9"/>
  <c r="AA655" i="9"/>
  <c r="Z655" i="9"/>
  <c r="R655" i="9"/>
  <c r="M655" i="9"/>
  <c r="L655" i="9"/>
  <c r="K655" i="9"/>
  <c r="J655" i="9"/>
  <c r="H655" i="9"/>
  <c r="F655" i="9"/>
  <c r="E655" i="9"/>
  <c r="AC654" i="9"/>
  <c r="AB654" i="9"/>
  <c r="AA654" i="9"/>
  <c r="Z654" i="9"/>
  <c r="R654" i="9"/>
  <c r="M654" i="9"/>
  <c r="L654" i="9"/>
  <c r="K654" i="9"/>
  <c r="J654" i="9"/>
  <c r="H654" i="9"/>
  <c r="F654" i="9"/>
  <c r="E654" i="9"/>
  <c r="AC653" i="9"/>
  <c r="AB653" i="9"/>
  <c r="AA653" i="9"/>
  <c r="Z653" i="9"/>
  <c r="R653" i="9"/>
  <c r="M653" i="9"/>
  <c r="L653" i="9"/>
  <c r="K653" i="9"/>
  <c r="J653" i="9"/>
  <c r="H653" i="9"/>
  <c r="F653" i="9"/>
  <c r="E653" i="9"/>
  <c r="AC652" i="9"/>
  <c r="AB652" i="9"/>
  <c r="AA652" i="9"/>
  <c r="Z652" i="9"/>
  <c r="R652" i="9"/>
  <c r="M652" i="9"/>
  <c r="L652" i="9"/>
  <c r="K652" i="9"/>
  <c r="J652" i="9"/>
  <c r="H652" i="9"/>
  <c r="F652" i="9"/>
  <c r="E652" i="9"/>
  <c r="AC651" i="9"/>
  <c r="AB651" i="9"/>
  <c r="AA651" i="9"/>
  <c r="Z651" i="9"/>
  <c r="R651" i="9"/>
  <c r="M651" i="9"/>
  <c r="L651" i="9"/>
  <c r="K651" i="9"/>
  <c r="J651" i="9"/>
  <c r="H651" i="9"/>
  <c r="F651" i="9"/>
  <c r="E651" i="9"/>
  <c r="AC650" i="9"/>
  <c r="AB650" i="9"/>
  <c r="AA650" i="9"/>
  <c r="Z650" i="9"/>
  <c r="R650" i="9"/>
  <c r="M650" i="9"/>
  <c r="L650" i="9"/>
  <c r="K650" i="9"/>
  <c r="J650" i="9"/>
  <c r="H650" i="9"/>
  <c r="F650" i="9"/>
  <c r="E650" i="9"/>
  <c r="AC649" i="9"/>
  <c r="AB649" i="9"/>
  <c r="AA649" i="9"/>
  <c r="Z649" i="9"/>
  <c r="R649" i="9"/>
  <c r="M649" i="9"/>
  <c r="L649" i="9"/>
  <c r="K649" i="9"/>
  <c r="J649" i="9"/>
  <c r="H649" i="9"/>
  <c r="F649" i="9"/>
  <c r="E649" i="9"/>
  <c r="AC648" i="9"/>
  <c r="AB648" i="9"/>
  <c r="AA648" i="9"/>
  <c r="Z648" i="9"/>
  <c r="R648" i="9"/>
  <c r="M648" i="9"/>
  <c r="L648" i="9"/>
  <c r="K648" i="9"/>
  <c r="J648" i="9"/>
  <c r="H648" i="9"/>
  <c r="F648" i="9"/>
  <c r="E648" i="9"/>
  <c r="AC647" i="9"/>
  <c r="AB647" i="9"/>
  <c r="AA647" i="9"/>
  <c r="Z647" i="9"/>
  <c r="R647" i="9"/>
  <c r="M647" i="9"/>
  <c r="L647" i="9"/>
  <c r="K647" i="9"/>
  <c r="J647" i="9"/>
  <c r="H647" i="9"/>
  <c r="F647" i="9"/>
  <c r="E647" i="9"/>
  <c r="AC646" i="9"/>
  <c r="AB646" i="9"/>
  <c r="AA646" i="9"/>
  <c r="Z646" i="9"/>
  <c r="R646" i="9"/>
  <c r="M646" i="9"/>
  <c r="L646" i="9"/>
  <c r="K646" i="9"/>
  <c r="J646" i="9"/>
  <c r="H646" i="9"/>
  <c r="F646" i="9"/>
  <c r="E646" i="9"/>
  <c r="AC645" i="9"/>
  <c r="AB645" i="9"/>
  <c r="AA645" i="9"/>
  <c r="Z645" i="9"/>
  <c r="R645" i="9"/>
  <c r="M645" i="9"/>
  <c r="N645" i="9" s="1"/>
  <c r="L645" i="9"/>
  <c r="K645" i="9"/>
  <c r="J645" i="9"/>
  <c r="H645" i="9"/>
  <c r="F645" i="9"/>
  <c r="E645" i="9"/>
  <c r="AC644" i="9"/>
  <c r="AB644" i="9"/>
  <c r="AA644" i="9"/>
  <c r="Z644" i="9"/>
  <c r="R644" i="9"/>
  <c r="M644" i="9"/>
  <c r="L644" i="9"/>
  <c r="K644" i="9"/>
  <c r="J644" i="9"/>
  <c r="H644" i="9"/>
  <c r="F644" i="9"/>
  <c r="E644" i="9"/>
  <c r="AC643" i="9"/>
  <c r="AB643" i="9"/>
  <c r="AA643" i="9"/>
  <c r="Z643" i="9"/>
  <c r="R643" i="9"/>
  <c r="M643" i="9"/>
  <c r="L643" i="9"/>
  <c r="K643" i="9"/>
  <c r="J643" i="9"/>
  <c r="H643" i="9"/>
  <c r="F643" i="9"/>
  <c r="E643" i="9"/>
  <c r="AC642" i="9"/>
  <c r="AB642" i="9"/>
  <c r="AA642" i="9"/>
  <c r="Z642" i="9"/>
  <c r="R642" i="9"/>
  <c r="M642" i="9"/>
  <c r="L642" i="9"/>
  <c r="K642" i="9"/>
  <c r="J642" i="9"/>
  <c r="H642" i="9"/>
  <c r="F642" i="9"/>
  <c r="E642" i="9"/>
  <c r="AC641" i="9"/>
  <c r="AB641" i="9"/>
  <c r="AA641" i="9"/>
  <c r="Z641" i="9"/>
  <c r="R641" i="9"/>
  <c r="M641" i="9"/>
  <c r="P641" i="9" s="1"/>
  <c r="L641" i="9"/>
  <c r="K641" i="9"/>
  <c r="J641" i="9"/>
  <c r="H641" i="9"/>
  <c r="F641" i="9"/>
  <c r="E641" i="9"/>
  <c r="AC640" i="9"/>
  <c r="AB640" i="9"/>
  <c r="AA640" i="9"/>
  <c r="Z640" i="9"/>
  <c r="R640" i="9"/>
  <c r="M640" i="9"/>
  <c r="N640" i="9" s="1"/>
  <c r="L640" i="9"/>
  <c r="K640" i="9"/>
  <c r="J640" i="9"/>
  <c r="H640" i="9"/>
  <c r="F640" i="9"/>
  <c r="E640" i="9"/>
  <c r="AC639" i="9"/>
  <c r="AB639" i="9"/>
  <c r="AA639" i="9"/>
  <c r="Z639" i="9"/>
  <c r="R639" i="9"/>
  <c r="M639" i="9"/>
  <c r="L639" i="9"/>
  <c r="K639" i="9"/>
  <c r="J639" i="9"/>
  <c r="H639" i="9"/>
  <c r="F639" i="9"/>
  <c r="E639" i="9"/>
  <c r="AC638" i="9"/>
  <c r="AB638" i="9"/>
  <c r="AA638" i="9"/>
  <c r="Z638" i="9"/>
  <c r="R638" i="9"/>
  <c r="M638" i="9"/>
  <c r="O638" i="9" s="1"/>
  <c r="L638" i="9"/>
  <c r="K638" i="9"/>
  <c r="J638" i="9"/>
  <c r="H638" i="9"/>
  <c r="F638" i="9"/>
  <c r="E638" i="9"/>
  <c r="AC637" i="9"/>
  <c r="AB637" i="9"/>
  <c r="AA637" i="9"/>
  <c r="Z637" i="9"/>
  <c r="R637" i="9"/>
  <c r="M637" i="9"/>
  <c r="L637" i="9"/>
  <c r="K637" i="9"/>
  <c r="J637" i="9"/>
  <c r="H637" i="9"/>
  <c r="F637" i="9"/>
  <c r="E637" i="9"/>
  <c r="AC636" i="9"/>
  <c r="AB636" i="9"/>
  <c r="AA636" i="9"/>
  <c r="Z636" i="9"/>
  <c r="R636" i="9"/>
  <c r="M636" i="9"/>
  <c r="P636" i="9" s="1"/>
  <c r="L636" i="9"/>
  <c r="K636" i="9"/>
  <c r="J636" i="9"/>
  <c r="H636" i="9"/>
  <c r="F636" i="9"/>
  <c r="E636" i="9"/>
  <c r="AC635" i="9"/>
  <c r="AB635" i="9"/>
  <c r="AA635" i="9"/>
  <c r="Z635" i="9"/>
  <c r="R635" i="9"/>
  <c r="M635" i="9"/>
  <c r="L635" i="9"/>
  <c r="K635" i="9"/>
  <c r="J635" i="9"/>
  <c r="H635" i="9"/>
  <c r="F635" i="9"/>
  <c r="E635" i="9"/>
  <c r="AC634" i="9"/>
  <c r="AB634" i="9"/>
  <c r="AA634" i="9"/>
  <c r="Z634" i="9"/>
  <c r="R634" i="9"/>
  <c r="M634" i="9"/>
  <c r="L634" i="9"/>
  <c r="K634" i="9"/>
  <c r="J634" i="9"/>
  <c r="H634" i="9"/>
  <c r="F634" i="9"/>
  <c r="E634" i="9"/>
  <c r="AC633" i="9"/>
  <c r="AB633" i="9"/>
  <c r="AA633" i="9"/>
  <c r="Z633" i="9"/>
  <c r="R633" i="9"/>
  <c r="M633" i="9"/>
  <c r="L633" i="9"/>
  <c r="K633" i="9"/>
  <c r="J633" i="9"/>
  <c r="H633" i="9"/>
  <c r="F633" i="9"/>
  <c r="E633" i="9"/>
  <c r="AC632" i="9"/>
  <c r="AB632" i="9"/>
  <c r="AA632" i="9"/>
  <c r="Z632" i="9"/>
  <c r="R632" i="9"/>
  <c r="M632" i="9"/>
  <c r="L632" i="9"/>
  <c r="K632" i="9"/>
  <c r="J632" i="9"/>
  <c r="H632" i="9"/>
  <c r="F632" i="9"/>
  <c r="E632" i="9"/>
  <c r="AC631" i="9"/>
  <c r="AB631" i="9"/>
  <c r="AA631" i="9"/>
  <c r="Z631" i="9"/>
  <c r="R631" i="9"/>
  <c r="M631" i="9"/>
  <c r="L631" i="9"/>
  <c r="K631" i="9"/>
  <c r="J631" i="9"/>
  <c r="H631" i="9"/>
  <c r="F631" i="9"/>
  <c r="E631" i="9"/>
  <c r="AC630" i="9"/>
  <c r="AB630" i="9"/>
  <c r="AA630" i="9"/>
  <c r="Z630" i="9"/>
  <c r="R630" i="9"/>
  <c r="M630" i="9"/>
  <c r="O630" i="9" s="1"/>
  <c r="L630" i="9"/>
  <c r="K630" i="9"/>
  <c r="J630" i="9"/>
  <c r="H630" i="9"/>
  <c r="F630" i="9"/>
  <c r="E630" i="9"/>
  <c r="AC629" i="9"/>
  <c r="AB629" i="9"/>
  <c r="AA629" i="9"/>
  <c r="Z629" i="9"/>
  <c r="R629" i="9"/>
  <c r="M629" i="9"/>
  <c r="L629" i="9"/>
  <c r="K629" i="9"/>
  <c r="J629" i="9"/>
  <c r="H629" i="9"/>
  <c r="F629" i="9"/>
  <c r="E629" i="9"/>
  <c r="AC628" i="9"/>
  <c r="AB628" i="9"/>
  <c r="AA628" i="9"/>
  <c r="Z628" i="9"/>
  <c r="R628" i="9"/>
  <c r="M628" i="9"/>
  <c r="L628" i="9"/>
  <c r="K628" i="9"/>
  <c r="J628" i="9"/>
  <c r="H628" i="9"/>
  <c r="F628" i="9"/>
  <c r="E628" i="9"/>
  <c r="AC627" i="9"/>
  <c r="AB627" i="9"/>
  <c r="AA627" i="9"/>
  <c r="Z627" i="9"/>
  <c r="R627" i="9"/>
  <c r="M627" i="9"/>
  <c r="L627" i="9"/>
  <c r="K627" i="9"/>
  <c r="J627" i="9"/>
  <c r="H627" i="9"/>
  <c r="F627" i="9"/>
  <c r="E627" i="9"/>
  <c r="AC626" i="9"/>
  <c r="AB626" i="9"/>
  <c r="AA626" i="9"/>
  <c r="Z626" i="9"/>
  <c r="R626" i="9"/>
  <c r="M626" i="9"/>
  <c r="L626" i="9"/>
  <c r="K626" i="9"/>
  <c r="J626" i="9"/>
  <c r="H626" i="9"/>
  <c r="F626" i="9"/>
  <c r="E626" i="9"/>
  <c r="AC625" i="9"/>
  <c r="AB625" i="9"/>
  <c r="AA625" i="9"/>
  <c r="Z625" i="9"/>
  <c r="R625" i="9"/>
  <c r="M625" i="9"/>
  <c r="L625" i="9"/>
  <c r="K625" i="9"/>
  <c r="J625" i="9"/>
  <c r="H625" i="9"/>
  <c r="F625" i="9"/>
  <c r="E625" i="9"/>
  <c r="AC624" i="9"/>
  <c r="AB624" i="9"/>
  <c r="AA624" i="9"/>
  <c r="Z624" i="9"/>
  <c r="R624" i="9"/>
  <c r="M624" i="9"/>
  <c r="L624" i="9"/>
  <c r="K624" i="9"/>
  <c r="J624" i="9"/>
  <c r="H624" i="9"/>
  <c r="F624" i="9"/>
  <c r="E624" i="9"/>
  <c r="AC623" i="9"/>
  <c r="AB623" i="9"/>
  <c r="AA623" i="9"/>
  <c r="Z623" i="9"/>
  <c r="R623" i="9"/>
  <c r="M623" i="9"/>
  <c r="L623" i="9"/>
  <c r="K623" i="9"/>
  <c r="J623" i="9"/>
  <c r="H623" i="9"/>
  <c r="F623" i="9"/>
  <c r="E623" i="9"/>
  <c r="AC622" i="9"/>
  <c r="AB622" i="9"/>
  <c r="AA622" i="9"/>
  <c r="Z622" i="9"/>
  <c r="R622" i="9"/>
  <c r="M622" i="9"/>
  <c r="O622" i="9" s="1"/>
  <c r="L622" i="9"/>
  <c r="K622" i="9"/>
  <c r="J622" i="9"/>
  <c r="H622" i="9"/>
  <c r="F622" i="9"/>
  <c r="E622" i="9"/>
  <c r="AC621" i="9"/>
  <c r="AB621" i="9"/>
  <c r="AA621" i="9"/>
  <c r="Z621" i="9"/>
  <c r="R621" i="9"/>
  <c r="M621" i="9"/>
  <c r="P621" i="9" s="1"/>
  <c r="L621" i="9"/>
  <c r="K621" i="9"/>
  <c r="J621" i="9"/>
  <c r="H621" i="9"/>
  <c r="F621" i="9"/>
  <c r="E621" i="9"/>
  <c r="AC620" i="9"/>
  <c r="AB620" i="9"/>
  <c r="AA620" i="9"/>
  <c r="Z620" i="9"/>
  <c r="R620" i="9"/>
  <c r="M620" i="9"/>
  <c r="L620" i="9"/>
  <c r="K620" i="9"/>
  <c r="J620" i="9"/>
  <c r="H620" i="9"/>
  <c r="F620" i="9"/>
  <c r="E620" i="9"/>
  <c r="AC619" i="9"/>
  <c r="AB619" i="9"/>
  <c r="AA619" i="9"/>
  <c r="Z619" i="9"/>
  <c r="R619" i="9"/>
  <c r="M619" i="9"/>
  <c r="L619" i="9"/>
  <c r="K619" i="9"/>
  <c r="J619" i="9"/>
  <c r="H619" i="9"/>
  <c r="F619" i="9"/>
  <c r="E619" i="9"/>
  <c r="AC618" i="9"/>
  <c r="AB618" i="9"/>
  <c r="AA618" i="9"/>
  <c r="Z618" i="9"/>
  <c r="R618" i="9"/>
  <c r="M618" i="9"/>
  <c r="L618" i="9"/>
  <c r="K618" i="9"/>
  <c r="J618" i="9"/>
  <c r="H618" i="9"/>
  <c r="F618" i="9"/>
  <c r="E618" i="9"/>
  <c r="AC617" i="9"/>
  <c r="AB617" i="9"/>
  <c r="AA617" i="9"/>
  <c r="Z617" i="9"/>
  <c r="R617" i="9"/>
  <c r="M617" i="9"/>
  <c r="N617" i="9" s="1"/>
  <c r="L617" i="9"/>
  <c r="K617" i="9"/>
  <c r="J617" i="9"/>
  <c r="H617" i="9"/>
  <c r="F617" i="9"/>
  <c r="E617" i="9"/>
  <c r="AC616" i="9"/>
  <c r="AB616" i="9"/>
  <c r="AA616" i="9"/>
  <c r="Z616" i="9"/>
  <c r="R616" i="9"/>
  <c r="M616" i="9"/>
  <c r="L616" i="9"/>
  <c r="K616" i="9"/>
  <c r="J616" i="9"/>
  <c r="H616" i="9"/>
  <c r="F616" i="9"/>
  <c r="E616" i="9"/>
  <c r="AC615" i="9"/>
  <c r="AB615" i="9"/>
  <c r="AA615" i="9"/>
  <c r="Z615" i="9"/>
  <c r="R615" i="9"/>
  <c r="M615" i="9"/>
  <c r="L615" i="9"/>
  <c r="K615" i="9"/>
  <c r="J615" i="9"/>
  <c r="H615" i="9"/>
  <c r="F615" i="9"/>
  <c r="E615" i="9"/>
  <c r="AC614" i="9"/>
  <c r="AB614" i="9"/>
  <c r="AA614" i="9"/>
  <c r="Z614" i="9"/>
  <c r="R614" i="9"/>
  <c r="M614" i="9"/>
  <c r="O614" i="9" s="1"/>
  <c r="L614" i="9"/>
  <c r="K614" i="9"/>
  <c r="J614" i="9"/>
  <c r="H614" i="9"/>
  <c r="F614" i="9"/>
  <c r="E614" i="9"/>
  <c r="AC613" i="9"/>
  <c r="AB613" i="9"/>
  <c r="AA613" i="9"/>
  <c r="Z613" i="9"/>
  <c r="R613" i="9"/>
  <c r="M613" i="9"/>
  <c r="L613" i="9"/>
  <c r="K613" i="9"/>
  <c r="J613" i="9"/>
  <c r="H613" i="9"/>
  <c r="F613" i="9"/>
  <c r="E613" i="9"/>
  <c r="AC612" i="9"/>
  <c r="AB612" i="9"/>
  <c r="AA612" i="9"/>
  <c r="Z612" i="9"/>
  <c r="R612" i="9"/>
  <c r="M612" i="9"/>
  <c r="L612" i="9"/>
  <c r="K612" i="9"/>
  <c r="J612" i="9"/>
  <c r="H612" i="9"/>
  <c r="F612" i="9"/>
  <c r="E612" i="9"/>
  <c r="AC611" i="9"/>
  <c r="AB611" i="9"/>
  <c r="AA611" i="9"/>
  <c r="Z611" i="9"/>
  <c r="R611" i="9"/>
  <c r="M611" i="9"/>
  <c r="L611" i="9"/>
  <c r="K611" i="9"/>
  <c r="J611" i="9"/>
  <c r="H611" i="9"/>
  <c r="F611" i="9"/>
  <c r="E611" i="9"/>
  <c r="AC610" i="9"/>
  <c r="AB610" i="9"/>
  <c r="AA610" i="9"/>
  <c r="Z610" i="9"/>
  <c r="R610" i="9"/>
  <c r="M610" i="9"/>
  <c r="L610" i="9"/>
  <c r="K610" i="9"/>
  <c r="J610" i="9"/>
  <c r="H610" i="9"/>
  <c r="F610" i="9"/>
  <c r="E610" i="9"/>
  <c r="AC609" i="9"/>
  <c r="AB609" i="9"/>
  <c r="AA609" i="9"/>
  <c r="Z609" i="9"/>
  <c r="R609" i="9"/>
  <c r="M609" i="9"/>
  <c r="L609" i="9"/>
  <c r="K609" i="9"/>
  <c r="J609" i="9"/>
  <c r="H609" i="9"/>
  <c r="F609" i="9"/>
  <c r="E609" i="9"/>
  <c r="AC608" i="9"/>
  <c r="AB608" i="9"/>
  <c r="AA608" i="9"/>
  <c r="Z608" i="9"/>
  <c r="R608" i="9"/>
  <c r="M608" i="9"/>
  <c r="L608" i="9"/>
  <c r="K608" i="9"/>
  <c r="J608" i="9"/>
  <c r="H608" i="9"/>
  <c r="F608" i="9"/>
  <c r="E608" i="9"/>
  <c r="AC607" i="9"/>
  <c r="AB607" i="9"/>
  <c r="AA607" i="9"/>
  <c r="Z607" i="9"/>
  <c r="R607" i="9"/>
  <c r="M607" i="9"/>
  <c r="L607" i="9"/>
  <c r="K607" i="9"/>
  <c r="J607" i="9"/>
  <c r="H607" i="9"/>
  <c r="F607" i="9"/>
  <c r="E607" i="9"/>
  <c r="AC606" i="9"/>
  <c r="AB606" i="9"/>
  <c r="AA606" i="9"/>
  <c r="Z606" i="9"/>
  <c r="R606" i="9"/>
  <c r="M606" i="9"/>
  <c r="O606" i="9" s="1"/>
  <c r="L606" i="9"/>
  <c r="K606" i="9"/>
  <c r="J606" i="9"/>
  <c r="H606" i="9"/>
  <c r="F606" i="9"/>
  <c r="E606" i="9"/>
  <c r="AC605" i="9"/>
  <c r="AB605" i="9"/>
  <c r="AA605" i="9"/>
  <c r="Z605" i="9"/>
  <c r="R605" i="9"/>
  <c r="M605" i="9"/>
  <c r="P605" i="9" s="1"/>
  <c r="L605" i="9"/>
  <c r="K605" i="9"/>
  <c r="J605" i="9"/>
  <c r="H605" i="9"/>
  <c r="F605" i="9"/>
  <c r="E605" i="9"/>
  <c r="AC604" i="9"/>
  <c r="AB604" i="9"/>
  <c r="AA604" i="9"/>
  <c r="Z604" i="9"/>
  <c r="R604" i="9"/>
  <c r="M604" i="9"/>
  <c r="L604" i="9"/>
  <c r="K604" i="9"/>
  <c r="J604" i="9"/>
  <c r="H604" i="9"/>
  <c r="F604" i="9"/>
  <c r="E604" i="9"/>
  <c r="AC603" i="9"/>
  <c r="AB603" i="9"/>
  <c r="AA603" i="9"/>
  <c r="Z603" i="9"/>
  <c r="R603" i="9"/>
  <c r="M603" i="9"/>
  <c r="L603" i="9"/>
  <c r="K603" i="9"/>
  <c r="J603" i="9"/>
  <c r="H603" i="9"/>
  <c r="F603" i="9"/>
  <c r="E603" i="9"/>
  <c r="AC602" i="9"/>
  <c r="AB602" i="9"/>
  <c r="AA602" i="9"/>
  <c r="Z602" i="9"/>
  <c r="R602" i="9"/>
  <c r="M602" i="9"/>
  <c r="O602" i="9" s="1"/>
  <c r="L602" i="9"/>
  <c r="K602" i="9"/>
  <c r="J602" i="9"/>
  <c r="H602" i="9"/>
  <c r="F602" i="9"/>
  <c r="E602" i="9"/>
  <c r="AC601" i="9"/>
  <c r="AB601" i="9"/>
  <c r="AA601" i="9"/>
  <c r="Z601" i="9"/>
  <c r="R601" i="9"/>
  <c r="M601" i="9"/>
  <c r="L601" i="9"/>
  <c r="K601" i="9"/>
  <c r="J601" i="9"/>
  <c r="H601" i="9"/>
  <c r="F601" i="9"/>
  <c r="E601" i="9"/>
  <c r="AC600" i="9"/>
  <c r="AB600" i="9"/>
  <c r="AA600" i="9"/>
  <c r="Z600" i="9"/>
  <c r="R600" i="9"/>
  <c r="M600" i="9"/>
  <c r="L600" i="9"/>
  <c r="K600" i="9"/>
  <c r="J600" i="9"/>
  <c r="H600" i="9"/>
  <c r="F600" i="9"/>
  <c r="E600" i="9"/>
  <c r="AC599" i="9"/>
  <c r="AB599" i="9"/>
  <c r="AA599" i="9"/>
  <c r="Z599" i="9"/>
  <c r="R599" i="9"/>
  <c r="M599" i="9"/>
  <c r="L599" i="9"/>
  <c r="K599" i="9"/>
  <c r="J599" i="9"/>
  <c r="H599" i="9"/>
  <c r="F599" i="9"/>
  <c r="E599" i="9"/>
  <c r="AC598" i="9"/>
  <c r="AB598" i="9"/>
  <c r="AA598" i="9"/>
  <c r="Z598" i="9"/>
  <c r="R598" i="9"/>
  <c r="M598" i="9"/>
  <c r="O598" i="9" s="1"/>
  <c r="L598" i="9"/>
  <c r="K598" i="9"/>
  <c r="J598" i="9"/>
  <c r="H598" i="9"/>
  <c r="F598" i="9"/>
  <c r="E598" i="9"/>
  <c r="AC597" i="9"/>
  <c r="AB597" i="9"/>
  <c r="AA597" i="9"/>
  <c r="Z597" i="9"/>
  <c r="R597" i="9"/>
  <c r="M597" i="9"/>
  <c r="L597" i="9"/>
  <c r="K597" i="9"/>
  <c r="J597" i="9"/>
  <c r="H597" i="9"/>
  <c r="F597" i="9"/>
  <c r="E597" i="9"/>
  <c r="AC596" i="9"/>
  <c r="AB596" i="9"/>
  <c r="AA596" i="9"/>
  <c r="Z596" i="9"/>
  <c r="R596" i="9"/>
  <c r="M596" i="9"/>
  <c r="L596" i="9"/>
  <c r="K596" i="9"/>
  <c r="J596" i="9"/>
  <c r="H596" i="9"/>
  <c r="F596" i="9"/>
  <c r="E596" i="9"/>
  <c r="AC595" i="9"/>
  <c r="AB595" i="9"/>
  <c r="AA595" i="9"/>
  <c r="Z595" i="9"/>
  <c r="R595" i="9"/>
  <c r="M595" i="9"/>
  <c r="L595" i="9"/>
  <c r="K595" i="9"/>
  <c r="J595" i="9"/>
  <c r="H595" i="9"/>
  <c r="F595" i="9"/>
  <c r="E595" i="9"/>
  <c r="AC594" i="9"/>
  <c r="AB594" i="9"/>
  <c r="AA594" i="9"/>
  <c r="Z594" i="9"/>
  <c r="R594" i="9"/>
  <c r="M594" i="9"/>
  <c r="O594" i="9" s="1"/>
  <c r="L594" i="9"/>
  <c r="K594" i="9"/>
  <c r="J594" i="9"/>
  <c r="H594" i="9"/>
  <c r="F594" i="9"/>
  <c r="E594" i="9"/>
  <c r="AC593" i="9"/>
  <c r="AB593" i="9"/>
  <c r="AA593" i="9"/>
  <c r="Z593" i="9"/>
  <c r="R593" i="9"/>
  <c r="M593" i="9"/>
  <c r="L593" i="9"/>
  <c r="K593" i="9"/>
  <c r="J593" i="9"/>
  <c r="H593" i="9"/>
  <c r="F593" i="9"/>
  <c r="E593" i="9"/>
  <c r="AC592" i="9"/>
  <c r="AB592" i="9"/>
  <c r="AA592" i="9"/>
  <c r="Z592" i="9"/>
  <c r="R592" i="9"/>
  <c r="M592" i="9"/>
  <c r="L592" i="9"/>
  <c r="K592" i="9"/>
  <c r="J592" i="9"/>
  <c r="H592" i="9"/>
  <c r="F592" i="9"/>
  <c r="E592" i="9"/>
  <c r="AC591" i="9"/>
  <c r="AB591" i="9"/>
  <c r="AA591" i="9"/>
  <c r="Z591" i="9"/>
  <c r="R591" i="9"/>
  <c r="M591" i="9"/>
  <c r="L591" i="9"/>
  <c r="K591" i="9"/>
  <c r="J591" i="9"/>
  <c r="H591" i="9"/>
  <c r="F591" i="9"/>
  <c r="E591" i="9"/>
  <c r="AC590" i="9"/>
  <c r="AB590" i="9"/>
  <c r="AA590" i="9"/>
  <c r="Z590" i="9"/>
  <c r="R590" i="9"/>
  <c r="M590" i="9"/>
  <c r="O590" i="9" s="1"/>
  <c r="L590" i="9"/>
  <c r="K590" i="9"/>
  <c r="J590" i="9"/>
  <c r="H590" i="9"/>
  <c r="F590" i="9"/>
  <c r="E590" i="9"/>
  <c r="AC589" i="9"/>
  <c r="AB589" i="9"/>
  <c r="AA589" i="9"/>
  <c r="Z589" i="9"/>
  <c r="R589" i="9"/>
  <c r="M589" i="9"/>
  <c r="L589" i="9"/>
  <c r="K589" i="9"/>
  <c r="J589" i="9"/>
  <c r="H589" i="9"/>
  <c r="F589" i="9"/>
  <c r="E589" i="9"/>
  <c r="AC588" i="9"/>
  <c r="AB588" i="9"/>
  <c r="AA588" i="9"/>
  <c r="Z588" i="9"/>
  <c r="R588" i="9"/>
  <c r="M588" i="9"/>
  <c r="L588" i="9"/>
  <c r="K588" i="9"/>
  <c r="J588" i="9"/>
  <c r="H588" i="9"/>
  <c r="F588" i="9"/>
  <c r="E588" i="9"/>
  <c r="AC587" i="9"/>
  <c r="AB587" i="9"/>
  <c r="AA587" i="9"/>
  <c r="Z587" i="9"/>
  <c r="R587" i="9"/>
  <c r="M587" i="9"/>
  <c r="L587" i="9"/>
  <c r="K587" i="9"/>
  <c r="J587" i="9"/>
  <c r="H587" i="9"/>
  <c r="F587" i="9"/>
  <c r="E587" i="9"/>
  <c r="AC586" i="9"/>
  <c r="AB586" i="9"/>
  <c r="AA586" i="9"/>
  <c r="Z586" i="9"/>
  <c r="R586" i="9"/>
  <c r="M586" i="9"/>
  <c r="O586" i="9" s="1"/>
  <c r="L586" i="9"/>
  <c r="K586" i="9"/>
  <c r="J586" i="9"/>
  <c r="H586" i="9"/>
  <c r="F586" i="9"/>
  <c r="E586" i="9"/>
  <c r="AC585" i="9"/>
  <c r="AB585" i="9"/>
  <c r="AA585" i="9"/>
  <c r="Z585" i="9"/>
  <c r="R585" i="9"/>
  <c r="M585" i="9"/>
  <c r="L585" i="9"/>
  <c r="K585" i="9"/>
  <c r="J585" i="9"/>
  <c r="H585" i="9"/>
  <c r="F585" i="9"/>
  <c r="E585" i="9"/>
  <c r="AC584" i="9"/>
  <c r="AB584" i="9"/>
  <c r="AA584" i="9"/>
  <c r="Z584" i="9"/>
  <c r="R584" i="9"/>
  <c r="M584" i="9"/>
  <c r="L584" i="9"/>
  <c r="K584" i="9"/>
  <c r="J584" i="9"/>
  <c r="H584" i="9"/>
  <c r="F584" i="9"/>
  <c r="E584" i="9"/>
  <c r="AC583" i="9"/>
  <c r="AB583" i="9"/>
  <c r="AA583" i="9"/>
  <c r="Z583" i="9"/>
  <c r="R583" i="9"/>
  <c r="M583" i="9"/>
  <c r="L583" i="9"/>
  <c r="K583" i="9"/>
  <c r="J583" i="9"/>
  <c r="H583" i="9"/>
  <c r="F583" i="9"/>
  <c r="E583" i="9"/>
  <c r="AC582" i="9"/>
  <c r="AB582" i="9"/>
  <c r="AA582" i="9"/>
  <c r="Z582" i="9"/>
  <c r="R582" i="9"/>
  <c r="M582" i="9"/>
  <c r="O582" i="9" s="1"/>
  <c r="L582" i="9"/>
  <c r="K582" i="9"/>
  <c r="J582" i="9"/>
  <c r="H582" i="9"/>
  <c r="F582" i="9"/>
  <c r="E582" i="9"/>
  <c r="AC581" i="9"/>
  <c r="AB581" i="9"/>
  <c r="AA581" i="9"/>
  <c r="Z581" i="9"/>
  <c r="R581" i="9"/>
  <c r="M581" i="9"/>
  <c r="L581" i="9"/>
  <c r="K581" i="9"/>
  <c r="J581" i="9"/>
  <c r="H581" i="9"/>
  <c r="F581" i="9"/>
  <c r="E581" i="9"/>
  <c r="AC580" i="9"/>
  <c r="AB580" i="9"/>
  <c r="AA580" i="9"/>
  <c r="Z580" i="9"/>
  <c r="R580" i="9"/>
  <c r="M580" i="9"/>
  <c r="L580" i="9"/>
  <c r="K580" i="9"/>
  <c r="J580" i="9"/>
  <c r="H580" i="9"/>
  <c r="F580" i="9"/>
  <c r="E580" i="9"/>
  <c r="AC579" i="9"/>
  <c r="AB579" i="9"/>
  <c r="AA579" i="9"/>
  <c r="Z579" i="9"/>
  <c r="R579" i="9"/>
  <c r="M579" i="9"/>
  <c r="L579" i="9"/>
  <c r="K579" i="9"/>
  <c r="J579" i="9"/>
  <c r="H579" i="9"/>
  <c r="F579" i="9"/>
  <c r="E579" i="9"/>
  <c r="AC578" i="9"/>
  <c r="AB578" i="9"/>
  <c r="AA578" i="9"/>
  <c r="Z578" i="9"/>
  <c r="R578" i="9"/>
  <c r="M578" i="9"/>
  <c r="O578" i="9" s="1"/>
  <c r="L578" i="9"/>
  <c r="K578" i="9"/>
  <c r="J578" i="9"/>
  <c r="H578" i="9"/>
  <c r="F578" i="9"/>
  <c r="E578" i="9"/>
  <c r="AC577" i="9"/>
  <c r="AB577" i="9"/>
  <c r="AA577" i="9"/>
  <c r="Z577" i="9"/>
  <c r="R577" i="9"/>
  <c r="M577" i="9"/>
  <c r="L577" i="9"/>
  <c r="K577" i="9"/>
  <c r="J577" i="9"/>
  <c r="H577" i="9"/>
  <c r="F577" i="9"/>
  <c r="E577" i="9"/>
  <c r="AC576" i="9"/>
  <c r="AB576" i="9"/>
  <c r="AA576" i="9"/>
  <c r="Z576" i="9"/>
  <c r="R576" i="9"/>
  <c r="M576" i="9"/>
  <c r="L576" i="9"/>
  <c r="K576" i="9"/>
  <c r="J576" i="9"/>
  <c r="H576" i="9"/>
  <c r="F576" i="9"/>
  <c r="E576" i="9"/>
  <c r="AC575" i="9"/>
  <c r="AB575" i="9"/>
  <c r="AA575" i="9"/>
  <c r="Z575" i="9"/>
  <c r="R575" i="9"/>
  <c r="M575" i="9"/>
  <c r="L575" i="9"/>
  <c r="K575" i="9"/>
  <c r="J575" i="9"/>
  <c r="H575" i="9"/>
  <c r="F575" i="9"/>
  <c r="E575" i="9"/>
  <c r="AC574" i="9"/>
  <c r="AB574" i="9"/>
  <c r="AA574" i="9"/>
  <c r="Z574" i="9"/>
  <c r="R574" i="9"/>
  <c r="M574" i="9"/>
  <c r="O574" i="9" s="1"/>
  <c r="L574" i="9"/>
  <c r="K574" i="9"/>
  <c r="J574" i="9"/>
  <c r="H574" i="9"/>
  <c r="F574" i="9"/>
  <c r="E574" i="9"/>
  <c r="AC573" i="9"/>
  <c r="AB573" i="9"/>
  <c r="AA573" i="9"/>
  <c r="Z573" i="9"/>
  <c r="R573" i="9"/>
  <c r="M573" i="9"/>
  <c r="N573" i="9" s="1"/>
  <c r="L573" i="9"/>
  <c r="K573" i="9"/>
  <c r="J573" i="9"/>
  <c r="H573" i="9"/>
  <c r="F573" i="9"/>
  <c r="E573" i="9"/>
  <c r="AC572" i="9"/>
  <c r="AB572" i="9"/>
  <c r="AA572" i="9"/>
  <c r="Z572" i="9"/>
  <c r="R572" i="9"/>
  <c r="M572" i="9"/>
  <c r="L572" i="9"/>
  <c r="K572" i="9"/>
  <c r="J572" i="9"/>
  <c r="H572" i="9"/>
  <c r="F572" i="9"/>
  <c r="E572" i="9"/>
  <c r="AC571" i="9"/>
  <c r="AB571" i="9"/>
  <c r="AA571" i="9"/>
  <c r="Z571" i="9"/>
  <c r="R571" i="9"/>
  <c r="M571" i="9"/>
  <c r="L571" i="9"/>
  <c r="K571" i="9"/>
  <c r="J571" i="9"/>
  <c r="H571" i="9"/>
  <c r="F571" i="9"/>
  <c r="E571" i="9"/>
  <c r="AC570" i="9"/>
  <c r="AB570" i="9"/>
  <c r="AA570" i="9"/>
  <c r="Z570" i="9"/>
  <c r="R570" i="9"/>
  <c r="M570" i="9"/>
  <c r="O570" i="9" s="1"/>
  <c r="L570" i="9"/>
  <c r="K570" i="9"/>
  <c r="J570" i="9"/>
  <c r="H570" i="9"/>
  <c r="F570" i="9"/>
  <c r="E570" i="9"/>
  <c r="AC569" i="9"/>
  <c r="AB569" i="9"/>
  <c r="AA569" i="9"/>
  <c r="Z569" i="9"/>
  <c r="R569" i="9"/>
  <c r="M569" i="9"/>
  <c r="L569" i="9"/>
  <c r="K569" i="9"/>
  <c r="J569" i="9"/>
  <c r="H569" i="9"/>
  <c r="F569" i="9"/>
  <c r="E569" i="9"/>
  <c r="AC568" i="9"/>
  <c r="AB568" i="9"/>
  <c r="AA568" i="9"/>
  <c r="Z568" i="9"/>
  <c r="R568" i="9"/>
  <c r="M568" i="9"/>
  <c r="L568" i="9"/>
  <c r="K568" i="9"/>
  <c r="J568" i="9"/>
  <c r="H568" i="9"/>
  <c r="F568" i="9"/>
  <c r="E568" i="9"/>
  <c r="AC567" i="9"/>
  <c r="AB567" i="9"/>
  <c r="AA567" i="9"/>
  <c r="Z567" i="9"/>
  <c r="R567" i="9"/>
  <c r="M567" i="9"/>
  <c r="L567" i="9"/>
  <c r="K567" i="9"/>
  <c r="J567" i="9"/>
  <c r="H567" i="9"/>
  <c r="F567" i="9"/>
  <c r="E567" i="9"/>
  <c r="AC566" i="9"/>
  <c r="AB566" i="9"/>
  <c r="AA566" i="9"/>
  <c r="Z566" i="9"/>
  <c r="R566" i="9"/>
  <c r="M566" i="9"/>
  <c r="O566" i="9" s="1"/>
  <c r="L566" i="9"/>
  <c r="K566" i="9"/>
  <c r="J566" i="9"/>
  <c r="H566" i="9"/>
  <c r="F566" i="9"/>
  <c r="E566" i="9"/>
  <c r="AC565" i="9"/>
  <c r="AB565" i="9"/>
  <c r="AA565" i="9"/>
  <c r="Z565" i="9"/>
  <c r="R565" i="9"/>
  <c r="M565" i="9"/>
  <c r="L565" i="9"/>
  <c r="K565" i="9"/>
  <c r="J565" i="9"/>
  <c r="H565" i="9"/>
  <c r="F565" i="9"/>
  <c r="E565" i="9"/>
  <c r="AC564" i="9"/>
  <c r="AB564" i="9"/>
  <c r="AA564" i="9"/>
  <c r="Z564" i="9"/>
  <c r="R564" i="9"/>
  <c r="M564" i="9"/>
  <c r="L564" i="9"/>
  <c r="K564" i="9"/>
  <c r="J564" i="9"/>
  <c r="H564" i="9"/>
  <c r="F564" i="9"/>
  <c r="E564" i="9"/>
  <c r="AC563" i="9"/>
  <c r="AB563" i="9"/>
  <c r="AA563" i="9"/>
  <c r="Z563" i="9"/>
  <c r="R563" i="9"/>
  <c r="M563" i="9"/>
  <c r="L563" i="9"/>
  <c r="K563" i="9"/>
  <c r="J563" i="9"/>
  <c r="H563" i="9"/>
  <c r="F563" i="9"/>
  <c r="E563" i="9"/>
  <c r="AC562" i="9"/>
  <c r="AB562" i="9"/>
  <c r="AA562" i="9"/>
  <c r="Z562" i="9"/>
  <c r="R562" i="9"/>
  <c r="M562" i="9"/>
  <c r="O562" i="9" s="1"/>
  <c r="L562" i="9"/>
  <c r="K562" i="9"/>
  <c r="J562" i="9"/>
  <c r="H562" i="9"/>
  <c r="F562" i="9"/>
  <c r="E562" i="9"/>
  <c r="AC561" i="9"/>
  <c r="AB561" i="9"/>
  <c r="AA561" i="9"/>
  <c r="Z561" i="9"/>
  <c r="R561" i="9"/>
  <c r="M561" i="9"/>
  <c r="N561" i="9" s="1"/>
  <c r="L561" i="9"/>
  <c r="K561" i="9"/>
  <c r="J561" i="9"/>
  <c r="H561" i="9"/>
  <c r="F561" i="9"/>
  <c r="E561" i="9"/>
  <c r="AC560" i="9"/>
  <c r="AB560" i="9"/>
  <c r="AA560" i="9"/>
  <c r="Z560" i="9"/>
  <c r="R560" i="9"/>
  <c r="M560" i="9"/>
  <c r="L560" i="9"/>
  <c r="K560" i="9"/>
  <c r="J560" i="9"/>
  <c r="H560" i="9"/>
  <c r="F560" i="9"/>
  <c r="E560" i="9"/>
  <c r="AC559" i="9"/>
  <c r="AB559" i="9"/>
  <c r="AA559" i="9"/>
  <c r="Z559" i="9"/>
  <c r="R559" i="9"/>
  <c r="M559" i="9"/>
  <c r="L559" i="9"/>
  <c r="K559" i="9"/>
  <c r="J559" i="9"/>
  <c r="H559" i="9"/>
  <c r="F559" i="9"/>
  <c r="E559" i="9"/>
  <c r="AC558" i="9"/>
  <c r="AB558" i="9"/>
  <c r="AA558" i="9"/>
  <c r="Z558" i="9"/>
  <c r="R558" i="9"/>
  <c r="M558" i="9"/>
  <c r="O558" i="9" s="1"/>
  <c r="L558" i="9"/>
  <c r="K558" i="9"/>
  <c r="J558" i="9"/>
  <c r="H558" i="9"/>
  <c r="F558" i="9"/>
  <c r="E558" i="9"/>
  <c r="AC557" i="9"/>
  <c r="AB557" i="9"/>
  <c r="AA557" i="9"/>
  <c r="Z557" i="9"/>
  <c r="R557" i="9"/>
  <c r="M557" i="9"/>
  <c r="N557" i="9" s="1"/>
  <c r="L557" i="9"/>
  <c r="K557" i="9"/>
  <c r="J557" i="9"/>
  <c r="H557" i="9"/>
  <c r="F557" i="9"/>
  <c r="E557" i="9"/>
  <c r="AC556" i="9"/>
  <c r="AB556" i="9"/>
  <c r="AA556" i="9"/>
  <c r="Z556" i="9"/>
  <c r="R556" i="9"/>
  <c r="M556" i="9"/>
  <c r="L556" i="9"/>
  <c r="K556" i="9"/>
  <c r="J556" i="9"/>
  <c r="H556" i="9"/>
  <c r="F556" i="9"/>
  <c r="E556" i="9"/>
  <c r="AC555" i="9"/>
  <c r="AB555" i="9"/>
  <c r="AA555" i="9"/>
  <c r="Z555" i="9"/>
  <c r="R555" i="9"/>
  <c r="M555" i="9"/>
  <c r="L555" i="9"/>
  <c r="K555" i="9"/>
  <c r="J555" i="9"/>
  <c r="H555" i="9"/>
  <c r="F555" i="9"/>
  <c r="E555" i="9"/>
  <c r="AC554" i="9"/>
  <c r="AB554" i="9"/>
  <c r="AA554" i="9"/>
  <c r="Z554" i="9"/>
  <c r="R554" i="9"/>
  <c r="M554" i="9"/>
  <c r="L554" i="9"/>
  <c r="K554" i="9"/>
  <c r="J554" i="9"/>
  <c r="H554" i="9"/>
  <c r="F554" i="9"/>
  <c r="E554" i="9"/>
  <c r="AC553" i="9"/>
  <c r="AB553" i="9"/>
  <c r="AA553" i="9"/>
  <c r="Z553" i="9"/>
  <c r="R553" i="9"/>
  <c r="M553" i="9"/>
  <c r="L553" i="9"/>
  <c r="K553" i="9"/>
  <c r="J553" i="9"/>
  <c r="H553" i="9"/>
  <c r="F553" i="9"/>
  <c r="E553" i="9"/>
  <c r="AC552" i="9"/>
  <c r="AB552" i="9"/>
  <c r="AA552" i="9"/>
  <c r="Z552" i="9"/>
  <c r="R552" i="9"/>
  <c r="M552" i="9"/>
  <c r="L552" i="9"/>
  <c r="K552" i="9"/>
  <c r="J552" i="9"/>
  <c r="H552" i="9"/>
  <c r="F552" i="9"/>
  <c r="E552" i="9"/>
  <c r="AC551" i="9"/>
  <c r="AB551" i="9"/>
  <c r="AA551" i="9"/>
  <c r="Z551" i="9"/>
  <c r="R551" i="9"/>
  <c r="M551" i="9"/>
  <c r="P551" i="9" s="1"/>
  <c r="L551" i="9"/>
  <c r="K551" i="9"/>
  <c r="J551" i="9"/>
  <c r="H551" i="9"/>
  <c r="F551" i="9"/>
  <c r="E551" i="9"/>
  <c r="AC550" i="9"/>
  <c r="AB550" i="9"/>
  <c r="AA550" i="9"/>
  <c r="Z550" i="9"/>
  <c r="R550" i="9"/>
  <c r="M550" i="9"/>
  <c r="N550" i="9" s="1"/>
  <c r="L550" i="9"/>
  <c r="K550" i="9"/>
  <c r="J550" i="9"/>
  <c r="H550" i="9"/>
  <c r="F550" i="9"/>
  <c r="E550" i="9"/>
  <c r="AC549" i="9"/>
  <c r="AB549" i="9"/>
  <c r="AA549" i="9"/>
  <c r="Z549" i="9"/>
  <c r="R549" i="9"/>
  <c r="M549" i="9"/>
  <c r="N549" i="9" s="1"/>
  <c r="L549" i="9"/>
  <c r="K549" i="9"/>
  <c r="J549" i="9"/>
  <c r="H549" i="9"/>
  <c r="F549" i="9"/>
  <c r="E549" i="9"/>
  <c r="AC548" i="9"/>
  <c r="AB548" i="9"/>
  <c r="AA548" i="9"/>
  <c r="Z548" i="9"/>
  <c r="R548" i="9"/>
  <c r="M548" i="9"/>
  <c r="L548" i="9"/>
  <c r="K548" i="9"/>
  <c r="J548" i="9"/>
  <c r="H548" i="9"/>
  <c r="F548" i="9"/>
  <c r="E548" i="9"/>
  <c r="AC547" i="9"/>
  <c r="AB547" i="9"/>
  <c r="AA547" i="9"/>
  <c r="Z547" i="9"/>
  <c r="R547" i="9"/>
  <c r="M547" i="9"/>
  <c r="L547" i="9"/>
  <c r="K547" i="9"/>
  <c r="J547" i="9"/>
  <c r="H547" i="9"/>
  <c r="F547" i="9"/>
  <c r="E547" i="9"/>
  <c r="AC546" i="9"/>
  <c r="AB546" i="9"/>
  <c r="AA546" i="9"/>
  <c r="Z546" i="9"/>
  <c r="R546" i="9"/>
  <c r="M546" i="9"/>
  <c r="L546" i="9"/>
  <c r="K546" i="9"/>
  <c r="J546" i="9"/>
  <c r="H546" i="9"/>
  <c r="F546" i="9"/>
  <c r="E546" i="9"/>
  <c r="AC545" i="9"/>
  <c r="AB545" i="9"/>
  <c r="AA545" i="9"/>
  <c r="Z545" i="9"/>
  <c r="R545" i="9"/>
  <c r="M545" i="9"/>
  <c r="L545" i="9"/>
  <c r="K545" i="9"/>
  <c r="J545" i="9"/>
  <c r="H545" i="9"/>
  <c r="F545" i="9"/>
  <c r="E545" i="9"/>
  <c r="AC544" i="9"/>
  <c r="AB544" i="9"/>
  <c r="AA544" i="9"/>
  <c r="Z544" i="9"/>
  <c r="R544" i="9"/>
  <c r="M544" i="9"/>
  <c r="N544" i="9" s="1"/>
  <c r="L544" i="9"/>
  <c r="K544" i="9"/>
  <c r="J544" i="9"/>
  <c r="H544" i="9"/>
  <c r="F544" i="9"/>
  <c r="E544" i="9"/>
  <c r="AC543" i="9"/>
  <c r="AB543" i="9"/>
  <c r="AA543" i="9"/>
  <c r="Z543" i="9"/>
  <c r="R543" i="9"/>
  <c r="M543" i="9"/>
  <c r="L543" i="9"/>
  <c r="K543" i="9"/>
  <c r="J543" i="9"/>
  <c r="H543" i="9"/>
  <c r="F543" i="9"/>
  <c r="E543" i="9"/>
  <c r="AC542" i="9"/>
  <c r="AB542" i="9"/>
  <c r="AA542" i="9"/>
  <c r="Z542" i="9"/>
  <c r="R542" i="9"/>
  <c r="M542" i="9"/>
  <c r="N542" i="9" s="1"/>
  <c r="L542" i="9"/>
  <c r="K542" i="9"/>
  <c r="J542" i="9"/>
  <c r="H542" i="9"/>
  <c r="F542" i="9"/>
  <c r="E542" i="9"/>
  <c r="AC541" i="9"/>
  <c r="AB541" i="9"/>
  <c r="AA541" i="9"/>
  <c r="Z541" i="9"/>
  <c r="R541" i="9"/>
  <c r="M541" i="9"/>
  <c r="L541" i="9"/>
  <c r="K541" i="9"/>
  <c r="J541" i="9"/>
  <c r="H541" i="9"/>
  <c r="F541" i="9"/>
  <c r="E541" i="9"/>
  <c r="AC540" i="9"/>
  <c r="AB540" i="9"/>
  <c r="AA540" i="9"/>
  <c r="Z540" i="9"/>
  <c r="R540" i="9"/>
  <c r="M540" i="9"/>
  <c r="N540" i="9" s="1"/>
  <c r="L540" i="9"/>
  <c r="K540" i="9"/>
  <c r="J540" i="9"/>
  <c r="H540" i="9"/>
  <c r="F540" i="9"/>
  <c r="E540" i="9"/>
  <c r="AC539" i="9"/>
  <c r="AB539" i="9"/>
  <c r="AA539" i="9"/>
  <c r="Z539" i="9"/>
  <c r="R539" i="9"/>
  <c r="M539" i="9"/>
  <c r="P539" i="9" s="1"/>
  <c r="L539" i="9"/>
  <c r="K539" i="9"/>
  <c r="J539" i="9"/>
  <c r="H539" i="9"/>
  <c r="F539" i="9"/>
  <c r="E539" i="9"/>
  <c r="AC538" i="9"/>
  <c r="AB538" i="9"/>
  <c r="AA538" i="9"/>
  <c r="Z538" i="9"/>
  <c r="R538" i="9"/>
  <c r="M538" i="9"/>
  <c r="N538" i="9" s="1"/>
  <c r="L538" i="9"/>
  <c r="K538" i="9"/>
  <c r="J538" i="9"/>
  <c r="H538" i="9"/>
  <c r="F538" i="9"/>
  <c r="E538" i="9"/>
  <c r="AC537" i="9"/>
  <c r="AB537" i="9"/>
  <c r="AA537" i="9"/>
  <c r="Z537" i="9"/>
  <c r="R537" i="9"/>
  <c r="M537" i="9"/>
  <c r="L537" i="9"/>
  <c r="K537" i="9"/>
  <c r="J537" i="9"/>
  <c r="H537" i="9"/>
  <c r="F537" i="9"/>
  <c r="E537" i="9"/>
  <c r="AC536" i="9"/>
  <c r="AB536" i="9"/>
  <c r="AA536" i="9"/>
  <c r="Z536" i="9"/>
  <c r="R536" i="9"/>
  <c r="M536" i="9"/>
  <c r="L536" i="9"/>
  <c r="K536" i="9"/>
  <c r="J536" i="9"/>
  <c r="H536" i="9"/>
  <c r="F536" i="9"/>
  <c r="E536" i="9"/>
  <c r="AC535" i="9"/>
  <c r="AB535" i="9"/>
  <c r="AA535" i="9"/>
  <c r="Z535" i="9"/>
  <c r="R535" i="9"/>
  <c r="M535" i="9"/>
  <c r="P535" i="9" s="1"/>
  <c r="L535" i="9"/>
  <c r="K535" i="9"/>
  <c r="J535" i="9"/>
  <c r="H535" i="9"/>
  <c r="F535" i="9"/>
  <c r="E535" i="9"/>
  <c r="AC534" i="9"/>
  <c r="AB534" i="9"/>
  <c r="AA534" i="9"/>
  <c r="Z534" i="9"/>
  <c r="R534" i="9"/>
  <c r="M534" i="9"/>
  <c r="L534" i="9"/>
  <c r="K534" i="9"/>
  <c r="J534" i="9"/>
  <c r="H534" i="9"/>
  <c r="F534" i="9"/>
  <c r="E534" i="9"/>
  <c r="AC533" i="9"/>
  <c r="AB533" i="9"/>
  <c r="AA533" i="9"/>
  <c r="Z533" i="9"/>
  <c r="R533" i="9"/>
  <c r="M533" i="9"/>
  <c r="L533" i="9"/>
  <c r="K533" i="9"/>
  <c r="J533" i="9"/>
  <c r="H533" i="9"/>
  <c r="F533" i="9"/>
  <c r="E533" i="9"/>
  <c r="AC532" i="9"/>
  <c r="AB532" i="9"/>
  <c r="AA532" i="9"/>
  <c r="Z532" i="9"/>
  <c r="R532" i="9"/>
  <c r="M532" i="9"/>
  <c r="L532" i="9"/>
  <c r="K532" i="9"/>
  <c r="J532" i="9"/>
  <c r="H532" i="9"/>
  <c r="F532" i="9"/>
  <c r="E532" i="9"/>
  <c r="AC531" i="9"/>
  <c r="AB531" i="9"/>
  <c r="AA531" i="9"/>
  <c r="Z531" i="9"/>
  <c r="R531" i="9"/>
  <c r="M531" i="9"/>
  <c r="L531" i="9"/>
  <c r="K531" i="9"/>
  <c r="J531" i="9"/>
  <c r="H531" i="9"/>
  <c r="F531" i="9"/>
  <c r="E531" i="9"/>
  <c r="AC530" i="9"/>
  <c r="AB530" i="9"/>
  <c r="AA530" i="9"/>
  <c r="Z530" i="9"/>
  <c r="R530" i="9"/>
  <c r="M530" i="9"/>
  <c r="L530" i="9"/>
  <c r="K530" i="9"/>
  <c r="J530" i="9"/>
  <c r="H530" i="9"/>
  <c r="F530" i="9"/>
  <c r="E530" i="9"/>
  <c r="AC529" i="9"/>
  <c r="AB529" i="9"/>
  <c r="AA529" i="9"/>
  <c r="Z529" i="9"/>
  <c r="R529" i="9"/>
  <c r="M529" i="9"/>
  <c r="L529" i="9"/>
  <c r="K529" i="9"/>
  <c r="J529" i="9"/>
  <c r="H529" i="9"/>
  <c r="F529" i="9"/>
  <c r="E529" i="9"/>
  <c r="AC528" i="9"/>
  <c r="AB528" i="9"/>
  <c r="AA528" i="9"/>
  <c r="Z528" i="9"/>
  <c r="R528" i="9"/>
  <c r="M528" i="9"/>
  <c r="L528" i="9"/>
  <c r="K528" i="9"/>
  <c r="J528" i="9"/>
  <c r="H528" i="9"/>
  <c r="F528" i="9"/>
  <c r="E528" i="9"/>
  <c r="AC527" i="9"/>
  <c r="AB527" i="9"/>
  <c r="AA527" i="9"/>
  <c r="Z527" i="9"/>
  <c r="R527" i="9"/>
  <c r="M527" i="9"/>
  <c r="O527" i="9" s="1"/>
  <c r="L527" i="9"/>
  <c r="K527" i="9"/>
  <c r="J527" i="9"/>
  <c r="H527" i="9"/>
  <c r="F527" i="9"/>
  <c r="E527" i="9"/>
  <c r="AC526" i="9"/>
  <c r="AB526" i="9"/>
  <c r="AA526" i="9"/>
  <c r="Z526" i="9"/>
  <c r="R526" i="9"/>
  <c r="M526" i="9"/>
  <c r="N526" i="9" s="1"/>
  <c r="L526" i="9"/>
  <c r="K526" i="9"/>
  <c r="J526" i="9"/>
  <c r="H526" i="9"/>
  <c r="F526" i="9"/>
  <c r="E526" i="9"/>
  <c r="AC525" i="9"/>
  <c r="AB525" i="9"/>
  <c r="AA525" i="9"/>
  <c r="Z525" i="9"/>
  <c r="R525" i="9"/>
  <c r="M525" i="9"/>
  <c r="O525" i="9" s="1"/>
  <c r="L525" i="9"/>
  <c r="K525" i="9"/>
  <c r="J525" i="9"/>
  <c r="H525" i="9"/>
  <c r="F525" i="9"/>
  <c r="E525" i="9"/>
  <c r="AC524" i="9"/>
  <c r="AB524" i="9"/>
  <c r="AA524" i="9"/>
  <c r="Z524" i="9"/>
  <c r="R524" i="9"/>
  <c r="M524" i="9"/>
  <c r="L524" i="9"/>
  <c r="K524" i="9"/>
  <c r="J524" i="9"/>
  <c r="H524" i="9"/>
  <c r="F524" i="9"/>
  <c r="E524" i="9"/>
  <c r="AC523" i="9"/>
  <c r="AB523" i="9"/>
  <c r="AA523" i="9"/>
  <c r="Z523" i="9"/>
  <c r="R523" i="9"/>
  <c r="M523" i="9"/>
  <c r="L523" i="9"/>
  <c r="K523" i="9"/>
  <c r="J523" i="9"/>
  <c r="H523" i="9"/>
  <c r="F523" i="9"/>
  <c r="E523" i="9"/>
  <c r="AC522" i="9"/>
  <c r="AB522" i="9"/>
  <c r="AA522" i="9"/>
  <c r="Z522" i="9"/>
  <c r="R522" i="9"/>
  <c r="M522" i="9"/>
  <c r="L522" i="9"/>
  <c r="K522" i="9"/>
  <c r="J522" i="9"/>
  <c r="H522" i="9"/>
  <c r="F522" i="9"/>
  <c r="E522" i="9"/>
  <c r="AC521" i="9"/>
  <c r="AB521" i="9"/>
  <c r="AA521" i="9"/>
  <c r="Z521" i="9"/>
  <c r="R521" i="9"/>
  <c r="M521" i="9"/>
  <c r="O521" i="9" s="1"/>
  <c r="L521" i="9"/>
  <c r="K521" i="9"/>
  <c r="J521" i="9"/>
  <c r="H521" i="9"/>
  <c r="F521" i="9"/>
  <c r="E521" i="9"/>
  <c r="AC520" i="9"/>
  <c r="AB520" i="9"/>
  <c r="AA520" i="9"/>
  <c r="Z520" i="9"/>
  <c r="R520" i="9"/>
  <c r="M520" i="9"/>
  <c r="P520" i="9" s="1"/>
  <c r="L520" i="9"/>
  <c r="K520" i="9"/>
  <c r="J520" i="9"/>
  <c r="H520" i="9"/>
  <c r="F520" i="9"/>
  <c r="E520" i="9"/>
  <c r="AC519" i="9"/>
  <c r="AB519" i="9"/>
  <c r="AA519" i="9"/>
  <c r="Z519" i="9"/>
  <c r="R519" i="9"/>
  <c r="M519" i="9"/>
  <c r="O519" i="9" s="1"/>
  <c r="L519" i="9"/>
  <c r="K519" i="9"/>
  <c r="J519" i="9"/>
  <c r="H519" i="9"/>
  <c r="F519" i="9"/>
  <c r="E519" i="9"/>
  <c r="AC518" i="9"/>
  <c r="AB518" i="9"/>
  <c r="AA518" i="9"/>
  <c r="Z518" i="9"/>
  <c r="R518" i="9"/>
  <c r="M518" i="9"/>
  <c r="N518" i="9" s="1"/>
  <c r="L518" i="9"/>
  <c r="K518" i="9"/>
  <c r="J518" i="9"/>
  <c r="H518" i="9"/>
  <c r="F518" i="9"/>
  <c r="E518" i="9"/>
  <c r="AC517" i="9"/>
  <c r="AB517" i="9"/>
  <c r="AA517" i="9"/>
  <c r="Z517" i="9"/>
  <c r="R517" i="9"/>
  <c r="M517" i="9"/>
  <c r="N517" i="9" s="1"/>
  <c r="L517" i="9"/>
  <c r="K517" i="9"/>
  <c r="J517" i="9"/>
  <c r="H517" i="9"/>
  <c r="F517" i="9"/>
  <c r="E517" i="9"/>
  <c r="AC516" i="9"/>
  <c r="AB516" i="9"/>
  <c r="AA516" i="9"/>
  <c r="Z516" i="9"/>
  <c r="R516" i="9"/>
  <c r="M516" i="9"/>
  <c r="L516" i="9"/>
  <c r="K516" i="9"/>
  <c r="J516" i="9"/>
  <c r="H516" i="9"/>
  <c r="F516" i="9"/>
  <c r="E516" i="9"/>
  <c r="AC515" i="9"/>
  <c r="AB515" i="9"/>
  <c r="AA515" i="9"/>
  <c r="Z515" i="9"/>
  <c r="R515" i="9"/>
  <c r="M515" i="9"/>
  <c r="L515" i="9"/>
  <c r="K515" i="9"/>
  <c r="J515" i="9"/>
  <c r="H515" i="9"/>
  <c r="F515" i="9"/>
  <c r="E515" i="9"/>
  <c r="AC514" i="9"/>
  <c r="AB514" i="9"/>
  <c r="AA514" i="9"/>
  <c r="Z514" i="9"/>
  <c r="R514" i="9"/>
  <c r="M514" i="9"/>
  <c r="L514" i="9"/>
  <c r="K514" i="9"/>
  <c r="J514" i="9"/>
  <c r="H514" i="9"/>
  <c r="F514" i="9"/>
  <c r="E514" i="9"/>
  <c r="AC513" i="9"/>
  <c r="AB513" i="9"/>
  <c r="AA513" i="9"/>
  <c r="Z513" i="9"/>
  <c r="R513" i="9"/>
  <c r="M513" i="9"/>
  <c r="L513" i="9"/>
  <c r="K513" i="9"/>
  <c r="J513" i="9"/>
  <c r="H513" i="9"/>
  <c r="F513" i="9"/>
  <c r="E513" i="9"/>
  <c r="AC512" i="9"/>
  <c r="AB512" i="9"/>
  <c r="AA512" i="9"/>
  <c r="Z512" i="9"/>
  <c r="R512" i="9"/>
  <c r="M512" i="9"/>
  <c r="P512" i="9" s="1"/>
  <c r="L512" i="9"/>
  <c r="K512" i="9"/>
  <c r="J512" i="9"/>
  <c r="H512" i="9"/>
  <c r="F512" i="9"/>
  <c r="E512" i="9"/>
  <c r="AC511" i="9"/>
  <c r="AB511" i="9"/>
  <c r="AA511" i="9"/>
  <c r="Z511" i="9"/>
  <c r="R511" i="9"/>
  <c r="M511" i="9"/>
  <c r="O511" i="9" s="1"/>
  <c r="L511" i="9"/>
  <c r="K511" i="9"/>
  <c r="J511" i="9"/>
  <c r="H511" i="9"/>
  <c r="F511" i="9"/>
  <c r="E511" i="9"/>
  <c r="AC510" i="9"/>
  <c r="AB510" i="9"/>
  <c r="AA510" i="9"/>
  <c r="Z510" i="9"/>
  <c r="R510" i="9"/>
  <c r="M510" i="9"/>
  <c r="N510" i="9" s="1"/>
  <c r="L510" i="9"/>
  <c r="K510" i="9"/>
  <c r="J510" i="9"/>
  <c r="H510" i="9"/>
  <c r="F510" i="9"/>
  <c r="E510" i="9"/>
  <c r="AC509" i="9"/>
  <c r="AB509" i="9"/>
  <c r="AA509" i="9"/>
  <c r="Z509" i="9"/>
  <c r="R509" i="9"/>
  <c r="M509" i="9"/>
  <c r="P509" i="9" s="1"/>
  <c r="L509" i="9"/>
  <c r="K509" i="9"/>
  <c r="J509" i="9"/>
  <c r="H509" i="9"/>
  <c r="F509" i="9"/>
  <c r="E509" i="9"/>
  <c r="AC508" i="9"/>
  <c r="AB508" i="9"/>
  <c r="AA508" i="9"/>
  <c r="Z508" i="9"/>
  <c r="R508" i="9"/>
  <c r="M508" i="9"/>
  <c r="L508" i="9"/>
  <c r="K508" i="9"/>
  <c r="J508" i="9"/>
  <c r="H508" i="9"/>
  <c r="F508" i="9"/>
  <c r="E508" i="9"/>
  <c r="AC507" i="9"/>
  <c r="AB507" i="9"/>
  <c r="AA507" i="9"/>
  <c r="Z507" i="9"/>
  <c r="R507" i="9"/>
  <c r="M507" i="9"/>
  <c r="L507" i="9"/>
  <c r="K507" i="9"/>
  <c r="J507" i="9"/>
  <c r="H507" i="9"/>
  <c r="F507" i="9"/>
  <c r="E507" i="9"/>
  <c r="AC506" i="9"/>
  <c r="AB506" i="9"/>
  <c r="AA506" i="9"/>
  <c r="Z506" i="9"/>
  <c r="R506" i="9"/>
  <c r="M506" i="9"/>
  <c r="L506" i="9"/>
  <c r="K506" i="9"/>
  <c r="J506" i="9"/>
  <c r="H506" i="9"/>
  <c r="F506" i="9"/>
  <c r="E506" i="9"/>
  <c r="AC505" i="9"/>
  <c r="AB505" i="9"/>
  <c r="AA505" i="9"/>
  <c r="Z505" i="9"/>
  <c r="R505" i="9"/>
  <c r="M505" i="9"/>
  <c r="N505" i="9" s="1"/>
  <c r="L505" i="9"/>
  <c r="K505" i="9"/>
  <c r="J505" i="9"/>
  <c r="H505" i="9"/>
  <c r="F505" i="9"/>
  <c r="E505" i="9"/>
  <c r="AC504" i="9"/>
  <c r="AB504" i="9"/>
  <c r="AA504" i="9"/>
  <c r="Z504" i="9"/>
  <c r="R504" i="9"/>
  <c r="M504" i="9"/>
  <c r="P504" i="9" s="1"/>
  <c r="L504" i="9"/>
  <c r="K504" i="9"/>
  <c r="J504" i="9"/>
  <c r="H504" i="9"/>
  <c r="F504" i="9"/>
  <c r="E504" i="9"/>
  <c r="AC503" i="9"/>
  <c r="AB503" i="9"/>
  <c r="AA503" i="9"/>
  <c r="Z503" i="9"/>
  <c r="R503" i="9"/>
  <c r="M503" i="9"/>
  <c r="O503" i="9" s="1"/>
  <c r="L503" i="9"/>
  <c r="K503" i="9"/>
  <c r="J503" i="9"/>
  <c r="H503" i="9"/>
  <c r="F503" i="9"/>
  <c r="E503" i="9"/>
  <c r="AC502" i="9"/>
  <c r="AB502" i="9"/>
  <c r="AA502" i="9"/>
  <c r="Z502" i="9"/>
  <c r="R502" i="9"/>
  <c r="M502" i="9"/>
  <c r="N502" i="9" s="1"/>
  <c r="L502" i="9"/>
  <c r="K502" i="9"/>
  <c r="J502" i="9"/>
  <c r="H502" i="9"/>
  <c r="F502" i="9"/>
  <c r="E502" i="9"/>
  <c r="AC501" i="9"/>
  <c r="AB501" i="9"/>
  <c r="AA501" i="9"/>
  <c r="Z501" i="9"/>
  <c r="R501" i="9"/>
  <c r="M501" i="9"/>
  <c r="L501" i="9"/>
  <c r="K501" i="9"/>
  <c r="J501" i="9"/>
  <c r="H501" i="9"/>
  <c r="F501" i="9"/>
  <c r="E501" i="9"/>
  <c r="AC500" i="9"/>
  <c r="AB500" i="9"/>
  <c r="AA500" i="9"/>
  <c r="Z500" i="9"/>
  <c r="R500" i="9"/>
  <c r="M500" i="9"/>
  <c r="L500" i="9"/>
  <c r="K500" i="9"/>
  <c r="J500" i="9"/>
  <c r="H500" i="9"/>
  <c r="F500" i="9"/>
  <c r="E500" i="9"/>
  <c r="AC499" i="9"/>
  <c r="AB499" i="9"/>
  <c r="AA499" i="9"/>
  <c r="Z499" i="9"/>
  <c r="R499" i="9"/>
  <c r="M499" i="9"/>
  <c r="L499" i="9"/>
  <c r="K499" i="9"/>
  <c r="J499" i="9"/>
  <c r="H499" i="9"/>
  <c r="F499" i="9"/>
  <c r="E499" i="9"/>
  <c r="AC498" i="9"/>
  <c r="AB498" i="9"/>
  <c r="AA498" i="9"/>
  <c r="Z498" i="9"/>
  <c r="R498" i="9"/>
  <c r="M498" i="9"/>
  <c r="L498" i="9"/>
  <c r="K498" i="9"/>
  <c r="J498" i="9"/>
  <c r="H498" i="9"/>
  <c r="F498" i="9"/>
  <c r="E498" i="9"/>
  <c r="AC497" i="9"/>
  <c r="AB497" i="9"/>
  <c r="AA497" i="9"/>
  <c r="Z497" i="9"/>
  <c r="R497" i="9"/>
  <c r="M497" i="9"/>
  <c r="O497" i="9" s="1"/>
  <c r="L497" i="9"/>
  <c r="K497" i="9"/>
  <c r="J497" i="9"/>
  <c r="H497" i="9"/>
  <c r="F497" i="9"/>
  <c r="E497" i="9"/>
  <c r="AC496" i="9"/>
  <c r="AB496" i="9"/>
  <c r="AA496" i="9"/>
  <c r="Z496" i="9"/>
  <c r="R496" i="9"/>
  <c r="M496" i="9"/>
  <c r="N496" i="9" s="1"/>
  <c r="L496" i="9"/>
  <c r="K496" i="9"/>
  <c r="J496" i="9"/>
  <c r="H496" i="9"/>
  <c r="F496" i="9"/>
  <c r="E496" i="9"/>
  <c r="AC495" i="9"/>
  <c r="AB495" i="9"/>
  <c r="AA495" i="9"/>
  <c r="Z495" i="9"/>
  <c r="R495" i="9"/>
  <c r="M495" i="9"/>
  <c r="O495" i="9" s="1"/>
  <c r="L495" i="9"/>
  <c r="K495" i="9"/>
  <c r="J495" i="9"/>
  <c r="H495" i="9"/>
  <c r="F495" i="9"/>
  <c r="E495" i="9"/>
  <c r="AC494" i="9"/>
  <c r="AB494" i="9"/>
  <c r="AA494" i="9"/>
  <c r="Z494" i="9"/>
  <c r="R494" i="9"/>
  <c r="M494" i="9"/>
  <c r="N494" i="9" s="1"/>
  <c r="L494" i="9"/>
  <c r="K494" i="9"/>
  <c r="J494" i="9"/>
  <c r="H494" i="9"/>
  <c r="F494" i="9"/>
  <c r="E494" i="9"/>
  <c r="AC493" i="9"/>
  <c r="AB493" i="9"/>
  <c r="AA493" i="9"/>
  <c r="Z493" i="9"/>
  <c r="R493" i="9"/>
  <c r="M493" i="9"/>
  <c r="N493" i="9" s="1"/>
  <c r="L493" i="9"/>
  <c r="K493" i="9"/>
  <c r="J493" i="9"/>
  <c r="H493" i="9"/>
  <c r="F493" i="9"/>
  <c r="E493" i="9"/>
  <c r="AC492" i="9"/>
  <c r="AB492" i="9"/>
  <c r="AA492" i="9"/>
  <c r="Z492" i="9"/>
  <c r="R492" i="9"/>
  <c r="M492" i="9"/>
  <c r="L492" i="9"/>
  <c r="K492" i="9"/>
  <c r="J492" i="9"/>
  <c r="H492" i="9"/>
  <c r="F492" i="9"/>
  <c r="E492" i="9"/>
  <c r="AC491" i="9"/>
  <c r="AB491" i="9"/>
  <c r="AA491" i="9"/>
  <c r="Z491" i="9"/>
  <c r="R491" i="9"/>
  <c r="M491" i="9"/>
  <c r="L491" i="9"/>
  <c r="K491" i="9"/>
  <c r="J491" i="9"/>
  <c r="H491" i="9"/>
  <c r="F491" i="9"/>
  <c r="E491" i="9"/>
  <c r="AC490" i="9"/>
  <c r="AB490" i="9"/>
  <c r="AA490" i="9"/>
  <c r="Z490" i="9"/>
  <c r="R490" i="9"/>
  <c r="M490" i="9"/>
  <c r="L490" i="9"/>
  <c r="K490" i="9"/>
  <c r="J490" i="9"/>
  <c r="H490" i="9"/>
  <c r="F490" i="9"/>
  <c r="E490" i="9"/>
  <c r="AC489" i="9"/>
  <c r="AB489" i="9"/>
  <c r="AA489" i="9"/>
  <c r="Z489" i="9"/>
  <c r="R489" i="9"/>
  <c r="M489" i="9"/>
  <c r="O489" i="9" s="1"/>
  <c r="L489" i="9"/>
  <c r="K489" i="9"/>
  <c r="J489" i="9"/>
  <c r="H489" i="9"/>
  <c r="F489" i="9"/>
  <c r="E489" i="9"/>
  <c r="AC488" i="9"/>
  <c r="AB488" i="9"/>
  <c r="AA488" i="9"/>
  <c r="Z488" i="9"/>
  <c r="R488" i="9"/>
  <c r="M488" i="9"/>
  <c r="P488" i="9" s="1"/>
  <c r="L488" i="9"/>
  <c r="K488" i="9"/>
  <c r="J488" i="9"/>
  <c r="H488" i="9"/>
  <c r="F488" i="9"/>
  <c r="E488" i="9"/>
  <c r="AC487" i="9"/>
  <c r="AB487" i="9"/>
  <c r="AA487" i="9"/>
  <c r="Z487" i="9"/>
  <c r="R487" i="9"/>
  <c r="M487" i="9"/>
  <c r="O487" i="9" s="1"/>
  <c r="L487" i="9"/>
  <c r="K487" i="9"/>
  <c r="J487" i="9"/>
  <c r="H487" i="9"/>
  <c r="F487" i="9"/>
  <c r="E487" i="9"/>
  <c r="AC486" i="9"/>
  <c r="AB486" i="9"/>
  <c r="AA486" i="9"/>
  <c r="Z486" i="9"/>
  <c r="R486" i="9"/>
  <c r="M486" i="9"/>
  <c r="N486" i="9" s="1"/>
  <c r="L486" i="9"/>
  <c r="K486" i="9"/>
  <c r="J486" i="9"/>
  <c r="H486" i="9"/>
  <c r="F486" i="9"/>
  <c r="E486" i="9"/>
  <c r="AC485" i="9"/>
  <c r="AB485" i="9"/>
  <c r="AA485" i="9"/>
  <c r="Z485" i="9"/>
  <c r="R485" i="9"/>
  <c r="M485" i="9"/>
  <c r="L485" i="9"/>
  <c r="K485" i="9"/>
  <c r="J485" i="9"/>
  <c r="H485" i="9"/>
  <c r="F485" i="9"/>
  <c r="E485" i="9"/>
  <c r="AC484" i="9"/>
  <c r="AB484" i="9"/>
  <c r="AA484" i="9"/>
  <c r="Z484" i="9"/>
  <c r="R484" i="9"/>
  <c r="M484" i="9"/>
  <c r="L484" i="9"/>
  <c r="K484" i="9"/>
  <c r="J484" i="9"/>
  <c r="H484" i="9"/>
  <c r="F484" i="9"/>
  <c r="E484" i="9"/>
  <c r="AC483" i="9"/>
  <c r="AB483" i="9"/>
  <c r="AA483" i="9"/>
  <c r="Z483" i="9"/>
  <c r="R483" i="9"/>
  <c r="M483" i="9"/>
  <c r="L483" i="9"/>
  <c r="K483" i="9"/>
  <c r="J483" i="9"/>
  <c r="H483" i="9"/>
  <c r="F483" i="9"/>
  <c r="E483" i="9"/>
  <c r="AC482" i="9"/>
  <c r="AB482" i="9"/>
  <c r="AA482" i="9"/>
  <c r="Z482" i="9"/>
  <c r="R482" i="9"/>
  <c r="M482" i="9"/>
  <c r="L482" i="9"/>
  <c r="K482" i="9"/>
  <c r="J482" i="9"/>
  <c r="H482" i="9"/>
  <c r="F482" i="9"/>
  <c r="E482" i="9"/>
  <c r="AC481" i="9"/>
  <c r="AB481" i="9"/>
  <c r="AA481" i="9"/>
  <c r="Z481" i="9"/>
  <c r="R481" i="9"/>
  <c r="M481" i="9"/>
  <c r="O481" i="9" s="1"/>
  <c r="L481" i="9"/>
  <c r="K481" i="9"/>
  <c r="J481" i="9"/>
  <c r="H481" i="9"/>
  <c r="F481" i="9"/>
  <c r="E481" i="9"/>
  <c r="AC480" i="9"/>
  <c r="AB480" i="9"/>
  <c r="AA480" i="9"/>
  <c r="Z480" i="9"/>
  <c r="R480" i="9"/>
  <c r="M480" i="9"/>
  <c r="O480" i="9" s="1"/>
  <c r="L480" i="9"/>
  <c r="K480" i="9"/>
  <c r="J480" i="9"/>
  <c r="H480" i="9"/>
  <c r="F480" i="9"/>
  <c r="E480" i="9"/>
  <c r="AC479" i="9"/>
  <c r="AB479" i="9"/>
  <c r="AA479" i="9"/>
  <c r="Z479" i="9"/>
  <c r="R479" i="9"/>
  <c r="M479" i="9"/>
  <c r="O479" i="9" s="1"/>
  <c r="L479" i="9"/>
  <c r="K479" i="9"/>
  <c r="J479" i="9"/>
  <c r="H479" i="9"/>
  <c r="F479" i="9"/>
  <c r="E479" i="9"/>
  <c r="AC478" i="9"/>
  <c r="AB478" i="9"/>
  <c r="AA478" i="9"/>
  <c r="Z478" i="9"/>
  <c r="R478" i="9"/>
  <c r="M478" i="9"/>
  <c r="N478" i="9" s="1"/>
  <c r="L478" i="9"/>
  <c r="K478" i="9"/>
  <c r="J478" i="9"/>
  <c r="H478" i="9"/>
  <c r="F478" i="9"/>
  <c r="E478" i="9"/>
  <c r="AC477" i="9"/>
  <c r="AB477" i="9"/>
  <c r="AA477" i="9"/>
  <c r="Z477" i="9"/>
  <c r="R477" i="9"/>
  <c r="M477" i="9"/>
  <c r="L477" i="9"/>
  <c r="K477" i="9"/>
  <c r="J477" i="9"/>
  <c r="H477" i="9"/>
  <c r="F477" i="9"/>
  <c r="E477" i="9"/>
  <c r="AC476" i="9"/>
  <c r="AB476" i="9"/>
  <c r="AA476" i="9"/>
  <c r="Z476" i="9"/>
  <c r="R476" i="9"/>
  <c r="M476" i="9"/>
  <c r="L476" i="9"/>
  <c r="K476" i="9"/>
  <c r="J476" i="9"/>
  <c r="H476" i="9"/>
  <c r="F476" i="9"/>
  <c r="E476" i="9"/>
  <c r="AC475" i="9"/>
  <c r="AB475" i="9"/>
  <c r="AA475" i="9"/>
  <c r="Z475" i="9"/>
  <c r="R475" i="9"/>
  <c r="M475" i="9"/>
  <c r="L475" i="9"/>
  <c r="K475" i="9"/>
  <c r="J475" i="9"/>
  <c r="H475" i="9"/>
  <c r="F475" i="9"/>
  <c r="E475" i="9"/>
  <c r="AC474" i="9"/>
  <c r="AB474" i="9"/>
  <c r="AA474" i="9"/>
  <c r="Z474" i="9"/>
  <c r="R474" i="9"/>
  <c r="M474" i="9"/>
  <c r="L474" i="9"/>
  <c r="K474" i="9"/>
  <c r="J474" i="9"/>
  <c r="H474" i="9"/>
  <c r="F474" i="9"/>
  <c r="E474" i="9"/>
  <c r="AC473" i="9"/>
  <c r="AB473" i="9"/>
  <c r="AA473" i="9"/>
  <c r="Z473" i="9"/>
  <c r="R473" i="9"/>
  <c r="M473" i="9"/>
  <c r="P473" i="9" s="1"/>
  <c r="L473" i="9"/>
  <c r="K473" i="9"/>
  <c r="J473" i="9"/>
  <c r="H473" i="9"/>
  <c r="F473" i="9"/>
  <c r="E473" i="9"/>
  <c r="AC472" i="9"/>
  <c r="AB472" i="9"/>
  <c r="AA472" i="9"/>
  <c r="Z472" i="9"/>
  <c r="R472" i="9"/>
  <c r="M472" i="9"/>
  <c r="P472" i="9" s="1"/>
  <c r="L472" i="9"/>
  <c r="K472" i="9"/>
  <c r="J472" i="9"/>
  <c r="H472" i="9"/>
  <c r="F472" i="9"/>
  <c r="E472" i="9"/>
  <c r="AC471" i="9"/>
  <c r="AB471" i="9"/>
  <c r="AA471" i="9"/>
  <c r="Z471" i="9"/>
  <c r="R471" i="9"/>
  <c r="M471" i="9"/>
  <c r="O471" i="9" s="1"/>
  <c r="L471" i="9"/>
  <c r="K471" i="9"/>
  <c r="J471" i="9"/>
  <c r="H471" i="9"/>
  <c r="F471" i="9"/>
  <c r="E471" i="9"/>
  <c r="AC470" i="9"/>
  <c r="AB470" i="9"/>
  <c r="AA470" i="9"/>
  <c r="Z470" i="9"/>
  <c r="R470" i="9"/>
  <c r="M470" i="9"/>
  <c r="N470" i="9" s="1"/>
  <c r="L470" i="9"/>
  <c r="K470" i="9"/>
  <c r="J470" i="9"/>
  <c r="H470" i="9"/>
  <c r="F470" i="9"/>
  <c r="E470" i="9"/>
  <c r="AC469" i="9"/>
  <c r="AB469" i="9"/>
  <c r="AA469" i="9"/>
  <c r="Z469" i="9"/>
  <c r="R469" i="9"/>
  <c r="M469" i="9"/>
  <c r="L469" i="9"/>
  <c r="K469" i="9"/>
  <c r="J469" i="9"/>
  <c r="H469" i="9"/>
  <c r="F469" i="9"/>
  <c r="E469" i="9"/>
  <c r="AC468" i="9"/>
  <c r="AB468" i="9"/>
  <c r="AA468" i="9"/>
  <c r="Z468" i="9"/>
  <c r="R468" i="9"/>
  <c r="M468" i="9"/>
  <c r="L468" i="9"/>
  <c r="K468" i="9"/>
  <c r="J468" i="9"/>
  <c r="H468" i="9"/>
  <c r="F468" i="9"/>
  <c r="E468" i="9"/>
  <c r="AC467" i="9"/>
  <c r="AB467" i="9"/>
  <c r="AA467" i="9"/>
  <c r="Z467" i="9"/>
  <c r="R467" i="9"/>
  <c r="M467" i="9"/>
  <c r="L467" i="9"/>
  <c r="K467" i="9"/>
  <c r="J467" i="9"/>
  <c r="H467" i="9"/>
  <c r="F467" i="9"/>
  <c r="E467" i="9"/>
  <c r="AC466" i="9"/>
  <c r="AB466" i="9"/>
  <c r="AA466" i="9"/>
  <c r="Z466" i="9"/>
  <c r="R466" i="9"/>
  <c r="M466" i="9"/>
  <c r="L466" i="9"/>
  <c r="K466" i="9"/>
  <c r="J466" i="9"/>
  <c r="H466" i="9"/>
  <c r="F466" i="9"/>
  <c r="E466" i="9"/>
  <c r="AC465" i="9"/>
  <c r="AB465" i="9"/>
  <c r="AA465" i="9"/>
  <c r="Z465" i="9"/>
  <c r="R465" i="9"/>
  <c r="M465" i="9"/>
  <c r="L465" i="9"/>
  <c r="K465" i="9"/>
  <c r="J465" i="9"/>
  <c r="H465" i="9"/>
  <c r="F465" i="9"/>
  <c r="E465" i="9"/>
  <c r="AC464" i="9"/>
  <c r="AB464" i="9"/>
  <c r="AA464" i="9"/>
  <c r="Z464" i="9"/>
  <c r="R464" i="9"/>
  <c r="M464" i="9"/>
  <c r="L464" i="9"/>
  <c r="K464" i="9"/>
  <c r="J464" i="9"/>
  <c r="H464" i="9"/>
  <c r="F464" i="9"/>
  <c r="E464" i="9"/>
  <c r="AC463" i="9"/>
  <c r="AB463" i="9"/>
  <c r="AA463" i="9"/>
  <c r="Z463" i="9"/>
  <c r="R463" i="9"/>
  <c r="M463" i="9"/>
  <c r="O463" i="9" s="1"/>
  <c r="L463" i="9"/>
  <c r="K463" i="9"/>
  <c r="J463" i="9"/>
  <c r="H463" i="9"/>
  <c r="F463" i="9"/>
  <c r="E463" i="9"/>
  <c r="AC462" i="9"/>
  <c r="AB462" i="9"/>
  <c r="AA462" i="9"/>
  <c r="Z462" i="9"/>
  <c r="R462" i="9"/>
  <c r="M462" i="9"/>
  <c r="L462" i="9"/>
  <c r="K462" i="9"/>
  <c r="J462" i="9"/>
  <c r="H462" i="9"/>
  <c r="F462" i="9"/>
  <c r="E462" i="9"/>
  <c r="AC461" i="9"/>
  <c r="AB461" i="9"/>
  <c r="AA461" i="9"/>
  <c r="Z461" i="9"/>
  <c r="R461" i="9"/>
  <c r="M461" i="9"/>
  <c r="P461" i="9" s="1"/>
  <c r="L461" i="9"/>
  <c r="K461" i="9"/>
  <c r="J461" i="9"/>
  <c r="H461" i="9"/>
  <c r="F461" i="9"/>
  <c r="E461" i="9"/>
  <c r="AC460" i="9"/>
  <c r="AB460" i="9"/>
  <c r="AA460" i="9"/>
  <c r="Z460" i="9"/>
  <c r="R460" i="9"/>
  <c r="M460" i="9"/>
  <c r="N460" i="9" s="1"/>
  <c r="L460" i="9"/>
  <c r="K460" i="9"/>
  <c r="J460" i="9"/>
  <c r="H460" i="9"/>
  <c r="F460" i="9"/>
  <c r="E460" i="9"/>
  <c r="AC459" i="9"/>
  <c r="AB459" i="9"/>
  <c r="AA459" i="9"/>
  <c r="Z459" i="9"/>
  <c r="R459" i="9"/>
  <c r="M459" i="9"/>
  <c r="L459" i="9"/>
  <c r="K459" i="9"/>
  <c r="J459" i="9"/>
  <c r="H459" i="9"/>
  <c r="F459" i="9"/>
  <c r="E459" i="9"/>
  <c r="AC458" i="9"/>
  <c r="AB458" i="9"/>
  <c r="AA458" i="9"/>
  <c r="Z458" i="9"/>
  <c r="R458" i="9"/>
  <c r="M458" i="9"/>
  <c r="N458" i="9" s="1"/>
  <c r="L458" i="9"/>
  <c r="K458" i="9"/>
  <c r="J458" i="9"/>
  <c r="H458" i="9"/>
  <c r="F458" i="9"/>
  <c r="E458" i="9"/>
  <c r="AC457" i="9"/>
  <c r="AB457" i="9"/>
  <c r="AA457" i="9"/>
  <c r="Z457" i="9"/>
  <c r="R457" i="9"/>
  <c r="M457" i="9"/>
  <c r="L457" i="9"/>
  <c r="K457" i="9"/>
  <c r="J457" i="9"/>
  <c r="H457" i="9"/>
  <c r="F457" i="9"/>
  <c r="E457" i="9"/>
  <c r="AC456" i="9"/>
  <c r="AB456" i="9"/>
  <c r="AA456" i="9"/>
  <c r="Z456" i="9"/>
  <c r="R456" i="9"/>
  <c r="M456" i="9"/>
  <c r="P456" i="9" s="1"/>
  <c r="L456" i="9"/>
  <c r="K456" i="9"/>
  <c r="J456" i="9"/>
  <c r="H456" i="9"/>
  <c r="F456" i="9"/>
  <c r="E456" i="9"/>
  <c r="AC455" i="9"/>
  <c r="AB455" i="9"/>
  <c r="AA455" i="9"/>
  <c r="Z455" i="9"/>
  <c r="R455" i="9"/>
  <c r="M455" i="9"/>
  <c r="L455" i="9"/>
  <c r="K455" i="9"/>
  <c r="J455" i="9"/>
  <c r="H455" i="9"/>
  <c r="F455" i="9"/>
  <c r="E455" i="9"/>
  <c r="AC454" i="9"/>
  <c r="AB454" i="9"/>
  <c r="AA454" i="9"/>
  <c r="Z454" i="9"/>
  <c r="R454" i="9"/>
  <c r="M454" i="9"/>
  <c r="N454" i="9" s="1"/>
  <c r="L454" i="9"/>
  <c r="K454" i="9"/>
  <c r="J454" i="9"/>
  <c r="H454" i="9"/>
  <c r="F454" i="9"/>
  <c r="E454" i="9"/>
  <c r="AC453" i="9"/>
  <c r="AB453" i="9"/>
  <c r="AA453" i="9"/>
  <c r="Z453" i="9"/>
  <c r="R453" i="9"/>
  <c r="M453" i="9"/>
  <c r="N453" i="9" s="1"/>
  <c r="L453" i="9"/>
  <c r="K453" i="9"/>
  <c r="J453" i="9"/>
  <c r="H453" i="9"/>
  <c r="F453" i="9"/>
  <c r="E453" i="9"/>
  <c r="AC452" i="9"/>
  <c r="AB452" i="9"/>
  <c r="AA452" i="9"/>
  <c r="Z452" i="9"/>
  <c r="R452" i="9"/>
  <c r="M452" i="9"/>
  <c r="L452" i="9"/>
  <c r="K452" i="9"/>
  <c r="J452" i="9"/>
  <c r="H452" i="9"/>
  <c r="F452" i="9"/>
  <c r="E452" i="9"/>
  <c r="AC451" i="9"/>
  <c r="AB451" i="9"/>
  <c r="AA451" i="9"/>
  <c r="Z451" i="9"/>
  <c r="R451" i="9"/>
  <c r="M451" i="9"/>
  <c r="L451" i="9"/>
  <c r="K451" i="9"/>
  <c r="J451" i="9"/>
  <c r="H451" i="9"/>
  <c r="F451" i="9"/>
  <c r="E451" i="9"/>
  <c r="AC450" i="9"/>
  <c r="AB450" i="9"/>
  <c r="AA450" i="9"/>
  <c r="Z450" i="9"/>
  <c r="R450" i="9"/>
  <c r="M450" i="9"/>
  <c r="L450" i="9"/>
  <c r="K450" i="9"/>
  <c r="J450" i="9"/>
  <c r="H450" i="9"/>
  <c r="F450" i="9"/>
  <c r="E450" i="9"/>
  <c r="AC449" i="9"/>
  <c r="AB449" i="9"/>
  <c r="AA449" i="9"/>
  <c r="Z449" i="9"/>
  <c r="R449" i="9"/>
  <c r="M449" i="9"/>
  <c r="N449" i="9" s="1"/>
  <c r="L449" i="9"/>
  <c r="K449" i="9"/>
  <c r="J449" i="9"/>
  <c r="H449" i="9"/>
  <c r="F449" i="9"/>
  <c r="E449" i="9"/>
  <c r="AC448" i="9"/>
  <c r="AB448" i="9"/>
  <c r="AA448" i="9"/>
  <c r="Z448" i="9"/>
  <c r="R448" i="9"/>
  <c r="M448" i="9"/>
  <c r="L448" i="9"/>
  <c r="K448" i="9"/>
  <c r="J448" i="9"/>
  <c r="H448" i="9"/>
  <c r="F448" i="9"/>
  <c r="E448" i="9"/>
  <c r="AC447" i="9"/>
  <c r="AB447" i="9"/>
  <c r="AA447" i="9"/>
  <c r="Z447" i="9"/>
  <c r="R447" i="9"/>
  <c r="M447" i="9"/>
  <c r="L447" i="9"/>
  <c r="K447" i="9"/>
  <c r="J447" i="9"/>
  <c r="H447" i="9"/>
  <c r="F447" i="9"/>
  <c r="E447" i="9"/>
  <c r="AC446" i="9"/>
  <c r="AB446" i="9"/>
  <c r="AA446" i="9"/>
  <c r="Z446" i="9"/>
  <c r="R446" i="9"/>
  <c r="M446" i="9"/>
  <c r="L446" i="9"/>
  <c r="K446" i="9"/>
  <c r="J446" i="9"/>
  <c r="H446" i="9"/>
  <c r="F446" i="9"/>
  <c r="E446" i="9"/>
  <c r="AC445" i="9"/>
  <c r="AB445" i="9"/>
  <c r="AA445" i="9"/>
  <c r="Z445" i="9"/>
  <c r="R445" i="9"/>
  <c r="M445" i="9"/>
  <c r="L445" i="9"/>
  <c r="K445" i="9"/>
  <c r="J445" i="9"/>
  <c r="H445" i="9"/>
  <c r="F445" i="9"/>
  <c r="E445" i="9"/>
  <c r="AC444" i="9"/>
  <c r="AB444" i="9"/>
  <c r="AA444" i="9"/>
  <c r="Z444" i="9"/>
  <c r="R444" i="9"/>
  <c r="M444" i="9"/>
  <c r="N444" i="9" s="1"/>
  <c r="L444" i="9"/>
  <c r="K444" i="9"/>
  <c r="J444" i="9"/>
  <c r="H444" i="9"/>
  <c r="F444" i="9"/>
  <c r="E444" i="9"/>
  <c r="AC443" i="9"/>
  <c r="AB443" i="9"/>
  <c r="AA443" i="9"/>
  <c r="Z443" i="9"/>
  <c r="R443" i="9"/>
  <c r="M443" i="9"/>
  <c r="L443" i="9"/>
  <c r="K443" i="9"/>
  <c r="J443" i="9"/>
  <c r="H443" i="9"/>
  <c r="F443" i="9"/>
  <c r="E443" i="9"/>
  <c r="AC442" i="9"/>
  <c r="AB442" i="9"/>
  <c r="AA442" i="9"/>
  <c r="Z442" i="9"/>
  <c r="R442" i="9"/>
  <c r="M442" i="9"/>
  <c r="O442" i="9" s="1"/>
  <c r="L442" i="9"/>
  <c r="K442" i="9"/>
  <c r="J442" i="9"/>
  <c r="H442" i="9"/>
  <c r="F442" i="9"/>
  <c r="E442" i="9"/>
  <c r="AC441" i="9"/>
  <c r="AB441" i="9"/>
  <c r="AA441" i="9"/>
  <c r="Z441" i="9"/>
  <c r="R441" i="9"/>
  <c r="M441" i="9"/>
  <c r="L441" i="9"/>
  <c r="K441" i="9"/>
  <c r="J441" i="9"/>
  <c r="H441" i="9"/>
  <c r="F441" i="9"/>
  <c r="E441" i="9"/>
  <c r="AC440" i="9"/>
  <c r="AB440" i="9"/>
  <c r="AA440" i="9"/>
  <c r="Z440" i="9"/>
  <c r="R440" i="9"/>
  <c r="M440" i="9"/>
  <c r="P440" i="9" s="1"/>
  <c r="L440" i="9"/>
  <c r="K440" i="9"/>
  <c r="J440" i="9"/>
  <c r="H440" i="9"/>
  <c r="F440" i="9"/>
  <c r="E440" i="9"/>
  <c r="AC439" i="9"/>
  <c r="AB439" i="9"/>
  <c r="AA439" i="9"/>
  <c r="Z439" i="9"/>
  <c r="R439" i="9"/>
  <c r="M439" i="9"/>
  <c r="L439" i="9"/>
  <c r="K439" i="9"/>
  <c r="J439" i="9"/>
  <c r="H439" i="9"/>
  <c r="F439" i="9"/>
  <c r="E439" i="9"/>
  <c r="AC438" i="9"/>
  <c r="AB438" i="9"/>
  <c r="AA438" i="9"/>
  <c r="Z438" i="9"/>
  <c r="R438" i="9"/>
  <c r="M438" i="9"/>
  <c r="L438" i="9"/>
  <c r="K438" i="9"/>
  <c r="J438" i="9"/>
  <c r="H438" i="9"/>
  <c r="F438" i="9"/>
  <c r="E438" i="9"/>
  <c r="AC437" i="9"/>
  <c r="AB437" i="9"/>
  <c r="AA437" i="9"/>
  <c r="Z437" i="9"/>
  <c r="R437" i="9"/>
  <c r="M437" i="9"/>
  <c r="L437" i="9"/>
  <c r="K437" i="9"/>
  <c r="J437" i="9"/>
  <c r="H437" i="9"/>
  <c r="F437" i="9"/>
  <c r="E437" i="9"/>
  <c r="AC436" i="9"/>
  <c r="AB436" i="9"/>
  <c r="AA436" i="9"/>
  <c r="Z436" i="9"/>
  <c r="R436" i="9"/>
  <c r="M436" i="9"/>
  <c r="L436" i="9"/>
  <c r="K436" i="9"/>
  <c r="J436" i="9"/>
  <c r="H436" i="9"/>
  <c r="F436" i="9"/>
  <c r="E436" i="9"/>
  <c r="AC435" i="9"/>
  <c r="AB435" i="9"/>
  <c r="AA435" i="9"/>
  <c r="Z435" i="9"/>
  <c r="R435" i="9"/>
  <c r="M435" i="9"/>
  <c r="L435" i="9"/>
  <c r="K435" i="9"/>
  <c r="J435" i="9"/>
  <c r="H435" i="9"/>
  <c r="F435" i="9"/>
  <c r="E435" i="9"/>
  <c r="AC434" i="9"/>
  <c r="AB434" i="9"/>
  <c r="AA434" i="9"/>
  <c r="Z434" i="9"/>
  <c r="R434" i="9"/>
  <c r="M434" i="9"/>
  <c r="O434" i="9" s="1"/>
  <c r="L434" i="9"/>
  <c r="K434" i="9"/>
  <c r="J434" i="9"/>
  <c r="H434" i="9"/>
  <c r="F434" i="9"/>
  <c r="E434" i="9"/>
  <c r="AC433" i="9"/>
  <c r="AB433" i="9"/>
  <c r="AA433" i="9"/>
  <c r="Z433" i="9"/>
  <c r="R433" i="9"/>
  <c r="M433" i="9"/>
  <c r="N433" i="9" s="1"/>
  <c r="L433" i="9"/>
  <c r="K433" i="9"/>
  <c r="J433" i="9"/>
  <c r="H433" i="9"/>
  <c r="F433" i="9"/>
  <c r="E433" i="9"/>
  <c r="AC432" i="9"/>
  <c r="AB432" i="9"/>
  <c r="AA432" i="9"/>
  <c r="Z432" i="9"/>
  <c r="R432" i="9"/>
  <c r="M432" i="9"/>
  <c r="L432" i="9"/>
  <c r="K432" i="9"/>
  <c r="J432" i="9"/>
  <c r="H432" i="9"/>
  <c r="F432" i="9"/>
  <c r="E432" i="9"/>
  <c r="AC431" i="9"/>
  <c r="AB431" i="9"/>
  <c r="AA431" i="9"/>
  <c r="Z431" i="9"/>
  <c r="R431" i="9"/>
  <c r="M431" i="9"/>
  <c r="L431" i="9"/>
  <c r="K431" i="9"/>
  <c r="J431" i="9"/>
  <c r="H431" i="9"/>
  <c r="F431" i="9"/>
  <c r="E431" i="9"/>
  <c r="AC430" i="9"/>
  <c r="AB430" i="9"/>
  <c r="AA430" i="9"/>
  <c r="Z430" i="9"/>
  <c r="R430" i="9"/>
  <c r="M430" i="9"/>
  <c r="L430" i="9"/>
  <c r="K430" i="9"/>
  <c r="J430" i="9"/>
  <c r="H430" i="9"/>
  <c r="F430" i="9"/>
  <c r="E430" i="9"/>
  <c r="AC429" i="9"/>
  <c r="AB429" i="9"/>
  <c r="AA429" i="9"/>
  <c r="Z429" i="9"/>
  <c r="R429" i="9"/>
  <c r="M429" i="9"/>
  <c r="L429" i="9"/>
  <c r="K429" i="9"/>
  <c r="J429" i="9"/>
  <c r="H429" i="9"/>
  <c r="F429" i="9"/>
  <c r="E429" i="9"/>
  <c r="AC428" i="9"/>
  <c r="AB428" i="9"/>
  <c r="AA428" i="9"/>
  <c r="Z428" i="9"/>
  <c r="R428" i="9"/>
  <c r="M428" i="9"/>
  <c r="N428" i="9" s="1"/>
  <c r="L428" i="9"/>
  <c r="K428" i="9"/>
  <c r="J428" i="9"/>
  <c r="H428" i="9"/>
  <c r="F428" i="9"/>
  <c r="E428" i="9"/>
  <c r="AC427" i="9"/>
  <c r="AB427" i="9"/>
  <c r="AA427" i="9"/>
  <c r="Z427" i="9"/>
  <c r="R427" i="9"/>
  <c r="M427" i="9"/>
  <c r="L427" i="9"/>
  <c r="K427" i="9"/>
  <c r="J427" i="9"/>
  <c r="H427" i="9"/>
  <c r="F427" i="9"/>
  <c r="E427" i="9"/>
  <c r="AC426" i="9"/>
  <c r="AB426" i="9"/>
  <c r="AA426" i="9"/>
  <c r="Z426" i="9"/>
  <c r="R426" i="9"/>
  <c r="M426" i="9"/>
  <c r="L426" i="9"/>
  <c r="K426" i="9"/>
  <c r="J426" i="9"/>
  <c r="H426" i="9"/>
  <c r="F426" i="9"/>
  <c r="E426" i="9"/>
  <c r="AC425" i="9"/>
  <c r="AB425" i="9"/>
  <c r="AA425" i="9"/>
  <c r="Z425" i="9"/>
  <c r="R425" i="9"/>
  <c r="M425" i="9"/>
  <c r="L425" i="9"/>
  <c r="K425" i="9"/>
  <c r="J425" i="9"/>
  <c r="H425" i="9"/>
  <c r="F425" i="9"/>
  <c r="E425" i="9"/>
  <c r="AC424" i="9"/>
  <c r="AB424" i="9"/>
  <c r="AA424" i="9"/>
  <c r="Z424" i="9"/>
  <c r="R424" i="9"/>
  <c r="M424" i="9"/>
  <c r="P424" i="9" s="1"/>
  <c r="L424" i="9"/>
  <c r="K424" i="9"/>
  <c r="J424" i="9"/>
  <c r="H424" i="9"/>
  <c r="F424" i="9"/>
  <c r="E424" i="9"/>
  <c r="AC423" i="9"/>
  <c r="AB423" i="9"/>
  <c r="AA423" i="9"/>
  <c r="Z423" i="9"/>
  <c r="R423" i="9"/>
  <c r="M423" i="9"/>
  <c r="L423" i="9"/>
  <c r="K423" i="9"/>
  <c r="J423" i="9"/>
  <c r="H423" i="9"/>
  <c r="F423" i="9"/>
  <c r="E423" i="9"/>
  <c r="AC422" i="9"/>
  <c r="AB422" i="9"/>
  <c r="AA422" i="9"/>
  <c r="Z422" i="9"/>
  <c r="R422" i="9"/>
  <c r="M422" i="9"/>
  <c r="O422" i="9" s="1"/>
  <c r="L422" i="9"/>
  <c r="K422" i="9"/>
  <c r="J422" i="9"/>
  <c r="H422" i="9"/>
  <c r="F422" i="9"/>
  <c r="E422" i="9"/>
  <c r="AC421" i="9"/>
  <c r="AB421" i="9"/>
  <c r="AA421" i="9"/>
  <c r="Z421" i="9"/>
  <c r="R421" i="9"/>
  <c r="M421" i="9"/>
  <c r="L421" i="9"/>
  <c r="K421" i="9"/>
  <c r="J421" i="9"/>
  <c r="H421" i="9"/>
  <c r="F421" i="9"/>
  <c r="E421" i="9"/>
  <c r="AC420" i="9"/>
  <c r="AB420" i="9"/>
  <c r="AA420" i="9"/>
  <c r="Z420" i="9"/>
  <c r="R420" i="9"/>
  <c r="M420" i="9"/>
  <c r="L420" i="9"/>
  <c r="K420" i="9"/>
  <c r="J420" i="9"/>
  <c r="H420" i="9"/>
  <c r="F420" i="9"/>
  <c r="E420" i="9"/>
  <c r="AC419" i="9"/>
  <c r="AB419" i="9"/>
  <c r="AA419" i="9"/>
  <c r="Z419" i="9"/>
  <c r="R419" i="9"/>
  <c r="M419" i="9"/>
  <c r="L419" i="9"/>
  <c r="K419" i="9"/>
  <c r="J419" i="9"/>
  <c r="H419" i="9"/>
  <c r="F419" i="9"/>
  <c r="E419" i="9"/>
  <c r="AC418" i="9"/>
  <c r="AB418" i="9"/>
  <c r="AA418" i="9"/>
  <c r="Z418" i="9"/>
  <c r="R418" i="9"/>
  <c r="M418" i="9"/>
  <c r="O418" i="9" s="1"/>
  <c r="L418" i="9"/>
  <c r="K418" i="9"/>
  <c r="J418" i="9"/>
  <c r="H418" i="9"/>
  <c r="F418" i="9"/>
  <c r="E418" i="9"/>
  <c r="AC417" i="9"/>
  <c r="AB417" i="9"/>
  <c r="AA417" i="9"/>
  <c r="Z417" i="9"/>
  <c r="R417" i="9"/>
  <c r="M417" i="9"/>
  <c r="P417" i="9" s="1"/>
  <c r="L417" i="9"/>
  <c r="K417" i="9"/>
  <c r="J417" i="9"/>
  <c r="H417" i="9"/>
  <c r="F417" i="9"/>
  <c r="E417" i="9"/>
  <c r="AC416" i="9"/>
  <c r="AB416" i="9"/>
  <c r="AA416" i="9"/>
  <c r="Z416" i="9"/>
  <c r="R416" i="9"/>
  <c r="M416" i="9"/>
  <c r="L416" i="9"/>
  <c r="K416" i="9"/>
  <c r="J416" i="9"/>
  <c r="H416" i="9"/>
  <c r="F416" i="9"/>
  <c r="E416" i="9"/>
  <c r="AC415" i="9"/>
  <c r="AB415" i="9"/>
  <c r="AA415" i="9"/>
  <c r="Z415" i="9"/>
  <c r="R415" i="9"/>
  <c r="M415" i="9"/>
  <c r="L415" i="9"/>
  <c r="K415" i="9"/>
  <c r="J415" i="9"/>
  <c r="H415" i="9"/>
  <c r="F415" i="9"/>
  <c r="E415" i="9"/>
  <c r="AC414" i="9"/>
  <c r="AB414" i="9"/>
  <c r="AA414" i="9"/>
  <c r="Z414" i="9"/>
  <c r="R414" i="9"/>
  <c r="M414" i="9"/>
  <c r="L414" i="9"/>
  <c r="K414" i="9"/>
  <c r="J414" i="9"/>
  <c r="H414" i="9"/>
  <c r="F414" i="9"/>
  <c r="E414" i="9"/>
  <c r="AC413" i="9"/>
  <c r="AB413" i="9"/>
  <c r="AA413" i="9"/>
  <c r="Z413" i="9"/>
  <c r="R413" i="9"/>
  <c r="M413" i="9"/>
  <c r="L413" i="9"/>
  <c r="K413" i="9"/>
  <c r="J413" i="9"/>
  <c r="H413" i="9"/>
  <c r="F413" i="9"/>
  <c r="E413" i="9"/>
  <c r="AC412" i="9"/>
  <c r="AB412" i="9"/>
  <c r="AA412" i="9"/>
  <c r="Z412" i="9"/>
  <c r="R412" i="9"/>
  <c r="M412" i="9"/>
  <c r="L412" i="9"/>
  <c r="K412" i="9"/>
  <c r="J412" i="9"/>
  <c r="H412" i="9"/>
  <c r="F412" i="9"/>
  <c r="E412" i="9"/>
  <c r="AC411" i="9"/>
  <c r="AB411" i="9"/>
  <c r="AA411" i="9"/>
  <c r="Z411" i="9"/>
  <c r="R411" i="9"/>
  <c r="M411" i="9"/>
  <c r="L411" i="9"/>
  <c r="K411" i="9"/>
  <c r="J411" i="9"/>
  <c r="H411" i="9"/>
  <c r="F411" i="9"/>
  <c r="E411" i="9"/>
  <c r="AC410" i="9"/>
  <c r="AB410" i="9"/>
  <c r="AA410" i="9"/>
  <c r="Z410" i="9"/>
  <c r="R410" i="9"/>
  <c r="M410" i="9"/>
  <c r="O410" i="9" s="1"/>
  <c r="L410" i="9"/>
  <c r="K410" i="9"/>
  <c r="J410" i="9"/>
  <c r="H410" i="9"/>
  <c r="F410" i="9"/>
  <c r="E410" i="9"/>
  <c r="AC409" i="9"/>
  <c r="AB409" i="9"/>
  <c r="AA409" i="9"/>
  <c r="Z409" i="9"/>
  <c r="R409" i="9"/>
  <c r="M409" i="9"/>
  <c r="L409" i="9"/>
  <c r="K409" i="9"/>
  <c r="J409" i="9"/>
  <c r="H409" i="9"/>
  <c r="F409" i="9"/>
  <c r="E409" i="9"/>
  <c r="AC408" i="9"/>
  <c r="AB408" i="9"/>
  <c r="AA408" i="9"/>
  <c r="Z408" i="9"/>
  <c r="R408" i="9"/>
  <c r="M408" i="9"/>
  <c r="O408" i="9" s="1"/>
  <c r="L408" i="9"/>
  <c r="K408" i="9"/>
  <c r="J408" i="9"/>
  <c r="H408" i="9"/>
  <c r="F408" i="9"/>
  <c r="E408" i="9"/>
  <c r="AC407" i="9"/>
  <c r="AB407" i="9"/>
  <c r="AA407" i="9"/>
  <c r="Z407" i="9"/>
  <c r="R407" i="9"/>
  <c r="M407" i="9"/>
  <c r="L407" i="9"/>
  <c r="K407" i="9"/>
  <c r="J407" i="9"/>
  <c r="H407" i="9"/>
  <c r="F407" i="9"/>
  <c r="E407" i="9"/>
  <c r="AC406" i="9"/>
  <c r="AB406" i="9"/>
  <c r="AA406" i="9"/>
  <c r="Z406" i="9"/>
  <c r="R406" i="9"/>
  <c r="M406" i="9"/>
  <c r="L406" i="9"/>
  <c r="K406" i="9"/>
  <c r="J406" i="9"/>
  <c r="H406" i="9"/>
  <c r="F406" i="9"/>
  <c r="E406" i="9"/>
  <c r="AC405" i="9"/>
  <c r="AB405" i="9"/>
  <c r="AA405" i="9"/>
  <c r="Z405" i="9"/>
  <c r="R405" i="9"/>
  <c r="M405" i="9"/>
  <c r="L405" i="9"/>
  <c r="K405" i="9"/>
  <c r="J405" i="9"/>
  <c r="H405" i="9"/>
  <c r="F405" i="9"/>
  <c r="E405" i="9"/>
  <c r="AC404" i="9"/>
  <c r="AB404" i="9"/>
  <c r="AA404" i="9"/>
  <c r="Z404" i="9"/>
  <c r="R404" i="9"/>
  <c r="M404" i="9"/>
  <c r="P404" i="9" s="1"/>
  <c r="L404" i="9"/>
  <c r="K404" i="9"/>
  <c r="J404" i="9"/>
  <c r="H404" i="9"/>
  <c r="F404" i="9"/>
  <c r="E404" i="9"/>
  <c r="AC403" i="9"/>
  <c r="AB403" i="9"/>
  <c r="AA403" i="9"/>
  <c r="Z403" i="9"/>
  <c r="R403" i="9"/>
  <c r="M403" i="9"/>
  <c r="L403" i="9"/>
  <c r="K403" i="9"/>
  <c r="J403" i="9"/>
  <c r="H403" i="9"/>
  <c r="F403" i="9"/>
  <c r="E403" i="9"/>
  <c r="AC402" i="9"/>
  <c r="AB402" i="9"/>
  <c r="AA402" i="9"/>
  <c r="Z402" i="9"/>
  <c r="R402" i="9"/>
  <c r="M402" i="9"/>
  <c r="L402" i="9"/>
  <c r="K402" i="9"/>
  <c r="J402" i="9"/>
  <c r="H402" i="9"/>
  <c r="F402" i="9"/>
  <c r="E402" i="9"/>
  <c r="AC401" i="9"/>
  <c r="AB401" i="9"/>
  <c r="AA401" i="9"/>
  <c r="Z401" i="9"/>
  <c r="R401" i="9"/>
  <c r="M401" i="9"/>
  <c r="L401" i="9"/>
  <c r="K401" i="9"/>
  <c r="J401" i="9"/>
  <c r="H401" i="9"/>
  <c r="F401" i="9"/>
  <c r="E401" i="9"/>
  <c r="AC400" i="9"/>
  <c r="AB400" i="9"/>
  <c r="AA400" i="9"/>
  <c r="Z400" i="9"/>
  <c r="R400" i="9"/>
  <c r="M400" i="9"/>
  <c r="P400" i="9" s="1"/>
  <c r="L400" i="9"/>
  <c r="K400" i="9"/>
  <c r="J400" i="9"/>
  <c r="H400" i="9"/>
  <c r="F400" i="9"/>
  <c r="E400" i="9"/>
  <c r="AC399" i="9"/>
  <c r="AB399" i="9"/>
  <c r="AA399" i="9"/>
  <c r="Z399" i="9"/>
  <c r="R399" i="9"/>
  <c r="M399" i="9"/>
  <c r="L399" i="9"/>
  <c r="K399" i="9"/>
  <c r="J399" i="9"/>
  <c r="H399" i="9"/>
  <c r="F399" i="9"/>
  <c r="E399" i="9"/>
  <c r="AC398" i="9"/>
  <c r="AB398" i="9"/>
  <c r="AA398" i="9"/>
  <c r="Z398" i="9"/>
  <c r="R398" i="9"/>
  <c r="M398" i="9"/>
  <c r="L398" i="9"/>
  <c r="K398" i="9"/>
  <c r="J398" i="9"/>
  <c r="H398" i="9"/>
  <c r="F398" i="9"/>
  <c r="E398" i="9"/>
  <c r="AC397" i="9"/>
  <c r="AB397" i="9"/>
  <c r="AA397" i="9"/>
  <c r="Z397" i="9"/>
  <c r="R397" i="9"/>
  <c r="M397" i="9"/>
  <c r="L397" i="9"/>
  <c r="K397" i="9"/>
  <c r="J397" i="9"/>
  <c r="H397" i="9"/>
  <c r="F397" i="9"/>
  <c r="E397" i="9"/>
  <c r="AC396" i="9"/>
  <c r="AB396" i="9"/>
  <c r="AA396" i="9"/>
  <c r="Z396" i="9"/>
  <c r="R396" i="9"/>
  <c r="M396" i="9"/>
  <c r="P396" i="9" s="1"/>
  <c r="L396" i="9"/>
  <c r="K396" i="9"/>
  <c r="J396" i="9"/>
  <c r="H396" i="9"/>
  <c r="F396" i="9"/>
  <c r="E396" i="9"/>
  <c r="AC395" i="9"/>
  <c r="AB395" i="9"/>
  <c r="AA395" i="9"/>
  <c r="Z395" i="9"/>
  <c r="R395" i="9"/>
  <c r="M395" i="9"/>
  <c r="L395" i="9"/>
  <c r="K395" i="9"/>
  <c r="J395" i="9"/>
  <c r="H395" i="9"/>
  <c r="F395" i="9"/>
  <c r="E395" i="9"/>
  <c r="AC394" i="9"/>
  <c r="AB394" i="9"/>
  <c r="AA394" i="9"/>
  <c r="Z394" i="9"/>
  <c r="R394" i="9"/>
  <c r="M394" i="9"/>
  <c r="O394" i="9" s="1"/>
  <c r="L394" i="9"/>
  <c r="K394" i="9"/>
  <c r="J394" i="9"/>
  <c r="H394" i="9"/>
  <c r="F394" i="9"/>
  <c r="E394" i="9"/>
  <c r="AC393" i="9"/>
  <c r="AB393" i="9"/>
  <c r="AA393" i="9"/>
  <c r="Z393" i="9"/>
  <c r="R393" i="9"/>
  <c r="M393" i="9"/>
  <c r="L393" i="9"/>
  <c r="K393" i="9"/>
  <c r="J393" i="9"/>
  <c r="H393" i="9"/>
  <c r="F393" i="9"/>
  <c r="E393" i="9"/>
  <c r="AC392" i="9"/>
  <c r="AB392" i="9"/>
  <c r="AA392" i="9"/>
  <c r="Z392" i="9"/>
  <c r="R392" i="9"/>
  <c r="M392" i="9"/>
  <c r="L392" i="9"/>
  <c r="K392" i="9"/>
  <c r="J392" i="9"/>
  <c r="H392" i="9"/>
  <c r="F392" i="9"/>
  <c r="E392" i="9"/>
  <c r="AC391" i="9"/>
  <c r="AB391" i="9"/>
  <c r="AA391" i="9"/>
  <c r="Z391" i="9"/>
  <c r="R391" i="9"/>
  <c r="M391" i="9"/>
  <c r="L391" i="9"/>
  <c r="K391" i="9"/>
  <c r="J391" i="9"/>
  <c r="H391" i="9"/>
  <c r="F391" i="9"/>
  <c r="E391" i="9"/>
  <c r="AC390" i="9"/>
  <c r="AB390" i="9"/>
  <c r="AA390" i="9"/>
  <c r="Z390" i="9"/>
  <c r="R390" i="9"/>
  <c r="M390" i="9"/>
  <c r="L390" i="9"/>
  <c r="K390" i="9"/>
  <c r="J390" i="9"/>
  <c r="H390" i="9"/>
  <c r="F390" i="9"/>
  <c r="E390" i="9"/>
  <c r="AC389" i="9"/>
  <c r="AB389" i="9"/>
  <c r="AA389" i="9"/>
  <c r="Z389" i="9"/>
  <c r="R389" i="9"/>
  <c r="M389" i="9"/>
  <c r="N389" i="9" s="1"/>
  <c r="L389" i="9"/>
  <c r="K389" i="9"/>
  <c r="J389" i="9"/>
  <c r="H389" i="9"/>
  <c r="F389" i="9"/>
  <c r="E389" i="9"/>
  <c r="AC388" i="9"/>
  <c r="AB388" i="9"/>
  <c r="AA388" i="9"/>
  <c r="Z388" i="9"/>
  <c r="R388" i="9"/>
  <c r="M388" i="9"/>
  <c r="L388" i="9"/>
  <c r="K388" i="9"/>
  <c r="J388" i="9"/>
  <c r="H388" i="9"/>
  <c r="F388" i="9"/>
  <c r="E388" i="9"/>
  <c r="AC387" i="9"/>
  <c r="AB387" i="9"/>
  <c r="AA387" i="9"/>
  <c r="Z387" i="9"/>
  <c r="R387" i="9"/>
  <c r="M387" i="9"/>
  <c r="L387" i="9"/>
  <c r="K387" i="9"/>
  <c r="J387" i="9"/>
  <c r="H387" i="9"/>
  <c r="F387" i="9"/>
  <c r="E387" i="9"/>
  <c r="AC386" i="9"/>
  <c r="AB386" i="9"/>
  <c r="AA386" i="9"/>
  <c r="Z386" i="9"/>
  <c r="R386" i="9"/>
  <c r="M386" i="9"/>
  <c r="O386" i="9" s="1"/>
  <c r="L386" i="9"/>
  <c r="K386" i="9"/>
  <c r="J386" i="9"/>
  <c r="H386" i="9"/>
  <c r="F386" i="9"/>
  <c r="E386" i="9"/>
  <c r="AC385" i="9"/>
  <c r="AB385" i="9"/>
  <c r="AA385" i="9"/>
  <c r="Z385" i="9"/>
  <c r="R385" i="9"/>
  <c r="M385" i="9"/>
  <c r="P385" i="9" s="1"/>
  <c r="L385" i="9"/>
  <c r="K385" i="9"/>
  <c r="J385" i="9"/>
  <c r="H385" i="9"/>
  <c r="F385" i="9"/>
  <c r="E385" i="9"/>
  <c r="AC384" i="9"/>
  <c r="AB384" i="9"/>
  <c r="AA384" i="9"/>
  <c r="Z384" i="9"/>
  <c r="R384" i="9"/>
  <c r="M384" i="9"/>
  <c r="L384" i="9"/>
  <c r="K384" i="9"/>
  <c r="J384" i="9"/>
  <c r="H384" i="9"/>
  <c r="F384" i="9"/>
  <c r="E384" i="9"/>
  <c r="AC383" i="9"/>
  <c r="AB383" i="9"/>
  <c r="AA383" i="9"/>
  <c r="Z383" i="9"/>
  <c r="R383" i="9"/>
  <c r="M383" i="9"/>
  <c r="L383" i="9"/>
  <c r="K383" i="9"/>
  <c r="J383" i="9"/>
  <c r="H383" i="9"/>
  <c r="F383" i="9"/>
  <c r="E383" i="9"/>
  <c r="AC382" i="9"/>
  <c r="AB382" i="9"/>
  <c r="AA382" i="9"/>
  <c r="Z382" i="9"/>
  <c r="R382" i="9"/>
  <c r="M382" i="9"/>
  <c r="L382" i="9"/>
  <c r="K382" i="9"/>
  <c r="J382" i="9"/>
  <c r="H382" i="9"/>
  <c r="F382" i="9"/>
  <c r="E382" i="9"/>
  <c r="AC381" i="9"/>
  <c r="AB381" i="9"/>
  <c r="AA381" i="9"/>
  <c r="Z381" i="9"/>
  <c r="R381" i="9"/>
  <c r="M381" i="9"/>
  <c r="N381" i="9" s="1"/>
  <c r="L381" i="9"/>
  <c r="K381" i="9"/>
  <c r="J381" i="9"/>
  <c r="H381" i="9"/>
  <c r="F381" i="9"/>
  <c r="E381" i="9"/>
  <c r="AC380" i="9"/>
  <c r="AB380" i="9"/>
  <c r="AA380" i="9"/>
  <c r="Z380" i="9"/>
  <c r="R380" i="9"/>
  <c r="M380" i="9"/>
  <c r="P380" i="9" s="1"/>
  <c r="L380" i="9"/>
  <c r="K380" i="9"/>
  <c r="J380" i="9"/>
  <c r="H380" i="9"/>
  <c r="F380" i="9"/>
  <c r="E380" i="9"/>
  <c r="AC379" i="9"/>
  <c r="AB379" i="9"/>
  <c r="AA379" i="9"/>
  <c r="Z379" i="9"/>
  <c r="R379" i="9"/>
  <c r="M379" i="9"/>
  <c r="L379" i="9"/>
  <c r="K379" i="9"/>
  <c r="J379" i="9"/>
  <c r="H379" i="9"/>
  <c r="F379" i="9"/>
  <c r="E379" i="9"/>
  <c r="AC378" i="9"/>
  <c r="AB378" i="9"/>
  <c r="AA378" i="9"/>
  <c r="Z378" i="9"/>
  <c r="R378" i="9"/>
  <c r="M378" i="9"/>
  <c r="L378" i="9"/>
  <c r="K378" i="9"/>
  <c r="J378" i="9"/>
  <c r="H378" i="9"/>
  <c r="F378" i="9"/>
  <c r="E378" i="9"/>
  <c r="AC377" i="9"/>
  <c r="AB377" i="9"/>
  <c r="AA377" i="9"/>
  <c r="Z377" i="9"/>
  <c r="R377" i="9"/>
  <c r="M377" i="9"/>
  <c r="P377" i="9" s="1"/>
  <c r="L377" i="9"/>
  <c r="K377" i="9"/>
  <c r="J377" i="9"/>
  <c r="H377" i="9"/>
  <c r="F377" i="9"/>
  <c r="E377" i="9"/>
  <c r="AC376" i="9"/>
  <c r="AB376" i="9"/>
  <c r="AA376" i="9"/>
  <c r="Z376" i="9"/>
  <c r="R376" i="9"/>
  <c r="M376" i="9"/>
  <c r="P376" i="9" s="1"/>
  <c r="L376" i="9"/>
  <c r="K376" i="9"/>
  <c r="J376" i="9"/>
  <c r="H376" i="9"/>
  <c r="F376" i="9"/>
  <c r="E376" i="9"/>
  <c r="AC375" i="9"/>
  <c r="AB375" i="9"/>
  <c r="AA375" i="9"/>
  <c r="Z375" i="9"/>
  <c r="R375" i="9"/>
  <c r="M375" i="9"/>
  <c r="L375" i="9"/>
  <c r="K375" i="9"/>
  <c r="J375" i="9"/>
  <c r="H375" i="9"/>
  <c r="F375" i="9"/>
  <c r="E375" i="9"/>
  <c r="AC374" i="9"/>
  <c r="AB374" i="9"/>
  <c r="AA374" i="9"/>
  <c r="Z374" i="9"/>
  <c r="R374" i="9"/>
  <c r="M374" i="9"/>
  <c r="L374" i="9"/>
  <c r="K374" i="9"/>
  <c r="J374" i="9"/>
  <c r="H374" i="9"/>
  <c r="F374" i="9"/>
  <c r="E374" i="9"/>
  <c r="AC373" i="9"/>
  <c r="AB373" i="9"/>
  <c r="AA373" i="9"/>
  <c r="Z373" i="9"/>
  <c r="R373" i="9"/>
  <c r="M373" i="9"/>
  <c r="O373" i="9" s="1"/>
  <c r="L373" i="9"/>
  <c r="K373" i="9"/>
  <c r="J373" i="9"/>
  <c r="H373" i="9"/>
  <c r="F373" i="9"/>
  <c r="E373" i="9"/>
  <c r="AC372" i="9"/>
  <c r="AB372" i="9"/>
  <c r="AA372" i="9"/>
  <c r="Z372" i="9"/>
  <c r="R372" i="9"/>
  <c r="M372" i="9"/>
  <c r="P372" i="9" s="1"/>
  <c r="L372" i="9"/>
  <c r="K372" i="9"/>
  <c r="J372" i="9"/>
  <c r="H372" i="9"/>
  <c r="F372" i="9"/>
  <c r="E372" i="9"/>
  <c r="AC371" i="9"/>
  <c r="AB371" i="9"/>
  <c r="AA371" i="9"/>
  <c r="Z371" i="9"/>
  <c r="R371" i="9"/>
  <c r="M371" i="9"/>
  <c r="L371" i="9"/>
  <c r="K371" i="9"/>
  <c r="J371" i="9"/>
  <c r="H371" i="9"/>
  <c r="F371" i="9"/>
  <c r="E371" i="9"/>
  <c r="AC370" i="9"/>
  <c r="AB370" i="9"/>
  <c r="AA370" i="9"/>
  <c r="Z370" i="9"/>
  <c r="R370" i="9"/>
  <c r="M370" i="9"/>
  <c r="O370" i="9" s="1"/>
  <c r="L370" i="9"/>
  <c r="K370" i="9"/>
  <c r="J370" i="9"/>
  <c r="H370" i="9"/>
  <c r="F370" i="9"/>
  <c r="E370" i="9"/>
  <c r="AC369" i="9"/>
  <c r="AB369" i="9"/>
  <c r="AA369" i="9"/>
  <c r="Z369" i="9"/>
  <c r="R369" i="9"/>
  <c r="M369" i="9"/>
  <c r="L369" i="9"/>
  <c r="K369" i="9"/>
  <c r="J369" i="9"/>
  <c r="H369" i="9"/>
  <c r="F369" i="9"/>
  <c r="E369" i="9"/>
  <c r="AC368" i="9"/>
  <c r="AB368" i="9"/>
  <c r="AA368" i="9"/>
  <c r="Z368" i="9"/>
  <c r="R368" i="9"/>
  <c r="M368" i="9"/>
  <c r="P368" i="9" s="1"/>
  <c r="L368" i="9"/>
  <c r="K368" i="9"/>
  <c r="J368" i="9"/>
  <c r="H368" i="9"/>
  <c r="F368" i="9"/>
  <c r="E368" i="9"/>
  <c r="AC367" i="9"/>
  <c r="AB367" i="9"/>
  <c r="AA367" i="9"/>
  <c r="Z367" i="9"/>
  <c r="R367" i="9"/>
  <c r="M367" i="9"/>
  <c r="L367" i="9"/>
  <c r="K367" i="9"/>
  <c r="J367" i="9"/>
  <c r="H367" i="9"/>
  <c r="F367" i="9"/>
  <c r="E367" i="9"/>
  <c r="AC366" i="9"/>
  <c r="AB366" i="9"/>
  <c r="AA366" i="9"/>
  <c r="Z366" i="9"/>
  <c r="R366" i="9"/>
  <c r="M366" i="9"/>
  <c r="L366" i="9"/>
  <c r="K366" i="9"/>
  <c r="J366" i="9"/>
  <c r="H366" i="9"/>
  <c r="F366" i="9"/>
  <c r="E366" i="9"/>
  <c r="AC365" i="9"/>
  <c r="AB365" i="9"/>
  <c r="AA365" i="9"/>
  <c r="Z365" i="9"/>
  <c r="R365" i="9"/>
  <c r="M365" i="9"/>
  <c r="N365" i="9" s="1"/>
  <c r="L365" i="9"/>
  <c r="K365" i="9"/>
  <c r="J365" i="9"/>
  <c r="H365" i="9"/>
  <c r="F365" i="9"/>
  <c r="E365" i="9"/>
  <c r="AC364" i="9"/>
  <c r="AB364" i="9"/>
  <c r="AA364" i="9"/>
  <c r="Z364" i="9"/>
  <c r="R364" i="9"/>
  <c r="M364" i="9"/>
  <c r="L364" i="9"/>
  <c r="K364" i="9"/>
  <c r="J364" i="9"/>
  <c r="H364" i="9"/>
  <c r="F364" i="9"/>
  <c r="E364" i="9"/>
  <c r="AC363" i="9"/>
  <c r="AB363" i="9"/>
  <c r="AA363" i="9"/>
  <c r="Z363" i="9"/>
  <c r="R363" i="9"/>
  <c r="M363" i="9"/>
  <c r="L363" i="9"/>
  <c r="K363" i="9"/>
  <c r="J363" i="9"/>
  <c r="H363" i="9"/>
  <c r="F363" i="9"/>
  <c r="E363" i="9"/>
  <c r="AC362" i="9"/>
  <c r="AB362" i="9"/>
  <c r="AA362" i="9"/>
  <c r="Z362" i="9"/>
  <c r="R362" i="9"/>
  <c r="M362" i="9"/>
  <c r="O362" i="9" s="1"/>
  <c r="L362" i="9"/>
  <c r="K362" i="9"/>
  <c r="J362" i="9"/>
  <c r="H362" i="9"/>
  <c r="F362" i="9"/>
  <c r="E362" i="9"/>
  <c r="AC361" i="9"/>
  <c r="AB361" i="9"/>
  <c r="AA361" i="9"/>
  <c r="Z361" i="9"/>
  <c r="R361" i="9"/>
  <c r="M361" i="9"/>
  <c r="P361" i="9" s="1"/>
  <c r="L361" i="9"/>
  <c r="K361" i="9"/>
  <c r="J361" i="9"/>
  <c r="H361" i="9"/>
  <c r="F361" i="9"/>
  <c r="E361" i="9"/>
  <c r="AC360" i="9"/>
  <c r="AB360" i="9"/>
  <c r="AA360" i="9"/>
  <c r="Z360" i="9"/>
  <c r="R360" i="9"/>
  <c r="M360" i="9"/>
  <c r="P360" i="9" s="1"/>
  <c r="L360" i="9"/>
  <c r="K360" i="9"/>
  <c r="J360" i="9"/>
  <c r="H360" i="9"/>
  <c r="F360" i="9"/>
  <c r="E360" i="9"/>
  <c r="AC359" i="9"/>
  <c r="AB359" i="9"/>
  <c r="AA359" i="9"/>
  <c r="Z359" i="9"/>
  <c r="R359" i="9"/>
  <c r="M359" i="9"/>
  <c r="L359" i="9"/>
  <c r="K359" i="9"/>
  <c r="J359" i="9"/>
  <c r="H359" i="9"/>
  <c r="F359" i="9"/>
  <c r="E359" i="9"/>
  <c r="AC358" i="9"/>
  <c r="AB358" i="9"/>
  <c r="AA358" i="9"/>
  <c r="Z358" i="9"/>
  <c r="R358" i="9"/>
  <c r="M358" i="9"/>
  <c r="L358" i="9"/>
  <c r="K358" i="9"/>
  <c r="J358" i="9"/>
  <c r="H358" i="9"/>
  <c r="F358" i="9"/>
  <c r="E358" i="9"/>
  <c r="AC357" i="9"/>
  <c r="AB357" i="9"/>
  <c r="AA357" i="9"/>
  <c r="Z357" i="9"/>
  <c r="R357" i="9"/>
  <c r="M357" i="9"/>
  <c r="O357" i="9" s="1"/>
  <c r="L357" i="9"/>
  <c r="K357" i="9"/>
  <c r="J357" i="9"/>
  <c r="H357" i="9"/>
  <c r="F357" i="9"/>
  <c r="E357" i="9"/>
  <c r="AC356" i="9"/>
  <c r="AB356" i="9"/>
  <c r="AA356" i="9"/>
  <c r="Z356" i="9"/>
  <c r="R356" i="9"/>
  <c r="M356" i="9"/>
  <c r="P356" i="9" s="1"/>
  <c r="L356" i="9"/>
  <c r="K356" i="9"/>
  <c r="J356" i="9"/>
  <c r="H356" i="9"/>
  <c r="F356" i="9"/>
  <c r="E356" i="9"/>
  <c r="AC355" i="9"/>
  <c r="AB355" i="9"/>
  <c r="AA355" i="9"/>
  <c r="Z355" i="9"/>
  <c r="R355" i="9"/>
  <c r="M355" i="9"/>
  <c r="L355" i="9"/>
  <c r="K355" i="9"/>
  <c r="J355" i="9"/>
  <c r="H355" i="9"/>
  <c r="F355" i="9"/>
  <c r="E355" i="9"/>
  <c r="AC354" i="9"/>
  <c r="AB354" i="9"/>
  <c r="AA354" i="9"/>
  <c r="Z354" i="9"/>
  <c r="R354" i="9"/>
  <c r="M354" i="9"/>
  <c r="O354" i="9" s="1"/>
  <c r="L354" i="9"/>
  <c r="K354" i="9"/>
  <c r="J354" i="9"/>
  <c r="H354" i="9"/>
  <c r="F354" i="9"/>
  <c r="E354" i="9"/>
  <c r="AC353" i="9"/>
  <c r="AB353" i="9"/>
  <c r="AA353" i="9"/>
  <c r="Z353" i="9"/>
  <c r="R353" i="9"/>
  <c r="M353" i="9"/>
  <c r="L353" i="9"/>
  <c r="K353" i="9"/>
  <c r="J353" i="9"/>
  <c r="H353" i="9"/>
  <c r="F353" i="9"/>
  <c r="E353" i="9"/>
  <c r="AC352" i="9"/>
  <c r="AB352" i="9"/>
  <c r="AA352" i="9"/>
  <c r="Z352" i="9"/>
  <c r="R352" i="9"/>
  <c r="M352" i="9"/>
  <c r="P352" i="9" s="1"/>
  <c r="L352" i="9"/>
  <c r="K352" i="9"/>
  <c r="J352" i="9"/>
  <c r="H352" i="9"/>
  <c r="F352" i="9"/>
  <c r="E352" i="9"/>
  <c r="AC351" i="9"/>
  <c r="AB351" i="9"/>
  <c r="AA351" i="9"/>
  <c r="Z351" i="9"/>
  <c r="R351" i="9"/>
  <c r="M351" i="9"/>
  <c r="L351" i="9"/>
  <c r="K351" i="9"/>
  <c r="J351" i="9"/>
  <c r="H351" i="9"/>
  <c r="F351" i="9"/>
  <c r="E351" i="9"/>
  <c r="AC350" i="9"/>
  <c r="AB350" i="9"/>
  <c r="AA350" i="9"/>
  <c r="Z350" i="9"/>
  <c r="R350" i="9"/>
  <c r="M350" i="9"/>
  <c r="L350" i="9"/>
  <c r="K350" i="9"/>
  <c r="J350" i="9"/>
  <c r="H350" i="9"/>
  <c r="F350" i="9"/>
  <c r="E350" i="9"/>
  <c r="AC349" i="9"/>
  <c r="AB349" i="9"/>
  <c r="AA349" i="9"/>
  <c r="Z349" i="9"/>
  <c r="R349" i="9"/>
  <c r="M349" i="9"/>
  <c r="L349" i="9"/>
  <c r="K349" i="9"/>
  <c r="J349" i="9"/>
  <c r="H349" i="9"/>
  <c r="F349" i="9"/>
  <c r="E349" i="9"/>
  <c r="AC348" i="9"/>
  <c r="AB348" i="9"/>
  <c r="AA348" i="9"/>
  <c r="Z348" i="9"/>
  <c r="R348" i="9"/>
  <c r="M348" i="9"/>
  <c r="L348" i="9"/>
  <c r="K348" i="9"/>
  <c r="J348" i="9"/>
  <c r="H348" i="9"/>
  <c r="F348" i="9"/>
  <c r="E348" i="9"/>
  <c r="AC347" i="9"/>
  <c r="AB347" i="9"/>
  <c r="AA347" i="9"/>
  <c r="Z347" i="9"/>
  <c r="R347" i="9"/>
  <c r="M347" i="9"/>
  <c r="L347" i="9"/>
  <c r="K347" i="9"/>
  <c r="J347" i="9"/>
  <c r="H347" i="9"/>
  <c r="F347" i="9"/>
  <c r="E347" i="9"/>
  <c r="AC346" i="9"/>
  <c r="AB346" i="9"/>
  <c r="AA346" i="9"/>
  <c r="Z346" i="9"/>
  <c r="R346" i="9"/>
  <c r="M346" i="9"/>
  <c r="O346" i="9" s="1"/>
  <c r="L346" i="9"/>
  <c r="K346" i="9"/>
  <c r="J346" i="9"/>
  <c r="H346" i="9"/>
  <c r="F346" i="9"/>
  <c r="E346" i="9"/>
  <c r="AC345" i="9"/>
  <c r="AB345" i="9"/>
  <c r="AA345" i="9"/>
  <c r="Z345" i="9"/>
  <c r="R345" i="9"/>
  <c r="M345" i="9"/>
  <c r="P345" i="9" s="1"/>
  <c r="L345" i="9"/>
  <c r="K345" i="9"/>
  <c r="J345" i="9"/>
  <c r="H345" i="9"/>
  <c r="F345" i="9"/>
  <c r="E345" i="9"/>
  <c r="AC344" i="9"/>
  <c r="AB344" i="9"/>
  <c r="AA344" i="9"/>
  <c r="Z344" i="9"/>
  <c r="R344" i="9"/>
  <c r="M344" i="9"/>
  <c r="P344" i="9" s="1"/>
  <c r="L344" i="9"/>
  <c r="K344" i="9"/>
  <c r="J344" i="9"/>
  <c r="H344" i="9"/>
  <c r="F344" i="9"/>
  <c r="E344" i="9"/>
  <c r="AC343" i="9"/>
  <c r="AB343" i="9"/>
  <c r="AA343" i="9"/>
  <c r="Z343" i="9"/>
  <c r="R343" i="9"/>
  <c r="M343" i="9"/>
  <c r="L343" i="9"/>
  <c r="K343" i="9"/>
  <c r="J343" i="9"/>
  <c r="H343" i="9"/>
  <c r="F343" i="9"/>
  <c r="E343" i="9"/>
  <c r="AC342" i="9"/>
  <c r="AB342" i="9"/>
  <c r="AA342" i="9"/>
  <c r="Z342" i="9"/>
  <c r="R342" i="9"/>
  <c r="M342" i="9"/>
  <c r="L342" i="9"/>
  <c r="K342" i="9"/>
  <c r="J342" i="9"/>
  <c r="H342" i="9"/>
  <c r="F342" i="9"/>
  <c r="E342" i="9"/>
  <c r="AC341" i="9"/>
  <c r="AB341" i="9"/>
  <c r="AA341" i="9"/>
  <c r="Z341" i="9"/>
  <c r="R341" i="9"/>
  <c r="M341" i="9"/>
  <c r="L341" i="9"/>
  <c r="K341" i="9"/>
  <c r="J341" i="9"/>
  <c r="H341" i="9"/>
  <c r="F341" i="9"/>
  <c r="E341" i="9"/>
  <c r="AC340" i="9"/>
  <c r="AB340" i="9"/>
  <c r="AA340" i="9"/>
  <c r="Z340" i="9"/>
  <c r="R340" i="9"/>
  <c r="M340" i="9"/>
  <c r="P340" i="9" s="1"/>
  <c r="L340" i="9"/>
  <c r="K340" i="9"/>
  <c r="J340" i="9"/>
  <c r="H340" i="9"/>
  <c r="F340" i="9"/>
  <c r="E340" i="9"/>
  <c r="AC339" i="9"/>
  <c r="AB339" i="9"/>
  <c r="AA339" i="9"/>
  <c r="Z339" i="9"/>
  <c r="R339" i="9"/>
  <c r="M339" i="9"/>
  <c r="L339" i="9"/>
  <c r="K339" i="9"/>
  <c r="J339" i="9"/>
  <c r="H339" i="9"/>
  <c r="F339" i="9"/>
  <c r="E339" i="9"/>
  <c r="AC338" i="9"/>
  <c r="AB338" i="9"/>
  <c r="AA338" i="9"/>
  <c r="Z338" i="9"/>
  <c r="R338" i="9"/>
  <c r="M338" i="9"/>
  <c r="L338" i="9"/>
  <c r="K338" i="9"/>
  <c r="J338" i="9"/>
  <c r="H338" i="9"/>
  <c r="F338" i="9"/>
  <c r="E338" i="9"/>
  <c r="AC337" i="9"/>
  <c r="AB337" i="9"/>
  <c r="AA337" i="9"/>
  <c r="Z337" i="9"/>
  <c r="R337" i="9"/>
  <c r="M337" i="9"/>
  <c r="L337" i="9"/>
  <c r="K337" i="9"/>
  <c r="J337" i="9"/>
  <c r="H337" i="9"/>
  <c r="F337" i="9"/>
  <c r="E337" i="9"/>
  <c r="AC336" i="9"/>
  <c r="AB336" i="9"/>
  <c r="AA336" i="9"/>
  <c r="Z336" i="9"/>
  <c r="R336" i="9"/>
  <c r="M336" i="9"/>
  <c r="P336" i="9" s="1"/>
  <c r="L336" i="9"/>
  <c r="K336" i="9"/>
  <c r="J336" i="9"/>
  <c r="H336" i="9"/>
  <c r="F336" i="9"/>
  <c r="E336" i="9"/>
  <c r="AC335" i="9"/>
  <c r="AB335" i="9"/>
  <c r="AA335" i="9"/>
  <c r="Z335" i="9"/>
  <c r="R335" i="9"/>
  <c r="M335" i="9"/>
  <c r="L335" i="9"/>
  <c r="K335" i="9"/>
  <c r="J335" i="9"/>
  <c r="H335" i="9"/>
  <c r="F335" i="9"/>
  <c r="E335" i="9"/>
  <c r="AC334" i="9"/>
  <c r="AB334" i="9"/>
  <c r="AA334" i="9"/>
  <c r="Z334" i="9"/>
  <c r="R334" i="9"/>
  <c r="M334" i="9"/>
  <c r="L334" i="9"/>
  <c r="K334" i="9"/>
  <c r="J334" i="9"/>
  <c r="H334" i="9"/>
  <c r="F334" i="9"/>
  <c r="E334" i="9"/>
  <c r="AC333" i="9"/>
  <c r="AB333" i="9"/>
  <c r="AA333" i="9"/>
  <c r="Z333" i="9"/>
  <c r="R333" i="9"/>
  <c r="M333" i="9"/>
  <c r="N333" i="9" s="1"/>
  <c r="L333" i="9"/>
  <c r="K333" i="9"/>
  <c r="J333" i="9"/>
  <c r="H333" i="9"/>
  <c r="F333" i="9"/>
  <c r="E333" i="9"/>
  <c r="AC332" i="9"/>
  <c r="AB332" i="9"/>
  <c r="AA332" i="9"/>
  <c r="Z332" i="9"/>
  <c r="R332" i="9"/>
  <c r="M332" i="9"/>
  <c r="L332" i="9"/>
  <c r="K332" i="9"/>
  <c r="J332" i="9"/>
  <c r="H332" i="9"/>
  <c r="F332" i="9"/>
  <c r="E332" i="9"/>
  <c r="AC331" i="9"/>
  <c r="AB331" i="9"/>
  <c r="AA331" i="9"/>
  <c r="Z331" i="9"/>
  <c r="R331" i="9"/>
  <c r="M331" i="9"/>
  <c r="L331" i="9"/>
  <c r="K331" i="9"/>
  <c r="J331" i="9"/>
  <c r="H331" i="9"/>
  <c r="F331" i="9"/>
  <c r="E331" i="9"/>
  <c r="AC330" i="9"/>
  <c r="AB330" i="9"/>
  <c r="AA330" i="9"/>
  <c r="Z330" i="9"/>
  <c r="R330" i="9"/>
  <c r="M330" i="9"/>
  <c r="O330" i="9" s="1"/>
  <c r="L330" i="9"/>
  <c r="K330" i="9"/>
  <c r="J330" i="9"/>
  <c r="H330" i="9"/>
  <c r="F330" i="9"/>
  <c r="E330" i="9"/>
  <c r="AC329" i="9"/>
  <c r="AB329" i="9"/>
  <c r="AA329" i="9"/>
  <c r="Z329" i="9"/>
  <c r="R329" i="9"/>
  <c r="M329" i="9"/>
  <c r="L329" i="9"/>
  <c r="K329" i="9"/>
  <c r="J329" i="9"/>
  <c r="H329" i="9"/>
  <c r="F329" i="9"/>
  <c r="E329" i="9"/>
  <c r="AC328" i="9"/>
  <c r="AB328" i="9"/>
  <c r="AA328" i="9"/>
  <c r="Z328" i="9"/>
  <c r="R328" i="9"/>
  <c r="M328" i="9"/>
  <c r="P328" i="9" s="1"/>
  <c r="L328" i="9"/>
  <c r="K328" i="9"/>
  <c r="J328" i="9"/>
  <c r="H328" i="9"/>
  <c r="F328" i="9"/>
  <c r="E328" i="9"/>
  <c r="AC327" i="9"/>
  <c r="AB327" i="9"/>
  <c r="AA327" i="9"/>
  <c r="Z327" i="9"/>
  <c r="R327" i="9"/>
  <c r="M327" i="9"/>
  <c r="L327" i="9"/>
  <c r="K327" i="9"/>
  <c r="J327" i="9"/>
  <c r="H327" i="9"/>
  <c r="F327" i="9"/>
  <c r="E327" i="9"/>
  <c r="AC326" i="9"/>
  <c r="AB326" i="9"/>
  <c r="AA326" i="9"/>
  <c r="Z326" i="9"/>
  <c r="R326" i="9"/>
  <c r="M326" i="9"/>
  <c r="L326" i="9"/>
  <c r="K326" i="9"/>
  <c r="J326" i="9"/>
  <c r="H326" i="9"/>
  <c r="F326" i="9"/>
  <c r="E326" i="9"/>
  <c r="AC325" i="9"/>
  <c r="AB325" i="9"/>
  <c r="AA325" i="9"/>
  <c r="Z325" i="9"/>
  <c r="R325" i="9"/>
  <c r="M325" i="9"/>
  <c r="L325" i="9"/>
  <c r="K325" i="9"/>
  <c r="J325" i="9"/>
  <c r="H325" i="9"/>
  <c r="F325" i="9"/>
  <c r="E325" i="9"/>
  <c r="AC324" i="9"/>
  <c r="AB324" i="9"/>
  <c r="AA324" i="9"/>
  <c r="Z324" i="9"/>
  <c r="R324" i="9"/>
  <c r="M324" i="9"/>
  <c r="P324" i="9" s="1"/>
  <c r="L324" i="9"/>
  <c r="K324" i="9"/>
  <c r="J324" i="9"/>
  <c r="H324" i="9"/>
  <c r="F324" i="9"/>
  <c r="E324" i="9"/>
  <c r="AC323" i="9"/>
  <c r="AB323" i="9"/>
  <c r="AA323" i="9"/>
  <c r="Z323" i="9"/>
  <c r="R323" i="9"/>
  <c r="M323" i="9"/>
  <c r="L323" i="9"/>
  <c r="K323" i="9"/>
  <c r="J323" i="9"/>
  <c r="H323" i="9"/>
  <c r="F323" i="9"/>
  <c r="E323" i="9"/>
  <c r="AC322" i="9"/>
  <c r="AB322" i="9"/>
  <c r="AA322" i="9"/>
  <c r="Z322" i="9"/>
  <c r="R322" i="9"/>
  <c r="M322" i="9"/>
  <c r="O322" i="9" s="1"/>
  <c r="L322" i="9"/>
  <c r="K322" i="9"/>
  <c r="J322" i="9"/>
  <c r="H322" i="9"/>
  <c r="F322" i="9"/>
  <c r="E322" i="9"/>
  <c r="AC321" i="9"/>
  <c r="AB321" i="9"/>
  <c r="AA321" i="9"/>
  <c r="Z321" i="9"/>
  <c r="R321" i="9"/>
  <c r="M321" i="9"/>
  <c r="L321" i="9"/>
  <c r="K321" i="9"/>
  <c r="J321" i="9"/>
  <c r="H321" i="9"/>
  <c r="F321" i="9"/>
  <c r="E321" i="9"/>
  <c r="AC320" i="9"/>
  <c r="AB320" i="9"/>
  <c r="AA320" i="9"/>
  <c r="Z320" i="9"/>
  <c r="R320" i="9"/>
  <c r="M320" i="9"/>
  <c r="P320" i="9" s="1"/>
  <c r="L320" i="9"/>
  <c r="K320" i="9"/>
  <c r="J320" i="9"/>
  <c r="H320" i="9"/>
  <c r="F320" i="9"/>
  <c r="E320" i="9"/>
  <c r="AC319" i="9"/>
  <c r="AB319" i="9"/>
  <c r="AA319" i="9"/>
  <c r="Z319" i="9"/>
  <c r="R319" i="9"/>
  <c r="M319" i="9"/>
  <c r="L319" i="9"/>
  <c r="K319" i="9"/>
  <c r="J319" i="9"/>
  <c r="H319" i="9"/>
  <c r="F319" i="9"/>
  <c r="E319" i="9"/>
  <c r="AC318" i="9"/>
  <c r="AB318" i="9"/>
  <c r="AA318" i="9"/>
  <c r="Z318" i="9"/>
  <c r="R318" i="9"/>
  <c r="M318" i="9"/>
  <c r="L318" i="9"/>
  <c r="K318" i="9"/>
  <c r="J318" i="9"/>
  <c r="H318" i="9"/>
  <c r="F318" i="9"/>
  <c r="E318" i="9"/>
  <c r="AC317" i="9"/>
  <c r="AB317" i="9"/>
  <c r="AA317" i="9"/>
  <c r="Z317" i="9"/>
  <c r="R317" i="9"/>
  <c r="M317" i="9"/>
  <c r="N317" i="9" s="1"/>
  <c r="L317" i="9"/>
  <c r="K317" i="9"/>
  <c r="J317" i="9"/>
  <c r="H317" i="9"/>
  <c r="F317" i="9"/>
  <c r="E317" i="9"/>
  <c r="AC316" i="9"/>
  <c r="AB316" i="9"/>
  <c r="AA316" i="9"/>
  <c r="Z316" i="9"/>
  <c r="R316" i="9"/>
  <c r="M316" i="9"/>
  <c r="L316" i="9"/>
  <c r="K316" i="9"/>
  <c r="J316" i="9"/>
  <c r="H316" i="9"/>
  <c r="F316" i="9"/>
  <c r="E316" i="9"/>
  <c r="AC315" i="9"/>
  <c r="AB315" i="9"/>
  <c r="AA315" i="9"/>
  <c r="Z315" i="9"/>
  <c r="R315" i="9"/>
  <c r="M315" i="9"/>
  <c r="L315" i="9"/>
  <c r="K315" i="9"/>
  <c r="J315" i="9"/>
  <c r="H315" i="9"/>
  <c r="F315" i="9"/>
  <c r="E315" i="9"/>
  <c r="AC314" i="9"/>
  <c r="AB314" i="9"/>
  <c r="AA314" i="9"/>
  <c r="Z314" i="9"/>
  <c r="R314" i="9"/>
  <c r="M314" i="9"/>
  <c r="O314" i="9" s="1"/>
  <c r="L314" i="9"/>
  <c r="K314" i="9"/>
  <c r="J314" i="9"/>
  <c r="H314" i="9"/>
  <c r="F314" i="9"/>
  <c r="E314" i="9"/>
  <c r="AC313" i="9"/>
  <c r="AB313" i="9"/>
  <c r="AA313" i="9"/>
  <c r="Z313" i="9"/>
  <c r="R313" i="9"/>
  <c r="M313" i="9"/>
  <c r="P313" i="9" s="1"/>
  <c r="L313" i="9"/>
  <c r="K313" i="9"/>
  <c r="J313" i="9"/>
  <c r="H313" i="9"/>
  <c r="F313" i="9"/>
  <c r="E313" i="9"/>
  <c r="AC312" i="9"/>
  <c r="AB312" i="9"/>
  <c r="AA312" i="9"/>
  <c r="Z312" i="9"/>
  <c r="R312" i="9"/>
  <c r="M312" i="9"/>
  <c r="L312" i="9"/>
  <c r="K312" i="9"/>
  <c r="J312" i="9"/>
  <c r="H312" i="9"/>
  <c r="F312" i="9"/>
  <c r="E312" i="9"/>
  <c r="AC311" i="9"/>
  <c r="AB311" i="9"/>
  <c r="AA311" i="9"/>
  <c r="Z311" i="9"/>
  <c r="R311" i="9"/>
  <c r="M311" i="9"/>
  <c r="L311" i="9"/>
  <c r="K311" i="9"/>
  <c r="J311" i="9"/>
  <c r="H311" i="9"/>
  <c r="F311" i="9"/>
  <c r="E311" i="9"/>
  <c r="AC310" i="9"/>
  <c r="AB310" i="9"/>
  <c r="AA310" i="9"/>
  <c r="Z310" i="9"/>
  <c r="R310" i="9"/>
  <c r="M310" i="9"/>
  <c r="L310" i="9"/>
  <c r="K310" i="9"/>
  <c r="J310" i="9"/>
  <c r="H310" i="9"/>
  <c r="F310" i="9"/>
  <c r="E310" i="9"/>
  <c r="AC309" i="9"/>
  <c r="AB309" i="9"/>
  <c r="AA309" i="9"/>
  <c r="Z309" i="9"/>
  <c r="R309" i="9"/>
  <c r="M309" i="9"/>
  <c r="O309" i="9" s="1"/>
  <c r="L309" i="9"/>
  <c r="K309" i="9"/>
  <c r="J309" i="9"/>
  <c r="H309" i="9"/>
  <c r="F309" i="9"/>
  <c r="E309" i="9"/>
  <c r="AC308" i="9"/>
  <c r="AB308" i="9"/>
  <c r="AA308" i="9"/>
  <c r="Z308" i="9"/>
  <c r="R308" i="9"/>
  <c r="M308" i="9"/>
  <c r="P308" i="9" s="1"/>
  <c r="L308" i="9"/>
  <c r="K308" i="9"/>
  <c r="J308" i="9"/>
  <c r="H308" i="9"/>
  <c r="F308" i="9"/>
  <c r="E308" i="9"/>
  <c r="AC307" i="9"/>
  <c r="AB307" i="9"/>
  <c r="AA307" i="9"/>
  <c r="Z307" i="9"/>
  <c r="R307" i="9"/>
  <c r="M307" i="9"/>
  <c r="L307" i="9"/>
  <c r="K307" i="9"/>
  <c r="J307" i="9"/>
  <c r="H307" i="9"/>
  <c r="F307" i="9"/>
  <c r="E307" i="9"/>
  <c r="AC306" i="9"/>
  <c r="AB306" i="9"/>
  <c r="AA306" i="9"/>
  <c r="Z306" i="9"/>
  <c r="R306" i="9"/>
  <c r="M306" i="9"/>
  <c r="O306" i="9" s="1"/>
  <c r="L306" i="9"/>
  <c r="K306" i="9"/>
  <c r="J306" i="9"/>
  <c r="H306" i="9"/>
  <c r="F306" i="9"/>
  <c r="E306" i="9"/>
  <c r="AC305" i="9"/>
  <c r="AB305" i="9"/>
  <c r="AA305" i="9"/>
  <c r="Z305" i="9"/>
  <c r="R305" i="9"/>
  <c r="M305" i="9"/>
  <c r="L305" i="9"/>
  <c r="K305" i="9"/>
  <c r="J305" i="9"/>
  <c r="H305" i="9"/>
  <c r="F305" i="9"/>
  <c r="E305" i="9"/>
  <c r="AC304" i="9"/>
  <c r="AB304" i="9"/>
  <c r="AA304" i="9"/>
  <c r="Z304" i="9"/>
  <c r="R304" i="9"/>
  <c r="M304" i="9"/>
  <c r="P304" i="9" s="1"/>
  <c r="L304" i="9"/>
  <c r="K304" i="9"/>
  <c r="J304" i="9"/>
  <c r="H304" i="9"/>
  <c r="F304" i="9"/>
  <c r="E304" i="9"/>
  <c r="AC303" i="9"/>
  <c r="AB303" i="9"/>
  <c r="AA303" i="9"/>
  <c r="Z303" i="9"/>
  <c r="R303" i="9"/>
  <c r="M303" i="9"/>
  <c r="L303" i="9"/>
  <c r="K303" i="9"/>
  <c r="J303" i="9"/>
  <c r="H303" i="9"/>
  <c r="F303" i="9"/>
  <c r="E303" i="9"/>
  <c r="AC302" i="9"/>
  <c r="AB302" i="9"/>
  <c r="AA302" i="9"/>
  <c r="Z302" i="9"/>
  <c r="R302" i="9"/>
  <c r="M302" i="9"/>
  <c r="L302" i="9"/>
  <c r="K302" i="9"/>
  <c r="J302" i="9"/>
  <c r="H302" i="9"/>
  <c r="F302" i="9"/>
  <c r="E302" i="9"/>
  <c r="AC301" i="9"/>
  <c r="AB301" i="9"/>
  <c r="AA301" i="9"/>
  <c r="Z301" i="9"/>
  <c r="R301" i="9"/>
  <c r="M301" i="9"/>
  <c r="L301" i="9"/>
  <c r="K301" i="9"/>
  <c r="J301" i="9"/>
  <c r="H301" i="9"/>
  <c r="F301" i="9"/>
  <c r="E301" i="9"/>
  <c r="AC300" i="9"/>
  <c r="AB300" i="9"/>
  <c r="AA300" i="9"/>
  <c r="Z300" i="9"/>
  <c r="R300" i="9"/>
  <c r="M300" i="9"/>
  <c r="L300" i="9"/>
  <c r="K300" i="9"/>
  <c r="J300" i="9"/>
  <c r="H300" i="9"/>
  <c r="F300" i="9"/>
  <c r="E300" i="9"/>
  <c r="AC299" i="9"/>
  <c r="AB299" i="9"/>
  <c r="AA299" i="9"/>
  <c r="Z299" i="9"/>
  <c r="R299" i="9"/>
  <c r="M299" i="9"/>
  <c r="L299" i="9"/>
  <c r="K299" i="9"/>
  <c r="J299" i="9"/>
  <c r="H299" i="9"/>
  <c r="F299" i="9"/>
  <c r="E299" i="9"/>
  <c r="AC298" i="9"/>
  <c r="AB298" i="9"/>
  <c r="AA298" i="9"/>
  <c r="Z298" i="9"/>
  <c r="R298" i="9"/>
  <c r="M298" i="9"/>
  <c r="O298" i="9" s="1"/>
  <c r="L298" i="9"/>
  <c r="K298" i="9"/>
  <c r="J298" i="9"/>
  <c r="H298" i="9"/>
  <c r="F298" i="9"/>
  <c r="E298" i="9"/>
  <c r="AC297" i="9"/>
  <c r="AB297" i="9"/>
  <c r="AA297" i="9"/>
  <c r="Z297" i="9"/>
  <c r="R297" i="9"/>
  <c r="M297" i="9"/>
  <c r="P297" i="9" s="1"/>
  <c r="L297" i="9"/>
  <c r="K297" i="9"/>
  <c r="J297" i="9"/>
  <c r="H297" i="9"/>
  <c r="F297" i="9"/>
  <c r="E297" i="9"/>
  <c r="AC296" i="9"/>
  <c r="AB296" i="9"/>
  <c r="AA296" i="9"/>
  <c r="Z296" i="9"/>
  <c r="R296" i="9"/>
  <c r="M296" i="9"/>
  <c r="P296" i="9" s="1"/>
  <c r="L296" i="9"/>
  <c r="K296" i="9"/>
  <c r="J296" i="9"/>
  <c r="H296" i="9"/>
  <c r="F296" i="9"/>
  <c r="E296" i="9"/>
  <c r="AC295" i="9"/>
  <c r="AB295" i="9"/>
  <c r="AA295" i="9"/>
  <c r="Z295" i="9"/>
  <c r="R295" i="9"/>
  <c r="M295" i="9"/>
  <c r="L295" i="9"/>
  <c r="K295" i="9"/>
  <c r="J295" i="9"/>
  <c r="H295" i="9"/>
  <c r="F295" i="9"/>
  <c r="E295" i="9"/>
  <c r="AC294" i="9"/>
  <c r="AB294" i="9"/>
  <c r="AA294" i="9"/>
  <c r="Z294" i="9"/>
  <c r="R294" i="9"/>
  <c r="M294" i="9"/>
  <c r="L294" i="9"/>
  <c r="K294" i="9"/>
  <c r="J294" i="9"/>
  <c r="H294" i="9"/>
  <c r="F294" i="9"/>
  <c r="E294" i="9"/>
  <c r="AC293" i="9"/>
  <c r="AB293" i="9"/>
  <c r="AA293" i="9"/>
  <c r="Z293" i="9"/>
  <c r="R293" i="9"/>
  <c r="M293" i="9"/>
  <c r="O293" i="9" s="1"/>
  <c r="L293" i="9"/>
  <c r="K293" i="9"/>
  <c r="J293" i="9"/>
  <c r="H293" i="9"/>
  <c r="F293" i="9"/>
  <c r="E293" i="9"/>
  <c r="AC292" i="9"/>
  <c r="AB292" i="9"/>
  <c r="AA292" i="9"/>
  <c r="Z292" i="9"/>
  <c r="R292" i="9"/>
  <c r="M292" i="9"/>
  <c r="L292" i="9"/>
  <c r="K292" i="9"/>
  <c r="J292" i="9"/>
  <c r="H292" i="9"/>
  <c r="F292" i="9"/>
  <c r="E292" i="9"/>
  <c r="AC291" i="9"/>
  <c r="AB291" i="9"/>
  <c r="AA291" i="9"/>
  <c r="Z291" i="9"/>
  <c r="R291" i="9"/>
  <c r="M291" i="9"/>
  <c r="L291" i="9"/>
  <c r="K291" i="9"/>
  <c r="J291" i="9"/>
  <c r="H291" i="9"/>
  <c r="F291" i="9"/>
  <c r="E291" i="9"/>
  <c r="AC290" i="9"/>
  <c r="AB290" i="9"/>
  <c r="AA290" i="9"/>
  <c r="Z290" i="9"/>
  <c r="R290" i="9"/>
  <c r="M290" i="9"/>
  <c r="O290" i="9" s="1"/>
  <c r="L290" i="9"/>
  <c r="K290" i="9"/>
  <c r="J290" i="9"/>
  <c r="H290" i="9"/>
  <c r="F290" i="9"/>
  <c r="E290" i="9"/>
  <c r="AC289" i="9"/>
  <c r="AB289" i="9"/>
  <c r="AA289" i="9"/>
  <c r="Z289" i="9"/>
  <c r="R289" i="9"/>
  <c r="M289" i="9"/>
  <c r="L289" i="9"/>
  <c r="K289" i="9"/>
  <c r="J289" i="9"/>
  <c r="H289" i="9"/>
  <c r="F289" i="9"/>
  <c r="E289" i="9"/>
  <c r="AC288" i="9"/>
  <c r="AB288" i="9"/>
  <c r="AA288" i="9"/>
  <c r="Z288" i="9"/>
  <c r="R288" i="9"/>
  <c r="M288" i="9"/>
  <c r="P288" i="9" s="1"/>
  <c r="L288" i="9"/>
  <c r="K288" i="9"/>
  <c r="J288" i="9"/>
  <c r="H288" i="9"/>
  <c r="F288" i="9"/>
  <c r="E288" i="9"/>
  <c r="AC287" i="9"/>
  <c r="AB287" i="9"/>
  <c r="AA287" i="9"/>
  <c r="Z287" i="9"/>
  <c r="R287" i="9"/>
  <c r="M287" i="9"/>
  <c r="N287" i="9" s="1"/>
  <c r="L287" i="9"/>
  <c r="K287" i="9"/>
  <c r="J287" i="9"/>
  <c r="H287" i="9"/>
  <c r="F287" i="9"/>
  <c r="E287" i="9"/>
  <c r="AC286" i="9"/>
  <c r="AB286" i="9"/>
  <c r="AA286" i="9"/>
  <c r="Z286" i="9"/>
  <c r="R286" i="9"/>
  <c r="M286" i="9"/>
  <c r="L286" i="9"/>
  <c r="K286" i="9"/>
  <c r="J286" i="9"/>
  <c r="H286" i="9"/>
  <c r="F286" i="9"/>
  <c r="E286" i="9"/>
  <c r="AC285" i="9"/>
  <c r="AB285" i="9"/>
  <c r="AA285" i="9"/>
  <c r="Z285" i="9"/>
  <c r="R285" i="9"/>
  <c r="M285" i="9"/>
  <c r="N285" i="9" s="1"/>
  <c r="L285" i="9"/>
  <c r="K285" i="9"/>
  <c r="J285" i="9"/>
  <c r="H285" i="9"/>
  <c r="F285" i="9"/>
  <c r="E285" i="9"/>
  <c r="AC284" i="9"/>
  <c r="AB284" i="9"/>
  <c r="AA284" i="9"/>
  <c r="Z284" i="9"/>
  <c r="R284" i="9"/>
  <c r="M284" i="9"/>
  <c r="L284" i="9"/>
  <c r="K284" i="9"/>
  <c r="J284" i="9"/>
  <c r="H284" i="9"/>
  <c r="F284" i="9"/>
  <c r="E284" i="9"/>
  <c r="AC283" i="9"/>
  <c r="AB283" i="9"/>
  <c r="AA283" i="9"/>
  <c r="Z283" i="9"/>
  <c r="R283" i="9"/>
  <c r="M283" i="9"/>
  <c r="L283" i="9"/>
  <c r="K283" i="9"/>
  <c r="J283" i="9"/>
  <c r="H283" i="9"/>
  <c r="F283" i="9"/>
  <c r="E283" i="9"/>
  <c r="AC282" i="9"/>
  <c r="AB282" i="9"/>
  <c r="AA282" i="9"/>
  <c r="Z282" i="9"/>
  <c r="R282" i="9"/>
  <c r="M282" i="9"/>
  <c r="P282" i="9" s="1"/>
  <c r="L282" i="9"/>
  <c r="K282" i="9"/>
  <c r="J282" i="9"/>
  <c r="H282" i="9"/>
  <c r="F282" i="9"/>
  <c r="E282" i="9"/>
  <c r="AC281" i="9"/>
  <c r="AB281" i="9"/>
  <c r="AA281" i="9"/>
  <c r="Z281" i="9"/>
  <c r="R281" i="9"/>
  <c r="M281" i="9"/>
  <c r="N281" i="9" s="1"/>
  <c r="L281" i="9"/>
  <c r="K281" i="9"/>
  <c r="J281" i="9"/>
  <c r="H281" i="9"/>
  <c r="F281" i="9"/>
  <c r="E281" i="9"/>
  <c r="AC280" i="9"/>
  <c r="AB280" i="9"/>
  <c r="AA280" i="9"/>
  <c r="Z280" i="9"/>
  <c r="R280" i="9"/>
  <c r="M280" i="9"/>
  <c r="L280" i="9"/>
  <c r="K280" i="9"/>
  <c r="J280" i="9"/>
  <c r="H280" i="9"/>
  <c r="F280" i="9"/>
  <c r="E280" i="9"/>
  <c r="AC279" i="9"/>
  <c r="AB279" i="9"/>
  <c r="AA279" i="9"/>
  <c r="Z279" i="9"/>
  <c r="R279" i="9"/>
  <c r="M279" i="9"/>
  <c r="N279" i="9" s="1"/>
  <c r="L279" i="9"/>
  <c r="K279" i="9"/>
  <c r="J279" i="9"/>
  <c r="H279" i="9"/>
  <c r="F279" i="9"/>
  <c r="E279" i="9"/>
  <c r="AC278" i="9"/>
  <c r="AB278" i="9"/>
  <c r="AA278" i="9"/>
  <c r="Z278" i="9"/>
  <c r="R278" i="9"/>
  <c r="M278" i="9"/>
  <c r="L278" i="9"/>
  <c r="K278" i="9"/>
  <c r="J278" i="9"/>
  <c r="H278" i="9"/>
  <c r="F278" i="9"/>
  <c r="E278" i="9"/>
  <c r="AC277" i="9"/>
  <c r="AB277" i="9"/>
  <c r="AA277" i="9"/>
  <c r="Z277" i="9"/>
  <c r="R277" i="9"/>
  <c r="M277" i="9"/>
  <c r="L277" i="9"/>
  <c r="K277" i="9"/>
  <c r="J277" i="9"/>
  <c r="H277" i="9"/>
  <c r="F277" i="9"/>
  <c r="E277" i="9"/>
  <c r="AC276" i="9"/>
  <c r="AB276" i="9"/>
  <c r="AA276" i="9"/>
  <c r="Z276" i="9"/>
  <c r="R276" i="9"/>
  <c r="M276" i="9"/>
  <c r="L276" i="9"/>
  <c r="K276" i="9"/>
  <c r="J276" i="9"/>
  <c r="H276" i="9"/>
  <c r="F276" i="9"/>
  <c r="E276" i="9"/>
  <c r="AC275" i="9"/>
  <c r="AB275" i="9"/>
  <c r="AA275" i="9"/>
  <c r="Z275" i="9"/>
  <c r="R275" i="9"/>
  <c r="M275" i="9"/>
  <c r="L275" i="9"/>
  <c r="K275" i="9"/>
  <c r="J275" i="9"/>
  <c r="H275" i="9"/>
  <c r="F275" i="9"/>
  <c r="E275" i="9"/>
  <c r="AC274" i="9"/>
  <c r="AB274" i="9"/>
  <c r="AA274" i="9"/>
  <c r="Z274" i="9"/>
  <c r="R274" i="9"/>
  <c r="M274" i="9"/>
  <c r="P274" i="9" s="1"/>
  <c r="L274" i="9"/>
  <c r="K274" i="9"/>
  <c r="J274" i="9"/>
  <c r="H274" i="9"/>
  <c r="F274" i="9"/>
  <c r="E274" i="9"/>
  <c r="AC273" i="9"/>
  <c r="AB273" i="9"/>
  <c r="AA273" i="9"/>
  <c r="Z273" i="9"/>
  <c r="R273" i="9"/>
  <c r="M273" i="9"/>
  <c r="N273" i="9" s="1"/>
  <c r="L273" i="9"/>
  <c r="K273" i="9"/>
  <c r="J273" i="9"/>
  <c r="H273" i="9"/>
  <c r="F273" i="9"/>
  <c r="E273" i="9"/>
  <c r="AC272" i="9"/>
  <c r="AB272" i="9"/>
  <c r="AA272" i="9"/>
  <c r="Z272" i="9"/>
  <c r="R272" i="9"/>
  <c r="M272" i="9"/>
  <c r="P272" i="9" s="1"/>
  <c r="L272" i="9"/>
  <c r="K272" i="9"/>
  <c r="J272" i="9"/>
  <c r="H272" i="9"/>
  <c r="F272" i="9"/>
  <c r="E272" i="9"/>
  <c r="AC271" i="9"/>
  <c r="AB271" i="9"/>
  <c r="AA271" i="9"/>
  <c r="Z271" i="9"/>
  <c r="R271" i="9"/>
  <c r="M271" i="9"/>
  <c r="N271" i="9" s="1"/>
  <c r="L271" i="9"/>
  <c r="K271" i="9"/>
  <c r="J271" i="9"/>
  <c r="H271" i="9"/>
  <c r="F271" i="9"/>
  <c r="E271" i="9"/>
  <c r="AC270" i="9"/>
  <c r="AB270" i="9"/>
  <c r="AA270" i="9"/>
  <c r="Z270" i="9"/>
  <c r="R270" i="9"/>
  <c r="M270" i="9"/>
  <c r="L270" i="9"/>
  <c r="K270" i="9"/>
  <c r="J270" i="9"/>
  <c r="H270" i="9"/>
  <c r="F270" i="9"/>
  <c r="E270" i="9"/>
  <c r="AC269" i="9"/>
  <c r="AB269" i="9"/>
  <c r="AA269" i="9"/>
  <c r="Z269" i="9"/>
  <c r="R269" i="9"/>
  <c r="M269" i="9"/>
  <c r="O269" i="9" s="1"/>
  <c r="L269" i="9"/>
  <c r="K269" i="9"/>
  <c r="J269" i="9"/>
  <c r="H269" i="9"/>
  <c r="F269" i="9"/>
  <c r="E269" i="9"/>
  <c r="AC268" i="9"/>
  <c r="AB268" i="9"/>
  <c r="AA268" i="9"/>
  <c r="Z268" i="9"/>
  <c r="R268" i="9"/>
  <c r="M268" i="9"/>
  <c r="L268" i="9"/>
  <c r="K268" i="9"/>
  <c r="J268" i="9"/>
  <c r="H268" i="9"/>
  <c r="F268" i="9"/>
  <c r="E268" i="9"/>
  <c r="AC267" i="9"/>
  <c r="AB267" i="9"/>
  <c r="AA267" i="9"/>
  <c r="Z267" i="9"/>
  <c r="R267" i="9"/>
  <c r="M267" i="9"/>
  <c r="L267" i="9"/>
  <c r="K267" i="9"/>
  <c r="J267" i="9"/>
  <c r="H267" i="9"/>
  <c r="F267" i="9"/>
  <c r="E267" i="9"/>
  <c r="AC266" i="9"/>
  <c r="AB266" i="9"/>
  <c r="AA266" i="9"/>
  <c r="Z266" i="9"/>
  <c r="R266" i="9"/>
  <c r="M266" i="9"/>
  <c r="P266" i="9" s="1"/>
  <c r="L266" i="9"/>
  <c r="K266" i="9"/>
  <c r="J266" i="9"/>
  <c r="H266" i="9"/>
  <c r="F266" i="9"/>
  <c r="E266" i="9"/>
  <c r="AC265" i="9"/>
  <c r="AB265" i="9"/>
  <c r="AA265" i="9"/>
  <c r="Z265" i="9"/>
  <c r="R265" i="9"/>
  <c r="M265" i="9"/>
  <c r="N265" i="9" s="1"/>
  <c r="L265" i="9"/>
  <c r="K265" i="9"/>
  <c r="J265" i="9"/>
  <c r="H265" i="9"/>
  <c r="F265" i="9"/>
  <c r="E265" i="9"/>
  <c r="AC264" i="9"/>
  <c r="AB264" i="9"/>
  <c r="AA264" i="9"/>
  <c r="Z264" i="9"/>
  <c r="R264" i="9"/>
  <c r="M264" i="9"/>
  <c r="L264" i="9"/>
  <c r="K264" i="9"/>
  <c r="J264" i="9"/>
  <c r="H264" i="9"/>
  <c r="F264" i="9"/>
  <c r="E264" i="9"/>
  <c r="AC263" i="9"/>
  <c r="AB263" i="9"/>
  <c r="AA263" i="9"/>
  <c r="Z263" i="9"/>
  <c r="R263" i="9"/>
  <c r="M263" i="9"/>
  <c r="N263" i="9" s="1"/>
  <c r="L263" i="9"/>
  <c r="K263" i="9"/>
  <c r="J263" i="9"/>
  <c r="H263" i="9"/>
  <c r="F263" i="9"/>
  <c r="E263" i="9"/>
  <c r="AC262" i="9"/>
  <c r="AB262" i="9"/>
  <c r="AA262" i="9"/>
  <c r="Z262" i="9"/>
  <c r="R262" i="9"/>
  <c r="M262" i="9"/>
  <c r="L262" i="9"/>
  <c r="K262" i="9"/>
  <c r="J262" i="9"/>
  <c r="H262" i="9"/>
  <c r="F262" i="9"/>
  <c r="E262" i="9"/>
  <c r="AC261" i="9"/>
  <c r="AB261" i="9"/>
  <c r="AA261" i="9"/>
  <c r="Z261" i="9"/>
  <c r="R261" i="9"/>
  <c r="M261" i="9"/>
  <c r="L261" i="9"/>
  <c r="K261" i="9"/>
  <c r="J261" i="9"/>
  <c r="H261" i="9"/>
  <c r="F261" i="9"/>
  <c r="E261" i="9"/>
  <c r="AC260" i="9"/>
  <c r="AB260" i="9"/>
  <c r="AA260" i="9"/>
  <c r="Z260" i="9"/>
  <c r="R260" i="9"/>
  <c r="M260" i="9"/>
  <c r="L260" i="9"/>
  <c r="K260" i="9"/>
  <c r="J260" i="9"/>
  <c r="H260" i="9"/>
  <c r="F260" i="9"/>
  <c r="E260" i="9"/>
  <c r="AC259" i="9"/>
  <c r="AB259" i="9"/>
  <c r="AA259" i="9"/>
  <c r="Z259" i="9"/>
  <c r="R259" i="9"/>
  <c r="M259" i="9"/>
  <c r="L259" i="9"/>
  <c r="K259" i="9"/>
  <c r="J259" i="9"/>
  <c r="H259" i="9"/>
  <c r="F259" i="9"/>
  <c r="E259" i="9"/>
  <c r="AC258" i="9"/>
  <c r="AB258" i="9"/>
  <c r="AA258" i="9"/>
  <c r="Z258" i="9"/>
  <c r="R258" i="9"/>
  <c r="M258" i="9"/>
  <c r="P258" i="9" s="1"/>
  <c r="L258" i="9"/>
  <c r="K258" i="9"/>
  <c r="J258" i="9"/>
  <c r="H258" i="9"/>
  <c r="F258" i="9"/>
  <c r="E258" i="9"/>
  <c r="AC257" i="9"/>
  <c r="AB257" i="9"/>
  <c r="AA257" i="9"/>
  <c r="Z257" i="9"/>
  <c r="R257" i="9"/>
  <c r="M257" i="9"/>
  <c r="N257" i="9" s="1"/>
  <c r="L257" i="9"/>
  <c r="K257" i="9"/>
  <c r="J257" i="9"/>
  <c r="H257" i="9"/>
  <c r="F257" i="9"/>
  <c r="E257" i="9"/>
  <c r="AC256" i="9"/>
  <c r="AB256" i="9"/>
  <c r="AA256" i="9"/>
  <c r="Z256" i="9"/>
  <c r="R256" i="9"/>
  <c r="M256" i="9"/>
  <c r="P256" i="9" s="1"/>
  <c r="L256" i="9"/>
  <c r="K256" i="9"/>
  <c r="J256" i="9"/>
  <c r="H256" i="9"/>
  <c r="F256" i="9"/>
  <c r="E256" i="9"/>
  <c r="AC255" i="9"/>
  <c r="AB255" i="9"/>
  <c r="AA255" i="9"/>
  <c r="Z255" i="9"/>
  <c r="R255" i="9"/>
  <c r="M255" i="9"/>
  <c r="N255" i="9" s="1"/>
  <c r="L255" i="9"/>
  <c r="K255" i="9"/>
  <c r="J255" i="9"/>
  <c r="H255" i="9"/>
  <c r="F255" i="9"/>
  <c r="E255" i="9"/>
  <c r="AC254" i="9"/>
  <c r="AB254" i="9"/>
  <c r="AA254" i="9"/>
  <c r="Z254" i="9"/>
  <c r="R254" i="9"/>
  <c r="M254" i="9"/>
  <c r="L254" i="9"/>
  <c r="K254" i="9"/>
  <c r="J254" i="9"/>
  <c r="H254" i="9"/>
  <c r="F254" i="9"/>
  <c r="E254" i="9"/>
  <c r="AC253" i="9"/>
  <c r="AB253" i="9"/>
  <c r="AA253" i="9"/>
  <c r="Z253" i="9"/>
  <c r="R253" i="9"/>
  <c r="M253" i="9"/>
  <c r="P253" i="9" s="1"/>
  <c r="L253" i="9"/>
  <c r="K253" i="9"/>
  <c r="J253" i="9"/>
  <c r="H253" i="9"/>
  <c r="F253" i="9"/>
  <c r="E253" i="9"/>
  <c r="AC252" i="9"/>
  <c r="AB252" i="9"/>
  <c r="AA252" i="9"/>
  <c r="Z252" i="9"/>
  <c r="R252" i="9"/>
  <c r="M252" i="9"/>
  <c r="L252" i="9"/>
  <c r="K252" i="9"/>
  <c r="J252" i="9"/>
  <c r="H252" i="9"/>
  <c r="F252" i="9"/>
  <c r="E252" i="9"/>
  <c r="AC251" i="9"/>
  <c r="AB251" i="9"/>
  <c r="AA251" i="9"/>
  <c r="Z251" i="9"/>
  <c r="R251" i="9"/>
  <c r="M251" i="9"/>
  <c r="L251" i="9"/>
  <c r="K251" i="9"/>
  <c r="J251" i="9"/>
  <c r="H251" i="9"/>
  <c r="F251" i="9"/>
  <c r="E251" i="9"/>
  <c r="AC250" i="9"/>
  <c r="AB250" i="9"/>
  <c r="AA250" i="9"/>
  <c r="Z250" i="9"/>
  <c r="R250" i="9"/>
  <c r="M250" i="9"/>
  <c r="P250" i="9" s="1"/>
  <c r="L250" i="9"/>
  <c r="K250" i="9"/>
  <c r="J250" i="9"/>
  <c r="H250" i="9"/>
  <c r="F250" i="9"/>
  <c r="E250" i="9"/>
  <c r="AC249" i="9"/>
  <c r="AB249" i="9"/>
  <c r="AA249" i="9"/>
  <c r="Z249" i="9"/>
  <c r="R249" i="9"/>
  <c r="M249" i="9"/>
  <c r="N249" i="9" s="1"/>
  <c r="L249" i="9"/>
  <c r="K249" i="9"/>
  <c r="J249" i="9"/>
  <c r="H249" i="9"/>
  <c r="F249" i="9"/>
  <c r="E249" i="9"/>
  <c r="AC248" i="9"/>
  <c r="AB248" i="9"/>
  <c r="AA248" i="9"/>
  <c r="Z248" i="9"/>
  <c r="R248" i="9"/>
  <c r="M248" i="9"/>
  <c r="O248" i="9" s="1"/>
  <c r="L248" i="9"/>
  <c r="K248" i="9"/>
  <c r="J248" i="9"/>
  <c r="H248" i="9"/>
  <c r="F248" i="9"/>
  <c r="E248" i="9"/>
  <c r="AC247" i="9"/>
  <c r="AB247" i="9"/>
  <c r="AA247" i="9"/>
  <c r="Z247" i="9"/>
  <c r="R247" i="9"/>
  <c r="M247" i="9"/>
  <c r="L247" i="9"/>
  <c r="K247" i="9"/>
  <c r="J247" i="9"/>
  <c r="H247" i="9"/>
  <c r="F247" i="9"/>
  <c r="E247" i="9"/>
  <c r="AC246" i="9"/>
  <c r="AB246" i="9"/>
  <c r="AA246" i="9"/>
  <c r="Z246" i="9"/>
  <c r="R246" i="9"/>
  <c r="M246" i="9"/>
  <c r="L246" i="9"/>
  <c r="K246" i="9"/>
  <c r="J246" i="9"/>
  <c r="H246" i="9"/>
  <c r="F246" i="9"/>
  <c r="E246" i="9"/>
  <c r="AC245" i="9"/>
  <c r="AB245" i="9"/>
  <c r="AA245" i="9"/>
  <c r="Z245" i="9"/>
  <c r="R245" i="9"/>
  <c r="M245" i="9"/>
  <c r="L245" i="9"/>
  <c r="K245" i="9"/>
  <c r="J245" i="9"/>
  <c r="H245" i="9"/>
  <c r="F245" i="9"/>
  <c r="E245" i="9"/>
  <c r="AC244" i="9"/>
  <c r="AB244" i="9"/>
  <c r="AA244" i="9"/>
  <c r="Z244" i="9"/>
  <c r="R244" i="9"/>
  <c r="M244" i="9"/>
  <c r="N244" i="9" s="1"/>
  <c r="L244" i="9"/>
  <c r="K244" i="9"/>
  <c r="J244" i="9"/>
  <c r="H244" i="9"/>
  <c r="F244" i="9"/>
  <c r="E244" i="9"/>
  <c r="AC243" i="9"/>
  <c r="AB243" i="9"/>
  <c r="AA243" i="9"/>
  <c r="Z243" i="9"/>
  <c r="R243" i="9"/>
  <c r="M243" i="9"/>
  <c r="N243" i="9" s="1"/>
  <c r="L243" i="9"/>
  <c r="K243" i="9"/>
  <c r="J243" i="9"/>
  <c r="H243" i="9"/>
  <c r="F243" i="9"/>
  <c r="E243" i="9"/>
  <c r="AC242" i="9"/>
  <c r="AB242" i="9"/>
  <c r="AA242" i="9"/>
  <c r="Z242" i="9"/>
  <c r="R242" i="9"/>
  <c r="M242" i="9"/>
  <c r="L242" i="9"/>
  <c r="K242" i="9"/>
  <c r="J242" i="9"/>
  <c r="H242" i="9"/>
  <c r="F242" i="9"/>
  <c r="E242" i="9"/>
  <c r="AC241" i="9"/>
  <c r="AB241" i="9"/>
  <c r="AA241" i="9"/>
  <c r="Z241" i="9"/>
  <c r="R241" i="9"/>
  <c r="M241" i="9"/>
  <c r="O241" i="9" s="1"/>
  <c r="L241" i="9"/>
  <c r="K241" i="9"/>
  <c r="J241" i="9"/>
  <c r="H241" i="9"/>
  <c r="F241" i="9"/>
  <c r="E241" i="9"/>
  <c r="AC240" i="9"/>
  <c r="AB240" i="9"/>
  <c r="AA240" i="9"/>
  <c r="Z240" i="9"/>
  <c r="R240" i="9"/>
  <c r="M240" i="9"/>
  <c r="P240" i="9" s="1"/>
  <c r="L240" i="9"/>
  <c r="K240" i="9"/>
  <c r="J240" i="9"/>
  <c r="H240" i="9"/>
  <c r="F240" i="9"/>
  <c r="E240" i="9"/>
  <c r="AC239" i="9"/>
  <c r="AB239" i="9"/>
  <c r="AA239" i="9"/>
  <c r="Z239" i="9"/>
  <c r="R239" i="9"/>
  <c r="M239" i="9"/>
  <c r="N239" i="9" s="1"/>
  <c r="L239" i="9"/>
  <c r="K239" i="9"/>
  <c r="J239" i="9"/>
  <c r="H239" i="9"/>
  <c r="F239" i="9"/>
  <c r="E239" i="9"/>
  <c r="AC238" i="9"/>
  <c r="AB238" i="9"/>
  <c r="AA238" i="9"/>
  <c r="Z238" i="9"/>
  <c r="R238" i="9"/>
  <c r="M238" i="9"/>
  <c r="P238" i="9" s="1"/>
  <c r="L238" i="9"/>
  <c r="K238" i="9"/>
  <c r="J238" i="9"/>
  <c r="H238" i="9"/>
  <c r="F238" i="9"/>
  <c r="E238" i="9"/>
  <c r="AC237" i="9"/>
  <c r="AB237" i="9"/>
  <c r="AA237" i="9"/>
  <c r="Z237" i="9"/>
  <c r="R237" i="9"/>
  <c r="M237" i="9"/>
  <c r="N237" i="9" s="1"/>
  <c r="L237" i="9"/>
  <c r="K237" i="9"/>
  <c r="J237" i="9"/>
  <c r="H237" i="9"/>
  <c r="F237" i="9"/>
  <c r="E237" i="9"/>
  <c r="AC236" i="9"/>
  <c r="AB236" i="9"/>
  <c r="AA236" i="9"/>
  <c r="Z236" i="9"/>
  <c r="R236" i="9"/>
  <c r="M236" i="9"/>
  <c r="P236" i="9" s="1"/>
  <c r="L236" i="9"/>
  <c r="K236" i="9"/>
  <c r="J236" i="9"/>
  <c r="H236" i="9"/>
  <c r="F236" i="9"/>
  <c r="E236" i="9"/>
  <c r="AC235" i="9"/>
  <c r="AB235" i="9"/>
  <c r="AA235" i="9"/>
  <c r="Z235" i="9"/>
  <c r="R235" i="9"/>
  <c r="M235" i="9"/>
  <c r="L235" i="9"/>
  <c r="K235" i="9"/>
  <c r="J235" i="9"/>
  <c r="H235" i="9"/>
  <c r="F235" i="9"/>
  <c r="E235" i="9"/>
  <c r="AC234" i="9"/>
  <c r="AB234" i="9"/>
  <c r="AA234" i="9"/>
  <c r="Z234" i="9"/>
  <c r="R234" i="9"/>
  <c r="M234" i="9"/>
  <c r="L234" i="9"/>
  <c r="K234" i="9"/>
  <c r="J234" i="9"/>
  <c r="H234" i="9"/>
  <c r="F234" i="9"/>
  <c r="E234" i="9"/>
  <c r="AC233" i="9"/>
  <c r="AB233" i="9"/>
  <c r="AA233" i="9"/>
  <c r="Z233" i="9"/>
  <c r="R233" i="9"/>
  <c r="M233" i="9"/>
  <c r="L233" i="9"/>
  <c r="K233" i="9"/>
  <c r="J233" i="9"/>
  <c r="H233" i="9"/>
  <c r="F233" i="9"/>
  <c r="E233" i="9"/>
  <c r="AC232" i="9"/>
  <c r="AB232" i="9"/>
  <c r="AA232" i="9"/>
  <c r="Z232" i="9"/>
  <c r="R232" i="9"/>
  <c r="M232" i="9"/>
  <c r="L232" i="9"/>
  <c r="K232" i="9"/>
  <c r="J232" i="9"/>
  <c r="H232" i="9"/>
  <c r="F232" i="9"/>
  <c r="E232" i="9"/>
  <c r="AC231" i="9"/>
  <c r="AB231" i="9"/>
  <c r="AA231" i="9"/>
  <c r="Z231" i="9"/>
  <c r="R231" i="9"/>
  <c r="M231" i="9"/>
  <c r="N231" i="9" s="1"/>
  <c r="L231" i="9"/>
  <c r="K231" i="9"/>
  <c r="J231" i="9"/>
  <c r="H231" i="9"/>
  <c r="F231" i="9"/>
  <c r="E231" i="9"/>
  <c r="AC230" i="9"/>
  <c r="AB230" i="9"/>
  <c r="AA230" i="9"/>
  <c r="Z230" i="9"/>
  <c r="R230" i="9"/>
  <c r="M230" i="9"/>
  <c r="P230" i="9" s="1"/>
  <c r="L230" i="9"/>
  <c r="K230" i="9"/>
  <c r="J230" i="9"/>
  <c r="H230" i="9"/>
  <c r="F230" i="9"/>
  <c r="E230" i="9"/>
  <c r="AC229" i="9"/>
  <c r="AB229" i="9"/>
  <c r="AA229" i="9"/>
  <c r="Z229" i="9"/>
  <c r="R229" i="9"/>
  <c r="M229" i="9"/>
  <c r="N229" i="9" s="1"/>
  <c r="L229" i="9"/>
  <c r="K229" i="9"/>
  <c r="J229" i="9"/>
  <c r="H229" i="9"/>
  <c r="F229" i="9"/>
  <c r="E229" i="9"/>
  <c r="AC228" i="9"/>
  <c r="AB228" i="9"/>
  <c r="AA228" i="9"/>
  <c r="Z228" i="9"/>
  <c r="R228" i="9"/>
  <c r="M228" i="9"/>
  <c r="P228" i="9" s="1"/>
  <c r="L228" i="9"/>
  <c r="K228" i="9"/>
  <c r="J228" i="9"/>
  <c r="H228" i="9"/>
  <c r="F228" i="9"/>
  <c r="E228" i="9"/>
  <c r="AC227" i="9"/>
  <c r="AB227" i="9"/>
  <c r="AA227" i="9"/>
  <c r="Z227" i="9"/>
  <c r="R227" i="9"/>
  <c r="M227" i="9"/>
  <c r="L227" i="9"/>
  <c r="K227" i="9"/>
  <c r="J227" i="9"/>
  <c r="H227" i="9"/>
  <c r="F227" i="9"/>
  <c r="E227" i="9"/>
  <c r="AC226" i="9"/>
  <c r="AB226" i="9"/>
  <c r="AA226" i="9"/>
  <c r="Z226" i="9"/>
  <c r="R226" i="9"/>
  <c r="M226" i="9"/>
  <c r="L226" i="9"/>
  <c r="K226" i="9"/>
  <c r="J226" i="9"/>
  <c r="H226" i="9"/>
  <c r="F226" i="9"/>
  <c r="E226" i="9"/>
  <c r="AC225" i="9"/>
  <c r="AB225" i="9"/>
  <c r="AA225" i="9"/>
  <c r="Z225" i="9"/>
  <c r="R225" i="9"/>
  <c r="M225" i="9"/>
  <c r="L225" i="9"/>
  <c r="K225" i="9"/>
  <c r="J225" i="9"/>
  <c r="H225" i="9"/>
  <c r="F225" i="9"/>
  <c r="E225" i="9"/>
  <c r="AC224" i="9"/>
  <c r="AB224" i="9"/>
  <c r="AA224" i="9"/>
  <c r="Z224" i="9"/>
  <c r="R224" i="9"/>
  <c r="M224" i="9"/>
  <c r="L224" i="9"/>
  <c r="K224" i="9"/>
  <c r="J224" i="9"/>
  <c r="H224" i="9"/>
  <c r="F224" i="9"/>
  <c r="E224" i="9"/>
  <c r="AC223" i="9"/>
  <c r="AB223" i="9"/>
  <c r="AA223" i="9"/>
  <c r="Z223" i="9"/>
  <c r="R223" i="9"/>
  <c r="M223" i="9"/>
  <c r="N223" i="9" s="1"/>
  <c r="L223" i="9"/>
  <c r="K223" i="9"/>
  <c r="J223" i="9"/>
  <c r="H223" i="9"/>
  <c r="F223" i="9"/>
  <c r="E223" i="9"/>
  <c r="AC222" i="9"/>
  <c r="AB222" i="9"/>
  <c r="AA222" i="9"/>
  <c r="Z222" i="9"/>
  <c r="R222" i="9"/>
  <c r="M222" i="9"/>
  <c r="L222" i="9"/>
  <c r="K222" i="9"/>
  <c r="J222" i="9"/>
  <c r="H222" i="9"/>
  <c r="F222" i="9"/>
  <c r="E222" i="9"/>
  <c r="AC221" i="9"/>
  <c r="AB221" i="9"/>
  <c r="AA221" i="9"/>
  <c r="Z221" i="9"/>
  <c r="R221" i="9"/>
  <c r="M221" i="9"/>
  <c r="L221" i="9"/>
  <c r="K221" i="9"/>
  <c r="J221" i="9"/>
  <c r="H221" i="9"/>
  <c r="F221" i="9"/>
  <c r="E221" i="9"/>
  <c r="AC220" i="9"/>
  <c r="AB220" i="9"/>
  <c r="AA220" i="9"/>
  <c r="Z220" i="9"/>
  <c r="R220" i="9"/>
  <c r="M220" i="9"/>
  <c r="L220" i="9"/>
  <c r="K220" i="9"/>
  <c r="J220" i="9"/>
  <c r="H220" i="9"/>
  <c r="F220" i="9"/>
  <c r="E220" i="9"/>
  <c r="AC219" i="9"/>
  <c r="AB219" i="9"/>
  <c r="AA219" i="9"/>
  <c r="Z219" i="9"/>
  <c r="R219" i="9"/>
  <c r="M219" i="9"/>
  <c r="N219" i="9" s="1"/>
  <c r="L219" i="9"/>
  <c r="K219" i="9"/>
  <c r="J219" i="9"/>
  <c r="H219" i="9"/>
  <c r="F219" i="9"/>
  <c r="E219" i="9"/>
  <c r="AC218" i="9"/>
  <c r="AB218" i="9"/>
  <c r="AA218" i="9"/>
  <c r="Z218" i="9"/>
  <c r="R218" i="9"/>
  <c r="M218" i="9"/>
  <c r="P218" i="9" s="1"/>
  <c r="L218" i="9"/>
  <c r="K218" i="9"/>
  <c r="J218" i="9"/>
  <c r="H218" i="9"/>
  <c r="F218" i="9"/>
  <c r="E218" i="9"/>
  <c r="AC217" i="9"/>
  <c r="AB217" i="9"/>
  <c r="AA217" i="9"/>
  <c r="Z217" i="9"/>
  <c r="R217" i="9"/>
  <c r="M217" i="9"/>
  <c r="L217" i="9"/>
  <c r="K217" i="9"/>
  <c r="J217" i="9"/>
  <c r="H217" i="9"/>
  <c r="F217" i="9"/>
  <c r="E217" i="9"/>
  <c r="AC216" i="9"/>
  <c r="AB216" i="9"/>
  <c r="AA216" i="9"/>
  <c r="Z216" i="9"/>
  <c r="R216" i="9"/>
  <c r="M216" i="9"/>
  <c r="L216" i="9"/>
  <c r="K216" i="9"/>
  <c r="J216" i="9"/>
  <c r="H216" i="9"/>
  <c r="F216" i="9"/>
  <c r="E216" i="9"/>
  <c r="AC215" i="9"/>
  <c r="AB215" i="9"/>
  <c r="AA215" i="9"/>
  <c r="Z215" i="9"/>
  <c r="R215" i="9"/>
  <c r="M215" i="9"/>
  <c r="L215" i="9"/>
  <c r="K215" i="9"/>
  <c r="J215" i="9"/>
  <c r="H215" i="9"/>
  <c r="F215" i="9"/>
  <c r="E215" i="9"/>
  <c r="AC214" i="9"/>
  <c r="AB214" i="9"/>
  <c r="AA214" i="9"/>
  <c r="Z214" i="9"/>
  <c r="R214" i="9"/>
  <c r="M214" i="9"/>
  <c r="L214" i="9"/>
  <c r="K214" i="9"/>
  <c r="J214" i="9"/>
  <c r="H214" i="9"/>
  <c r="F214" i="9"/>
  <c r="E214" i="9"/>
  <c r="AC213" i="9"/>
  <c r="AB213" i="9"/>
  <c r="AA213" i="9"/>
  <c r="Z213" i="9"/>
  <c r="R213" i="9"/>
  <c r="M213" i="9"/>
  <c r="L213" i="9"/>
  <c r="K213" i="9"/>
  <c r="J213" i="9"/>
  <c r="H213" i="9"/>
  <c r="F213" i="9"/>
  <c r="E213" i="9"/>
  <c r="AC212" i="9"/>
  <c r="AB212" i="9"/>
  <c r="AA212" i="9"/>
  <c r="Z212" i="9"/>
  <c r="R212" i="9"/>
  <c r="M212" i="9"/>
  <c r="P212" i="9" s="1"/>
  <c r="L212" i="9"/>
  <c r="K212" i="9"/>
  <c r="J212" i="9"/>
  <c r="H212" i="9"/>
  <c r="F212" i="9"/>
  <c r="E212" i="9"/>
  <c r="AC211" i="9"/>
  <c r="AB211" i="9"/>
  <c r="AA211" i="9"/>
  <c r="Z211" i="9"/>
  <c r="R211" i="9"/>
  <c r="M211" i="9"/>
  <c r="N211" i="9" s="1"/>
  <c r="L211" i="9"/>
  <c r="K211" i="9"/>
  <c r="J211" i="9"/>
  <c r="H211" i="9"/>
  <c r="F211" i="9"/>
  <c r="E211" i="9"/>
  <c r="AC210" i="9"/>
  <c r="AB210" i="9"/>
  <c r="AA210" i="9"/>
  <c r="Z210" i="9"/>
  <c r="R210" i="9"/>
  <c r="M210" i="9"/>
  <c r="P210" i="9" s="1"/>
  <c r="L210" i="9"/>
  <c r="K210" i="9"/>
  <c r="J210" i="9"/>
  <c r="H210" i="9"/>
  <c r="F210" i="9"/>
  <c r="E210" i="9"/>
  <c r="AC209" i="9"/>
  <c r="AB209" i="9"/>
  <c r="AA209" i="9"/>
  <c r="Z209" i="9"/>
  <c r="R209" i="9"/>
  <c r="M209" i="9"/>
  <c r="P209" i="9" s="1"/>
  <c r="L209" i="9"/>
  <c r="K209" i="9"/>
  <c r="J209" i="9"/>
  <c r="H209" i="9"/>
  <c r="F209" i="9"/>
  <c r="E209" i="9"/>
  <c r="AC208" i="9"/>
  <c r="AB208" i="9"/>
  <c r="AA208" i="9"/>
  <c r="Z208" i="9"/>
  <c r="R208" i="9"/>
  <c r="M208" i="9"/>
  <c r="P208" i="9" s="1"/>
  <c r="L208" i="9"/>
  <c r="K208" i="9"/>
  <c r="J208" i="9"/>
  <c r="H208" i="9"/>
  <c r="F208" i="9"/>
  <c r="E208" i="9"/>
  <c r="AC207" i="9"/>
  <c r="AB207" i="9"/>
  <c r="AA207" i="9"/>
  <c r="Z207" i="9"/>
  <c r="R207" i="9"/>
  <c r="M207" i="9"/>
  <c r="N207" i="9" s="1"/>
  <c r="L207" i="9"/>
  <c r="K207" i="9"/>
  <c r="J207" i="9"/>
  <c r="H207" i="9"/>
  <c r="F207" i="9"/>
  <c r="E207" i="9"/>
  <c r="AC206" i="9"/>
  <c r="AB206" i="9"/>
  <c r="AA206" i="9"/>
  <c r="Z206" i="9"/>
  <c r="R206" i="9"/>
  <c r="M206" i="9"/>
  <c r="P206" i="9" s="1"/>
  <c r="L206" i="9"/>
  <c r="K206" i="9"/>
  <c r="J206" i="9"/>
  <c r="H206" i="9"/>
  <c r="F206" i="9"/>
  <c r="E206" i="9"/>
  <c r="AC205" i="9"/>
  <c r="AB205" i="9"/>
  <c r="AA205" i="9"/>
  <c r="Z205" i="9"/>
  <c r="R205" i="9"/>
  <c r="M205" i="9"/>
  <c r="N205" i="9" s="1"/>
  <c r="L205" i="9"/>
  <c r="K205" i="9"/>
  <c r="J205" i="9"/>
  <c r="H205" i="9"/>
  <c r="F205" i="9"/>
  <c r="E205" i="9"/>
  <c r="AC204" i="9"/>
  <c r="AB204" i="9"/>
  <c r="AA204" i="9"/>
  <c r="Z204" i="9"/>
  <c r="R204" i="9"/>
  <c r="M204" i="9"/>
  <c r="L204" i="9"/>
  <c r="K204" i="9"/>
  <c r="J204" i="9"/>
  <c r="H204" i="9"/>
  <c r="F204" i="9"/>
  <c r="E204" i="9"/>
  <c r="AC203" i="9"/>
  <c r="AB203" i="9"/>
  <c r="AA203" i="9"/>
  <c r="Z203" i="9"/>
  <c r="R203" i="9"/>
  <c r="M203" i="9"/>
  <c r="L203" i="9"/>
  <c r="K203" i="9"/>
  <c r="J203" i="9"/>
  <c r="H203" i="9"/>
  <c r="F203" i="9"/>
  <c r="E203" i="9"/>
  <c r="AC202" i="9"/>
  <c r="AB202" i="9"/>
  <c r="AA202" i="9"/>
  <c r="Z202" i="9"/>
  <c r="R202" i="9"/>
  <c r="M202" i="9"/>
  <c r="L202" i="9"/>
  <c r="K202" i="9"/>
  <c r="J202" i="9"/>
  <c r="H202" i="9"/>
  <c r="F202" i="9"/>
  <c r="E202" i="9"/>
  <c r="AC201" i="9"/>
  <c r="AB201" i="9"/>
  <c r="AA201" i="9"/>
  <c r="Z201" i="9"/>
  <c r="R201" i="9"/>
  <c r="M201" i="9"/>
  <c r="N201" i="9" s="1"/>
  <c r="L201" i="9"/>
  <c r="K201" i="9"/>
  <c r="J201" i="9"/>
  <c r="H201" i="9"/>
  <c r="F201" i="9"/>
  <c r="E201" i="9"/>
  <c r="AC200" i="9"/>
  <c r="AB200" i="9"/>
  <c r="AA200" i="9"/>
  <c r="Z200" i="9"/>
  <c r="R200" i="9"/>
  <c r="M200" i="9"/>
  <c r="L200" i="9"/>
  <c r="K200" i="9"/>
  <c r="J200" i="9"/>
  <c r="H200" i="9"/>
  <c r="F200" i="9"/>
  <c r="E200" i="9"/>
  <c r="AC199" i="9"/>
  <c r="AB199" i="9"/>
  <c r="AA199" i="9"/>
  <c r="Z199" i="9"/>
  <c r="R199" i="9"/>
  <c r="M199" i="9"/>
  <c r="N199" i="9" s="1"/>
  <c r="L199" i="9"/>
  <c r="K199" i="9"/>
  <c r="J199" i="9"/>
  <c r="H199" i="9"/>
  <c r="F199" i="9"/>
  <c r="E199" i="9"/>
  <c r="AC198" i="9"/>
  <c r="AB198" i="9"/>
  <c r="AA198" i="9"/>
  <c r="Z198" i="9"/>
  <c r="R198" i="9"/>
  <c r="M198" i="9"/>
  <c r="L198" i="9"/>
  <c r="K198" i="9"/>
  <c r="J198" i="9"/>
  <c r="H198" i="9"/>
  <c r="F198" i="9"/>
  <c r="E198" i="9"/>
  <c r="AC197" i="9"/>
  <c r="AB197" i="9"/>
  <c r="AA197" i="9"/>
  <c r="Z197" i="9"/>
  <c r="R197" i="9"/>
  <c r="M197" i="9"/>
  <c r="L197" i="9"/>
  <c r="K197" i="9"/>
  <c r="J197" i="9"/>
  <c r="H197" i="9"/>
  <c r="F197" i="9"/>
  <c r="E197" i="9"/>
  <c r="AC196" i="9"/>
  <c r="AB196" i="9"/>
  <c r="AA196" i="9"/>
  <c r="Z196" i="9"/>
  <c r="R196" i="9"/>
  <c r="M196" i="9"/>
  <c r="L196" i="9"/>
  <c r="K196" i="9"/>
  <c r="J196" i="9"/>
  <c r="H196" i="9"/>
  <c r="F196" i="9"/>
  <c r="E196" i="9"/>
  <c r="AC195" i="9"/>
  <c r="AB195" i="9"/>
  <c r="AA195" i="9"/>
  <c r="Z195" i="9"/>
  <c r="R195" i="9"/>
  <c r="M195" i="9"/>
  <c r="P195" i="9" s="1"/>
  <c r="L195" i="9"/>
  <c r="K195" i="9"/>
  <c r="J195" i="9"/>
  <c r="H195" i="9"/>
  <c r="F195" i="9"/>
  <c r="E195" i="9"/>
  <c r="AC194" i="9"/>
  <c r="AB194" i="9"/>
  <c r="AA194" i="9"/>
  <c r="Z194" i="9"/>
  <c r="R194" i="9"/>
  <c r="M194" i="9"/>
  <c r="L194" i="9"/>
  <c r="K194" i="9"/>
  <c r="J194" i="9"/>
  <c r="H194" i="9"/>
  <c r="F194" i="9"/>
  <c r="E194" i="9"/>
  <c r="AC193" i="9"/>
  <c r="AB193" i="9"/>
  <c r="AA193" i="9"/>
  <c r="Z193" i="9"/>
  <c r="R193" i="9"/>
  <c r="M193" i="9"/>
  <c r="L193" i="9"/>
  <c r="K193" i="9"/>
  <c r="J193" i="9"/>
  <c r="H193" i="9"/>
  <c r="F193" i="9"/>
  <c r="E193" i="9"/>
  <c r="AC192" i="9"/>
  <c r="AB192" i="9"/>
  <c r="AA192" i="9"/>
  <c r="Z192" i="9"/>
  <c r="R192" i="9"/>
  <c r="M192" i="9"/>
  <c r="N192" i="9" s="1"/>
  <c r="L192" i="9"/>
  <c r="K192" i="9"/>
  <c r="J192" i="9"/>
  <c r="H192" i="9"/>
  <c r="F192" i="9"/>
  <c r="E192" i="9"/>
  <c r="AC191" i="9"/>
  <c r="AB191" i="9"/>
  <c r="AA191" i="9"/>
  <c r="Z191" i="9"/>
  <c r="R191" i="9"/>
  <c r="M191" i="9"/>
  <c r="N191" i="9" s="1"/>
  <c r="L191" i="9"/>
  <c r="K191" i="9"/>
  <c r="J191" i="9"/>
  <c r="H191" i="9"/>
  <c r="F191" i="9"/>
  <c r="E191" i="9"/>
  <c r="AC190" i="9"/>
  <c r="AB190" i="9"/>
  <c r="AA190" i="9"/>
  <c r="Z190" i="9"/>
  <c r="R190" i="9"/>
  <c r="M190" i="9"/>
  <c r="L190" i="9"/>
  <c r="K190" i="9"/>
  <c r="J190" i="9"/>
  <c r="H190" i="9"/>
  <c r="F190" i="9"/>
  <c r="E190" i="9"/>
  <c r="AC189" i="9"/>
  <c r="AB189" i="9"/>
  <c r="AA189" i="9"/>
  <c r="Z189" i="9"/>
  <c r="R189" i="9"/>
  <c r="M189" i="9"/>
  <c r="O189" i="9" s="1"/>
  <c r="L189" i="9"/>
  <c r="K189" i="9"/>
  <c r="J189" i="9"/>
  <c r="H189" i="9"/>
  <c r="F189" i="9"/>
  <c r="E189" i="9"/>
  <c r="AC188" i="9"/>
  <c r="AB188" i="9"/>
  <c r="AA188" i="9"/>
  <c r="Z188" i="9"/>
  <c r="R188" i="9"/>
  <c r="M188" i="9"/>
  <c r="N188" i="9" s="1"/>
  <c r="L188" i="9"/>
  <c r="K188" i="9"/>
  <c r="J188" i="9"/>
  <c r="H188" i="9"/>
  <c r="F188" i="9"/>
  <c r="E188" i="9"/>
  <c r="AC187" i="9"/>
  <c r="AB187" i="9"/>
  <c r="AA187" i="9"/>
  <c r="Z187" i="9"/>
  <c r="R187" i="9"/>
  <c r="M187" i="9"/>
  <c r="P187" i="9" s="1"/>
  <c r="L187" i="9"/>
  <c r="K187" i="9"/>
  <c r="J187" i="9"/>
  <c r="H187" i="9"/>
  <c r="F187" i="9"/>
  <c r="E187" i="9"/>
  <c r="AC186" i="9"/>
  <c r="AB186" i="9"/>
  <c r="AA186" i="9"/>
  <c r="Z186" i="9"/>
  <c r="R186" i="9"/>
  <c r="M186" i="9"/>
  <c r="L186" i="9"/>
  <c r="K186" i="9"/>
  <c r="J186" i="9"/>
  <c r="H186" i="9"/>
  <c r="F186" i="9"/>
  <c r="E186" i="9"/>
  <c r="AC185" i="9"/>
  <c r="AB185" i="9"/>
  <c r="AA185" i="9"/>
  <c r="Z185" i="9"/>
  <c r="R185" i="9"/>
  <c r="M185" i="9"/>
  <c r="L185" i="9"/>
  <c r="K185" i="9"/>
  <c r="J185" i="9"/>
  <c r="H185" i="9"/>
  <c r="F185" i="9"/>
  <c r="E185" i="9"/>
  <c r="AC184" i="9"/>
  <c r="AB184" i="9"/>
  <c r="AA184" i="9"/>
  <c r="Z184" i="9"/>
  <c r="R184" i="9"/>
  <c r="M184" i="9"/>
  <c r="N184" i="9" s="1"/>
  <c r="L184" i="9"/>
  <c r="K184" i="9"/>
  <c r="J184" i="9"/>
  <c r="H184" i="9"/>
  <c r="F184" i="9"/>
  <c r="E184" i="9"/>
  <c r="AC183" i="9"/>
  <c r="AB183" i="9"/>
  <c r="AA183" i="9"/>
  <c r="Z183" i="9"/>
  <c r="R183" i="9"/>
  <c r="M183" i="9"/>
  <c r="L183" i="9"/>
  <c r="K183" i="9"/>
  <c r="J183" i="9"/>
  <c r="H183" i="9"/>
  <c r="F183" i="9"/>
  <c r="E183" i="9"/>
  <c r="AC182" i="9"/>
  <c r="AB182" i="9"/>
  <c r="AA182" i="9"/>
  <c r="Z182" i="9"/>
  <c r="R182" i="9"/>
  <c r="M182" i="9"/>
  <c r="L182" i="9"/>
  <c r="K182" i="9"/>
  <c r="J182" i="9"/>
  <c r="H182" i="9"/>
  <c r="F182" i="9"/>
  <c r="E182" i="9"/>
  <c r="AC181" i="9"/>
  <c r="AB181" i="9"/>
  <c r="AA181" i="9"/>
  <c r="Z181" i="9"/>
  <c r="R181" i="9"/>
  <c r="M181" i="9"/>
  <c r="L181" i="9"/>
  <c r="K181" i="9"/>
  <c r="J181" i="9"/>
  <c r="H181" i="9"/>
  <c r="F181" i="9"/>
  <c r="E181" i="9"/>
  <c r="AC180" i="9"/>
  <c r="AB180" i="9"/>
  <c r="AA180" i="9"/>
  <c r="Z180" i="9"/>
  <c r="R180" i="9"/>
  <c r="M180" i="9"/>
  <c r="L180" i="9"/>
  <c r="K180" i="9"/>
  <c r="J180" i="9"/>
  <c r="H180" i="9"/>
  <c r="F180" i="9"/>
  <c r="E180" i="9"/>
  <c r="AC179" i="9"/>
  <c r="AB179" i="9"/>
  <c r="AA179" i="9"/>
  <c r="Z179" i="9"/>
  <c r="R179" i="9"/>
  <c r="M179" i="9"/>
  <c r="P179" i="9" s="1"/>
  <c r="L179" i="9"/>
  <c r="K179" i="9"/>
  <c r="J179" i="9"/>
  <c r="H179" i="9"/>
  <c r="F179" i="9"/>
  <c r="E179" i="9"/>
  <c r="AC178" i="9"/>
  <c r="AB178" i="9"/>
  <c r="AA178" i="9"/>
  <c r="Z178" i="9"/>
  <c r="R178" i="9"/>
  <c r="M178" i="9"/>
  <c r="L178" i="9"/>
  <c r="K178" i="9"/>
  <c r="J178" i="9"/>
  <c r="H178" i="9"/>
  <c r="F178" i="9"/>
  <c r="E178" i="9"/>
  <c r="AC177" i="9"/>
  <c r="AB177" i="9"/>
  <c r="AA177" i="9"/>
  <c r="Z177" i="9"/>
  <c r="R177" i="9"/>
  <c r="M177" i="9"/>
  <c r="L177" i="9"/>
  <c r="K177" i="9"/>
  <c r="J177" i="9"/>
  <c r="H177" i="9"/>
  <c r="F177" i="9"/>
  <c r="E177" i="9"/>
  <c r="AC176" i="9"/>
  <c r="AB176" i="9"/>
  <c r="AA176" i="9"/>
  <c r="Z176" i="9"/>
  <c r="R176" i="9"/>
  <c r="M176" i="9"/>
  <c r="N176" i="9" s="1"/>
  <c r="L176" i="9"/>
  <c r="K176" i="9"/>
  <c r="J176" i="9"/>
  <c r="H176" i="9"/>
  <c r="F176" i="9"/>
  <c r="E176" i="9"/>
  <c r="AC175" i="9"/>
  <c r="AB175" i="9"/>
  <c r="AA175" i="9"/>
  <c r="Z175" i="9"/>
  <c r="R175" i="9"/>
  <c r="M175" i="9"/>
  <c r="L175" i="9"/>
  <c r="K175" i="9"/>
  <c r="J175" i="9"/>
  <c r="H175" i="9"/>
  <c r="F175" i="9"/>
  <c r="E175" i="9"/>
  <c r="AC174" i="9"/>
  <c r="AB174" i="9"/>
  <c r="AA174" i="9"/>
  <c r="Z174" i="9"/>
  <c r="R174" i="9"/>
  <c r="M174" i="9"/>
  <c r="L174" i="9"/>
  <c r="K174" i="9"/>
  <c r="J174" i="9"/>
  <c r="H174" i="9"/>
  <c r="F174" i="9"/>
  <c r="E174" i="9"/>
  <c r="AC173" i="9"/>
  <c r="AB173" i="9"/>
  <c r="AA173" i="9"/>
  <c r="Z173" i="9"/>
  <c r="R173" i="9"/>
  <c r="M173" i="9"/>
  <c r="O173" i="9" s="1"/>
  <c r="L173" i="9"/>
  <c r="K173" i="9"/>
  <c r="J173" i="9"/>
  <c r="H173" i="9"/>
  <c r="F173" i="9"/>
  <c r="E173" i="9"/>
  <c r="AC172" i="9"/>
  <c r="AB172" i="9"/>
  <c r="AA172" i="9"/>
  <c r="Z172" i="9"/>
  <c r="R172" i="9"/>
  <c r="M172" i="9"/>
  <c r="L172" i="9"/>
  <c r="K172" i="9"/>
  <c r="J172" i="9"/>
  <c r="H172" i="9"/>
  <c r="F172" i="9"/>
  <c r="E172" i="9"/>
  <c r="AC171" i="9"/>
  <c r="AB171" i="9"/>
  <c r="AA171" i="9"/>
  <c r="Z171" i="9"/>
  <c r="R171" i="9"/>
  <c r="M171" i="9"/>
  <c r="P171" i="9" s="1"/>
  <c r="L171" i="9"/>
  <c r="K171" i="9"/>
  <c r="J171" i="9"/>
  <c r="H171" i="9"/>
  <c r="F171" i="9"/>
  <c r="E171" i="9"/>
  <c r="AC170" i="9"/>
  <c r="AB170" i="9"/>
  <c r="AA170" i="9"/>
  <c r="Z170" i="9"/>
  <c r="R170" i="9"/>
  <c r="M170" i="9"/>
  <c r="L170" i="9"/>
  <c r="K170" i="9"/>
  <c r="J170" i="9"/>
  <c r="H170" i="9"/>
  <c r="F170" i="9"/>
  <c r="E170" i="9"/>
  <c r="AC169" i="9"/>
  <c r="AB169" i="9"/>
  <c r="AA169" i="9"/>
  <c r="Z169" i="9"/>
  <c r="R169" i="9"/>
  <c r="M169" i="9"/>
  <c r="L169" i="9"/>
  <c r="K169" i="9"/>
  <c r="J169" i="9"/>
  <c r="H169" i="9"/>
  <c r="F169" i="9"/>
  <c r="E169" i="9"/>
  <c r="AC168" i="9"/>
  <c r="AB168" i="9"/>
  <c r="AA168" i="9"/>
  <c r="Z168" i="9"/>
  <c r="R168" i="9"/>
  <c r="M168" i="9"/>
  <c r="N168" i="9" s="1"/>
  <c r="L168" i="9"/>
  <c r="K168" i="9"/>
  <c r="J168" i="9"/>
  <c r="H168" i="9"/>
  <c r="F168" i="9"/>
  <c r="E168" i="9"/>
  <c r="AC167" i="9"/>
  <c r="AB167" i="9"/>
  <c r="AA167" i="9"/>
  <c r="Z167" i="9"/>
  <c r="R167" i="9"/>
  <c r="M167" i="9"/>
  <c r="L167" i="9"/>
  <c r="K167" i="9"/>
  <c r="J167" i="9"/>
  <c r="H167" i="9"/>
  <c r="F167" i="9"/>
  <c r="E167" i="9"/>
  <c r="AC166" i="9"/>
  <c r="AB166" i="9"/>
  <c r="AA166" i="9"/>
  <c r="Z166" i="9"/>
  <c r="R166" i="9"/>
  <c r="M166" i="9"/>
  <c r="L166" i="9"/>
  <c r="K166" i="9"/>
  <c r="J166" i="9"/>
  <c r="H166" i="9"/>
  <c r="F166" i="9"/>
  <c r="E166" i="9"/>
  <c r="AC165" i="9"/>
  <c r="AB165" i="9"/>
  <c r="AA165" i="9"/>
  <c r="Z165" i="9"/>
  <c r="R165" i="9"/>
  <c r="M165" i="9"/>
  <c r="O165" i="9" s="1"/>
  <c r="L165" i="9"/>
  <c r="K165" i="9"/>
  <c r="J165" i="9"/>
  <c r="H165" i="9"/>
  <c r="F165" i="9"/>
  <c r="E165" i="9"/>
  <c r="AC164" i="9"/>
  <c r="AB164" i="9"/>
  <c r="AA164" i="9"/>
  <c r="Z164" i="9"/>
  <c r="R164" i="9"/>
  <c r="M164" i="9"/>
  <c r="L164" i="9"/>
  <c r="K164" i="9"/>
  <c r="J164" i="9"/>
  <c r="H164" i="9"/>
  <c r="F164" i="9"/>
  <c r="E164" i="9"/>
  <c r="AC163" i="9"/>
  <c r="AB163" i="9"/>
  <c r="AA163" i="9"/>
  <c r="Z163" i="9"/>
  <c r="R163" i="9"/>
  <c r="M163" i="9"/>
  <c r="P163" i="9" s="1"/>
  <c r="L163" i="9"/>
  <c r="K163" i="9"/>
  <c r="J163" i="9"/>
  <c r="H163" i="9"/>
  <c r="F163" i="9"/>
  <c r="E163" i="9"/>
  <c r="AC162" i="9"/>
  <c r="AB162" i="9"/>
  <c r="AA162" i="9"/>
  <c r="Z162" i="9"/>
  <c r="R162" i="9"/>
  <c r="M162" i="9"/>
  <c r="L162" i="9"/>
  <c r="K162" i="9"/>
  <c r="J162" i="9"/>
  <c r="H162" i="9"/>
  <c r="F162" i="9"/>
  <c r="E162" i="9"/>
  <c r="AC161" i="9"/>
  <c r="AB161" i="9"/>
  <c r="AA161" i="9"/>
  <c r="Z161" i="9"/>
  <c r="R161" i="9"/>
  <c r="M161" i="9"/>
  <c r="L161" i="9"/>
  <c r="K161" i="9"/>
  <c r="J161" i="9"/>
  <c r="H161" i="9"/>
  <c r="F161" i="9"/>
  <c r="E161" i="9"/>
  <c r="AC160" i="9"/>
  <c r="AB160" i="9"/>
  <c r="AA160" i="9"/>
  <c r="Z160" i="9"/>
  <c r="R160" i="9"/>
  <c r="M160" i="9"/>
  <c r="N160" i="9" s="1"/>
  <c r="L160" i="9"/>
  <c r="K160" i="9"/>
  <c r="J160" i="9"/>
  <c r="H160" i="9"/>
  <c r="F160" i="9"/>
  <c r="E160" i="9"/>
  <c r="AC159" i="9"/>
  <c r="AB159" i="9"/>
  <c r="AA159" i="9"/>
  <c r="Z159" i="9"/>
  <c r="R159" i="9"/>
  <c r="M159" i="9"/>
  <c r="P159" i="9" s="1"/>
  <c r="L159" i="9"/>
  <c r="K159" i="9"/>
  <c r="J159" i="9"/>
  <c r="H159" i="9"/>
  <c r="F159" i="9"/>
  <c r="E159" i="9"/>
  <c r="AC158" i="9"/>
  <c r="AB158" i="9"/>
  <c r="AA158" i="9"/>
  <c r="Z158" i="9"/>
  <c r="R158" i="9"/>
  <c r="M158" i="9"/>
  <c r="L158" i="9"/>
  <c r="K158" i="9"/>
  <c r="J158" i="9"/>
  <c r="H158" i="9"/>
  <c r="F158" i="9"/>
  <c r="E158" i="9"/>
  <c r="AC157" i="9"/>
  <c r="AB157" i="9"/>
  <c r="AA157" i="9"/>
  <c r="Z157" i="9"/>
  <c r="R157" i="9"/>
  <c r="M157" i="9"/>
  <c r="O157" i="9" s="1"/>
  <c r="L157" i="9"/>
  <c r="K157" i="9"/>
  <c r="J157" i="9"/>
  <c r="H157" i="9"/>
  <c r="F157" i="9"/>
  <c r="E157" i="9"/>
  <c r="AC156" i="9"/>
  <c r="AB156" i="9"/>
  <c r="AA156" i="9"/>
  <c r="Z156" i="9"/>
  <c r="R156" i="9"/>
  <c r="M156" i="9"/>
  <c r="L156" i="9"/>
  <c r="K156" i="9"/>
  <c r="J156" i="9"/>
  <c r="H156" i="9"/>
  <c r="F156" i="9"/>
  <c r="E156" i="9"/>
  <c r="AC155" i="9"/>
  <c r="AB155" i="9"/>
  <c r="AA155" i="9"/>
  <c r="Z155" i="9"/>
  <c r="R155" i="9"/>
  <c r="M155" i="9"/>
  <c r="O155" i="9" s="1"/>
  <c r="L155" i="9"/>
  <c r="K155" i="9"/>
  <c r="J155" i="9"/>
  <c r="H155" i="9"/>
  <c r="F155" i="9"/>
  <c r="E155" i="9"/>
  <c r="AC154" i="9"/>
  <c r="AB154" i="9"/>
  <c r="AA154" i="9"/>
  <c r="Z154" i="9"/>
  <c r="R154" i="9"/>
  <c r="M154" i="9"/>
  <c r="L154" i="9"/>
  <c r="K154" i="9"/>
  <c r="J154" i="9"/>
  <c r="H154" i="9"/>
  <c r="F154" i="9"/>
  <c r="E154" i="9"/>
  <c r="AC153" i="9"/>
  <c r="AB153" i="9"/>
  <c r="AA153" i="9"/>
  <c r="Z153" i="9"/>
  <c r="R153" i="9"/>
  <c r="M153" i="9"/>
  <c r="O153" i="9" s="1"/>
  <c r="L153" i="9"/>
  <c r="K153" i="9"/>
  <c r="J153" i="9"/>
  <c r="H153" i="9"/>
  <c r="F153" i="9"/>
  <c r="E153" i="9"/>
  <c r="AC152" i="9"/>
  <c r="AB152" i="9"/>
  <c r="AA152" i="9"/>
  <c r="Z152" i="9"/>
  <c r="R152" i="9"/>
  <c r="M152" i="9"/>
  <c r="L152" i="9"/>
  <c r="K152" i="9"/>
  <c r="J152" i="9"/>
  <c r="H152" i="9"/>
  <c r="F152" i="9"/>
  <c r="E152" i="9"/>
  <c r="AC151" i="9"/>
  <c r="AB151" i="9"/>
  <c r="AA151" i="9"/>
  <c r="Z151" i="9"/>
  <c r="R151" i="9"/>
  <c r="M151" i="9"/>
  <c r="P151" i="9" s="1"/>
  <c r="L151" i="9"/>
  <c r="K151" i="9"/>
  <c r="J151" i="9"/>
  <c r="H151" i="9"/>
  <c r="F151" i="9"/>
  <c r="E151" i="9"/>
  <c r="AC150" i="9"/>
  <c r="AB150" i="9"/>
  <c r="AA150" i="9"/>
  <c r="Z150" i="9"/>
  <c r="R150" i="9"/>
  <c r="M150" i="9"/>
  <c r="L150" i="9"/>
  <c r="K150" i="9"/>
  <c r="J150" i="9"/>
  <c r="H150" i="9"/>
  <c r="F150" i="9"/>
  <c r="E150" i="9"/>
  <c r="AC149" i="9"/>
  <c r="AB149" i="9"/>
  <c r="AA149" i="9"/>
  <c r="Z149" i="9"/>
  <c r="R149" i="9"/>
  <c r="M149" i="9"/>
  <c r="L149" i="9"/>
  <c r="K149" i="9"/>
  <c r="J149" i="9"/>
  <c r="H149" i="9"/>
  <c r="F149" i="9"/>
  <c r="E149" i="9"/>
  <c r="AC148" i="9"/>
  <c r="AB148" i="9"/>
  <c r="AA148" i="9"/>
  <c r="Z148" i="9"/>
  <c r="R148" i="9"/>
  <c r="M148" i="9"/>
  <c r="O148" i="9" s="1"/>
  <c r="L148" i="9"/>
  <c r="K148" i="9"/>
  <c r="J148" i="9"/>
  <c r="H148" i="9"/>
  <c r="F148" i="9"/>
  <c r="E148" i="9"/>
  <c r="AC147" i="9"/>
  <c r="AB147" i="9"/>
  <c r="AA147" i="9"/>
  <c r="Z147" i="9"/>
  <c r="R147" i="9"/>
  <c r="M147" i="9"/>
  <c r="P147" i="9" s="1"/>
  <c r="L147" i="9"/>
  <c r="K147" i="9"/>
  <c r="J147" i="9"/>
  <c r="H147" i="9"/>
  <c r="F147" i="9"/>
  <c r="E147" i="9"/>
  <c r="AC146" i="9"/>
  <c r="AB146" i="9"/>
  <c r="AA146" i="9"/>
  <c r="Z146" i="9"/>
  <c r="R146" i="9"/>
  <c r="M146" i="9"/>
  <c r="L146" i="9"/>
  <c r="K146" i="9"/>
  <c r="J146" i="9"/>
  <c r="H146" i="9"/>
  <c r="F146" i="9"/>
  <c r="E146" i="9"/>
  <c r="AC145" i="9"/>
  <c r="AB145" i="9"/>
  <c r="AA145" i="9"/>
  <c r="Z145" i="9"/>
  <c r="R145" i="9"/>
  <c r="M145" i="9"/>
  <c r="O145" i="9" s="1"/>
  <c r="L145" i="9"/>
  <c r="K145" i="9"/>
  <c r="J145" i="9"/>
  <c r="H145" i="9"/>
  <c r="F145" i="9"/>
  <c r="E145" i="9"/>
  <c r="AC144" i="9"/>
  <c r="AB144" i="9"/>
  <c r="AA144" i="9"/>
  <c r="Z144" i="9"/>
  <c r="R144" i="9"/>
  <c r="M144" i="9"/>
  <c r="O144" i="9" s="1"/>
  <c r="L144" i="9"/>
  <c r="K144" i="9"/>
  <c r="J144" i="9"/>
  <c r="H144" i="9"/>
  <c r="F144" i="9"/>
  <c r="E144" i="9"/>
  <c r="AC143" i="9"/>
  <c r="AB143" i="9"/>
  <c r="AA143" i="9"/>
  <c r="Z143" i="9"/>
  <c r="R143" i="9"/>
  <c r="M143" i="9"/>
  <c r="P143" i="9" s="1"/>
  <c r="L143" i="9"/>
  <c r="K143" i="9"/>
  <c r="J143" i="9"/>
  <c r="H143" i="9"/>
  <c r="F143" i="9"/>
  <c r="E143" i="9"/>
  <c r="AC142" i="9"/>
  <c r="AB142" i="9"/>
  <c r="AA142" i="9"/>
  <c r="Z142" i="9"/>
  <c r="R142" i="9"/>
  <c r="M142" i="9"/>
  <c r="L142" i="9"/>
  <c r="K142" i="9"/>
  <c r="J142" i="9"/>
  <c r="H142" i="9"/>
  <c r="F142" i="9"/>
  <c r="E142" i="9"/>
  <c r="AC141" i="9"/>
  <c r="AB141" i="9"/>
  <c r="AA141" i="9"/>
  <c r="Z141" i="9"/>
  <c r="R141" i="9"/>
  <c r="M141" i="9"/>
  <c r="L141" i="9"/>
  <c r="K141" i="9"/>
  <c r="J141" i="9"/>
  <c r="H141" i="9"/>
  <c r="F141" i="9"/>
  <c r="E141" i="9"/>
  <c r="AC140" i="9"/>
  <c r="AB140" i="9"/>
  <c r="AA140" i="9"/>
  <c r="Z140" i="9"/>
  <c r="R140" i="9"/>
  <c r="M140" i="9"/>
  <c r="O140" i="9" s="1"/>
  <c r="L140" i="9"/>
  <c r="K140" i="9"/>
  <c r="J140" i="9"/>
  <c r="H140" i="9"/>
  <c r="F140" i="9"/>
  <c r="E140" i="9"/>
  <c r="AC139" i="9"/>
  <c r="AB139" i="9"/>
  <c r="AA139" i="9"/>
  <c r="Z139" i="9"/>
  <c r="R139" i="9"/>
  <c r="M139" i="9"/>
  <c r="P139" i="9" s="1"/>
  <c r="L139" i="9"/>
  <c r="K139" i="9"/>
  <c r="J139" i="9"/>
  <c r="H139" i="9"/>
  <c r="F139" i="9"/>
  <c r="E139" i="9"/>
  <c r="AC138" i="9"/>
  <c r="AB138" i="9"/>
  <c r="AA138" i="9"/>
  <c r="Z138" i="9"/>
  <c r="R138" i="9"/>
  <c r="M138" i="9"/>
  <c r="L138" i="9"/>
  <c r="K138" i="9"/>
  <c r="J138" i="9"/>
  <c r="H138" i="9"/>
  <c r="F138" i="9"/>
  <c r="E138" i="9"/>
  <c r="AC137" i="9"/>
  <c r="AB137" i="9"/>
  <c r="AA137" i="9"/>
  <c r="Z137" i="9"/>
  <c r="R137" i="9"/>
  <c r="M137" i="9"/>
  <c r="O137" i="9" s="1"/>
  <c r="L137" i="9"/>
  <c r="K137" i="9"/>
  <c r="J137" i="9"/>
  <c r="H137" i="9"/>
  <c r="F137" i="9"/>
  <c r="E137" i="9"/>
  <c r="AC136" i="9"/>
  <c r="AB136" i="9"/>
  <c r="AA136" i="9"/>
  <c r="Z136" i="9"/>
  <c r="R136" i="9"/>
  <c r="M136" i="9"/>
  <c r="L136" i="9"/>
  <c r="K136" i="9"/>
  <c r="J136" i="9"/>
  <c r="H136" i="9"/>
  <c r="F136" i="9"/>
  <c r="E136" i="9"/>
  <c r="AC135" i="9"/>
  <c r="AB135" i="9"/>
  <c r="AA135" i="9"/>
  <c r="Z135" i="9"/>
  <c r="R135" i="9"/>
  <c r="M135" i="9"/>
  <c r="P135" i="9" s="1"/>
  <c r="L135" i="9"/>
  <c r="K135" i="9"/>
  <c r="J135" i="9"/>
  <c r="H135" i="9"/>
  <c r="F135" i="9"/>
  <c r="E135" i="9"/>
  <c r="AC134" i="9"/>
  <c r="AB134" i="9"/>
  <c r="AA134" i="9"/>
  <c r="Z134" i="9"/>
  <c r="R134" i="9"/>
  <c r="M134" i="9"/>
  <c r="L134" i="9"/>
  <c r="K134" i="9"/>
  <c r="J134" i="9"/>
  <c r="H134" i="9"/>
  <c r="F134" i="9"/>
  <c r="E134" i="9"/>
  <c r="AC133" i="9"/>
  <c r="AB133" i="9"/>
  <c r="AA133" i="9"/>
  <c r="Z133" i="9"/>
  <c r="R133" i="9"/>
  <c r="M133" i="9"/>
  <c r="L133" i="9"/>
  <c r="K133" i="9"/>
  <c r="J133" i="9"/>
  <c r="H133" i="9"/>
  <c r="F133" i="9"/>
  <c r="E133" i="9"/>
  <c r="AC132" i="9"/>
  <c r="AB132" i="9"/>
  <c r="AA132" i="9"/>
  <c r="Z132" i="9"/>
  <c r="R132" i="9"/>
  <c r="M132" i="9"/>
  <c r="O132" i="9" s="1"/>
  <c r="L132" i="9"/>
  <c r="K132" i="9"/>
  <c r="J132" i="9"/>
  <c r="H132" i="9"/>
  <c r="F132" i="9"/>
  <c r="E132" i="9"/>
  <c r="AC131" i="9"/>
  <c r="AB131" i="9"/>
  <c r="AA131" i="9"/>
  <c r="Z131" i="9"/>
  <c r="R131" i="9"/>
  <c r="M131" i="9"/>
  <c r="P131" i="9" s="1"/>
  <c r="L131" i="9"/>
  <c r="K131" i="9"/>
  <c r="J131" i="9"/>
  <c r="H131" i="9"/>
  <c r="F131" i="9"/>
  <c r="E131" i="9"/>
  <c r="AC130" i="9"/>
  <c r="AB130" i="9"/>
  <c r="AA130" i="9"/>
  <c r="Z130" i="9"/>
  <c r="R130" i="9"/>
  <c r="M130" i="9"/>
  <c r="L130" i="9"/>
  <c r="K130" i="9"/>
  <c r="J130" i="9"/>
  <c r="H130" i="9"/>
  <c r="F130" i="9"/>
  <c r="E130" i="9"/>
  <c r="AC129" i="9"/>
  <c r="AB129" i="9"/>
  <c r="AA129" i="9"/>
  <c r="Z129" i="9"/>
  <c r="R129" i="9"/>
  <c r="M129" i="9"/>
  <c r="O129" i="9" s="1"/>
  <c r="L129" i="9"/>
  <c r="K129" i="9"/>
  <c r="J129" i="9"/>
  <c r="H129" i="9"/>
  <c r="F129" i="9"/>
  <c r="E129" i="9"/>
  <c r="AC128" i="9"/>
  <c r="AB128" i="9"/>
  <c r="AA128" i="9"/>
  <c r="Z128" i="9"/>
  <c r="R128" i="9"/>
  <c r="M128" i="9"/>
  <c r="O128" i="9" s="1"/>
  <c r="L128" i="9"/>
  <c r="K128" i="9"/>
  <c r="J128" i="9"/>
  <c r="H128" i="9"/>
  <c r="F128" i="9"/>
  <c r="E128" i="9"/>
  <c r="AC127" i="9"/>
  <c r="AB127" i="9"/>
  <c r="AA127" i="9"/>
  <c r="Z127" i="9"/>
  <c r="R127" i="9"/>
  <c r="M127" i="9"/>
  <c r="P127" i="9" s="1"/>
  <c r="L127" i="9"/>
  <c r="K127" i="9"/>
  <c r="J127" i="9"/>
  <c r="H127" i="9"/>
  <c r="F127" i="9"/>
  <c r="E127" i="9"/>
  <c r="AC126" i="9"/>
  <c r="AB126" i="9"/>
  <c r="AA126" i="9"/>
  <c r="Z126" i="9"/>
  <c r="R126" i="9"/>
  <c r="M126" i="9"/>
  <c r="L126" i="9"/>
  <c r="K126" i="9"/>
  <c r="J126" i="9"/>
  <c r="H126" i="9"/>
  <c r="F126" i="9"/>
  <c r="E126" i="9"/>
  <c r="AC125" i="9"/>
  <c r="AB125" i="9"/>
  <c r="AA125" i="9"/>
  <c r="Z125" i="9"/>
  <c r="R125" i="9"/>
  <c r="M125" i="9"/>
  <c r="L125" i="9"/>
  <c r="K125" i="9"/>
  <c r="J125" i="9"/>
  <c r="H125" i="9"/>
  <c r="F125" i="9"/>
  <c r="E125" i="9"/>
  <c r="AC124" i="9"/>
  <c r="AB124" i="9"/>
  <c r="AA124" i="9"/>
  <c r="Z124" i="9"/>
  <c r="R124" i="9"/>
  <c r="M124" i="9"/>
  <c r="O124" i="9" s="1"/>
  <c r="L124" i="9"/>
  <c r="K124" i="9"/>
  <c r="J124" i="9"/>
  <c r="H124" i="9"/>
  <c r="F124" i="9"/>
  <c r="E124" i="9"/>
  <c r="AC123" i="9"/>
  <c r="AB123" i="9"/>
  <c r="AA123" i="9"/>
  <c r="Z123" i="9"/>
  <c r="R123" i="9"/>
  <c r="M123" i="9"/>
  <c r="P123" i="9" s="1"/>
  <c r="L123" i="9"/>
  <c r="K123" i="9"/>
  <c r="J123" i="9"/>
  <c r="H123" i="9"/>
  <c r="F123" i="9"/>
  <c r="E123" i="9"/>
  <c r="AC122" i="9"/>
  <c r="AB122" i="9"/>
  <c r="AA122" i="9"/>
  <c r="Z122" i="9"/>
  <c r="R122" i="9"/>
  <c r="M122" i="9"/>
  <c r="L122" i="9"/>
  <c r="K122" i="9"/>
  <c r="J122" i="9"/>
  <c r="H122" i="9"/>
  <c r="F122" i="9"/>
  <c r="E122" i="9"/>
  <c r="AC121" i="9"/>
  <c r="AB121" i="9"/>
  <c r="AA121" i="9"/>
  <c r="Z121" i="9"/>
  <c r="R121" i="9"/>
  <c r="M121" i="9"/>
  <c r="O121" i="9" s="1"/>
  <c r="L121" i="9"/>
  <c r="K121" i="9"/>
  <c r="J121" i="9"/>
  <c r="H121" i="9"/>
  <c r="F121" i="9"/>
  <c r="E121" i="9"/>
  <c r="AC120" i="9"/>
  <c r="AB120" i="9"/>
  <c r="AA120" i="9"/>
  <c r="Z120" i="9"/>
  <c r="R120" i="9"/>
  <c r="M120" i="9"/>
  <c r="L120" i="9"/>
  <c r="K120" i="9"/>
  <c r="J120" i="9"/>
  <c r="H120" i="9"/>
  <c r="F120" i="9"/>
  <c r="E120" i="9"/>
  <c r="AC119" i="9"/>
  <c r="AB119" i="9"/>
  <c r="AA119" i="9"/>
  <c r="Z119" i="9"/>
  <c r="R119" i="9"/>
  <c r="M119" i="9"/>
  <c r="P119" i="9" s="1"/>
  <c r="L119" i="9"/>
  <c r="K119" i="9"/>
  <c r="J119" i="9"/>
  <c r="H119" i="9"/>
  <c r="F119" i="9"/>
  <c r="E119" i="9"/>
  <c r="AC118" i="9"/>
  <c r="AB118" i="9"/>
  <c r="AA118" i="9"/>
  <c r="Z118" i="9"/>
  <c r="R118" i="9"/>
  <c r="M118" i="9"/>
  <c r="L118" i="9"/>
  <c r="K118" i="9"/>
  <c r="J118" i="9"/>
  <c r="H118" i="9"/>
  <c r="F118" i="9"/>
  <c r="E118" i="9"/>
  <c r="AC117" i="9"/>
  <c r="AB117" i="9"/>
  <c r="AA117" i="9"/>
  <c r="Z117" i="9"/>
  <c r="R117" i="9"/>
  <c r="M117" i="9"/>
  <c r="L117" i="9"/>
  <c r="K117" i="9"/>
  <c r="J117" i="9"/>
  <c r="H117" i="9"/>
  <c r="F117" i="9"/>
  <c r="E117" i="9"/>
  <c r="AC116" i="9"/>
  <c r="AB116" i="9"/>
  <c r="AA116" i="9"/>
  <c r="Z116" i="9"/>
  <c r="R116" i="9"/>
  <c r="M116" i="9"/>
  <c r="O116" i="9" s="1"/>
  <c r="L116" i="9"/>
  <c r="K116" i="9"/>
  <c r="J116" i="9"/>
  <c r="H116" i="9"/>
  <c r="F116" i="9"/>
  <c r="E116" i="9"/>
  <c r="AC115" i="9"/>
  <c r="AB115" i="9"/>
  <c r="AA115" i="9"/>
  <c r="Z115" i="9"/>
  <c r="R115" i="9"/>
  <c r="M115" i="9"/>
  <c r="P115" i="9" s="1"/>
  <c r="L115" i="9"/>
  <c r="K115" i="9"/>
  <c r="J115" i="9"/>
  <c r="H115" i="9"/>
  <c r="F115" i="9"/>
  <c r="E115" i="9"/>
  <c r="AC114" i="9"/>
  <c r="AB114" i="9"/>
  <c r="AA114" i="9"/>
  <c r="Z114" i="9"/>
  <c r="R114" i="9"/>
  <c r="M114" i="9"/>
  <c r="L114" i="9"/>
  <c r="K114" i="9"/>
  <c r="J114" i="9"/>
  <c r="H114" i="9"/>
  <c r="F114" i="9"/>
  <c r="E114" i="9"/>
  <c r="AC113" i="9"/>
  <c r="AB113" i="9"/>
  <c r="AA113" i="9"/>
  <c r="Z113" i="9"/>
  <c r="R113" i="9"/>
  <c r="M113" i="9"/>
  <c r="O113" i="9" s="1"/>
  <c r="L113" i="9"/>
  <c r="K113" i="9"/>
  <c r="J113" i="9"/>
  <c r="H113" i="9"/>
  <c r="F113" i="9"/>
  <c r="E113" i="9"/>
  <c r="AC112" i="9"/>
  <c r="AB112" i="9"/>
  <c r="AA112" i="9"/>
  <c r="Z112" i="9"/>
  <c r="R112" i="9"/>
  <c r="M112" i="9"/>
  <c r="O112" i="9" s="1"/>
  <c r="L112" i="9"/>
  <c r="K112" i="9"/>
  <c r="J112" i="9"/>
  <c r="H112" i="9"/>
  <c r="F112" i="9"/>
  <c r="E112" i="9"/>
  <c r="AC111" i="9"/>
  <c r="AB111" i="9"/>
  <c r="AA111" i="9"/>
  <c r="Z111" i="9"/>
  <c r="R111" i="9"/>
  <c r="M111" i="9"/>
  <c r="P111" i="9" s="1"/>
  <c r="L111" i="9"/>
  <c r="K111" i="9"/>
  <c r="J111" i="9"/>
  <c r="H111" i="9"/>
  <c r="F111" i="9"/>
  <c r="E111" i="9"/>
  <c r="AC110" i="9"/>
  <c r="AB110" i="9"/>
  <c r="AA110" i="9"/>
  <c r="Z110" i="9"/>
  <c r="R110" i="9"/>
  <c r="M110" i="9"/>
  <c r="L110" i="9"/>
  <c r="K110" i="9"/>
  <c r="J110" i="9"/>
  <c r="H110" i="9"/>
  <c r="F110" i="9"/>
  <c r="E110" i="9"/>
  <c r="AC109" i="9"/>
  <c r="AB109" i="9"/>
  <c r="AA109" i="9"/>
  <c r="Z109" i="9"/>
  <c r="R109" i="9"/>
  <c r="M109" i="9"/>
  <c r="L109" i="9"/>
  <c r="K109" i="9"/>
  <c r="J109" i="9"/>
  <c r="H109" i="9"/>
  <c r="F109" i="9"/>
  <c r="E109" i="9"/>
  <c r="AC108" i="9"/>
  <c r="AB108" i="9"/>
  <c r="AA108" i="9"/>
  <c r="Z108" i="9"/>
  <c r="R108" i="9"/>
  <c r="M108" i="9"/>
  <c r="O108" i="9" s="1"/>
  <c r="L108" i="9"/>
  <c r="K108" i="9"/>
  <c r="J108" i="9"/>
  <c r="H108" i="9"/>
  <c r="F108" i="9"/>
  <c r="E108" i="9"/>
  <c r="AC107" i="9"/>
  <c r="AB107" i="9"/>
  <c r="AA107" i="9"/>
  <c r="Z107" i="9"/>
  <c r="R107" i="9"/>
  <c r="M107" i="9"/>
  <c r="P107" i="9" s="1"/>
  <c r="L107" i="9"/>
  <c r="K107" i="9"/>
  <c r="J107" i="9"/>
  <c r="H107" i="9"/>
  <c r="F107" i="9"/>
  <c r="E107" i="9"/>
  <c r="AC106" i="9"/>
  <c r="AB106" i="9"/>
  <c r="AA106" i="9"/>
  <c r="Z106" i="9"/>
  <c r="R106" i="9"/>
  <c r="M106" i="9"/>
  <c r="L106" i="9"/>
  <c r="K106" i="9"/>
  <c r="J106" i="9"/>
  <c r="H106" i="9"/>
  <c r="F106" i="9"/>
  <c r="E106" i="9"/>
  <c r="AC105" i="9"/>
  <c r="AB105" i="9"/>
  <c r="AA105" i="9"/>
  <c r="Z105" i="9"/>
  <c r="R105" i="9"/>
  <c r="M105" i="9"/>
  <c r="O105" i="9" s="1"/>
  <c r="L105" i="9"/>
  <c r="K105" i="9"/>
  <c r="J105" i="9"/>
  <c r="H105" i="9"/>
  <c r="F105" i="9"/>
  <c r="E105" i="9"/>
  <c r="AC104" i="9"/>
  <c r="AB104" i="9"/>
  <c r="AA104" i="9"/>
  <c r="Z104" i="9"/>
  <c r="R104" i="9"/>
  <c r="M104" i="9"/>
  <c r="L104" i="9"/>
  <c r="K104" i="9"/>
  <c r="J104" i="9"/>
  <c r="H104" i="9"/>
  <c r="F104" i="9"/>
  <c r="E104" i="9"/>
  <c r="AC103" i="9"/>
  <c r="AB103" i="9"/>
  <c r="AA103" i="9"/>
  <c r="Z103" i="9"/>
  <c r="R103" i="9"/>
  <c r="M103" i="9"/>
  <c r="P103" i="9" s="1"/>
  <c r="L103" i="9"/>
  <c r="K103" i="9"/>
  <c r="J103" i="9"/>
  <c r="H103" i="9"/>
  <c r="F103" i="9"/>
  <c r="E103" i="9"/>
  <c r="AC102" i="9"/>
  <c r="AB102" i="9"/>
  <c r="AA102" i="9"/>
  <c r="Z102" i="9"/>
  <c r="R102" i="9"/>
  <c r="M102" i="9"/>
  <c r="L102" i="9"/>
  <c r="K102" i="9"/>
  <c r="J102" i="9"/>
  <c r="H102" i="9"/>
  <c r="F102" i="9"/>
  <c r="E102" i="9"/>
  <c r="AC101" i="9"/>
  <c r="AB101" i="9"/>
  <c r="AA101" i="9"/>
  <c r="Z101" i="9"/>
  <c r="R101" i="9"/>
  <c r="M101" i="9"/>
  <c r="L101" i="9"/>
  <c r="K101" i="9"/>
  <c r="J101" i="9"/>
  <c r="H101" i="9"/>
  <c r="F101" i="9"/>
  <c r="E101" i="9"/>
  <c r="AC100" i="9"/>
  <c r="AB100" i="9"/>
  <c r="AA100" i="9"/>
  <c r="Z100" i="9"/>
  <c r="R100" i="9"/>
  <c r="M100" i="9"/>
  <c r="O100" i="9" s="1"/>
  <c r="L100" i="9"/>
  <c r="K100" i="9"/>
  <c r="J100" i="9"/>
  <c r="H100" i="9"/>
  <c r="F100" i="9"/>
  <c r="E100" i="9"/>
  <c r="AC99" i="9"/>
  <c r="AB99" i="9"/>
  <c r="AA99" i="9"/>
  <c r="Z99" i="9"/>
  <c r="R99" i="9"/>
  <c r="M99" i="9"/>
  <c r="P99" i="9" s="1"/>
  <c r="L99" i="9"/>
  <c r="K99" i="9"/>
  <c r="J99" i="9"/>
  <c r="H99" i="9"/>
  <c r="F99" i="9"/>
  <c r="E99" i="9"/>
  <c r="AC98" i="9"/>
  <c r="AB98" i="9"/>
  <c r="AA98" i="9"/>
  <c r="Z98" i="9"/>
  <c r="R98" i="9"/>
  <c r="M98" i="9"/>
  <c r="L98" i="9"/>
  <c r="K98" i="9"/>
  <c r="J98" i="9"/>
  <c r="H98" i="9"/>
  <c r="F98" i="9"/>
  <c r="E98" i="9"/>
  <c r="AC97" i="9"/>
  <c r="AB97" i="9"/>
  <c r="AA97" i="9"/>
  <c r="Z97" i="9"/>
  <c r="R97" i="9"/>
  <c r="M97" i="9"/>
  <c r="O97" i="9" s="1"/>
  <c r="L97" i="9"/>
  <c r="K97" i="9"/>
  <c r="J97" i="9"/>
  <c r="H97" i="9"/>
  <c r="F97" i="9"/>
  <c r="E97" i="9"/>
  <c r="AC96" i="9"/>
  <c r="AB96" i="9"/>
  <c r="AA96" i="9"/>
  <c r="Z96" i="9"/>
  <c r="R96" i="9"/>
  <c r="M96" i="9"/>
  <c r="N96" i="9" s="1"/>
  <c r="L96" i="9"/>
  <c r="K96" i="9"/>
  <c r="J96" i="9"/>
  <c r="H96" i="9"/>
  <c r="F96" i="9"/>
  <c r="E96" i="9"/>
  <c r="AC95" i="9"/>
  <c r="AB95" i="9"/>
  <c r="AA95" i="9"/>
  <c r="Z95" i="9"/>
  <c r="R95" i="9"/>
  <c r="M95" i="9"/>
  <c r="P95" i="9" s="1"/>
  <c r="L95" i="9"/>
  <c r="K95" i="9"/>
  <c r="J95" i="9"/>
  <c r="H95" i="9"/>
  <c r="F95" i="9"/>
  <c r="E95" i="9"/>
  <c r="AC94" i="9"/>
  <c r="AB94" i="9"/>
  <c r="AA94" i="9"/>
  <c r="Z94" i="9"/>
  <c r="R94" i="9"/>
  <c r="M94" i="9"/>
  <c r="L94" i="9"/>
  <c r="K94" i="9"/>
  <c r="J94" i="9"/>
  <c r="H94" i="9"/>
  <c r="F94" i="9"/>
  <c r="E94" i="9"/>
  <c r="AC93" i="9"/>
  <c r="AB93" i="9"/>
  <c r="AA93" i="9"/>
  <c r="Z93" i="9"/>
  <c r="R93" i="9"/>
  <c r="M93" i="9"/>
  <c r="L93" i="9"/>
  <c r="K93" i="9"/>
  <c r="J93" i="9"/>
  <c r="H93" i="9"/>
  <c r="F93" i="9"/>
  <c r="E93" i="9"/>
  <c r="AC92" i="9"/>
  <c r="AB92" i="9"/>
  <c r="AA92" i="9"/>
  <c r="Z92" i="9"/>
  <c r="R92" i="9"/>
  <c r="M92" i="9"/>
  <c r="O92" i="9" s="1"/>
  <c r="L92" i="9"/>
  <c r="K92" i="9"/>
  <c r="J92" i="9"/>
  <c r="H92" i="9"/>
  <c r="F92" i="9"/>
  <c r="E92" i="9"/>
  <c r="AC91" i="9"/>
  <c r="AB91" i="9"/>
  <c r="AA91" i="9"/>
  <c r="Z91" i="9"/>
  <c r="R91" i="9"/>
  <c r="M91" i="9"/>
  <c r="P91" i="9" s="1"/>
  <c r="L91" i="9"/>
  <c r="K91" i="9"/>
  <c r="J91" i="9"/>
  <c r="H91" i="9"/>
  <c r="F91" i="9"/>
  <c r="E91" i="9"/>
  <c r="AC90" i="9"/>
  <c r="AB90" i="9"/>
  <c r="AA90" i="9"/>
  <c r="Z90" i="9"/>
  <c r="R90" i="9"/>
  <c r="M90" i="9"/>
  <c r="L90" i="9"/>
  <c r="K90" i="9"/>
  <c r="J90" i="9"/>
  <c r="H90" i="9"/>
  <c r="F90" i="9"/>
  <c r="E90" i="9"/>
  <c r="AC89" i="9"/>
  <c r="AB89" i="9"/>
  <c r="AA89" i="9"/>
  <c r="Z89" i="9"/>
  <c r="R89" i="9"/>
  <c r="M89" i="9"/>
  <c r="O89" i="9" s="1"/>
  <c r="L89" i="9"/>
  <c r="K89" i="9"/>
  <c r="J89" i="9"/>
  <c r="H89" i="9"/>
  <c r="F89" i="9"/>
  <c r="E89" i="9"/>
  <c r="AC88" i="9"/>
  <c r="AB88" i="9"/>
  <c r="AA88" i="9"/>
  <c r="Z88" i="9"/>
  <c r="R88" i="9"/>
  <c r="M88" i="9"/>
  <c r="P88" i="9" s="1"/>
  <c r="L88" i="9"/>
  <c r="K88" i="9"/>
  <c r="J88" i="9"/>
  <c r="H88" i="9"/>
  <c r="F88" i="9"/>
  <c r="E88" i="9"/>
  <c r="AC87" i="9"/>
  <c r="AB87" i="9"/>
  <c r="AA87" i="9"/>
  <c r="Z87" i="9"/>
  <c r="R87" i="9"/>
  <c r="M87" i="9"/>
  <c r="P87" i="9" s="1"/>
  <c r="L87" i="9"/>
  <c r="K87" i="9"/>
  <c r="J87" i="9"/>
  <c r="H87" i="9"/>
  <c r="F87" i="9"/>
  <c r="E87" i="9"/>
  <c r="AC86" i="9"/>
  <c r="AB86" i="9"/>
  <c r="AA86" i="9"/>
  <c r="Z86" i="9"/>
  <c r="R86" i="9"/>
  <c r="M86" i="9"/>
  <c r="L86" i="9"/>
  <c r="K86" i="9"/>
  <c r="J86" i="9"/>
  <c r="H86" i="9"/>
  <c r="F86" i="9"/>
  <c r="E86" i="9"/>
  <c r="AC85" i="9"/>
  <c r="AB85" i="9"/>
  <c r="AA85" i="9"/>
  <c r="Z85" i="9"/>
  <c r="R85" i="9"/>
  <c r="M85" i="9"/>
  <c r="L85" i="9"/>
  <c r="K85" i="9"/>
  <c r="J85" i="9"/>
  <c r="H85" i="9"/>
  <c r="F85" i="9"/>
  <c r="E85" i="9"/>
  <c r="AC84" i="9"/>
  <c r="AB84" i="9"/>
  <c r="AA84" i="9"/>
  <c r="Z84" i="9"/>
  <c r="R84" i="9"/>
  <c r="M84" i="9"/>
  <c r="O84" i="9" s="1"/>
  <c r="L84" i="9"/>
  <c r="K84" i="9"/>
  <c r="J84" i="9"/>
  <c r="H84" i="9"/>
  <c r="F84" i="9"/>
  <c r="E84" i="9"/>
  <c r="AC83" i="9"/>
  <c r="AB83" i="9"/>
  <c r="AA83" i="9"/>
  <c r="Z83" i="9"/>
  <c r="R83" i="9"/>
  <c r="M83" i="9"/>
  <c r="P83" i="9" s="1"/>
  <c r="L83" i="9"/>
  <c r="K83" i="9"/>
  <c r="J83" i="9"/>
  <c r="H83" i="9"/>
  <c r="F83" i="9"/>
  <c r="E83" i="9"/>
  <c r="AC82" i="9"/>
  <c r="AB82" i="9"/>
  <c r="AA82" i="9"/>
  <c r="Z82" i="9"/>
  <c r="R82" i="9"/>
  <c r="M82" i="9"/>
  <c r="L82" i="9"/>
  <c r="K82" i="9"/>
  <c r="J82" i="9"/>
  <c r="H82" i="9"/>
  <c r="F82" i="9"/>
  <c r="E82" i="9"/>
  <c r="AC81" i="9"/>
  <c r="AB81" i="9"/>
  <c r="AA81" i="9"/>
  <c r="Z81" i="9"/>
  <c r="R81" i="9"/>
  <c r="M81" i="9"/>
  <c r="O81" i="9" s="1"/>
  <c r="L81" i="9"/>
  <c r="K81" i="9"/>
  <c r="J81" i="9"/>
  <c r="H81" i="9"/>
  <c r="F81" i="9"/>
  <c r="E81" i="9"/>
  <c r="AC80" i="9"/>
  <c r="AB80" i="9"/>
  <c r="AA80" i="9"/>
  <c r="Z80" i="9"/>
  <c r="R80" i="9"/>
  <c r="M80" i="9"/>
  <c r="L80" i="9"/>
  <c r="K80" i="9"/>
  <c r="J80" i="9"/>
  <c r="H80" i="9"/>
  <c r="F80" i="9"/>
  <c r="E80" i="9"/>
  <c r="AC79" i="9"/>
  <c r="AB79" i="9"/>
  <c r="AA79" i="9"/>
  <c r="Z79" i="9"/>
  <c r="R79" i="9"/>
  <c r="M79" i="9"/>
  <c r="P79" i="9" s="1"/>
  <c r="L79" i="9"/>
  <c r="K79" i="9"/>
  <c r="J79" i="9"/>
  <c r="H79" i="9"/>
  <c r="F79" i="9"/>
  <c r="E79" i="9"/>
  <c r="AC78" i="9"/>
  <c r="AB78" i="9"/>
  <c r="AA78" i="9"/>
  <c r="Z78" i="9"/>
  <c r="R78" i="9"/>
  <c r="M78" i="9"/>
  <c r="L78" i="9"/>
  <c r="K78" i="9"/>
  <c r="J78" i="9"/>
  <c r="H78" i="9"/>
  <c r="F78" i="9"/>
  <c r="E78" i="9"/>
  <c r="AC77" i="9"/>
  <c r="AB77" i="9"/>
  <c r="AA77" i="9"/>
  <c r="Z77" i="9"/>
  <c r="R77" i="9"/>
  <c r="M77" i="9"/>
  <c r="L77" i="9"/>
  <c r="K77" i="9"/>
  <c r="J77" i="9"/>
  <c r="H77" i="9"/>
  <c r="F77" i="9"/>
  <c r="E77" i="9"/>
  <c r="AC76" i="9"/>
  <c r="AB76" i="9"/>
  <c r="AA76" i="9"/>
  <c r="Z76" i="9"/>
  <c r="R76" i="9"/>
  <c r="M76" i="9"/>
  <c r="O76" i="9" s="1"/>
  <c r="L76" i="9"/>
  <c r="K76" i="9"/>
  <c r="J76" i="9"/>
  <c r="H76" i="9"/>
  <c r="F76" i="9"/>
  <c r="E76" i="9"/>
  <c r="AC75" i="9"/>
  <c r="AB75" i="9"/>
  <c r="AA75" i="9"/>
  <c r="Z75" i="9"/>
  <c r="R75" i="9"/>
  <c r="M75" i="9"/>
  <c r="P75" i="9" s="1"/>
  <c r="L75" i="9"/>
  <c r="K75" i="9"/>
  <c r="J75" i="9"/>
  <c r="H75" i="9"/>
  <c r="F75" i="9"/>
  <c r="E75" i="9"/>
  <c r="AC74" i="9"/>
  <c r="AB74" i="9"/>
  <c r="AA74" i="9"/>
  <c r="Z74" i="9"/>
  <c r="R74" i="9"/>
  <c r="M74" i="9"/>
  <c r="L74" i="9"/>
  <c r="K74" i="9"/>
  <c r="J74" i="9"/>
  <c r="H74" i="9"/>
  <c r="F74" i="9"/>
  <c r="E74" i="9"/>
  <c r="AC73" i="9"/>
  <c r="AB73" i="9"/>
  <c r="AA73" i="9"/>
  <c r="Z73" i="9"/>
  <c r="R73" i="9"/>
  <c r="M73" i="9"/>
  <c r="O73" i="9" s="1"/>
  <c r="L73" i="9"/>
  <c r="K73" i="9"/>
  <c r="J73" i="9"/>
  <c r="H73" i="9"/>
  <c r="F73" i="9"/>
  <c r="E73" i="9"/>
  <c r="AC72" i="9"/>
  <c r="AB72" i="9"/>
  <c r="AA72" i="9"/>
  <c r="Z72" i="9"/>
  <c r="R72" i="9"/>
  <c r="M72" i="9"/>
  <c r="P72" i="9" s="1"/>
  <c r="L72" i="9"/>
  <c r="K72" i="9"/>
  <c r="J72" i="9"/>
  <c r="H72" i="9"/>
  <c r="F72" i="9"/>
  <c r="E72" i="9"/>
  <c r="AC71" i="9"/>
  <c r="AB71" i="9"/>
  <c r="AA71" i="9"/>
  <c r="Z71" i="9"/>
  <c r="R71" i="9"/>
  <c r="M71" i="9"/>
  <c r="P71" i="9" s="1"/>
  <c r="L71" i="9"/>
  <c r="K71" i="9"/>
  <c r="J71" i="9"/>
  <c r="H71" i="9"/>
  <c r="F71" i="9"/>
  <c r="E71" i="9"/>
  <c r="AC70" i="9"/>
  <c r="AB70" i="9"/>
  <c r="AA70" i="9"/>
  <c r="Z70" i="9"/>
  <c r="R70" i="9"/>
  <c r="M70" i="9"/>
  <c r="L70" i="9"/>
  <c r="K70" i="9"/>
  <c r="J70" i="9"/>
  <c r="H70" i="9"/>
  <c r="F70" i="9"/>
  <c r="E70" i="9"/>
  <c r="AC69" i="9"/>
  <c r="AB69" i="9"/>
  <c r="AA69" i="9"/>
  <c r="Z69" i="9"/>
  <c r="R69" i="9"/>
  <c r="M69" i="9"/>
  <c r="L69" i="9"/>
  <c r="K69" i="9"/>
  <c r="J69" i="9"/>
  <c r="H69" i="9"/>
  <c r="F69" i="9"/>
  <c r="E69" i="9"/>
  <c r="AC68" i="9"/>
  <c r="AB68" i="9"/>
  <c r="AA68" i="9"/>
  <c r="Z68" i="9"/>
  <c r="R68" i="9"/>
  <c r="M68" i="9"/>
  <c r="N68" i="9" s="1"/>
  <c r="L68" i="9"/>
  <c r="K68" i="9"/>
  <c r="J68" i="9"/>
  <c r="H68" i="9"/>
  <c r="F68" i="9"/>
  <c r="E68" i="9"/>
  <c r="AC67" i="9"/>
  <c r="AB67" i="9"/>
  <c r="AA67" i="9"/>
  <c r="Z67" i="9"/>
  <c r="R67" i="9"/>
  <c r="M67" i="9"/>
  <c r="L67" i="9"/>
  <c r="K67" i="9"/>
  <c r="J67" i="9"/>
  <c r="H67" i="9"/>
  <c r="F67" i="9"/>
  <c r="E67" i="9"/>
  <c r="AC66" i="9"/>
  <c r="AB66" i="9"/>
  <c r="AA66" i="9"/>
  <c r="Z66" i="9"/>
  <c r="R66" i="9"/>
  <c r="M66" i="9"/>
  <c r="L66" i="9"/>
  <c r="K66" i="9"/>
  <c r="J66" i="9"/>
  <c r="H66" i="9"/>
  <c r="F66" i="9"/>
  <c r="E66" i="9"/>
  <c r="AC65" i="9"/>
  <c r="AB65" i="9"/>
  <c r="AA65" i="9"/>
  <c r="Z65" i="9"/>
  <c r="R65" i="9"/>
  <c r="M65" i="9"/>
  <c r="O65" i="9" s="1"/>
  <c r="L65" i="9"/>
  <c r="K65" i="9"/>
  <c r="J65" i="9"/>
  <c r="H65" i="9"/>
  <c r="F65" i="9"/>
  <c r="E65" i="9"/>
  <c r="AC64" i="9"/>
  <c r="AB64" i="9"/>
  <c r="AA64" i="9"/>
  <c r="Z64" i="9"/>
  <c r="R64" i="9"/>
  <c r="M64" i="9"/>
  <c r="N64" i="9" s="1"/>
  <c r="L64" i="9"/>
  <c r="K64" i="9"/>
  <c r="J64" i="9"/>
  <c r="H64" i="9"/>
  <c r="F64" i="9"/>
  <c r="E64" i="9"/>
  <c r="AC63" i="9"/>
  <c r="AB63" i="9"/>
  <c r="AA63" i="9"/>
  <c r="Z63" i="9"/>
  <c r="R63" i="9"/>
  <c r="M63" i="9"/>
  <c r="N63" i="9" s="1"/>
  <c r="L63" i="9"/>
  <c r="K63" i="9"/>
  <c r="J63" i="9"/>
  <c r="H63" i="9"/>
  <c r="F63" i="9"/>
  <c r="E63" i="9"/>
  <c r="AC62" i="9"/>
  <c r="AB62" i="9"/>
  <c r="AA62" i="9"/>
  <c r="Z62" i="9"/>
  <c r="R62" i="9"/>
  <c r="M62" i="9"/>
  <c r="L62" i="9"/>
  <c r="K62" i="9"/>
  <c r="J62" i="9"/>
  <c r="H62" i="9"/>
  <c r="F62" i="9"/>
  <c r="E62" i="9"/>
  <c r="AC61" i="9"/>
  <c r="AB61" i="9"/>
  <c r="AA61" i="9"/>
  <c r="Z61" i="9"/>
  <c r="R61" i="9"/>
  <c r="M61" i="9"/>
  <c r="O61" i="9" s="1"/>
  <c r="L61" i="9"/>
  <c r="K61" i="9"/>
  <c r="J61" i="9"/>
  <c r="H61" i="9"/>
  <c r="F61" i="9"/>
  <c r="E61" i="9"/>
  <c r="AC60" i="9"/>
  <c r="AB60" i="9"/>
  <c r="AA60" i="9"/>
  <c r="Z60" i="9"/>
  <c r="R60" i="9"/>
  <c r="M60" i="9"/>
  <c r="L60" i="9"/>
  <c r="K60" i="9"/>
  <c r="J60" i="9"/>
  <c r="H60" i="9"/>
  <c r="F60" i="9"/>
  <c r="E60" i="9"/>
  <c r="AC59" i="9"/>
  <c r="AB59" i="9"/>
  <c r="AA59" i="9"/>
  <c r="Z59" i="9"/>
  <c r="R59" i="9"/>
  <c r="M59" i="9"/>
  <c r="L59" i="9"/>
  <c r="K59" i="9"/>
  <c r="J59" i="9"/>
  <c r="H59" i="9"/>
  <c r="F59" i="9"/>
  <c r="E59" i="9"/>
  <c r="AC58" i="9"/>
  <c r="AB58" i="9"/>
  <c r="AA58" i="9"/>
  <c r="Z58" i="9"/>
  <c r="R58" i="9"/>
  <c r="M58" i="9"/>
  <c r="L58" i="9"/>
  <c r="K58" i="9"/>
  <c r="J58" i="9"/>
  <c r="H58" i="9"/>
  <c r="F58" i="9"/>
  <c r="E58" i="9"/>
  <c r="AC57" i="9"/>
  <c r="AB57" i="9"/>
  <c r="AA57" i="9"/>
  <c r="Z57" i="9"/>
  <c r="R57" i="9"/>
  <c r="M57" i="9"/>
  <c r="O57" i="9" s="1"/>
  <c r="L57" i="9"/>
  <c r="K57" i="9"/>
  <c r="J57" i="9"/>
  <c r="H57" i="9"/>
  <c r="F57" i="9"/>
  <c r="E57" i="9"/>
  <c r="AC56" i="9"/>
  <c r="AB56" i="9"/>
  <c r="AA56" i="9"/>
  <c r="Z56" i="9"/>
  <c r="R56" i="9"/>
  <c r="M56" i="9"/>
  <c r="N56" i="9" s="1"/>
  <c r="L56" i="9"/>
  <c r="K56" i="9"/>
  <c r="J56" i="9"/>
  <c r="H56" i="9"/>
  <c r="F56" i="9"/>
  <c r="E56" i="9"/>
  <c r="AC55" i="9"/>
  <c r="AB55" i="9"/>
  <c r="AA55" i="9"/>
  <c r="Z55" i="9"/>
  <c r="R55" i="9"/>
  <c r="M55" i="9"/>
  <c r="N55" i="9" s="1"/>
  <c r="L55" i="9"/>
  <c r="K55" i="9"/>
  <c r="J55" i="9"/>
  <c r="H55" i="9"/>
  <c r="F55" i="9"/>
  <c r="E55" i="9"/>
  <c r="AC54" i="9"/>
  <c r="AB54" i="9"/>
  <c r="AA54" i="9"/>
  <c r="Z54" i="9"/>
  <c r="R54" i="9"/>
  <c r="M54" i="9"/>
  <c r="L54" i="9"/>
  <c r="K54" i="9"/>
  <c r="J54" i="9"/>
  <c r="H54" i="9"/>
  <c r="F54" i="9"/>
  <c r="E54" i="9"/>
  <c r="AC53" i="9"/>
  <c r="AB53" i="9"/>
  <c r="AA53" i="9"/>
  <c r="Z53" i="9"/>
  <c r="R53" i="9"/>
  <c r="M53" i="9"/>
  <c r="O53" i="9" s="1"/>
  <c r="L53" i="9"/>
  <c r="K53" i="9"/>
  <c r="J53" i="9"/>
  <c r="H53" i="9"/>
  <c r="F53" i="9"/>
  <c r="E53" i="9"/>
  <c r="AC52" i="9"/>
  <c r="AB52" i="9"/>
  <c r="AA52" i="9"/>
  <c r="Z52" i="9"/>
  <c r="R52" i="9"/>
  <c r="M52" i="9"/>
  <c r="N52" i="9" s="1"/>
  <c r="L52" i="9"/>
  <c r="K52" i="9"/>
  <c r="J52" i="9"/>
  <c r="H52" i="9"/>
  <c r="F52" i="9"/>
  <c r="E52" i="9"/>
  <c r="AC51" i="9"/>
  <c r="AB51" i="9"/>
  <c r="AA51" i="9"/>
  <c r="Z51" i="9"/>
  <c r="R51" i="9"/>
  <c r="M51" i="9"/>
  <c r="L51" i="9"/>
  <c r="K51" i="9"/>
  <c r="J51" i="9"/>
  <c r="H51" i="9"/>
  <c r="F51" i="9"/>
  <c r="E51" i="9"/>
  <c r="AC50" i="9"/>
  <c r="AB50" i="9"/>
  <c r="AA50" i="9"/>
  <c r="Z50" i="9"/>
  <c r="R50" i="9"/>
  <c r="M50" i="9"/>
  <c r="L50" i="9"/>
  <c r="K50" i="9"/>
  <c r="J50" i="9"/>
  <c r="H50" i="9"/>
  <c r="F50" i="9"/>
  <c r="E50" i="9"/>
  <c r="AC49" i="9"/>
  <c r="AB49" i="9"/>
  <c r="AA49" i="9"/>
  <c r="Z49" i="9"/>
  <c r="R49" i="9"/>
  <c r="M49" i="9"/>
  <c r="O49" i="9" s="1"/>
  <c r="L49" i="9"/>
  <c r="K49" i="9"/>
  <c r="J49" i="9"/>
  <c r="H49" i="9"/>
  <c r="F49" i="9"/>
  <c r="E49" i="9"/>
  <c r="AC48" i="9"/>
  <c r="AB48" i="9"/>
  <c r="AA48" i="9"/>
  <c r="Z48" i="9"/>
  <c r="R48" i="9"/>
  <c r="M48" i="9"/>
  <c r="N48" i="9" s="1"/>
  <c r="L48" i="9"/>
  <c r="K48" i="9"/>
  <c r="J48" i="9"/>
  <c r="H48" i="9"/>
  <c r="F48" i="9"/>
  <c r="E48" i="9"/>
  <c r="AC47" i="9"/>
  <c r="AB47" i="9"/>
  <c r="AA47" i="9"/>
  <c r="Z47" i="9"/>
  <c r="R47" i="9"/>
  <c r="M47" i="9"/>
  <c r="N47" i="9" s="1"/>
  <c r="L47" i="9"/>
  <c r="K47" i="9"/>
  <c r="J47" i="9"/>
  <c r="H47" i="9"/>
  <c r="F47" i="9"/>
  <c r="E47" i="9"/>
  <c r="AC46" i="9"/>
  <c r="AB46" i="9"/>
  <c r="AA46" i="9"/>
  <c r="Z46" i="9"/>
  <c r="R46" i="9"/>
  <c r="M46" i="9"/>
  <c r="L46" i="9"/>
  <c r="K46" i="9"/>
  <c r="J46" i="9"/>
  <c r="H46" i="9"/>
  <c r="F46" i="9"/>
  <c r="E46" i="9"/>
  <c r="AC45" i="9"/>
  <c r="AB45" i="9"/>
  <c r="AA45" i="9"/>
  <c r="Z45" i="9"/>
  <c r="R45" i="9"/>
  <c r="M45" i="9"/>
  <c r="O45" i="9" s="1"/>
  <c r="L45" i="9"/>
  <c r="K45" i="9"/>
  <c r="J45" i="9"/>
  <c r="H45" i="9"/>
  <c r="F45" i="9"/>
  <c r="E45" i="9"/>
  <c r="AC44" i="9"/>
  <c r="AB44" i="9"/>
  <c r="AA44" i="9"/>
  <c r="Z44" i="9"/>
  <c r="R44" i="9"/>
  <c r="M44" i="9"/>
  <c r="N44" i="9" s="1"/>
  <c r="L44" i="9"/>
  <c r="K44" i="9"/>
  <c r="J44" i="9"/>
  <c r="H44" i="9"/>
  <c r="F44" i="9"/>
  <c r="E44" i="9"/>
  <c r="AC43" i="9"/>
  <c r="AB43" i="9"/>
  <c r="AA43" i="9"/>
  <c r="Z43" i="9"/>
  <c r="R43" i="9"/>
  <c r="M43" i="9"/>
  <c r="L43" i="9"/>
  <c r="K43" i="9"/>
  <c r="J43" i="9"/>
  <c r="H43" i="9"/>
  <c r="F43" i="9"/>
  <c r="E43" i="9"/>
  <c r="AC42" i="9"/>
  <c r="AB42" i="9"/>
  <c r="AA42" i="9"/>
  <c r="Z42" i="9"/>
  <c r="R42" i="9"/>
  <c r="M42" i="9"/>
  <c r="L42" i="9"/>
  <c r="K42" i="9"/>
  <c r="J42" i="9"/>
  <c r="H42" i="9"/>
  <c r="F42" i="9"/>
  <c r="E42" i="9"/>
  <c r="AC41" i="9"/>
  <c r="AB41" i="9"/>
  <c r="AA41" i="9"/>
  <c r="Z41" i="9"/>
  <c r="R41" i="9"/>
  <c r="M41" i="9"/>
  <c r="L41" i="9"/>
  <c r="K41" i="9"/>
  <c r="J41" i="9"/>
  <c r="H41" i="9"/>
  <c r="F41" i="9"/>
  <c r="E41" i="9"/>
  <c r="AC40" i="9"/>
  <c r="AB40" i="9"/>
  <c r="AA40" i="9"/>
  <c r="Z40" i="9"/>
  <c r="R40" i="9"/>
  <c r="M40" i="9"/>
  <c r="N40" i="9" s="1"/>
  <c r="L40" i="9"/>
  <c r="K40" i="9"/>
  <c r="J40" i="9"/>
  <c r="H40" i="9"/>
  <c r="F40" i="9"/>
  <c r="E40" i="9"/>
  <c r="AC39" i="9"/>
  <c r="AB39" i="9"/>
  <c r="AA39" i="9"/>
  <c r="Z39" i="9"/>
  <c r="R39" i="9"/>
  <c r="M39" i="9"/>
  <c r="N39" i="9" s="1"/>
  <c r="L39" i="9"/>
  <c r="K39" i="9"/>
  <c r="J39" i="9"/>
  <c r="H39" i="9"/>
  <c r="F39" i="9"/>
  <c r="E39" i="9"/>
  <c r="AC38" i="9"/>
  <c r="AB38" i="9"/>
  <c r="AA38" i="9"/>
  <c r="Z38" i="9"/>
  <c r="R38" i="9"/>
  <c r="M38" i="9"/>
  <c r="L38" i="9"/>
  <c r="K38" i="9"/>
  <c r="J38" i="9"/>
  <c r="H38" i="9"/>
  <c r="F38" i="9"/>
  <c r="E38" i="9"/>
  <c r="AC37" i="9"/>
  <c r="AB37" i="9"/>
  <c r="AA37" i="9"/>
  <c r="Z37" i="9"/>
  <c r="R37" i="9"/>
  <c r="M37" i="9"/>
  <c r="O37" i="9" s="1"/>
  <c r="L37" i="9"/>
  <c r="K37" i="9"/>
  <c r="J37" i="9"/>
  <c r="H37" i="9"/>
  <c r="F37" i="9"/>
  <c r="E37" i="9"/>
  <c r="AC36" i="9"/>
  <c r="AB36" i="9"/>
  <c r="AA36" i="9"/>
  <c r="Z36" i="9"/>
  <c r="R36" i="9"/>
  <c r="M36" i="9"/>
  <c r="N36" i="9" s="1"/>
  <c r="L36" i="9"/>
  <c r="K36" i="9"/>
  <c r="J36" i="9"/>
  <c r="H36" i="9"/>
  <c r="F36" i="9"/>
  <c r="E36" i="9"/>
  <c r="AC35" i="9"/>
  <c r="AB35" i="9"/>
  <c r="AA35" i="9"/>
  <c r="Z35" i="9"/>
  <c r="R35" i="9"/>
  <c r="M35" i="9"/>
  <c r="L35" i="9"/>
  <c r="K35" i="9"/>
  <c r="J35" i="9"/>
  <c r="H35" i="9"/>
  <c r="F35" i="9"/>
  <c r="E35" i="9"/>
  <c r="AC34" i="9"/>
  <c r="AB34" i="9"/>
  <c r="AA34" i="9"/>
  <c r="Z34" i="9"/>
  <c r="R34" i="9"/>
  <c r="M34" i="9"/>
  <c r="L34" i="9"/>
  <c r="K34" i="9"/>
  <c r="J34" i="9"/>
  <c r="H34" i="9"/>
  <c r="F34" i="9"/>
  <c r="E34" i="9"/>
  <c r="AC33" i="9"/>
  <c r="AB33" i="9"/>
  <c r="AA33" i="9"/>
  <c r="Z33" i="9"/>
  <c r="R33" i="9"/>
  <c r="M33" i="9"/>
  <c r="O33" i="9" s="1"/>
  <c r="L33" i="9"/>
  <c r="K33" i="9"/>
  <c r="J33" i="9"/>
  <c r="H33" i="9"/>
  <c r="F33" i="9"/>
  <c r="E33" i="9"/>
  <c r="AC32" i="9"/>
  <c r="AB32" i="9"/>
  <c r="AA32" i="9"/>
  <c r="Z32" i="9"/>
  <c r="R32" i="9"/>
  <c r="M32" i="9"/>
  <c r="N32" i="9" s="1"/>
  <c r="L32" i="9"/>
  <c r="K32" i="9"/>
  <c r="J32" i="9"/>
  <c r="H32" i="9"/>
  <c r="F32" i="9"/>
  <c r="E32" i="9"/>
  <c r="AC31" i="9"/>
  <c r="AB31" i="9"/>
  <c r="AA31" i="9"/>
  <c r="Z31" i="9"/>
  <c r="R31" i="9"/>
  <c r="M31" i="9"/>
  <c r="N31" i="9" s="1"/>
  <c r="L31" i="9"/>
  <c r="K31" i="9"/>
  <c r="J31" i="9"/>
  <c r="H31" i="9"/>
  <c r="F31" i="9"/>
  <c r="E31" i="9"/>
  <c r="AC30" i="9"/>
  <c r="AB30" i="9"/>
  <c r="AA30" i="9"/>
  <c r="Z30" i="9"/>
  <c r="R30" i="9"/>
  <c r="M30" i="9"/>
  <c r="L30" i="9"/>
  <c r="K30" i="9"/>
  <c r="J30" i="9"/>
  <c r="H30" i="9"/>
  <c r="F30" i="9"/>
  <c r="E30" i="9"/>
  <c r="AC29" i="9"/>
  <c r="AB29" i="9"/>
  <c r="AA29" i="9"/>
  <c r="Z29" i="9"/>
  <c r="R29" i="9"/>
  <c r="M29" i="9"/>
  <c r="O29" i="9" s="1"/>
  <c r="L29" i="9"/>
  <c r="K29" i="9"/>
  <c r="J29" i="9"/>
  <c r="H29" i="9"/>
  <c r="F29" i="9"/>
  <c r="E29" i="9"/>
  <c r="AC28" i="9"/>
  <c r="AB28" i="9"/>
  <c r="AA28" i="9"/>
  <c r="Z28" i="9"/>
  <c r="R28" i="9"/>
  <c r="M28" i="9"/>
  <c r="N28" i="9" s="1"/>
  <c r="L28" i="9"/>
  <c r="K28" i="9"/>
  <c r="J28" i="9"/>
  <c r="H28" i="9"/>
  <c r="F28" i="9"/>
  <c r="E28" i="9"/>
  <c r="AC27" i="9"/>
  <c r="AB27" i="9"/>
  <c r="AA27" i="9"/>
  <c r="Z27" i="9"/>
  <c r="R27" i="9"/>
  <c r="M27" i="9"/>
  <c r="L27" i="9"/>
  <c r="K27" i="9"/>
  <c r="J27" i="9"/>
  <c r="H27" i="9"/>
  <c r="F27" i="9"/>
  <c r="E27" i="9"/>
  <c r="AC26" i="9"/>
  <c r="AB26" i="9"/>
  <c r="AA26" i="9"/>
  <c r="Z26" i="9"/>
  <c r="R26" i="9"/>
  <c r="M26" i="9"/>
  <c r="L26" i="9"/>
  <c r="K26" i="9"/>
  <c r="J26" i="9"/>
  <c r="H26" i="9"/>
  <c r="F26" i="9"/>
  <c r="E26" i="9"/>
  <c r="AC25" i="9"/>
  <c r="AB25" i="9"/>
  <c r="AA25" i="9"/>
  <c r="Z25" i="9"/>
  <c r="R25" i="9"/>
  <c r="M25" i="9"/>
  <c r="O25" i="9" s="1"/>
  <c r="L25" i="9"/>
  <c r="K25" i="9"/>
  <c r="J25" i="9"/>
  <c r="H25" i="9"/>
  <c r="F25" i="9"/>
  <c r="E25" i="9"/>
  <c r="AC24" i="9"/>
  <c r="AB24" i="9"/>
  <c r="AA24" i="9"/>
  <c r="Z24" i="9"/>
  <c r="R24" i="9"/>
  <c r="M24" i="9"/>
  <c r="N24" i="9" s="1"/>
  <c r="L24" i="9"/>
  <c r="K24" i="9"/>
  <c r="J24" i="9"/>
  <c r="H24" i="9"/>
  <c r="F24" i="9"/>
  <c r="E24" i="9"/>
  <c r="AC23" i="9"/>
  <c r="AB23" i="9"/>
  <c r="AA23" i="9"/>
  <c r="Z23" i="9"/>
  <c r="R23" i="9"/>
  <c r="M23" i="9"/>
  <c r="N23" i="9" s="1"/>
  <c r="L23" i="9"/>
  <c r="K23" i="9"/>
  <c r="J23" i="9"/>
  <c r="H23" i="9"/>
  <c r="F23" i="9"/>
  <c r="E23" i="9"/>
  <c r="AC22" i="9"/>
  <c r="AB22" i="9"/>
  <c r="AA22" i="9"/>
  <c r="Z22" i="9"/>
  <c r="R22" i="9"/>
  <c r="M22" i="9"/>
  <c r="L22" i="9"/>
  <c r="K22" i="9"/>
  <c r="J22" i="9"/>
  <c r="H22" i="9"/>
  <c r="F22" i="9"/>
  <c r="E22" i="9"/>
  <c r="AC21" i="9"/>
  <c r="AB21" i="9"/>
  <c r="AA21" i="9"/>
  <c r="Z21" i="9"/>
  <c r="R21" i="9"/>
  <c r="M21" i="9"/>
  <c r="O21" i="9" s="1"/>
  <c r="L21" i="9"/>
  <c r="K21" i="9"/>
  <c r="J21" i="9"/>
  <c r="H21" i="9"/>
  <c r="F21" i="9"/>
  <c r="E21" i="9"/>
  <c r="AC20" i="9"/>
  <c r="AB20" i="9"/>
  <c r="AA20" i="9"/>
  <c r="Z20" i="9"/>
  <c r="R20" i="9"/>
  <c r="M20" i="9"/>
  <c r="N20" i="9" s="1"/>
  <c r="L20" i="9"/>
  <c r="K20" i="9"/>
  <c r="J20" i="9"/>
  <c r="H20" i="9"/>
  <c r="F20" i="9"/>
  <c r="E20" i="9"/>
  <c r="AC19" i="9"/>
  <c r="AB19" i="9"/>
  <c r="AA19" i="9"/>
  <c r="Z19" i="9"/>
  <c r="R19" i="9"/>
  <c r="M19" i="9"/>
  <c r="L19" i="9"/>
  <c r="K19" i="9"/>
  <c r="J19" i="9"/>
  <c r="H19" i="9"/>
  <c r="F19" i="9"/>
  <c r="E19" i="9"/>
  <c r="AC18" i="9"/>
  <c r="AB18" i="9"/>
  <c r="AA18" i="9"/>
  <c r="Z18" i="9"/>
  <c r="R18" i="9"/>
  <c r="M18" i="9"/>
  <c r="L18" i="9"/>
  <c r="K18" i="9"/>
  <c r="J18" i="9"/>
  <c r="H18" i="9"/>
  <c r="F18" i="9"/>
  <c r="E18" i="9"/>
  <c r="AC17" i="9"/>
  <c r="AB17" i="9"/>
  <c r="AA17" i="9"/>
  <c r="Z17" i="9"/>
  <c r="R17" i="9"/>
  <c r="M17" i="9"/>
  <c r="O17" i="9" s="1"/>
  <c r="L17" i="9"/>
  <c r="K17" i="9"/>
  <c r="J17" i="9"/>
  <c r="H17" i="9"/>
  <c r="F17" i="9"/>
  <c r="E17" i="9"/>
  <c r="AC16" i="9"/>
  <c r="AB16" i="9"/>
  <c r="AA16" i="9"/>
  <c r="Z16" i="9"/>
  <c r="R16" i="9"/>
  <c r="M16" i="9"/>
  <c r="N16" i="9" s="1"/>
  <c r="L16" i="9"/>
  <c r="K16" i="9"/>
  <c r="J16" i="9"/>
  <c r="H16" i="9"/>
  <c r="F16" i="9"/>
  <c r="E16" i="9"/>
  <c r="AC15" i="9"/>
  <c r="AB15" i="9"/>
  <c r="AA15" i="9"/>
  <c r="Z15" i="9"/>
  <c r="R15" i="9"/>
  <c r="M15" i="9"/>
  <c r="N15" i="9" s="1"/>
  <c r="L15" i="9"/>
  <c r="K15" i="9"/>
  <c r="J15" i="9"/>
  <c r="H15" i="9"/>
  <c r="F15" i="9"/>
  <c r="E15" i="9"/>
  <c r="AC14" i="9"/>
  <c r="AB14" i="9"/>
  <c r="AA14" i="9"/>
  <c r="Z14" i="9"/>
  <c r="R14" i="9"/>
  <c r="M14" i="9"/>
  <c r="L14" i="9"/>
  <c r="K14" i="9"/>
  <c r="J14" i="9"/>
  <c r="H14" i="9"/>
  <c r="F14" i="9"/>
  <c r="E14" i="9"/>
  <c r="AC13" i="9"/>
  <c r="AB13" i="9"/>
  <c r="AA13" i="9"/>
  <c r="Z13" i="9"/>
  <c r="R13" i="9"/>
  <c r="M13" i="9"/>
  <c r="O13" i="9" s="1"/>
  <c r="L13" i="9"/>
  <c r="K13" i="9"/>
  <c r="J13" i="9"/>
  <c r="H13" i="9"/>
  <c r="F13" i="9"/>
  <c r="E13" i="9"/>
  <c r="AC12" i="9"/>
  <c r="AB12" i="9"/>
  <c r="AA12" i="9"/>
  <c r="Z12" i="9"/>
  <c r="R12" i="9"/>
  <c r="M12" i="9"/>
  <c r="N12" i="9" s="1"/>
  <c r="L12" i="9"/>
  <c r="K12" i="9"/>
  <c r="J12" i="9"/>
  <c r="H12" i="9"/>
  <c r="F12" i="9"/>
  <c r="E12" i="9"/>
  <c r="AC11" i="9"/>
  <c r="AB11" i="9"/>
  <c r="AA11" i="9"/>
  <c r="Z11" i="9"/>
  <c r="R11" i="9"/>
  <c r="M11" i="9"/>
  <c r="L11" i="9"/>
  <c r="K11" i="9"/>
  <c r="J11" i="9"/>
  <c r="H11" i="9"/>
  <c r="F11" i="9"/>
  <c r="E11" i="9"/>
  <c r="AC10" i="9"/>
  <c r="AB10" i="9"/>
  <c r="AA10" i="9"/>
  <c r="Z10" i="9"/>
  <c r="R10" i="9"/>
  <c r="M10" i="9"/>
  <c r="L10" i="9"/>
  <c r="K10" i="9"/>
  <c r="J10" i="9"/>
  <c r="H10" i="9"/>
  <c r="F10" i="9"/>
  <c r="E10" i="9"/>
  <c r="AC9" i="9"/>
  <c r="AB9" i="9"/>
  <c r="AA9" i="9"/>
  <c r="Z9" i="9"/>
  <c r="R9" i="9"/>
  <c r="M9" i="9"/>
  <c r="O9" i="9" s="1"/>
  <c r="L9" i="9"/>
  <c r="K9" i="9"/>
  <c r="J9" i="9"/>
  <c r="H9" i="9"/>
  <c r="F9" i="9"/>
  <c r="E9" i="9"/>
  <c r="AC8" i="9"/>
  <c r="AB8" i="9"/>
  <c r="AA8" i="9"/>
  <c r="Z8" i="9"/>
  <c r="R8" i="9"/>
  <c r="M8" i="9"/>
  <c r="N8" i="9" s="1"/>
  <c r="L8" i="9"/>
  <c r="K8" i="9"/>
  <c r="J8" i="9"/>
  <c r="H8" i="9"/>
  <c r="F8" i="9"/>
  <c r="E8" i="9"/>
  <c r="AC7" i="9"/>
  <c r="AB7" i="9"/>
  <c r="AA7" i="9"/>
  <c r="Z7" i="9"/>
  <c r="R7" i="9"/>
  <c r="M7" i="9"/>
  <c r="N7" i="9" s="1"/>
  <c r="L7" i="9"/>
  <c r="K7" i="9"/>
  <c r="J7" i="9"/>
  <c r="H7" i="9"/>
  <c r="F7" i="9"/>
  <c r="E7" i="9"/>
  <c r="AC6" i="9"/>
  <c r="AB6" i="9"/>
  <c r="AA6" i="9"/>
  <c r="Z6" i="9"/>
  <c r="R6" i="9"/>
  <c r="M6" i="9"/>
  <c r="L6" i="9"/>
  <c r="K6" i="9"/>
  <c r="J6" i="9"/>
  <c r="H6" i="9"/>
  <c r="F6" i="9"/>
  <c r="E6" i="9"/>
  <c r="AC5" i="9"/>
  <c r="AB5" i="9"/>
  <c r="AA5" i="9"/>
  <c r="Z5" i="9"/>
  <c r="R5" i="9"/>
  <c r="M5" i="9"/>
  <c r="O5" i="9" s="1"/>
  <c r="L5" i="9"/>
  <c r="K5" i="9"/>
  <c r="J5" i="9"/>
  <c r="H5" i="9"/>
  <c r="F5" i="9"/>
  <c r="E5" i="9"/>
  <c r="AC4" i="9"/>
  <c r="AB4" i="9"/>
  <c r="AA4" i="9"/>
  <c r="Z4" i="9"/>
  <c r="R4" i="9"/>
  <c r="M4" i="9"/>
  <c r="N4" i="9" s="1"/>
  <c r="L4" i="9"/>
  <c r="K4" i="9"/>
  <c r="J4" i="9"/>
  <c r="H4" i="9"/>
  <c r="F4" i="9"/>
  <c r="E4" i="9"/>
  <c r="AC3" i="9"/>
  <c r="AB3" i="9"/>
  <c r="AA3" i="9"/>
  <c r="Z3" i="9"/>
  <c r="R3" i="9"/>
  <c r="M3" i="9"/>
  <c r="L3" i="9"/>
  <c r="K3" i="9"/>
  <c r="J3" i="9"/>
  <c r="H3" i="9"/>
  <c r="F3" i="9"/>
  <c r="E3" i="9"/>
  <c r="AC2" i="9"/>
  <c r="AB2" i="9"/>
  <c r="AA2" i="9"/>
  <c r="Z2" i="9"/>
  <c r="R2" i="9"/>
  <c r="M2" i="9"/>
  <c r="L2" i="9"/>
  <c r="K2" i="9"/>
  <c r="J2" i="9"/>
  <c r="H2" i="9"/>
  <c r="F2" i="9"/>
  <c r="E2" i="9"/>
  <c r="E2" i="1"/>
  <c r="F2" i="1"/>
  <c r="H2" i="1"/>
  <c r="J2" i="1"/>
  <c r="K2" i="1"/>
  <c r="L2" i="1"/>
  <c r="M2" i="1"/>
  <c r="N2" i="1" s="1"/>
  <c r="R2" i="1"/>
  <c r="Z2" i="1"/>
  <c r="AA2" i="1"/>
  <c r="E3" i="1"/>
  <c r="F3" i="1"/>
  <c r="H3" i="1"/>
  <c r="J3" i="1"/>
  <c r="K3" i="1"/>
  <c r="L3" i="1"/>
  <c r="M3" i="1"/>
  <c r="P3" i="1" s="1"/>
  <c r="R3" i="1"/>
  <c r="Z3" i="1"/>
  <c r="AA3" i="1"/>
  <c r="E4" i="1"/>
  <c r="F4" i="1"/>
  <c r="H4" i="1"/>
  <c r="J4" i="1"/>
  <c r="K4" i="1"/>
  <c r="L4" i="1"/>
  <c r="M4" i="1"/>
  <c r="N4" i="1" s="1"/>
  <c r="R4" i="1"/>
  <c r="Z4" i="1"/>
  <c r="AA4" i="1"/>
  <c r="E5" i="1"/>
  <c r="F5" i="1"/>
  <c r="H5" i="1"/>
  <c r="J5" i="1"/>
  <c r="K5" i="1"/>
  <c r="L5" i="1"/>
  <c r="M5" i="1"/>
  <c r="P5" i="1" s="1"/>
  <c r="R5" i="1"/>
  <c r="Z5" i="1"/>
  <c r="AA5" i="1"/>
  <c r="E6" i="1"/>
  <c r="F6" i="1"/>
  <c r="H6" i="1"/>
  <c r="J6" i="1"/>
  <c r="K6" i="1"/>
  <c r="L6" i="1"/>
  <c r="M6" i="1"/>
  <c r="N6" i="1" s="1"/>
  <c r="R6" i="1"/>
  <c r="Z6" i="1"/>
  <c r="AA6" i="1"/>
  <c r="E7" i="1"/>
  <c r="F7" i="1"/>
  <c r="H7" i="1"/>
  <c r="J7" i="1"/>
  <c r="K7" i="1"/>
  <c r="L7" i="1"/>
  <c r="M7" i="1"/>
  <c r="P7" i="1" s="1"/>
  <c r="R7" i="1"/>
  <c r="Z7" i="1"/>
  <c r="AA7" i="1"/>
  <c r="E8" i="1"/>
  <c r="F8" i="1"/>
  <c r="H8" i="1"/>
  <c r="J8" i="1"/>
  <c r="K8" i="1"/>
  <c r="L8" i="1"/>
  <c r="M8" i="1"/>
  <c r="R8" i="1"/>
  <c r="Z8" i="1"/>
  <c r="AA8" i="1"/>
  <c r="E9" i="1"/>
  <c r="F9" i="1"/>
  <c r="H9" i="1"/>
  <c r="J9" i="1"/>
  <c r="K9" i="1"/>
  <c r="L9" i="1"/>
  <c r="M9" i="1"/>
  <c r="R9" i="1"/>
  <c r="Z9" i="1"/>
  <c r="AA9" i="1"/>
  <c r="E10" i="1"/>
  <c r="F10" i="1"/>
  <c r="H10" i="1"/>
  <c r="J10" i="1"/>
  <c r="K10" i="1"/>
  <c r="L10" i="1"/>
  <c r="M10" i="1"/>
  <c r="N10" i="1" s="1"/>
  <c r="R10" i="1"/>
  <c r="Z10" i="1"/>
  <c r="AA10" i="1"/>
  <c r="E11" i="1"/>
  <c r="F11" i="1"/>
  <c r="H11" i="1"/>
  <c r="J11" i="1"/>
  <c r="K11" i="1"/>
  <c r="L11" i="1"/>
  <c r="M11" i="1"/>
  <c r="R11" i="1"/>
  <c r="Z11" i="1"/>
  <c r="AA11" i="1"/>
  <c r="E12" i="1"/>
  <c r="F12" i="1"/>
  <c r="H12" i="1"/>
  <c r="J12" i="1"/>
  <c r="K12" i="1"/>
  <c r="L12" i="1"/>
  <c r="M12" i="1"/>
  <c r="R12" i="1"/>
  <c r="Z12" i="1"/>
  <c r="AA12" i="1"/>
  <c r="E13" i="1"/>
  <c r="F13" i="1"/>
  <c r="H13" i="1"/>
  <c r="J13" i="1"/>
  <c r="K13" i="1"/>
  <c r="L13" i="1"/>
  <c r="M13" i="1"/>
  <c r="R13" i="1"/>
  <c r="Z13" i="1"/>
  <c r="AA13" i="1"/>
  <c r="E14" i="1"/>
  <c r="F14" i="1"/>
  <c r="H14" i="1"/>
  <c r="J14" i="1"/>
  <c r="K14" i="1"/>
  <c r="L14" i="1"/>
  <c r="M14" i="1"/>
  <c r="R14" i="1"/>
  <c r="Z14" i="1"/>
  <c r="AA14" i="1"/>
  <c r="E15" i="1"/>
  <c r="F15" i="1"/>
  <c r="H15" i="1"/>
  <c r="J15" i="1"/>
  <c r="K15" i="1"/>
  <c r="L15" i="1"/>
  <c r="M15" i="1"/>
  <c r="P15" i="1" s="1"/>
  <c r="R15" i="1"/>
  <c r="Z15" i="1"/>
  <c r="AA15" i="1"/>
  <c r="E16" i="1"/>
  <c r="F16" i="1"/>
  <c r="H16" i="1"/>
  <c r="J16" i="1"/>
  <c r="K16" i="1"/>
  <c r="L16" i="1"/>
  <c r="M16" i="1"/>
  <c r="R16" i="1"/>
  <c r="Z16" i="1"/>
  <c r="AA16" i="1"/>
  <c r="E17" i="1"/>
  <c r="F17" i="1"/>
  <c r="H17" i="1"/>
  <c r="J17" i="1"/>
  <c r="K17" i="1"/>
  <c r="L17" i="1"/>
  <c r="M17" i="1"/>
  <c r="P17" i="1" s="1"/>
  <c r="R17" i="1"/>
  <c r="Z17" i="1"/>
  <c r="AA17" i="1"/>
  <c r="E18" i="1"/>
  <c r="F18" i="1"/>
  <c r="H18" i="1"/>
  <c r="J18" i="1"/>
  <c r="K18" i="1"/>
  <c r="L18" i="1"/>
  <c r="M18" i="1"/>
  <c r="N18" i="1" s="1"/>
  <c r="R18" i="1"/>
  <c r="Z18" i="1"/>
  <c r="AA18" i="1"/>
  <c r="E19" i="1"/>
  <c r="F19" i="1"/>
  <c r="H19" i="1"/>
  <c r="J19" i="1"/>
  <c r="K19" i="1"/>
  <c r="L19" i="1"/>
  <c r="M19" i="1"/>
  <c r="P19" i="1" s="1"/>
  <c r="R19" i="1"/>
  <c r="Z19" i="1"/>
  <c r="AA19" i="1"/>
  <c r="E20" i="1"/>
  <c r="F20" i="1"/>
  <c r="H20" i="1"/>
  <c r="J20" i="1"/>
  <c r="K20" i="1"/>
  <c r="L20" i="1"/>
  <c r="M20" i="1"/>
  <c r="R20" i="1"/>
  <c r="Z20" i="1"/>
  <c r="AA20" i="1"/>
  <c r="E21" i="1"/>
  <c r="F21" i="1"/>
  <c r="H21" i="1"/>
  <c r="J21" i="1"/>
  <c r="K21" i="1"/>
  <c r="L21" i="1"/>
  <c r="M21" i="1"/>
  <c r="R21" i="1"/>
  <c r="Z21" i="1"/>
  <c r="AA21" i="1"/>
  <c r="E22" i="1"/>
  <c r="F22" i="1"/>
  <c r="H22" i="1"/>
  <c r="J22" i="1"/>
  <c r="K22" i="1"/>
  <c r="L22" i="1"/>
  <c r="M22" i="1"/>
  <c r="N22" i="1" s="1"/>
  <c r="R22" i="1"/>
  <c r="Z22" i="1"/>
  <c r="AA22" i="1"/>
  <c r="E23" i="1"/>
  <c r="F23" i="1"/>
  <c r="H23" i="1"/>
  <c r="J23" i="1"/>
  <c r="K23" i="1"/>
  <c r="L23" i="1"/>
  <c r="M23" i="1"/>
  <c r="P23" i="1" s="1"/>
  <c r="R23" i="1"/>
  <c r="Z23" i="1"/>
  <c r="AA23" i="1"/>
  <c r="E24" i="1"/>
  <c r="F24" i="1"/>
  <c r="H24" i="1"/>
  <c r="J24" i="1"/>
  <c r="K24" i="1"/>
  <c r="L24" i="1"/>
  <c r="M24" i="1"/>
  <c r="O24" i="1" s="1"/>
  <c r="R24" i="1"/>
  <c r="Z24" i="1"/>
  <c r="AA24" i="1"/>
  <c r="E25" i="1"/>
  <c r="F25" i="1"/>
  <c r="H25" i="1"/>
  <c r="J25" i="1"/>
  <c r="K25" i="1"/>
  <c r="L25" i="1"/>
  <c r="M25" i="1"/>
  <c r="R25" i="1"/>
  <c r="Z25" i="1"/>
  <c r="AA25" i="1"/>
  <c r="E26" i="1"/>
  <c r="F26" i="1"/>
  <c r="H26" i="1"/>
  <c r="J26" i="1"/>
  <c r="K26" i="1"/>
  <c r="L26" i="1"/>
  <c r="M26" i="1"/>
  <c r="N26" i="1" s="1"/>
  <c r="R26" i="1"/>
  <c r="Z26" i="1"/>
  <c r="AA26" i="1"/>
  <c r="E27" i="1"/>
  <c r="F27" i="1"/>
  <c r="H27" i="1"/>
  <c r="J27" i="1"/>
  <c r="K27" i="1"/>
  <c r="L27" i="1"/>
  <c r="M27" i="1"/>
  <c r="R27" i="1"/>
  <c r="Z27" i="1"/>
  <c r="AA27" i="1"/>
  <c r="E28" i="1"/>
  <c r="F28" i="1"/>
  <c r="H28" i="1"/>
  <c r="J28" i="1"/>
  <c r="K28" i="1"/>
  <c r="L28" i="1"/>
  <c r="M28" i="1"/>
  <c r="R28" i="1"/>
  <c r="Z28" i="1"/>
  <c r="AA28" i="1"/>
  <c r="E29" i="1"/>
  <c r="F29" i="1"/>
  <c r="H29" i="1"/>
  <c r="J29" i="1"/>
  <c r="K29" i="1"/>
  <c r="L29" i="1"/>
  <c r="M29" i="1"/>
  <c r="R29" i="1"/>
  <c r="Z29" i="1"/>
  <c r="AA29" i="1"/>
  <c r="E30" i="1"/>
  <c r="F30" i="1"/>
  <c r="H30" i="1"/>
  <c r="J30" i="1"/>
  <c r="K30" i="1"/>
  <c r="L30" i="1"/>
  <c r="M30" i="1"/>
  <c r="R30" i="1"/>
  <c r="Z30" i="1"/>
  <c r="AA30" i="1"/>
  <c r="E31" i="1"/>
  <c r="F31" i="1"/>
  <c r="H31" i="1"/>
  <c r="J31" i="1"/>
  <c r="K31" i="1"/>
  <c r="L31" i="1"/>
  <c r="M31" i="1"/>
  <c r="P31" i="1" s="1"/>
  <c r="R31" i="1"/>
  <c r="Z31" i="1"/>
  <c r="AA31" i="1"/>
  <c r="E32" i="1"/>
  <c r="F32" i="1"/>
  <c r="H32" i="1"/>
  <c r="J32" i="1"/>
  <c r="K32" i="1"/>
  <c r="L32" i="1"/>
  <c r="M32" i="1"/>
  <c r="R32" i="1"/>
  <c r="Z32" i="1"/>
  <c r="AA32" i="1"/>
  <c r="E33" i="1"/>
  <c r="F33" i="1"/>
  <c r="H33" i="1"/>
  <c r="J33" i="1"/>
  <c r="K33" i="1"/>
  <c r="L33" i="1"/>
  <c r="M33" i="1"/>
  <c r="P33" i="1" s="1"/>
  <c r="R33" i="1"/>
  <c r="Z33" i="1"/>
  <c r="AA33" i="1"/>
  <c r="E34" i="1"/>
  <c r="F34" i="1"/>
  <c r="H34" i="1"/>
  <c r="J34" i="1"/>
  <c r="K34" i="1"/>
  <c r="L34" i="1"/>
  <c r="M34" i="1"/>
  <c r="N34" i="1" s="1"/>
  <c r="R34" i="1"/>
  <c r="Z34" i="1"/>
  <c r="AA34" i="1"/>
  <c r="E35" i="1"/>
  <c r="F35" i="1"/>
  <c r="H35" i="1"/>
  <c r="J35" i="1"/>
  <c r="K35" i="1"/>
  <c r="L35" i="1"/>
  <c r="M35" i="1"/>
  <c r="P35" i="1" s="1"/>
  <c r="R35" i="1"/>
  <c r="Z35" i="1"/>
  <c r="AA35" i="1"/>
  <c r="E36" i="1"/>
  <c r="F36" i="1"/>
  <c r="H36" i="1"/>
  <c r="J36" i="1"/>
  <c r="K36" i="1"/>
  <c r="L36" i="1"/>
  <c r="M36" i="1"/>
  <c r="R36" i="1"/>
  <c r="Z36" i="1"/>
  <c r="AA36" i="1"/>
  <c r="E37" i="1"/>
  <c r="F37" i="1"/>
  <c r="H37" i="1"/>
  <c r="J37" i="1"/>
  <c r="K37" i="1"/>
  <c r="L37" i="1"/>
  <c r="M37" i="1"/>
  <c r="R37" i="1"/>
  <c r="Z37" i="1"/>
  <c r="AA37" i="1"/>
  <c r="E38" i="1"/>
  <c r="F38" i="1"/>
  <c r="H38" i="1"/>
  <c r="J38" i="1"/>
  <c r="K38" i="1"/>
  <c r="L38" i="1"/>
  <c r="M38" i="1"/>
  <c r="N38" i="1" s="1"/>
  <c r="R38" i="1"/>
  <c r="Z38" i="1"/>
  <c r="AA38" i="1"/>
  <c r="E39" i="1"/>
  <c r="F39" i="1"/>
  <c r="H39" i="1"/>
  <c r="J39" i="1"/>
  <c r="K39" i="1"/>
  <c r="L39" i="1"/>
  <c r="M39" i="1"/>
  <c r="P39" i="1" s="1"/>
  <c r="R39" i="1"/>
  <c r="Z39" i="1"/>
  <c r="AA39" i="1"/>
  <c r="E40" i="1"/>
  <c r="F40" i="1"/>
  <c r="H40" i="1"/>
  <c r="J40" i="1"/>
  <c r="K40" i="1"/>
  <c r="L40" i="1"/>
  <c r="M40" i="1"/>
  <c r="O40" i="1" s="1"/>
  <c r="R40" i="1"/>
  <c r="Z40" i="1"/>
  <c r="AA40" i="1"/>
  <c r="E41" i="1"/>
  <c r="F41" i="1"/>
  <c r="H41" i="1"/>
  <c r="J41" i="1"/>
  <c r="K41" i="1"/>
  <c r="L41" i="1"/>
  <c r="M41" i="1"/>
  <c r="P41" i="1" s="1"/>
  <c r="R41" i="1"/>
  <c r="Z41" i="1"/>
  <c r="AA41" i="1"/>
  <c r="E42" i="1"/>
  <c r="F42" i="1"/>
  <c r="H42" i="1"/>
  <c r="J42" i="1"/>
  <c r="K42" i="1"/>
  <c r="L42" i="1"/>
  <c r="M42" i="1"/>
  <c r="N42" i="1" s="1"/>
  <c r="R42" i="1"/>
  <c r="Z42" i="1"/>
  <c r="AA42" i="1"/>
  <c r="E43" i="1"/>
  <c r="F43" i="1"/>
  <c r="H43" i="1"/>
  <c r="J43" i="1"/>
  <c r="K43" i="1"/>
  <c r="L43" i="1"/>
  <c r="M43" i="1"/>
  <c r="R43" i="1"/>
  <c r="Z43" i="1"/>
  <c r="AA43" i="1"/>
  <c r="E44" i="1"/>
  <c r="F44" i="1"/>
  <c r="H44" i="1"/>
  <c r="J44" i="1"/>
  <c r="K44" i="1"/>
  <c r="L44" i="1"/>
  <c r="M44" i="1"/>
  <c r="R44" i="1"/>
  <c r="Z44" i="1"/>
  <c r="AA44" i="1"/>
  <c r="E45" i="1"/>
  <c r="F45" i="1"/>
  <c r="H45" i="1"/>
  <c r="J45" i="1"/>
  <c r="K45" i="1"/>
  <c r="L45" i="1"/>
  <c r="M45" i="1"/>
  <c r="R45" i="1"/>
  <c r="Z45" i="1"/>
  <c r="AA45" i="1"/>
  <c r="E46" i="1"/>
  <c r="F46" i="1"/>
  <c r="H46" i="1"/>
  <c r="J46" i="1"/>
  <c r="K46" i="1"/>
  <c r="L46" i="1"/>
  <c r="M46" i="1"/>
  <c r="R46" i="1"/>
  <c r="Z46" i="1"/>
  <c r="AA46" i="1"/>
  <c r="E47" i="1"/>
  <c r="F47" i="1"/>
  <c r="H47" i="1"/>
  <c r="J47" i="1"/>
  <c r="K47" i="1"/>
  <c r="L47" i="1"/>
  <c r="M47" i="1"/>
  <c r="P47" i="1" s="1"/>
  <c r="R47" i="1"/>
  <c r="Z47" i="1"/>
  <c r="AA47" i="1"/>
  <c r="E48" i="1"/>
  <c r="F48" i="1"/>
  <c r="H48" i="1"/>
  <c r="J48" i="1"/>
  <c r="K48" i="1"/>
  <c r="L48" i="1"/>
  <c r="M48" i="1"/>
  <c r="O48" i="1" s="1"/>
  <c r="R48" i="1"/>
  <c r="Z48" i="1"/>
  <c r="AA48" i="1"/>
  <c r="E49" i="1"/>
  <c r="F49" i="1"/>
  <c r="H49" i="1"/>
  <c r="J49" i="1"/>
  <c r="K49" i="1"/>
  <c r="L49" i="1"/>
  <c r="M49" i="1"/>
  <c r="P49" i="1" s="1"/>
  <c r="R49" i="1"/>
  <c r="Z49" i="1"/>
  <c r="AA49" i="1"/>
  <c r="E50" i="1"/>
  <c r="F50" i="1"/>
  <c r="H50" i="1"/>
  <c r="J50" i="1"/>
  <c r="K50" i="1"/>
  <c r="L50" i="1"/>
  <c r="M50" i="1"/>
  <c r="N50" i="1" s="1"/>
  <c r="R50" i="1"/>
  <c r="Z50" i="1"/>
  <c r="AA50" i="1"/>
  <c r="E51" i="1"/>
  <c r="F51" i="1"/>
  <c r="H51" i="1"/>
  <c r="J51" i="1"/>
  <c r="K51" i="1"/>
  <c r="L51" i="1"/>
  <c r="M51" i="1"/>
  <c r="P51" i="1" s="1"/>
  <c r="R51" i="1"/>
  <c r="Z51" i="1"/>
  <c r="AA51" i="1"/>
  <c r="E52" i="1"/>
  <c r="F52" i="1"/>
  <c r="H52" i="1"/>
  <c r="J52" i="1"/>
  <c r="K52" i="1"/>
  <c r="L52" i="1"/>
  <c r="M52" i="1"/>
  <c r="O52" i="1" s="1"/>
  <c r="R52" i="1"/>
  <c r="Z52" i="1"/>
  <c r="AA52" i="1"/>
  <c r="E53" i="1"/>
  <c r="F53" i="1"/>
  <c r="H53" i="1"/>
  <c r="J53" i="1"/>
  <c r="K53" i="1"/>
  <c r="L53" i="1"/>
  <c r="M53" i="1"/>
  <c r="R53" i="1"/>
  <c r="Z53" i="1"/>
  <c r="AA53" i="1"/>
  <c r="E54" i="1"/>
  <c r="F54" i="1"/>
  <c r="H54" i="1"/>
  <c r="J54" i="1"/>
  <c r="K54" i="1"/>
  <c r="L54" i="1"/>
  <c r="M54" i="1"/>
  <c r="N54" i="1" s="1"/>
  <c r="R54" i="1"/>
  <c r="Z54" i="1"/>
  <c r="AA54" i="1"/>
  <c r="E55" i="1"/>
  <c r="F55" i="1"/>
  <c r="H55" i="1"/>
  <c r="J55" i="1"/>
  <c r="K55" i="1"/>
  <c r="L55" i="1"/>
  <c r="M55" i="1"/>
  <c r="P55" i="1" s="1"/>
  <c r="R55" i="1"/>
  <c r="Z55" i="1"/>
  <c r="AA55" i="1"/>
  <c r="E56" i="1"/>
  <c r="F56" i="1"/>
  <c r="H56" i="1"/>
  <c r="J56" i="1"/>
  <c r="K56" i="1"/>
  <c r="L56" i="1"/>
  <c r="M56" i="1"/>
  <c r="R56" i="1"/>
  <c r="Z56" i="1"/>
  <c r="AA56" i="1"/>
  <c r="E57" i="1"/>
  <c r="F57" i="1"/>
  <c r="H57" i="1"/>
  <c r="J57" i="1"/>
  <c r="K57" i="1"/>
  <c r="L57" i="1"/>
  <c r="M57" i="1"/>
  <c r="P57" i="1" s="1"/>
  <c r="R57" i="1"/>
  <c r="Z57" i="1"/>
  <c r="AA57" i="1"/>
  <c r="E58" i="1"/>
  <c r="F58" i="1"/>
  <c r="H58" i="1"/>
  <c r="J58" i="1"/>
  <c r="K58" i="1"/>
  <c r="L58" i="1"/>
  <c r="M58" i="1"/>
  <c r="N58" i="1" s="1"/>
  <c r="R58" i="1"/>
  <c r="Z58" i="1"/>
  <c r="AA58" i="1"/>
  <c r="E59" i="1"/>
  <c r="F59" i="1"/>
  <c r="H59" i="1"/>
  <c r="J59" i="1"/>
  <c r="K59" i="1"/>
  <c r="L59" i="1"/>
  <c r="M59" i="1"/>
  <c r="R59" i="1"/>
  <c r="Z59" i="1"/>
  <c r="AA59" i="1"/>
  <c r="E60" i="1"/>
  <c r="F60" i="1"/>
  <c r="H60" i="1"/>
  <c r="J60" i="1"/>
  <c r="K60" i="1"/>
  <c r="L60" i="1"/>
  <c r="M60" i="1"/>
  <c r="P60" i="1" s="1"/>
  <c r="R60" i="1"/>
  <c r="Z60" i="1"/>
  <c r="AA60" i="1"/>
  <c r="E61" i="1"/>
  <c r="F61" i="1"/>
  <c r="H61" i="1"/>
  <c r="J61" i="1"/>
  <c r="K61" i="1"/>
  <c r="L61" i="1"/>
  <c r="M61" i="1"/>
  <c r="P61" i="1" s="1"/>
  <c r="R61" i="1"/>
  <c r="Z61" i="1"/>
  <c r="AA61" i="1"/>
  <c r="E62" i="1"/>
  <c r="F62" i="1"/>
  <c r="H62" i="1"/>
  <c r="J62" i="1"/>
  <c r="K62" i="1"/>
  <c r="L62" i="1"/>
  <c r="M62" i="1"/>
  <c r="R62" i="1"/>
  <c r="Z62" i="1"/>
  <c r="AA62" i="1"/>
  <c r="E63" i="1"/>
  <c r="F63" i="1"/>
  <c r="H63" i="1"/>
  <c r="J63" i="1"/>
  <c r="K63" i="1"/>
  <c r="L63" i="1"/>
  <c r="M63" i="1"/>
  <c r="P63" i="1" s="1"/>
  <c r="R63" i="1"/>
  <c r="Z63" i="1"/>
  <c r="AA63" i="1"/>
  <c r="E64" i="1"/>
  <c r="F64" i="1"/>
  <c r="H64" i="1"/>
  <c r="J64" i="1"/>
  <c r="K64" i="1"/>
  <c r="L64" i="1"/>
  <c r="M64" i="1"/>
  <c r="R64" i="1"/>
  <c r="Z64" i="1"/>
  <c r="AA64" i="1"/>
  <c r="E65" i="1"/>
  <c r="F65" i="1"/>
  <c r="H65" i="1"/>
  <c r="J65" i="1"/>
  <c r="K65" i="1"/>
  <c r="L65" i="1"/>
  <c r="M65" i="1"/>
  <c r="P65" i="1" s="1"/>
  <c r="R65" i="1"/>
  <c r="Z65" i="1"/>
  <c r="AA65" i="1"/>
  <c r="E66" i="1"/>
  <c r="F66" i="1"/>
  <c r="H66" i="1"/>
  <c r="J66" i="1"/>
  <c r="K66" i="1"/>
  <c r="L66" i="1"/>
  <c r="M66" i="1"/>
  <c r="N66" i="1" s="1"/>
  <c r="R66" i="1"/>
  <c r="Z66" i="1"/>
  <c r="AA66" i="1"/>
  <c r="E67" i="1"/>
  <c r="F67" i="1"/>
  <c r="H67" i="1"/>
  <c r="J67" i="1"/>
  <c r="K67" i="1"/>
  <c r="L67" i="1"/>
  <c r="M67" i="1"/>
  <c r="P67" i="1" s="1"/>
  <c r="R67" i="1"/>
  <c r="Z67" i="1"/>
  <c r="AA67" i="1"/>
  <c r="E68" i="1"/>
  <c r="F68" i="1"/>
  <c r="H68" i="1"/>
  <c r="J68" i="1"/>
  <c r="K68" i="1"/>
  <c r="L68" i="1"/>
  <c r="M68" i="1"/>
  <c r="P68" i="1" s="1"/>
  <c r="R68" i="1"/>
  <c r="Z68" i="1"/>
  <c r="AA68" i="1"/>
  <c r="E69" i="1"/>
  <c r="F69" i="1"/>
  <c r="H69" i="1"/>
  <c r="J69" i="1"/>
  <c r="K69" i="1"/>
  <c r="L69" i="1"/>
  <c r="M69" i="1"/>
  <c r="P69" i="1" s="1"/>
  <c r="R69" i="1"/>
  <c r="Z69" i="1"/>
  <c r="AA69" i="1"/>
  <c r="E70" i="1"/>
  <c r="F70" i="1"/>
  <c r="H70" i="1"/>
  <c r="J70" i="1"/>
  <c r="K70" i="1"/>
  <c r="L70" i="1"/>
  <c r="M70" i="1"/>
  <c r="N70" i="1" s="1"/>
  <c r="R70" i="1"/>
  <c r="Z70" i="1"/>
  <c r="AA70" i="1"/>
  <c r="E71" i="1"/>
  <c r="F71" i="1"/>
  <c r="H71" i="1"/>
  <c r="J71" i="1"/>
  <c r="K71" i="1"/>
  <c r="L71" i="1"/>
  <c r="M71" i="1"/>
  <c r="P71" i="1" s="1"/>
  <c r="R71" i="1"/>
  <c r="Z71" i="1"/>
  <c r="AA71" i="1"/>
  <c r="E72" i="1"/>
  <c r="F72" i="1"/>
  <c r="H72" i="1"/>
  <c r="J72" i="1"/>
  <c r="K72" i="1"/>
  <c r="L72" i="1"/>
  <c r="M72" i="1"/>
  <c r="O72" i="1" s="1"/>
  <c r="R72" i="1"/>
  <c r="Z72" i="1"/>
  <c r="AA72" i="1"/>
  <c r="E73" i="1"/>
  <c r="F73" i="1"/>
  <c r="H73" i="1"/>
  <c r="J73" i="1"/>
  <c r="K73" i="1"/>
  <c r="L73" i="1"/>
  <c r="M73" i="1"/>
  <c r="R73" i="1"/>
  <c r="Z73" i="1"/>
  <c r="AA73" i="1"/>
  <c r="E74" i="1"/>
  <c r="F74" i="1"/>
  <c r="H74" i="1"/>
  <c r="J74" i="1"/>
  <c r="K74" i="1"/>
  <c r="L74" i="1"/>
  <c r="M74" i="1"/>
  <c r="N74" i="1" s="1"/>
  <c r="R74" i="1"/>
  <c r="Z74" i="1"/>
  <c r="AA74" i="1"/>
  <c r="E75" i="1"/>
  <c r="F75" i="1"/>
  <c r="H75" i="1"/>
  <c r="J75" i="1"/>
  <c r="K75" i="1"/>
  <c r="L75" i="1"/>
  <c r="M75" i="1"/>
  <c r="R75" i="1"/>
  <c r="Z75" i="1"/>
  <c r="AA75" i="1"/>
  <c r="E76" i="1"/>
  <c r="F76" i="1"/>
  <c r="H76" i="1"/>
  <c r="J76" i="1"/>
  <c r="K76" i="1"/>
  <c r="L76" i="1"/>
  <c r="M76" i="1"/>
  <c r="P76" i="1" s="1"/>
  <c r="R76" i="1"/>
  <c r="Z76" i="1"/>
  <c r="AA76" i="1"/>
  <c r="E77" i="1"/>
  <c r="F77" i="1"/>
  <c r="H77" i="1"/>
  <c r="J77" i="1"/>
  <c r="K77" i="1"/>
  <c r="L77" i="1"/>
  <c r="M77" i="1"/>
  <c r="P77" i="1" s="1"/>
  <c r="R77" i="1"/>
  <c r="Z77" i="1"/>
  <c r="AA77" i="1"/>
  <c r="E78" i="1"/>
  <c r="F78" i="1"/>
  <c r="H78" i="1"/>
  <c r="J78" i="1"/>
  <c r="K78" i="1"/>
  <c r="L78" i="1"/>
  <c r="M78" i="1"/>
  <c r="R78" i="1"/>
  <c r="Z78" i="1"/>
  <c r="AA78" i="1"/>
  <c r="E79" i="1"/>
  <c r="F79" i="1"/>
  <c r="H79" i="1"/>
  <c r="J79" i="1"/>
  <c r="K79" i="1"/>
  <c r="L79" i="1"/>
  <c r="M79" i="1"/>
  <c r="P79" i="1" s="1"/>
  <c r="R79" i="1"/>
  <c r="Z79" i="1"/>
  <c r="AA79" i="1"/>
  <c r="E80" i="1"/>
  <c r="F80" i="1"/>
  <c r="H80" i="1"/>
  <c r="J80" i="1"/>
  <c r="K80" i="1"/>
  <c r="L80" i="1"/>
  <c r="M80" i="1"/>
  <c r="O80" i="1" s="1"/>
  <c r="R80" i="1"/>
  <c r="Z80" i="1"/>
  <c r="AA80" i="1"/>
  <c r="E81" i="1"/>
  <c r="F81" i="1"/>
  <c r="H81" i="1"/>
  <c r="J81" i="1"/>
  <c r="K81" i="1"/>
  <c r="L81" i="1"/>
  <c r="M81" i="1"/>
  <c r="R81" i="1"/>
  <c r="Z81" i="1"/>
  <c r="AA81" i="1"/>
  <c r="E82" i="1"/>
  <c r="F82" i="1"/>
  <c r="H82" i="1"/>
  <c r="J82" i="1"/>
  <c r="K82" i="1"/>
  <c r="L82" i="1"/>
  <c r="M82" i="1"/>
  <c r="N82" i="1" s="1"/>
  <c r="R82" i="1"/>
  <c r="Z82" i="1"/>
  <c r="AA82" i="1"/>
  <c r="E83" i="1"/>
  <c r="F83" i="1"/>
  <c r="H83" i="1"/>
  <c r="J83" i="1"/>
  <c r="K83" i="1"/>
  <c r="L83" i="1"/>
  <c r="M83" i="1"/>
  <c r="P83" i="1" s="1"/>
  <c r="R83" i="1"/>
  <c r="Z83" i="1"/>
  <c r="AA83" i="1"/>
  <c r="E84" i="1"/>
  <c r="F84" i="1"/>
  <c r="H84" i="1"/>
  <c r="J84" i="1"/>
  <c r="K84" i="1"/>
  <c r="L84" i="1"/>
  <c r="M84" i="1"/>
  <c r="R84" i="1"/>
  <c r="Z84" i="1"/>
  <c r="AA84" i="1"/>
  <c r="E85" i="1"/>
  <c r="F85" i="1"/>
  <c r="H85" i="1"/>
  <c r="J85" i="1"/>
  <c r="K85" i="1"/>
  <c r="L85" i="1"/>
  <c r="M85" i="1"/>
  <c r="P85" i="1" s="1"/>
  <c r="R85" i="1"/>
  <c r="Z85" i="1"/>
  <c r="AA85" i="1"/>
  <c r="E86" i="1"/>
  <c r="F86" i="1"/>
  <c r="H86" i="1"/>
  <c r="J86" i="1"/>
  <c r="K86" i="1"/>
  <c r="L86" i="1"/>
  <c r="M86" i="1"/>
  <c r="N86" i="1" s="1"/>
  <c r="R86" i="1"/>
  <c r="Z86" i="1"/>
  <c r="AA86" i="1"/>
  <c r="E87" i="1"/>
  <c r="F87" i="1"/>
  <c r="H87" i="1"/>
  <c r="J87" i="1"/>
  <c r="K87" i="1"/>
  <c r="L87" i="1"/>
  <c r="M87" i="1"/>
  <c r="P87" i="1" s="1"/>
  <c r="R87" i="1"/>
  <c r="Z87" i="1"/>
  <c r="AA87" i="1"/>
  <c r="E88" i="1"/>
  <c r="F88" i="1"/>
  <c r="H88" i="1"/>
  <c r="J88" i="1"/>
  <c r="K88" i="1"/>
  <c r="L88" i="1"/>
  <c r="M88" i="1"/>
  <c r="O88" i="1" s="1"/>
  <c r="R88" i="1"/>
  <c r="Z88" i="1"/>
  <c r="AA88" i="1"/>
  <c r="E89" i="1"/>
  <c r="F89" i="1"/>
  <c r="H89" i="1"/>
  <c r="J89" i="1"/>
  <c r="K89" i="1"/>
  <c r="L89" i="1"/>
  <c r="M89" i="1"/>
  <c r="R89" i="1"/>
  <c r="Z89" i="1"/>
  <c r="AA89" i="1"/>
  <c r="E90" i="1"/>
  <c r="F90" i="1"/>
  <c r="H90" i="1"/>
  <c r="J90" i="1"/>
  <c r="K90" i="1"/>
  <c r="L90" i="1"/>
  <c r="M90" i="1"/>
  <c r="N90" i="1" s="1"/>
  <c r="R90" i="1"/>
  <c r="Z90" i="1"/>
  <c r="AA90" i="1"/>
  <c r="E91" i="1"/>
  <c r="F91" i="1"/>
  <c r="H91" i="1"/>
  <c r="J91" i="1"/>
  <c r="K91" i="1"/>
  <c r="L91" i="1"/>
  <c r="M91" i="1"/>
  <c r="R91" i="1"/>
  <c r="Z91" i="1"/>
  <c r="AA91" i="1"/>
  <c r="E92" i="1"/>
  <c r="F92" i="1"/>
  <c r="H92" i="1"/>
  <c r="J92" i="1"/>
  <c r="K92" i="1"/>
  <c r="L92" i="1"/>
  <c r="M92" i="1"/>
  <c r="R92" i="1"/>
  <c r="Z92" i="1"/>
  <c r="AA92" i="1"/>
  <c r="E93" i="1"/>
  <c r="F93" i="1"/>
  <c r="H93" i="1"/>
  <c r="J93" i="1"/>
  <c r="K93" i="1"/>
  <c r="L93" i="1"/>
  <c r="M93" i="1"/>
  <c r="P93" i="1" s="1"/>
  <c r="R93" i="1"/>
  <c r="Z93" i="1"/>
  <c r="AA93" i="1"/>
  <c r="E94" i="1"/>
  <c r="F94" i="1"/>
  <c r="H94" i="1"/>
  <c r="J94" i="1"/>
  <c r="K94" i="1"/>
  <c r="L94" i="1"/>
  <c r="M94" i="1"/>
  <c r="R94" i="1"/>
  <c r="Z94" i="1"/>
  <c r="AA94" i="1"/>
  <c r="E95" i="1"/>
  <c r="F95" i="1"/>
  <c r="H95" i="1"/>
  <c r="J95" i="1"/>
  <c r="K95" i="1"/>
  <c r="L95" i="1"/>
  <c r="M95" i="1"/>
  <c r="P95" i="1" s="1"/>
  <c r="R95" i="1"/>
  <c r="Z95" i="1"/>
  <c r="AA95" i="1"/>
  <c r="E96" i="1"/>
  <c r="F96" i="1"/>
  <c r="H96" i="1"/>
  <c r="J96" i="1"/>
  <c r="K96" i="1"/>
  <c r="L96" i="1"/>
  <c r="M96" i="1"/>
  <c r="P96" i="1" s="1"/>
  <c r="R96" i="1"/>
  <c r="Z96" i="1"/>
  <c r="AA96" i="1"/>
  <c r="E97" i="1"/>
  <c r="F97" i="1"/>
  <c r="H97" i="1"/>
  <c r="J97" i="1"/>
  <c r="K97" i="1"/>
  <c r="L97" i="1"/>
  <c r="M97" i="1"/>
  <c r="P97" i="1" s="1"/>
  <c r="R97" i="1"/>
  <c r="Z97" i="1"/>
  <c r="AA97" i="1"/>
  <c r="E98" i="1"/>
  <c r="F98" i="1"/>
  <c r="H98" i="1"/>
  <c r="J98" i="1"/>
  <c r="K98" i="1"/>
  <c r="L98" i="1"/>
  <c r="M98" i="1"/>
  <c r="N98" i="1" s="1"/>
  <c r="R98" i="1"/>
  <c r="Z98" i="1"/>
  <c r="AA98" i="1"/>
  <c r="E99" i="1"/>
  <c r="F99" i="1"/>
  <c r="H99" i="1"/>
  <c r="J99" i="1"/>
  <c r="K99" i="1"/>
  <c r="L99" i="1"/>
  <c r="M99" i="1"/>
  <c r="P99" i="1" s="1"/>
  <c r="R99" i="1"/>
  <c r="Z99" i="1"/>
  <c r="AA99" i="1"/>
  <c r="E100" i="1"/>
  <c r="F100" i="1"/>
  <c r="H100" i="1"/>
  <c r="J100" i="1"/>
  <c r="K100" i="1"/>
  <c r="L100" i="1"/>
  <c r="M100" i="1"/>
  <c r="R100" i="1"/>
  <c r="Z100" i="1"/>
  <c r="AA100" i="1"/>
  <c r="E101" i="1"/>
  <c r="F101" i="1"/>
  <c r="H101" i="1"/>
  <c r="J101" i="1"/>
  <c r="K101" i="1"/>
  <c r="L101" i="1"/>
  <c r="M101" i="1"/>
  <c r="R101" i="1"/>
  <c r="Z101" i="1"/>
  <c r="AA101" i="1"/>
  <c r="E102" i="1"/>
  <c r="F102" i="1"/>
  <c r="H102" i="1"/>
  <c r="J102" i="1"/>
  <c r="K102" i="1"/>
  <c r="L102" i="1"/>
  <c r="M102" i="1"/>
  <c r="N102" i="1" s="1"/>
  <c r="R102" i="1"/>
  <c r="Z102" i="1"/>
  <c r="AA102" i="1"/>
  <c r="E103" i="1"/>
  <c r="F103" i="1"/>
  <c r="H103" i="1"/>
  <c r="J103" i="1"/>
  <c r="K103" i="1"/>
  <c r="L103" i="1"/>
  <c r="M103" i="1"/>
  <c r="P103" i="1" s="1"/>
  <c r="R103" i="1"/>
  <c r="Z103" i="1"/>
  <c r="AA103" i="1"/>
  <c r="E104" i="1"/>
  <c r="F104" i="1"/>
  <c r="H104" i="1"/>
  <c r="J104" i="1"/>
  <c r="K104" i="1"/>
  <c r="L104" i="1"/>
  <c r="M104" i="1"/>
  <c r="R104" i="1"/>
  <c r="Z104" i="1"/>
  <c r="AA104" i="1"/>
  <c r="E105" i="1"/>
  <c r="F105" i="1"/>
  <c r="H105" i="1"/>
  <c r="J105" i="1"/>
  <c r="K105" i="1"/>
  <c r="L105" i="1"/>
  <c r="M105" i="1"/>
  <c r="R105" i="1"/>
  <c r="Z105" i="1"/>
  <c r="AA105" i="1"/>
  <c r="E106" i="1"/>
  <c r="F106" i="1"/>
  <c r="H106" i="1"/>
  <c r="J106" i="1"/>
  <c r="K106" i="1"/>
  <c r="L106" i="1"/>
  <c r="M106" i="1"/>
  <c r="N106" i="1" s="1"/>
  <c r="R106" i="1"/>
  <c r="Z106" i="1"/>
  <c r="AA106" i="1"/>
  <c r="E107" i="1"/>
  <c r="F107" i="1"/>
  <c r="H107" i="1"/>
  <c r="J107" i="1"/>
  <c r="K107" i="1"/>
  <c r="L107" i="1"/>
  <c r="M107" i="1"/>
  <c r="R107" i="1"/>
  <c r="Z107" i="1"/>
  <c r="AA107" i="1"/>
  <c r="E108" i="1"/>
  <c r="F108" i="1"/>
  <c r="H108" i="1"/>
  <c r="J108" i="1"/>
  <c r="K108" i="1"/>
  <c r="L108" i="1"/>
  <c r="M108" i="1"/>
  <c r="R108" i="1"/>
  <c r="Z108" i="1"/>
  <c r="AA108" i="1"/>
  <c r="E109" i="1"/>
  <c r="F109" i="1"/>
  <c r="H109" i="1"/>
  <c r="J109" i="1"/>
  <c r="K109" i="1"/>
  <c r="L109" i="1"/>
  <c r="M109" i="1"/>
  <c r="P109" i="1" s="1"/>
  <c r="R109" i="1"/>
  <c r="Z109" i="1"/>
  <c r="AA109" i="1"/>
  <c r="E110" i="1"/>
  <c r="F110" i="1"/>
  <c r="H110" i="1"/>
  <c r="J110" i="1"/>
  <c r="K110" i="1"/>
  <c r="L110" i="1"/>
  <c r="M110" i="1"/>
  <c r="R110" i="1"/>
  <c r="Z110" i="1"/>
  <c r="AA110" i="1"/>
  <c r="E111" i="1"/>
  <c r="F111" i="1"/>
  <c r="H111" i="1"/>
  <c r="J111" i="1"/>
  <c r="K111" i="1"/>
  <c r="L111" i="1"/>
  <c r="M111" i="1"/>
  <c r="N111" i="1" s="1"/>
  <c r="R111" i="1"/>
  <c r="Z111" i="1"/>
  <c r="AA111" i="1"/>
  <c r="E112" i="1"/>
  <c r="F112" i="1"/>
  <c r="H112" i="1"/>
  <c r="J112" i="1"/>
  <c r="K112" i="1"/>
  <c r="L112" i="1"/>
  <c r="M112" i="1"/>
  <c r="R112" i="1"/>
  <c r="Z112" i="1"/>
  <c r="AA112" i="1"/>
  <c r="E113" i="1"/>
  <c r="F113" i="1"/>
  <c r="H113" i="1"/>
  <c r="J113" i="1"/>
  <c r="K113" i="1"/>
  <c r="L113" i="1"/>
  <c r="M113" i="1"/>
  <c r="R113" i="1"/>
  <c r="Z113" i="1"/>
  <c r="AA113" i="1"/>
  <c r="E114" i="1"/>
  <c r="F114" i="1"/>
  <c r="H114" i="1"/>
  <c r="J114" i="1"/>
  <c r="K114" i="1"/>
  <c r="L114" i="1"/>
  <c r="M114" i="1"/>
  <c r="R114" i="1"/>
  <c r="Z114" i="1"/>
  <c r="AA114" i="1"/>
  <c r="E115" i="1"/>
  <c r="F115" i="1"/>
  <c r="H115" i="1"/>
  <c r="J115" i="1"/>
  <c r="K115" i="1"/>
  <c r="L115" i="1"/>
  <c r="M115" i="1"/>
  <c r="R115" i="1"/>
  <c r="Z115" i="1"/>
  <c r="AA115" i="1"/>
  <c r="E116" i="1"/>
  <c r="F116" i="1"/>
  <c r="H116" i="1"/>
  <c r="J116" i="1"/>
  <c r="K116" i="1"/>
  <c r="L116" i="1"/>
  <c r="M116" i="1"/>
  <c r="P116" i="1" s="1"/>
  <c r="R116" i="1"/>
  <c r="Z116" i="1"/>
  <c r="AA116" i="1"/>
  <c r="E117" i="1"/>
  <c r="F117" i="1"/>
  <c r="H117" i="1"/>
  <c r="J117" i="1"/>
  <c r="K117" i="1"/>
  <c r="L117" i="1"/>
  <c r="M117" i="1"/>
  <c r="P117" i="1" s="1"/>
  <c r="R117" i="1"/>
  <c r="Z117" i="1"/>
  <c r="AA117" i="1"/>
  <c r="E118" i="1"/>
  <c r="F118" i="1"/>
  <c r="H118" i="1"/>
  <c r="J118" i="1"/>
  <c r="K118" i="1"/>
  <c r="L118" i="1"/>
  <c r="M118" i="1"/>
  <c r="R118" i="1"/>
  <c r="Z118" i="1"/>
  <c r="AA118" i="1"/>
  <c r="E119" i="1"/>
  <c r="F119" i="1"/>
  <c r="H119" i="1"/>
  <c r="J119" i="1"/>
  <c r="K119" i="1"/>
  <c r="L119" i="1"/>
  <c r="M119" i="1"/>
  <c r="N119" i="1" s="1"/>
  <c r="R119" i="1"/>
  <c r="Z119" i="1"/>
  <c r="AA119" i="1"/>
  <c r="E120" i="1"/>
  <c r="F120" i="1"/>
  <c r="H120" i="1"/>
  <c r="J120" i="1"/>
  <c r="K120" i="1"/>
  <c r="L120" i="1"/>
  <c r="M120" i="1"/>
  <c r="R120" i="1"/>
  <c r="Z120" i="1"/>
  <c r="AA120" i="1"/>
  <c r="E121" i="1"/>
  <c r="F121" i="1"/>
  <c r="H121" i="1"/>
  <c r="J121" i="1"/>
  <c r="K121" i="1"/>
  <c r="L121" i="1"/>
  <c r="M121" i="1"/>
  <c r="R121" i="1"/>
  <c r="Z121" i="1"/>
  <c r="AA121" i="1"/>
  <c r="E122" i="1"/>
  <c r="F122" i="1"/>
  <c r="H122" i="1"/>
  <c r="J122" i="1"/>
  <c r="K122" i="1"/>
  <c r="L122" i="1"/>
  <c r="M122" i="1"/>
  <c r="R122" i="1"/>
  <c r="Z122" i="1"/>
  <c r="AA122" i="1"/>
  <c r="E123" i="1"/>
  <c r="F123" i="1"/>
  <c r="H123" i="1"/>
  <c r="J123" i="1"/>
  <c r="K123" i="1"/>
  <c r="L123" i="1"/>
  <c r="M123" i="1"/>
  <c r="N123" i="1" s="1"/>
  <c r="R123" i="1"/>
  <c r="Z123" i="1"/>
  <c r="AA123" i="1"/>
  <c r="E124" i="1"/>
  <c r="F124" i="1"/>
  <c r="H124" i="1"/>
  <c r="J124" i="1"/>
  <c r="K124" i="1"/>
  <c r="L124" i="1"/>
  <c r="M124" i="1"/>
  <c r="N124" i="1" s="1"/>
  <c r="R124" i="1"/>
  <c r="Z124" i="1"/>
  <c r="AA124" i="1"/>
  <c r="E125" i="1"/>
  <c r="F125" i="1"/>
  <c r="H125" i="1"/>
  <c r="J125" i="1"/>
  <c r="K125" i="1"/>
  <c r="L125" i="1"/>
  <c r="M125" i="1"/>
  <c r="P125" i="1" s="1"/>
  <c r="R125" i="1"/>
  <c r="Z125" i="1"/>
  <c r="AA125" i="1"/>
  <c r="E126" i="1"/>
  <c r="F126" i="1"/>
  <c r="H126" i="1"/>
  <c r="J126" i="1"/>
  <c r="K126" i="1"/>
  <c r="L126" i="1"/>
  <c r="M126" i="1"/>
  <c r="R126" i="1"/>
  <c r="Z126" i="1"/>
  <c r="AA126" i="1"/>
  <c r="E127" i="1"/>
  <c r="F127" i="1"/>
  <c r="H127" i="1"/>
  <c r="J127" i="1"/>
  <c r="K127" i="1"/>
  <c r="L127" i="1"/>
  <c r="M127" i="1"/>
  <c r="R127" i="1"/>
  <c r="Z127" i="1"/>
  <c r="AA127" i="1"/>
  <c r="E128" i="1"/>
  <c r="F128" i="1"/>
  <c r="H128" i="1"/>
  <c r="J128" i="1"/>
  <c r="K128" i="1"/>
  <c r="L128" i="1"/>
  <c r="M128" i="1"/>
  <c r="R128" i="1"/>
  <c r="Z128" i="1"/>
  <c r="AA128" i="1"/>
  <c r="E129" i="1"/>
  <c r="F129" i="1"/>
  <c r="H129" i="1"/>
  <c r="J129" i="1"/>
  <c r="K129" i="1"/>
  <c r="L129" i="1"/>
  <c r="M129" i="1"/>
  <c r="P129" i="1" s="1"/>
  <c r="R129" i="1"/>
  <c r="Z129" i="1"/>
  <c r="AA129" i="1"/>
  <c r="E130" i="1"/>
  <c r="F130" i="1"/>
  <c r="H130" i="1"/>
  <c r="J130" i="1"/>
  <c r="K130" i="1"/>
  <c r="L130" i="1"/>
  <c r="M130" i="1"/>
  <c r="R130" i="1"/>
  <c r="Z130" i="1"/>
  <c r="AA130" i="1"/>
  <c r="E131" i="1"/>
  <c r="F131" i="1"/>
  <c r="H131" i="1"/>
  <c r="J131" i="1"/>
  <c r="K131" i="1"/>
  <c r="L131" i="1"/>
  <c r="M131" i="1"/>
  <c r="N131" i="1" s="1"/>
  <c r="R131" i="1"/>
  <c r="Z131" i="1"/>
  <c r="AA131" i="1"/>
  <c r="E132" i="1"/>
  <c r="F132" i="1"/>
  <c r="H132" i="1"/>
  <c r="J132" i="1"/>
  <c r="K132" i="1"/>
  <c r="L132" i="1"/>
  <c r="M132" i="1"/>
  <c r="N132" i="1" s="1"/>
  <c r="R132" i="1"/>
  <c r="Z132" i="1"/>
  <c r="AA132" i="1"/>
  <c r="E133" i="1"/>
  <c r="F133" i="1"/>
  <c r="H133" i="1"/>
  <c r="J133" i="1"/>
  <c r="K133" i="1"/>
  <c r="L133" i="1"/>
  <c r="M133" i="1"/>
  <c r="P133" i="1" s="1"/>
  <c r="R133" i="1"/>
  <c r="Z133" i="1"/>
  <c r="AA133" i="1"/>
  <c r="E134" i="1"/>
  <c r="F134" i="1"/>
  <c r="H134" i="1"/>
  <c r="J134" i="1"/>
  <c r="K134" i="1"/>
  <c r="L134" i="1"/>
  <c r="M134" i="1"/>
  <c r="R134" i="1"/>
  <c r="Z134" i="1"/>
  <c r="AA134" i="1"/>
  <c r="E135" i="1"/>
  <c r="F135" i="1"/>
  <c r="H135" i="1"/>
  <c r="J135" i="1"/>
  <c r="K135" i="1"/>
  <c r="L135" i="1"/>
  <c r="M135" i="1"/>
  <c r="R135" i="1"/>
  <c r="Z135" i="1"/>
  <c r="AA135" i="1"/>
  <c r="E136" i="1"/>
  <c r="F136" i="1"/>
  <c r="H136" i="1"/>
  <c r="J136" i="1"/>
  <c r="K136" i="1"/>
  <c r="L136" i="1"/>
  <c r="M136" i="1"/>
  <c r="P136" i="1" s="1"/>
  <c r="R136" i="1"/>
  <c r="Z136" i="1"/>
  <c r="AA136" i="1"/>
  <c r="E137" i="1"/>
  <c r="F137" i="1"/>
  <c r="H137" i="1"/>
  <c r="J137" i="1"/>
  <c r="K137" i="1"/>
  <c r="L137" i="1"/>
  <c r="M137" i="1"/>
  <c r="N137" i="1" s="1"/>
  <c r="R137" i="1"/>
  <c r="Z137" i="1"/>
  <c r="AA137" i="1"/>
  <c r="E138" i="1"/>
  <c r="F138" i="1"/>
  <c r="H138" i="1"/>
  <c r="J138" i="1"/>
  <c r="K138" i="1"/>
  <c r="L138" i="1"/>
  <c r="M138" i="1"/>
  <c r="R138" i="1"/>
  <c r="Z138" i="1"/>
  <c r="AA138" i="1"/>
  <c r="E139" i="1"/>
  <c r="F139" i="1"/>
  <c r="H139" i="1"/>
  <c r="J139" i="1"/>
  <c r="K139" i="1"/>
  <c r="L139" i="1"/>
  <c r="M139" i="1"/>
  <c r="N139" i="1" s="1"/>
  <c r="R139" i="1"/>
  <c r="Z139" i="1"/>
  <c r="AA139" i="1"/>
  <c r="E140" i="1"/>
  <c r="F140" i="1"/>
  <c r="H140" i="1"/>
  <c r="J140" i="1"/>
  <c r="K140" i="1"/>
  <c r="L140" i="1"/>
  <c r="M140" i="1"/>
  <c r="N140" i="1" s="1"/>
  <c r="R140" i="1"/>
  <c r="Z140" i="1"/>
  <c r="AA140" i="1"/>
  <c r="E141" i="1"/>
  <c r="F141" i="1"/>
  <c r="H141" i="1"/>
  <c r="J141" i="1"/>
  <c r="K141" i="1"/>
  <c r="L141" i="1"/>
  <c r="M141" i="1"/>
  <c r="R141" i="1"/>
  <c r="Z141" i="1"/>
  <c r="AA141" i="1"/>
  <c r="E142" i="1"/>
  <c r="F142" i="1"/>
  <c r="H142" i="1"/>
  <c r="J142" i="1"/>
  <c r="K142" i="1"/>
  <c r="L142" i="1"/>
  <c r="M142" i="1"/>
  <c r="R142" i="1"/>
  <c r="Z142" i="1"/>
  <c r="AA142" i="1"/>
  <c r="E143" i="1"/>
  <c r="F143" i="1"/>
  <c r="H143" i="1"/>
  <c r="J143" i="1"/>
  <c r="K143" i="1"/>
  <c r="L143" i="1"/>
  <c r="M143" i="1"/>
  <c r="N143" i="1" s="1"/>
  <c r="R143" i="1"/>
  <c r="Z143" i="1"/>
  <c r="AA143" i="1"/>
  <c r="E144" i="1"/>
  <c r="F144" i="1"/>
  <c r="H144" i="1"/>
  <c r="J144" i="1"/>
  <c r="K144" i="1"/>
  <c r="L144" i="1"/>
  <c r="M144" i="1"/>
  <c r="R144" i="1"/>
  <c r="Z144" i="1"/>
  <c r="AA144" i="1"/>
  <c r="E145" i="1"/>
  <c r="F145" i="1"/>
  <c r="H145" i="1"/>
  <c r="J145" i="1"/>
  <c r="K145" i="1"/>
  <c r="L145" i="1"/>
  <c r="M145" i="1"/>
  <c r="N145" i="1" s="1"/>
  <c r="R145" i="1"/>
  <c r="Z145" i="1"/>
  <c r="AA145" i="1"/>
  <c r="E146" i="1"/>
  <c r="F146" i="1"/>
  <c r="H146" i="1"/>
  <c r="J146" i="1"/>
  <c r="K146" i="1"/>
  <c r="L146" i="1"/>
  <c r="M146" i="1"/>
  <c r="R146" i="1"/>
  <c r="Z146" i="1"/>
  <c r="AA146" i="1"/>
  <c r="E147" i="1"/>
  <c r="F147" i="1"/>
  <c r="H147" i="1"/>
  <c r="J147" i="1"/>
  <c r="K147" i="1"/>
  <c r="L147" i="1"/>
  <c r="M147" i="1"/>
  <c r="N147" i="1" s="1"/>
  <c r="R147" i="1"/>
  <c r="Z147" i="1"/>
  <c r="AA147" i="1"/>
  <c r="E148" i="1"/>
  <c r="F148" i="1"/>
  <c r="H148" i="1"/>
  <c r="J148" i="1"/>
  <c r="K148" i="1"/>
  <c r="L148" i="1"/>
  <c r="M148" i="1"/>
  <c r="N148" i="1" s="1"/>
  <c r="R148" i="1"/>
  <c r="Z148" i="1"/>
  <c r="AA148" i="1"/>
  <c r="E149" i="1"/>
  <c r="F149" i="1"/>
  <c r="H149" i="1"/>
  <c r="J149" i="1"/>
  <c r="K149" i="1"/>
  <c r="L149" i="1"/>
  <c r="M149" i="1"/>
  <c r="R149" i="1"/>
  <c r="Z149" i="1"/>
  <c r="AA149" i="1"/>
  <c r="E150" i="1"/>
  <c r="F150" i="1"/>
  <c r="H150" i="1"/>
  <c r="J150" i="1"/>
  <c r="K150" i="1"/>
  <c r="L150" i="1"/>
  <c r="M150" i="1"/>
  <c r="R150" i="1"/>
  <c r="Z150" i="1"/>
  <c r="AA150" i="1"/>
  <c r="E151" i="1"/>
  <c r="F151" i="1"/>
  <c r="H151" i="1"/>
  <c r="J151" i="1"/>
  <c r="K151" i="1"/>
  <c r="L151" i="1"/>
  <c r="M151" i="1"/>
  <c r="N151" i="1" s="1"/>
  <c r="R151" i="1"/>
  <c r="Z151" i="1"/>
  <c r="AA151" i="1"/>
  <c r="E152" i="1"/>
  <c r="F152" i="1"/>
  <c r="H152" i="1"/>
  <c r="J152" i="1"/>
  <c r="K152" i="1"/>
  <c r="L152" i="1"/>
  <c r="M152" i="1"/>
  <c r="R152" i="1"/>
  <c r="Z152" i="1"/>
  <c r="AA152" i="1"/>
  <c r="E153" i="1"/>
  <c r="F153" i="1"/>
  <c r="H153" i="1"/>
  <c r="J153" i="1"/>
  <c r="K153" i="1"/>
  <c r="L153" i="1"/>
  <c r="M153" i="1"/>
  <c r="N153" i="1" s="1"/>
  <c r="R153" i="1"/>
  <c r="Z153" i="1"/>
  <c r="AA153" i="1"/>
  <c r="E154" i="1"/>
  <c r="F154" i="1"/>
  <c r="H154" i="1"/>
  <c r="J154" i="1"/>
  <c r="K154" i="1"/>
  <c r="L154" i="1"/>
  <c r="M154" i="1"/>
  <c r="R154" i="1"/>
  <c r="Z154" i="1"/>
  <c r="AA154" i="1"/>
  <c r="E155" i="1"/>
  <c r="F155" i="1"/>
  <c r="H155" i="1"/>
  <c r="J155" i="1"/>
  <c r="K155" i="1"/>
  <c r="L155" i="1"/>
  <c r="M155" i="1"/>
  <c r="N155" i="1" s="1"/>
  <c r="R155" i="1"/>
  <c r="Z155" i="1"/>
  <c r="AA155" i="1"/>
  <c r="E156" i="1"/>
  <c r="F156" i="1"/>
  <c r="H156" i="1"/>
  <c r="J156" i="1"/>
  <c r="K156" i="1"/>
  <c r="L156" i="1"/>
  <c r="M156" i="1"/>
  <c r="N156" i="1" s="1"/>
  <c r="R156" i="1"/>
  <c r="Z156" i="1"/>
  <c r="AA156" i="1"/>
  <c r="E157" i="1"/>
  <c r="F157" i="1"/>
  <c r="H157" i="1"/>
  <c r="J157" i="1"/>
  <c r="K157" i="1"/>
  <c r="L157" i="1"/>
  <c r="M157" i="1"/>
  <c r="R157" i="1"/>
  <c r="Z157" i="1"/>
  <c r="AA157" i="1"/>
  <c r="E158" i="1"/>
  <c r="F158" i="1"/>
  <c r="H158" i="1"/>
  <c r="J158" i="1"/>
  <c r="K158" i="1"/>
  <c r="L158" i="1"/>
  <c r="M158" i="1"/>
  <c r="R158" i="1"/>
  <c r="Z158" i="1"/>
  <c r="AA158" i="1"/>
  <c r="E159" i="1"/>
  <c r="F159" i="1"/>
  <c r="H159" i="1"/>
  <c r="J159" i="1"/>
  <c r="K159" i="1"/>
  <c r="L159" i="1"/>
  <c r="M159" i="1"/>
  <c r="N159" i="1" s="1"/>
  <c r="R159" i="1"/>
  <c r="Z159" i="1"/>
  <c r="AA159" i="1"/>
  <c r="E160" i="1"/>
  <c r="F160" i="1"/>
  <c r="H160" i="1"/>
  <c r="J160" i="1"/>
  <c r="K160" i="1"/>
  <c r="L160" i="1"/>
  <c r="M160" i="1"/>
  <c r="R160" i="1"/>
  <c r="Z160" i="1"/>
  <c r="AA160" i="1"/>
  <c r="E161" i="1"/>
  <c r="F161" i="1"/>
  <c r="H161" i="1"/>
  <c r="J161" i="1"/>
  <c r="K161" i="1"/>
  <c r="L161" i="1"/>
  <c r="M161" i="1"/>
  <c r="N161" i="1" s="1"/>
  <c r="R161" i="1"/>
  <c r="Z161" i="1"/>
  <c r="AA161" i="1"/>
  <c r="E162" i="1"/>
  <c r="F162" i="1"/>
  <c r="H162" i="1"/>
  <c r="J162" i="1"/>
  <c r="K162" i="1"/>
  <c r="L162" i="1"/>
  <c r="M162" i="1"/>
  <c r="R162" i="1"/>
  <c r="Z162" i="1"/>
  <c r="AA162" i="1"/>
  <c r="E163" i="1"/>
  <c r="F163" i="1"/>
  <c r="H163" i="1"/>
  <c r="J163" i="1"/>
  <c r="K163" i="1"/>
  <c r="L163" i="1"/>
  <c r="M163" i="1"/>
  <c r="N163" i="1" s="1"/>
  <c r="R163" i="1"/>
  <c r="Z163" i="1"/>
  <c r="AA163" i="1"/>
  <c r="E164" i="1"/>
  <c r="F164" i="1"/>
  <c r="H164" i="1"/>
  <c r="J164" i="1"/>
  <c r="K164" i="1"/>
  <c r="L164" i="1"/>
  <c r="M164" i="1"/>
  <c r="R164" i="1"/>
  <c r="Z164" i="1"/>
  <c r="AA164" i="1"/>
  <c r="E165" i="1"/>
  <c r="F165" i="1"/>
  <c r="H165" i="1"/>
  <c r="J165" i="1"/>
  <c r="K165" i="1"/>
  <c r="L165" i="1"/>
  <c r="M165" i="1"/>
  <c r="O165" i="1" s="1"/>
  <c r="R165" i="1"/>
  <c r="Z165" i="1"/>
  <c r="AA165" i="1"/>
  <c r="E166" i="1"/>
  <c r="F166" i="1"/>
  <c r="H166" i="1"/>
  <c r="J166" i="1"/>
  <c r="K166" i="1"/>
  <c r="L166" i="1"/>
  <c r="M166" i="1"/>
  <c r="R166" i="1"/>
  <c r="Z166" i="1"/>
  <c r="AA166" i="1"/>
  <c r="E167" i="1"/>
  <c r="F167" i="1"/>
  <c r="H167" i="1"/>
  <c r="J167" i="1"/>
  <c r="K167" i="1"/>
  <c r="L167" i="1"/>
  <c r="M167" i="1"/>
  <c r="R167" i="1"/>
  <c r="Z167" i="1"/>
  <c r="AA167" i="1"/>
  <c r="E168" i="1"/>
  <c r="F168" i="1"/>
  <c r="H168" i="1"/>
  <c r="J168" i="1"/>
  <c r="K168" i="1"/>
  <c r="L168" i="1"/>
  <c r="M168" i="1"/>
  <c r="N168" i="1" s="1"/>
  <c r="R168" i="1"/>
  <c r="Z168" i="1"/>
  <c r="AA168" i="1"/>
  <c r="E169" i="1"/>
  <c r="F169" i="1"/>
  <c r="H169" i="1"/>
  <c r="J169" i="1"/>
  <c r="K169" i="1"/>
  <c r="L169" i="1"/>
  <c r="M169" i="1"/>
  <c r="N169" i="1" s="1"/>
  <c r="R169" i="1"/>
  <c r="Z169" i="1"/>
  <c r="AA169" i="1"/>
  <c r="E170" i="1"/>
  <c r="F170" i="1"/>
  <c r="H170" i="1"/>
  <c r="J170" i="1"/>
  <c r="K170" i="1"/>
  <c r="L170" i="1"/>
  <c r="M170" i="1"/>
  <c r="R170" i="1"/>
  <c r="Z170" i="1"/>
  <c r="AA170" i="1"/>
  <c r="E171" i="1"/>
  <c r="F171" i="1"/>
  <c r="H171" i="1"/>
  <c r="J171" i="1"/>
  <c r="K171" i="1"/>
  <c r="L171" i="1"/>
  <c r="M171" i="1"/>
  <c r="N171" i="1" s="1"/>
  <c r="R171" i="1"/>
  <c r="Z171" i="1"/>
  <c r="AA171" i="1"/>
  <c r="E172" i="1"/>
  <c r="F172" i="1"/>
  <c r="H172" i="1"/>
  <c r="J172" i="1"/>
  <c r="K172" i="1"/>
  <c r="L172" i="1"/>
  <c r="M172" i="1"/>
  <c r="N172" i="1" s="1"/>
  <c r="R172" i="1"/>
  <c r="Z172" i="1"/>
  <c r="AA172" i="1"/>
  <c r="E173" i="1"/>
  <c r="F173" i="1"/>
  <c r="H173" i="1"/>
  <c r="J173" i="1"/>
  <c r="K173" i="1"/>
  <c r="L173" i="1"/>
  <c r="M173" i="1"/>
  <c r="R173" i="1"/>
  <c r="Z173" i="1"/>
  <c r="AA173" i="1"/>
  <c r="E174" i="1"/>
  <c r="F174" i="1"/>
  <c r="H174" i="1"/>
  <c r="J174" i="1"/>
  <c r="K174" i="1"/>
  <c r="L174" i="1"/>
  <c r="M174" i="1"/>
  <c r="R174" i="1"/>
  <c r="Z174" i="1"/>
  <c r="AA174" i="1"/>
  <c r="E175" i="1"/>
  <c r="F175" i="1"/>
  <c r="H175" i="1"/>
  <c r="J175" i="1"/>
  <c r="K175" i="1"/>
  <c r="L175" i="1"/>
  <c r="M175" i="1"/>
  <c r="N175" i="1" s="1"/>
  <c r="R175" i="1"/>
  <c r="Z175" i="1"/>
  <c r="AA175" i="1"/>
  <c r="E176" i="1"/>
  <c r="F176" i="1"/>
  <c r="H176" i="1"/>
  <c r="J176" i="1"/>
  <c r="K176" i="1"/>
  <c r="L176" i="1"/>
  <c r="M176" i="1"/>
  <c r="R176" i="1"/>
  <c r="Z176" i="1"/>
  <c r="AA176" i="1"/>
  <c r="E177" i="1"/>
  <c r="F177" i="1"/>
  <c r="H177" i="1"/>
  <c r="J177" i="1"/>
  <c r="K177" i="1"/>
  <c r="L177" i="1"/>
  <c r="M177" i="1"/>
  <c r="N177" i="1" s="1"/>
  <c r="R177" i="1"/>
  <c r="Z177" i="1"/>
  <c r="AA177" i="1"/>
  <c r="E178" i="1"/>
  <c r="F178" i="1"/>
  <c r="H178" i="1"/>
  <c r="J178" i="1"/>
  <c r="K178" i="1"/>
  <c r="L178" i="1"/>
  <c r="M178" i="1"/>
  <c r="R178" i="1"/>
  <c r="Z178" i="1"/>
  <c r="AA178" i="1"/>
  <c r="E179" i="1"/>
  <c r="F179" i="1"/>
  <c r="H179" i="1"/>
  <c r="J179" i="1"/>
  <c r="K179" i="1"/>
  <c r="L179" i="1"/>
  <c r="M179" i="1"/>
  <c r="N179" i="1" s="1"/>
  <c r="R179" i="1"/>
  <c r="Z179" i="1"/>
  <c r="AA179" i="1"/>
  <c r="E180" i="1"/>
  <c r="F180" i="1"/>
  <c r="H180" i="1"/>
  <c r="J180" i="1"/>
  <c r="K180" i="1"/>
  <c r="L180" i="1"/>
  <c r="M180" i="1"/>
  <c r="N180" i="1" s="1"/>
  <c r="R180" i="1"/>
  <c r="Z180" i="1"/>
  <c r="AA180" i="1"/>
  <c r="E181" i="1"/>
  <c r="F181" i="1"/>
  <c r="H181" i="1"/>
  <c r="J181" i="1"/>
  <c r="K181" i="1"/>
  <c r="L181" i="1"/>
  <c r="M181" i="1"/>
  <c r="O181" i="1" s="1"/>
  <c r="R181" i="1"/>
  <c r="Z181" i="1"/>
  <c r="AA181" i="1"/>
  <c r="E182" i="1"/>
  <c r="F182" i="1"/>
  <c r="H182" i="1"/>
  <c r="J182" i="1"/>
  <c r="K182" i="1"/>
  <c r="L182" i="1"/>
  <c r="M182" i="1"/>
  <c r="R182" i="1"/>
  <c r="Z182" i="1"/>
  <c r="AA182" i="1"/>
  <c r="E183" i="1"/>
  <c r="F183" i="1"/>
  <c r="H183" i="1"/>
  <c r="J183" i="1"/>
  <c r="K183" i="1"/>
  <c r="L183" i="1"/>
  <c r="M183" i="1"/>
  <c r="N183" i="1" s="1"/>
  <c r="R183" i="1"/>
  <c r="Z183" i="1"/>
  <c r="AA183" i="1"/>
  <c r="E184" i="1"/>
  <c r="F184" i="1"/>
  <c r="H184" i="1"/>
  <c r="J184" i="1"/>
  <c r="K184" i="1"/>
  <c r="L184" i="1"/>
  <c r="M184" i="1"/>
  <c r="N184" i="1" s="1"/>
  <c r="R184" i="1"/>
  <c r="Z184" i="1"/>
  <c r="AA184" i="1"/>
  <c r="E185" i="1"/>
  <c r="F185" i="1"/>
  <c r="H185" i="1"/>
  <c r="J185" i="1"/>
  <c r="K185" i="1"/>
  <c r="L185" i="1"/>
  <c r="M185" i="1"/>
  <c r="N185" i="1" s="1"/>
  <c r="R185" i="1"/>
  <c r="Z185" i="1"/>
  <c r="AA185" i="1"/>
  <c r="E186" i="1"/>
  <c r="F186" i="1"/>
  <c r="H186" i="1"/>
  <c r="J186" i="1"/>
  <c r="K186" i="1"/>
  <c r="L186" i="1"/>
  <c r="M186" i="1"/>
  <c r="R186" i="1"/>
  <c r="Z186" i="1"/>
  <c r="AA186" i="1"/>
  <c r="E187" i="1"/>
  <c r="F187" i="1"/>
  <c r="H187" i="1"/>
  <c r="J187" i="1"/>
  <c r="K187" i="1"/>
  <c r="L187" i="1"/>
  <c r="M187" i="1"/>
  <c r="O187" i="1" s="1"/>
  <c r="R187" i="1"/>
  <c r="Z187" i="1"/>
  <c r="AA187" i="1"/>
  <c r="E188" i="1"/>
  <c r="F188" i="1"/>
  <c r="H188" i="1"/>
  <c r="J188" i="1"/>
  <c r="K188" i="1"/>
  <c r="L188" i="1"/>
  <c r="M188" i="1"/>
  <c r="P188" i="1" s="1"/>
  <c r="R188" i="1"/>
  <c r="Z188" i="1"/>
  <c r="AA188" i="1"/>
  <c r="E189" i="1"/>
  <c r="F189" i="1"/>
  <c r="H189" i="1"/>
  <c r="J189" i="1"/>
  <c r="K189" i="1"/>
  <c r="L189" i="1"/>
  <c r="M189" i="1"/>
  <c r="O189" i="1" s="1"/>
  <c r="R189" i="1"/>
  <c r="Z189" i="1"/>
  <c r="AA189" i="1"/>
  <c r="E190" i="1"/>
  <c r="F190" i="1"/>
  <c r="H190" i="1"/>
  <c r="J190" i="1"/>
  <c r="K190" i="1"/>
  <c r="L190" i="1"/>
  <c r="M190" i="1"/>
  <c r="R190" i="1"/>
  <c r="Z190" i="1"/>
  <c r="AA190" i="1"/>
  <c r="E191" i="1"/>
  <c r="F191" i="1"/>
  <c r="H191" i="1"/>
  <c r="J191" i="1"/>
  <c r="K191" i="1"/>
  <c r="L191" i="1"/>
  <c r="M191" i="1"/>
  <c r="R191" i="1"/>
  <c r="Z191" i="1"/>
  <c r="AA191" i="1"/>
  <c r="E192" i="1"/>
  <c r="F192" i="1"/>
  <c r="H192" i="1"/>
  <c r="J192" i="1"/>
  <c r="K192" i="1"/>
  <c r="L192" i="1"/>
  <c r="M192" i="1"/>
  <c r="R192" i="1"/>
  <c r="Z192" i="1"/>
  <c r="AA192" i="1"/>
  <c r="E193" i="1"/>
  <c r="F193" i="1"/>
  <c r="H193" i="1"/>
  <c r="J193" i="1"/>
  <c r="K193" i="1"/>
  <c r="L193" i="1"/>
  <c r="M193" i="1"/>
  <c r="N193" i="1" s="1"/>
  <c r="R193" i="1"/>
  <c r="Z193" i="1"/>
  <c r="AA193" i="1"/>
  <c r="E194" i="1"/>
  <c r="F194" i="1"/>
  <c r="H194" i="1"/>
  <c r="J194" i="1"/>
  <c r="K194" i="1"/>
  <c r="L194" i="1"/>
  <c r="M194" i="1"/>
  <c r="R194" i="1"/>
  <c r="Z194" i="1"/>
  <c r="AA194" i="1"/>
  <c r="E195" i="1"/>
  <c r="F195" i="1"/>
  <c r="H195" i="1"/>
  <c r="J195" i="1"/>
  <c r="K195" i="1"/>
  <c r="L195" i="1"/>
  <c r="M195" i="1"/>
  <c r="O195" i="1" s="1"/>
  <c r="R195" i="1"/>
  <c r="Z195" i="1"/>
  <c r="AA195" i="1"/>
  <c r="E196" i="1"/>
  <c r="F196" i="1"/>
  <c r="H196" i="1"/>
  <c r="J196" i="1"/>
  <c r="K196" i="1"/>
  <c r="L196" i="1"/>
  <c r="M196" i="1"/>
  <c r="N196" i="1" s="1"/>
  <c r="R196" i="1"/>
  <c r="Z196" i="1"/>
  <c r="AA196" i="1"/>
  <c r="E197" i="1"/>
  <c r="F197" i="1"/>
  <c r="H197" i="1"/>
  <c r="J197" i="1"/>
  <c r="K197" i="1"/>
  <c r="L197" i="1"/>
  <c r="M197" i="1"/>
  <c r="N197" i="1" s="1"/>
  <c r="R197" i="1"/>
  <c r="Z197" i="1"/>
  <c r="AA197" i="1"/>
  <c r="E198" i="1"/>
  <c r="F198" i="1"/>
  <c r="H198" i="1"/>
  <c r="J198" i="1"/>
  <c r="K198" i="1"/>
  <c r="L198" i="1"/>
  <c r="M198" i="1"/>
  <c r="R198" i="1"/>
  <c r="Z198" i="1"/>
  <c r="AA198" i="1"/>
  <c r="E199" i="1"/>
  <c r="F199" i="1"/>
  <c r="H199" i="1"/>
  <c r="J199" i="1"/>
  <c r="K199" i="1"/>
  <c r="L199" i="1"/>
  <c r="M199" i="1"/>
  <c r="N199" i="1" s="1"/>
  <c r="R199" i="1"/>
  <c r="Z199" i="1"/>
  <c r="AA199" i="1"/>
  <c r="E200" i="1"/>
  <c r="F200" i="1"/>
  <c r="H200" i="1"/>
  <c r="J200" i="1"/>
  <c r="K200" i="1"/>
  <c r="L200" i="1"/>
  <c r="M200" i="1"/>
  <c r="R200" i="1"/>
  <c r="Z200" i="1"/>
  <c r="AA200" i="1"/>
  <c r="E201" i="1"/>
  <c r="F201" i="1"/>
  <c r="H201" i="1"/>
  <c r="J201" i="1"/>
  <c r="K201" i="1"/>
  <c r="L201" i="1"/>
  <c r="M201" i="1"/>
  <c r="R201" i="1"/>
  <c r="Z201" i="1"/>
  <c r="AA201" i="1"/>
  <c r="E202" i="1"/>
  <c r="F202" i="1"/>
  <c r="H202" i="1"/>
  <c r="J202" i="1"/>
  <c r="K202" i="1"/>
  <c r="L202" i="1"/>
  <c r="M202" i="1"/>
  <c r="R202" i="1"/>
  <c r="Z202" i="1"/>
  <c r="AA202" i="1"/>
  <c r="E203" i="1"/>
  <c r="F203" i="1"/>
  <c r="H203" i="1"/>
  <c r="J203" i="1"/>
  <c r="K203" i="1"/>
  <c r="L203" i="1"/>
  <c r="M203" i="1"/>
  <c r="N203" i="1" s="1"/>
  <c r="R203" i="1"/>
  <c r="Z203" i="1"/>
  <c r="AA203" i="1"/>
  <c r="E204" i="1"/>
  <c r="F204" i="1"/>
  <c r="H204" i="1"/>
  <c r="J204" i="1"/>
  <c r="K204" i="1"/>
  <c r="L204" i="1"/>
  <c r="M204" i="1"/>
  <c r="N204" i="1" s="1"/>
  <c r="R204" i="1"/>
  <c r="Z204" i="1"/>
  <c r="AA204" i="1"/>
  <c r="E205" i="1"/>
  <c r="F205" i="1"/>
  <c r="H205" i="1"/>
  <c r="J205" i="1"/>
  <c r="K205" i="1"/>
  <c r="L205" i="1"/>
  <c r="M205" i="1"/>
  <c r="N205" i="1" s="1"/>
  <c r="R205" i="1"/>
  <c r="Z205" i="1"/>
  <c r="AA205" i="1"/>
  <c r="E206" i="1"/>
  <c r="F206" i="1"/>
  <c r="H206" i="1"/>
  <c r="J206" i="1"/>
  <c r="K206" i="1"/>
  <c r="L206" i="1"/>
  <c r="M206" i="1"/>
  <c r="P206" i="1" s="1"/>
  <c r="R206" i="1"/>
  <c r="Z206" i="1"/>
  <c r="AA206" i="1"/>
  <c r="E207" i="1"/>
  <c r="F207" i="1"/>
  <c r="H207" i="1"/>
  <c r="J207" i="1"/>
  <c r="K207" i="1"/>
  <c r="L207" i="1"/>
  <c r="M207" i="1"/>
  <c r="O207" i="1" s="1"/>
  <c r="R207" i="1"/>
  <c r="Z207" i="1"/>
  <c r="AA207" i="1"/>
  <c r="E208" i="1"/>
  <c r="F208" i="1"/>
  <c r="H208" i="1"/>
  <c r="J208" i="1"/>
  <c r="K208" i="1"/>
  <c r="L208" i="1"/>
  <c r="M208" i="1"/>
  <c r="P208" i="1" s="1"/>
  <c r="R208" i="1"/>
  <c r="Z208" i="1"/>
  <c r="AA208" i="1"/>
  <c r="E209" i="1"/>
  <c r="F209" i="1"/>
  <c r="H209" i="1"/>
  <c r="J209" i="1"/>
  <c r="K209" i="1"/>
  <c r="L209" i="1"/>
  <c r="M209" i="1"/>
  <c r="R209" i="1"/>
  <c r="Z209" i="1"/>
  <c r="AA209" i="1"/>
  <c r="E210" i="1"/>
  <c r="F210" i="1"/>
  <c r="H210" i="1"/>
  <c r="J210" i="1"/>
  <c r="K210" i="1"/>
  <c r="L210" i="1"/>
  <c r="M210" i="1"/>
  <c r="R210" i="1"/>
  <c r="Z210" i="1"/>
  <c r="AA210" i="1"/>
  <c r="E211" i="1"/>
  <c r="F211" i="1"/>
  <c r="H211" i="1"/>
  <c r="J211" i="1"/>
  <c r="K211" i="1"/>
  <c r="L211" i="1"/>
  <c r="M211" i="1"/>
  <c r="N211" i="1" s="1"/>
  <c r="R211" i="1"/>
  <c r="Z211" i="1"/>
  <c r="AA211" i="1"/>
  <c r="E212" i="1"/>
  <c r="F212" i="1"/>
  <c r="H212" i="1"/>
  <c r="J212" i="1"/>
  <c r="K212" i="1"/>
  <c r="L212" i="1"/>
  <c r="M212" i="1"/>
  <c r="P212" i="1" s="1"/>
  <c r="R212" i="1"/>
  <c r="Z212" i="1"/>
  <c r="AA212" i="1"/>
  <c r="E213" i="1"/>
  <c r="F213" i="1"/>
  <c r="H213" i="1"/>
  <c r="J213" i="1"/>
  <c r="K213" i="1"/>
  <c r="L213" i="1"/>
  <c r="M213" i="1"/>
  <c r="R213" i="1"/>
  <c r="Z213" i="1"/>
  <c r="AA213" i="1"/>
  <c r="E214" i="1"/>
  <c r="F214" i="1"/>
  <c r="H214" i="1"/>
  <c r="J214" i="1"/>
  <c r="K214" i="1"/>
  <c r="L214" i="1"/>
  <c r="M214" i="1"/>
  <c r="R214" i="1"/>
  <c r="Z214" i="1"/>
  <c r="AA214" i="1"/>
  <c r="E215" i="1"/>
  <c r="F215" i="1"/>
  <c r="H215" i="1"/>
  <c r="J215" i="1"/>
  <c r="K215" i="1"/>
  <c r="L215" i="1"/>
  <c r="M215" i="1"/>
  <c r="O215" i="1" s="1"/>
  <c r="R215" i="1"/>
  <c r="Z215" i="1"/>
  <c r="AA215" i="1"/>
  <c r="E216" i="1"/>
  <c r="F216" i="1"/>
  <c r="H216" i="1"/>
  <c r="J216" i="1"/>
  <c r="K216" i="1"/>
  <c r="L216" i="1"/>
  <c r="M216" i="1"/>
  <c r="P216" i="1" s="1"/>
  <c r="R216" i="1"/>
  <c r="Z216" i="1"/>
  <c r="AA216" i="1"/>
  <c r="E217" i="1"/>
  <c r="F217" i="1"/>
  <c r="H217" i="1"/>
  <c r="J217" i="1"/>
  <c r="K217" i="1"/>
  <c r="L217" i="1"/>
  <c r="M217" i="1"/>
  <c r="O217" i="1" s="1"/>
  <c r="R217" i="1"/>
  <c r="Z217" i="1"/>
  <c r="AA217" i="1"/>
  <c r="E218" i="1"/>
  <c r="F218" i="1"/>
  <c r="H218" i="1"/>
  <c r="J218" i="1"/>
  <c r="K218" i="1"/>
  <c r="L218" i="1"/>
  <c r="M218" i="1"/>
  <c r="R218" i="1"/>
  <c r="Z218" i="1"/>
  <c r="AA218" i="1"/>
  <c r="E219" i="1"/>
  <c r="F219" i="1"/>
  <c r="H219" i="1"/>
  <c r="J219" i="1"/>
  <c r="K219" i="1"/>
  <c r="L219" i="1"/>
  <c r="M219" i="1"/>
  <c r="R219" i="1"/>
  <c r="Z219" i="1"/>
  <c r="AA219" i="1"/>
  <c r="E220" i="1"/>
  <c r="F220" i="1"/>
  <c r="H220" i="1"/>
  <c r="J220" i="1"/>
  <c r="K220" i="1"/>
  <c r="L220" i="1"/>
  <c r="M220" i="1"/>
  <c r="R220" i="1"/>
  <c r="Z220" i="1"/>
  <c r="AA220" i="1"/>
  <c r="E221" i="1"/>
  <c r="F221" i="1"/>
  <c r="H221" i="1"/>
  <c r="J221" i="1"/>
  <c r="K221" i="1"/>
  <c r="L221" i="1"/>
  <c r="M221" i="1"/>
  <c r="O221" i="1" s="1"/>
  <c r="R221" i="1"/>
  <c r="Z221" i="1"/>
  <c r="AA221" i="1"/>
  <c r="E222" i="1"/>
  <c r="F222" i="1"/>
  <c r="H222" i="1"/>
  <c r="J222" i="1"/>
  <c r="K222" i="1"/>
  <c r="L222" i="1"/>
  <c r="M222" i="1"/>
  <c r="R222" i="1"/>
  <c r="Z222" i="1"/>
  <c r="AA222" i="1"/>
  <c r="E223" i="1"/>
  <c r="F223" i="1"/>
  <c r="H223" i="1"/>
  <c r="J223" i="1"/>
  <c r="K223" i="1"/>
  <c r="L223" i="1"/>
  <c r="M223" i="1"/>
  <c r="N223" i="1" s="1"/>
  <c r="R223" i="1"/>
  <c r="Z223" i="1"/>
  <c r="AA223" i="1"/>
  <c r="E224" i="1"/>
  <c r="F224" i="1"/>
  <c r="H224" i="1"/>
  <c r="J224" i="1"/>
  <c r="K224" i="1"/>
  <c r="L224" i="1"/>
  <c r="M224" i="1"/>
  <c r="P224" i="1" s="1"/>
  <c r="R224" i="1"/>
  <c r="Z224" i="1"/>
  <c r="AA224" i="1"/>
  <c r="E225" i="1"/>
  <c r="F225" i="1"/>
  <c r="H225" i="1"/>
  <c r="J225" i="1"/>
  <c r="K225" i="1"/>
  <c r="L225" i="1"/>
  <c r="M225" i="1"/>
  <c r="O225" i="1" s="1"/>
  <c r="R225" i="1"/>
  <c r="Z225" i="1"/>
  <c r="AA225" i="1"/>
  <c r="E226" i="1"/>
  <c r="F226" i="1"/>
  <c r="H226" i="1"/>
  <c r="J226" i="1"/>
  <c r="K226" i="1"/>
  <c r="L226" i="1"/>
  <c r="M226" i="1"/>
  <c r="R226" i="1"/>
  <c r="Z226" i="1"/>
  <c r="AA226" i="1"/>
  <c r="E227" i="1"/>
  <c r="F227" i="1"/>
  <c r="H227" i="1"/>
  <c r="J227" i="1"/>
  <c r="K227" i="1"/>
  <c r="L227" i="1"/>
  <c r="M227" i="1"/>
  <c r="R227" i="1"/>
  <c r="Z227" i="1"/>
  <c r="AA227" i="1"/>
  <c r="E228" i="1"/>
  <c r="F228" i="1"/>
  <c r="H228" i="1"/>
  <c r="J228" i="1"/>
  <c r="K228" i="1"/>
  <c r="L228" i="1"/>
  <c r="M228" i="1"/>
  <c r="P228" i="1" s="1"/>
  <c r="R228" i="1"/>
  <c r="Z228" i="1"/>
  <c r="AA228" i="1"/>
  <c r="E229" i="1"/>
  <c r="F229" i="1"/>
  <c r="H229" i="1"/>
  <c r="J229" i="1"/>
  <c r="K229" i="1"/>
  <c r="L229" i="1"/>
  <c r="M229" i="1"/>
  <c r="R229" i="1"/>
  <c r="Z229" i="1"/>
  <c r="AA229" i="1"/>
  <c r="E230" i="1"/>
  <c r="F230" i="1"/>
  <c r="H230" i="1"/>
  <c r="J230" i="1"/>
  <c r="K230" i="1"/>
  <c r="L230" i="1"/>
  <c r="M230" i="1"/>
  <c r="R230" i="1"/>
  <c r="Z230" i="1"/>
  <c r="AA230" i="1"/>
  <c r="E231" i="1"/>
  <c r="F231" i="1"/>
  <c r="H231" i="1"/>
  <c r="J231" i="1"/>
  <c r="K231" i="1"/>
  <c r="L231" i="1"/>
  <c r="M231" i="1"/>
  <c r="N231" i="1" s="1"/>
  <c r="R231" i="1"/>
  <c r="Z231" i="1"/>
  <c r="AA231" i="1"/>
  <c r="E232" i="1"/>
  <c r="F232" i="1"/>
  <c r="H232" i="1"/>
  <c r="J232" i="1"/>
  <c r="K232" i="1"/>
  <c r="L232" i="1"/>
  <c r="M232" i="1"/>
  <c r="P232" i="1" s="1"/>
  <c r="R232" i="1"/>
  <c r="Z232" i="1"/>
  <c r="AA232" i="1"/>
  <c r="E233" i="1"/>
  <c r="F233" i="1"/>
  <c r="H233" i="1"/>
  <c r="J233" i="1"/>
  <c r="K233" i="1"/>
  <c r="L233" i="1"/>
  <c r="M233" i="1"/>
  <c r="O233" i="1" s="1"/>
  <c r="R233" i="1"/>
  <c r="Z233" i="1"/>
  <c r="AA233" i="1"/>
  <c r="E234" i="1"/>
  <c r="F234" i="1"/>
  <c r="H234" i="1"/>
  <c r="J234" i="1"/>
  <c r="K234" i="1"/>
  <c r="L234" i="1"/>
  <c r="M234" i="1"/>
  <c r="R234" i="1"/>
  <c r="Z234" i="1"/>
  <c r="AA234" i="1"/>
  <c r="E235" i="1"/>
  <c r="F235" i="1"/>
  <c r="H235" i="1"/>
  <c r="J235" i="1"/>
  <c r="K235" i="1"/>
  <c r="L235" i="1"/>
  <c r="M235" i="1"/>
  <c r="N235" i="1" s="1"/>
  <c r="R235" i="1"/>
  <c r="Z235" i="1"/>
  <c r="AA235" i="1"/>
  <c r="E236" i="1"/>
  <c r="F236" i="1"/>
  <c r="H236" i="1"/>
  <c r="J236" i="1"/>
  <c r="K236" i="1"/>
  <c r="L236" i="1"/>
  <c r="M236" i="1"/>
  <c r="P236" i="1" s="1"/>
  <c r="R236" i="1"/>
  <c r="Z236" i="1"/>
  <c r="AA236" i="1"/>
  <c r="E237" i="1"/>
  <c r="F237" i="1"/>
  <c r="H237" i="1"/>
  <c r="J237" i="1"/>
  <c r="K237" i="1"/>
  <c r="L237" i="1"/>
  <c r="M237" i="1"/>
  <c r="O237" i="1" s="1"/>
  <c r="R237" i="1"/>
  <c r="Z237" i="1"/>
  <c r="AA237" i="1"/>
  <c r="E238" i="1"/>
  <c r="F238" i="1"/>
  <c r="H238" i="1"/>
  <c r="J238" i="1"/>
  <c r="K238" i="1"/>
  <c r="L238" i="1"/>
  <c r="M238" i="1"/>
  <c r="R238" i="1"/>
  <c r="Z238" i="1"/>
  <c r="AA238" i="1"/>
  <c r="E239" i="1"/>
  <c r="F239" i="1"/>
  <c r="H239" i="1"/>
  <c r="J239" i="1"/>
  <c r="K239" i="1"/>
  <c r="L239" i="1"/>
  <c r="M239" i="1"/>
  <c r="N239" i="1" s="1"/>
  <c r="R239" i="1"/>
  <c r="Z239" i="1"/>
  <c r="AA239" i="1"/>
  <c r="E240" i="1"/>
  <c r="F240" i="1"/>
  <c r="H240" i="1"/>
  <c r="J240" i="1"/>
  <c r="K240" i="1"/>
  <c r="L240" i="1"/>
  <c r="M240" i="1"/>
  <c r="P240" i="1" s="1"/>
  <c r="R240" i="1"/>
  <c r="Z240" i="1"/>
  <c r="AA240" i="1"/>
  <c r="E241" i="1"/>
  <c r="F241" i="1"/>
  <c r="H241" i="1"/>
  <c r="J241" i="1"/>
  <c r="K241" i="1"/>
  <c r="L241" i="1"/>
  <c r="M241" i="1"/>
  <c r="O241" i="1" s="1"/>
  <c r="R241" i="1"/>
  <c r="Z241" i="1"/>
  <c r="AA241" i="1"/>
  <c r="E242" i="1"/>
  <c r="F242" i="1"/>
  <c r="H242" i="1"/>
  <c r="J242" i="1"/>
  <c r="K242" i="1"/>
  <c r="L242" i="1"/>
  <c r="M242" i="1"/>
  <c r="R242" i="1"/>
  <c r="Z242" i="1"/>
  <c r="AA242" i="1"/>
  <c r="E243" i="1"/>
  <c r="F243" i="1"/>
  <c r="H243" i="1"/>
  <c r="J243" i="1"/>
  <c r="K243" i="1"/>
  <c r="L243" i="1"/>
  <c r="M243" i="1"/>
  <c r="R243" i="1"/>
  <c r="Z243" i="1"/>
  <c r="AA243" i="1"/>
  <c r="E244" i="1"/>
  <c r="F244" i="1"/>
  <c r="H244" i="1"/>
  <c r="J244" i="1"/>
  <c r="K244" i="1"/>
  <c r="L244" i="1"/>
  <c r="M244" i="1"/>
  <c r="P244" i="1" s="1"/>
  <c r="R244" i="1"/>
  <c r="Z244" i="1"/>
  <c r="AA244" i="1"/>
  <c r="E245" i="1"/>
  <c r="F245" i="1"/>
  <c r="H245" i="1"/>
  <c r="J245" i="1"/>
  <c r="K245" i="1"/>
  <c r="L245" i="1"/>
  <c r="M245" i="1"/>
  <c r="R245" i="1"/>
  <c r="Z245" i="1"/>
  <c r="AA245" i="1"/>
  <c r="E246" i="1"/>
  <c r="F246" i="1"/>
  <c r="H246" i="1"/>
  <c r="J246" i="1"/>
  <c r="K246" i="1"/>
  <c r="L246" i="1"/>
  <c r="M246" i="1"/>
  <c r="R246" i="1"/>
  <c r="Z246" i="1"/>
  <c r="AA246" i="1"/>
  <c r="E247" i="1"/>
  <c r="F247" i="1"/>
  <c r="H247" i="1"/>
  <c r="J247" i="1"/>
  <c r="K247" i="1"/>
  <c r="L247" i="1"/>
  <c r="M247" i="1"/>
  <c r="N247" i="1" s="1"/>
  <c r="R247" i="1"/>
  <c r="Z247" i="1"/>
  <c r="AA247" i="1"/>
  <c r="E248" i="1"/>
  <c r="F248" i="1"/>
  <c r="H248" i="1"/>
  <c r="J248" i="1"/>
  <c r="K248" i="1"/>
  <c r="L248" i="1"/>
  <c r="M248" i="1"/>
  <c r="R248" i="1"/>
  <c r="Z248" i="1"/>
  <c r="AA248" i="1"/>
  <c r="E249" i="1"/>
  <c r="F249" i="1"/>
  <c r="H249" i="1"/>
  <c r="J249" i="1"/>
  <c r="K249" i="1"/>
  <c r="L249" i="1"/>
  <c r="M249" i="1"/>
  <c r="O249" i="1" s="1"/>
  <c r="R249" i="1"/>
  <c r="Z249" i="1"/>
  <c r="AA249" i="1"/>
  <c r="E250" i="1"/>
  <c r="F250" i="1"/>
  <c r="H250" i="1"/>
  <c r="J250" i="1"/>
  <c r="K250" i="1"/>
  <c r="L250" i="1"/>
  <c r="M250" i="1"/>
  <c r="R250" i="1"/>
  <c r="Z250" i="1"/>
  <c r="AA250" i="1"/>
  <c r="E251" i="1"/>
  <c r="F251" i="1"/>
  <c r="H251" i="1"/>
  <c r="J251" i="1"/>
  <c r="K251" i="1"/>
  <c r="L251" i="1"/>
  <c r="M251" i="1"/>
  <c r="P251" i="1" s="1"/>
  <c r="R251" i="1"/>
  <c r="Z251" i="1"/>
  <c r="AA251" i="1"/>
  <c r="E252" i="1"/>
  <c r="F252" i="1"/>
  <c r="H252" i="1"/>
  <c r="J252" i="1"/>
  <c r="K252" i="1"/>
  <c r="L252" i="1"/>
  <c r="M252" i="1"/>
  <c r="P252" i="1" s="1"/>
  <c r="R252" i="1"/>
  <c r="Z252" i="1"/>
  <c r="AA252" i="1"/>
  <c r="E253" i="1"/>
  <c r="F253" i="1"/>
  <c r="H253" i="1"/>
  <c r="J253" i="1"/>
  <c r="K253" i="1"/>
  <c r="L253" i="1"/>
  <c r="M253" i="1"/>
  <c r="R253" i="1"/>
  <c r="Z253" i="1"/>
  <c r="AA253" i="1"/>
  <c r="E254" i="1"/>
  <c r="F254" i="1"/>
  <c r="H254" i="1"/>
  <c r="J254" i="1"/>
  <c r="K254" i="1"/>
  <c r="L254" i="1"/>
  <c r="M254" i="1"/>
  <c r="R254" i="1"/>
  <c r="Z254" i="1"/>
  <c r="AA254" i="1"/>
  <c r="E255" i="1"/>
  <c r="F255" i="1"/>
  <c r="H255" i="1"/>
  <c r="J255" i="1"/>
  <c r="K255" i="1"/>
  <c r="L255" i="1"/>
  <c r="M255" i="1"/>
  <c r="N255" i="1" s="1"/>
  <c r="R255" i="1"/>
  <c r="Z255" i="1"/>
  <c r="AA255" i="1"/>
  <c r="E256" i="1"/>
  <c r="F256" i="1"/>
  <c r="H256" i="1"/>
  <c r="J256" i="1"/>
  <c r="K256" i="1"/>
  <c r="L256" i="1"/>
  <c r="M256" i="1"/>
  <c r="P256" i="1" s="1"/>
  <c r="R256" i="1"/>
  <c r="Z256" i="1"/>
  <c r="AA256" i="1"/>
  <c r="E257" i="1"/>
  <c r="F257" i="1"/>
  <c r="H257" i="1"/>
  <c r="J257" i="1"/>
  <c r="K257" i="1"/>
  <c r="L257" i="1"/>
  <c r="M257" i="1"/>
  <c r="O257" i="1" s="1"/>
  <c r="R257" i="1"/>
  <c r="Z257" i="1"/>
  <c r="AA257" i="1"/>
  <c r="E258" i="1"/>
  <c r="F258" i="1"/>
  <c r="H258" i="1"/>
  <c r="J258" i="1"/>
  <c r="K258" i="1"/>
  <c r="L258" i="1"/>
  <c r="M258" i="1"/>
  <c r="R258" i="1"/>
  <c r="Z258" i="1"/>
  <c r="AA258" i="1"/>
  <c r="E259" i="1"/>
  <c r="F259" i="1"/>
  <c r="H259" i="1"/>
  <c r="J259" i="1"/>
  <c r="K259" i="1"/>
  <c r="L259" i="1"/>
  <c r="M259" i="1"/>
  <c r="R259" i="1"/>
  <c r="Z259" i="1"/>
  <c r="AA259" i="1"/>
  <c r="E260" i="1"/>
  <c r="F260" i="1"/>
  <c r="H260" i="1"/>
  <c r="J260" i="1"/>
  <c r="K260" i="1"/>
  <c r="L260" i="1"/>
  <c r="M260" i="1"/>
  <c r="P260" i="1" s="1"/>
  <c r="R260" i="1"/>
  <c r="Z260" i="1"/>
  <c r="AA260" i="1"/>
  <c r="E261" i="1"/>
  <c r="F261" i="1"/>
  <c r="H261" i="1"/>
  <c r="J261" i="1"/>
  <c r="K261" i="1"/>
  <c r="L261" i="1"/>
  <c r="M261" i="1"/>
  <c r="R261" i="1"/>
  <c r="Z261" i="1"/>
  <c r="AA261" i="1"/>
  <c r="E262" i="1"/>
  <c r="F262" i="1"/>
  <c r="H262" i="1"/>
  <c r="J262" i="1"/>
  <c r="K262" i="1"/>
  <c r="L262" i="1"/>
  <c r="M262" i="1"/>
  <c r="R262" i="1"/>
  <c r="Z262" i="1"/>
  <c r="AA262" i="1"/>
  <c r="E263" i="1"/>
  <c r="F263" i="1"/>
  <c r="H263" i="1"/>
  <c r="J263" i="1"/>
  <c r="K263" i="1"/>
  <c r="L263" i="1"/>
  <c r="M263" i="1"/>
  <c r="N263" i="1" s="1"/>
  <c r="R263" i="1"/>
  <c r="Z263" i="1"/>
  <c r="AA263" i="1"/>
  <c r="E264" i="1"/>
  <c r="F264" i="1"/>
  <c r="H264" i="1"/>
  <c r="J264" i="1"/>
  <c r="K264" i="1"/>
  <c r="L264" i="1"/>
  <c r="M264" i="1"/>
  <c r="P264" i="1" s="1"/>
  <c r="R264" i="1"/>
  <c r="Z264" i="1"/>
  <c r="AA264" i="1"/>
  <c r="E265" i="1"/>
  <c r="F265" i="1"/>
  <c r="H265" i="1"/>
  <c r="J265" i="1"/>
  <c r="K265" i="1"/>
  <c r="L265" i="1"/>
  <c r="M265" i="1"/>
  <c r="O265" i="1" s="1"/>
  <c r="R265" i="1"/>
  <c r="Z265" i="1"/>
  <c r="AA265" i="1"/>
  <c r="E266" i="1"/>
  <c r="F266" i="1"/>
  <c r="H266" i="1"/>
  <c r="J266" i="1"/>
  <c r="K266" i="1"/>
  <c r="L266" i="1"/>
  <c r="M266" i="1"/>
  <c r="R266" i="1"/>
  <c r="Z266" i="1"/>
  <c r="AA266" i="1"/>
  <c r="E267" i="1"/>
  <c r="F267" i="1"/>
  <c r="H267" i="1"/>
  <c r="J267" i="1"/>
  <c r="K267" i="1"/>
  <c r="L267" i="1"/>
  <c r="M267" i="1"/>
  <c r="N267" i="1" s="1"/>
  <c r="R267" i="1"/>
  <c r="Z267" i="1"/>
  <c r="AA267" i="1"/>
  <c r="E268" i="1"/>
  <c r="F268" i="1"/>
  <c r="H268" i="1"/>
  <c r="J268" i="1"/>
  <c r="K268" i="1"/>
  <c r="L268" i="1"/>
  <c r="M268" i="1"/>
  <c r="R268" i="1"/>
  <c r="Z268" i="1"/>
  <c r="AA268" i="1"/>
  <c r="E269" i="1"/>
  <c r="F269" i="1"/>
  <c r="H269" i="1"/>
  <c r="J269" i="1"/>
  <c r="K269" i="1"/>
  <c r="L269" i="1"/>
  <c r="M269" i="1"/>
  <c r="O269" i="1" s="1"/>
  <c r="R269" i="1"/>
  <c r="Z269" i="1"/>
  <c r="AA269" i="1"/>
  <c r="E270" i="1"/>
  <c r="F270" i="1"/>
  <c r="H270" i="1"/>
  <c r="J270" i="1"/>
  <c r="K270" i="1"/>
  <c r="L270" i="1"/>
  <c r="M270" i="1"/>
  <c r="R270" i="1"/>
  <c r="Z270" i="1"/>
  <c r="AA270" i="1"/>
  <c r="E271" i="1"/>
  <c r="F271" i="1"/>
  <c r="H271" i="1"/>
  <c r="J271" i="1"/>
  <c r="K271" i="1"/>
  <c r="L271" i="1"/>
  <c r="M271" i="1"/>
  <c r="N271" i="1" s="1"/>
  <c r="R271" i="1"/>
  <c r="Z271" i="1"/>
  <c r="AA271" i="1"/>
  <c r="E272" i="1"/>
  <c r="F272" i="1"/>
  <c r="H272" i="1"/>
  <c r="J272" i="1"/>
  <c r="K272" i="1"/>
  <c r="L272" i="1"/>
  <c r="M272" i="1"/>
  <c r="P272" i="1" s="1"/>
  <c r="R272" i="1"/>
  <c r="Z272" i="1"/>
  <c r="AA272" i="1"/>
  <c r="E273" i="1"/>
  <c r="F273" i="1"/>
  <c r="H273" i="1"/>
  <c r="J273" i="1"/>
  <c r="K273" i="1"/>
  <c r="L273" i="1"/>
  <c r="M273" i="1"/>
  <c r="O273" i="1" s="1"/>
  <c r="R273" i="1"/>
  <c r="Z273" i="1"/>
  <c r="AA273" i="1"/>
  <c r="E274" i="1"/>
  <c r="F274" i="1"/>
  <c r="H274" i="1"/>
  <c r="J274" i="1"/>
  <c r="K274" i="1"/>
  <c r="L274" i="1"/>
  <c r="M274" i="1"/>
  <c r="R274" i="1"/>
  <c r="Z274" i="1"/>
  <c r="AA274" i="1"/>
  <c r="E275" i="1"/>
  <c r="F275" i="1"/>
  <c r="H275" i="1"/>
  <c r="J275" i="1"/>
  <c r="K275" i="1"/>
  <c r="L275" i="1"/>
  <c r="M275" i="1"/>
  <c r="R275" i="1"/>
  <c r="Z275" i="1"/>
  <c r="AA275" i="1"/>
  <c r="E276" i="1"/>
  <c r="F276" i="1"/>
  <c r="H276" i="1"/>
  <c r="J276" i="1"/>
  <c r="K276" i="1"/>
  <c r="L276" i="1"/>
  <c r="M276" i="1"/>
  <c r="P276" i="1" s="1"/>
  <c r="R276" i="1"/>
  <c r="Z276" i="1"/>
  <c r="AA276" i="1"/>
  <c r="E277" i="1"/>
  <c r="F277" i="1"/>
  <c r="H277" i="1"/>
  <c r="J277" i="1"/>
  <c r="K277" i="1"/>
  <c r="L277" i="1"/>
  <c r="M277" i="1"/>
  <c r="R277" i="1"/>
  <c r="Z277" i="1"/>
  <c r="AA277" i="1"/>
  <c r="E278" i="1"/>
  <c r="F278" i="1"/>
  <c r="H278" i="1"/>
  <c r="J278" i="1"/>
  <c r="K278" i="1"/>
  <c r="L278" i="1"/>
  <c r="M278" i="1"/>
  <c r="R278" i="1"/>
  <c r="Z278" i="1"/>
  <c r="AA278" i="1"/>
  <c r="E279" i="1"/>
  <c r="F279" i="1"/>
  <c r="H279" i="1"/>
  <c r="J279" i="1"/>
  <c r="K279" i="1"/>
  <c r="L279" i="1"/>
  <c r="M279" i="1"/>
  <c r="N279" i="1" s="1"/>
  <c r="R279" i="1"/>
  <c r="Z279" i="1"/>
  <c r="AA279" i="1"/>
  <c r="E280" i="1"/>
  <c r="F280" i="1"/>
  <c r="H280" i="1"/>
  <c r="J280" i="1"/>
  <c r="K280" i="1"/>
  <c r="L280" i="1"/>
  <c r="M280" i="1"/>
  <c r="P280" i="1" s="1"/>
  <c r="R280" i="1"/>
  <c r="Z280" i="1"/>
  <c r="AA280" i="1"/>
  <c r="E281" i="1"/>
  <c r="F281" i="1"/>
  <c r="H281" i="1"/>
  <c r="J281" i="1"/>
  <c r="K281" i="1"/>
  <c r="L281" i="1"/>
  <c r="M281" i="1"/>
  <c r="O281" i="1" s="1"/>
  <c r="R281" i="1"/>
  <c r="Z281" i="1"/>
  <c r="AA281" i="1"/>
  <c r="E282" i="1"/>
  <c r="F282" i="1"/>
  <c r="H282" i="1"/>
  <c r="J282" i="1"/>
  <c r="K282" i="1"/>
  <c r="L282" i="1"/>
  <c r="M282" i="1"/>
  <c r="R282" i="1"/>
  <c r="Z282" i="1"/>
  <c r="AA282" i="1"/>
  <c r="E283" i="1"/>
  <c r="F283" i="1"/>
  <c r="H283" i="1"/>
  <c r="J283" i="1"/>
  <c r="K283" i="1"/>
  <c r="L283" i="1"/>
  <c r="M283" i="1"/>
  <c r="O283" i="1" s="1"/>
  <c r="R283" i="1"/>
  <c r="Z283" i="1"/>
  <c r="AA283" i="1"/>
  <c r="E284" i="1"/>
  <c r="F284" i="1"/>
  <c r="H284" i="1"/>
  <c r="J284" i="1"/>
  <c r="K284" i="1"/>
  <c r="L284" i="1"/>
  <c r="M284" i="1"/>
  <c r="R284" i="1"/>
  <c r="Z284" i="1"/>
  <c r="AA284" i="1"/>
  <c r="E285" i="1"/>
  <c r="F285" i="1"/>
  <c r="H285" i="1"/>
  <c r="J285" i="1"/>
  <c r="K285" i="1"/>
  <c r="L285" i="1"/>
  <c r="M285" i="1"/>
  <c r="O285" i="1" s="1"/>
  <c r="R285" i="1"/>
  <c r="Z285" i="1"/>
  <c r="AA285" i="1"/>
  <c r="E286" i="1"/>
  <c r="F286" i="1"/>
  <c r="H286" i="1"/>
  <c r="J286" i="1"/>
  <c r="K286" i="1"/>
  <c r="L286" i="1"/>
  <c r="M286" i="1"/>
  <c r="R286" i="1"/>
  <c r="Z286" i="1"/>
  <c r="AA286" i="1"/>
  <c r="E287" i="1"/>
  <c r="F287" i="1"/>
  <c r="H287" i="1"/>
  <c r="J287" i="1"/>
  <c r="K287" i="1"/>
  <c r="L287" i="1"/>
  <c r="M287" i="1"/>
  <c r="N287" i="1" s="1"/>
  <c r="R287" i="1"/>
  <c r="Z287" i="1"/>
  <c r="AA287" i="1"/>
  <c r="E288" i="1"/>
  <c r="F288" i="1"/>
  <c r="H288" i="1"/>
  <c r="J288" i="1"/>
  <c r="K288" i="1"/>
  <c r="L288" i="1"/>
  <c r="M288" i="1"/>
  <c r="P288" i="1" s="1"/>
  <c r="R288" i="1"/>
  <c r="Z288" i="1"/>
  <c r="AA288" i="1"/>
  <c r="E289" i="1"/>
  <c r="F289" i="1"/>
  <c r="H289" i="1"/>
  <c r="J289" i="1"/>
  <c r="K289" i="1"/>
  <c r="L289" i="1"/>
  <c r="M289" i="1"/>
  <c r="O289" i="1" s="1"/>
  <c r="R289" i="1"/>
  <c r="Z289" i="1"/>
  <c r="AA289" i="1"/>
  <c r="E290" i="1"/>
  <c r="F290" i="1"/>
  <c r="H290" i="1"/>
  <c r="J290" i="1"/>
  <c r="K290" i="1"/>
  <c r="L290" i="1"/>
  <c r="M290" i="1"/>
  <c r="R290" i="1"/>
  <c r="Z290" i="1"/>
  <c r="AA290" i="1"/>
  <c r="E291" i="1"/>
  <c r="F291" i="1"/>
  <c r="H291" i="1"/>
  <c r="J291" i="1"/>
  <c r="K291" i="1"/>
  <c r="L291" i="1"/>
  <c r="M291" i="1"/>
  <c r="R291" i="1"/>
  <c r="Z291" i="1"/>
  <c r="AA291" i="1"/>
  <c r="E292" i="1"/>
  <c r="F292" i="1"/>
  <c r="H292" i="1"/>
  <c r="J292" i="1"/>
  <c r="K292" i="1"/>
  <c r="L292" i="1"/>
  <c r="M292" i="1"/>
  <c r="P292" i="1" s="1"/>
  <c r="R292" i="1"/>
  <c r="Z292" i="1"/>
  <c r="AA292" i="1"/>
  <c r="E293" i="1"/>
  <c r="F293" i="1"/>
  <c r="H293" i="1"/>
  <c r="J293" i="1"/>
  <c r="K293" i="1"/>
  <c r="L293" i="1"/>
  <c r="M293" i="1"/>
  <c r="R293" i="1"/>
  <c r="Z293" i="1"/>
  <c r="AA293" i="1"/>
  <c r="E294" i="1"/>
  <c r="F294" i="1"/>
  <c r="H294" i="1"/>
  <c r="J294" i="1"/>
  <c r="K294" i="1"/>
  <c r="L294" i="1"/>
  <c r="M294" i="1"/>
  <c r="R294" i="1"/>
  <c r="Z294" i="1"/>
  <c r="AA294" i="1"/>
  <c r="E295" i="1"/>
  <c r="F295" i="1"/>
  <c r="H295" i="1"/>
  <c r="J295" i="1"/>
  <c r="K295" i="1"/>
  <c r="L295" i="1"/>
  <c r="M295" i="1"/>
  <c r="N295" i="1" s="1"/>
  <c r="R295" i="1"/>
  <c r="Z295" i="1"/>
  <c r="AA295" i="1"/>
  <c r="E296" i="1"/>
  <c r="F296" i="1"/>
  <c r="H296" i="1"/>
  <c r="J296" i="1"/>
  <c r="K296" i="1"/>
  <c r="L296" i="1"/>
  <c r="M296" i="1"/>
  <c r="R296" i="1"/>
  <c r="Z296" i="1"/>
  <c r="AA296" i="1"/>
  <c r="E297" i="1"/>
  <c r="F297" i="1"/>
  <c r="H297" i="1"/>
  <c r="J297" i="1"/>
  <c r="K297" i="1"/>
  <c r="L297" i="1"/>
  <c r="M297" i="1"/>
  <c r="O297" i="1" s="1"/>
  <c r="R297" i="1"/>
  <c r="Z297" i="1"/>
  <c r="AA297" i="1"/>
  <c r="E298" i="1"/>
  <c r="F298" i="1"/>
  <c r="H298" i="1"/>
  <c r="J298" i="1"/>
  <c r="K298" i="1"/>
  <c r="L298" i="1"/>
  <c r="M298" i="1"/>
  <c r="R298" i="1"/>
  <c r="Z298" i="1"/>
  <c r="AA298" i="1"/>
  <c r="E299" i="1"/>
  <c r="F299" i="1"/>
  <c r="H299" i="1"/>
  <c r="J299" i="1"/>
  <c r="K299" i="1"/>
  <c r="L299" i="1"/>
  <c r="M299" i="1"/>
  <c r="R299" i="1"/>
  <c r="Z299" i="1"/>
  <c r="AA299" i="1"/>
  <c r="E300" i="1"/>
  <c r="F300" i="1"/>
  <c r="H300" i="1"/>
  <c r="J300" i="1"/>
  <c r="K300" i="1"/>
  <c r="L300" i="1"/>
  <c r="M300" i="1"/>
  <c r="R300" i="1"/>
  <c r="Z300" i="1"/>
  <c r="AA300" i="1"/>
  <c r="E301" i="1"/>
  <c r="F301" i="1"/>
  <c r="H301" i="1"/>
  <c r="J301" i="1"/>
  <c r="K301" i="1"/>
  <c r="L301" i="1"/>
  <c r="M301" i="1"/>
  <c r="O301" i="1" s="1"/>
  <c r="R301" i="1"/>
  <c r="Z301" i="1"/>
  <c r="AA301" i="1"/>
  <c r="E302" i="1"/>
  <c r="F302" i="1"/>
  <c r="H302" i="1"/>
  <c r="J302" i="1"/>
  <c r="K302" i="1"/>
  <c r="L302" i="1"/>
  <c r="M302" i="1"/>
  <c r="R302" i="1"/>
  <c r="Z302" i="1"/>
  <c r="AA302" i="1"/>
  <c r="E303" i="1"/>
  <c r="F303" i="1"/>
  <c r="H303" i="1"/>
  <c r="J303" i="1"/>
  <c r="K303" i="1"/>
  <c r="L303" i="1"/>
  <c r="M303" i="1"/>
  <c r="N303" i="1" s="1"/>
  <c r="R303" i="1"/>
  <c r="Z303" i="1"/>
  <c r="AA303" i="1"/>
  <c r="E304" i="1"/>
  <c r="F304" i="1"/>
  <c r="H304" i="1"/>
  <c r="J304" i="1"/>
  <c r="K304" i="1"/>
  <c r="L304" i="1"/>
  <c r="M304" i="1"/>
  <c r="P304" i="1" s="1"/>
  <c r="R304" i="1"/>
  <c r="Z304" i="1"/>
  <c r="AA304" i="1"/>
  <c r="E305" i="1"/>
  <c r="F305" i="1"/>
  <c r="H305" i="1"/>
  <c r="J305" i="1"/>
  <c r="K305" i="1"/>
  <c r="L305" i="1"/>
  <c r="M305" i="1"/>
  <c r="O305" i="1" s="1"/>
  <c r="R305" i="1"/>
  <c r="Z305" i="1"/>
  <c r="AA305" i="1"/>
  <c r="E306" i="1"/>
  <c r="F306" i="1"/>
  <c r="H306" i="1"/>
  <c r="J306" i="1"/>
  <c r="K306" i="1"/>
  <c r="L306" i="1"/>
  <c r="M306" i="1"/>
  <c r="R306" i="1"/>
  <c r="Z306" i="1"/>
  <c r="AA306" i="1"/>
  <c r="E307" i="1"/>
  <c r="F307" i="1"/>
  <c r="H307" i="1"/>
  <c r="J307" i="1"/>
  <c r="K307" i="1"/>
  <c r="L307" i="1"/>
  <c r="M307" i="1"/>
  <c r="R307" i="1"/>
  <c r="Z307" i="1"/>
  <c r="AA307" i="1"/>
  <c r="E308" i="1"/>
  <c r="F308" i="1"/>
  <c r="H308" i="1"/>
  <c r="J308" i="1"/>
  <c r="K308" i="1"/>
  <c r="L308" i="1"/>
  <c r="M308" i="1"/>
  <c r="R308" i="1"/>
  <c r="Z308" i="1"/>
  <c r="AA308" i="1"/>
  <c r="E309" i="1"/>
  <c r="F309" i="1"/>
  <c r="H309" i="1"/>
  <c r="J309" i="1"/>
  <c r="K309" i="1"/>
  <c r="L309" i="1"/>
  <c r="M309" i="1"/>
  <c r="O309" i="1" s="1"/>
  <c r="R309" i="1"/>
  <c r="Z309" i="1"/>
  <c r="AA309" i="1"/>
  <c r="E310" i="1"/>
  <c r="F310" i="1"/>
  <c r="H310" i="1"/>
  <c r="J310" i="1"/>
  <c r="K310" i="1"/>
  <c r="L310" i="1"/>
  <c r="M310" i="1"/>
  <c r="R310" i="1"/>
  <c r="Z310" i="1"/>
  <c r="AA310" i="1"/>
  <c r="E311" i="1"/>
  <c r="F311" i="1"/>
  <c r="H311" i="1"/>
  <c r="J311" i="1"/>
  <c r="K311" i="1"/>
  <c r="L311" i="1"/>
  <c r="M311" i="1"/>
  <c r="N311" i="1" s="1"/>
  <c r="R311" i="1"/>
  <c r="Z311" i="1"/>
  <c r="AA311" i="1"/>
  <c r="E312" i="1"/>
  <c r="F312" i="1"/>
  <c r="H312" i="1"/>
  <c r="J312" i="1"/>
  <c r="K312" i="1"/>
  <c r="L312" i="1"/>
  <c r="M312" i="1"/>
  <c r="R312" i="1"/>
  <c r="Z312" i="1"/>
  <c r="AA312" i="1"/>
  <c r="E313" i="1"/>
  <c r="F313" i="1"/>
  <c r="H313" i="1"/>
  <c r="J313" i="1"/>
  <c r="K313" i="1"/>
  <c r="L313" i="1"/>
  <c r="M313" i="1"/>
  <c r="O313" i="1" s="1"/>
  <c r="R313" i="1"/>
  <c r="Z313" i="1"/>
  <c r="AA313" i="1"/>
  <c r="E314" i="1"/>
  <c r="F314" i="1"/>
  <c r="H314" i="1"/>
  <c r="J314" i="1"/>
  <c r="K314" i="1"/>
  <c r="L314" i="1"/>
  <c r="M314" i="1"/>
  <c r="R314" i="1"/>
  <c r="Z314" i="1"/>
  <c r="AA314" i="1"/>
  <c r="E315" i="1"/>
  <c r="F315" i="1"/>
  <c r="H315" i="1"/>
  <c r="J315" i="1"/>
  <c r="K315" i="1"/>
  <c r="L315" i="1"/>
  <c r="M315" i="1"/>
  <c r="O315" i="1" s="1"/>
  <c r="R315" i="1"/>
  <c r="Z315" i="1"/>
  <c r="AA315" i="1"/>
  <c r="E316" i="1"/>
  <c r="F316" i="1"/>
  <c r="H316" i="1"/>
  <c r="J316" i="1"/>
  <c r="K316" i="1"/>
  <c r="L316" i="1"/>
  <c r="M316" i="1"/>
  <c r="R316" i="1"/>
  <c r="Z316" i="1"/>
  <c r="AA316" i="1"/>
  <c r="E317" i="1"/>
  <c r="F317" i="1"/>
  <c r="H317" i="1"/>
  <c r="J317" i="1"/>
  <c r="K317" i="1"/>
  <c r="L317" i="1"/>
  <c r="M317" i="1"/>
  <c r="R317" i="1"/>
  <c r="Z317" i="1"/>
  <c r="AA317" i="1"/>
  <c r="E318" i="1"/>
  <c r="F318" i="1"/>
  <c r="H318" i="1"/>
  <c r="J318" i="1"/>
  <c r="K318" i="1"/>
  <c r="L318" i="1"/>
  <c r="M318" i="1"/>
  <c r="R318" i="1"/>
  <c r="Z318" i="1"/>
  <c r="AA318" i="1"/>
  <c r="E319" i="1"/>
  <c r="F319" i="1"/>
  <c r="H319" i="1"/>
  <c r="J319" i="1"/>
  <c r="K319" i="1"/>
  <c r="L319" i="1"/>
  <c r="M319" i="1"/>
  <c r="N319" i="1" s="1"/>
  <c r="R319" i="1"/>
  <c r="Z319" i="1"/>
  <c r="AA319" i="1"/>
  <c r="E320" i="1"/>
  <c r="F320" i="1"/>
  <c r="H320" i="1"/>
  <c r="J320" i="1"/>
  <c r="K320" i="1"/>
  <c r="L320" i="1"/>
  <c r="M320" i="1"/>
  <c r="P320" i="1" s="1"/>
  <c r="R320" i="1"/>
  <c r="Z320" i="1"/>
  <c r="AA320" i="1"/>
  <c r="E321" i="1"/>
  <c r="F321" i="1"/>
  <c r="H321" i="1"/>
  <c r="J321" i="1"/>
  <c r="K321" i="1"/>
  <c r="L321" i="1"/>
  <c r="M321" i="1"/>
  <c r="O321" i="1" s="1"/>
  <c r="R321" i="1"/>
  <c r="Z321" i="1"/>
  <c r="AA321" i="1"/>
  <c r="E322" i="1"/>
  <c r="F322" i="1"/>
  <c r="H322" i="1"/>
  <c r="J322" i="1"/>
  <c r="K322" i="1"/>
  <c r="L322" i="1"/>
  <c r="M322" i="1"/>
  <c r="R322" i="1"/>
  <c r="Z322" i="1"/>
  <c r="AA322" i="1"/>
  <c r="E323" i="1"/>
  <c r="F323" i="1"/>
  <c r="H323" i="1"/>
  <c r="J323" i="1"/>
  <c r="K323" i="1"/>
  <c r="L323" i="1"/>
  <c r="M323" i="1"/>
  <c r="N323" i="1" s="1"/>
  <c r="R323" i="1"/>
  <c r="Z323" i="1"/>
  <c r="AA323" i="1"/>
  <c r="E324" i="1"/>
  <c r="F324" i="1"/>
  <c r="H324" i="1"/>
  <c r="J324" i="1"/>
  <c r="K324" i="1"/>
  <c r="L324" i="1"/>
  <c r="M324" i="1"/>
  <c r="P324" i="1" s="1"/>
  <c r="R324" i="1"/>
  <c r="Z324" i="1"/>
  <c r="AA324" i="1"/>
  <c r="E325" i="1"/>
  <c r="F325" i="1"/>
  <c r="H325" i="1"/>
  <c r="J325" i="1"/>
  <c r="K325" i="1"/>
  <c r="L325" i="1"/>
  <c r="M325" i="1"/>
  <c r="O325" i="1" s="1"/>
  <c r="R325" i="1"/>
  <c r="Z325" i="1"/>
  <c r="AA325" i="1"/>
  <c r="E326" i="1"/>
  <c r="F326" i="1"/>
  <c r="H326" i="1"/>
  <c r="J326" i="1"/>
  <c r="K326" i="1"/>
  <c r="L326" i="1"/>
  <c r="M326" i="1"/>
  <c r="R326" i="1"/>
  <c r="Z326" i="1"/>
  <c r="AA326" i="1"/>
  <c r="E327" i="1"/>
  <c r="F327" i="1"/>
  <c r="H327" i="1"/>
  <c r="J327" i="1"/>
  <c r="K327" i="1"/>
  <c r="L327" i="1"/>
  <c r="M327" i="1"/>
  <c r="N327" i="1" s="1"/>
  <c r="R327" i="1"/>
  <c r="Z327" i="1"/>
  <c r="AA327" i="1"/>
  <c r="E328" i="1"/>
  <c r="F328" i="1"/>
  <c r="H328" i="1"/>
  <c r="J328" i="1"/>
  <c r="K328" i="1"/>
  <c r="L328" i="1"/>
  <c r="M328" i="1"/>
  <c r="R328" i="1"/>
  <c r="Z328" i="1"/>
  <c r="AA328" i="1"/>
  <c r="E329" i="1"/>
  <c r="F329" i="1"/>
  <c r="H329" i="1"/>
  <c r="J329" i="1"/>
  <c r="K329" i="1"/>
  <c r="L329" i="1"/>
  <c r="M329" i="1"/>
  <c r="O329" i="1" s="1"/>
  <c r="R329" i="1"/>
  <c r="Z329" i="1"/>
  <c r="AA329" i="1"/>
  <c r="E330" i="1"/>
  <c r="F330" i="1"/>
  <c r="H330" i="1"/>
  <c r="J330" i="1"/>
  <c r="K330" i="1"/>
  <c r="L330" i="1"/>
  <c r="M330" i="1"/>
  <c r="R330" i="1"/>
  <c r="Z330" i="1"/>
  <c r="AA330" i="1"/>
  <c r="E331" i="1"/>
  <c r="F331" i="1"/>
  <c r="H331" i="1"/>
  <c r="J331" i="1"/>
  <c r="K331" i="1"/>
  <c r="L331" i="1"/>
  <c r="M331" i="1"/>
  <c r="R331" i="1"/>
  <c r="Z331" i="1"/>
  <c r="AA331" i="1"/>
  <c r="E332" i="1"/>
  <c r="F332" i="1"/>
  <c r="H332" i="1"/>
  <c r="J332" i="1"/>
  <c r="K332" i="1"/>
  <c r="L332" i="1"/>
  <c r="M332" i="1"/>
  <c r="R332" i="1"/>
  <c r="Z332" i="1"/>
  <c r="AA332" i="1"/>
  <c r="E333" i="1"/>
  <c r="F333" i="1"/>
  <c r="H333" i="1"/>
  <c r="J333" i="1"/>
  <c r="K333" i="1"/>
  <c r="L333" i="1"/>
  <c r="M333" i="1"/>
  <c r="O333" i="1" s="1"/>
  <c r="R333" i="1"/>
  <c r="Z333" i="1"/>
  <c r="AA333" i="1"/>
  <c r="E334" i="1"/>
  <c r="F334" i="1"/>
  <c r="H334" i="1"/>
  <c r="J334" i="1"/>
  <c r="K334" i="1"/>
  <c r="L334" i="1"/>
  <c r="M334" i="1"/>
  <c r="R334" i="1"/>
  <c r="Z334" i="1"/>
  <c r="AA334" i="1"/>
  <c r="E335" i="1"/>
  <c r="F335" i="1"/>
  <c r="H335" i="1"/>
  <c r="J335" i="1"/>
  <c r="K335" i="1"/>
  <c r="L335" i="1"/>
  <c r="M335" i="1"/>
  <c r="N335" i="1" s="1"/>
  <c r="R335" i="1"/>
  <c r="Z335" i="1"/>
  <c r="AA335" i="1"/>
  <c r="E336" i="1"/>
  <c r="F336" i="1"/>
  <c r="H336" i="1"/>
  <c r="J336" i="1"/>
  <c r="K336" i="1"/>
  <c r="L336" i="1"/>
  <c r="M336" i="1"/>
  <c r="P336" i="1" s="1"/>
  <c r="R336" i="1"/>
  <c r="Z336" i="1"/>
  <c r="AA336" i="1"/>
  <c r="E337" i="1"/>
  <c r="F337" i="1"/>
  <c r="H337" i="1"/>
  <c r="J337" i="1"/>
  <c r="K337" i="1"/>
  <c r="L337" i="1"/>
  <c r="M337" i="1"/>
  <c r="O337" i="1" s="1"/>
  <c r="R337" i="1"/>
  <c r="Z337" i="1"/>
  <c r="AA337" i="1"/>
  <c r="E338" i="1"/>
  <c r="F338" i="1"/>
  <c r="H338" i="1"/>
  <c r="J338" i="1"/>
  <c r="K338" i="1"/>
  <c r="L338" i="1"/>
  <c r="M338" i="1"/>
  <c r="R338" i="1"/>
  <c r="Z338" i="1"/>
  <c r="AA338" i="1"/>
  <c r="E339" i="1"/>
  <c r="F339" i="1"/>
  <c r="H339" i="1"/>
  <c r="J339" i="1"/>
  <c r="K339" i="1"/>
  <c r="L339" i="1"/>
  <c r="M339" i="1"/>
  <c r="R339" i="1"/>
  <c r="Z339" i="1"/>
  <c r="AA339" i="1"/>
  <c r="E340" i="1"/>
  <c r="F340" i="1"/>
  <c r="H340" i="1"/>
  <c r="J340" i="1"/>
  <c r="K340" i="1"/>
  <c r="L340" i="1"/>
  <c r="M340" i="1"/>
  <c r="R340" i="1"/>
  <c r="Z340" i="1"/>
  <c r="AA340" i="1"/>
  <c r="E341" i="1"/>
  <c r="F341" i="1"/>
  <c r="H341" i="1"/>
  <c r="J341" i="1"/>
  <c r="K341" i="1"/>
  <c r="L341" i="1"/>
  <c r="M341" i="1"/>
  <c r="O341" i="1" s="1"/>
  <c r="R341" i="1"/>
  <c r="Z341" i="1"/>
  <c r="AA341" i="1"/>
  <c r="E342" i="1"/>
  <c r="F342" i="1"/>
  <c r="H342" i="1"/>
  <c r="J342" i="1"/>
  <c r="K342" i="1"/>
  <c r="L342" i="1"/>
  <c r="M342" i="1"/>
  <c r="R342" i="1"/>
  <c r="Z342" i="1"/>
  <c r="AA342" i="1"/>
  <c r="E343" i="1"/>
  <c r="F343" i="1"/>
  <c r="H343" i="1"/>
  <c r="J343" i="1"/>
  <c r="K343" i="1"/>
  <c r="L343" i="1"/>
  <c r="M343" i="1"/>
  <c r="N343" i="1" s="1"/>
  <c r="R343" i="1"/>
  <c r="Z343" i="1"/>
  <c r="AA343" i="1"/>
  <c r="E344" i="1"/>
  <c r="F344" i="1"/>
  <c r="H344" i="1"/>
  <c r="J344" i="1"/>
  <c r="K344" i="1"/>
  <c r="L344" i="1"/>
  <c r="M344" i="1"/>
  <c r="R344" i="1"/>
  <c r="Z344" i="1"/>
  <c r="AA344" i="1"/>
  <c r="E345" i="1"/>
  <c r="F345" i="1"/>
  <c r="H345" i="1"/>
  <c r="J345" i="1"/>
  <c r="K345" i="1"/>
  <c r="L345" i="1"/>
  <c r="M345" i="1"/>
  <c r="O345" i="1" s="1"/>
  <c r="R345" i="1"/>
  <c r="Z345" i="1"/>
  <c r="AA345" i="1"/>
  <c r="E346" i="1"/>
  <c r="F346" i="1"/>
  <c r="H346" i="1"/>
  <c r="J346" i="1"/>
  <c r="K346" i="1"/>
  <c r="L346" i="1"/>
  <c r="M346" i="1"/>
  <c r="R346" i="1"/>
  <c r="Z346" i="1"/>
  <c r="AA346" i="1"/>
  <c r="E347" i="1"/>
  <c r="F347" i="1"/>
  <c r="H347" i="1"/>
  <c r="J347" i="1"/>
  <c r="K347" i="1"/>
  <c r="L347" i="1"/>
  <c r="M347" i="1"/>
  <c r="O347" i="1" s="1"/>
  <c r="R347" i="1"/>
  <c r="Z347" i="1"/>
  <c r="AA347" i="1"/>
  <c r="E348" i="1"/>
  <c r="F348" i="1"/>
  <c r="H348" i="1"/>
  <c r="J348" i="1"/>
  <c r="K348" i="1"/>
  <c r="L348" i="1"/>
  <c r="M348" i="1"/>
  <c r="R348" i="1"/>
  <c r="Z348" i="1"/>
  <c r="AA348" i="1"/>
  <c r="E349" i="1"/>
  <c r="F349" i="1"/>
  <c r="H349" i="1"/>
  <c r="J349" i="1"/>
  <c r="K349" i="1"/>
  <c r="L349" i="1"/>
  <c r="M349" i="1"/>
  <c r="R349" i="1"/>
  <c r="Z349" i="1"/>
  <c r="AA349" i="1"/>
  <c r="E350" i="1"/>
  <c r="F350" i="1"/>
  <c r="H350" i="1"/>
  <c r="J350" i="1"/>
  <c r="K350" i="1"/>
  <c r="L350" i="1"/>
  <c r="M350" i="1"/>
  <c r="R350" i="1"/>
  <c r="Z350" i="1"/>
  <c r="AA350" i="1"/>
  <c r="E351" i="1"/>
  <c r="F351" i="1"/>
  <c r="H351" i="1"/>
  <c r="J351" i="1"/>
  <c r="K351" i="1"/>
  <c r="L351" i="1"/>
  <c r="M351" i="1"/>
  <c r="N351" i="1" s="1"/>
  <c r="R351" i="1"/>
  <c r="Z351" i="1"/>
  <c r="AA351" i="1"/>
  <c r="E352" i="1"/>
  <c r="F352" i="1"/>
  <c r="H352" i="1"/>
  <c r="J352" i="1"/>
  <c r="K352" i="1"/>
  <c r="L352" i="1"/>
  <c r="M352" i="1"/>
  <c r="P352" i="1" s="1"/>
  <c r="R352" i="1"/>
  <c r="Z352" i="1"/>
  <c r="AA352" i="1"/>
  <c r="E353" i="1"/>
  <c r="F353" i="1"/>
  <c r="H353" i="1"/>
  <c r="J353" i="1"/>
  <c r="K353" i="1"/>
  <c r="L353" i="1"/>
  <c r="M353" i="1"/>
  <c r="O353" i="1" s="1"/>
  <c r="R353" i="1"/>
  <c r="Z353" i="1"/>
  <c r="AA353" i="1"/>
  <c r="E354" i="1"/>
  <c r="F354" i="1"/>
  <c r="H354" i="1"/>
  <c r="J354" i="1"/>
  <c r="K354" i="1"/>
  <c r="L354" i="1"/>
  <c r="M354" i="1"/>
  <c r="R354" i="1"/>
  <c r="Z354" i="1"/>
  <c r="AA354" i="1"/>
  <c r="E355" i="1"/>
  <c r="F355" i="1"/>
  <c r="H355" i="1"/>
  <c r="J355" i="1"/>
  <c r="K355" i="1"/>
  <c r="L355" i="1"/>
  <c r="M355" i="1"/>
  <c r="N355" i="1" s="1"/>
  <c r="R355" i="1"/>
  <c r="Z355" i="1"/>
  <c r="AA355" i="1"/>
  <c r="E356" i="1"/>
  <c r="F356" i="1"/>
  <c r="H356" i="1"/>
  <c r="J356" i="1"/>
  <c r="K356" i="1"/>
  <c r="L356" i="1"/>
  <c r="M356" i="1"/>
  <c r="P356" i="1" s="1"/>
  <c r="R356" i="1"/>
  <c r="Z356" i="1"/>
  <c r="AA356" i="1"/>
  <c r="E357" i="1"/>
  <c r="F357" i="1"/>
  <c r="H357" i="1"/>
  <c r="J357" i="1"/>
  <c r="K357" i="1"/>
  <c r="L357" i="1"/>
  <c r="M357" i="1"/>
  <c r="O357" i="1" s="1"/>
  <c r="R357" i="1"/>
  <c r="Z357" i="1"/>
  <c r="AA357" i="1"/>
  <c r="E358" i="1"/>
  <c r="F358" i="1"/>
  <c r="H358" i="1"/>
  <c r="J358" i="1"/>
  <c r="K358" i="1"/>
  <c r="L358" i="1"/>
  <c r="M358" i="1"/>
  <c r="R358" i="1"/>
  <c r="Z358" i="1"/>
  <c r="AA358" i="1"/>
  <c r="E359" i="1"/>
  <c r="F359" i="1"/>
  <c r="H359" i="1"/>
  <c r="J359" i="1"/>
  <c r="K359" i="1"/>
  <c r="L359" i="1"/>
  <c r="M359" i="1"/>
  <c r="N359" i="1" s="1"/>
  <c r="R359" i="1"/>
  <c r="Z359" i="1"/>
  <c r="AA359" i="1"/>
  <c r="E360" i="1"/>
  <c r="F360" i="1"/>
  <c r="H360" i="1"/>
  <c r="J360" i="1"/>
  <c r="K360" i="1"/>
  <c r="L360" i="1"/>
  <c r="M360" i="1"/>
  <c r="R360" i="1"/>
  <c r="Z360" i="1"/>
  <c r="AA360" i="1"/>
  <c r="E361" i="1"/>
  <c r="F361" i="1"/>
  <c r="H361" i="1"/>
  <c r="J361" i="1"/>
  <c r="K361" i="1"/>
  <c r="L361" i="1"/>
  <c r="M361" i="1"/>
  <c r="O361" i="1" s="1"/>
  <c r="R361" i="1"/>
  <c r="Z361" i="1"/>
  <c r="AA361" i="1"/>
  <c r="E362" i="1"/>
  <c r="F362" i="1"/>
  <c r="H362" i="1"/>
  <c r="J362" i="1"/>
  <c r="K362" i="1"/>
  <c r="L362" i="1"/>
  <c r="M362" i="1"/>
  <c r="R362" i="1"/>
  <c r="Z362" i="1"/>
  <c r="AA362" i="1"/>
  <c r="E363" i="1"/>
  <c r="F363" i="1"/>
  <c r="H363" i="1"/>
  <c r="J363" i="1"/>
  <c r="K363" i="1"/>
  <c r="L363" i="1"/>
  <c r="M363" i="1"/>
  <c r="O363" i="1" s="1"/>
  <c r="R363" i="1"/>
  <c r="Z363" i="1"/>
  <c r="AA363" i="1"/>
  <c r="E364" i="1"/>
  <c r="F364" i="1"/>
  <c r="H364" i="1"/>
  <c r="J364" i="1"/>
  <c r="K364" i="1"/>
  <c r="L364" i="1"/>
  <c r="M364" i="1"/>
  <c r="R364" i="1"/>
  <c r="Z364" i="1"/>
  <c r="AA364" i="1"/>
  <c r="E365" i="1"/>
  <c r="F365" i="1"/>
  <c r="H365" i="1"/>
  <c r="J365" i="1"/>
  <c r="K365" i="1"/>
  <c r="L365" i="1"/>
  <c r="M365" i="1"/>
  <c r="O365" i="1" s="1"/>
  <c r="R365" i="1"/>
  <c r="Z365" i="1"/>
  <c r="AA365" i="1"/>
  <c r="E366" i="1"/>
  <c r="F366" i="1"/>
  <c r="H366" i="1"/>
  <c r="J366" i="1"/>
  <c r="K366" i="1"/>
  <c r="L366" i="1"/>
  <c r="M366" i="1"/>
  <c r="R366" i="1"/>
  <c r="Z366" i="1"/>
  <c r="AA366" i="1"/>
  <c r="E367" i="1"/>
  <c r="F367" i="1"/>
  <c r="H367" i="1"/>
  <c r="J367" i="1"/>
  <c r="K367" i="1"/>
  <c r="L367" i="1"/>
  <c r="M367" i="1"/>
  <c r="N367" i="1" s="1"/>
  <c r="R367" i="1"/>
  <c r="Z367" i="1"/>
  <c r="AA367" i="1"/>
  <c r="E368" i="1"/>
  <c r="F368" i="1"/>
  <c r="H368" i="1"/>
  <c r="J368" i="1"/>
  <c r="K368" i="1"/>
  <c r="L368" i="1"/>
  <c r="M368" i="1"/>
  <c r="P368" i="1" s="1"/>
  <c r="R368" i="1"/>
  <c r="Z368" i="1"/>
  <c r="AA368" i="1"/>
  <c r="E369" i="1"/>
  <c r="F369" i="1"/>
  <c r="H369" i="1"/>
  <c r="J369" i="1"/>
  <c r="K369" i="1"/>
  <c r="L369" i="1"/>
  <c r="M369" i="1"/>
  <c r="O369" i="1" s="1"/>
  <c r="R369" i="1"/>
  <c r="Z369" i="1"/>
  <c r="AA369" i="1"/>
  <c r="E370" i="1"/>
  <c r="F370" i="1"/>
  <c r="H370" i="1"/>
  <c r="J370" i="1"/>
  <c r="K370" i="1"/>
  <c r="L370" i="1"/>
  <c r="M370" i="1"/>
  <c r="R370" i="1"/>
  <c r="Z370" i="1"/>
  <c r="AA370" i="1"/>
  <c r="E371" i="1"/>
  <c r="F371" i="1"/>
  <c r="H371" i="1"/>
  <c r="J371" i="1"/>
  <c r="K371" i="1"/>
  <c r="L371" i="1"/>
  <c r="M371" i="1"/>
  <c r="N371" i="1" s="1"/>
  <c r="R371" i="1"/>
  <c r="Z371" i="1"/>
  <c r="AA371" i="1"/>
  <c r="E372" i="1"/>
  <c r="F372" i="1"/>
  <c r="H372" i="1"/>
  <c r="J372" i="1"/>
  <c r="K372" i="1"/>
  <c r="L372" i="1"/>
  <c r="M372" i="1"/>
  <c r="P372" i="1" s="1"/>
  <c r="R372" i="1"/>
  <c r="Z372" i="1"/>
  <c r="AA372" i="1"/>
  <c r="E373" i="1"/>
  <c r="F373" i="1"/>
  <c r="H373" i="1"/>
  <c r="J373" i="1"/>
  <c r="K373" i="1"/>
  <c r="L373" i="1"/>
  <c r="M373" i="1"/>
  <c r="O373" i="1" s="1"/>
  <c r="R373" i="1"/>
  <c r="Z373" i="1"/>
  <c r="AA373" i="1"/>
  <c r="E374" i="1"/>
  <c r="F374" i="1"/>
  <c r="H374" i="1"/>
  <c r="J374" i="1"/>
  <c r="K374" i="1"/>
  <c r="L374" i="1"/>
  <c r="M374" i="1"/>
  <c r="R374" i="1"/>
  <c r="Z374" i="1"/>
  <c r="AA374" i="1"/>
  <c r="E375" i="1"/>
  <c r="F375" i="1"/>
  <c r="H375" i="1"/>
  <c r="J375" i="1"/>
  <c r="K375" i="1"/>
  <c r="L375" i="1"/>
  <c r="M375" i="1"/>
  <c r="N375" i="1" s="1"/>
  <c r="R375" i="1"/>
  <c r="Z375" i="1"/>
  <c r="AA375" i="1"/>
  <c r="E376" i="1"/>
  <c r="F376" i="1"/>
  <c r="H376" i="1"/>
  <c r="J376" i="1"/>
  <c r="K376" i="1"/>
  <c r="L376" i="1"/>
  <c r="M376" i="1"/>
  <c r="R376" i="1"/>
  <c r="Z376" i="1"/>
  <c r="AA376" i="1"/>
  <c r="E377" i="1"/>
  <c r="F377" i="1"/>
  <c r="H377" i="1"/>
  <c r="J377" i="1"/>
  <c r="K377" i="1"/>
  <c r="L377" i="1"/>
  <c r="M377" i="1"/>
  <c r="N377" i="1" s="1"/>
  <c r="R377" i="1"/>
  <c r="Z377" i="1"/>
  <c r="AA377" i="1"/>
  <c r="E378" i="1"/>
  <c r="F378" i="1"/>
  <c r="H378" i="1"/>
  <c r="J378" i="1"/>
  <c r="K378" i="1"/>
  <c r="L378" i="1"/>
  <c r="M378" i="1"/>
  <c r="P378" i="1" s="1"/>
  <c r="R378" i="1"/>
  <c r="Z378" i="1"/>
  <c r="AA378" i="1"/>
  <c r="E379" i="1"/>
  <c r="F379" i="1"/>
  <c r="H379" i="1"/>
  <c r="J379" i="1"/>
  <c r="K379" i="1"/>
  <c r="L379" i="1"/>
  <c r="M379" i="1"/>
  <c r="R379" i="1"/>
  <c r="Z379" i="1"/>
  <c r="AA379" i="1"/>
  <c r="E380" i="1"/>
  <c r="F380" i="1"/>
  <c r="H380" i="1"/>
  <c r="J380" i="1"/>
  <c r="K380" i="1"/>
  <c r="L380" i="1"/>
  <c r="M380" i="1"/>
  <c r="P380" i="1" s="1"/>
  <c r="R380" i="1"/>
  <c r="Z380" i="1"/>
  <c r="AA380" i="1"/>
  <c r="E381" i="1"/>
  <c r="F381" i="1"/>
  <c r="H381" i="1"/>
  <c r="J381" i="1"/>
  <c r="K381" i="1"/>
  <c r="L381" i="1"/>
  <c r="M381" i="1"/>
  <c r="R381" i="1"/>
  <c r="Z381" i="1"/>
  <c r="AA381" i="1"/>
  <c r="E382" i="1"/>
  <c r="F382" i="1"/>
  <c r="H382" i="1"/>
  <c r="J382" i="1"/>
  <c r="K382" i="1"/>
  <c r="L382" i="1"/>
  <c r="M382" i="1"/>
  <c r="O382" i="1" s="1"/>
  <c r="R382" i="1"/>
  <c r="Z382" i="1"/>
  <c r="AA382" i="1"/>
  <c r="E383" i="1"/>
  <c r="F383" i="1"/>
  <c r="H383" i="1"/>
  <c r="J383" i="1"/>
  <c r="K383" i="1"/>
  <c r="L383" i="1"/>
  <c r="M383" i="1"/>
  <c r="P383" i="1" s="1"/>
  <c r="R383" i="1"/>
  <c r="Z383" i="1"/>
  <c r="AA383" i="1"/>
  <c r="E384" i="1"/>
  <c r="F384" i="1"/>
  <c r="H384" i="1"/>
  <c r="J384" i="1"/>
  <c r="K384" i="1"/>
  <c r="L384" i="1"/>
  <c r="M384" i="1"/>
  <c r="R384" i="1"/>
  <c r="Z384" i="1"/>
  <c r="AA384" i="1"/>
  <c r="E385" i="1"/>
  <c r="F385" i="1"/>
  <c r="H385" i="1"/>
  <c r="J385" i="1"/>
  <c r="K385" i="1"/>
  <c r="L385" i="1"/>
  <c r="M385" i="1"/>
  <c r="R385" i="1"/>
  <c r="Z385" i="1"/>
  <c r="AA385" i="1"/>
  <c r="E386" i="1"/>
  <c r="F386" i="1"/>
  <c r="H386" i="1"/>
  <c r="J386" i="1"/>
  <c r="K386" i="1"/>
  <c r="L386" i="1"/>
  <c r="M386" i="1"/>
  <c r="N386" i="1" s="1"/>
  <c r="R386" i="1"/>
  <c r="Z386" i="1"/>
  <c r="AA386" i="1"/>
  <c r="E387" i="1"/>
  <c r="F387" i="1"/>
  <c r="H387" i="1"/>
  <c r="J387" i="1"/>
  <c r="K387" i="1"/>
  <c r="L387" i="1"/>
  <c r="M387" i="1"/>
  <c r="P387" i="1" s="1"/>
  <c r="R387" i="1"/>
  <c r="Z387" i="1"/>
  <c r="AA387" i="1"/>
  <c r="E388" i="1"/>
  <c r="F388" i="1"/>
  <c r="H388" i="1"/>
  <c r="J388" i="1"/>
  <c r="K388" i="1"/>
  <c r="L388" i="1"/>
  <c r="M388" i="1"/>
  <c r="R388" i="1"/>
  <c r="Z388" i="1"/>
  <c r="AA388" i="1"/>
  <c r="E389" i="1"/>
  <c r="F389" i="1"/>
  <c r="H389" i="1"/>
  <c r="J389" i="1"/>
  <c r="K389" i="1"/>
  <c r="L389" i="1"/>
  <c r="M389" i="1"/>
  <c r="R389" i="1"/>
  <c r="Z389" i="1"/>
  <c r="AA389" i="1"/>
  <c r="E390" i="1"/>
  <c r="F390" i="1"/>
  <c r="H390" i="1"/>
  <c r="J390" i="1"/>
  <c r="K390" i="1"/>
  <c r="L390" i="1"/>
  <c r="M390" i="1"/>
  <c r="O390" i="1" s="1"/>
  <c r="R390" i="1"/>
  <c r="Z390" i="1"/>
  <c r="AA390" i="1"/>
  <c r="E391" i="1"/>
  <c r="F391" i="1"/>
  <c r="H391" i="1"/>
  <c r="J391" i="1"/>
  <c r="K391" i="1"/>
  <c r="L391" i="1"/>
  <c r="M391" i="1"/>
  <c r="P391" i="1" s="1"/>
  <c r="R391" i="1"/>
  <c r="Z391" i="1"/>
  <c r="AA391" i="1"/>
  <c r="E392" i="1"/>
  <c r="F392" i="1"/>
  <c r="H392" i="1"/>
  <c r="J392" i="1"/>
  <c r="K392" i="1"/>
  <c r="L392" i="1"/>
  <c r="M392" i="1"/>
  <c r="O392" i="1" s="1"/>
  <c r="R392" i="1"/>
  <c r="Z392" i="1"/>
  <c r="AA392" i="1"/>
  <c r="E393" i="1"/>
  <c r="F393" i="1"/>
  <c r="H393" i="1"/>
  <c r="J393" i="1"/>
  <c r="K393" i="1"/>
  <c r="L393" i="1"/>
  <c r="M393" i="1"/>
  <c r="R393" i="1"/>
  <c r="Z393" i="1"/>
  <c r="AA393" i="1"/>
  <c r="E394" i="1"/>
  <c r="F394" i="1"/>
  <c r="H394" i="1"/>
  <c r="J394" i="1"/>
  <c r="K394" i="1"/>
  <c r="L394" i="1"/>
  <c r="M394" i="1"/>
  <c r="N394" i="1" s="1"/>
  <c r="R394" i="1"/>
  <c r="Z394" i="1"/>
  <c r="AA394" i="1"/>
  <c r="E395" i="1"/>
  <c r="F395" i="1"/>
  <c r="H395" i="1"/>
  <c r="J395" i="1"/>
  <c r="K395" i="1"/>
  <c r="L395" i="1"/>
  <c r="M395" i="1"/>
  <c r="P395" i="1" s="1"/>
  <c r="R395" i="1"/>
  <c r="Z395" i="1"/>
  <c r="AA395" i="1"/>
  <c r="E396" i="1"/>
  <c r="F396" i="1"/>
  <c r="H396" i="1"/>
  <c r="J396" i="1"/>
  <c r="K396" i="1"/>
  <c r="L396" i="1"/>
  <c r="M396" i="1"/>
  <c r="O396" i="1" s="1"/>
  <c r="R396" i="1"/>
  <c r="Z396" i="1"/>
  <c r="AA396" i="1"/>
  <c r="E397" i="1"/>
  <c r="F397" i="1"/>
  <c r="H397" i="1"/>
  <c r="J397" i="1"/>
  <c r="K397" i="1"/>
  <c r="L397" i="1"/>
  <c r="M397" i="1"/>
  <c r="R397" i="1"/>
  <c r="Z397" i="1"/>
  <c r="AA397" i="1"/>
  <c r="E398" i="1"/>
  <c r="F398" i="1"/>
  <c r="H398" i="1"/>
  <c r="J398" i="1"/>
  <c r="K398" i="1"/>
  <c r="L398" i="1"/>
  <c r="M398" i="1"/>
  <c r="O398" i="1" s="1"/>
  <c r="R398" i="1"/>
  <c r="Z398" i="1"/>
  <c r="AA398" i="1"/>
  <c r="E399" i="1"/>
  <c r="F399" i="1"/>
  <c r="H399" i="1"/>
  <c r="J399" i="1"/>
  <c r="K399" i="1"/>
  <c r="L399" i="1"/>
  <c r="M399" i="1"/>
  <c r="P399" i="1" s="1"/>
  <c r="R399" i="1"/>
  <c r="Z399" i="1"/>
  <c r="AA399" i="1"/>
  <c r="E400" i="1"/>
  <c r="F400" i="1"/>
  <c r="H400" i="1"/>
  <c r="J400" i="1"/>
  <c r="K400" i="1"/>
  <c r="L400" i="1"/>
  <c r="M400" i="1"/>
  <c r="R400" i="1"/>
  <c r="Z400" i="1"/>
  <c r="AA400" i="1"/>
  <c r="E401" i="1"/>
  <c r="F401" i="1"/>
  <c r="H401" i="1"/>
  <c r="J401" i="1"/>
  <c r="K401" i="1"/>
  <c r="L401" i="1"/>
  <c r="M401" i="1"/>
  <c r="R401" i="1"/>
  <c r="Z401" i="1"/>
  <c r="AA401" i="1"/>
  <c r="E402" i="1"/>
  <c r="F402" i="1"/>
  <c r="H402" i="1"/>
  <c r="J402" i="1"/>
  <c r="K402" i="1"/>
  <c r="L402" i="1"/>
  <c r="M402" i="1"/>
  <c r="N402" i="1" s="1"/>
  <c r="R402" i="1"/>
  <c r="Z402" i="1"/>
  <c r="AA402" i="1"/>
  <c r="E403" i="1"/>
  <c r="F403" i="1"/>
  <c r="H403" i="1"/>
  <c r="J403" i="1"/>
  <c r="K403" i="1"/>
  <c r="L403" i="1"/>
  <c r="M403" i="1"/>
  <c r="P403" i="1" s="1"/>
  <c r="R403" i="1"/>
  <c r="Z403" i="1"/>
  <c r="AA403" i="1"/>
  <c r="E404" i="1"/>
  <c r="F404" i="1"/>
  <c r="H404" i="1"/>
  <c r="J404" i="1"/>
  <c r="K404" i="1"/>
  <c r="L404" i="1"/>
  <c r="M404" i="1"/>
  <c r="R404" i="1"/>
  <c r="Z404" i="1"/>
  <c r="AA404" i="1"/>
  <c r="E405" i="1"/>
  <c r="F405" i="1"/>
  <c r="H405" i="1"/>
  <c r="J405" i="1"/>
  <c r="K405" i="1"/>
  <c r="L405" i="1"/>
  <c r="M405" i="1"/>
  <c r="R405" i="1"/>
  <c r="Z405" i="1"/>
  <c r="AA405" i="1"/>
  <c r="E406" i="1"/>
  <c r="F406" i="1"/>
  <c r="H406" i="1"/>
  <c r="J406" i="1"/>
  <c r="K406" i="1"/>
  <c r="L406" i="1"/>
  <c r="M406" i="1"/>
  <c r="O406" i="1" s="1"/>
  <c r="R406" i="1"/>
  <c r="Z406" i="1"/>
  <c r="AA406" i="1"/>
  <c r="E407" i="1"/>
  <c r="F407" i="1"/>
  <c r="H407" i="1"/>
  <c r="J407" i="1"/>
  <c r="K407" i="1"/>
  <c r="L407" i="1"/>
  <c r="M407" i="1"/>
  <c r="P407" i="1" s="1"/>
  <c r="R407" i="1"/>
  <c r="Z407" i="1"/>
  <c r="AA407" i="1"/>
  <c r="E408" i="1"/>
  <c r="F408" i="1"/>
  <c r="H408" i="1"/>
  <c r="J408" i="1"/>
  <c r="K408" i="1"/>
  <c r="L408" i="1"/>
  <c r="M408" i="1"/>
  <c r="O408" i="1" s="1"/>
  <c r="R408" i="1"/>
  <c r="Z408" i="1"/>
  <c r="AA408" i="1"/>
  <c r="E409" i="1"/>
  <c r="F409" i="1"/>
  <c r="H409" i="1"/>
  <c r="J409" i="1"/>
  <c r="K409" i="1"/>
  <c r="L409" i="1"/>
  <c r="M409" i="1"/>
  <c r="R409" i="1"/>
  <c r="Z409" i="1"/>
  <c r="AA409" i="1"/>
  <c r="E410" i="1"/>
  <c r="F410" i="1"/>
  <c r="H410" i="1"/>
  <c r="J410" i="1"/>
  <c r="K410" i="1"/>
  <c r="L410" i="1"/>
  <c r="M410" i="1"/>
  <c r="N410" i="1" s="1"/>
  <c r="R410" i="1"/>
  <c r="Z410" i="1"/>
  <c r="AA410" i="1"/>
  <c r="E411" i="1"/>
  <c r="F411" i="1"/>
  <c r="H411" i="1"/>
  <c r="J411" i="1"/>
  <c r="K411" i="1"/>
  <c r="L411" i="1"/>
  <c r="M411" i="1"/>
  <c r="P411" i="1" s="1"/>
  <c r="R411" i="1"/>
  <c r="Z411" i="1"/>
  <c r="AA411" i="1"/>
  <c r="E412" i="1"/>
  <c r="F412" i="1"/>
  <c r="H412" i="1"/>
  <c r="J412" i="1"/>
  <c r="K412" i="1"/>
  <c r="L412" i="1"/>
  <c r="M412" i="1"/>
  <c r="O412" i="1" s="1"/>
  <c r="R412" i="1"/>
  <c r="Z412" i="1"/>
  <c r="AA412" i="1"/>
  <c r="E413" i="1"/>
  <c r="F413" i="1"/>
  <c r="H413" i="1"/>
  <c r="J413" i="1"/>
  <c r="K413" i="1"/>
  <c r="L413" i="1"/>
  <c r="M413" i="1"/>
  <c r="R413" i="1"/>
  <c r="Z413" i="1"/>
  <c r="AA413" i="1"/>
  <c r="E414" i="1"/>
  <c r="F414" i="1"/>
  <c r="H414" i="1"/>
  <c r="J414" i="1"/>
  <c r="K414" i="1"/>
  <c r="L414" i="1"/>
  <c r="M414" i="1"/>
  <c r="O414" i="1" s="1"/>
  <c r="R414" i="1"/>
  <c r="Z414" i="1"/>
  <c r="AA414" i="1"/>
  <c r="E415" i="1"/>
  <c r="F415" i="1"/>
  <c r="H415" i="1"/>
  <c r="J415" i="1"/>
  <c r="K415" i="1"/>
  <c r="L415" i="1"/>
  <c r="M415" i="1"/>
  <c r="P415" i="1" s="1"/>
  <c r="R415" i="1"/>
  <c r="Z415" i="1"/>
  <c r="AA415" i="1"/>
  <c r="E416" i="1"/>
  <c r="F416" i="1"/>
  <c r="H416" i="1"/>
  <c r="J416" i="1"/>
  <c r="K416" i="1"/>
  <c r="L416" i="1"/>
  <c r="M416" i="1"/>
  <c r="R416" i="1"/>
  <c r="Z416" i="1"/>
  <c r="AA416" i="1"/>
  <c r="E417" i="1"/>
  <c r="F417" i="1"/>
  <c r="H417" i="1"/>
  <c r="J417" i="1"/>
  <c r="K417" i="1"/>
  <c r="L417" i="1"/>
  <c r="M417" i="1"/>
  <c r="R417" i="1"/>
  <c r="Z417" i="1"/>
  <c r="AA417" i="1"/>
  <c r="E418" i="1"/>
  <c r="F418" i="1"/>
  <c r="H418" i="1"/>
  <c r="J418" i="1"/>
  <c r="K418" i="1"/>
  <c r="L418" i="1"/>
  <c r="M418" i="1"/>
  <c r="N418" i="1" s="1"/>
  <c r="R418" i="1"/>
  <c r="Z418" i="1"/>
  <c r="AA418" i="1"/>
  <c r="E419" i="1"/>
  <c r="F419" i="1"/>
  <c r="H419" i="1"/>
  <c r="J419" i="1"/>
  <c r="K419" i="1"/>
  <c r="L419" i="1"/>
  <c r="M419" i="1"/>
  <c r="P419" i="1" s="1"/>
  <c r="R419" i="1"/>
  <c r="Z419" i="1"/>
  <c r="AA419" i="1"/>
  <c r="E420" i="1"/>
  <c r="F420" i="1"/>
  <c r="H420" i="1"/>
  <c r="J420" i="1"/>
  <c r="K420" i="1"/>
  <c r="L420" i="1"/>
  <c r="M420" i="1"/>
  <c r="R420" i="1"/>
  <c r="Z420" i="1"/>
  <c r="AA420" i="1"/>
  <c r="E421" i="1"/>
  <c r="F421" i="1"/>
  <c r="H421" i="1"/>
  <c r="J421" i="1"/>
  <c r="K421" i="1"/>
  <c r="L421" i="1"/>
  <c r="M421" i="1"/>
  <c r="R421" i="1"/>
  <c r="Z421" i="1"/>
  <c r="AA421" i="1"/>
  <c r="E422" i="1"/>
  <c r="F422" i="1"/>
  <c r="H422" i="1"/>
  <c r="J422" i="1"/>
  <c r="K422" i="1"/>
  <c r="L422" i="1"/>
  <c r="M422" i="1"/>
  <c r="O422" i="1" s="1"/>
  <c r="R422" i="1"/>
  <c r="Z422" i="1"/>
  <c r="AA422" i="1"/>
  <c r="E423" i="1"/>
  <c r="F423" i="1"/>
  <c r="H423" i="1"/>
  <c r="J423" i="1"/>
  <c r="K423" i="1"/>
  <c r="L423" i="1"/>
  <c r="M423" i="1"/>
  <c r="P423" i="1" s="1"/>
  <c r="R423" i="1"/>
  <c r="Z423" i="1"/>
  <c r="AA423" i="1"/>
  <c r="E424" i="1"/>
  <c r="F424" i="1"/>
  <c r="H424" i="1"/>
  <c r="J424" i="1"/>
  <c r="K424" i="1"/>
  <c r="L424" i="1"/>
  <c r="M424" i="1"/>
  <c r="O424" i="1" s="1"/>
  <c r="R424" i="1"/>
  <c r="Z424" i="1"/>
  <c r="AA424" i="1"/>
  <c r="E425" i="1"/>
  <c r="F425" i="1"/>
  <c r="H425" i="1"/>
  <c r="J425" i="1"/>
  <c r="K425" i="1"/>
  <c r="L425" i="1"/>
  <c r="M425" i="1"/>
  <c r="R425" i="1"/>
  <c r="Z425" i="1"/>
  <c r="AA425" i="1"/>
  <c r="E426" i="1"/>
  <c r="F426" i="1"/>
  <c r="H426" i="1"/>
  <c r="J426" i="1"/>
  <c r="K426" i="1"/>
  <c r="L426" i="1"/>
  <c r="M426" i="1"/>
  <c r="N426" i="1" s="1"/>
  <c r="R426" i="1"/>
  <c r="Z426" i="1"/>
  <c r="AA426" i="1"/>
  <c r="E427" i="1"/>
  <c r="F427" i="1"/>
  <c r="H427" i="1"/>
  <c r="J427" i="1"/>
  <c r="K427" i="1"/>
  <c r="L427" i="1"/>
  <c r="M427" i="1"/>
  <c r="P427" i="1" s="1"/>
  <c r="R427" i="1"/>
  <c r="Z427" i="1"/>
  <c r="AA427" i="1"/>
  <c r="E428" i="1"/>
  <c r="F428" i="1"/>
  <c r="H428" i="1"/>
  <c r="J428" i="1"/>
  <c r="K428" i="1"/>
  <c r="L428" i="1"/>
  <c r="M428" i="1"/>
  <c r="O428" i="1" s="1"/>
  <c r="R428" i="1"/>
  <c r="Z428" i="1"/>
  <c r="AA428" i="1"/>
  <c r="E429" i="1"/>
  <c r="F429" i="1"/>
  <c r="H429" i="1"/>
  <c r="J429" i="1"/>
  <c r="K429" i="1"/>
  <c r="L429" i="1"/>
  <c r="M429" i="1"/>
  <c r="R429" i="1"/>
  <c r="Z429" i="1"/>
  <c r="AA429" i="1"/>
  <c r="E430" i="1"/>
  <c r="F430" i="1"/>
  <c r="H430" i="1"/>
  <c r="J430" i="1"/>
  <c r="K430" i="1"/>
  <c r="L430" i="1"/>
  <c r="M430" i="1"/>
  <c r="O430" i="1" s="1"/>
  <c r="R430" i="1"/>
  <c r="Z430" i="1"/>
  <c r="AA430" i="1"/>
  <c r="E431" i="1"/>
  <c r="F431" i="1"/>
  <c r="H431" i="1"/>
  <c r="J431" i="1"/>
  <c r="K431" i="1"/>
  <c r="L431" i="1"/>
  <c r="M431" i="1"/>
  <c r="P431" i="1" s="1"/>
  <c r="R431" i="1"/>
  <c r="Z431" i="1"/>
  <c r="AA431" i="1"/>
  <c r="E432" i="1"/>
  <c r="F432" i="1"/>
  <c r="H432" i="1"/>
  <c r="J432" i="1"/>
  <c r="K432" i="1"/>
  <c r="L432" i="1"/>
  <c r="M432" i="1"/>
  <c r="R432" i="1"/>
  <c r="Z432" i="1"/>
  <c r="AA432" i="1"/>
  <c r="E433" i="1"/>
  <c r="F433" i="1"/>
  <c r="H433" i="1"/>
  <c r="J433" i="1"/>
  <c r="K433" i="1"/>
  <c r="L433" i="1"/>
  <c r="M433" i="1"/>
  <c r="R433" i="1"/>
  <c r="Z433" i="1"/>
  <c r="AA433" i="1"/>
  <c r="E434" i="1"/>
  <c r="F434" i="1"/>
  <c r="H434" i="1"/>
  <c r="J434" i="1"/>
  <c r="K434" i="1"/>
  <c r="L434" i="1"/>
  <c r="M434" i="1"/>
  <c r="N434" i="1" s="1"/>
  <c r="R434" i="1"/>
  <c r="Z434" i="1"/>
  <c r="AA434" i="1"/>
  <c r="E435" i="1"/>
  <c r="F435" i="1"/>
  <c r="H435" i="1"/>
  <c r="J435" i="1"/>
  <c r="K435" i="1"/>
  <c r="L435" i="1"/>
  <c r="M435" i="1"/>
  <c r="P435" i="1" s="1"/>
  <c r="R435" i="1"/>
  <c r="Z435" i="1"/>
  <c r="AA435" i="1"/>
  <c r="E436" i="1"/>
  <c r="F436" i="1"/>
  <c r="H436" i="1"/>
  <c r="J436" i="1"/>
  <c r="K436" i="1"/>
  <c r="L436" i="1"/>
  <c r="M436" i="1"/>
  <c r="R436" i="1"/>
  <c r="Z436" i="1"/>
  <c r="AA436" i="1"/>
  <c r="E437" i="1"/>
  <c r="F437" i="1"/>
  <c r="H437" i="1"/>
  <c r="J437" i="1"/>
  <c r="K437" i="1"/>
  <c r="L437" i="1"/>
  <c r="M437" i="1"/>
  <c r="R437" i="1"/>
  <c r="Z437" i="1"/>
  <c r="AA437" i="1"/>
  <c r="E438" i="1"/>
  <c r="F438" i="1"/>
  <c r="H438" i="1"/>
  <c r="J438" i="1"/>
  <c r="K438" i="1"/>
  <c r="L438" i="1"/>
  <c r="M438" i="1"/>
  <c r="O438" i="1" s="1"/>
  <c r="R438" i="1"/>
  <c r="Z438" i="1"/>
  <c r="AA438" i="1"/>
  <c r="E439" i="1"/>
  <c r="F439" i="1"/>
  <c r="H439" i="1"/>
  <c r="J439" i="1"/>
  <c r="K439" i="1"/>
  <c r="L439" i="1"/>
  <c r="M439" i="1"/>
  <c r="P439" i="1" s="1"/>
  <c r="R439" i="1"/>
  <c r="Z439" i="1"/>
  <c r="AA439" i="1"/>
  <c r="E440" i="1"/>
  <c r="F440" i="1"/>
  <c r="H440" i="1"/>
  <c r="J440" i="1"/>
  <c r="K440" i="1"/>
  <c r="L440" i="1"/>
  <c r="M440" i="1"/>
  <c r="O440" i="1" s="1"/>
  <c r="R440" i="1"/>
  <c r="Z440" i="1"/>
  <c r="AA440" i="1"/>
  <c r="E441" i="1"/>
  <c r="F441" i="1"/>
  <c r="H441" i="1"/>
  <c r="J441" i="1"/>
  <c r="K441" i="1"/>
  <c r="L441" i="1"/>
  <c r="M441" i="1"/>
  <c r="R441" i="1"/>
  <c r="Z441" i="1"/>
  <c r="AA441" i="1"/>
  <c r="E442" i="1"/>
  <c r="F442" i="1"/>
  <c r="H442" i="1"/>
  <c r="J442" i="1"/>
  <c r="K442" i="1"/>
  <c r="L442" i="1"/>
  <c r="M442" i="1"/>
  <c r="N442" i="1" s="1"/>
  <c r="R442" i="1"/>
  <c r="Z442" i="1"/>
  <c r="AA442" i="1"/>
  <c r="E443" i="1"/>
  <c r="F443" i="1"/>
  <c r="H443" i="1"/>
  <c r="J443" i="1"/>
  <c r="K443" i="1"/>
  <c r="L443" i="1"/>
  <c r="M443" i="1"/>
  <c r="P443" i="1" s="1"/>
  <c r="R443" i="1"/>
  <c r="Z443" i="1"/>
  <c r="AA443" i="1"/>
  <c r="E444" i="1"/>
  <c r="F444" i="1"/>
  <c r="H444" i="1"/>
  <c r="J444" i="1"/>
  <c r="K444" i="1"/>
  <c r="L444" i="1"/>
  <c r="M444" i="1"/>
  <c r="O444" i="1" s="1"/>
  <c r="R444" i="1"/>
  <c r="Z444" i="1"/>
  <c r="AA444" i="1"/>
  <c r="E445" i="1"/>
  <c r="F445" i="1"/>
  <c r="H445" i="1"/>
  <c r="J445" i="1"/>
  <c r="K445" i="1"/>
  <c r="L445" i="1"/>
  <c r="M445" i="1"/>
  <c r="R445" i="1"/>
  <c r="Z445" i="1"/>
  <c r="AA445" i="1"/>
  <c r="E446" i="1"/>
  <c r="F446" i="1"/>
  <c r="H446" i="1"/>
  <c r="J446" i="1"/>
  <c r="K446" i="1"/>
  <c r="L446" i="1"/>
  <c r="M446" i="1"/>
  <c r="O446" i="1" s="1"/>
  <c r="R446" i="1"/>
  <c r="Z446" i="1"/>
  <c r="AA446" i="1"/>
  <c r="E447" i="1"/>
  <c r="F447" i="1"/>
  <c r="H447" i="1"/>
  <c r="J447" i="1"/>
  <c r="K447" i="1"/>
  <c r="L447" i="1"/>
  <c r="M447" i="1"/>
  <c r="P447" i="1" s="1"/>
  <c r="R447" i="1"/>
  <c r="Z447" i="1"/>
  <c r="AA447" i="1"/>
  <c r="E448" i="1"/>
  <c r="F448" i="1"/>
  <c r="H448" i="1"/>
  <c r="J448" i="1"/>
  <c r="K448" i="1"/>
  <c r="L448" i="1"/>
  <c r="M448" i="1"/>
  <c r="R448" i="1"/>
  <c r="Z448" i="1"/>
  <c r="AA448" i="1"/>
  <c r="E449" i="1"/>
  <c r="F449" i="1"/>
  <c r="H449" i="1"/>
  <c r="J449" i="1"/>
  <c r="K449" i="1"/>
  <c r="L449" i="1"/>
  <c r="M449" i="1"/>
  <c r="R449" i="1"/>
  <c r="Z449" i="1"/>
  <c r="AA449" i="1"/>
  <c r="E450" i="1"/>
  <c r="F450" i="1"/>
  <c r="H450" i="1"/>
  <c r="J450" i="1"/>
  <c r="K450" i="1"/>
  <c r="L450" i="1"/>
  <c r="M450" i="1"/>
  <c r="N450" i="1" s="1"/>
  <c r="R450" i="1"/>
  <c r="Z450" i="1"/>
  <c r="AA450" i="1"/>
  <c r="E451" i="1"/>
  <c r="F451" i="1"/>
  <c r="H451" i="1"/>
  <c r="J451" i="1"/>
  <c r="K451" i="1"/>
  <c r="L451" i="1"/>
  <c r="M451" i="1"/>
  <c r="P451" i="1" s="1"/>
  <c r="R451" i="1"/>
  <c r="Z451" i="1"/>
  <c r="AA451" i="1"/>
  <c r="E452" i="1"/>
  <c r="F452" i="1"/>
  <c r="H452" i="1"/>
  <c r="J452" i="1"/>
  <c r="K452" i="1"/>
  <c r="L452" i="1"/>
  <c r="M452" i="1"/>
  <c r="R452" i="1"/>
  <c r="Z452" i="1"/>
  <c r="AA452" i="1"/>
  <c r="E453" i="1"/>
  <c r="F453" i="1"/>
  <c r="H453" i="1"/>
  <c r="J453" i="1"/>
  <c r="K453" i="1"/>
  <c r="L453" i="1"/>
  <c r="M453" i="1"/>
  <c r="R453" i="1"/>
  <c r="Z453" i="1"/>
  <c r="AA453" i="1"/>
  <c r="E454" i="1"/>
  <c r="F454" i="1"/>
  <c r="H454" i="1"/>
  <c r="J454" i="1"/>
  <c r="K454" i="1"/>
  <c r="L454" i="1"/>
  <c r="M454" i="1"/>
  <c r="O454" i="1" s="1"/>
  <c r="R454" i="1"/>
  <c r="Z454" i="1"/>
  <c r="AA454" i="1"/>
  <c r="E455" i="1"/>
  <c r="F455" i="1"/>
  <c r="H455" i="1"/>
  <c r="J455" i="1"/>
  <c r="K455" i="1"/>
  <c r="L455" i="1"/>
  <c r="M455" i="1"/>
  <c r="P455" i="1" s="1"/>
  <c r="R455" i="1"/>
  <c r="Z455" i="1"/>
  <c r="AA455" i="1"/>
  <c r="E456" i="1"/>
  <c r="F456" i="1"/>
  <c r="H456" i="1"/>
  <c r="J456" i="1"/>
  <c r="K456" i="1"/>
  <c r="L456" i="1"/>
  <c r="M456" i="1"/>
  <c r="O456" i="1" s="1"/>
  <c r="R456" i="1"/>
  <c r="Z456" i="1"/>
  <c r="AA456" i="1"/>
  <c r="E457" i="1"/>
  <c r="F457" i="1"/>
  <c r="H457" i="1"/>
  <c r="J457" i="1"/>
  <c r="K457" i="1"/>
  <c r="L457" i="1"/>
  <c r="M457" i="1"/>
  <c r="R457" i="1"/>
  <c r="Z457" i="1"/>
  <c r="AA457" i="1"/>
  <c r="E458" i="1"/>
  <c r="F458" i="1"/>
  <c r="H458" i="1"/>
  <c r="J458" i="1"/>
  <c r="K458" i="1"/>
  <c r="L458" i="1"/>
  <c r="M458" i="1"/>
  <c r="N458" i="1" s="1"/>
  <c r="R458" i="1"/>
  <c r="Z458" i="1"/>
  <c r="AA458" i="1"/>
  <c r="E459" i="1"/>
  <c r="F459" i="1"/>
  <c r="H459" i="1"/>
  <c r="J459" i="1"/>
  <c r="K459" i="1"/>
  <c r="L459" i="1"/>
  <c r="M459" i="1"/>
  <c r="P459" i="1" s="1"/>
  <c r="R459" i="1"/>
  <c r="Z459" i="1"/>
  <c r="AA459" i="1"/>
  <c r="E460" i="1"/>
  <c r="F460" i="1"/>
  <c r="H460" i="1"/>
  <c r="J460" i="1"/>
  <c r="K460" i="1"/>
  <c r="L460" i="1"/>
  <c r="M460" i="1"/>
  <c r="O460" i="1" s="1"/>
  <c r="R460" i="1"/>
  <c r="Z460" i="1"/>
  <c r="AA460" i="1"/>
  <c r="E461" i="1"/>
  <c r="F461" i="1"/>
  <c r="H461" i="1"/>
  <c r="J461" i="1"/>
  <c r="K461" i="1"/>
  <c r="L461" i="1"/>
  <c r="M461" i="1"/>
  <c r="R461" i="1"/>
  <c r="Z461" i="1"/>
  <c r="AA461" i="1"/>
  <c r="E462" i="1"/>
  <c r="F462" i="1"/>
  <c r="H462" i="1"/>
  <c r="J462" i="1"/>
  <c r="K462" i="1"/>
  <c r="L462" i="1"/>
  <c r="M462" i="1"/>
  <c r="O462" i="1" s="1"/>
  <c r="R462" i="1"/>
  <c r="Z462" i="1"/>
  <c r="AA462" i="1"/>
  <c r="E463" i="1"/>
  <c r="F463" i="1"/>
  <c r="H463" i="1"/>
  <c r="J463" i="1"/>
  <c r="K463" i="1"/>
  <c r="L463" i="1"/>
  <c r="M463" i="1"/>
  <c r="P463" i="1" s="1"/>
  <c r="R463" i="1"/>
  <c r="Z463" i="1"/>
  <c r="AA463" i="1"/>
  <c r="E464" i="1"/>
  <c r="F464" i="1"/>
  <c r="H464" i="1"/>
  <c r="J464" i="1"/>
  <c r="K464" i="1"/>
  <c r="L464" i="1"/>
  <c r="M464" i="1"/>
  <c r="R464" i="1"/>
  <c r="Z464" i="1"/>
  <c r="AA464" i="1"/>
  <c r="E465" i="1"/>
  <c r="F465" i="1"/>
  <c r="H465" i="1"/>
  <c r="J465" i="1"/>
  <c r="K465" i="1"/>
  <c r="L465" i="1"/>
  <c r="M465" i="1"/>
  <c r="R465" i="1"/>
  <c r="Z465" i="1"/>
  <c r="AA465" i="1"/>
  <c r="E466" i="1"/>
  <c r="F466" i="1"/>
  <c r="H466" i="1"/>
  <c r="J466" i="1"/>
  <c r="K466" i="1"/>
  <c r="L466" i="1"/>
  <c r="M466" i="1"/>
  <c r="N466" i="1" s="1"/>
  <c r="R466" i="1"/>
  <c r="Z466" i="1"/>
  <c r="AA466" i="1"/>
  <c r="E467" i="1"/>
  <c r="F467" i="1"/>
  <c r="H467" i="1"/>
  <c r="J467" i="1"/>
  <c r="K467" i="1"/>
  <c r="L467" i="1"/>
  <c r="M467" i="1"/>
  <c r="P467" i="1" s="1"/>
  <c r="R467" i="1"/>
  <c r="Z467" i="1"/>
  <c r="AA467" i="1"/>
  <c r="E468" i="1"/>
  <c r="F468" i="1"/>
  <c r="H468" i="1"/>
  <c r="J468" i="1"/>
  <c r="K468" i="1"/>
  <c r="L468" i="1"/>
  <c r="M468" i="1"/>
  <c r="R468" i="1"/>
  <c r="Z468" i="1"/>
  <c r="AA468" i="1"/>
  <c r="E469" i="1"/>
  <c r="F469" i="1"/>
  <c r="H469" i="1"/>
  <c r="J469" i="1"/>
  <c r="K469" i="1"/>
  <c r="L469" i="1"/>
  <c r="M469" i="1"/>
  <c r="R469" i="1"/>
  <c r="Z469" i="1"/>
  <c r="AA469" i="1"/>
  <c r="E470" i="1"/>
  <c r="F470" i="1"/>
  <c r="H470" i="1"/>
  <c r="J470" i="1"/>
  <c r="K470" i="1"/>
  <c r="L470" i="1"/>
  <c r="M470" i="1"/>
  <c r="O470" i="1" s="1"/>
  <c r="R470" i="1"/>
  <c r="Z470" i="1"/>
  <c r="AA470" i="1"/>
  <c r="E471" i="1"/>
  <c r="F471" i="1"/>
  <c r="H471" i="1"/>
  <c r="J471" i="1"/>
  <c r="K471" i="1"/>
  <c r="L471" i="1"/>
  <c r="M471" i="1"/>
  <c r="P471" i="1" s="1"/>
  <c r="R471" i="1"/>
  <c r="Z471" i="1"/>
  <c r="AA471" i="1"/>
  <c r="E472" i="1"/>
  <c r="F472" i="1"/>
  <c r="H472" i="1"/>
  <c r="J472" i="1"/>
  <c r="K472" i="1"/>
  <c r="L472" i="1"/>
  <c r="M472" i="1"/>
  <c r="O472" i="1" s="1"/>
  <c r="R472" i="1"/>
  <c r="Z472" i="1"/>
  <c r="AA472" i="1"/>
  <c r="E473" i="1"/>
  <c r="F473" i="1"/>
  <c r="H473" i="1"/>
  <c r="J473" i="1"/>
  <c r="K473" i="1"/>
  <c r="L473" i="1"/>
  <c r="M473" i="1"/>
  <c r="R473" i="1"/>
  <c r="Z473" i="1"/>
  <c r="AA473" i="1"/>
  <c r="E474" i="1"/>
  <c r="F474" i="1"/>
  <c r="H474" i="1"/>
  <c r="J474" i="1"/>
  <c r="K474" i="1"/>
  <c r="L474" i="1"/>
  <c r="M474" i="1"/>
  <c r="N474" i="1" s="1"/>
  <c r="R474" i="1"/>
  <c r="Z474" i="1"/>
  <c r="AA474" i="1"/>
  <c r="E475" i="1"/>
  <c r="F475" i="1"/>
  <c r="H475" i="1"/>
  <c r="J475" i="1"/>
  <c r="K475" i="1"/>
  <c r="L475" i="1"/>
  <c r="M475" i="1"/>
  <c r="P475" i="1" s="1"/>
  <c r="R475" i="1"/>
  <c r="Z475" i="1"/>
  <c r="AA475" i="1"/>
  <c r="E476" i="1"/>
  <c r="F476" i="1"/>
  <c r="H476" i="1"/>
  <c r="J476" i="1"/>
  <c r="K476" i="1"/>
  <c r="L476" i="1"/>
  <c r="M476" i="1"/>
  <c r="O476" i="1" s="1"/>
  <c r="R476" i="1"/>
  <c r="Z476" i="1"/>
  <c r="AA476" i="1"/>
  <c r="E477" i="1"/>
  <c r="F477" i="1"/>
  <c r="H477" i="1"/>
  <c r="J477" i="1"/>
  <c r="K477" i="1"/>
  <c r="L477" i="1"/>
  <c r="M477" i="1"/>
  <c r="R477" i="1"/>
  <c r="Z477" i="1"/>
  <c r="AA477" i="1"/>
  <c r="E478" i="1"/>
  <c r="F478" i="1"/>
  <c r="H478" i="1"/>
  <c r="J478" i="1"/>
  <c r="K478" i="1"/>
  <c r="L478" i="1"/>
  <c r="M478" i="1"/>
  <c r="O478" i="1" s="1"/>
  <c r="R478" i="1"/>
  <c r="Z478" i="1"/>
  <c r="AA478" i="1"/>
  <c r="E479" i="1"/>
  <c r="F479" i="1"/>
  <c r="H479" i="1"/>
  <c r="J479" i="1"/>
  <c r="K479" i="1"/>
  <c r="L479" i="1"/>
  <c r="M479" i="1"/>
  <c r="P479" i="1" s="1"/>
  <c r="R479" i="1"/>
  <c r="Z479" i="1"/>
  <c r="AA479" i="1"/>
  <c r="E480" i="1"/>
  <c r="F480" i="1"/>
  <c r="H480" i="1"/>
  <c r="J480" i="1"/>
  <c r="K480" i="1"/>
  <c r="L480" i="1"/>
  <c r="M480" i="1"/>
  <c r="R480" i="1"/>
  <c r="Z480" i="1"/>
  <c r="AA480" i="1"/>
  <c r="E481" i="1"/>
  <c r="F481" i="1"/>
  <c r="H481" i="1"/>
  <c r="J481" i="1"/>
  <c r="K481" i="1"/>
  <c r="L481" i="1"/>
  <c r="M481" i="1"/>
  <c r="R481" i="1"/>
  <c r="Z481" i="1"/>
  <c r="AA481" i="1"/>
  <c r="E482" i="1"/>
  <c r="F482" i="1"/>
  <c r="H482" i="1"/>
  <c r="J482" i="1"/>
  <c r="K482" i="1"/>
  <c r="L482" i="1"/>
  <c r="M482" i="1"/>
  <c r="N482" i="1" s="1"/>
  <c r="R482" i="1"/>
  <c r="Z482" i="1"/>
  <c r="AA482" i="1"/>
  <c r="E483" i="1"/>
  <c r="F483" i="1"/>
  <c r="H483" i="1"/>
  <c r="J483" i="1"/>
  <c r="K483" i="1"/>
  <c r="L483" i="1"/>
  <c r="M483" i="1"/>
  <c r="P483" i="1" s="1"/>
  <c r="R483" i="1"/>
  <c r="Z483" i="1"/>
  <c r="AA483" i="1"/>
  <c r="E484" i="1"/>
  <c r="F484" i="1"/>
  <c r="H484" i="1"/>
  <c r="J484" i="1"/>
  <c r="K484" i="1"/>
  <c r="L484" i="1"/>
  <c r="M484" i="1"/>
  <c r="R484" i="1"/>
  <c r="Z484" i="1"/>
  <c r="AA484" i="1"/>
  <c r="E485" i="1"/>
  <c r="F485" i="1"/>
  <c r="H485" i="1"/>
  <c r="J485" i="1"/>
  <c r="K485" i="1"/>
  <c r="L485" i="1"/>
  <c r="M485" i="1"/>
  <c r="R485" i="1"/>
  <c r="Z485" i="1"/>
  <c r="AA485" i="1"/>
  <c r="E486" i="1"/>
  <c r="F486" i="1"/>
  <c r="H486" i="1"/>
  <c r="J486" i="1"/>
  <c r="K486" i="1"/>
  <c r="L486" i="1"/>
  <c r="M486" i="1"/>
  <c r="O486" i="1" s="1"/>
  <c r="R486" i="1"/>
  <c r="Z486" i="1"/>
  <c r="AA486" i="1"/>
  <c r="E487" i="1"/>
  <c r="F487" i="1"/>
  <c r="H487" i="1"/>
  <c r="J487" i="1"/>
  <c r="K487" i="1"/>
  <c r="L487" i="1"/>
  <c r="M487" i="1"/>
  <c r="P487" i="1" s="1"/>
  <c r="R487" i="1"/>
  <c r="Z487" i="1"/>
  <c r="AA487" i="1"/>
  <c r="E488" i="1"/>
  <c r="F488" i="1"/>
  <c r="H488" i="1"/>
  <c r="J488" i="1"/>
  <c r="K488" i="1"/>
  <c r="L488" i="1"/>
  <c r="M488" i="1"/>
  <c r="O488" i="1" s="1"/>
  <c r="R488" i="1"/>
  <c r="Z488" i="1"/>
  <c r="AA488" i="1"/>
  <c r="E489" i="1"/>
  <c r="F489" i="1"/>
  <c r="H489" i="1"/>
  <c r="J489" i="1"/>
  <c r="K489" i="1"/>
  <c r="L489" i="1"/>
  <c r="M489" i="1"/>
  <c r="R489" i="1"/>
  <c r="Z489" i="1"/>
  <c r="AA489" i="1"/>
  <c r="E490" i="1"/>
  <c r="F490" i="1"/>
  <c r="H490" i="1"/>
  <c r="J490" i="1"/>
  <c r="K490" i="1"/>
  <c r="L490" i="1"/>
  <c r="M490" i="1"/>
  <c r="N490" i="1" s="1"/>
  <c r="R490" i="1"/>
  <c r="Z490" i="1"/>
  <c r="AA490" i="1"/>
  <c r="E491" i="1"/>
  <c r="F491" i="1"/>
  <c r="H491" i="1"/>
  <c r="J491" i="1"/>
  <c r="K491" i="1"/>
  <c r="L491" i="1"/>
  <c r="M491" i="1"/>
  <c r="P491" i="1" s="1"/>
  <c r="R491" i="1"/>
  <c r="Z491" i="1"/>
  <c r="AA491" i="1"/>
  <c r="E492" i="1"/>
  <c r="F492" i="1"/>
  <c r="H492" i="1"/>
  <c r="J492" i="1"/>
  <c r="K492" i="1"/>
  <c r="L492" i="1"/>
  <c r="M492" i="1"/>
  <c r="O492" i="1" s="1"/>
  <c r="R492" i="1"/>
  <c r="Z492" i="1"/>
  <c r="AA492" i="1"/>
  <c r="E493" i="1"/>
  <c r="F493" i="1"/>
  <c r="H493" i="1"/>
  <c r="J493" i="1"/>
  <c r="K493" i="1"/>
  <c r="L493" i="1"/>
  <c r="M493" i="1"/>
  <c r="R493" i="1"/>
  <c r="Z493" i="1"/>
  <c r="AA493" i="1"/>
  <c r="E494" i="1"/>
  <c r="F494" i="1"/>
  <c r="H494" i="1"/>
  <c r="J494" i="1"/>
  <c r="K494" i="1"/>
  <c r="L494" i="1"/>
  <c r="M494" i="1"/>
  <c r="O494" i="1" s="1"/>
  <c r="R494" i="1"/>
  <c r="Z494" i="1"/>
  <c r="AA494" i="1"/>
  <c r="E495" i="1"/>
  <c r="F495" i="1"/>
  <c r="H495" i="1"/>
  <c r="J495" i="1"/>
  <c r="K495" i="1"/>
  <c r="L495" i="1"/>
  <c r="M495" i="1"/>
  <c r="P495" i="1" s="1"/>
  <c r="R495" i="1"/>
  <c r="Z495" i="1"/>
  <c r="AA495" i="1"/>
  <c r="E496" i="1"/>
  <c r="F496" i="1"/>
  <c r="H496" i="1"/>
  <c r="J496" i="1"/>
  <c r="K496" i="1"/>
  <c r="L496" i="1"/>
  <c r="M496" i="1"/>
  <c r="R496" i="1"/>
  <c r="Z496" i="1"/>
  <c r="AA496" i="1"/>
  <c r="E497" i="1"/>
  <c r="F497" i="1"/>
  <c r="H497" i="1"/>
  <c r="J497" i="1"/>
  <c r="K497" i="1"/>
  <c r="L497" i="1"/>
  <c r="M497" i="1"/>
  <c r="R497" i="1"/>
  <c r="Z497" i="1"/>
  <c r="AA497" i="1"/>
  <c r="E498" i="1"/>
  <c r="F498" i="1"/>
  <c r="H498" i="1"/>
  <c r="J498" i="1"/>
  <c r="K498" i="1"/>
  <c r="L498" i="1"/>
  <c r="M498" i="1"/>
  <c r="N498" i="1" s="1"/>
  <c r="R498" i="1"/>
  <c r="Z498" i="1"/>
  <c r="AA498" i="1"/>
  <c r="E499" i="1"/>
  <c r="F499" i="1"/>
  <c r="H499" i="1"/>
  <c r="J499" i="1"/>
  <c r="K499" i="1"/>
  <c r="L499" i="1"/>
  <c r="M499" i="1"/>
  <c r="P499" i="1" s="1"/>
  <c r="R499" i="1"/>
  <c r="Z499" i="1"/>
  <c r="AA499" i="1"/>
  <c r="E500" i="1"/>
  <c r="F500" i="1"/>
  <c r="H500" i="1"/>
  <c r="J500" i="1"/>
  <c r="K500" i="1"/>
  <c r="L500" i="1"/>
  <c r="M500" i="1"/>
  <c r="R500" i="1"/>
  <c r="Z500" i="1"/>
  <c r="AA500" i="1"/>
  <c r="E501" i="1"/>
  <c r="F501" i="1"/>
  <c r="H501" i="1"/>
  <c r="J501" i="1"/>
  <c r="K501" i="1"/>
  <c r="L501" i="1"/>
  <c r="M501" i="1"/>
  <c r="R501" i="1"/>
  <c r="Z501" i="1"/>
  <c r="AA501" i="1"/>
  <c r="E502" i="1"/>
  <c r="F502" i="1"/>
  <c r="H502" i="1"/>
  <c r="J502" i="1"/>
  <c r="K502" i="1"/>
  <c r="L502" i="1"/>
  <c r="M502" i="1"/>
  <c r="O502" i="1" s="1"/>
  <c r="R502" i="1"/>
  <c r="Z502" i="1"/>
  <c r="AA502" i="1"/>
  <c r="E503" i="1"/>
  <c r="F503" i="1"/>
  <c r="H503" i="1"/>
  <c r="J503" i="1"/>
  <c r="K503" i="1"/>
  <c r="L503" i="1"/>
  <c r="M503" i="1"/>
  <c r="P503" i="1" s="1"/>
  <c r="R503" i="1"/>
  <c r="Z503" i="1"/>
  <c r="AA503" i="1"/>
  <c r="E504" i="1"/>
  <c r="F504" i="1"/>
  <c r="H504" i="1"/>
  <c r="J504" i="1"/>
  <c r="K504" i="1"/>
  <c r="L504" i="1"/>
  <c r="M504" i="1"/>
  <c r="O504" i="1" s="1"/>
  <c r="R504" i="1"/>
  <c r="Z504" i="1"/>
  <c r="AA504" i="1"/>
  <c r="E505" i="1"/>
  <c r="F505" i="1"/>
  <c r="H505" i="1"/>
  <c r="J505" i="1"/>
  <c r="K505" i="1"/>
  <c r="L505" i="1"/>
  <c r="M505" i="1"/>
  <c r="R505" i="1"/>
  <c r="Z505" i="1"/>
  <c r="AA505" i="1"/>
  <c r="E506" i="1"/>
  <c r="F506" i="1"/>
  <c r="H506" i="1"/>
  <c r="J506" i="1"/>
  <c r="K506" i="1"/>
  <c r="L506" i="1"/>
  <c r="M506" i="1"/>
  <c r="N506" i="1" s="1"/>
  <c r="R506" i="1"/>
  <c r="Z506" i="1"/>
  <c r="AA506" i="1"/>
  <c r="E507" i="1"/>
  <c r="F507" i="1"/>
  <c r="H507" i="1"/>
  <c r="J507" i="1"/>
  <c r="K507" i="1"/>
  <c r="L507" i="1"/>
  <c r="M507" i="1"/>
  <c r="P507" i="1" s="1"/>
  <c r="R507" i="1"/>
  <c r="Z507" i="1"/>
  <c r="AA507" i="1"/>
  <c r="E508" i="1"/>
  <c r="F508" i="1"/>
  <c r="H508" i="1"/>
  <c r="J508" i="1"/>
  <c r="K508" i="1"/>
  <c r="L508" i="1"/>
  <c r="M508" i="1"/>
  <c r="O508" i="1" s="1"/>
  <c r="R508" i="1"/>
  <c r="Z508" i="1"/>
  <c r="AA508" i="1"/>
  <c r="E509" i="1"/>
  <c r="F509" i="1"/>
  <c r="H509" i="1"/>
  <c r="J509" i="1"/>
  <c r="K509" i="1"/>
  <c r="L509" i="1"/>
  <c r="M509" i="1"/>
  <c r="R509" i="1"/>
  <c r="Z509" i="1"/>
  <c r="AA509" i="1"/>
  <c r="E510" i="1"/>
  <c r="F510" i="1"/>
  <c r="H510" i="1"/>
  <c r="J510" i="1"/>
  <c r="K510" i="1"/>
  <c r="L510" i="1"/>
  <c r="M510" i="1"/>
  <c r="O510" i="1" s="1"/>
  <c r="R510" i="1"/>
  <c r="Z510" i="1"/>
  <c r="AA510" i="1"/>
  <c r="E511" i="1"/>
  <c r="F511" i="1"/>
  <c r="H511" i="1"/>
  <c r="J511" i="1"/>
  <c r="K511" i="1"/>
  <c r="L511" i="1"/>
  <c r="M511" i="1"/>
  <c r="P511" i="1" s="1"/>
  <c r="R511" i="1"/>
  <c r="Z511" i="1"/>
  <c r="AA511" i="1"/>
  <c r="E512" i="1"/>
  <c r="F512" i="1"/>
  <c r="H512" i="1"/>
  <c r="J512" i="1"/>
  <c r="K512" i="1"/>
  <c r="L512" i="1"/>
  <c r="M512" i="1"/>
  <c r="R512" i="1"/>
  <c r="Z512" i="1"/>
  <c r="AA512" i="1"/>
  <c r="E513" i="1"/>
  <c r="F513" i="1"/>
  <c r="H513" i="1"/>
  <c r="J513" i="1"/>
  <c r="K513" i="1"/>
  <c r="L513" i="1"/>
  <c r="M513" i="1"/>
  <c r="R513" i="1"/>
  <c r="Z513" i="1"/>
  <c r="AA513" i="1"/>
  <c r="E514" i="1"/>
  <c r="F514" i="1"/>
  <c r="H514" i="1"/>
  <c r="J514" i="1"/>
  <c r="K514" i="1"/>
  <c r="L514" i="1"/>
  <c r="M514" i="1"/>
  <c r="N514" i="1" s="1"/>
  <c r="R514" i="1"/>
  <c r="Z514" i="1"/>
  <c r="AA514" i="1"/>
  <c r="E515" i="1"/>
  <c r="F515" i="1"/>
  <c r="H515" i="1"/>
  <c r="J515" i="1"/>
  <c r="K515" i="1"/>
  <c r="L515" i="1"/>
  <c r="M515" i="1"/>
  <c r="P515" i="1" s="1"/>
  <c r="R515" i="1"/>
  <c r="Z515" i="1"/>
  <c r="AA515" i="1"/>
  <c r="E516" i="1"/>
  <c r="F516" i="1"/>
  <c r="H516" i="1"/>
  <c r="J516" i="1"/>
  <c r="K516" i="1"/>
  <c r="L516" i="1"/>
  <c r="M516" i="1"/>
  <c r="R516" i="1"/>
  <c r="Z516" i="1"/>
  <c r="AA516" i="1"/>
  <c r="E517" i="1"/>
  <c r="F517" i="1"/>
  <c r="H517" i="1"/>
  <c r="J517" i="1"/>
  <c r="K517" i="1"/>
  <c r="L517" i="1"/>
  <c r="M517" i="1"/>
  <c r="R517" i="1"/>
  <c r="Z517" i="1"/>
  <c r="AA517" i="1"/>
  <c r="E518" i="1"/>
  <c r="F518" i="1"/>
  <c r="H518" i="1"/>
  <c r="J518" i="1"/>
  <c r="K518" i="1"/>
  <c r="L518" i="1"/>
  <c r="M518" i="1"/>
  <c r="O518" i="1" s="1"/>
  <c r="R518" i="1"/>
  <c r="Z518" i="1"/>
  <c r="AA518" i="1"/>
  <c r="E519" i="1"/>
  <c r="F519" i="1"/>
  <c r="H519" i="1"/>
  <c r="J519" i="1"/>
  <c r="K519" i="1"/>
  <c r="L519" i="1"/>
  <c r="M519" i="1"/>
  <c r="P519" i="1" s="1"/>
  <c r="R519" i="1"/>
  <c r="Z519" i="1"/>
  <c r="AA519" i="1"/>
  <c r="E520" i="1"/>
  <c r="F520" i="1"/>
  <c r="H520" i="1"/>
  <c r="J520" i="1"/>
  <c r="K520" i="1"/>
  <c r="L520" i="1"/>
  <c r="M520" i="1"/>
  <c r="O520" i="1" s="1"/>
  <c r="R520" i="1"/>
  <c r="Z520" i="1"/>
  <c r="AA520" i="1"/>
  <c r="E521" i="1"/>
  <c r="F521" i="1"/>
  <c r="H521" i="1"/>
  <c r="J521" i="1"/>
  <c r="K521" i="1"/>
  <c r="L521" i="1"/>
  <c r="M521" i="1"/>
  <c r="R521" i="1"/>
  <c r="Z521" i="1"/>
  <c r="AA521" i="1"/>
  <c r="E522" i="1"/>
  <c r="F522" i="1"/>
  <c r="H522" i="1"/>
  <c r="J522" i="1"/>
  <c r="K522" i="1"/>
  <c r="L522" i="1"/>
  <c r="M522" i="1"/>
  <c r="N522" i="1" s="1"/>
  <c r="R522" i="1"/>
  <c r="Z522" i="1"/>
  <c r="AA522" i="1"/>
  <c r="E523" i="1"/>
  <c r="F523" i="1"/>
  <c r="H523" i="1"/>
  <c r="J523" i="1"/>
  <c r="K523" i="1"/>
  <c r="L523" i="1"/>
  <c r="M523" i="1"/>
  <c r="P523" i="1" s="1"/>
  <c r="R523" i="1"/>
  <c r="Z523" i="1"/>
  <c r="AA523" i="1"/>
  <c r="E524" i="1"/>
  <c r="F524" i="1"/>
  <c r="H524" i="1"/>
  <c r="J524" i="1"/>
  <c r="K524" i="1"/>
  <c r="L524" i="1"/>
  <c r="M524" i="1"/>
  <c r="O524" i="1" s="1"/>
  <c r="R524" i="1"/>
  <c r="Z524" i="1"/>
  <c r="AA524" i="1"/>
  <c r="E525" i="1"/>
  <c r="F525" i="1"/>
  <c r="H525" i="1"/>
  <c r="J525" i="1"/>
  <c r="K525" i="1"/>
  <c r="L525" i="1"/>
  <c r="M525" i="1"/>
  <c r="R525" i="1"/>
  <c r="Z525" i="1"/>
  <c r="AA525" i="1"/>
  <c r="E526" i="1"/>
  <c r="F526" i="1"/>
  <c r="H526" i="1"/>
  <c r="J526" i="1"/>
  <c r="K526" i="1"/>
  <c r="L526" i="1"/>
  <c r="M526" i="1"/>
  <c r="O526" i="1" s="1"/>
  <c r="R526" i="1"/>
  <c r="Z526" i="1"/>
  <c r="AA526" i="1"/>
  <c r="E527" i="1"/>
  <c r="F527" i="1"/>
  <c r="H527" i="1"/>
  <c r="J527" i="1"/>
  <c r="K527" i="1"/>
  <c r="L527" i="1"/>
  <c r="M527" i="1"/>
  <c r="P527" i="1" s="1"/>
  <c r="R527" i="1"/>
  <c r="Z527" i="1"/>
  <c r="AA527" i="1"/>
  <c r="E528" i="1"/>
  <c r="F528" i="1"/>
  <c r="H528" i="1"/>
  <c r="J528" i="1"/>
  <c r="K528" i="1"/>
  <c r="L528" i="1"/>
  <c r="M528" i="1"/>
  <c r="R528" i="1"/>
  <c r="Z528" i="1"/>
  <c r="AA528" i="1"/>
  <c r="E529" i="1"/>
  <c r="F529" i="1"/>
  <c r="H529" i="1"/>
  <c r="J529" i="1"/>
  <c r="K529" i="1"/>
  <c r="L529" i="1"/>
  <c r="M529" i="1"/>
  <c r="R529" i="1"/>
  <c r="Z529" i="1"/>
  <c r="AA529" i="1"/>
  <c r="E530" i="1"/>
  <c r="F530" i="1"/>
  <c r="H530" i="1"/>
  <c r="J530" i="1"/>
  <c r="K530" i="1"/>
  <c r="L530" i="1"/>
  <c r="M530" i="1"/>
  <c r="N530" i="1" s="1"/>
  <c r="R530" i="1"/>
  <c r="Z530" i="1"/>
  <c r="AA530" i="1"/>
  <c r="E531" i="1"/>
  <c r="F531" i="1"/>
  <c r="H531" i="1"/>
  <c r="J531" i="1"/>
  <c r="K531" i="1"/>
  <c r="L531" i="1"/>
  <c r="M531" i="1"/>
  <c r="P531" i="1" s="1"/>
  <c r="R531" i="1"/>
  <c r="Z531" i="1"/>
  <c r="AA531" i="1"/>
  <c r="E532" i="1"/>
  <c r="F532" i="1"/>
  <c r="H532" i="1"/>
  <c r="J532" i="1"/>
  <c r="K532" i="1"/>
  <c r="L532" i="1"/>
  <c r="M532" i="1"/>
  <c r="R532" i="1"/>
  <c r="Z532" i="1"/>
  <c r="AA532" i="1"/>
  <c r="E533" i="1"/>
  <c r="F533" i="1"/>
  <c r="H533" i="1"/>
  <c r="J533" i="1"/>
  <c r="K533" i="1"/>
  <c r="L533" i="1"/>
  <c r="M533" i="1"/>
  <c r="R533" i="1"/>
  <c r="Z533" i="1"/>
  <c r="AA533" i="1"/>
  <c r="E534" i="1"/>
  <c r="F534" i="1"/>
  <c r="H534" i="1"/>
  <c r="J534" i="1"/>
  <c r="K534" i="1"/>
  <c r="L534" i="1"/>
  <c r="M534" i="1"/>
  <c r="O534" i="1" s="1"/>
  <c r="R534" i="1"/>
  <c r="Z534" i="1"/>
  <c r="AA534" i="1"/>
  <c r="E535" i="1"/>
  <c r="F535" i="1"/>
  <c r="H535" i="1"/>
  <c r="J535" i="1"/>
  <c r="K535" i="1"/>
  <c r="L535" i="1"/>
  <c r="M535" i="1"/>
  <c r="P535" i="1" s="1"/>
  <c r="R535" i="1"/>
  <c r="Z535" i="1"/>
  <c r="AA535" i="1"/>
  <c r="E536" i="1"/>
  <c r="F536" i="1"/>
  <c r="H536" i="1"/>
  <c r="J536" i="1"/>
  <c r="K536" i="1"/>
  <c r="L536" i="1"/>
  <c r="M536" i="1"/>
  <c r="O536" i="1" s="1"/>
  <c r="R536" i="1"/>
  <c r="Z536" i="1"/>
  <c r="AA536" i="1"/>
  <c r="E537" i="1"/>
  <c r="F537" i="1"/>
  <c r="H537" i="1"/>
  <c r="J537" i="1"/>
  <c r="K537" i="1"/>
  <c r="L537" i="1"/>
  <c r="M537" i="1"/>
  <c r="R537" i="1"/>
  <c r="Z537" i="1"/>
  <c r="AA537" i="1"/>
  <c r="E538" i="1"/>
  <c r="F538" i="1"/>
  <c r="H538" i="1"/>
  <c r="J538" i="1"/>
  <c r="K538" i="1"/>
  <c r="L538" i="1"/>
  <c r="M538" i="1"/>
  <c r="N538" i="1" s="1"/>
  <c r="R538" i="1"/>
  <c r="Z538" i="1"/>
  <c r="AA538" i="1"/>
  <c r="E539" i="1"/>
  <c r="F539" i="1"/>
  <c r="H539" i="1"/>
  <c r="J539" i="1"/>
  <c r="K539" i="1"/>
  <c r="L539" i="1"/>
  <c r="M539" i="1"/>
  <c r="P539" i="1" s="1"/>
  <c r="R539" i="1"/>
  <c r="Z539" i="1"/>
  <c r="AA539" i="1"/>
  <c r="E540" i="1"/>
  <c r="F540" i="1"/>
  <c r="H540" i="1"/>
  <c r="J540" i="1"/>
  <c r="K540" i="1"/>
  <c r="L540" i="1"/>
  <c r="M540" i="1"/>
  <c r="O540" i="1" s="1"/>
  <c r="R540" i="1"/>
  <c r="Z540" i="1"/>
  <c r="AA540" i="1"/>
  <c r="E541" i="1"/>
  <c r="F541" i="1"/>
  <c r="H541" i="1"/>
  <c r="J541" i="1"/>
  <c r="K541" i="1"/>
  <c r="L541" i="1"/>
  <c r="M541" i="1"/>
  <c r="R541" i="1"/>
  <c r="Z541" i="1"/>
  <c r="AA541" i="1"/>
  <c r="E542" i="1"/>
  <c r="F542" i="1"/>
  <c r="H542" i="1"/>
  <c r="J542" i="1"/>
  <c r="K542" i="1"/>
  <c r="L542" i="1"/>
  <c r="M542" i="1"/>
  <c r="O542" i="1" s="1"/>
  <c r="R542" i="1"/>
  <c r="Z542" i="1"/>
  <c r="AA542" i="1"/>
  <c r="E543" i="1"/>
  <c r="F543" i="1"/>
  <c r="H543" i="1"/>
  <c r="J543" i="1"/>
  <c r="K543" i="1"/>
  <c r="L543" i="1"/>
  <c r="M543" i="1"/>
  <c r="P543" i="1" s="1"/>
  <c r="R543" i="1"/>
  <c r="Z543" i="1"/>
  <c r="AA543" i="1"/>
  <c r="E544" i="1"/>
  <c r="F544" i="1"/>
  <c r="H544" i="1"/>
  <c r="J544" i="1"/>
  <c r="K544" i="1"/>
  <c r="L544" i="1"/>
  <c r="M544" i="1"/>
  <c r="R544" i="1"/>
  <c r="Z544" i="1"/>
  <c r="AA544" i="1"/>
  <c r="E545" i="1"/>
  <c r="F545" i="1"/>
  <c r="H545" i="1"/>
  <c r="J545" i="1"/>
  <c r="K545" i="1"/>
  <c r="L545" i="1"/>
  <c r="M545" i="1"/>
  <c r="R545" i="1"/>
  <c r="Z545" i="1"/>
  <c r="AA545" i="1"/>
  <c r="E546" i="1"/>
  <c r="F546" i="1"/>
  <c r="H546" i="1"/>
  <c r="J546" i="1"/>
  <c r="K546" i="1"/>
  <c r="L546" i="1"/>
  <c r="M546" i="1"/>
  <c r="N546" i="1" s="1"/>
  <c r="R546" i="1"/>
  <c r="Z546" i="1"/>
  <c r="AA546" i="1"/>
  <c r="E547" i="1"/>
  <c r="F547" i="1"/>
  <c r="H547" i="1"/>
  <c r="J547" i="1"/>
  <c r="K547" i="1"/>
  <c r="L547" i="1"/>
  <c r="M547" i="1"/>
  <c r="P547" i="1" s="1"/>
  <c r="R547" i="1"/>
  <c r="Z547" i="1"/>
  <c r="AA547" i="1"/>
  <c r="E548" i="1"/>
  <c r="F548" i="1"/>
  <c r="H548" i="1"/>
  <c r="J548" i="1"/>
  <c r="K548" i="1"/>
  <c r="L548" i="1"/>
  <c r="M548" i="1"/>
  <c r="R548" i="1"/>
  <c r="Z548" i="1"/>
  <c r="AA548" i="1"/>
  <c r="E549" i="1"/>
  <c r="F549" i="1"/>
  <c r="H549" i="1"/>
  <c r="J549" i="1"/>
  <c r="K549" i="1"/>
  <c r="L549" i="1"/>
  <c r="M549" i="1"/>
  <c r="R549" i="1"/>
  <c r="Z549" i="1"/>
  <c r="AA549" i="1"/>
  <c r="E550" i="1"/>
  <c r="F550" i="1"/>
  <c r="H550" i="1"/>
  <c r="J550" i="1"/>
  <c r="K550" i="1"/>
  <c r="L550" i="1"/>
  <c r="M550" i="1"/>
  <c r="O550" i="1" s="1"/>
  <c r="R550" i="1"/>
  <c r="Z550" i="1"/>
  <c r="AA550" i="1"/>
  <c r="E551" i="1"/>
  <c r="F551" i="1"/>
  <c r="H551" i="1"/>
  <c r="J551" i="1"/>
  <c r="K551" i="1"/>
  <c r="L551" i="1"/>
  <c r="M551" i="1"/>
  <c r="P551" i="1" s="1"/>
  <c r="R551" i="1"/>
  <c r="Z551" i="1"/>
  <c r="AA551" i="1"/>
  <c r="E552" i="1"/>
  <c r="F552" i="1"/>
  <c r="H552" i="1"/>
  <c r="J552" i="1"/>
  <c r="K552" i="1"/>
  <c r="L552" i="1"/>
  <c r="M552" i="1"/>
  <c r="O552" i="1" s="1"/>
  <c r="R552" i="1"/>
  <c r="Z552" i="1"/>
  <c r="AA552" i="1"/>
  <c r="E553" i="1"/>
  <c r="F553" i="1"/>
  <c r="H553" i="1"/>
  <c r="J553" i="1"/>
  <c r="K553" i="1"/>
  <c r="L553" i="1"/>
  <c r="M553" i="1"/>
  <c r="R553" i="1"/>
  <c r="Z553" i="1"/>
  <c r="AA553" i="1"/>
  <c r="E554" i="1"/>
  <c r="F554" i="1"/>
  <c r="H554" i="1"/>
  <c r="J554" i="1"/>
  <c r="K554" i="1"/>
  <c r="L554" i="1"/>
  <c r="M554" i="1"/>
  <c r="N554" i="1" s="1"/>
  <c r="R554" i="1"/>
  <c r="Z554" i="1"/>
  <c r="AA554" i="1"/>
  <c r="E555" i="1"/>
  <c r="F555" i="1"/>
  <c r="H555" i="1"/>
  <c r="J555" i="1"/>
  <c r="K555" i="1"/>
  <c r="L555" i="1"/>
  <c r="M555" i="1"/>
  <c r="P555" i="1" s="1"/>
  <c r="R555" i="1"/>
  <c r="Z555" i="1"/>
  <c r="AA555" i="1"/>
  <c r="E556" i="1"/>
  <c r="F556" i="1"/>
  <c r="H556" i="1"/>
  <c r="J556" i="1"/>
  <c r="K556" i="1"/>
  <c r="L556" i="1"/>
  <c r="M556" i="1"/>
  <c r="O556" i="1" s="1"/>
  <c r="R556" i="1"/>
  <c r="Z556" i="1"/>
  <c r="AA556" i="1"/>
  <c r="E557" i="1"/>
  <c r="F557" i="1"/>
  <c r="H557" i="1"/>
  <c r="J557" i="1"/>
  <c r="K557" i="1"/>
  <c r="L557" i="1"/>
  <c r="M557" i="1"/>
  <c r="R557" i="1"/>
  <c r="Z557" i="1"/>
  <c r="AA557" i="1"/>
  <c r="E558" i="1"/>
  <c r="F558" i="1"/>
  <c r="H558" i="1"/>
  <c r="J558" i="1"/>
  <c r="K558" i="1"/>
  <c r="L558" i="1"/>
  <c r="M558" i="1"/>
  <c r="O558" i="1" s="1"/>
  <c r="R558" i="1"/>
  <c r="Z558" i="1"/>
  <c r="AA558" i="1"/>
  <c r="E559" i="1"/>
  <c r="F559" i="1"/>
  <c r="H559" i="1"/>
  <c r="J559" i="1"/>
  <c r="K559" i="1"/>
  <c r="L559" i="1"/>
  <c r="M559" i="1"/>
  <c r="P559" i="1" s="1"/>
  <c r="R559" i="1"/>
  <c r="Z559" i="1"/>
  <c r="AA559" i="1"/>
  <c r="E560" i="1"/>
  <c r="F560" i="1"/>
  <c r="H560" i="1"/>
  <c r="J560" i="1"/>
  <c r="K560" i="1"/>
  <c r="L560" i="1"/>
  <c r="M560" i="1"/>
  <c r="R560" i="1"/>
  <c r="Z560" i="1"/>
  <c r="AA560" i="1"/>
  <c r="E561" i="1"/>
  <c r="F561" i="1"/>
  <c r="H561" i="1"/>
  <c r="J561" i="1"/>
  <c r="K561" i="1"/>
  <c r="L561" i="1"/>
  <c r="M561" i="1"/>
  <c r="R561" i="1"/>
  <c r="Z561" i="1"/>
  <c r="AA561" i="1"/>
  <c r="E562" i="1"/>
  <c r="F562" i="1"/>
  <c r="H562" i="1"/>
  <c r="J562" i="1"/>
  <c r="K562" i="1"/>
  <c r="L562" i="1"/>
  <c r="M562" i="1"/>
  <c r="N562" i="1" s="1"/>
  <c r="R562" i="1"/>
  <c r="Z562" i="1"/>
  <c r="AA562" i="1"/>
  <c r="E563" i="1"/>
  <c r="F563" i="1"/>
  <c r="H563" i="1"/>
  <c r="J563" i="1"/>
  <c r="K563" i="1"/>
  <c r="L563" i="1"/>
  <c r="M563" i="1"/>
  <c r="P563" i="1" s="1"/>
  <c r="R563" i="1"/>
  <c r="Z563" i="1"/>
  <c r="AA563" i="1"/>
  <c r="E564" i="1"/>
  <c r="F564" i="1"/>
  <c r="H564" i="1"/>
  <c r="J564" i="1"/>
  <c r="K564" i="1"/>
  <c r="L564" i="1"/>
  <c r="M564" i="1"/>
  <c r="R564" i="1"/>
  <c r="Z564" i="1"/>
  <c r="AA564" i="1"/>
  <c r="E565" i="1"/>
  <c r="F565" i="1"/>
  <c r="H565" i="1"/>
  <c r="J565" i="1"/>
  <c r="K565" i="1"/>
  <c r="L565" i="1"/>
  <c r="M565" i="1"/>
  <c r="R565" i="1"/>
  <c r="Z565" i="1"/>
  <c r="AA565" i="1"/>
  <c r="E566" i="1"/>
  <c r="F566" i="1"/>
  <c r="H566" i="1"/>
  <c r="J566" i="1"/>
  <c r="K566" i="1"/>
  <c r="L566" i="1"/>
  <c r="M566" i="1"/>
  <c r="O566" i="1" s="1"/>
  <c r="R566" i="1"/>
  <c r="Z566" i="1"/>
  <c r="AA566" i="1"/>
  <c r="E567" i="1"/>
  <c r="F567" i="1"/>
  <c r="H567" i="1"/>
  <c r="J567" i="1"/>
  <c r="K567" i="1"/>
  <c r="L567" i="1"/>
  <c r="M567" i="1"/>
  <c r="P567" i="1" s="1"/>
  <c r="R567" i="1"/>
  <c r="Z567" i="1"/>
  <c r="AA567" i="1"/>
  <c r="E568" i="1"/>
  <c r="F568" i="1"/>
  <c r="H568" i="1"/>
  <c r="J568" i="1"/>
  <c r="K568" i="1"/>
  <c r="L568" i="1"/>
  <c r="M568" i="1"/>
  <c r="O568" i="1" s="1"/>
  <c r="R568" i="1"/>
  <c r="Z568" i="1"/>
  <c r="AA568" i="1"/>
  <c r="E569" i="1"/>
  <c r="F569" i="1"/>
  <c r="H569" i="1"/>
  <c r="J569" i="1"/>
  <c r="K569" i="1"/>
  <c r="L569" i="1"/>
  <c r="M569" i="1"/>
  <c r="R569" i="1"/>
  <c r="Z569" i="1"/>
  <c r="AA569" i="1"/>
  <c r="E570" i="1"/>
  <c r="F570" i="1"/>
  <c r="H570" i="1"/>
  <c r="J570" i="1"/>
  <c r="K570" i="1"/>
  <c r="L570" i="1"/>
  <c r="M570" i="1"/>
  <c r="N570" i="1" s="1"/>
  <c r="R570" i="1"/>
  <c r="Z570" i="1"/>
  <c r="AA570" i="1"/>
  <c r="E571" i="1"/>
  <c r="F571" i="1"/>
  <c r="H571" i="1"/>
  <c r="J571" i="1"/>
  <c r="K571" i="1"/>
  <c r="L571" i="1"/>
  <c r="M571" i="1"/>
  <c r="R571" i="1"/>
  <c r="Z571" i="1"/>
  <c r="AA571" i="1"/>
  <c r="E572" i="1"/>
  <c r="F572" i="1"/>
  <c r="H572" i="1"/>
  <c r="J572" i="1"/>
  <c r="K572" i="1"/>
  <c r="L572" i="1"/>
  <c r="M572" i="1"/>
  <c r="R572" i="1"/>
  <c r="Z572" i="1"/>
  <c r="AA572" i="1"/>
  <c r="E573" i="1"/>
  <c r="F573" i="1"/>
  <c r="H573" i="1"/>
  <c r="J573" i="1"/>
  <c r="K573" i="1"/>
  <c r="L573" i="1"/>
  <c r="M573" i="1"/>
  <c r="R573" i="1"/>
  <c r="Z573" i="1"/>
  <c r="AA573" i="1"/>
  <c r="E574" i="1"/>
  <c r="F574" i="1"/>
  <c r="H574" i="1"/>
  <c r="J574" i="1"/>
  <c r="K574" i="1"/>
  <c r="L574" i="1"/>
  <c r="M574" i="1"/>
  <c r="N574" i="1" s="1"/>
  <c r="R574" i="1"/>
  <c r="Z574" i="1"/>
  <c r="AA574" i="1"/>
  <c r="E575" i="1"/>
  <c r="F575" i="1"/>
  <c r="H575" i="1"/>
  <c r="J575" i="1"/>
  <c r="K575" i="1"/>
  <c r="L575" i="1"/>
  <c r="M575" i="1"/>
  <c r="P575" i="1" s="1"/>
  <c r="R575" i="1"/>
  <c r="Z575" i="1"/>
  <c r="AA575" i="1"/>
  <c r="E576" i="1"/>
  <c r="F576" i="1"/>
  <c r="H576" i="1"/>
  <c r="J576" i="1"/>
  <c r="K576" i="1"/>
  <c r="L576" i="1"/>
  <c r="M576" i="1"/>
  <c r="O576" i="1" s="1"/>
  <c r="R576" i="1"/>
  <c r="Z576" i="1"/>
  <c r="AA576" i="1"/>
  <c r="E577" i="1"/>
  <c r="F577" i="1"/>
  <c r="H577" i="1"/>
  <c r="J577" i="1"/>
  <c r="K577" i="1"/>
  <c r="L577" i="1"/>
  <c r="M577" i="1"/>
  <c r="N577" i="1" s="1"/>
  <c r="R577" i="1"/>
  <c r="Z577" i="1"/>
  <c r="AA577" i="1"/>
  <c r="E578" i="1"/>
  <c r="F578" i="1"/>
  <c r="H578" i="1"/>
  <c r="J578" i="1"/>
  <c r="K578" i="1"/>
  <c r="L578" i="1"/>
  <c r="M578" i="1"/>
  <c r="N578" i="1" s="1"/>
  <c r="R578" i="1"/>
  <c r="Z578" i="1"/>
  <c r="AA578" i="1"/>
  <c r="E579" i="1"/>
  <c r="F579" i="1"/>
  <c r="H579" i="1"/>
  <c r="J579" i="1"/>
  <c r="K579" i="1"/>
  <c r="L579" i="1"/>
  <c r="M579" i="1"/>
  <c r="P579" i="1" s="1"/>
  <c r="R579" i="1"/>
  <c r="Z579" i="1"/>
  <c r="AA579" i="1"/>
  <c r="E580" i="1"/>
  <c r="F580" i="1"/>
  <c r="H580" i="1"/>
  <c r="J580" i="1"/>
  <c r="K580" i="1"/>
  <c r="L580" i="1"/>
  <c r="M580" i="1"/>
  <c r="O580" i="1" s="1"/>
  <c r="R580" i="1"/>
  <c r="Z580" i="1"/>
  <c r="AA580" i="1"/>
  <c r="E581" i="1"/>
  <c r="F581" i="1"/>
  <c r="H581" i="1"/>
  <c r="J581" i="1"/>
  <c r="K581" i="1"/>
  <c r="L581" i="1"/>
  <c r="M581" i="1"/>
  <c r="N581" i="1" s="1"/>
  <c r="R581" i="1"/>
  <c r="Z581" i="1"/>
  <c r="AA581" i="1"/>
  <c r="E582" i="1"/>
  <c r="F582" i="1"/>
  <c r="H582" i="1"/>
  <c r="J582" i="1"/>
  <c r="K582" i="1"/>
  <c r="L582" i="1"/>
  <c r="M582" i="1"/>
  <c r="R582" i="1"/>
  <c r="Z582" i="1"/>
  <c r="AA582" i="1"/>
  <c r="E583" i="1"/>
  <c r="F583" i="1"/>
  <c r="H583" i="1"/>
  <c r="J583" i="1"/>
  <c r="K583" i="1"/>
  <c r="L583" i="1"/>
  <c r="M583" i="1"/>
  <c r="P583" i="1" s="1"/>
  <c r="R583" i="1"/>
  <c r="Z583" i="1"/>
  <c r="AA583" i="1"/>
  <c r="E584" i="1"/>
  <c r="F584" i="1"/>
  <c r="H584" i="1"/>
  <c r="J584" i="1"/>
  <c r="K584" i="1"/>
  <c r="L584" i="1"/>
  <c r="M584" i="1"/>
  <c r="O584" i="1" s="1"/>
  <c r="R584" i="1"/>
  <c r="Z584" i="1"/>
  <c r="AA584" i="1"/>
  <c r="E585" i="1"/>
  <c r="F585" i="1"/>
  <c r="H585" i="1"/>
  <c r="J585" i="1"/>
  <c r="K585" i="1"/>
  <c r="L585" i="1"/>
  <c r="M585" i="1"/>
  <c r="R585" i="1"/>
  <c r="Z585" i="1"/>
  <c r="AA585" i="1"/>
  <c r="E586" i="1"/>
  <c r="F586" i="1"/>
  <c r="H586" i="1"/>
  <c r="J586" i="1"/>
  <c r="K586" i="1"/>
  <c r="L586" i="1"/>
  <c r="M586" i="1"/>
  <c r="N586" i="1" s="1"/>
  <c r="R586" i="1"/>
  <c r="Z586" i="1"/>
  <c r="AA586" i="1"/>
  <c r="E587" i="1"/>
  <c r="F587" i="1"/>
  <c r="H587" i="1"/>
  <c r="J587" i="1"/>
  <c r="K587" i="1"/>
  <c r="L587" i="1"/>
  <c r="M587" i="1"/>
  <c r="R587" i="1"/>
  <c r="Z587" i="1"/>
  <c r="AA587" i="1"/>
  <c r="E588" i="1"/>
  <c r="F588" i="1"/>
  <c r="H588" i="1"/>
  <c r="J588" i="1"/>
  <c r="K588" i="1"/>
  <c r="L588" i="1"/>
  <c r="M588" i="1"/>
  <c r="R588" i="1"/>
  <c r="Z588" i="1"/>
  <c r="AA588" i="1"/>
  <c r="E589" i="1"/>
  <c r="F589" i="1"/>
  <c r="H589" i="1"/>
  <c r="J589" i="1"/>
  <c r="K589" i="1"/>
  <c r="L589" i="1"/>
  <c r="M589" i="1"/>
  <c r="R589" i="1"/>
  <c r="Z589" i="1"/>
  <c r="AA589" i="1"/>
  <c r="E590" i="1"/>
  <c r="F590" i="1"/>
  <c r="H590" i="1"/>
  <c r="J590" i="1"/>
  <c r="K590" i="1"/>
  <c r="L590" i="1"/>
  <c r="M590" i="1"/>
  <c r="N590" i="1" s="1"/>
  <c r="R590" i="1"/>
  <c r="Z590" i="1"/>
  <c r="AA590" i="1"/>
  <c r="E591" i="1"/>
  <c r="F591" i="1"/>
  <c r="H591" i="1"/>
  <c r="J591" i="1"/>
  <c r="K591" i="1"/>
  <c r="L591" i="1"/>
  <c r="M591" i="1"/>
  <c r="P591" i="1" s="1"/>
  <c r="R591" i="1"/>
  <c r="Z591" i="1"/>
  <c r="AA591" i="1"/>
  <c r="E592" i="1"/>
  <c r="F592" i="1"/>
  <c r="H592" i="1"/>
  <c r="J592" i="1"/>
  <c r="K592" i="1"/>
  <c r="L592" i="1"/>
  <c r="M592" i="1"/>
  <c r="O592" i="1" s="1"/>
  <c r="R592" i="1"/>
  <c r="Z592" i="1"/>
  <c r="AA592" i="1"/>
  <c r="E593" i="1"/>
  <c r="F593" i="1"/>
  <c r="H593" i="1"/>
  <c r="J593" i="1"/>
  <c r="K593" i="1"/>
  <c r="L593" i="1"/>
  <c r="M593" i="1"/>
  <c r="N593" i="1" s="1"/>
  <c r="R593" i="1"/>
  <c r="Z593" i="1"/>
  <c r="AA593" i="1"/>
  <c r="E594" i="1"/>
  <c r="F594" i="1"/>
  <c r="H594" i="1"/>
  <c r="J594" i="1"/>
  <c r="K594" i="1"/>
  <c r="L594" i="1"/>
  <c r="M594" i="1"/>
  <c r="N594" i="1" s="1"/>
  <c r="R594" i="1"/>
  <c r="Z594" i="1"/>
  <c r="AA594" i="1"/>
  <c r="E595" i="1"/>
  <c r="F595" i="1"/>
  <c r="H595" i="1"/>
  <c r="J595" i="1"/>
  <c r="K595" i="1"/>
  <c r="L595" i="1"/>
  <c r="M595" i="1"/>
  <c r="P595" i="1" s="1"/>
  <c r="R595" i="1"/>
  <c r="Z595" i="1"/>
  <c r="AA595" i="1"/>
  <c r="E596" i="1"/>
  <c r="F596" i="1"/>
  <c r="H596" i="1"/>
  <c r="J596" i="1"/>
  <c r="K596" i="1"/>
  <c r="L596" i="1"/>
  <c r="M596" i="1"/>
  <c r="O596" i="1" s="1"/>
  <c r="R596" i="1"/>
  <c r="Z596" i="1"/>
  <c r="AA596" i="1"/>
  <c r="E597" i="1"/>
  <c r="F597" i="1"/>
  <c r="H597" i="1"/>
  <c r="J597" i="1"/>
  <c r="K597" i="1"/>
  <c r="L597" i="1"/>
  <c r="M597" i="1"/>
  <c r="N597" i="1" s="1"/>
  <c r="R597" i="1"/>
  <c r="Z597" i="1"/>
  <c r="AA597" i="1"/>
  <c r="E598" i="1"/>
  <c r="F598" i="1"/>
  <c r="H598" i="1"/>
  <c r="J598" i="1"/>
  <c r="K598" i="1"/>
  <c r="L598" i="1"/>
  <c r="M598" i="1"/>
  <c r="R598" i="1"/>
  <c r="Z598" i="1"/>
  <c r="AA598" i="1"/>
  <c r="E599" i="1"/>
  <c r="F599" i="1"/>
  <c r="H599" i="1"/>
  <c r="J599" i="1"/>
  <c r="K599" i="1"/>
  <c r="L599" i="1"/>
  <c r="M599" i="1"/>
  <c r="P599" i="1" s="1"/>
  <c r="R599" i="1"/>
  <c r="Z599" i="1"/>
  <c r="AA599" i="1"/>
  <c r="E600" i="1"/>
  <c r="F600" i="1"/>
  <c r="H600" i="1"/>
  <c r="J600" i="1"/>
  <c r="K600" i="1"/>
  <c r="L600" i="1"/>
  <c r="M600" i="1"/>
  <c r="O600" i="1" s="1"/>
  <c r="R600" i="1"/>
  <c r="Z600" i="1"/>
  <c r="AA600" i="1"/>
  <c r="E601" i="1"/>
  <c r="F601" i="1"/>
  <c r="H601" i="1"/>
  <c r="J601" i="1"/>
  <c r="K601" i="1"/>
  <c r="L601" i="1"/>
  <c r="M601" i="1"/>
  <c r="R601" i="1"/>
  <c r="Z601" i="1"/>
  <c r="AA601" i="1"/>
  <c r="E602" i="1"/>
  <c r="F602" i="1"/>
  <c r="H602" i="1"/>
  <c r="J602" i="1"/>
  <c r="K602" i="1"/>
  <c r="L602" i="1"/>
  <c r="M602" i="1"/>
  <c r="N602" i="1" s="1"/>
  <c r="R602" i="1"/>
  <c r="Z602" i="1"/>
  <c r="AA602" i="1"/>
  <c r="E603" i="1"/>
  <c r="F603" i="1"/>
  <c r="H603" i="1"/>
  <c r="J603" i="1"/>
  <c r="K603" i="1"/>
  <c r="L603" i="1"/>
  <c r="M603" i="1"/>
  <c r="N603" i="1" s="1"/>
  <c r="R603" i="1"/>
  <c r="Z603" i="1"/>
  <c r="AA603" i="1"/>
  <c r="E604" i="1"/>
  <c r="F604" i="1"/>
  <c r="H604" i="1"/>
  <c r="J604" i="1"/>
  <c r="K604" i="1"/>
  <c r="L604" i="1"/>
  <c r="M604" i="1"/>
  <c r="O604" i="1" s="1"/>
  <c r="R604" i="1"/>
  <c r="Z604" i="1"/>
  <c r="AA604" i="1"/>
  <c r="E605" i="1"/>
  <c r="F605" i="1"/>
  <c r="H605" i="1"/>
  <c r="J605" i="1"/>
  <c r="K605" i="1"/>
  <c r="L605" i="1"/>
  <c r="M605" i="1"/>
  <c r="R605" i="1"/>
  <c r="Z605" i="1"/>
  <c r="AA605" i="1"/>
  <c r="E606" i="1"/>
  <c r="F606" i="1"/>
  <c r="H606" i="1"/>
  <c r="J606" i="1"/>
  <c r="K606" i="1"/>
  <c r="L606" i="1"/>
  <c r="M606" i="1"/>
  <c r="N606" i="1" s="1"/>
  <c r="R606" i="1"/>
  <c r="Z606" i="1"/>
  <c r="AA606" i="1"/>
  <c r="E607" i="1"/>
  <c r="F607" i="1"/>
  <c r="H607" i="1"/>
  <c r="J607" i="1"/>
  <c r="K607" i="1"/>
  <c r="L607" i="1"/>
  <c r="M607" i="1"/>
  <c r="O607" i="1" s="1"/>
  <c r="R607" i="1"/>
  <c r="Z607" i="1"/>
  <c r="AA607" i="1"/>
  <c r="E608" i="1"/>
  <c r="F608" i="1"/>
  <c r="H608" i="1"/>
  <c r="J608" i="1"/>
  <c r="K608" i="1"/>
  <c r="L608" i="1"/>
  <c r="M608" i="1"/>
  <c r="O608" i="1" s="1"/>
  <c r="R608" i="1"/>
  <c r="Z608" i="1"/>
  <c r="AA608" i="1"/>
  <c r="E609" i="1"/>
  <c r="F609" i="1"/>
  <c r="H609" i="1"/>
  <c r="J609" i="1"/>
  <c r="K609" i="1"/>
  <c r="L609" i="1"/>
  <c r="M609" i="1"/>
  <c r="R609" i="1"/>
  <c r="Z609" i="1"/>
  <c r="AA609" i="1"/>
  <c r="E610" i="1"/>
  <c r="F610" i="1"/>
  <c r="H610" i="1"/>
  <c r="J610" i="1"/>
  <c r="K610" i="1"/>
  <c r="L610" i="1"/>
  <c r="M610" i="1"/>
  <c r="N610" i="1" s="1"/>
  <c r="R610" i="1"/>
  <c r="Z610" i="1"/>
  <c r="AA610" i="1"/>
  <c r="E611" i="1"/>
  <c r="F611" i="1"/>
  <c r="H611" i="1"/>
  <c r="J611" i="1"/>
  <c r="K611" i="1"/>
  <c r="L611" i="1"/>
  <c r="M611" i="1"/>
  <c r="N611" i="1" s="1"/>
  <c r="R611" i="1"/>
  <c r="Z611" i="1"/>
  <c r="AA611" i="1"/>
  <c r="E612" i="1"/>
  <c r="F612" i="1"/>
  <c r="H612" i="1"/>
  <c r="J612" i="1"/>
  <c r="K612" i="1"/>
  <c r="L612" i="1"/>
  <c r="M612" i="1"/>
  <c r="O612" i="1" s="1"/>
  <c r="R612" i="1"/>
  <c r="Z612" i="1"/>
  <c r="AA612" i="1"/>
  <c r="E613" i="1"/>
  <c r="F613" i="1"/>
  <c r="H613" i="1"/>
  <c r="J613" i="1"/>
  <c r="K613" i="1"/>
  <c r="L613" i="1"/>
  <c r="M613" i="1"/>
  <c r="R613" i="1"/>
  <c r="Z613" i="1"/>
  <c r="AA613" i="1"/>
  <c r="E614" i="1"/>
  <c r="F614" i="1"/>
  <c r="H614" i="1"/>
  <c r="J614" i="1"/>
  <c r="K614" i="1"/>
  <c r="L614" i="1"/>
  <c r="M614" i="1"/>
  <c r="R614" i="1"/>
  <c r="Z614" i="1"/>
  <c r="AA614" i="1"/>
  <c r="E615" i="1"/>
  <c r="F615" i="1"/>
  <c r="H615" i="1"/>
  <c r="J615" i="1"/>
  <c r="K615" i="1"/>
  <c r="L615" i="1"/>
  <c r="M615" i="1"/>
  <c r="O615" i="1" s="1"/>
  <c r="R615" i="1"/>
  <c r="Z615" i="1"/>
  <c r="AA615" i="1"/>
  <c r="E616" i="1"/>
  <c r="F616" i="1"/>
  <c r="H616" i="1"/>
  <c r="J616" i="1"/>
  <c r="K616" i="1"/>
  <c r="L616" i="1"/>
  <c r="M616" i="1"/>
  <c r="R616" i="1"/>
  <c r="Z616" i="1"/>
  <c r="AA616" i="1"/>
  <c r="E617" i="1"/>
  <c r="F617" i="1"/>
  <c r="H617" i="1"/>
  <c r="J617" i="1"/>
  <c r="K617" i="1"/>
  <c r="L617" i="1"/>
  <c r="M617" i="1"/>
  <c r="R617" i="1"/>
  <c r="Z617" i="1"/>
  <c r="AA617" i="1"/>
  <c r="E618" i="1"/>
  <c r="F618" i="1"/>
  <c r="H618" i="1"/>
  <c r="J618" i="1"/>
  <c r="K618" i="1"/>
  <c r="L618" i="1"/>
  <c r="M618" i="1"/>
  <c r="N618" i="1" s="1"/>
  <c r="R618" i="1"/>
  <c r="Z618" i="1"/>
  <c r="AA618" i="1"/>
  <c r="E619" i="1"/>
  <c r="F619" i="1"/>
  <c r="H619" i="1"/>
  <c r="J619" i="1"/>
  <c r="K619" i="1"/>
  <c r="L619" i="1"/>
  <c r="M619" i="1"/>
  <c r="N619" i="1" s="1"/>
  <c r="R619" i="1"/>
  <c r="Z619" i="1"/>
  <c r="AA619" i="1"/>
  <c r="E620" i="1"/>
  <c r="F620" i="1"/>
  <c r="H620" i="1"/>
  <c r="J620" i="1"/>
  <c r="K620" i="1"/>
  <c r="L620" i="1"/>
  <c r="M620" i="1"/>
  <c r="O620" i="1" s="1"/>
  <c r="R620" i="1"/>
  <c r="Z620" i="1"/>
  <c r="AA620" i="1"/>
  <c r="E621" i="1"/>
  <c r="F621" i="1"/>
  <c r="H621" i="1"/>
  <c r="J621" i="1"/>
  <c r="K621" i="1"/>
  <c r="L621" i="1"/>
  <c r="M621" i="1"/>
  <c r="R621" i="1"/>
  <c r="Z621" i="1"/>
  <c r="AA621" i="1"/>
  <c r="E622" i="1"/>
  <c r="F622" i="1"/>
  <c r="H622" i="1"/>
  <c r="J622" i="1"/>
  <c r="K622" i="1"/>
  <c r="L622" i="1"/>
  <c r="M622" i="1"/>
  <c r="N622" i="1" s="1"/>
  <c r="R622" i="1"/>
  <c r="Z622" i="1"/>
  <c r="AA622" i="1"/>
  <c r="E623" i="1"/>
  <c r="F623" i="1"/>
  <c r="H623" i="1"/>
  <c r="J623" i="1"/>
  <c r="K623" i="1"/>
  <c r="L623" i="1"/>
  <c r="M623" i="1"/>
  <c r="N623" i="1" s="1"/>
  <c r="R623" i="1"/>
  <c r="Z623" i="1"/>
  <c r="AA623" i="1"/>
  <c r="E624" i="1"/>
  <c r="F624" i="1"/>
  <c r="H624" i="1"/>
  <c r="J624" i="1"/>
  <c r="K624" i="1"/>
  <c r="L624" i="1"/>
  <c r="M624" i="1"/>
  <c r="O624" i="1" s="1"/>
  <c r="R624" i="1"/>
  <c r="Z624" i="1"/>
  <c r="AA624" i="1"/>
  <c r="E625" i="1"/>
  <c r="F625" i="1"/>
  <c r="H625" i="1"/>
  <c r="J625" i="1"/>
  <c r="K625" i="1"/>
  <c r="L625" i="1"/>
  <c r="M625" i="1"/>
  <c r="R625" i="1"/>
  <c r="Z625" i="1"/>
  <c r="AA625" i="1"/>
  <c r="E626" i="1"/>
  <c r="F626" i="1"/>
  <c r="H626" i="1"/>
  <c r="J626" i="1"/>
  <c r="K626" i="1"/>
  <c r="L626" i="1"/>
  <c r="M626" i="1"/>
  <c r="N626" i="1" s="1"/>
  <c r="R626" i="1"/>
  <c r="Z626" i="1"/>
  <c r="AA626" i="1"/>
  <c r="E627" i="1"/>
  <c r="F627" i="1"/>
  <c r="H627" i="1"/>
  <c r="J627" i="1"/>
  <c r="K627" i="1"/>
  <c r="L627" i="1"/>
  <c r="M627" i="1"/>
  <c r="N627" i="1" s="1"/>
  <c r="R627" i="1"/>
  <c r="Z627" i="1"/>
  <c r="AA627" i="1"/>
  <c r="E628" i="1"/>
  <c r="F628" i="1"/>
  <c r="H628" i="1"/>
  <c r="J628" i="1"/>
  <c r="K628" i="1"/>
  <c r="L628" i="1"/>
  <c r="M628" i="1"/>
  <c r="O628" i="1" s="1"/>
  <c r="R628" i="1"/>
  <c r="Z628" i="1"/>
  <c r="AA628" i="1"/>
  <c r="E629" i="1"/>
  <c r="F629" i="1"/>
  <c r="H629" i="1"/>
  <c r="J629" i="1"/>
  <c r="K629" i="1"/>
  <c r="L629" i="1"/>
  <c r="M629" i="1"/>
  <c r="R629" i="1"/>
  <c r="Z629" i="1"/>
  <c r="AA629" i="1"/>
  <c r="E630" i="1"/>
  <c r="F630" i="1"/>
  <c r="H630" i="1"/>
  <c r="J630" i="1"/>
  <c r="K630" i="1"/>
  <c r="L630" i="1"/>
  <c r="M630" i="1"/>
  <c r="O630" i="1" s="1"/>
  <c r="R630" i="1"/>
  <c r="Z630" i="1"/>
  <c r="AA630" i="1"/>
  <c r="E631" i="1"/>
  <c r="F631" i="1"/>
  <c r="H631" i="1"/>
  <c r="J631" i="1"/>
  <c r="K631" i="1"/>
  <c r="L631" i="1"/>
  <c r="M631" i="1"/>
  <c r="O631" i="1" s="1"/>
  <c r="R631" i="1"/>
  <c r="Z631" i="1"/>
  <c r="AA631" i="1"/>
  <c r="E632" i="1"/>
  <c r="F632" i="1"/>
  <c r="H632" i="1"/>
  <c r="J632" i="1"/>
  <c r="K632" i="1"/>
  <c r="L632" i="1"/>
  <c r="M632" i="1"/>
  <c r="R632" i="1"/>
  <c r="Z632" i="1"/>
  <c r="AA632" i="1"/>
  <c r="E633" i="1"/>
  <c r="F633" i="1"/>
  <c r="H633" i="1"/>
  <c r="J633" i="1"/>
  <c r="K633" i="1"/>
  <c r="L633" i="1"/>
  <c r="M633" i="1"/>
  <c r="R633" i="1"/>
  <c r="Z633" i="1"/>
  <c r="AA633" i="1"/>
  <c r="E634" i="1"/>
  <c r="F634" i="1"/>
  <c r="H634" i="1"/>
  <c r="J634" i="1"/>
  <c r="K634" i="1"/>
  <c r="L634" i="1"/>
  <c r="M634" i="1"/>
  <c r="N634" i="1" s="1"/>
  <c r="R634" i="1"/>
  <c r="Z634" i="1"/>
  <c r="AA634" i="1"/>
  <c r="E635" i="1"/>
  <c r="F635" i="1"/>
  <c r="H635" i="1"/>
  <c r="J635" i="1"/>
  <c r="K635" i="1"/>
  <c r="L635" i="1"/>
  <c r="M635" i="1"/>
  <c r="N635" i="1" s="1"/>
  <c r="R635" i="1"/>
  <c r="Z635" i="1"/>
  <c r="AA635" i="1"/>
  <c r="E636" i="1"/>
  <c r="F636" i="1"/>
  <c r="H636" i="1"/>
  <c r="J636" i="1"/>
  <c r="K636" i="1"/>
  <c r="L636" i="1"/>
  <c r="M636" i="1"/>
  <c r="O636" i="1" s="1"/>
  <c r="R636" i="1"/>
  <c r="Z636" i="1"/>
  <c r="AA636" i="1"/>
  <c r="E637" i="1"/>
  <c r="F637" i="1"/>
  <c r="H637" i="1"/>
  <c r="J637" i="1"/>
  <c r="K637" i="1"/>
  <c r="L637" i="1"/>
  <c r="M637" i="1"/>
  <c r="R637" i="1"/>
  <c r="Z637" i="1"/>
  <c r="AA637" i="1"/>
  <c r="E638" i="1"/>
  <c r="F638" i="1"/>
  <c r="H638" i="1"/>
  <c r="J638" i="1"/>
  <c r="K638" i="1"/>
  <c r="L638" i="1"/>
  <c r="M638" i="1"/>
  <c r="N638" i="1" s="1"/>
  <c r="R638" i="1"/>
  <c r="Z638" i="1"/>
  <c r="AA638" i="1"/>
  <c r="E639" i="1"/>
  <c r="F639" i="1"/>
  <c r="H639" i="1"/>
  <c r="J639" i="1"/>
  <c r="K639" i="1"/>
  <c r="L639" i="1"/>
  <c r="M639" i="1"/>
  <c r="N639" i="1" s="1"/>
  <c r="R639" i="1"/>
  <c r="Z639" i="1"/>
  <c r="AA639" i="1"/>
  <c r="E640" i="1"/>
  <c r="F640" i="1"/>
  <c r="H640" i="1"/>
  <c r="J640" i="1"/>
  <c r="K640" i="1"/>
  <c r="L640" i="1"/>
  <c r="M640" i="1"/>
  <c r="O640" i="1" s="1"/>
  <c r="R640" i="1"/>
  <c r="Z640" i="1"/>
  <c r="AA640" i="1"/>
  <c r="E641" i="1"/>
  <c r="F641" i="1"/>
  <c r="H641" i="1"/>
  <c r="J641" i="1"/>
  <c r="K641" i="1"/>
  <c r="L641" i="1"/>
  <c r="M641" i="1"/>
  <c r="R641" i="1"/>
  <c r="Z641" i="1"/>
  <c r="AA641" i="1"/>
  <c r="E642" i="1"/>
  <c r="F642" i="1"/>
  <c r="H642" i="1"/>
  <c r="J642" i="1"/>
  <c r="K642" i="1"/>
  <c r="L642" i="1"/>
  <c r="M642" i="1"/>
  <c r="N642" i="1" s="1"/>
  <c r="R642" i="1"/>
  <c r="Z642" i="1"/>
  <c r="AA642" i="1"/>
  <c r="E643" i="1"/>
  <c r="F643" i="1"/>
  <c r="H643" i="1"/>
  <c r="J643" i="1"/>
  <c r="K643" i="1"/>
  <c r="L643" i="1"/>
  <c r="M643" i="1"/>
  <c r="N643" i="1" s="1"/>
  <c r="R643" i="1"/>
  <c r="Z643" i="1"/>
  <c r="AA643" i="1"/>
  <c r="E644" i="1"/>
  <c r="F644" i="1"/>
  <c r="H644" i="1"/>
  <c r="J644" i="1"/>
  <c r="K644" i="1"/>
  <c r="L644" i="1"/>
  <c r="M644" i="1"/>
  <c r="O644" i="1" s="1"/>
  <c r="R644" i="1"/>
  <c r="Z644" i="1"/>
  <c r="AA644" i="1"/>
  <c r="E645" i="1"/>
  <c r="F645" i="1"/>
  <c r="H645" i="1"/>
  <c r="J645" i="1"/>
  <c r="K645" i="1"/>
  <c r="L645" i="1"/>
  <c r="M645" i="1"/>
  <c r="R645" i="1"/>
  <c r="Z645" i="1"/>
  <c r="AA645" i="1"/>
  <c r="E646" i="1"/>
  <c r="F646" i="1"/>
  <c r="H646" i="1"/>
  <c r="J646" i="1"/>
  <c r="K646" i="1"/>
  <c r="L646" i="1"/>
  <c r="M646" i="1"/>
  <c r="R646" i="1"/>
  <c r="Z646" i="1"/>
  <c r="AA646" i="1"/>
  <c r="E647" i="1"/>
  <c r="F647" i="1"/>
  <c r="H647" i="1"/>
  <c r="J647" i="1"/>
  <c r="K647" i="1"/>
  <c r="L647" i="1"/>
  <c r="M647" i="1"/>
  <c r="O647" i="1" s="1"/>
  <c r="R647" i="1"/>
  <c r="Z647" i="1"/>
  <c r="AA647" i="1"/>
  <c r="E648" i="1"/>
  <c r="F648" i="1"/>
  <c r="H648" i="1"/>
  <c r="J648" i="1"/>
  <c r="K648" i="1"/>
  <c r="L648" i="1"/>
  <c r="M648" i="1"/>
  <c r="R648" i="1"/>
  <c r="Z648" i="1"/>
  <c r="AA648" i="1"/>
  <c r="E649" i="1"/>
  <c r="F649" i="1"/>
  <c r="H649" i="1"/>
  <c r="J649" i="1"/>
  <c r="K649" i="1"/>
  <c r="L649" i="1"/>
  <c r="M649" i="1"/>
  <c r="R649" i="1"/>
  <c r="Z649" i="1"/>
  <c r="AA649" i="1"/>
  <c r="E650" i="1"/>
  <c r="F650" i="1"/>
  <c r="H650" i="1"/>
  <c r="J650" i="1"/>
  <c r="K650" i="1"/>
  <c r="L650" i="1"/>
  <c r="M650" i="1"/>
  <c r="N650" i="1" s="1"/>
  <c r="R650" i="1"/>
  <c r="Z650" i="1"/>
  <c r="AA650" i="1"/>
  <c r="E651" i="1"/>
  <c r="F651" i="1"/>
  <c r="H651" i="1"/>
  <c r="J651" i="1"/>
  <c r="K651" i="1"/>
  <c r="L651" i="1"/>
  <c r="M651" i="1"/>
  <c r="N651" i="1" s="1"/>
  <c r="R651" i="1"/>
  <c r="Z651" i="1"/>
  <c r="AA651" i="1"/>
  <c r="E652" i="1"/>
  <c r="F652" i="1"/>
  <c r="H652" i="1"/>
  <c r="J652" i="1"/>
  <c r="K652" i="1"/>
  <c r="L652" i="1"/>
  <c r="M652" i="1"/>
  <c r="O652" i="1" s="1"/>
  <c r="R652" i="1"/>
  <c r="Z652" i="1"/>
  <c r="AA652" i="1"/>
  <c r="E653" i="1"/>
  <c r="F653" i="1"/>
  <c r="H653" i="1"/>
  <c r="J653" i="1"/>
  <c r="K653" i="1"/>
  <c r="L653" i="1"/>
  <c r="M653" i="1"/>
  <c r="R653" i="1"/>
  <c r="Z653" i="1"/>
  <c r="AA653" i="1"/>
  <c r="E654" i="1"/>
  <c r="F654" i="1"/>
  <c r="H654" i="1"/>
  <c r="J654" i="1"/>
  <c r="K654" i="1"/>
  <c r="L654" i="1"/>
  <c r="M654" i="1"/>
  <c r="N654" i="1" s="1"/>
  <c r="R654" i="1"/>
  <c r="Z654" i="1"/>
  <c r="AA654" i="1"/>
  <c r="E655" i="1"/>
  <c r="F655" i="1"/>
  <c r="H655" i="1"/>
  <c r="J655" i="1"/>
  <c r="K655" i="1"/>
  <c r="L655" i="1"/>
  <c r="M655" i="1"/>
  <c r="O655" i="1" s="1"/>
  <c r="R655" i="1"/>
  <c r="Z655" i="1"/>
  <c r="AA655" i="1"/>
  <c r="E656" i="1"/>
  <c r="F656" i="1"/>
  <c r="H656" i="1"/>
  <c r="J656" i="1"/>
  <c r="K656" i="1"/>
  <c r="L656" i="1"/>
  <c r="M656" i="1"/>
  <c r="O656" i="1" s="1"/>
  <c r="R656" i="1"/>
  <c r="Z656" i="1"/>
  <c r="AA656" i="1"/>
  <c r="E657" i="1"/>
  <c r="F657" i="1"/>
  <c r="H657" i="1"/>
  <c r="J657" i="1"/>
  <c r="K657" i="1"/>
  <c r="L657" i="1"/>
  <c r="M657" i="1"/>
  <c r="R657" i="1"/>
  <c r="Z657" i="1"/>
  <c r="AA657" i="1"/>
  <c r="E658" i="1"/>
  <c r="F658" i="1"/>
  <c r="H658" i="1"/>
  <c r="J658" i="1"/>
  <c r="K658" i="1"/>
  <c r="L658" i="1"/>
  <c r="M658" i="1"/>
  <c r="N658" i="1" s="1"/>
  <c r="R658" i="1"/>
  <c r="Z658" i="1"/>
  <c r="AA658" i="1"/>
  <c r="E659" i="1"/>
  <c r="F659" i="1"/>
  <c r="H659" i="1"/>
  <c r="J659" i="1"/>
  <c r="K659" i="1"/>
  <c r="L659" i="1"/>
  <c r="M659" i="1"/>
  <c r="N659" i="1" s="1"/>
  <c r="R659" i="1"/>
  <c r="Z659" i="1"/>
  <c r="AA659" i="1"/>
  <c r="E660" i="1"/>
  <c r="F660" i="1"/>
  <c r="H660" i="1"/>
  <c r="J660" i="1"/>
  <c r="K660" i="1"/>
  <c r="L660" i="1"/>
  <c r="M660" i="1"/>
  <c r="O660" i="1" s="1"/>
  <c r="R660" i="1"/>
  <c r="Z660" i="1"/>
  <c r="AA660" i="1"/>
  <c r="E661" i="1"/>
  <c r="F661" i="1"/>
  <c r="H661" i="1"/>
  <c r="J661" i="1"/>
  <c r="K661" i="1"/>
  <c r="L661" i="1"/>
  <c r="M661" i="1"/>
  <c r="R661" i="1"/>
  <c r="Z661" i="1"/>
  <c r="AA661" i="1"/>
  <c r="E662" i="1"/>
  <c r="F662" i="1"/>
  <c r="H662" i="1"/>
  <c r="J662" i="1"/>
  <c r="K662" i="1"/>
  <c r="L662" i="1"/>
  <c r="M662" i="1"/>
  <c r="N662" i="1" s="1"/>
  <c r="R662" i="1"/>
  <c r="Z662" i="1"/>
  <c r="AA662" i="1"/>
  <c r="E663" i="1"/>
  <c r="F663" i="1"/>
  <c r="H663" i="1"/>
  <c r="J663" i="1"/>
  <c r="K663" i="1"/>
  <c r="L663" i="1"/>
  <c r="M663" i="1"/>
  <c r="N663" i="1" s="1"/>
  <c r="R663" i="1"/>
  <c r="Z663" i="1"/>
  <c r="AA663" i="1"/>
  <c r="E664" i="1"/>
  <c r="F664" i="1"/>
  <c r="H664" i="1"/>
  <c r="J664" i="1"/>
  <c r="K664" i="1"/>
  <c r="L664" i="1"/>
  <c r="M664" i="1"/>
  <c r="O664" i="1" s="1"/>
  <c r="R664" i="1"/>
  <c r="Z664" i="1"/>
  <c r="AA664" i="1"/>
  <c r="E665" i="1"/>
  <c r="F665" i="1"/>
  <c r="H665" i="1"/>
  <c r="J665" i="1"/>
  <c r="K665" i="1"/>
  <c r="L665" i="1"/>
  <c r="M665" i="1"/>
  <c r="R665" i="1"/>
  <c r="Z665" i="1"/>
  <c r="AA665" i="1"/>
  <c r="E666" i="1"/>
  <c r="F666" i="1"/>
  <c r="H666" i="1"/>
  <c r="J666" i="1"/>
  <c r="K666" i="1"/>
  <c r="L666" i="1"/>
  <c r="M666" i="1"/>
  <c r="N666" i="1" s="1"/>
  <c r="R666" i="1"/>
  <c r="Z666" i="1"/>
  <c r="AA666" i="1"/>
  <c r="E667" i="1"/>
  <c r="F667" i="1"/>
  <c r="H667" i="1"/>
  <c r="J667" i="1"/>
  <c r="K667" i="1"/>
  <c r="L667" i="1"/>
  <c r="M667" i="1"/>
  <c r="N667" i="1" s="1"/>
  <c r="R667" i="1"/>
  <c r="Z667" i="1"/>
  <c r="AA667" i="1"/>
  <c r="E668" i="1"/>
  <c r="F668" i="1"/>
  <c r="H668" i="1"/>
  <c r="J668" i="1"/>
  <c r="K668" i="1"/>
  <c r="L668" i="1"/>
  <c r="M668" i="1"/>
  <c r="O668" i="1" s="1"/>
  <c r="R668" i="1"/>
  <c r="Z668" i="1"/>
  <c r="AA668" i="1"/>
  <c r="E669" i="1"/>
  <c r="F669" i="1"/>
  <c r="H669" i="1"/>
  <c r="J669" i="1"/>
  <c r="K669" i="1"/>
  <c r="L669" i="1"/>
  <c r="M669" i="1"/>
  <c r="R669" i="1"/>
  <c r="Z669" i="1"/>
  <c r="AA669" i="1"/>
  <c r="E670" i="1"/>
  <c r="F670" i="1"/>
  <c r="H670" i="1"/>
  <c r="J670" i="1"/>
  <c r="K670" i="1"/>
  <c r="L670" i="1"/>
  <c r="M670" i="1"/>
  <c r="N670" i="1" s="1"/>
  <c r="R670" i="1"/>
  <c r="Z670" i="1"/>
  <c r="AA670" i="1"/>
  <c r="E671" i="1"/>
  <c r="F671" i="1"/>
  <c r="H671" i="1"/>
  <c r="J671" i="1"/>
  <c r="K671" i="1"/>
  <c r="L671" i="1"/>
  <c r="M671" i="1"/>
  <c r="O671" i="1" s="1"/>
  <c r="R671" i="1"/>
  <c r="Z671" i="1"/>
  <c r="AA671" i="1"/>
  <c r="E672" i="1"/>
  <c r="F672" i="1"/>
  <c r="H672" i="1"/>
  <c r="J672" i="1"/>
  <c r="K672" i="1"/>
  <c r="L672" i="1"/>
  <c r="M672" i="1"/>
  <c r="O672" i="1" s="1"/>
  <c r="R672" i="1"/>
  <c r="Z672" i="1"/>
  <c r="AA672" i="1"/>
  <c r="E673" i="1"/>
  <c r="F673" i="1"/>
  <c r="H673" i="1"/>
  <c r="J673" i="1"/>
  <c r="K673" i="1"/>
  <c r="L673" i="1"/>
  <c r="M673" i="1"/>
  <c r="R673" i="1"/>
  <c r="Z673" i="1"/>
  <c r="AA673" i="1"/>
  <c r="E674" i="1"/>
  <c r="F674" i="1"/>
  <c r="H674" i="1"/>
  <c r="J674" i="1"/>
  <c r="K674" i="1"/>
  <c r="L674" i="1"/>
  <c r="M674" i="1"/>
  <c r="N674" i="1" s="1"/>
  <c r="R674" i="1"/>
  <c r="Z674" i="1"/>
  <c r="AA674" i="1"/>
  <c r="E675" i="1"/>
  <c r="F675" i="1"/>
  <c r="H675" i="1"/>
  <c r="J675" i="1"/>
  <c r="K675" i="1"/>
  <c r="L675" i="1"/>
  <c r="M675" i="1"/>
  <c r="N675" i="1" s="1"/>
  <c r="R675" i="1"/>
  <c r="Z675" i="1"/>
  <c r="AA675" i="1"/>
  <c r="E676" i="1"/>
  <c r="F676" i="1"/>
  <c r="H676" i="1"/>
  <c r="J676" i="1"/>
  <c r="K676" i="1"/>
  <c r="L676" i="1"/>
  <c r="M676" i="1"/>
  <c r="O676" i="1" s="1"/>
  <c r="R676" i="1"/>
  <c r="Z676" i="1"/>
  <c r="AA676" i="1"/>
  <c r="E677" i="1"/>
  <c r="F677" i="1"/>
  <c r="H677" i="1"/>
  <c r="J677" i="1"/>
  <c r="K677" i="1"/>
  <c r="L677" i="1"/>
  <c r="M677" i="1"/>
  <c r="R677" i="1"/>
  <c r="Z677" i="1"/>
  <c r="AA677" i="1"/>
  <c r="E678" i="1"/>
  <c r="F678" i="1"/>
  <c r="H678" i="1"/>
  <c r="J678" i="1"/>
  <c r="K678" i="1"/>
  <c r="L678" i="1"/>
  <c r="M678" i="1"/>
  <c r="N678" i="1" s="1"/>
  <c r="R678" i="1"/>
  <c r="Z678" i="1"/>
  <c r="AA678" i="1"/>
  <c r="E679" i="1"/>
  <c r="F679" i="1"/>
  <c r="H679" i="1"/>
  <c r="J679" i="1"/>
  <c r="K679" i="1"/>
  <c r="L679" i="1"/>
  <c r="M679" i="1"/>
  <c r="N679" i="1" s="1"/>
  <c r="R679" i="1"/>
  <c r="Z679" i="1"/>
  <c r="AA679" i="1"/>
  <c r="E680" i="1"/>
  <c r="F680" i="1"/>
  <c r="H680" i="1"/>
  <c r="J680" i="1"/>
  <c r="K680" i="1"/>
  <c r="L680" i="1"/>
  <c r="M680" i="1"/>
  <c r="O680" i="1" s="1"/>
  <c r="R680" i="1"/>
  <c r="Z680" i="1"/>
  <c r="AA680" i="1"/>
  <c r="E681" i="1"/>
  <c r="F681" i="1"/>
  <c r="H681" i="1"/>
  <c r="J681" i="1"/>
  <c r="K681" i="1"/>
  <c r="L681" i="1"/>
  <c r="M681" i="1"/>
  <c r="R681" i="1"/>
  <c r="Z681" i="1"/>
  <c r="AA681" i="1"/>
  <c r="E682" i="1"/>
  <c r="F682" i="1"/>
  <c r="H682" i="1"/>
  <c r="J682" i="1"/>
  <c r="K682" i="1"/>
  <c r="L682" i="1"/>
  <c r="M682" i="1"/>
  <c r="N682" i="1" s="1"/>
  <c r="R682" i="1"/>
  <c r="Z682" i="1"/>
  <c r="AA682" i="1"/>
  <c r="E683" i="1"/>
  <c r="F683" i="1"/>
  <c r="H683" i="1"/>
  <c r="J683" i="1"/>
  <c r="K683" i="1"/>
  <c r="L683" i="1"/>
  <c r="M683" i="1"/>
  <c r="N683" i="1" s="1"/>
  <c r="R683" i="1"/>
  <c r="Z683" i="1"/>
  <c r="AA683" i="1"/>
  <c r="E684" i="1"/>
  <c r="F684" i="1"/>
  <c r="H684" i="1"/>
  <c r="J684" i="1"/>
  <c r="K684" i="1"/>
  <c r="L684" i="1"/>
  <c r="M684" i="1"/>
  <c r="O684" i="1" s="1"/>
  <c r="R684" i="1"/>
  <c r="Z684" i="1"/>
  <c r="AA684" i="1"/>
  <c r="E685" i="1"/>
  <c r="F685" i="1"/>
  <c r="H685" i="1"/>
  <c r="J685" i="1"/>
  <c r="K685" i="1"/>
  <c r="L685" i="1"/>
  <c r="M685" i="1"/>
  <c r="R685" i="1"/>
  <c r="Z685" i="1"/>
  <c r="AA685" i="1"/>
  <c r="E686" i="1"/>
  <c r="F686" i="1"/>
  <c r="H686" i="1"/>
  <c r="J686" i="1"/>
  <c r="K686" i="1"/>
  <c r="L686" i="1"/>
  <c r="M686" i="1"/>
  <c r="N686" i="1" s="1"/>
  <c r="R686" i="1"/>
  <c r="Z686" i="1"/>
  <c r="AA686" i="1"/>
  <c r="E687" i="1"/>
  <c r="F687" i="1"/>
  <c r="H687" i="1"/>
  <c r="J687" i="1"/>
  <c r="K687" i="1"/>
  <c r="L687" i="1"/>
  <c r="M687" i="1"/>
  <c r="O687" i="1" s="1"/>
  <c r="R687" i="1"/>
  <c r="Z687" i="1"/>
  <c r="AA687" i="1"/>
  <c r="E688" i="1"/>
  <c r="F688" i="1"/>
  <c r="H688" i="1"/>
  <c r="J688" i="1"/>
  <c r="K688" i="1"/>
  <c r="L688" i="1"/>
  <c r="M688" i="1"/>
  <c r="O688" i="1" s="1"/>
  <c r="R688" i="1"/>
  <c r="Z688" i="1"/>
  <c r="AA688" i="1"/>
  <c r="E689" i="1"/>
  <c r="F689" i="1"/>
  <c r="H689" i="1"/>
  <c r="J689" i="1"/>
  <c r="K689" i="1"/>
  <c r="L689" i="1"/>
  <c r="M689" i="1"/>
  <c r="R689" i="1"/>
  <c r="Z689" i="1"/>
  <c r="AA689" i="1"/>
  <c r="E690" i="1"/>
  <c r="F690" i="1"/>
  <c r="H690" i="1"/>
  <c r="J690" i="1"/>
  <c r="K690" i="1"/>
  <c r="L690" i="1"/>
  <c r="M690" i="1"/>
  <c r="N690" i="1" s="1"/>
  <c r="R690" i="1"/>
  <c r="Z690" i="1"/>
  <c r="AA690" i="1"/>
  <c r="E691" i="1"/>
  <c r="F691" i="1"/>
  <c r="H691" i="1"/>
  <c r="J691" i="1"/>
  <c r="K691" i="1"/>
  <c r="L691" i="1"/>
  <c r="M691" i="1"/>
  <c r="N691" i="1" s="1"/>
  <c r="R691" i="1"/>
  <c r="Z691" i="1"/>
  <c r="AA691" i="1"/>
  <c r="E692" i="1"/>
  <c r="F692" i="1"/>
  <c r="H692" i="1"/>
  <c r="J692" i="1"/>
  <c r="K692" i="1"/>
  <c r="L692" i="1"/>
  <c r="M692" i="1"/>
  <c r="O692" i="1" s="1"/>
  <c r="R692" i="1"/>
  <c r="Z692" i="1"/>
  <c r="AA692" i="1"/>
  <c r="E693" i="1"/>
  <c r="F693" i="1"/>
  <c r="H693" i="1"/>
  <c r="J693" i="1"/>
  <c r="K693" i="1"/>
  <c r="L693" i="1"/>
  <c r="M693" i="1"/>
  <c r="R693" i="1"/>
  <c r="Z693" i="1"/>
  <c r="AA693" i="1"/>
  <c r="E694" i="1"/>
  <c r="F694" i="1"/>
  <c r="H694" i="1"/>
  <c r="J694" i="1"/>
  <c r="K694" i="1"/>
  <c r="L694" i="1"/>
  <c r="M694" i="1"/>
  <c r="N694" i="1" s="1"/>
  <c r="R694" i="1"/>
  <c r="Z694" i="1"/>
  <c r="AA694" i="1"/>
  <c r="E695" i="1"/>
  <c r="F695" i="1"/>
  <c r="H695" i="1"/>
  <c r="J695" i="1"/>
  <c r="K695" i="1"/>
  <c r="L695" i="1"/>
  <c r="M695" i="1"/>
  <c r="N695" i="1" s="1"/>
  <c r="R695" i="1"/>
  <c r="Z695" i="1"/>
  <c r="AA695" i="1"/>
  <c r="E696" i="1"/>
  <c r="F696" i="1"/>
  <c r="H696" i="1"/>
  <c r="J696" i="1"/>
  <c r="K696" i="1"/>
  <c r="L696" i="1"/>
  <c r="M696" i="1"/>
  <c r="O696" i="1" s="1"/>
  <c r="R696" i="1"/>
  <c r="Z696" i="1"/>
  <c r="AA696" i="1"/>
  <c r="E697" i="1"/>
  <c r="F697" i="1"/>
  <c r="H697" i="1"/>
  <c r="J697" i="1"/>
  <c r="K697" i="1"/>
  <c r="L697" i="1"/>
  <c r="M697" i="1"/>
  <c r="R697" i="1"/>
  <c r="Z697" i="1"/>
  <c r="AA697" i="1"/>
  <c r="E698" i="1"/>
  <c r="F698" i="1"/>
  <c r="H698" i="1"/>
  <c r="J698" i="1"/>
  <c r="K698" i="1"/>
  <c r="L698" i="1"/>
  <c r="M698" i="1"/>
  <c r="N698" i="1" s="1"/>
  <c r="R698" i="1"/>
  <c r="Z698" i="1"/>
  <c r="AA698" i="1"/>
  <c r="E699" i="1"/>
  <c r="F699" i="1"/>
  <c r="H699" i="1"/>
  <c r="J699" i="1"/>
  <c r="K699" i="1"/>
  <c r="L699" i="1"/>
  <c r="M699" i="1"/>
  <c r="N699" i="1" s="1"/>
  <c r="R699" i="1"/>
  <c r="Z699" i="1"/>
  <c r="AA699" i="1"/>
  <c r="E700" i="1"/>
  <c r="F700" i="1"/>
  <c r="H700" i="1"/>
  <c r="J700" i="1"/>
  <c r="K700" i="1"/>
  <c r="L700" i="1"/>
  <c r="M700" i="1"/>
  <c r="O700" i="1" s="1"/>
  <c r="R700" i="1"/>
  <c r="Z700" i="1"/>
  <c r="AA700" i="1"/>
  <c r="E701" i="1"/>
  <c r="F701" i="1"/>
  <c r="H701" i="1"/>
  <c r="J701" i="1"/>
  <c r="K701" i="1"/>
  <c r="L701" i="1"/>
  <c r="M701" i="1"/>
  <c r="R701" i="1"/>
  <c r="Z701" i="1"/>
  <c r="AA701" i="1"/>
  <c r="E702" i="1"/>
  <c r="F702" i="1"/>
  <c r="H702" i="1"/>
  <c r="J702" i="1"/>
  <c r="K702" i="1"/>
  <c r="L702" i="1"/>
  <c r="M702" i="1"/>
  <c r="N702" i="1" s="1"/>
  <c r="R702" i="1"/>
  <c r="Z702" i="1"/>
  <c r="AA702" i="1"/>
  <c r="E703" i="1"/>
  <c r="F703" i="1"/>
  <c r="H703" i="1"/>
  <c r="J703" i="1"/>
  <c r="K703" i="1"/>
  <c r="L703" i="1"/>
  <c r="M703" i="1"/>
  <c r="O703" i="1" s="1"/>
  <c r="R703" i="1"/>
  <c r="Z703" i="1"/>
  <c r="AA703" i="1"/>
  <c r="E704" i="1"/>
  <c r="F704" i="1"/>
  <c r="H704" i="1"/>
  <c r="J704" i="1"/>
  <c r="K704" i="1"/>
  <c r="L704" i="1"/>
  <c r="M704" i="1"/>
  <c r="O704" i="1" s="1"/>
  <c r="R704" i="1"/>
  <c r="Z704" i="1"/>
  <c r="AA704" i="1"/>
  <c r="E705" i="1"/>
  <c r="F705" i="1"/>
  <c r="H705" i="1"/>
  <c r="J705" i="1"/>
  <c r="K705" i="1"/>
  <c r="L705" i="1"/>
  <c r="M705" i="1"/>
  <c r="R705" i="1"/>
  <c r="Z705" i="1"/>
  <c r="AA705" i="1"/>
  <c r="E706" i="1"/>
  <c r="F706" i="1"/>
  <c r="H706" i="1"/>
  <c r="J706" i="1"/>
  <c r="K706" i="1"/>
  <c r="L706" i="1"/>
  <c r="M706" i="1"/>
  <c r="N706" i="1" s="1"/>
  <c r="R706" i="1"/>
  <c r="Z706" i="1"/>
  <c r="AA706" i="1"/>
  <c r="E707" i="1"/>
  <c r="F707" i="1"/>
  <c r="H707" i="1"/>
  <c r="J707" i="1"/>
  <c r="K707" i="1"/>
  <c r="L707" i="1"/>
  <c r="M707" i="1"/>
  <c r="N707" i="1" s="1"/>
  <c r="R707" i="1"/>
  <c r="Z707" i="1"/>
  <c r="AA707" i="1"/>
  <c r="E708" i="1"/>
  <c r="F708" i="1"/>
  <c r="H708" i="1"/>
  <c r="J708" i="1"/>
  <c r="K708" i="1"/>
  <c r="L708" i="1"/>
  <c r="M708" i="1"/>
  <c r="O708" i="1" s="1"/>
  <c r="R708" i="1"/>
  <c r="Z708" i="1"/>
  <c r="AA708" i="1"/>
  <c r="E709" i="1"/>
  <c r="F709" i="1"/>
  <c r="H709" i="1"/>
  <c r="J709" i="1"/>
  <c r="K709" i="1"/>
  <c r="L709" i="1"/>
  <c r="M709" i="1"/>
  <c r="R709" i="1"/>
  <c r="Z709" i="1"/>
  <c r="AA709" i="1"/>
  <c r="E710" i="1"/>
  <c r="F710" i="1"/>
  <c r="H710" i="1"/>
  <c r="J710" i="1"/>
  <c r="K710" i="1"/>
  <c r="L710" i="1"/>
  <c r="M710" i="1"/>
  <c r="N710" i="1" s="1"/>
  <c r="R710" i="1"/>
  <c r="Z710" i="1"/>
  <c r="AA710" i="1"/>
  <c r="E711" i="1"/>
  <c r="F711" i="1"/>
  <c r="H711" i="1"/>
  <c r="J711" i="1"/>
  <c r="K711" i="1"/>
  <c r="L711" i="1"/>
  <c r="M711" i="1"/>
  <c r="N711" i="1" s="1"/>
  <c r="R711" i="1"/>
  <c r="Z711" i="1"/>
  <c r="AA711" i="1"/>
  <c r="E712" i="1"/>
  <c r="F712" i="1"/>
  <c r="H712" i="1"/>
  <c r="J712" i="1"/>
  <c r="K712" i="1"/>
  <c r="L712" i="1"/>
  <c r="M712" i="1"/>
  <c r="O712" i="1" s="1"/>
  <c r="R712" i="1"/>
  <c r="Z712" i="1"/>
  <c r="AA712" i="1"/>
  <c r="E713" i="1"/>
  <c r="F713" i="1"/>
  <c r="H713" i="1"/>
  <c r="J713" i="1"/>
  <c r="K713" i="1"/>
  <c r="L713" i="1"/>
  <c r="M713" i="1"/>
  <c r="R713" i="1"/>
  <c r="Z713" i="1"/>
  <c r="AA713" i="1"/>
  <c r="E714" i="1"/>
  <c r="F714" i="1"/>
  <c r="H714" i="1"/>
  <c r="J714" i="1"/>
  <c r="K714" i="1"/>
  <c r="L714" i="1"/>
  <c r="M714" i="1"/>
  <c r="N714" i="1" s="1"/>
  <c r="R714" i="1"/>
  <c r="Z714" i="1"/>
  <c r="AA714" i="1"/>
  <c r="E715" i="1"/>
  <c r="F715" i="1"/>
  <c r="H715" i="1"/>
  <c r="J715" i="1"/>
  <c r="K715" i="1"/>
  <c r="L715" i="1"/>
  <c r="M715" i="1"/>
  <c r="N715" i="1" s="1"/>
  <c r="R715" i="1"/>
  <c r="Z715" i="1"/>
  <c r="AA715" i="1"/>
  <c r="E716" i="1"/>
  <c r="F716" i="1"/>
  <c r="H716" i="1"/>
  <c r="J716" i="1"/>
  <c r="K716" i="1"/>
  <c r="L716" i="1"/>
  <c r="M716" i="1"/>
  <c r="O716" i="1" s="1"/>
  <c r="R716" i="1"/>
  <c r="Z716" i="1"/>
  <c r="AA716" i="1"/>
  <c r="E717" i="1"/>
  <c r="F717" i="1"/>
  <c r="H717" i="1"/>
  <c r="J717" i="1"/>
  <c r="K717" i="1"/>
  <c r="L717" i="1"/>
  <c r="M717" i="1"/>
  <c r="R717" i="1"/>
  <c r="Z717" i="1"/>
  <c r="AA717" i="1"/>
  <c r="E718" i="1"/>
  <c r="F718" i="1"/>
  <c r="H718" i="1"/>
  <c r="J718" i="1"/>
  <c r="K718" i="1"/>
  <c r="L718" i="1"/>
  <c r="M718" i="1"/>
  <c r="N718" i="1" s="1"/>
  <c r="R718" i="1"/>
  <c r="Z718" i="1"/>
  <c r="AA718" i="1"/>
  <c r="E719" i="1"/>
  <c r="F719" i="1"/>
  <c r="H719" i="1"/>
  <c r="J719" i="1"/>
  <c r="K719" i="1"/>
  <c r="L719" i="1"/>
  <c r="M719" i="1"/>
  <c r="O719" i="1" s="1"/>
  <c r="R719" i="1"/>
  <c r="Z719" i="1"/>
  <c r="AA719" i="1"/>
  <c r="E720" i="1"/>
  <c r="F720" i="1"/>
  <c r="H720" i="1"/>
  <c r="J720" i="1"/>
  <c r="K720" i="1"/>
  <c r="L720" i="1"/>
  <c r="M720" i="1"/>
  <c r="O720" i="1" s="1"/>
  <c r="R720" i="1"/>
  <c r="Z720" i="1"/>
  <c r="AA720" i="1"/>
  <c r="E721" i="1"/>
  <c r="F721" i="1"/>
  <c r="H721" i="1"/>
  <c r="J721" i="1"/>
  <c r="K721" i="1"/>
  <c r="L721" i="1"/>
  <c r="M721" i="1"/>
  <c r="R721" i="1"/>
  <c r="Z721" i="1"/>
  <c r="AA721" i="1"/>
  <c r="E722" i="1"/>
  <c r="F722" i="1"/>
  <c r="H722" i="1"/>
  <c r="J722" i="1"/>
  <c r="K722" i="1"/>
  <c r="L722" i="1"/>
  <c r="M722" i="1"/>
  <c r="N722" i="1" s="1"/>
  <c r="R722" i="1"/>
  <c r="Z722" i="1"/>
  <c r="AA722" i="1"/>
  <c r="E723" i="1"/>
  <c r="F723" i="1"/>
  <c r="H723" i="1"/>
  <c r="J723" i="1"/>
  <c r="K723" i="1"/>
  <c r="L723" i="1"/>
  <c r="M723" i="1"/>
  <c r="N723" i="1" s="1"/>
  <c r="R723" i="1"/>
  <c r="Z723" i="1"/>
  <c r="AA723" i="1"/>
  <c r="E724" i="1"/>
  <c r="F724" i="1"/>
  <c r="H724" i="1"/>
  <c r="J724" i="1"/>
  <c r="K724" i="1"/>
  <c r="L724" i="1"/>
  <c r="M724" i="1"/>
  <c r="O724" i="1" s="1"/>
  <c r="R724" i="1"/>
  <c r="Z724" i="1"/>
  <c r="AA724" i="1"/>
  <c r="E725" i="1"/>
  <c r="F725" i="1"/>
  <c r="H725" i="1"/>
  <c r="J725" i="1"/>
  <c r="K725" i="1"/>
  <c r="L725" i="1"/>
  <c r="M725" i="1"/>
  <c r="R725" i="1"/>
  <c r="Z725" i="1"/>
  <c r="AA725" i="1"/>
  <c r="E726" i="1"/>
  <c r="F726" i="1"/>
  <c r="H726" i="1"/>
  <c r="J726" i="1"/>
  <c r="K726" i="1"/>
  <c r="L726" i="1"/>
  <c r="M726" i="1"/>
  <c r="N726" i="1" s="1"/>
  <c r="R726" i="1"/>
  <c r="Z726" i="1"/>
  <c r="AA726" i="1"/>
  <c r="E727" i="1"/>
  <c r="F727" i="1"/>
  <c r="H727" i="1"/>
  <c r="J727" i="1"/>
  <c r="K727" i="1"/>
  <c r="L727" i="1"/>
  <c r="M727" i="1"/>
  <c r="N727" i="1" s="1"/>
  <c r="R727" i="1"/>
  <c r="Z727" i="1"/>
  <c r="AA727" i="1"/>
  <c r="E728" i="1"/>
  <c r="F728" i="1"/>
  <c r="H728" i="1"/>
  <c r="J728" i="1"/>
  <c r="K728" i="1"/>
  <c r="L728" i="1"/>
  <c r="M728" i="1"/>
  <c r="O728" i="1" s="1"/>
  <c r="R728" i="1"/>
  <c r="Z728" i="1"/>
  <c r="AA728" i="1"/>
  <c r="E729" i="1"/>
  <c r="F729" i="1"/>
  <c r="H729" i="1"/>
  <c r="J729" i="1"/>
  <c r="K729" i="1"/>
  <c r="L729" i="1"/>
  <c r="M729" i="1"/>
  <c r="R729" i="1"/>
  <c r="Z729" i="1"/>
  <c r="AA729" i="1"/>
  <c r="E730" i="1"/>
  <c r="F730" i="1"/>
  <c r="H730" i="1"/>
  <c r="J730" i="1"/>
  <c r="K730" i="1"/>
  <c r="L730" i="1"/>
  <c r="M730" i="1"/>
  <c r="N730" i="1" s="1"/>
  <c r="R730" i="1"/>
  <c r="Z730" i="1"/>
  <c r="AA730" i="1"/>
  <c r="E731" i="1"/>
  <c r="F731" i="1"/>
  <c r="H731" i="1"/>
  <c r="J731" i="1"/>
  <c r="K731" i="1"/>
  <c r="L731" i="1"/>
  <c r="M731" i="1"/>
  <c r="N731" i="1" s="1"/>
  <c r="R731" i="1"/>
  <c r="Z731" i="1"/>
  <c r="AA731" i="1"/>
  <c r="E732" i="1"/>
  <c r="F732" i="1"/>
  <c r="H732" i="1"/>
  <c r="J732" i="1"/>
  <c r="K732" i="1"/>
  <c r="L732" i="1"/>
  <c r="M732" i="1"/>
  <c r="O732" i="1" s="1"/>
  <c r="R732" i="1"/>
  <c r="Z732" i="1"/>
  <c r="AA732" i="1"/>
  <c r="E733" i="1"/>
  <c r="F733" i="1"/>
  <c r="H733" i="1"/>
  <c r="J733" i="1"/>
  <c r="K733" i="1"/>
  <c r="L733" i="1"/>
  <c r="M733" i="1"/>
  <c r="R733" i="1"/>
  <c r="Z733" i="1"/>
  <c r="AA733" i="1"/>
  <c r="E734" i="1"/>
  <c r="F734" i="1"/>
  <c r="H734" i="1"/>
  <c r="J734" i="1"/>
  <c r="K734" i="1"/>
  <c r="L734" i="1"/>
  <c r="M734" i="1"/>
  <c r="N734" i="1" s="1"/>
  <c r="R734" i="1"/>
  <c r="Z734" i="1"/>
  <c r="AA734" i="1"/>
  <c r="E735" i="1"/>
  <c r="F735" i="1"/>
  <c r="H735" i="1"/>
  <c r="J735" i="1"/>
  <c r="K735" i="1"/>
  <c r="L735" i="1"/>
  <c r="M735" i="1"/>
  <c r="O735" i="1" s="1"/>
  <c r="R735" i="1"/>
  <c r="Z735" i="1"/>
  <c r="AA735" i="1"/>
  <c r="E736" i="1"/>
  <c r="F736" i="1"/>
  <c r="H736" i="1"/>
  <c r="J736" i="1"/>
  <c r="K736" i="1"/>
  <c r="L736" i="1"/>
  <c r="M736" i="1"/>
  <c r="R736" i="1"/>
  <c r="Z736" i="1"/>
  <c r="AA736" i="1"/>
  <c r="E737" i="1"/>
  <c r="F737" i="1"/>
  <c r="H737" i="1"/>
  <c r="J737" i="1"/>
  <c r="K737" i="1"/>
  <c r="L737" i="1"/>
  <c r="M737" i="1"/>
  <c r="P737" i="1" s="1"/>
  <c r="R737" i="1"/>
  <c r="Z737" i="1"/>
  <c r="AA737" i="1"/>
  <c r="E738" i="1"/>
  <c r="F738" i="1"/>
  <c r="H738" i="1"/>
  <c r="J738" i="1"/>
  <c r="K738" i="1"/>
  <c r="L738" i="1"/>
  <c r="M738" i="1"/>
  <c r="N738" i="1" s="1"/>
  <c r="R738" i="1"/>
  <c r="Z738" i="1"/>
  <c r="AA738" i="1"/>
  <c r="E739" i="1"/>
  <c r="F739" i="1"/>
  <c r="H739" i="1"/>
  <c r="J739" i="1"/>
  <c r="K739" i="1"/>
  <c r="L739" i="1"/>
  <c r="M739" i="1"/>
  <c r="N739" i="1" s="1"/>
  <c r="R739" i="1"/>
  <c r="Z739" i="1"/>
  <c r="AA739" i="1"/>
  <c r="E740" i="1"/>
  <c r="F740" i="1"/>
  <c r="H740" i="1"/>
  <c r="J740" i="1"/>
  <c r="K740" i="1"/>
  <c r="L740" i="1"/>
  <c r="M740" i="1"/>
  <c r="N740" i="1" s="1"/>
  <c r="R740" i="1"/>
  <c r="Z740" i="1"/>
  <c r="AA740" i="1"/>
  <c r="E741" i="1"/>
  <c r="F741" i="1"/>
  <c r="H741" i="1"/>
  <c r="J741" i="1"/>
  <c r="K741" i="1"/>
  <c r="L741" i="1"/>
  <c r="M741" i="1"/>
  <c r="P741" i="1" s="1"/>
  <c r="R741" i="1"/>
  <c r="Z741" i="1"/>
  <c r="AA741" i="1"/>
  <c r="E742" i="1"/>
  <c r="F742" i="1"/>
  <c r="H742" i="1"/>
  <c r="J742" i="1"/>
  <c r="K742" i="1"/>
  <c r="L742" i="1"/>
  <c r="M742" i="1"/>
  <c r="N742" i="1" s="1"/>
  <c r="R742" i="1"/>
  <c r="Z742" i="1"/>
  <c r="AA742" i="1"/>
  <c r="E743" i="1"/>
  <c r="F743" i="1"/>
  <c r="H743" i="1"/>
  <c r="J743" i="1"/>
  <c r="K743" i="1"/>
  <c r="L743" i="1"/>
  <c r="M743" i="1"/>
  <c r="O743" i="1" s="1"/>
  <c r="R743" i="1"/>
  <c r="Z743" i="1"/>
  <c r="AA743" i="1"/>
  <c r="E744" i="1"/>
  <c r="F744" i="1"/>
  <c r="H744" i="1"/>
  <c r="J744" i="1"/>
  <c r="K744" i="1"/>
  <c r="L744" i="1"/>
  <c r="M744" i="1"/>
  <c r="N744" i="1" s="1"/>
  <c r="R744" i="1"/>
  <c r="Z744" i="1"/>
  <c r="AA744" i="1"/>
  <c r="E745" i="1"/>
  <c r="F745" i="1"/>
  <c r="H745" i="1"/>
  <c r="J745" i="1"/>
  <c r="K745" i="1"/>
  <c r="L745" i="1"/>
  <c r="M745" i="1"/>
  <c r="P745" i="1" s="1"/>
  <c r="R745" i="1"/>
  <c r="Z745" i="1"/>
  <c r="AA745" i="1"/>
  <c r="E746" i="1"/>
  <c r="F746" i="1"/>
  <c r="H746" i="1"/>
  <c r="J746" i="1"/>
  <c r="K746" i="1"/>
  <c r="L746" i="1"/>
  <c r="M746" i="1"/>
  <c r="N746" i="1" s="1"/>
  <c r="R746" i="1"/>
  <c r="Z746" i="1"/>
  <c r="AA746" i="1"/>
  <c r="E747" i="1"/>
  <c r="F747" i="1"/>
  <c r="H747" i="1"/>
  <c r="J747" i="1"/>
  <c r="K747" i="1"/>
  <c r="L747" i="1"/>
  <c r="M747" i="1"/>
  <c r="O747" i="1" s="1"/>
  <c r="R747" i="1"/>
  <c r="Z747" i="1"/>
  <c r="AA747" i="1"/>
  <c r="E748" i="1"/>
  <c r="F748" i="1"/>
  <c r="H748" i="1"/>
  <c r="J748" i="1"/>
  <c r="K748" i="1"/>
  <c r="L748" i="1"/>
  <c r="M748" i="1"/>
  <c r="N748" i="1" s="1"/>
  <c r="R748" i="1"/>
  <c r="Z748" i="1"/>
  <c r="AA748" i="1"/>
  <c r="E749" i="1"/>
  <c r="F749" i="1"/>
  <c r="H749" i="1"/>
  <c r="J749" i="1"/>
  <c r="K749" i="1"/>
  <c r="L749" i="1"/>
  <c r="M749" i="1"/>
  <c r="R749" i="1"/>
  <c r="Z749" i="1"/>
  <c r="AA749" i="1"/>
  <c r="E750" i="1"/>
  <c r="F750" i="1"/>
  <c r="H750" i="1"/>
  <c r="J750" i="1"/>
  <c r="K750" i="1"/>
  <c r="L750" i="1"/>
  <c r="M750" i="1"/>
  <c r="N750" i="1" s="1"/>
  <c r="R750" i="1"/>
  <c r="Z750" i="1"/>
  <c r="AA750" i="1"/>
  <c r="E751" i="1"/>
  <c r="F751" i="1"/>
  <c r="H751" i="1"/>
  <c r="J751" i="1"/>
  <c r="K751" i="1"/>
  <c r="L751" i="1"/>
  <c r="M751" i="1"/>
  <c r="N751" i="1" s="1"/>
  <c r="R751" i="1"/>
  <c r="Z751" i="1"/>
  <c r="AA751" i="1"/>
  <c r="E752" i="1"/>
  <c r="F752" i="1"/>
  <c r="H752" i="1"/>
  <c r="J752" i="1"/>
  <c r="K752" i="1"/>
  <c r="L752" i="1"/>
  <c r="M752" i="1"/>
  <c r="R752" i="1"/>
  <c r="Z752" i="1"/>
  <c r="AA752" i="1"/>
  <c r="E753" i="1"/>
  <c r="F753" i="1"/>
  <c r="H753" i="1"/>
  <c r="J753" i="1"/>
  <c r="K753" i="1"/>
  <c r="L753" i="1"/>
  <c r="M753" i="1"/>
  <c r="P753" i="1" s="1"/>
  <c r="R753" i="1"/>
  <c r="Z753" i="1"/>
  <c r="AA753" i="1"/>
  <c r="E754" i="1"/>
  <c r="F754" i="1"/>
  <c r="H754" i="1"/>
  <c r="J754" i="1"/>
  <c r="K754" i="1"/>
  <c r="L754" i="1"/>
  <c r="M754" i="1"/>
  <c r="N754" i="1" s="1"/>
  <c r="R754" i="1"/>
  <c r="Z754" i="1"/>
  <c r="AA754" i="1"/>
  <c r="E755" i="1"/>
  <c r="F755" i="1"/>
  <c r="H755" i="1"/>
  <c r="J755" i="1"/>
  <c r="K755" i="1"/>
  <c r="L755" i="1"/>
  <c r="M755" i="1"/>
  <c r="P755" i="1" s="1"/>
  <c r="R755" i="1"/>
  <c r="Z755" i="1"/>
  <c r="AA755" i="1"/>
  <c r="E756" i="1"/>
  <c r="F756" i="1"/>
  <c r="H756" i="1"/>
  <c r="J756" i="1"/>
  <c r="K756" i="1"/>
  <c r="L756" i="1"/>
  <c r="M756" i="1"/>
  <c r="N756" i="1" s="1"/>
  <c r="R756" i="1"/>
  <c r="Z756" i="1"/>
  <c r="AA756" i="1"/>
  <c r="E757" i="1"/>
  <c r="F757" i="1"/>
  <c r="H757" i="1"/>
  <c r="J757" i="1"/>
  <c r="K757" i="1"/>
  <c r="L757" i="1"/>
  <c r="M757" i="1"/>
  <c r="P757" i="1" s="1"/>
  <c r="R757" i="1"/>
  <c r="Z757" i="1"/>
  <c r="AA757" i="1"/>
  <c r="E758" i="1"/>
  <c r="F758" i="1"/>
  <c r="H758" i="1"/>
  <c r="J758" i="1"/>
  <c r="K758" i="1"/>
  <c r="L758" i="1"/>
  <c r="M758" i="1"/>
  <c r="N758" i="1" s="1"/>
  <c r="R758" i="1"/>
  <c r="Z758" i="1"/>
  <c r="AA758" i="1"/>
  <c r="E759" i="1"/>
  <c r="F759" i="1"/>
  <c r="H759" i="1"/>
  <c r="J759" i="1"/>
  <c r="K759" i="1"/>
  <c r="L759" i="1"/>
  <c r="M759" i="1"/>
  <c r="N759" i="1" s="1"/>
  <c r="R759" i="1"/>
  <c r="Z759" i="1"/>
  <c r="AA759" i="1"/>
  <c r="E760" i="1"/>
  <c r="F760" i="1"/>
  <c r="H760" i="1"/>
  <c r="J760" i="1"/>
  <c r="K760" i="1"/>
  <c r="L760" i="1"/>
  <c r="M760" i="1"/>
  <c r="N760" i="1" s="1"/>
  <c r="R760" i="1"/>
  <c r="Z760" i="1"/>
  <c r="AA760" i="1"/>
  <c r="E761" i="1"/>
  <c r="F761" i="1"/>
  <c r="H761" i="1"/>
  <c r="J761" i="1"/>
  <c r="K761" i="1"/>
  <c r="L761" i="1"/>
  <c r="M761" i="1"/>
  <c r="P761" i="1" s="1"/>
  <c r="R761" i="1"/>
  <c r="Z761" i="1"/>
  <c r="AA761" i="1"/>
  <c r="E762" i="1"/>
  <c r="F762" i="1"/>
  <c r="H762" i="1"/>
  <c r="J762" i="1"/>
  <c r="K762" i="1"/>
  <c r="L762" i="1"/>
  <c r="M762" i="1"/>
  <c r="N762" i="1" s="1"/>
  <c r="R762" i="1"/>
  <c r="Z762" i="1"/>
  <c r="AA762" i="1"/>
  <c r="E763" i="1"/>
  <c r="F763" i="1"/>
  <c r="H763" i="1"/>
  <c r="J763" i="1"/>
  <c r="K763" i="1"/>
  <c r="L763" i="1"/>
  <c r="M763" i="1"/>
  <c r="N763" i="1" s="1"/>
  <c r="R763" i="1"/>
  <c r="Z763" i="1"/>
  <c r="AA763" i="1"/>
  <c r="E764" i="1"/>
  <c r="F764" i="1"/>
  <c r="H764" i="1"/>
  <c r="J764" i="1"/>
  <c r="K764" i="1"/>
  <c r="L764" i="1"/>
  <c r="M764" i="1"/>
  <c r="N764" i="1" s="1"/>
  <c r="R764" i="1"/>
  <c r="Z764" i="1"/>
  <c r="AA764" i="1"/>
  <c r="E765" i="1"/>
  <c r="F765" i="1"/>
  <c r="H765" i="1"/>
  <c r="J765" i="1"/>
  <c r="K765" i="1"/>
  <c r="L765" i="1"/>
  <c r="M765" i="1"/>
  <c r="R765" i="1"/>
  <c r="Z765" i="1"/>
  <c r="AA765" i="1"/>
  <c r="E766" i="1"/>
  <c r="F766" i="1"/>
  <c r="H766" i="1"/>
  <c r="J766" i="1"/>
  <c r="K766" i="1"/>
  <c r="L766" i="1"/>
  <c r="M766" i="1"/>
  <c r="N766" i="1" s="1"/>
  <c r="R766" i="1"/>
  <c r="Z766" i="1"/>
  <c r="AA766" i="1"/>
  <c r="E767" i="1"/>
  <c r="F767" i="1"/>
  <c r="H767" i="1"/>
  <c r="J767" i="1"/>
  <c r="K767" i="1"/>
  <c r="L767" i="1"/>
  <c r="M767" i="1"/>
  <c r="N767" i="1" s="1"/>
  <c r="R767" i="1"/>
  <c r="Z767" i="1"/>
  <c r="AA767" i="1"/>
  <c r="E768" i="1"/>
  <c r="F768" i="1"/>
  <c r="H768" i="1"/>
  <c r="J768" i="1"/>
  <c r="K768" i="1"/>
  <c r="L768" i="1"/>
  <c r="M768" i="1"/>
  <c r="R768" i="1"/>
  <c r="Z768" i="1"/>
  <c r="AA768" i="1"/>
  <c r="E769" i="1"/>
  <c r="F769" i="1"/>
  <c r="H769" i="1"/>
  <c r="J769" i="1"/>
  <c r="K769" i="1"/>
  <c r="L769" i="1"/>
  <c r="M769" i="1"/>
  <c r="P769" i="1" s="1"/>
  <c r="R769" i="1"/>
  <c r="Z769" i="1"/>
  <c r="AA769" i="1"/>
  <c r="E770" i="1"/>
  <c r="F770" i="1"/>
  <c r="H770" i="1"/>
  <c r="J770" i="1"/>
  <c r="K770" i="1"/>
  <c r="L770" i="1"/>
  <c r="M770" i="1"/>
  <c r="N770" i="1" s="1"/>
  <c r="R770" i="1"/>
  <c r="Z770" i="1"/>
  <c r="AA770" i="1"/>
  <c r="E771" i="1"/>
  <c r="F771" i="1"/>
  <c r="H771" i="1"/>
  <c r="J771" i="1"/>
  <c r="K771" i="1"/>
  <c r="L771" i="1"/>
  <c r="M771" i="1"/>
  <c r="N771" i="1" s="1"/>
  <c r="R771" i="1"/>
  <c r="Z771" i="1"/>
  <c r="AA771" i="1"/>
  <c r="E772" i="1"/>
  <c r="F772" i="1"/>
  <c r="H772" i="1"/>
  <c r="J772" i="1"/>
  <c r="K772" i="1"/>
  <c r="L772" i="1"/>
  <c r="M772" i="1"/>
  <c r="N772" i="1" s="1"/>
  <c r="R772" i="1"/>
  <c r="Z772" i="1"/>
  <c r="AA772" i="1"/>
  <c r="E773" i="1"/>
  <c r="F773" i="1"/>
  <c r="H773" i="1"/>
  <c r="J773" i="1"/>
  <c r="K773" i="1"/>
  <c r="L773" i="1"/>
  <c r="M773" i="1"/>
  <c r="P773" i="1" s="1"/>
  <c r="R773" i="1"/>
  <c r="Z773" i="1"/>
  <c r="AA773" i="1"/>
  <c r="E774" i="1"/>
  <c r="F774" i="1"/>
  <c r="H774" i="1"/>
  <c r="J774" i="1"/>
  <c r="K774" i="1"/>
  <c r="L774" i="1"/>
  <c r="M774" i="1"/>
  <c r="N774" i="1" s="1"/>
  <c r="R774" i="1"/>
  <c r="Z774" i="1"/>
  <c r="AA774" i="1"/>
  <c r="E775" i="1"/>
  <c r="F775" i="1"/>
  <c r="H775" i="1"/>
  <c r="J775" i="1"/>
  <c r="K775" i="1"/>
  <c r="L775" i="1"/>
  <c r="M775" i="1"/>
  <c r="O775" i="1" s="1"/>
  <c r="R775" i="1"/>
  <c r="Z775" i="1"/>
  <c r="AA775" i="1"/>
  <c r="E776" i="1"/>
  <c r="F776" i="1"/>
  <c r="H776" i="1"/>
  <c r="J776" i="1"/>
  <c r="K776" i="1"/>
  <c r="L776" i="1"/>
  <c r="M776" i="1"/>
  <c r="N776" i="1" s="1"/>
  <c r="R776" i="1"/>
  <c r="Z776" i="1"/>
  <c r="AA776" i="1"/>
  <c r="E777" i="1"/>
  <c r="F777" i="1"/>
  <c r="H777" i="1"/>
  <c r="J777" i="1"/>
  <c r="K777" i="1"/>
  <c r="L777" i="1"/>
  <c r="M777" i="1"/>
  <c r="P777" i="1" s="1"/>
  <c r="R777" i="1"/>
  <c r="Z777" i="1"/>
  <c r="AA777" i="1"/>
  <c r="E778" i="1"/>
  <c r="F778" i="1"/>
  <c r="H778" i="1"/>
  <c r="J778" i="1"/>
  <c r="K778" i="1"/>
  <c r="L778" i="1"/>
  <c r="M778" i="1"/>
  <c r="N778" i="1" s="1"/>
  <c r="R778" i="1"/>
  <c r="Z778" i="1"/>
  <c r="AA778" i="1"/>
  <c r="E779" i="1"/>
  <c r="F779" i="1"/>
  <c r="H779" i="1"/>
  <c r="J779" i="1"/>
  <c r="K779" i="1"/>
  <c r="L779" i="1"/>
  <c r="M779" i="1"/>
  <c r="O779" i="1" s="1"/>
  <c r="R779" i="1"/>
  <c r="Z779" i="1"/>
  <c r="AA779" i="1"/>
  <c r="E780" i="1"/>
  <c r="F780" i="1"/>
  <c r="H780" i="1"/>
  <c r="J780" i="1"/>
  <c r="K780" i="1"/>
  <c r="L780" i="1"/>
  <c r="M780" i="1"/>
  <c r="N780" i="1" s="1"/>
  <c r="R780" i="1"/>
  <c r="Z780" i="1"/>
  <c r="AA780" i="1"/>
  <c r="E781" i="1"/>
  <c r="F781" i="1"/>
  <c r="H781" i="1"/>
  <c r="J781" i="1"/>
  <c r="K781" i="1"/>
  <c r="L781" i="1"/>
  <c r="M781" i="1"/>
  <c r="R781" i="1"/>
  <c r="Z781" i="1"/>
  <c r="AA781" i="1"/>
  <c r="E782" i="1"/>
  <c r="F782" i="1"/>
  <c r="H782" i="1"/>
  <c r="J782" i="1"/>
  <c r="K782" i="1"/>
  <c r="L782" i="1"/>
  <c r="M782" i="1"/>
  <c r="N782" i="1" s="1"/>
  <c r="R782" i="1"/>
  <c r="Z782" i="1"/>
  <c r="AA782" i="1"/>
  <c r="E783" i="1"/>
  <c r="F783" i="1"/>
  <c r="H783" i="1"/>
  <c r="J783" i="1"/>
  <c r="K783" i="1"/>
  <c r="L783" i="1"/>
  <c r="M783" i="1"/>
  <c r="N783" i="1" s="1"/>
  <c r="R783" i="1"/>
  <c r="Z783" i="1"/>
  <c r="AA783" i="1"/>
  <c r="E784" i="1"/>
  <c r="F784" i="1"/>
  <c r="H784" i="1"/>
  <c r="J784" i="1"/>
  <c r="K784" i="1"/>
  <c r="L784" i="1"/>
  <c r="M784" i="1"/>
  <c r="R784" i="1"/>
  <c r="Z784" i="1"/>
  <c r="AA784" i="1"/>
  <c r="E785" i="1"/>
  <c r="F785" i="1"/>
  <c r="H785" i="1"/>
  <c r="J785" i="1"/>
  <c r="K785" i="1"/>
  <c r="L785" i="1"/>
  <c r="M785" i="1"/>
  <c r="P785" i="1" s="1"/>
  <c r="R785" i="1"/>
  <c r="Z785" i="1"/>
  <c r="AA785" i="1"/>
  <c r="E786" i="1"/>
  <c r="F786" i="1"/>
  <c r="H786" i="1"/>
  <c r="J786" i="1"/>
  <c r="K786" i="1"/>
  <c r="L786" i="1"/>
  <c r="M786" i="1"/>
  <c r="N786" i="1" s="1"/>
  <c r="R786" i="1"/>
  <c r="Z786" i="1"/>
  <c r="AA786" i="1"/>
  <c r="E787" i="1"/>
  <c r="F787" i="1"/>
  <c r="H787" i="1"/>
  <c r="J787" i="1"/>
  <c r="K787" i="1"/>
  <c r="L787" i="1"/>
  <c r="M787" i="1"/>
  <c r="N787" i="1" s="1"/>
  <c r="R787" i="1"/>
  <c r="Z787" i="1"/>
  <c r="AA787" i="1"/>
  <c r="E788" i="1"/>
  <c r="F788" i="1"/>
  <c r="H788" i="1"/>
  <c r="J788" i="1"/>
  <c r="K788" i="1"/>
  <c r="L788" i="1"/>
  <c r="M788" i="1"/>
  <c r="P788" i="1" s="1"/>
  <c r="R788" i="1"/>
  <c r="Z788" i="1"/>
  <c r="AA788" i="1"/>
  <c r="E789" i="1"/>
  <c r="F789" i="1"/>
  <c r="H789" i="1"/>
  <c r="J789" i="1"/>
  <c r="K789" i="1"/>
  <c r="L789" i="1"/>
  <c r="M789" i="1"/>
  <c r="O789" i="1" s="1"/>
  <c r="R789" i="1"/>
  <c r="Z789" i="1"/>
  <c r="AA789" i="1"/>
  <c r="E790" i="1"/>
  <c r="F790" i="1"/>
  <c r="H790" i="1"/>
  <c r="J790" i="1"/>
  <c r="K790" i="1"/>
  <c r="L790" i="1"/>
  <c r="M790" i="1"/>
  <c r="N790" i="1" s="1"/>
  <c r="R790" i="1"/>
  <c r="Z790" i="1"/>
  <c r="AA790" i="1"/>
  <c r="E791" i="1"/>
  <c r="F791" i="1"/>
  <c r="H791" i="1"/>
  <c r="J791" i="1"/>
  <c r="K791" i="1"/>
  <c r="L791" i="1"/>
  <c r="M791" i="1"/>
  <c r="O791" i="1" s="1"/>
  <c r="R791" i="1"/>
  <c r="Z791" i="1"/>
  <c r="AA791" i="1"/>
  <c r="E792" i="1"/>
  <c r="F792" i="1"/>
  <c r="H792" i="1"/>
  <c r="J792" i="1"/>
  <c r="K792" i="1"/>
  <c r="L792" i="1"/>
  <c r="M792" i="1"/>
  <c r="P792" i="1" s="1"/>
  <c r="R792" i="1"/>
  <c r="Z792" i="1"/>
  <c r="AA792" i="1"/>
  <c r="E793" i="1"/>
  <c r="F793" i="1"/>
  <c r="H793" i="1"/>
  <c r="J793" i="1"/>
  <c r="K793" i="1"/>
  <c r="L793" i="1"/>
  <c r="M793" i="1"/>
  <c r="O793" i="1" s="1"/>
  <c r="R793" i="1"/>
  <c r="Z793" i="1"/>
  <c r="AA793" i="1"/>
  <c r="E794" i="1"/>
  <c r="F794" i="1"/>
  <c r="H794" i="1"/>
  <c r="J794" i="1"/>
  <c r="K794" i="1"/>
  <c r="L794" i="1"/>
  <c r="M794" i="1"/>
  <c r="N794" i="1" s="1"/>
  <c r="R794" i="1"/>
  <c r="Z794" i="1"/>
  <c r="AA794" i="1"/>
  <c r="E795" i="1"/>
  <c r="F795" i="1"/>
  <c r="H795" i="1"/>
  <c r="J795" i="1"/>
  <c r="K795" i="1"/>
  <c r="L795" i="1"/>
  <c r="M795" i="1"/>
  <c r="O795" i="1" s="1"/>
  <c r="R795" i="1"/>
  <c r="Z795" i="1"/>
  <c r="AA795" i="1"/>
  <c r="E796" i="1"/>
  <c r="F796" i="1"/>
  <c r="H796" i="1"/>
  <c r="J796" i="1"/>
  <c r="K796" i="1"/>
  <c r="L796" i="1"/>
  <c r="M796" i="1"/>
  <c r="P796" i="1" s="1"/>
  <c r="R796" i="1"/>
  <c r="Z796" i="1"/>
  <c r="AA796" i="1"/>
  <c r="E797" i="1"/>
  <c r="F797" i="1"/>
  <c r="H797" i="1"/>
  <c r="J797" i="1"/>
  <c r="K797" i="1"/>
  <c r="L797" i="1"/>
  <c r="M797" i="1"/>
  <c r="O797" i="1" s="1"/>
  <c r="R797" i="1"/>
  <c r="Z797" i="1"/>
  <c r="AA797" i="1"/>
  <c r="E798" i="1"/>
  <c r="F798" i="1"/>
  <c r="H798" i="1"/>
  <c r="J798" i="1"/>
  <c r="K798" i="1"/>
  <c r="L798" i="1"/>
  <c r="M798" i="1"/>
  <c r="N798" i="1" s="1"/>
  <c r="R798" i="1"/>
  <c r="Z798" i="1"/>
  <c r="AA798" i="1"/>
  <c r="E799" i="1"/>
  <c r="F799" i="1"/>
  <c r="H799" i="1"/>
  <c r="J799" i="1"/>
  <c r="K799" i="1"/>
  <c r="L799" i="1"/>
  <c r="M799" i="1"/>
  <c r="O799" i="1" s="1"/>
  <c r="R799" i="1"/>
  <c r="Z799" i="1"/>
  <c r="AA799" i="1"/>
  <c r="E800" i="1"/>
  <c r="F800" i="1"/>
  <c r="H800" i="1"/>
  <c r="J800" i="1"/>
  <c r="K800" i="1"/>
  <c r="L800" i="1"/>
  <c r="M800" i="1"/>
  <c r="P800" i="1" s="1"/>
  <c r="R800" i="1"/>
  <c r="Z800" i="1"/>
  <c r="AA800" i="1"/>
  <c r="E801" i="1"/>
  <c r="F801" i="1"/>
  <c r="H801" i="1"/>
  <c r="J801" i="1"/>
  <c r="K801" i="1"/>
  <c r="L801" i="1"/>
  <c r="M801" i="1"/>
  <c r="P801" i="1" s="1"/>
  <c r="R801" i="1"/>
  <c r="Z801" i="1"/>
  <c r="AA801" i="1"/>
  <c r="E802" i="1"/>
  <c r="F802" i="1"/>
  <c r="H802" i="1"/>
  <c r="J802" i="1"/>
  <c r="K802" i="1"/>
  <c r="L802" i="1"/>
  <c r="M802" i="1"/>
  <c r="O802" i="1" s="1"/>
  <c r="R802" i="1"/>
  <c r="Z802" i="1"/>
  <c r="AA802" i="1"/>
  <c r="E803" i="1"/>
  <c r="F803" i="1"/>
  <c r="H803" i="1"/>
  <c r="J803" i="1"/>
  <c r="K803" i="1"/>
  <c r="L803" i="1"/>
  <c r="M803" i="1"/>
  <c r="N803" i="1" s="1"/>
  <c r="R803" i="1"/>
  <c r="Z803" i="1"/>
  <c r="AA803" i="1"/>
  <c r="E804" i="1"/>
  <c r="F804" i="1"/>
  <c r="H804" i="1"/>
  <c r="J804" i="1"/>
  <c r="K804" i="1"/>
  <c r="L804" i="1"/>
  <c r="M804" i="1"/>
  <c r="N804" i="1" s="1"/>
  <c r="R804" i="1"/>
  <c r="Z804" i="1"/>
  <c r="AA804" i="1"/>
  <c r="E805" i="1"/>
  <c r="F805" i="1"/>
  <c r="H805" i="1"/>
  <c r="J805" i="1"/>
  <c r="K805" i="1"/>
  <c r="L805" i="1"/>
  <c r="M805" i="1"/>
  <c r="P805" i="1" s="1"/>
  <c r="R805" i="1"/>
  <c r="Z805" i="1"/>
  <c r="AA805" i="1"/>
  <c r="E806" i="1"/>
  <c r="F806" i="1"/>
  <c r="H806" i="1"/>
  <c r="J806" i="1"/>
  <c r="K806" i="1"/>
  <c r="L806" i="1"/>
  <c r="M806" i="1"/>
  <c r="O806" i="1" s="1"/>
  <c r="R806" i="1"/>
  <c r="Z806" i="1"/>
  <c r="AA806" i="1"/>
  <c r="E807" i="1"/>
  <c r="F807" i="1"/>
  <c r="H807" i="1"/>
  <c r="J807" i="1"/>
  <c r="K807" i="1"/>
  <c r="L807" i="1"/>
  <c r="M807" i="1"/>
  <c r="N807" i="1" s="1"/>
  <c r="R807" i="1"/>
  <c r="Z807" i="1"/>
  <c r="AA807" i="1"/>
  <c r="E808" i="1"/>
  <c r="F808" i="1"/>
  <c r="H808" i="1"/>
  <c r="J808" i="1"/>
  <c r="K808" i="1"/>
  <c r="L808" i="1"/>
  <c r="M808" i="1"/>
  <c r="O808" i="1" s="1"/>
  <c r="R808" i="1"/>
  <c r="Z808" i="1"/>
  <c r="AA808" i="1"/>
  <c r="E809" i="1"/>
  <c r="F809" i="1"/>
  <c r="H809" i="1"/>
  <c r="J809" i="1"/>
  <c r="K809" i="1"/>
  <c r="L809" i="1"/>
  <c r="M809" i="1"/>
  <c r="P809" i="1" s="1"/>
  <c r="R809" i="1"/>
  <c r="Z809" i="1"/>
  <c r="AA809" i="1"/>
  <c r="E810" i="1"/>
  <c r="F810" i="1"/>
  <c r="H810" i="1"/>
  <c r="J810" i="1"/>
  <c r="K810" i="1"/>
  <c r="L810" i="1"/>
  <c r="M810" i="1"/>
  <c r="O810" i="1" s="1"/>
  <c r="R810" i="1"/>
  <c r="Z810" i="1"/>
  <c r="AA810" i="1"/>
  <c r="E811" i="1"/>
  <c r="F811" i="1"/>
  <c r="H811" i="1"/>
  <c r="J811" i="1"/>
  <c r="K811" i="1"/>
  <c r="L811" i="1"/>
  <c r="M811" i="1"/>
  <c r="N811" i="1" s="1"/>
  <c r="R811" i="1"/>
  <c r="Z811" i="1"/>
  <c r="AA811" i="1"/>
  <c r="E812" i="1"/>
  <c r="F812" i="1"/>
  <c r="H812" i="1"/>
  <c r="J812" i="1"/>
  <c r="K812" i="1"/>
  <c r="L812" i="1"/>
  <c r="M812" i="1"/>
  <c r="N812" i="1" s="1"/>
  <c r="R812" i="1"/>
  <c r="Z812" i="1"/>
  <c r="AA812" i="1"/>
  <c r="E813" i="1"/>
  <c r="F813" i="1"/>
  <c r="H813" i="1"/>
  <c r="J813" i="1"/>
  <c r="K813" i="1"/>
  <c r="L813" i="1"/>
  <c r="M813" i="1"/>
  <c r="P813" i="1" s="1"/>
  <c r="R813" i="1"/>
  <c r="Z813" i="1"/>
  <c r="AA813" i="1"/>
  <c r="E814" i="1"/>
  <c r="F814" i="1"/>
  <c r="H814" i="1"/>
  <c r="J814" i="1"/>
  <c r="K814" i="1"/>
  <c r="L814" i="1"/>
  <c r="M814" i="1"/>
  <c r="O814" i="1" s="1"/>
  <c r="R814" i="1"/>
  <c r="Z814" i="1"/>
  <c r="AA814" i="1"/>
  <c r="E815" i="1"/>
  <c r="F815" i="1"/>
  <c r="H815" i="1"/>
  <c r="J815" i="1"/>
  <c r="K815" i="1"/>
  <c r="L815" i="1"/>
  <c r="M815" i="1"/>
  <c r="N815" i="1" s="1"/>
  <c r="R815" i="1"/>
  <c r="Z815" i="1"/>
  <c r="AA815" i="1"/>
  <c r="E816" i="1"/>
  <c r="F816" i="1"/>
  <c r="H816" i="1"/>
  <c r="J816" i="1"/>
  <c r="K816" i="1"/>
  <c r="L816" i="1"/>
  <c r="M816" i="1"/>
  <c r="N816" i="1" s="1"/>
  <c r="R816" i="1"/>
  <c r="Z816" i="1"/>
  <c r="AA816" i="1"/>
  <c r="E817" i="1"/>
  <c r="F817" i="1"/>
  <c r="H817" i="1"/>
  <c r="J817" i="1"/>
  <c r="K817" i="1"/>
  <c r="L817" i="1"/>
  <c r="M817" i="1"/>
  <c r="P817" i="1" s="1"/>
  <c r="R817" i="1"/>
  <c r="Z817" i="1"/>
  <c r="AA817" i="1"/>
  <c r="E818" i="1"/>
  <c r="F818" i="1"/>
  <c r="H818" i="1"/>
  <c r="J818" i="1"/>
  <c r="K818" i="1"/>
  <c r="L818" i="1"/>
  <c r="M818" i="1"/>
  <c r="O818" i="1" s="1"/>
  <c r="R818" i="1"/>
  <c r="Z818" i="1"/>
  <c r="AA818" i="1"/>
  <c r="E819" i="1"/>
  <c r="F819" i="1"/>
  <c r="H819" i="1"/>
  <c r="J819" i="1"/>
  <c r="K819" i="1"/>
  <c r="L819" i="1"/>
  <c r="M819" i="1"/>
  <c r="N819" i="1" s="1"/>
  <c r="R819" i="1"/>
  <c r="Z819" i="1"/>
  <c r="AA819" i="1"/>
  <c r="E820" i="1"/>
  <c r="F820" i="1"/>
  <c r="H820" i="1"/>
  <c r="J820" i="1"/>
  <c r="K820" i="1"/>
  <c r="L820" i="1"/>
  <c r="M820" i="1"/>
  <c r="N820" i="1" s="1"/>
  <c r="R820" i="1"/>
  <c r="Z820" i="1"/>
  <c r="AA820" i="1"/>
  <c r="E821" i="1"/>
  <c r="F821" i="1"/>
  <c r="H821" i="1"/>
  <c r="J821" i="1"/>
  <c r="K821" i="1"/>
  <c r="L821" i="1"/>
  <c r="M821" i="1"/>
  <c r="P821" i="1" s="1"/>
  <c r="R821" i="1"/>
  <c r="Z821" i="1"/>
  <c r="AA821" i="1"/>
  <c r="E822" i="1"/>
  <c r="F822" i="1"/>
  <c r="H822" i="1"/>
  <c r="J822" i="1"/>
  <c r="K822" i="1"/>
  <c r="L822" i="1"/>
  <c r="M822" i="1"/>
  <c r="O822" i="1" s="1"/>
  <c r="R822" i="1"/>
  <c r="Z822" i="1"/>
  <c r="AA822" i="1"/>
  <c r="E823" i="1"/>
  <c r="F823" i="1"/>
  <c r="H823" i="1"/>
  <c r="J823" i="1"/>
  <c r="K823" i="1"/>
  <c r="L823" i="1"/>
  <c r="M823" i="1"/>
  <c r="N823" i="1" s="1"/>
  <c r="R823" i="1"/>
  <c r="Z823" i="1"/>
  <c r="AA823" i="1"/>
  <c r="E824" i="1"/>
  <c r="F824" i="1"/>
  <c r="H824" i="1"/>
  <c r="J824" i="1"/>
  <c r="K824" i="1"/>
  <c r="L824" i="1"/>
  <c r="M824" i="1"/>
  <c r="O824" i="1" s="1"/>
  <c r="R824" i="1"/>
  <c r="Z824" i="1"/>
  <c r="AA824" i="1"/>
  <c r="E825" i="1"/>
  <c r="F825" i="1"/>
  <c r="H825" i="1"/>
  <c r="J825" i="1"/>
  <c r="K825" i="1"/>
  <c r="L825" i="1"/>
  <c r="M825" i="1"/>
  <c r="P825" i="1" s="1"/>
  <c r="R825" i="1"/>
  <c r="Z825" i="1"/>
  <c r="AA825" i="1"/>
  <c r="E826" i="1"/>
  <c r="F826" i="1"/>
  <c r="H826" i="1"/>
  <c r="J826" i="1"/>
  <c r="K826" i="1"/>
  <c r="L826" i="1"/>
  <c r="M826" i="1"/>
  <c r="O826" i="1" s="1"/>
  <c r="R826" i="1"/>
  <c r="Z826" i="1"/>
  <c r="AA826" i="1"/>
  <c r="E827" i="1"/>
  <c r="F827" i="1"/>
  <c r="H827" i="1"/>
  <c r="J827" i="1"/>
  <c r="K827" i="1"/>
  <c r="L827" i="1"/>
  <c r="M827" i="1"/>
  <c r="N827" i="1" s="1"/>
  <c r="R827" i="1"/>
  <c r="Z827" i="1"/>
  <c r="AA827" i="1"/>
  <c r="E828" i="1"/>
  <c r="F828" i="1"/>
  <c r="H828" i="1"/>
  <c r="J828" i="1"/>
  <c r="K828" i="1"/>
  <c r="L828" i="1"/>
  <c r="M828" i="1"/>
  <c r="N828" i="1" s="1"/>
  <c r="R828" i="1"/>
  <c r="Z828" i="1"/>
  <c r="AA828" i="1"/>
  <c r="E829" i="1"/>
  <c r="F829" i="1"/>
  <c r="H829" i="1"/>
  <c r="J829" i="1"/>
  <c r="K829" i="1"/>
  <c r="L829" i="1"/>
  <c r="M829" i="1"/>
  <c r="P829" i="1" s="1"/>
  <c r="R829" i="1"/>
  <c r="Z829" i="1"/>
  <c r="AA829" i="1"/>
  <c r="E830" i="1"/>
  <c r="F830" i="1"/>
  <c r="H830" i="1"/>
  <c r="J830" i="1"/>
  <c r="K830" i="1"/>
  <c r="L830" i="1"/>
  <c r="M830" i="1"/>
  <c r="O830" i="1" s="1"/>
  <c r="R830" i="1"/>
  <c r="Z830" i="1"/>
  <c r="AA830" i="1"/>
  <c r="E831" i="1"/>
  <c r="F831" i="1"/>
  <c r="H831" i="1"/>
  <c r="J831" i="1"/>
  <c r="K831" i="1"/>
  <c r="L831" i="1"/>
  <c r="M831" i="1"/>
  <c r="N831" i="1" s="1"/>
  <c r="R831" i="1"/>
  <c r="Z831" i="1"/>
  <c r="AA831" i="1"/>
  <c r="E832" i="1"/>
  <c r="F832" i="1"/>
  <c r="H832" i="1"/>
  <c r="J832" i="1"/>
  <c r="K832" i="1"/>
  <c r="L832" i="1"/>
  <c r="M832" i="1"/>
  <c r="N832" i="1" s="1"/>
  <c r="R832" i="1"/>
  <c r="Z832" i="1"/>
  <c r="AA832" i="1"/>
  <c r="E833" i="1"/>
  <c r="F833" i="1"/>
  <c r="H833" i="1"/>
  <c r="J833" i="1"/>
  <c r="K833" i="1"/>
  <c r="L833" i="1"/>
  <c r="M833" i="1"/>
  <c r="P833" i="1" s="1"/>
  <c r="R833" i="1"/>
  <c r="Z833" i="1"/>
  <c r="AA833" i="1"/>
  <c r="E834" i="1"/>
  <c r="F834" i="1"/>
  <c r="H834" i="1"/>
  <c r="J834" i="1"/>
  <c r="K834" i="1"/>
  <c r="L834" i="1"/>
  <c r="M834" i="1"/>
  <c r="O834" i="1" s="1"/>
  <c r="R834" i="1"/>
  <c r="Z834" i="1"/>
  <c r="AA834" i="1"/>
  <c r="E835" i="1"/>
  <c r="F835" i="1"/>
  <c r="H835" i="1"/>
  <c r="J835" i="1"/>
  <c r="K835" i="1"/>
  <c r="L835" i="1"/>
  <c r="M835" i="1"/>
  <c r="N835" i="1" s="1"/>
  <c r="R835" i="1"/>
  <c r="Z835" i="1"/>
  <c r="AA835" i="1"/>
  <c r="E836" i="1"/>
  <c r="F836" i="1"/>
  <c r="H836" i="1"/>
  <c r="J836" i="1"/>
  <c r="K836" i="1"/>
  <c r="L836" i="1"/>
  <c r="M836" i="1"/>
  <c r="N836" i="1" s="1"/>
  <c r="R836" i="1"/>
  <c r="Z836" i="1"/>
  <c r="AA836" i="1"/>
  <c r="E837" i="1"/>
  <c r="F837" i="1"/>
  <c r="H837" i="1"/>
  <c r="J837" i="1"/>
  <c r="K837" i="1"/>
  <c r="L837" i="1"/>
  <c r="M837" i="1"/>
  <c r="P837" i="1" s="1"/>
  <c r="R837" i="1"/>
  <c r="Z837" i="1"/>
  <c r="AA837" i="1"/>
  <c r="E838" i="1"/>
  <c r="F838" i="1"/>
  <c r="H838" i="1"/>
  <c r="J838" i="1"/>
  <c r="K838" i="1"/>
  <c r="L838" i="1"/>
  <c r="M838" i="1"/>
  <c r="O838" i="1" s="1"/>
  <c r="R838" i="1"/>
  <c r="Z838" i="1"/>
  <c r="AA838" i="1"/>
  <c r="E839" i="1"/>
  <c r="F839" i="1"/>
  <c r="H839" i="1"/>
  <c r="J839" i="1"/>
  <c r="K839" i="1"/>
  <c r="L839" i="1"/>
  <c r="M839" i="1"/>
  <c r="N839" i="1" s="1"/>
  <c r="R839" i="1"/>
  <c r="Z839" i="1"/>
  <c r="AA839" i="1"/>
  <c r="E840" i="1"/>
  <c r="F840" i="1"/>
  <c r="H840" i="1"/>
  <c r="J840" i="1"/>
  <c r="K840" i="1"/>
  <c r="L840" i="1"/>
  <c r="M840" i="1"/>
  <c r="O840" i="1" s="1"/>
  <c r="R840" i="1"/>
  <c r="Z840" i="1"/>
  <c r="AA840" i="1"/>
  <c r="E841" i="1"/>
  <c r="F841" i="1"/>
  <c r="H841" i="1"/>
  <c r="J841" i="1"/>
  <c r="K841" i="1"/>
  <c r="L841" i="1"/>
  <c r="M841" i="1"/>
  <c r="P841" i="1" s="1"/>
  <c r="R841" i="1"/>
  <c r="Z841" i="1"/>
  <c r="AA841" i="1"/>
  <c r="E842" i="1"/>
  <c r="F842" i="1"/>
  <c r="H842" i="1"/>
  <c r="J842" i="1"/>
  <c r="K842" i="1"/>
  <c r="L842" i="1"/>
  <c r="M842" i="1"/>
  <c r="O842" i="1" s="1"/>
  <c r="R842" i="1"/>
  <c r="Z842" i="1"/>
  <c r="AA842" i="1"/>
  <c r="E843" i="1"/>
  <c r="F843" i="1"/>
  <c r="H843" i="1"/>
  <c r="J843" i="1"/>
  <c r="K843" i="1"/>
  <c r="L843" i="1"/>
  <c r="M843" i="1"/>
  <c r="N843" i="1" s="1"/>
  <c r="R843" i="1"/>
  <c r="Z843" i="1"/>
  <c r="AA843" i="1"/>
  <c r="E844" i="1"/>
  <c r="F844" i="1"/>
  <c r="H844" i="1"/>
  <c r="J844" i="1"/>
  <c r="K844" i="1"/>
  <c r="L844" i="1"/>
  <c r="M844" i="1"/>
  <c r="N844" i="1" s="1"/>
  <c r="R844" i="1"/>
  <c r="Z844" i="1"/>
  <c r="AA844" i="1"/>
  <c r="E845" i="1"/>
  <c r="F845" i="1"/>
  <c r="H845" i="1"/>
  <c r="J845" i="1"/>
  <c r="K845" i="1"/>
  <c r="L845" i="1"/>
  <c r="M845" i="1"/>
  <c r="P845" i="1" s="1"/>
  <c r="R845" i="1"/>
  <c r="Z845" i="1"/>
  <c r="AA845" i="1"/>
  <c r="E846" i="1"/>
  <c r="F846" i="1"/>
  <c r="H846" i="1"/>
  <c r="J846" i="1"/>
  <c r="K846" i="1"/>
  <c r="L846" i="1"/>
  <c r="M846" i="1"/>
  <c r="O846" i="1" s="1"/>
  <c r="R846" i="1"/>
  <c r="Z846" i="1"/>
  <c r="AA846" i="1"/>
  <c r="E847" i="1"/>
  <c r="F847" i="1"/>
  <c r="H847" i="1"/>
  <c r="J847" i="1"/>
  <c r="K847" i="1"/>
  <c r="L847" i="1"/>
  <c r="M847" i="1"/>
  <c r="N847" i="1" s="1"/>
  <c r="R847" i="1"/>
  <c r="Z847" i="1"/>
  <c r="AA847" i="1"/>
  <c r="E848" i="1"/>
  <c r="F848" i="1"/>
  <c r="H848" i="1"/>
  <c r="J848" i="1"/>
  <c r="K848" i="1"/>
  <c r="L848" i="1"/>
  <c r="M848" i="1"/>
  <c r="N848" i="1" s="1"/>
  <c r="R848" i="1"/>
  <c r="Z848" i="1"/>
  <c r="AA848" i="1"/>
  <c r="E849" i="1"/>
  <c r="F849" i="1"/>
  <c r="H849" i="1"/>
  <c r="J849" i="1"/>
  <c r="K849" i="1"/>
  <c r="L849" i="1"/>
  <c r="M849" i="1"/>
  <c r="P849" i="1" s="1"/>
  <c r="R849" i="1"/>
  <c r="Z849" i="1"/>
  <c r="AA849" i="1"/>
  <c r="E850" i="1"/>
  <c r="F850" i="1"/>
  <c r="H850" i="1"/>
  <c r="J850" i="1"/>
  <c r="K850" i="1"/>
  <c r="L850" i="1"/>
  <c r="M850" i="1"/>
  <c r="O850" i="1" s="1"/>
  <c r="R850" i="1"/>
  <c r="Z850" i="1"/>
  <c r="AA850" i="1"/>
  <c r="E851" i="1"/>
  <c r="F851" i="1"/>
  <c r="H851" i="1"/>
  <c r="J851" i="1"/>
  <c r="K851" i="1"/>
  <c r="L851" i="1"/>
  <c r="M851" i="1"/>
  <c r="N851" i="1" s="1"/>
  <c r="R851" i="1"/>
  <c r="Z851" i="1"/>
  <c r="AA851" i="1"/>
  <c r="E852" i="1"/>
  <c r="F852" i="1"/>
  <c r="H852" i="1"/>
  <c r="J852" i="1"/>
  <c r="K852" i="1"/>
  <c r="L852" i="1"/>
  <c r="M852" i="1"/>
  <c r="N852" i="1" s="1"/>
  <c r="R852" i="1"/>
  <c r="Z852" i="1"/>
  <c r="AA852" i="1"/>
  <c r="E853" i="1"/>
  <c r="F853" i="1"/>
  <c r="H853" i="1"/>
  <c r="J853" i="1"/>
  <c r="K853" i="1"/>
  <c r="L853" i="1"/>
  <c r="M853" i="1"/>
  <c r="P853" i="1" s="1"/>
  <c r="R853" i="1"/>
  <c r="Z853" i="1"/>
  <c r="AA853" i="1"/>
  <c r="E854" i="1"/>
  <c r="F854" i="1"/>
  <c r="H854" i="1"/>
  <c r="J854" i="1"/>
  <c r="K854" i="1"/>
  <c r="L854" i="1"/>
  <c r="M854" i="1"/>
  <c r="O854" i="1" s="1"/>
  <c r="R854" i="1"/>
  <c r="Z854" i="1"/>
  <c r="AA854" i="1"/>
  <c r="E855" i="1"/>
  <c r="F855" i="1"/>
  <c r="H855" i="1"/>
  <c r="J855" i="1"/>
  <c r="K855" i="1"/>
  <c r="L855" i="1"/>
  <c r="M855" i="1"/>
  <c r="N855" i="1" s="1"/>
  <c r="R855" i="1"/>
  <c r="Z855" i="1"/>
  <c r="AA855" i="1"/>
  <c r="E856" i="1"/>
  <c r="F856" i="1"/>
  <c r="H856" i="1"/>
  <c r="J856" i="1"/>
  <c r="K856" i="1"/>
  <c r="L856" i="1"/>
  <c r="M856" i="1"/>
  <c r="O856" i="1" s="1"/>
  <c r="R856" i="1"/>
  <c r="Z856" i="1"/>
  <c r="AA856" i="1"/>
  <c r="E857" i="1"/>
  <c r="F857" i="1"/>
  <c r="H857" i="1"/>
  <c r="J857" i="1"/>
  <c r="K857" i="1"/>
  <c r="L857" i="1"/>
  <c r="M857" i="1"/>
  <c r="P857" i="1" s="1"/>
  <c r="R857" i="1"/>
  <c r="Z857" i="1"/>
  <c r="AA857" i="1"/>
  <c r="E858" i="1"/>
  <c r="F858" i="1"/>
  <c r="H858" i="1"/>
  <c r="J858" i="1"/>
  <c r="K858" i="1"/>
  <c r="L858" i="1"/>
  <c r="M858" i="1"/>
  <c r="O858" i="1" s="1"/>
  <c r="R858" i="1"/>
  <c r="Z858" i="1"/>
  <c r="AA858" i="1"/>
  <c r="E859" i="1"/>
  <c r="F859" i="1"/>
  <c r="H859" i="1"/>
  <c r="J859" i="1"/>
  <c r="K859" i="1"/>
  <c r="L859" i="1"/>
  <c r="M859" i="1"/>
  <c r="N859" i="1" s="1"/>
  <c r="R859" i="1"/>
  <c r="Z859" i="1"/>
  <c r="AA859" i="1"/>
  <c r="E860" i="1"/>
  <c r="F860" i="1"/>
  <c r="H860" i="1"/>
  <c r="J860" i="1"/>
  <c r="K860" i="1"/>
  <c r="L860" i="1"/>
  <c r="M860" i="1"/>
  <c r="N860" i="1" s="1"/>
  <c r="R860" i="1"/>
  <c r="Z860" i="1"/>
  <c r="AA860" i="1"/>
  <c r="E861" i="1"/>
  <c r="F861" i="1"/>
  <c r="H861" i="1"/>
  <c r="J861" i="1"/>
  <c r="K861" i="1"/>
  <c r="L861" i="1"/>
  <c r="M861" i="1"/>
  <c r="P861" i="1" s="1"/>
  <c r="R861" i="1"/>
  <c r="Z861" i="1"/>
  <c r="AA861" i="1"/>
  <c r="E862" i="1"/>
  <c r="F862" i="1"/>
  <c r="H862" i="1"/>
  <c r="J862" i="1"/>
  <c r="K862" i="1"/>
  <c r="L862" i="1"/>
  <c r="M862" i="1"/>
  <c r="O862" i="1" s="1"/>
  <c r="R862" i="1"/>
  <c r="Z862" i="1"/>
  <c r="AA862" i="1"/>
  <c r="E863" i="1"/>
  <c r="F863" i="1"/>
  <c r="H863" i="1"/>
  <c r="J863" i="1"/>
  <c r="K863" i="1"/>
  <c r="L863" i="1"/>
  <c r="M863" i="1"/>
  <c r="N863" i="1" s="1"/>
  <c r="R863" i="1"/>
  <c r="Z863" i="1"/>
  <c r="AA863" i="1"/>
  <c r="E864" i="1"/>
  <c r="F864" i="1"/>
  <c r="H864" i="1"/>
  <c r="J864" i="1"/>
  <c r="K864" i="1"/>
  <c r="L864" i="1"/>
  <c r="M864" i="1"/>
  <c r="N864" i="1" s="1"/>
  <c r="R864" i="1"/>
  <c r="Z864" i="1"/>
  <c r="AA864" i="1"/>
  <c r="E865" i="1"/>
  <c r="F865" i="1"/>
  <c r="H865" i="1"/>
  <c r="J865" i="1"/>
  <c r="K865" i="1"/>
  <c r="L865" i="1"/>
  <c r="M865" i="1"/>
  <c r="P865" i="1" s="1"/>
  <c r="R865" i="1"/>
  <c r="Z865" i="1"/>
  <c r="AA865" i="1"/>
  <c r="E866" i="1"/>
  <c r="F866" i="1"/>
  <c r="H866" i="1"/>
  <c r="J866" i="1"/>
  <c r="K866" i="1"/>
  <c r="L866" i="1"/>
  <c r="M866" i="1"/>
  <c r="O866" i="1" s="1"/>
  <c r="R866" i="1"/>
  <c r="Z866" i="1"/>
  <c r="AA866" i="1"/>
  <c r="E867" i="1"/>
  <c r="F867" i="1"/>
  <c r="H867" i="1"/>
  <c r="J867" i="1"/>
  <c r="K867" i="1"/>
  <c r="L867" i="1"/>
  <c r="M867" i="1"/>
  <c r="N867" i="1" s="1"/>
  <c r="R867" i="1"/>
  <c r="Z867" i="1"/>
  <c r="AA867" i="1"/>
  <c r="E868" i="1"/>
  <c r="F868" i="1"/>
  <c r="H868" i="1"/>
  <c r="J868" i="1"/>
  <c r="K868" i="1"/>
  <c r="L868" i="1"/>
  <c r="M868" i="1"/>
  <c r="N868" i="1" s="1"/>
  <c r="R868" i="1"/>
  <c r="Z868" i="1"/>
  <c r="AA868" i="1"/>
  <c r="E869" i="1"/>
  <c r="F869" i="1"/>
  <c r="H869" i="1"/>
  <c r="J869" i="1"/>
  <c r="K869" i="1"/>
  <c r="L869" i="1"/>
  <c r="M869" i="1"/>
  <c r="P869" i="1" s="1"/>
  <c r="R869" i="1"/>
  <c r="Z869" i="1"/>
  <c r="AA869" i="1"/>
  <c r="E870" i="1"/>
  <c r="F870" i="1"/>
  <c r="H870" i="1"/>
  <c r="J870" i="1"/>
  <c r="K870" i="1"/>
  <c r="L870" i="1"/>
  <c r="M870" i="1"/>
  <c r="O870" i="1" s="1"/>
  <c r="R870" i="1"/>
  <c r="Z870" i="1"/>
  <c r="AA870" i="1"/>
  <c r="E871" i="1"/>
  <c r="F871" i="1"/>
  <c r="H871" i="1"/>
  <c r="J871" i="1"/>
  <c r="K871" i="1"/>
  <c r="L871" i="1"/>
  <c r="M871" i="1"/>
  <c r="N871" i="1" s="1"/>
  <c r="R871" i="1"/>
  <c r="Z871" i="1"/>
  <c r="AA871" i="1"/>
  <c r="E872" i="1"/>
  <c r="F872" i="1"/>
  <c r="H872" i="1"/>
  <c r="J872" i="1"/>
  <c r="K872" i="1"/>
  <c r="L872" i="1"/>
  <c r="M872" i="1"/>
  <c r="N872" i="1" s="1"/>
  <c r="R872" i="1"/>
  <c r="Z872" i="1"/>
  <c r="AA872" i="1"/>
  <c r="E873" i="1"/>
  <c r="F873" i="1"/>
  <c r="H873" i="1"/>
  <c r="J873" i="1"/>
  <c r="K873" i="1"/>
  <c r="L873" i="1"/>
  <c r="M873" i="1"/>
  <c r="P873" i="1" s="1"/>
  <c r="R873" i="1"/>
  <c r="Z873" i="1"/>
  <c r="AA873" i="1"/>
  <c r="E874" i="1"/>
  <c r="F874" i="1"/>
  <c r="H874" i="1"/>
  <c r="J874" i="1"/>
  <c r="K874" i="1"/>
  <c r="L874" i="1"/>
  <c r="M874" i="1"/>
  <c r="O874" i="1" s="1"/>
  <c r="R874" i="1"/>
  <c r="Z874" i="1"/>
  <c r="AA874" i="1"/>
  <c r="E875" i="1"/>
  <c r="F875" i="1"/>
  <c r="H875" i="1"/>
  <c r="J875" i="1"/>
  <c r="K875" i="1"/>
  <c r="L875" i="1"/>
  <c r="M875" i="1"/>
  <c r="N875" i="1" s="1"/>
  <c r="R875" i="1"/>
  <c r="Z875" i="1"/>
  <c r="AA875" i="1"/>
  <c r="E876" i="1"/>
  <c r="F876" i="1"/>
  <c r="H876" i="1"/>
  <c r="J876" i="1"/>
  <c r="K876" i="1"/>
  <c r="L876" i="1"/>
  <c r="M876" i="1"/>
  <c r="N876" i="1" s="1"/>
  <c r="R876" i="1"/>
  <c r="Z876" i="1"/>
  <c r="AA876" i="1"/>
  <c r="E877" i="1"/>
  <c r="F877" i="1"/>
  <c r="H877" i="1"/>
  <c r="J877" i="1"/>
  <c r="K877" i="1"/>
  <c r="L877" i="1"/>
  <c r="M877" i="1"/>
  <c r="P877" i="1" s="1"/>
  <c r="R877" i="1"/>
  <c r="Z877" i="1"/>
  <c r="AA877" i="1"/>
  <c r="D40" i="5"/>
  <c r="AGT35" i="5"/>
  <c r="AGU32" i="5"/>
  <c r="AGV31" i="5"/>
  <c r="AGU31" i="5"/>
  <c r="AHA29" i="5"/>
  <c r="AGZ29" i="5"/>
  <c r="AGY29" i="5"/>
  <c r="AGX29" i="5"/>
  <c r="AGW29" i="5"/>
  <c r="AGU29" i="5"/>
  <c r="AGT29" i="5"/>
  <c r="AGS29" i="5"/>
  <c r="AGR29" i="5"/>
  <c r="AGQ29" i="5"/>
  <c r="AGP29" i="5"/>
  <c r="AGO29" i="5"/>
  <c r="AGN29" i="5"/>
  <c r="AGM29" i="5"/>
  <c r="AGL29" i="5"/>
  <c r="AGK29" i="5"/>
  <c r="AGJ29" i="5"/>
  <c r="AGI29" i="5"/>
  <c r="AGH29" i="5"/>
  <c r="AGG29" i="5"/>
  <c r="AGF29" i="5"/>
  <c r="AGE29" i="5"/>
  <c r="AGD29" i="5"/>
  <c r="AGC29" i="5"/>
  <c r="AGB29" i="5"/>
  <c r="AGA29" i="5"/>
  <c r="AFZ29" i="5"/>
  <c r="AFY29" i="5"/>
  <c r="AFX29" i="5"/>
  <c r="AFW29" i="5"/>
  <c r="AFV29" i="5"/>
  <c r="AFU29" i="5"/>
  <c r="AFT29" i="5"/>
  <c r="AFS29" i="5"/>
  <c r="AFR29" i="5"/>
  <c r="AFQ29" i="5"/>
  <c r="AFP29" i="5"/>
  <c r="AFO29" i="5"/>
  <c r="AFN29" i="5"/>
  <c r="AFM29" i="5"/>
  <c r="AFL29" i="5"/>
  <c r="AFK29" i="5"/>
  <c r="AFJ29" i="5"/>
  <c r="AFI29" i="5"/>
  <c r="AFH29" i="5"/>
  <c r="AFG29" i="5"/>
  <c r="AFF29" i="5"/>
  <c r="AFE29" i="5"/>
  <c r="AFD29" i="5"/>
  <c r="AFC29" i="5"/>
  <c r="AFB29" i="5"/>
  <c r="AFA29" i="5"/>
  <c r="AEZ29" i="5"/>
  <c r="AEY29" i="5"/>
  <c r="AEX29" i="5"/>
  <c r="AEW29" i="5"/>
  <c r="AEV29" i="5"/>
  <c r="AEU29" i="5"/>
  <c r="AET29" i="5"/>
  <c r="AES29" i="5"/>
  <c r="AER29" i="5"/>
  <c r="AEQ29" i="5"/>
  <c r="AEP29" i="5"/>
  <c r="AEO29" i="5"/>
  <c r="AEN29" i="5"/>
  <c r="AEM29" i="5"/>
  <c r="AEL29" i="5"/>
  <c r="AEK29" i="5"/>
  <c r="AEJ29" i="5"/>
  <c r="AEI29" i="5"/>
  <c r="AEH29" i="5"/>
  <c r="AEG29" i="5"/>
  <c r="AEF29" i="5"/>
  <c r="AEE29" i="5"/>
  <c r="AED29" i="5"/>
  <c r="AEC29" i="5"/>
  <c r="AEB29" i="5"/>
  <c r="AEA29" i="5"/>
  <c r="ADZ29" i="5"/>
  <c r="ADY29" i="5"/>
  <c r="ADX29" i="5"/>
  <c r="ADW29" i="5"/>
  <c r="ADV29" i="5"/>
  <c r="ADU29" i="5"/>
  <c r="ADT29" i="5"/>
  <c r="ADS29" i="5"/>
  <c r="ADR29" i="5"/>
  <c r="ADQ29" i="5"/>
  <c r="ADP29" i="5"/>
  <c r="ADO29" i="5"/>
  <c r="ADN29" i="5"/>
  <c r="ADM29" i="5"/>
  <c r="ADL29" i="5"/>
  <c r="ADK29" i="5"/>
  <c r="ADJ29" i="5"/>
  <c r="ADI29" i="5"/>
  <c r="ADH29" i="5"/>
  <c r="ADG29" i="5"/>
  <c r="ADF29" i="5"/>
  <c r="ADE29" i="5"/>
  <c r="ADD29" i="5"/>
  <c r="ADC29" i="5"/>
  <c r="ADB29" i="5"/>
  <c r="ADA29" i="5"/>
  <c r="ACZ29" i="5"/>
  <c r="ACY29" i="5"/>
  <c r="ACX29" i="5"/>
  <c r="ACW29" i="5"/>
  <c r="ACV29" i="5"/>
  <c r="ACU29" i="5"/>
  <c r="ACT29" i="5"/>
  <c r="ACS29" i="5"/>
  <c r="ACR29" i="5"/>
  <c r="ACQ29" i="5"/>
  <c r="ACP29" i="5"/>
  <c r="ACO29" i="5"/>
  <c r="ACN29" i="5"/>
  <c r="ACM29" i="5"/>
  <c r="ACL29" i="5"/>
  <c r="ACK29" i="5"/>
  <c r="ACJ29" i="5"/>
  <c r="ACI29" i="5"/>
  <c r="ACH29" i="5"/>
  <c r="ACG29" i="5"/>
  <c r="ACF29" i="5"/>
  <c r="ACE29" i="5"/>
  <c r="ACD29" i="5"/>
  <c r="ACC29" i="5"/>
  <c r="ACB29" i="5"/>
  <c r="ACA29" i="5"/>
  <c r="ABZ29" i="5"/>
  <c r="ABY29" i="5"/>
  <c r="ABX29" i="5"/>
  <c r="ABW29" i="5"/>
  <c r="ABV29" i="5"/>
  <c r="ABU29" i="5"/>
  <c r="ABT29" i="5"/>
  <c r="ABS29" i="5"/>
  <c r="ABR29" i="5"/>
  <c r="ABQ29" i="5"/>
  <c r="ABP29" i="5"/>
  <c r="ABO29" i="5"/>
  <c r="ABN29" i="5"/>
  <c r="ABM29" i="5"/>
  <c r="ABL29" i="5"/>
  <c r="ABK29" i="5"/>
  <c r="ABJ29" i="5"/>
  <c r="ABI29" i="5"/>
  <c r="ABH29" i="5"/>
  <c r="ABG29" i="5"/>
  <c r="ABF29" i="5"/>
  <c r="ABE29" i="5"/>
  <c r="ABD29" i="5"/>
  <c r="ABC29" i="5"/>
  <c r="ABB29" i="5"/>
  <c r="ABA29" i="5"/>
  <c r="AAZ29" i="5"/>
  <c r="AAY29" i="5"/>
  <c r="AAX29" i="5"/>
  <c r="AAW29" i="5"/>
  <c r="AAV29" i="5"/>
  <c r="AAU29" i="5"/>
  <c r="AAT29" i="5"/>
  <c r="AAS29" i="5"/>
  <c r="AAR29" i="5"/>
  <c r="AAQ29" i="5"/>
  <c r="AAP29" i="5"/>
  <c r="AAO29" i="5"/>
  <c r="AAN29" i="5"/>
  <c r="AAM29" i="5"/>
  <c r="AAL29" i="5"/>
  <c r="AAK29" i="5"/>
  <c r="AAJ29" i="5"/>
  <c r="AAI29" i="5"/>
  <c r="AAH29" i="5"/>
  <c r="AAG29" i="5"/>
  <c r="AAF29" i="5"/>
  <c r="AAE29" i="5"/>
  <c r="AAD29" i="5"/>
  <c r="AAC29" i="5"/>
  <c r="AAB29" i="5"/>
  <c r="AAA29" i="5"/>
  <c r="ZZ29" i="5"/>
  <c r="ZY29" i="5"/>
  <c r="ZX29" i="5"/>
  <c r="ZW29" i="5"/>
  <c r="ZV29" i="5"/>
  <c r="ZU29" i="5"/>
  <c r="ZT29" i="5"/>
  <c r="ZS29" i="5"/>
  <c r="ZR29" i="5"/>
  <c r="ZQ29" i="5"/>
  <c r="ZP29" i="5"/>
  <c r="ZO29" i="5"/>
  <c r="ZN29" i="5"/>
  <c r="ZM29" i="5"/>
  <c r="ZL29" i="5"/>
  <c r="ZK29" i="5"/>
  <c r="ZJ29" i="5"/>
  <c r="ZI29" i="5"/>
  <c r="ZH29" i="5"/>
  <c r="ZG29" i="5"/>
  <c r="ZF29" i="5"/>
  <c r="ZE29" i="5"/>
  <c r="ZD29" i="5"/>
  <c r="ZC29" i="5"/>
  <c r="ZB29" i="5"/>
  <c r="ZA29" i="5"/>
  <c r="YZ29" i="5"/>
  <c r="YY29" i="5"/>
  <c r="YX29" i="5"/>
  <c r="YW29" i="5"/>
  <c r="YV29" i="5"/>
  <c r="YU29" i="5"/>
  <c r="YT29" i="5"/>
  <c r="YS29" i="5"/>
  <c r="YR29" i="5"/>
  <c r="YQ29" i="5"/>
  <c r="YP29" i="5"/>
  <c r="YO29" i="5"/>
  <c r="YN29" i="5"/>
  <c r="YM29" i="5"/>
  <c r="YL29" i="5"/>
  <c r="YK29" i="5"/>
  <c r="YJ29" i="5"/>
  <c r="YI29" i="5"/>
  <c r="YH29" i="5"/>
  <c r="YG29" i="5"/>
  <c r="YF29" i="5"/>
  <c r="YE29" i="5"/>
  <c r="YD29" i="5"/>
  <c r="YC29" i="5"/>
  <c r="YB29" i="5"/>
  <c r="YA29" i="5"/>
  <c r="XZ29" i="5"/>
  <c r="XY29" i="5"/>
  <c r="XX29" i="5"/>
  <c r="XW29" i="5"/>
  <c r="XV29" i="5"/>
  <c r="XU29" i="5"/>
  <c r="XT29" i="5"/>
  <c r="XS29" i="5"/>
  <c r="XR29" i="5"/>
  <c r="XQ29" i="5"/>
  <c r="XP29" i="5"/>
  <c r="XO29" i="5"/>
  <c r="XN29" i="5"/>
  <c r="XM29" i="5"/>
  <c r="XL29" i="5"/>
  <c r="XK29" i="5"/>
  <c r="XJ29" i="5"/>
  <c r="XI29" i="5"/>
  <c r="XH29" i="5"/>
  <c r="XG29" i="5"/>
  <c r="XF29" i="5"/>
  <c r="XE29" i="5"/>
  <c r="XD29" i="5"/>
  <c r="XC29" i="5"/>
  <c r="XB29" i="5"/>
  <c r="XA29" i="5"/>
  <c r="WZ29" i="5"/>
  <c r="WY29" i="5"/>
  <c r="WX29" i="5"/>
  <c r="WW29" i="5"/>
  <c r="WV29" i="5"/>
  <c r="WU29" i="5"/>
  <c r="WT29" i="5"/>
  <c r="WS29" i="5"/>
  <c r="WR29" i="5"/>
  <c r="WQ29" i="5"/>
  <c r="WP29" i="5"/>
  <c r="WO29" i="5"/>
  <c r="WN29" i="5"/>
  <c r="WM29" i="5"/>
  <c r="WL29" i="5"/>
  <c r="WK29" i="5"/>
  <c r="WJ29" i="5"/>
  <c r="WI29" i="5"/>
  <c r="WH29" i="5"/>
  <c r="WG29" i="5"/>
  <c r="WF29" i="5"/>
  <c r="WE29" i="5"/>
  <c r="WD29" i="5"/>
  <c r="WC29" i="5"/>
  <c r="WB29" i="5"/>
  <c r="WA29" i="5"/>
  <c r="VZ29" i="5"/>
  <c r="VY29" i="5"/>
  <c r="VX29" i="5"/>
  <c r="VW29" i="5"/>
  <c r="VV29" i="5"/>
  <c r="VU29" i="5"/>
  <c r="VT29" i="5"/>
  <c r="VS29" i="5"/>
  <c r="VR29" i="5"/>
  <c r="VQ29" i="5"/>
  <c r="VP29" i="5"/>
  <c r="VO29" i="5"/>
  <c r="VN29" i="5"/>
  <c r="VM29" i="5"/>
  <c r="VL29" i="5"/>
  <c r="VK29" i="5"/>
  <c r="VJ29" i="5"/>
  <c r="VI29" i="5"/>
  <c r="VH29" i="5"/>
  <c r="VG29" i="5"/>
  <c r="VF29" i="5"/>
  <c r="VE29" i="5"/>
  <c r="VD29" i="5"/>
  <c r="VC29" i="5"/>
  <c r="VB29" i="5"/>
  <c r="VA29" i="5"/>
  <c r="UZ29" i="5"/>
  <c r="UY29" i="5"/>
  <c r="UX29" i="5"/>
  <c r="UW29" i="5"/>
  <c r="UV29" i="5"/>
  <c r="UU29" i="5"/>
  <c r="UT29" i="5"/>
  <c r="US29" i="5"/>
  <c r="UR29" i="5"/>
  <c r="UQ29" i="5"/>
  <c r="UP29" i="5"/>
  <c r="UO29" i="5"/>
  <c r="UN29" i="5"/>
  <c r="UM29" i="5"/>
  <c r="UL29" i="5"/>
  <c r="UK29" i="5"/>
  <c r="UJ29" i="5"/>
  <c r="UI29" i="5"/>
  <c r="UH29" i="5"/>
  <c r="UG29" i="5"/>
  <c r="UF29" i="5"/>
  <c r="UE29" i="5"/>
  <c r="UD29" i="5"/>
  <c r="UC29" i="5"/>
  <c r="UB29" i="5"/>
  <c r="UA29" i="5"/>
  <c r="TZ29" i="5"/>
  <c r="TY29" i="5"/>
  <c r="TX29" i="5"/>
  <c r="TW29" i="5"/>
  <c r="TV29" i="5"/>
  <c r="TU29" i="5"/>
  <c r="TT29" i="5"/>
  <c r="TS29" i="5"/>
  <c r="TR29" i="5"/>
  <c r="TQ29" i="5"/>
  <c r="TP29" i="5"/>
  <c r="TO29" i="5"/>
  <c r="TN29" i="5"/>
  <c r="TM29" i="5"/>
  <c r="TL29" i="5"/>
  <c r="TK29" i="5"/>
  <c r="TJ29" i="5"/>
  <c r="TI29" i="5"/>
  <c r="TH29" i="5"/>
  <c r="TG29" i="5"/>
  <c r="TF29" i="5"/>
  <c r="TE29" i="5"/>
  <c r="TD29" i="5"/>
  <c r="TC29" i="5"/>
  <c r="TB29" i="5"/>
  <c r="TA29" i="5"/>
  <c r="SZ29" i="5"/>
  <c r="SY29" i="5"/>
  <c r="SX29" i="5"/>
  <c r="SW29" i="5"/>
  <c r="SV29" i="5"/>
  <c r="SU29" i="5"/>
  <c r="ST29" i="5"/>
  <c r="SS29" i="5"/>
  <c r="SR29" i="5"/>
  <c r="SQ29" i="5"/>
  <c r="SP29" i="5"/>
  <c r="SO29" i="5"/>
  <c r="SN29" i="5"/>
  <c r="SM29" i="5"/>
  <c r="SL29" i="5"/>
  <c r="SK29" i="5"/>
  <c r="SJ29" i="5"/>
  <c r="SI29" i="5"/>
  <c r="SH29" i="5"/>
  <c r="SG29" i="5"/>
  <c r="SF29" i="5"/>
  <c r="SE29" i="5"/>
  <c r="SD29" i="5"/>
  <c r="SC29" i="5"/>
  <c r="SB29" i="5"/>
  <c r="SA29" i="5"/>
  <c r="RZ29" i="5"/>
  <c r="RY29" i="5"/>
  <c r="RX29" i="5"/>
  <c r="RW29" i="5"/>
  <c r="RV29" i="5"/>
  <c r="RU29" i="5"/>
  <c r="RT29" i="5"/>
  <c r="RS29" i="5"/>
  <c r="RR29" i="5"/>
  <c r="RQ29" i="5"/>
  <c r="RP29" i="5"/>
  <c r="RO29" i="5"/>
  <c r="RN29" i="5"/>
  <c r="RM29" i="5"/>
  <c r="RL29" i="5"/>
  <c r="RK29" i="5"/>
  <c r="RJ29" i="5"/>
  <c r="RI29" i="5"/>
  <c r="RH29" i="5"/>
  <c r="RG29" i="5"/>
  <c r="RF29" i="5"/>
  <c r="RE29" i="5"/>
  <c r="RD29" i="5"/>
  <c r="RC29" i="5"/>
  <c r="RB29" i="5"/>
  <c r="RA29" i="5"/>
  <c r="QZ29" i="5"/>
  <c r="QY29" i="5"/>
  <c r="QX29" i="5"/>
  <c r="QW29" i="5"/>
  <c r="QV29" i="5"/>
  <c r="QU29" i="5"/>
  <c r="QT29" i="5"/>
  <c r="QS29" i="5"/>
  <c r="QR29" i="5"/>
  <c r="QQ29" i="5"/>
  <c r="QP29" i="5"/>
  <c r="QO29" i="5"/>
  <c r="QN29" i="5"/>
  <c r="QM29" i="5"/>
  <c r="QL29" i="5"/>
  <c r="QK29" i="5"/>
  <c r="QJ29" i="5"/>
  <c r="QI29" i="5"/>
  <c r="QH29" i="5"/>
  <c r="QG29" i="5"/>
  <c r="QF29" i="5"/>
  <c r="QE29" i="5"/>
  <c r="QD29" i="5"/>
  <c r="QC29" i="5"/>
  <c r="QB29" i="5"/>
  <c r="QA29" i="5"/>
  <c r="PZ29" i="5"/>
  <c r="PY29" i="5"/>
  <c r="PX29" i="5"/>
  <c r="PW29" i="5"/>
  <c r="PV29" i="5"/>
  <c r="PU29" i="5"/>
  <c r="PT29" i="5"/>
  <c r="PS29" i="5"/>
  <c r="PR29" i="5"/>
  <c r="PQ29" i="5"/>
  <c r="PP29" i="5"/>
  <c r="PO29" i="5"/>
  <c r="PN29" i="5"/>
  <c r="PM29" i="5"/>
  <c r="PL29" i="5"/>
  <c r="PK29" i="5"/>
  <c r="PJ29" i="5"/>
  <c r="PI29" i="5"/>
  <c r="PH29" i="5"/>
  <c r="PG29" i="5"/>
  <c r="PF29" i="5"/>
  <c r="PE29" i="5"/>
  <c r="PD29" i="5"/>
  <c r="PC29" i="5"/>
  <c r="PB29" i="5"/>
  <c r="PA29" i="5"/>
  <c r="OZ29" i="5"/>
  <c r="OY29" i="5"/>
  <c r="OX29" i="5"/>
  <c r="OW29" i="5"/>
  <c r="OV29" i="5"/>
  <c r="OU29" i="5"/>
  <c r="OT29" i="5"/>
  <c r="OS29" i="5"/>
  <c r="OR29" i="5"/>
  <c r="OQ29" i="5"/>
  <c r="OP29" i="5"/>
  <c r="OO29" i="5"/>
  <c r="ON29" i="5"/>
  <c r="OM29" i="5"/>
  <c r="OL29" i="5"/>
  <c r="OK29" i="5"/>
  <c r="OJ29" i="5"/>
  <c r="OI29" i="5"/>
  <c r="OH29" i="5"/>
  <c r="OG29" i="5"/>
  <c r="OF29" i="5"/>
  <c r="OE29" i="5"/>
  <c r="OD29" i="5"/>
  <c r="OC29" i="5"/>
  <c r="OB29" i="5"/>
  <c r="OA29" i="5"/>
  <c r="NZ29" i="5"/>
  <c r="NY29" i="5"/>
  <c r="NX29" i="5"/>
  <c r="NW29" i="5"/>
  <c r="NV29" i="5"/>
  <c r="NU29" i="5"/>
  <c r="NT29" i="5"/>
  <c r="NS29" i="5"/>
  <c r="NR29" i="5"/>
  <c r="NQ29" i="5"/>
  <c r="NP29" i="5"/>
  <c r="NO29" i="5"/>
  <c r="NN29" i="5"/>
  <c r="NM29" i="5"/>
  <c r="NL29" i="5"/>
  <c r="NK29" i="5"/>
  <c r="NJ29" i="5"/>
  <c r="NI29" i="5"/>
  <c r="NH29" i="5"/>
  <c r="NG29" i="5"/>
  <c r="NF29" i="5"/>
  <c r="NE29" i="5"/>
  <c r="ND29" i="5"/>
  <c r="NC29" i="5"/>
  <c r="NB29" i="5"/>
  <c r="NA29" i="5"/>
  <c r="MZ29" i="5"/>
  <c r="MY29" i="5"/>
  <c r="MX29" i="5"/>
  <c r="MW29" i="5"/>
  <c r="MV29" i="5"/>
  <c r="MU29" i="5"/>
  <c r="MT29" i="5"/>
  <c r="MS29" i="5"/>
  <c r="MR29" i="5"/>
  <c r="MQ29" i="5"/>
  <c r="MP29" i="5"/>
  <c r="MO29" i="5"/>
  <c r="MN29" i="5"/>
  <c r="MM29" i="5"/>
  <c r="ML29" i="5"/>
  <c r="MK29" i="5"/>
  <c r="MJ29" i="5"/>
  <c r="MI29" i="5"/>
  <c r="MH29" i="5"/>
  <c r="MG29" i="5"/>
  <c r="MF29" i="5"/>
  <c r="ME29" i="5"/>
  <c r="MD29" i="5"/>
  <c r="MC29" i="5"/>
  <c r="MB29" i="5"/>
  <c r="MA29" i="5"/>
  <c r="LZ29" i="5"/>
  <c r="LY29" i="5"/>
  <c r="LX29" i="5"/>
  <c r="LW29" i="5"/>
  <c r="LV29" i="5"/>
  <c r="LU29" i="5"/>
  <c r="LT29" i="5"/>
  <c r="LS29" i="5"/>
  <c r="LR29" i="5"/>
  <c r="LQ29" i="5"/>
  <c r="LP29" i="5"/>
  <c r="LO29" i="5"/>
  <c r="LN29" i="5"/>
  <c r="LM29" i="5"/>
  <c r="LL29" i="5"/>
  <c r="LK29" i="5"/>
  <c r="LJ29" i="5"/>
  <c r="LI29" i="5"/>
  <c r="LH29" i="5"/>
  <c r="LG29" i="5"/>
  <c r="LF29" i="5"/>
  <c r="LE29" i="5"/>
  <c r="LD29" i="5"/>
  <c r="LC29" i="5"/>
  <c r="LB29" i="5"/>
  <c r="LA29" i="5"/>
  <c r="KZ29" i="5"/>
  <c r="KY29" i="5"/>
  <c r="KX29" i="5"/>
  <c r="KW29" i="5"/>
  <c r="KV29" i="5"/>
  <c r="KU29" i="5"/>
  <c r="KT29" i="5"/>
  <c r="KS29" i="5"/>
  <c r="KR29" i="5"/>
  <c r="KQ29" i="5"/>
  <c r="KP29" i="5"/>
  <c r="KO29" i="5"/>
  <c r="KN29" i="5"/>
  <c r="KM29" i="5"/>
  <c r="KL29" i="5"/>
  <c r="KK29" i="5"/>
  <c r="KJ29" i="5"/>
  <c r="KI29" i="5"/>
  <c r="KH29" i="5"/>
  <c r="KG29" i="5"/>
  <c r="KF29" i="5"/>
  <c r="KE29" i="5"/>
  <c r="KD29" i="5"/>
  <c r="KC29" i="5"/>
  <c r="KB29" i="5"/>
  <c r="KA29" i="5"/>
  <c r="JZ29" i="5"/>
  <c r="JY29" i="5"/>
  <c r="JX29" i="5"/>
  <c r="JW29" i="5"/>
  <c r="JV29" i="5"/>
  <c r="JU29" i="5"/>
  <c r="JT29" i="5"/>
  <c r="JS29" i="5"/>
  <c r="JR29" i="5"/>
  <c r="JQ29" i="5"/>
  <c r="JP29" i="5"/>
  <c r="JO29" i="5"/>
  <c r="JN29" i="5"/>
  <c r="JM29" i="5"/>
  <c r="JL29" i="5"/>
  <c r="JK29" i="5"/>
  <c r="JJ29" i="5"/>
  <c r="JI29" i="5"/>
  <c r="JH29" i="5"/>
  <c r="JG29" i="5"/>
  <c r="JF29" i="5"/>
  <c r="JE29" i="5"/>
  <c r="JD29" i="5"/>
  <c r="JC29" i="5"/>
  <c r="JB29" i="5"/>
  <c r="JA29" i="5"/>
  <c r="IZ29" i="5"/>
  <c r="IY29" i="5"/>
  <c r="IX29" i="5"/>
  <c r="IW29" i="5"/>
  <c r="IV29" i="5"/>
  <c r="IU29" i="5"/>
  <c r="IT29" i="5"/>
  <c r="IS29" i="5"/>
  <c r="IR29" i="5"/>
  <c r="IQ29" i="5"/>
  <c r="IP29" i="5"/>
  <c r="IO29" i="5"/>
  <c r="IN29" i="5"/>
  <c r="IM29" i="5"/>
  <c r="IL29" i="5"/>
  <c r="IK29" i="5"/>
  <c r="IJ29" i="5"/>
  <c r="II29" i="5"/>
  <c r="IH29" i="5"/>
  <c r="IG29" i="5"/>
  <c r="IF29" i="5"/>
  <c r="IE29" i="5"/>
  <c r="ID29" i="5"/>
  <c r="IC29" i="5"/>
  <c r="IB29" i="5"/>
  <c r="IA29" i="5"/>
  <c r="HZ29" i="5"/>
  <c r="HY29" i="5"/>
  <c r="HX29" i="5"/>
  <c r="HW29" i="5"/>
  <c r="HV29" i="5"/>
  <c r="HU29" i="5"/>
  <c r="HT29" i="5"/>
  <c r="HS29" i="5"/>
  <c r="HR29" i="5"/>
  <c r="HQ29" i="5"/>
  <c r="HP29" i="5"/>
  <c r="HO29" i="5"/>
  <c r="HN29" i="5"/>
  <c r="HM29" i="5"/>
  <c r="HL29" i="5"/>
  <c r="HK29" i="5"/>
  <c r="HJ29" i="5"/>
  <c r="HI29" i="5"/>
  <c r="HH29" i="5"/>
  <c r="HG29" i="5"/>
  <c r="HF29" i="5"/>
  <c r="HE29" i="5"/>
  <c r="HD29" i="5"/>
  <c r="HC29" i="5"/>
  <c r="HB29" i="5"/>
  <c r="HA29" i="5"/>
  <c r="GZ29" i="5"/>
  <c r="GY29" i="5"/>
  <c r="GX29" i="5"/>
  <c r="GW29" i="5"/>
  <c r="GV29" i="5"/>
  <c r="GU29" i="5"/>
  <c r="GT29" i="5"/>
  <c r="GS29" i="5"/>
  <c r="GR29" i="5"/>
  <c r="GQ29" i="5"/>
  <c r="GP29" i="5"/>
  <c r="GO29" i="5"/>
  <c r="GN29" i="5"/>
  <c r="GM29" i="5"/>
  <c r="GL29" i="5"/>
  <c r="GK29" i="5"/>
  <c r="GJ29" i="5"/>
  <c r="GI29" i="5"/>
  <c r="GH29" i="5"/>
  <c r="GG29" i="5"/>
  <c r="GF29" i="5"/>
  <c r="GE29" i="5"/>
  <c r="GD29" i="5"/>
  <c r="GC29" i="5"/>
  <c r="GB29" i="5"/>
  <c r="GA29" i="5"/>
  <c r="FZ29" i="5"/>
  <c r="FY29" i="5"/>
  <c r="FX29" i="5"/>
  <c r="FW29" i="5"/>
  <c r="FV29" i="5"/>
  <c r="FU29" i="5"/>
  <c r="FT29" i="5"/>
  <c r="FS29" i="5"/>
  <c r="FR29" i="5"/>
  <c r="FQ29" i="5"/>
  <c r="FP29" i="5"/>
  <c r="FO29" i="5"/>
  <c r="FN29" i="5"/>
  <c r="FM29" i="5"/>
  <c r="FL29" i="5"/>
  <c r="FK29" i="5"/>
  <c r="FJ29" i="5"/>
  <c r="FI29" i="5"/>
  <c r="FH29" i="5"/>
  <c r="FG29" i="5"/>
  <c r="FF29" i="5"/>
  <c r="FE29" i="5"/>
  <c r="FD29" i="5"/>
  <c r="FC29" i="5"/>
  <c r="FB29" i="5"/>
  <c r="FA29" i="5"/>
  <c r="EZ29" i="5"/>
  <c r="EY29" i="5"/>
  <c r="EX29" i="5"/>
  <c r="EW29" i="5"/>
  <c r="EV29" i="5"/>
  <c r="EU29" i="5"/>
  <c r="ET29" i="5"/>
  <c r="ES29" i="5"/>
  <c r="ER29" i="5"/>
  <c r="EQ29" i="5"/>
  <c r="EP29" i="5"/>
  <c r="EO29" i="5"/>
  <c r="EN29" i="5"/>
  <c r="EM29" i="5"/>
  <c r="EL29" i="5"/>
  <c r="EK29" i="5"/>
  <c r="EJ29" i="5"/>
  <c r="EI29" i="5"/>
  <c r="EH29" i="5"/>
  <c r="EG29" i="5"/>
  <c r="EF29" i="5"/>
  <c r="EE29" i="5"/>
  <c r="ED29" i="5"/>
  <c r="EC29" i="5"/>
  <c r="EB29" i="5"/>
  <c r="EA29" i="5"/>
  <c r="DZ29" i="5"/>
  <c r="DY29" i="5"/>
  <c r="DX29" i="5"/>
  <c r="DW29" i="5"/>
  <c r="DV29" i="5"/>
  <c r="DU29" i="5"/>
  <c r="DT29" i="5"/>
  <c r="DS29" i="5"/>
  <c r="DR29" i="5"/>
  <c r="DQ29" i="5"/>
  <c r="DP29" i="5"/>
  <c r="DO29" i="5"/>
  <c r="DN29" i="5"/>
  <c r="DM29" i="5"/>
  <c r="DL29" i="5"/>
  <c r="DK29" i="5"/>
  <c r="DJ29" i="5"/>
  <c r="DI29" i="5"/>
  <c r="DH29" i="5"/>
  <c r="DG29" i="5"/>
  <c r="DF29" i="5"/>
  <c r="DE29" i="5"/>
  <c r="DD29" i="5"/>
  <c r="DC29" i="5"/>
  <c r="DB29" i="5"/>
  <c r="DA29" i="5"/>
  <c r="CZ29" i="5"/>
  <c r="CY29" i="5"/>
  <c r="CX29" i="5"/>
  <c r="CW29" i="5"/>
  <c r="CV29" i="5"/>
  <c r="CU29" i="5"/>
  <c r="CT29" i="5"/>
  <c r="CS29" i="5"/>
  <c r="CR29" i="5"/>
  <c r="CQ29" i="5"/>
  <c r="CP29" i="5"/>
  <c r="CO29" i="5"/>
  <c r="CN29" i="5"/>
  <c r="CM29" i="5"/>
  <c r="CL29" i="5"/>
  <c r="CK29" i="5"/>
  <c r="CJ29" i="5"/>
  <c r="CI29" i="5"/>
  <c r="CH29" i="5"/>
  <c r="CG29" i="5"/>
  <c r="CF29" i="5"/>
  <c r="CE29" i="5"/>
  <c r="CD29" i="5"/>
  <c r="CC29" i="5"/>
  <c r="CB29" i="5"/>
  <c r="CA29" i="5"/>
  <c r="BZ29" i="5"/>
  <c r="BY29" i="5"/>
  <c r="BX29" i="5"/>
  <c r="BW29" i="5"/>
  <c r="BV29" i="5"/>
  <c r="BU29" i="5"/>
  <c r="BT29" i="5"/>
  <c r="BS29" i="5"/>
  <c r="BR29" i="5"/>
  <c r="BQ29" i="5"/>
  <c r="BP29" i="5"/>
  <c r="BO29" i="5"/>
  <c r="BN29" i="5"/>
  <c r="BM29" i="5"/>
  <c r="BL29" i="5"/>
  <c r="BK29" i="5"/>
  <c r="BJ29" i="5"/>
  <c r="BI29" i="5"/>
  <c r="BH29" i="5"/>
  <c r="BG29" i="5"/>
  <c r="BF29" i="5"/>
  <c r="BE29" i="5"/>
  <c r="BD29" i="5"/>
  <c r="BC29" i="5"/>
  <c r="BB29" i="5"/>
  <c r="BA29" i="5"/>
  <c r="AZ29" i="5"/>
  <c r="AY29" i="5"/>
  <c r="AX29" i="5"/>
  <c r="AW29" i="5"/>
  <c r="AV29" i="5"/>
  <c r="AU29" i="5"/>
  <c r="AT29" i="5"/>
  <c r="AS29" i="5"/>
  <c r="AR29" i="5"/>
  <c r="AQ29" i="5"/>
  <c r="AP29" i="5"/>
  <c r="AO29" i="5"/>
  <c r="AN29" i="5"/>
  <c r="AM29" i="5"/>
  <c r="AL29" i="5"/>
  <c r="AK29" i="5"/>
  <c r="AJ29" i="5"/>
  <c r="AI29" i="5"/>
  <c r="AH29" i="5"/>
  <c r="AG29" i="5"/>
  <c r="AF29" i="5"/>
  <c r="AE29" i="5"/>
  <c r="AD29" i="5"/>
  <c r="AC29" i="5"/>
  <c r="AB29" i="5"/>
  <c r="AA29" i="5"/>
  <c r="Z29" i="5"/>
  <c r="Y29" i="5"/>
  <c r="X29" i="5"/>
  <c r="W29" i="5"/>
  <c r="V29" i="5"/>
  <c r="U29" i="5"/>
  <c r="T29" i="5"/>
  <c r="S29" i="5"/>
  <c r="R29" i="5"/>
  <c r="Q29" i="5"/>
  <c r="P29" i="5"/>
  <c r="O29" i="5"/>
  <c r="N29" i="5"/>
  <c r="M29" i="5"/>
  <c r="L29" i="5"/>
  <c r="K29" i="5"/>
  <c r="J29" i="5"/>
  <c r="I29" i="5"/>
  <c r="H29" i="5"/>
  <c r="G29" i="5"/>
  <c r="F29" i="5"/>
  <c r="E29" i="5"/>
  <c r="D29" i="5"/>
  <c r="C29" i="5"/>
  <c r="B29" i="5"/>
  <c r="AHA28" i="5"/>
  <c r="AGZ28" i="5"/>
  <c r="AGY28" i="5"/>
  <c r="AGX28" i="5"/>
  <c r="AGW28" i="5"/>
  <c r="AGU28" i="5"/>
  <c r="AGT28" i="5"/>
  <c r="AGS28" i="5"/>
  <c r="AGR28" i="5"/>
  <c r="AGQ28" i="5"/>
  <c r="AGP28" i="5"/>
  <c r="AGO28" i="5"/>
  <c r="AGN28" i="5"/>
  <c r="AGM28" i="5"/>
  <c r="AGL28" i="5"/>
  <c r="AGK28" i="5"/>
  <c r="AGJ28" i="5"/>
  <c r="AGI28" i="5"/>
  <c r="AGH28" i="5"/>
  <c r="AGG28" i="5"/>
  <c r="AGF28" i="5"/>
  <c r="AGE28" i="5"/>
  <c r="AGD28" i="5"/>
  <c r="AGC28" i="5"/>
  <c r="AGB28" i="5"/>
  <c r="AGA28" i="5"/>
  <c r="AFZ28" i="5"/>
  <c r="AFY28" i="5"/>
  <c r="AFX28" i="5"/>
  <c r="AFW28" i="5"/>
  <c r="AFV28" i="5"/>
  <c r="AFU28" i="5"/>
  <c r="AFT28" i="5"/>
  <c r="AFS28" i="5"/>
  <c r="AFR28" i="5"/>
  <c r="AFQ28" i="5"/>
  <c r="AFP28" i="5"/>
  <c r="AFO28" i="5"/>
  <c r="AFN28" i="5"/>
  <c r="AFM28" i="5"/>
  <c r="AFL28" i="5"/>
  <c r="AFK28" i="5"/>
  <c r="AFJ28" i="5"/>
  <c r="AFI28" i="5"/>
  <c r="AFH28" i="5"/>
  <c r="AFG28" i="5"/>
  <c r="AFF28" i="5"/>
  <c r="AFE28" i="5"/>
  <c r="AFD28" i="5"/>
  <c r="AFC28" i="5"/>
  <c r="AFB28" i="5"/>
  <c r="AFA28" i="5"/>
  <c r="AEZ28" i="5"/>
  <c r="AEY28" i="5"/>
  <c r="AEX28" i="5"/>
  <c r="AEW28" i="5"/>
  <c r="AEV28" i="5"/>
  <c r="AEU28" i="5"/>
  <c r="AET28" i="5"/>
  <c r="AES28" i="5"/>
  <c r="AER28" i="5"/>
  <c r="AEQ28" i="5"/>
  <c r="AEP28" i="5"/>
  <c r="AEO28" i="5"/>
  <c r="AEN28" i="5"/>
  <c r="AEM28" i="5"/>
  <c r="AEL28" i="5"/>
  <c r="AEK28" i="5"/>
  <c r="AEJ28" i="5"/>
  <c r="AEI28" i="5"/>
  <c r="AEH28" i="5"/>
  <c r="AEG28" i="5"/>
  <c r="AEF28" i="5"/>
  <c r="AEE28" i="5"/>
  <c r="AED28" i="5"/>
  <c r="AEC28" i="5"/>
  <c r="AEB28" i="5"/>
  <c r="AEA28" i="5"/>
  <c r="ADZ28" i="5"/>
  <c r="ADY28" i="5"/>
  <c r="ADX28" i="5"/>
  <c r="ADW28" i="5"/>
  <c r="ADV28" i="5"/>
  <c r="ADU28" i="5"/>
  <c r="ADT28" i="5"/>
  <c r="ADS28" i="5"/>
  <c r="ADR28" i="5"/>
  <c r="ADQ28" i="5"/>
  <c r="ADP28" i="5"/>
  <c r="ADO28" i="5"/>
  <c r="ADN28" i="5"/>
  <c r="ADM28" i="5"/>
  <c r="ADL28" i="5"/>
  <c r="ADK28" i="5"/>
  <c r="ADJ28" i="5"/>
  <c r="ADI28" i="5"/>
  <c r="ADH28" i="5"/>
  <c r="ADG28" i="5"/>
  <c r="ADF28" i="5"/>
  <c r="ADE28" i="5"/>
  <c r="ADD28" i="5"/>
  <c r="ADC28" i="5"/>
  <c r="ADB28" i="5"/>
  <c r="ADA28" i="5"/>
  <c r="ACZ28" i="5"/>
  <c r="ACY28" i="5"/>
  <c r="ACX28" i="5"/>
  <c r="ACW28" i="5"/>
  <c r="ACV28" i="5"/>
  <c r="ACU28" i="5"/>
  <c r="ACT28" i="5"/>
  <c r="ACS28" i="5"/>
  <c r="ACR28" i="5"/>
  <c r="ACQ28" i="5"/>
  <c r="ACP28" i="5"/>
  <c r="ACO28" i="5"/>
  <c r="ACN28" i="5"/>
  <c r="ACM28" i="5"/>
  <c r="ACL28" i="5"/>
  <c r="ACK28" i="5"/>
  <c r="ACJ28" i="5"/>
  <c r="ACI28" i="5"/>
  <c r="ACH28" i="5"/>
  <c r="ACG28" i="5"/>
  <c r="ACF28" i="5"/>
  <c r="ACE28" i="5"/>
  <c r="ACD28" i="5"/>
  <c r="ACC28" i="5"/>
  <c r="ACB28" i="5"/>
  <c r="ACA28" i="5"/>
  <c r="ABZ28" i="5"/>
  <c r="ABY28" i="5"/>
  <c r="ABX28" i="5"/>
  <c r="ABW28" i="5"/>
  <c r="ABV28" i="5"/>
  <c r="ABU28" i="5"/>
  <c r="ABT28" i="5"/>
  <c r="ABS28" i="5"/>
  <c r="ABR28" i="5"/>
  <c r="ABQ28" i="5"/>
  <c r="ABP28" i="5"/>
  <c r="ABO28" i="5"/>
  <c r="ABN28" i="5"/>
  <c r="ABM28" i="5"/>
  <c r="ABL28" i="5"/>
  <c r="ABK28" i="5"/>
  <c r="ABJ28" i="5"/>
  <c r="ABI28" i="5"/>
  <c r="ABH28" i="5"/>
  <c r="ABG28" i="5"/>
  <c r="ABF28" i="5"/>
  <c r="ABE28" i="5"/>
  <c r="ABD28" i="5"/>
  <c r="ABC28" i="5"/>
  <c r="ABB28" i="5"/>
  <c r="ABA28" i="5"/>
  <c r="AAZ28" i="5"/>
  <c r="AAY28" i="5"/>
  <c r="AAX28" i="5"/>
  <c r="AAW28" i="5"/>
  <c r="AAV28" i="5"/>
  <c r="AAU28" i="5"/>
  <c r="AAT28" i="5"/>
  <c r="AAS28" i="5"/>
  <c r="AAR28" i="5"/>
  <c r="AAQ28" i="5"/>
  <c r="AAP28" i="5"/>
  <c r="AAO28" i="5"/>
  <c r="AAN28" i="5"/>
  <c r="AAM28" i="5"/>
  <c r="AAL28" i="5"/>
  <c r="AAK28" i="5"/>
  <c r="AAJ28" i="5"/>
  <c r="AAI28" i="5"/>
  <c r="AAH28" i="5"/>
  <c r="AAG28" i="5"/>
  <c r="AAF28" i="5"/>
  <c r="AAE28" i="5"/>
  <c r="AAD28" i="5"/>
  <c r="AAC28" i="5"/>
  <c r="AAB28" i="5"/>
  <c r="AAA28" i="5"/>
  <c r="ZZ28" i="5"/>
  <c r="ZY28" i="5"/>
  <c r="ZX28" i="5"/>
  <c r="ZW28" i="5"/>
  <c r="ZV28" i="5"/>
  <c r="ZU28" i="5"/>
  <c r="ZT28" i="5"/>
  <c r="ZS28" i="5"/>
  <c r="ZR28" i="5"/>
  <c r="ZQ28" i="5"/>
  <c r="ZP28" i="5"/>
  <c r="ZO28" i="5"/>
  <c r="ZN28" i="5"/>
  <c r="ZM28" i="5"/>
  <c r="ZL28" i="5"/>
  <c r="ZK28" i="5"/>
  <c r="ZJ28" i="5"/>
  <c r="ZI28" i="5"/>
  <c r="ZH28" i="5"/>
  <c r="ZG28" i="5"/>
  <c r="ZF28" i="5"/>
  <c r="ZE28" i="5"/>
  <c r="ZD28" i="5"/>
  <c r="ZC28" i="5"/>
  <c r="ZB28" i="5"/>
  <c r="ZA28" i="5"/>
  <c r="YZ28" i="5"/>
  <c r="YY28" i="5"/>
  <c r="YX28" i="5"/>
  <c r="YW28" i="5"/>
  <c r="YV28" i="5"/>
  <c r="YU28" i="5"/>
  <c r="YT28" i="5"/>
  <c r="YS28" i="5"/>
  <c r="YR28" i="5"/>
  <c r="YQ28" i="5"/>
  <c r="YP28" i="5"/>
  <c r="YO28" i="5"/>
  <c r="YN28" i="5"/>
  <c r="YM28" i="5"/>
  <c r="YL28" i="5"/>
  <c r="YK28" i="5"/>
  <c r="YJ28" i="5"/>
  <c r="YI28" i="5"/>
  <c r="YH28" i="5"/>
  <c r="YG28" i="5"/>
  <c r="YF28" i="5"/>
  <c r="YE28" i="5"/>
  <c r="YD28" i="5"/>
  <c r="YC28" i="5"/>
  <c r="YB28" i="5"/>
  <c r="YA28" i="5"/>
  <c r="XZ28" i="5"/>
  <c r="XY28" i="5"/>
  <c r="XX28" i="5"/>
  <c r="XW28" i="5"/>
  <c r="XV28" i="5"/>
  <c r="XU28" i="5"/>
  <c r="XT28" i="5"/>
  <c r="XS28" i="5"/>
  <c r="XR28" i="5"/>
  <c r="XQ28" i="5"/>
  <c r="XP28" i="5"/>
  <c r="XO28" i="5"/>
  <c r="XN28" i="5"/>
  <c r="XM28" i="5"/>
  <c r="XL28" i="5"/>
  <c r="XK28" i="5"/>
  <c r="XJ28" i="5"/>
  <c r="XI28" i="5"/>
  <c r="XH28" i="5"/>
  <c r="XG28" i="5"/>
  <c r="XF28" i="5"/>
  <c r="XE28" i="5"/>
  <c r="XD28" i="5"/>
  <c r="XC28" i="5"/>
  <c r="XB28" i="5"/>
  <c r="XA28" i="5"/>
  <c r="WZ28" i="5"/>
  <c r="WY28" i="5"/>
  <c r="WX28" i="5"/>
  <c r="WW28" i="5"/>
  <c r="WV28" i="5"/>
  <c r="WU28" i="5"/>
  <c r="WT28" i="5"/>
  <c r="WS28" i="5"/>
  <c r="WR28" i="5"/>
  <c r="WQ28" i="5"/>
  <c r="WP28" i="5"/>
  <c r="WO28" i="5"/>
  <c r="WN28" i="5"/>
  <c r="WM28" i="5"/>
  <c r="WL28" i="5"/>
  <c r="WK28" i="5"/>
  <c r="WJ28" i="5"/>
  <c r="WI28" i="5"/>
  <c r="WH28" i="5"/>
  <c r="WG28" i="5"/>
  <c r="WF28" i="5"/>
  <c r="WE28" i="5"/>
  <c r="WD28" i="5"/>
  <c r="WC28" i="5"/>
  <c r="WB28" i="5"/>
  <c r="WA28" i="5"/>
  <c r="VZ28" i="5"/>
  <c r="VY28" i="5"/>
  <c r="VX28" i="5"/>
  <c r="VW28" i="5"/>
  <c r="VV28" i="5"/>
  <c r="VU28" i="5"/>
  <c r="VT28" i="5"/>
  <c r="VS28" i="5"/>
  <c r="VR28" i="5"/>
  <c r="VQ28" i="5"/>
  <c r="VP28" i="5"/>
  <c r="VO28" i="5"/>
  <c r="VN28" i="5"/>
  <c r="VM28" i="5"/>
  <c r="VL28" i="5"/>
  <c r="VK28" i="5"/>
  <c r="VJ28" i="5"/>
  <c r="VI28" i="5"/>
  <c r="VH28" i="5"/>
  <c r="VG28" i="5"/>
  <c r="VF28" i="5"/>
  <c r="VE28" i="5"/>
  <c r="VD28" i="5"/>
  <c r="VC28" i="5"/>
  <c r="VB28" i="5"/>
  <c r="VA28" i="5"/>
  <c r="UZ28" i="5"/>
  <c r="UY28" i="5"/>
  <c r="UX28" i="5"/>
  <c r="UW28" i="5"/>
  <c r="UV28" i="5"/>
  <c r="UU28" i="5"/>
  <c r="UT28" i="5"/>
  <c r="US28" i="5"/>
  <c r="UR28" i="5"/>
  <c r="UQ28" i="5"/>
  <c r="UP28" i="5"/>
  <c r="UO28" i="5"/>
  <c r="UN28" i="5"/>
  <c r="UM28" i="5"/>
  <c r="UL28" i="5"/>
  <c r="UK28" i="5"/>
  <c r="UJ28" i="5"/>
  <c r="UI28" i="5"/>
  <c r="UH28" i="5"/>
  <c r="UG28" i="5"/>
  <c r="UF28" i="5"/>
  <c r="UE28" i="5"/>
  <c r="UD28" i="5"/>
  <c r="UC28" i="5"/>
  <c r="UB28" i="5"/>
  <c r="UA28" i="5"/>
  <c r="TZ28" i="5"/>
  <c r="TY28" i="5"/>
  <c r="TX28" i="5"/>
  <c r="TW28" i="5"/>
  <c r="TV28" i="5"/>
  <c r="TU28" i="5"/>
  <c r="TT28" i="5"/>
  <c r="TS28" i="5"/>
  <c r="TR28" i="5"/>
  <c r="TQ28" i="5"/>
  <c r="TP28" i="5"/>
  <c r="TO28" i="5"/>
  <c r="TN28" i="5"/>
  <c r="TM28" i="5"/>
  <c r="TL28" i="5"/>
  <c r="TK28" i="5"/>
  <c r="TJ28" i="5"/>
  <c r="TI28" i="5"/>
  <c r="TH28" i="5"/>
  <c r="TG28" i="5"/>
  <c r="TF28" i="5"/>
  <c r="TE28" i="5"/>
  <c r="TD28" i="5"/>
  <c r="TC28" i="5"/>
  <c r="TB28" i="5"/>
  <c r="TA28" i="5"/>
  <c r="SZ28" i="5"/>
  <c r="SY28" i="5"/>
  <c r="SX28" i="5"/>
  <c r="SW28" i="5"/>
  <c r="SV28" i="5"/>
  <c r="SU28" i="5"/>
  <c r="ST28" i="5"/>
  <c r="SS28" i="5"/>
  <c r="SR28" i="5"/>
  <c r="SQ28" i="5"/>
  <c r="SP28" i="5"/>
  <c r="SO28" i="5"/>
  <c r="SN28" i="5"/>
  <c r="SM28" i="5"/>
  <c r="SL28" i="5"/>
  <c r="SK28" i="5"/>
  <c r="SJ28" i="5"/>
  <c r="SI28" i="5"/>
  <c r="SH28" i="5"/>
  <c r="SG28" i="5"/>
  <c r="SF28" i="5"/>
  <c r="SE28" i="5"/>
  <c r="SD28" i="5"/>
  <c r="SC28" i="5"/>
  <c r="SB28" i="5"/>
  <c r="SA28" i="5"/>
  <c r="RZ28" i="5"/>
  <c r="RY28" i="5"/>
  <c r="RX28" i="5"/>
  <c r="RW28" i="5"/>
  <c r="RV28" i="5"/>
  <c r="RU28" i="5"/>
  <c r="RT28" i="5"/>
  <c r="RS28" i="5"/>
  <c r="RR28" i="5"/>
  <c r="RQ28" i="5"/>
  <c r="RP28" i="5"/>
  <c r="RO28" i="5"/>
  <c r="RN28" i="5"/>
  <c r="RM28" i="5"/>
  <c r="RL28" i="5"/>
  <c r="RK28" i="5"/>
  <c r="RJ28" i="5"/>
  <c r="RI28" i="5"/>
  <c r="RH28" i="5"/>
  <c r="RG28" i="5"/>
  <c r="RF28" i="5"/>
  <c r="RE28" i="5"/>
  <c r="RD28" i="5"/>
  <c r="RC28" i="5"/>
  <c r="RB28" i="5"/>
  <c r="RA28" i="5"/>
  <c r="QZ28" i="5"/>
  <c r="QY28" i="5"/>
  <c r="QX28" i="5"/>
  <c r="QW28" i="5"/>
  <c r="QV28" i="5"/>
  <c r="QU28" i="5"/>
  <c r="QT28" i="5"/>
  <c r="QS28" i="5"/>
  <c r="QR28" i="5"/>
  <c r="QQ28" i="5"/>
  <c r="QP28" i="5"/>
  <c r="QO28" i="5"/>
  <c r="QN28" i="5"/>
  <c r="QM28" i="5"/>
  <c r="QL28" i="5"/>
  <c r="QK28" i="5"/>
  <c r="QJ28" i="5"/>
  <c r="QI28" i="5"/>
  <c r="QH28" i="5"/>
  <c r="QG28" i="5"/>
  <c r="QF28" i="5"/>
  <c r="QE28" i="5"/>
  <c r="QD28" i="5"/>
  <c r="QC28" i="5"/>
  <c r="QB28" i="5"/>
  <c r="QA28" i="5"/>
  <c r="PZ28" i="5"/>
  <c r="PY28" i="5"/>
  <c r="PX28" i="5"/>
  <c r="PW28" i="5"/>
  <c r="PV28" i="5"/>
  <c r="PU28" i="5"/>
  <c r="PT28" i="5"/>
  <c r="PS28" i="5"/>
  <c r="PR28" i="5"/>
  <c r="PQ28" i="5"/>
  <c r="PP28" i="5"/>
  <c r="PO28" i="5"/>
  <c r="PN28" i="5"/>
  <c r="PM28" i="5"/>
  <c r="PL28" i="5"/>
  <c r="PK28" i="5"/>
  <c r="PJ28" i="5"/>
  <c r="PI28" i="5"/>
  <c r="PH28" i="5"/>
  <c r="PG28" i="5"/>
  <c r="PF28" i="5"/>
  <c r="PE28" i="5"/>
  <c r="PD28" i="5"/>
  <c r="PC28" i="5"/>
  <c r="PB28" i="5"/>
  <c r="PA28" i="5"/>
  <c r="OZ28" i="5"/>
  <c r="OY28" i="5"/>
  <c r="OX28" i="5"/>
  <c r="OW28" i="5"/>
  <c r="OV28" i="5"/>
  <c r="OU28" i="5"/>
  <c r="OT28" i="5"/>
  <c r="OS28" i="5"/>
  <c r="OR28" i="5"/>
  <c r="OQ28" i="5"/>
  <c r="OP28" i="5"/>
  <c r="OO28" i="5"/>
  <c r="ON28" i="5"/>
  <c r="OM28" i="5"/>
  <c r="OL28" i="5"/>
  <c r="OK28" i="5"/>
  <c r="OJ28" i="5"/>
  <c r="OI28" i="5"/>
  <c r="OH28" i="5"/>
  <c r="OG28" i="5"/>
  <c r="OF28" i="5"/>
  <c r="OE28" i="5"/>
  <c r="OD28" i="5"/>
  <c r="OC28" i="5"/>
  <c r="OB28" i="5"/>
  <c r="OA28" i="5"/>
  <c r="NZ28" i="5"/>
  <c r="NY28" i="5"/>
  <c r="NX28" i="5"/>
  <c r="NW28" i="5"/>
  <c r="NV28" i="5"/>
  <c r="NU28" i="5"/>
  <c r="NT28" i="5"/>
  <c r="NS28" i="5"/>
  <c r="NR28" i="5"/>
  <c r="NQ28" i="5"/>
  <c r="NP28" i="5"/>
  <c r="NO28" i="5"/>
  <c r="NN28" i="5"/>
  <c r="NM28" i="5"/>
  <c r="NL28" i="5"/>
  <c r="NK28" i="5"/>
  <c r="NJ28" i="5"/>
  <c r="NI28" i="5"/>
  <c r="NH28" i="5"/>
  <c r="NG28" i="5"/>
  <c r="NF28" i="5"/>
  <c r="NE28" i="5"/>
  <c r="ND28" i="5"/>
  <c r="NC28" i="5"/>
  <c r="NB28" i="5"/>
  <c r="NA28" i="5"/>
  <c r="MZ28" i="5"/>
  <c r="MY28" i="5"/>
  <c r="MX28" i="5"/>
  <c r="MW28" i="5"/>
  <c r="MV28" i="5"/>
  <c r="MU28" i="5"/>
  <c r="MT28" i="5"/>
  <c r="MS28" i="5"/>
  <c r="MR28" i="5"/>
  <c r="MQ28" i="5"/>
  <c r="MP28" i="5"/>
  <c r="MO28" i="5"/>
  <c r="MN28" i="5"/>
  <c r="MM28" i="5"/>
  <c r="ML28" i="5"/>
  <c r="MK28" i="5"/>
  <c r="MJ28" i="5"/>
  <c r="MI28" i="5"/>
  <c r="MH28" i="5"/>
  <c r="MG28" i="5"/>
  <c r="MF28" i="5"/>
  <c r="ME28" i="5"/>
  <c r="MD28" i="5"/>
  <c r="MC28" i="5"/>
  <c r="MB28" i="5"/>
  <c r="MA28" i="5"/>
  <c r="LZ28" i="5"/>
  <c r="LY28" i="5"/>
  <c r="LX28" i="5"/>
  <c r="LW28" i="5"/>
  <c r="LV28" i="5"/>
  <c r="LU28" i="5"/>
  <c r="LT28" i="5"/>
  <c r="LS28" i="5"/>
  <c r="LR28" i="5"/>
  <c r="LQ28" i="5"/>
  <c r="LP28" i="5"/>
  <c r="LO28" i="5"/>
  <c r="LN28" i="5"/>
  <c r="LM28" i="5"/>
  <c r="LL28" i="5"/>
  <c r="LK28" i="5"/>
  <c r="LJ28" i="5"/>
  <c r="LI28" i="5"/>
  <c r="LH28" i="5"/>
  <c r="LG28" i="5"/>
  <c r="LF28" i="5"/>
  <c r="LE28" i="5"/>
  <c r="LD28" i="5"/>
  <c r="LC28" i="5"/>
  <c r="LB28" i="5"/>
  <c r="LA28" i="5"/>
  <c r="KZ28" i="5"/>
  <c r="KY28" i="5"/>
  <c r="KX28" i="5"/>
  <c r="KW28" i="5"/>
  <c r="KV28" i="5"/>
  <c r="KU28" i="5"/>
  <c r="KT28" i="5"/>
  <c r="KS28" i="5"/>
  <c r="KR28" i="5"/>
  <c r="KQ28" i="5"/>
  <c r="KP28" i="5"/>
  <c r="KO28" i="5"/>
  <c r="KN28" i="5"/>
  <c r="KM28" i="5"/>
  <c r="KL28" i="5"/>
  <c r="KK28" i="5"/>
  <c r="KJ28" i="5"/>
  <c r="KI28" i="5"/>
  <c r="KH28" i="5"/>
  <c r="KG28" i="5"/>
  <c r="KF28" i="5"/>
  <c r="KE28" i="5"/>
  <c r="KD28" i="5"/>
  <c r="KC28" i="5"/>
  <c r="KB28" i="5"/>
  <c r="KA28" i="5"/>
  <c r="JZ28" i="5"/>
  <c r="JY28" i="5"/>
  <c r="JX28" i="5"/>
  <c r="JW28" i="5"/>
  <c r="JV28" i="5"/>
  <c r="JU28" i="5"/>
  <c r="JT28" i="5"/>
  <c r="JS28" i="5"/>
  <c r="JR28" i="5"/>
  <c r="JQ28" i="5"/>
  <c r="JP28" i="5"/>
  <c r="JO28" i="5"/>
  <c r="JN28" i="5"/>
  <c r="JM28" i="5"/>
  <c r="JL28" i="5"/>
  <c r="JK28" i="5"/>
  <c r="JJ28" i="5"/>
  <c r="JI28" i="5"/>
  <c r="JH28" i="5"/>
  <c r="JG28" i="5"/>
  <c r="JF28" i="5"/>
  <c r="JE28" i="5"/>
  <c r="JD28" i="5"/>
  <c r="JC28" i="5"/>
  <c r="JB28" i="5"/>
  <c r="JA28" i="5"/>
  <c r="IZ28" i="5"/>
  <c r="IY28" i="5"/>
  <c r="IX28" i="5"/>
  <c r="IW28" i="5"/>
  <c r="IV28" i="5"/>
  <c r="IU28" i="5"/>
  <c r="IT28" i="5"/>
  <c r="IS28" i="5"/>
  <c r="IR28" i="5"/>
  <c r="IQ28" i="5"/>
  <c r="IP28" i="5"/>
  <c r="IO28" i="5"/>
  <c r="IN28" i="5"/>
  <c r="IM28" i="5"/>
  <c r="IL28" i="5"/>
  <c r="IK28" i="5"/>
  <c r="IJ28" i="5"/>
  <c r="II28" i="5"/>
  <c r="IH28" i="5"/>
  <c r="IG28" i="5"/>
  <c r="IF28" i="5"/>
  <c r="IE28" i="5"/>
  <c r="ID28" i="5"/>
  <c r="IC28" i="5"/>
  <c r="IB28" i="5"/>
  <c r="IA28" i="5"/>
  <c r="HZ28" i="5"/>
  <c r="HY28" i="5"/>
  <c r="HX28" i="5"/>
  <c r="HW28" i="5"/>
  <c r="HV28" i="5"/>
  <c r="HU28" i="5"/>
  <c r="HT28" i="5"/>
  <c r="HS28" i="5"/>
  <c r="HR28" i="5"/>
  <c r="HQ28" i="5"/>
  <c r="HP28" i="5"/>
  <c r="HO28" i="5"/>
  <c r="HN28" i="5"/>
  <c r="HM28" i="5"/>
  <c r="HL28" i="5"/>
  <c r="HK28" i="5"/>
  <c r="HJ28" i="5"/>
  <c r="HI28" i="5"/>
  <c r="HH28" i="5"/>
  <c r="HG28" i="5"/>
  <c r="HF28" i="5"/>
  <c r="HE28" i="5"/>
  <c r="HD28" i="5"/>
  <c r="HC28" i="5"/>
  <c r="HB28" i="5"/>
  <c r="HA28" i="5"/>
  <c r="GZ28" i="5"/>
  <c r="GY28" i="5"/>
  <c r="GX28" i="5"/>
  <c r="GW28" i="5"/>
  <c r="GV28" i="5"/>
  <c r="GU28" i="5"/>
  <c r="GT28" i="5"/>
  <c r="GS28" i="5"/>
  <c r="GR28" i="5"/>
  <c r="GQ28" i="5"/>
  <c r="GP28" i="5"/>
  <c r="GO28" i="5"/>
  <c r="GN28" i="5"/>
  <c r="GM28" i="5"/>
  <c r="GL28" i="5"/>
  <c r="GK28" i="5"/>
  <c r="GJ28" i="5"/>
  <c r="GI28" i="5"/>
  <c r="GH28" i="5"/>
  <c r="GG28" i="5"/>
  <c r="GF28" i="5"/>
  <c r="GE28" i="5"/>
  <c r="GD28" i="5"/>
  <c r="GC28" i="5"/>
  <c r="GB28" i="5"/>
  <c r="GA28" i="5"/>
  <c r="FZ28" i="5"/>
  <c r="FY28" i="5"/>
  <c r="FX28" i="5"/>
  <c r="FW28" i="5"/>
  <c r="FV28" i="5"/>
  <c r="FU28" i="5"/>
  <c r="FT28" i="5"/>
  <c r="FS28" i="5"/>
  <c r="FR28" i="5"/>
  <c r="FQ28" i="5"/>
  <c r="FP28" i="5"/>
  <c r="FO28" i="5"/>
  <c r="FN28" i="5"/>
  <c r="FM28" i="5"/>
  <c r="FL28" i="5"/>
  <c r="FK28" i="5"/>
  <c r="FJ28" i="5"/>
  <c r="FI28" i="5"/>
  <c r="FH28" i="5"/>
  <c r="FG28" i="5"/>
  <c r="FF28" i="5"/>
  <c r="FE28" i="5"/>
  <c r="FD28" i="5"/>
  <c r="FC28" i="5"/>
  <c r="FB28" i="5"/>
  <c r="FA28" i="5"/>
  <c r="EZ28" i="5"/>
  <c r="EY28" i="5"/>
  <c r="EX28" i="5"/>
  <c r="EW28" i="5"/>
  <c r="EV28" i="5"/>
  <c r="EU28" i="5"/>
  <c r="ET28" i="5"/>
  <c r="ES28" i="5"/>
  <c r="ER28" i="5"/>
  <c r="EQ28" i="5"/>
  <c r="EP28" i="5"/>
  <c r="EO28" i="5"/>
  <c r="EN28" i="5"/>
  <c r="EM28" i="5"/>
  <c r="EL28" i="5"/>
  <c r="EK28" i="5"/>
  <c r="EJ28" i="5"/>
  <c r="EI28" i="5"/>
  <c r="EH28" i="5"/>
  <c r="EG28" i="5"/>
  <c r="EF28" i="5"/>
  <c r="EE28" i="5"/>
  <c r="ED28" i="5"/>
  <c r="EC28" i="5"/>
  <c r="EB28" i="5"/>
  <c r="EA28" i="5"/>
  <c r="DZ28" i="5"/>
  <c r="DY28" i="5"/>
  <c r="DX28" i="5"/>
  <c r="DW28" i="5"/>
  <c r="DV28" i="5"/>
  <c r="DU28" i="5"/>
  <c r="DT28" i="5"/>
  <c r="DS28" i="5"/>
  <c r="DR28" i="5"/>
  <c r="DQ28" i="5"/>
  <c r="DP28" i="5"/>
  <c r="DO28" i="5"/>
  <c r="DN28" i="5"/>
  <c r="DM28" i="5"/>
  <c r="DL28" i="5"/>
  <c r="DK28" i="5"/>
  <c r="DJ28" i="5"/>
  <c r="DI28" i="5"/>
  <c r="DH28" i="5"/>
  <c r="DG28" i="5"/>
  <c r="DF28" i="5"/>
  <c r="DE28" i="5"/>
  <c r="DD28" i="5"/>
  <c r="DC28" i="5"/>
  <c r="DB28" i="5"/>
  <c r="DA28" i="5"/>
  <c r="CZ28" i="5"/>
  <c r="CY28" i="5"/>
  <c r="CX28" i="5"/>
  <c r="CW28" i="5"/>
  <c r="CV28" i="5"/>
  <c r="CU28" i="5"/>
  <c r="CT28" i="5"/>
  <c r="CS28" i="5"/>
  <c r="CR28" i="5"/>
  <c r="CQ28" i="5"/>
  <c r="CP28" i="5"/>
  <c r="CO28" i="5"/>
  <c r="CN28" i="5"/>
  <c r="CM28" i="5"/>
  <c r="CL28" i="5"/>
  <c r="CK28" i="5"/>
  <c r="CJ28" i="5"/>
  <c r="CI28" i="5"/>
  <c r="CH28" i="5"/>
  <c r="CG28" i="5"/>
  <c r="CF28" i="5"/>
  <c r="CE28" i="5"/>
  <c r="CD28" i="5"/>
  <c r="CC28" i="5"/>
  <c r="CB28" i="5"/>
  <c r="CA28" i="5"/>
  <c r="BZ28" i="5"/>
  <c r="BY28" i="5"/>
  <c r="BX28" i="5"/>
  <c r="BW28" i="5"/>
  <c r="BV28" i="5"/>
  <c r="BU28" i="5"/>
  <c r="BT28" i="5"/>
  <c r="BS28" i="5"/>
  <c r="BR28" i="5"/>
  <c r="BQ28" i="5"/>
  <c r="BP28" i="5"/>
  <c r="BO28" i="5"/>
  <c r="BN28" i="5"/>
  <c r="BM28" i="5"/>
  <c r="BL28" i="5"/>
  <c r="BK28" i="5"/>
  <c r="BJ28" i="5"/>
  <c r="BI28" i="5"/>
  <c r="BH28" i="5"/>
  <c r="BG28" i="5"/>
  <c r="BF28" i="5"/>
  <c r="BE28" i="5"/>
  <c r="BD28" i="5"/>
  <c r="BC28" i="5"/>
  <c r="BB28" i="5"/>
  <c r="BA28" i="5"/>
  <c r="AZ28" i="5"/>
  <c r="AY28" i="5"/>
  <c r="AX28" i="5"/>
  <c r="AW28" i="5"/>
  <c r="AV28" i="5"/>
  <c r="AU28" i="5"/>
  <c r="AT28" i="5"/>
  <c r="AS28" i="5"/>
  <c r="AR28" i="5"/>
  <c r="AQ28" i="5"/>
  <c r="AP28" i="5"/>
  <c r="AO28" i="5"/>
  <c r="AN28" i="5"/>
  <c r="AM28" i="5"/>
  <c r="AL28" i="5"/>
  <c r="AK28" i="5"/>
  <c r="AJ28" i="5"/>
  <c r="AI28" i="5"/>
  <c r="AH28" i="5"/>
  <c r="AG28" i="5"/>
  <c r="AF28" i="5"/>
  <c r="AE28" i="5"/>
  <c r="AD28" i="5"/>
  <c r="AC28" i="5"/>
  <c r="AB28" i="5"/>
  <c r="AA28" i="5"/>
  <c r="Z28" i="5"/>
  <c r="Y28" i="5"/>
  <c r="X28" i="5"/>
  <c r="W28" i="5"/>
  <c r="V28" i="5"/>
  <c r="U28" i="5"/>
  <c r="T28" i="5"/>
  <c r="S28" i="5"/>
  <c r="R28" i="5"/>
  <c r="Q28" i="5"/>
  <c r="P28" i="5"/>
  <c r="O28" i="5"/>
  <c r="N28" i="5"/>
  <c r="M28" i="5"/>
  <c r="L28" i="5"/>
  <c r="K28" i="5"/>
  <c r="J28" i="5"/>
  <c r="I28" i="5"/>
  <c r="H28" i="5"/>
  <c r="G28" i="5"/>
  <c r="F28" i="5"/>
  <c r="E28" i="5"/>
  <c r="D28" i="5"/>
  <c r="C28" i="5"/>
  <c r="B28" i="5"/>
  <c r="AHA27" i="5"/>
  <c r="AGZ27" i="5"/>
  <c r="AGY27" i="5"/>
  <c r="AGX27" i="5"/>
  <c r="AGW27" i="5"/>
  <c r="AGU27" i="5"/>
  <c r="AGT27" i="5"/>
  <c r="AGS27" i="5"/>
  <c r="AGR27" i="5"/>
  <c r="AGQ27" i="5"/>
  <c r="AGP27" i="5"/>
  <c r="AGO27" i="5"/>
  <c r="AGN27" i="5"/>
  <c r="AGM27" i="5"/>
  <c r="AGL27" i="5"/>
  <c r="AGK27" i="5"/>
  <c r="AGJ27" i="5"/>
  <c r="AGI27" i="5"/>
  <c r="AGH27" i="5"/>
  <c r="AGG27" i="5"/>
  <c r="AGF27" i="5"/>
  <c r="AGE27" i="5"/>
  <c r="AGD27" i="5"/>
  <c r="AGC27" i="5"/>
  <c r="AGB27" i="5"/>
  <c r="AGA27" i="5"/>
  <c r="AFZ27" i="5"/>
  <c r="AFY27" i="5"/>
  <c r="AFX27" i="5"/>
  <c r="AFW27" i="5"/>
  <c r="AFV27" i="5"/>
  <c r="AFU27" i="5"/>
  <c r="AFT27" i="5"/>
  <c r="AFS27" i="5"/>
  <c r="AFR27" i="5"/>
  <c r="AFQ27" i="5"/>
  <c r="AFP27" i="5"/>
  <c r="AFO27" i="5"/>
  <c r="AFN27" i="5"/>
  <c r="AFM27" i="5"/>
  <c r="AFL27" i="5"/>
  <c r="AFK27" i="5"/>
  <c r="AFJ27" i="5"/>
  <c r="AFI27" i="5"/>
  <c r="AFH27" i="5"/>
  <c r="AFG27" i="5"/>
  <c r="AFF27" i="5"/>
  <c r="AFE27" i="5"/>
  <c r="AFD27" i="5"/>
  <c r="AFC27" i="5"/>
  <c r="AFB27" i="5"/>
  <c r="AFA27" i="5"/>
  <c r="AEZ27" i="5"/>
  <c r="AEY27" i="5"/>
  <c r="AEX27" i="5"/>
  <c r="AEW27" i="5"/>
  <c r="AEV27" i="5"/>
  <c r="AEU27" i="5"/>
  <c r="AET27" i="5"/>
  <c r="AES27" i="5"/>
  <c r="AER27" i="5"/>
  <c r="AEQ27" i="5"/>
  <c r="AEP27" i="5"/>
  <c r="AEO27" i="5"/>
  <c r="AEN27" i="5"/>
  <c r="AEM27" i="5"/>
  <c r="AEL27" i="5"/>
  <c r="AEK27" i="5"/>
  <c r="AEJ27" i="5"/>
  <c r="AEI27" i="5"/>
  <c r="AEH27" i="5"/>
  <c r="AEG27" i="5"/>
  <c r="AEF27" i="5"/>
  <c r="AEE27" i="5"/>
  <c r="AED27" i="5"/>
  <c r="AEC27" i="5"/>
  <c r="AEB27" i="5"/>
  <c r="AEA27" i="5"/>
  <c r="ADZ27" i="5"/>
  <c r="ADY27" i="5"/>
  <c r="ADX27" i="5"/>
  <c r="ADW27" i="5"/>
  <c r="ADV27" i="5"/>
  <c r="ADU27" i="5"/>
  <c r="ADT27" i="5"/>
  <c r="ADS27" i="5"/>
  <c r="ADR27" i="5"/>
  <c r="ADQ27" i="5"/>
  <c r="ADP27" i="5"/>
  <c r="ADO27" i="5"/>
  <c r="ADN27" i="5"/>
  <c r="ADM27" i="5"/>
  <c r="ADL27" i="5"/>
  <c r="ADK27" i="5"/>
  <c r="ADJ27" i="5"/>
  <c r="ADI27" i="5"/>
  <c r="ADH27" i="5"/>
  <c r="ADG27" i="5"/>
  <c r="ADF27" i="5"/>
  <c r="ADE27" i="5"/>
  <c r="ADD27" i="5"/>
  <c r="ADC27" i="5"/>
  <c r="ADB27" i="5"/>
  <c r="ADA27" i="5"/>
  <c r="ACZ27" i="5"/>
  <c r="ACY27" i="5"/>
  <c r="ACX27" i="5"/>
  <c r="ACW27" i="5"/>
  <c r="ACV27" i="5"/>
  <c r="ACU27" i="5"/>
  <c r="ACT27" i="5"/>
  <c r="ACS27" i="5"/>
  <c r="ACR27" i="5"/>
  <c r="ACQ27" i="5"/>
  <c r="ACP27" i="5"/>
  <c r="ACO27" i="5"/>
  <c r="ACN27" i="5"/>
  <c r="ACM27" i="5"/>
  <c r="ACL27" i="5"/>
  <c r="ACK27" i="5"/>
  <c r="ACJ27" i="5"/>
  <c r="ACI27" i="5"/>
  <c r="ACH27" i="5"/>
  <c r="ACG27" i="5"/>
  <c r="ACF27" i="5"/>
  <c r="ACE27" i="5"/>
  <c r="ACD27" i="5"/>
  <c r="ACC27" i="5"/>
  <c r="ACB27" i="5"/>
  <c r="ACA27" i="5"/>
  <c r="ABZ27" i="5"/>
  <c r="ABY27" i="5"/>
  <c r="ABX27" i="5"/>
  <c r="ABW27" i="5"/>
  <c r="ABV27" i="5"/>
  <c r="ABU27" i="5"/>
  <c r="ABT27" i="5"/>
  <c r="ABS27" i="5"/>
  <c r="ABR27" i="5"/>
  <c r="ABQ27" i="5"/>
  <c r="ABP27" i="5"/>
  <c r="ABO27" i="5"/>
  <c r="ABN27" i="5"/>
  <c r="ABM27" i="5"/>
  <c r="ABL27" i="5"/>
  <c r="ABK27" i="5"/>
  <c r="ABJ27" i="5"/>
  <c r="ABI27" i="5"/>
  <c r="ABH27" i="5"/>
  <c r="ABG27" i="5"/>
  <c r="ABF27" i="5"/>
  <c r="ABE27" i="5"/>
  <c r="ABD27" i="5"/>
  <c r="ABC27" i="5"/>
  <c r="ABB27" i="5"/>
  <c r="ABA27" i="5"/>
  <c r="AAZ27" i="5"/>
  <c r="AAY27" i="5"/>
  <c r="AAX27" i="5"/>
  <c r="AAW27" i="5"/>
  <c r="AAV27" i="5"/>
  <c r="AAU27" i="5"/>
  <c r="AAT27" i="5"/>
  <c r="AAS27" i="5"/>
  <c r="AAR27" i="5"/>
  <c r="AAQ27" i="5"/>
  <c r="AAP27" i="5"/>
  <c r="AAO27" i="5"/>
  <c r="AAN27" i="5"/>
  <c r="AAM27" i="5"/>
  <c r="AAL27" i="5"/>
  <c r="AAK27" i="5"/>
  <c r="AAJ27" i="5"/>
  <c r="AAI27" i="5"/>
  <c r="AAH27" i="5"/>
  <c r="AAG27" i="5"/>
  <c r="AAF27" i="5"/>
  <c r="AAE27" i="5"/>
  <c r="AAD27" i="5"/>
  <c r="AAC27" i="5"/>
  <c r="AAB27" i="5"/>
  <c r="AAA27" i="5"/>
  <c r="ZZ27" i="5"/>
  <c r="ZY27" i="5"/>
  <c r="ZX27" i="5"/>
  <c r="ZW27" i="5"/>
  <c r="ZV27" i="5"/>
  <c r="ZU27" i="5"/>
  <c r="ZT27" i="5"/>
  <c r="ZS27" i="5"/>
  <c r="ZR27" i="5"/>
  <c r="ZQ27" i="5"/>
  <c r="ZP27" i="5"/>
  <c r="ZO27" i="5"/>
  <c r="ZN27" i="5"/>
  <c r="ZM27" i="5"/>
  <c r="ZL27" i="5"/>
  <c r="ZK27" i="5"/>
  <c r="ZJ27" i="5"/>
  <c r="ZI27" i="5"/>
  <c r="ZH27" i="5"/>
  <c r="ZG27" i="5"/>
  <c r="ZF27" i="5"/>
  <c r="ZE27" i="5"/>
  <c r="ZD27" i="5"/>
  <c r="ZC27" i="5"/>
  <c r="ZB27" i="5"/>
  <c r="ZA27" i="5"/>
  <c r="YZ27" i="5"/>
  <c r="YY27" i="5"/>
  <c r="YX27" i="5"/>
  <c r="YW27" i="5"/>
  <c r="YV27" i="5"/>
  <c r="YU27" i="5"/>
  <c r="YT27" i="5"/>
  <c r="YS27" i="5"/>
  <c r="YR27" i="5"/>
  <c r="YQ27" i="5"/>
  <c r="YP27" i="5"/>
  <c r="YO27" i="5"/>
  <c r="YN27" i="5"/>
  <c r="YM27" i="5"/>
  <c r="YL27" i="5"/>
  <c r="YK27" i="5"/>
  <c r="YJ27" i="5"/>
  <c r="YI27" i="5"/>
  <c r="YH27" i="5"/>
  <c r="YG27" i="5"/>
  <c r="YF27" i="5"/>
  <c r="YE27" i="5"/>
  <c r="YD27" i="5"/>
  <c r="YC27" i="5"/>
  <c r="YB27" i="5"/>
  <c r="YA27" i="5"/>
  <c r="XZ27" i="5"/>
  <c r="XY27" i="5"/>
  <c r="XX27" i="5"/>
  <c r="XW27" i="5"/>
  <c r="XV27" i="5"/>
  <c r="XU27" i="5"/>
  <c r="XT27" i="5"/>
  <c r="XS27" i="5"/>
  <c r="XR27" i="5"/>
  <c r="XQ27" i="5"/>
  <c r="XP27" i="5"/>
  <c r="XO27" i="5"/>
  <c r="XN27" i="5"/>
  <c r="XM27" i="5"/>
  <c r="XL27" i="5"/>
  <c r="XK27" i="5"/>
  <c r="XJ27" i="5"/>
  <c r="XI27" i="5"/>
  <c r="XH27" i="5"/>
  <c r="XG27" i="5"/>
  <c r="XF27" i="5"/>
  <c r="XE27" i="5"/>
  <c r="XD27" i="5"/>
  <c r="XC27" i="5"/>
  <c r="XB27" i="5"/>
  <c r="XA27" i="5"/>
  <c r="WZ27" i="5"/>
  <c r="WY27" i="5"/>
  <c r="WX27" i="5"/>
  <c r="WW27" i="5"/>
  <c r="WV27" i="5"/>
  <c r="WU27" i="5"/>
  <c r="WT27" i="5"/>
  <c r="WS27" i="5"/>
  <c r="WR27" i="5"/>
  <c r="WQ27" i="5"/>
  <c r="WP27" i="5"/>
  <c r="WO27" i="5"/>
  <c r="WN27" i="5"/>
  <c r="WM27" i="5"/>
  <c r="WL27" i="5"/>
  <c r="WK27" i="5"/>
  <c r="WJ27" i="5"/>
  <c r="WI27" i="5"/>
  <c r="WH27" i="5"/>
  <c r="WG27" i="5"/>
  <c r="WF27" i="5"/>
  <c r="WE27" i="5"/>
  <c r="WD27" i="5"/>
  <c r="WC27" i="5"/>
  <c r="WB27" i="5"/>
  <c r="WA27" i="5"/>
  <c r="VZ27" i="5"/>
  <c r="VY27" i="5"/>
  <c r="VX27" i="5"/>
  <c r="VW27" i="5"/>
  <c r="VV27" i="5"/>
  <c r="VU27" i="5"/>
  <c r="VT27" i="5"/>
  <c r="VS27" i="5"/>
  <c r="VR27" i="5"/>
  <c r="VQ27" i="5"/>
  <c r="VP27" i="5"/>
  <c r="VO27" i="5"/>
  <c r="VN27" i="5"/>
  <c r="VM27" i="5"/>
  <c r="VL27" i="5"/>
  <c r="VK27" i="5"/>
  <c r="VJ27" i="5"/>
  <c r="VI27" i="5"/>
  <c r="VH27" i="5"/>
  <c r="VG27" i="5"/>
  <c r="VF27" i="5"/>
  <c r="VE27" i="5"/>
  <c r="VD27" i="5"/>
  <c r="VC27" i="5"/>
  <c r="VB27" i="5"/>
  <c r="VA27" i="5"/>
  <c r="UZ27" i="5"/>
  <c r="UY27" i="5"/>
  <c r="UX27" i="5"/>
  <c r="UW27" i="5"/>
  <c r="UV27" i="5"/>
  <c r="UU27" i="5"/>
  <c r="UT27" i="5"/>
  <c r="US27" i="5"/>
  <c r="UR27" i="5"/>
  <c r="UQ27" i="5"/>
  <c r="UP27" i="5"/>
  <c r="UO27" i="5"/>
  <c r="UN27" i="5"/>
  <c r="UM27" i="5"/>
  <c r="UL27" i="5"/>
  <c r="UK27" i="5"/>
  <c r="UJ27" i="5"/>
  <c r="UI27" i="5"/>
  <c r="UH27" i="5"/>
  <c r="UG27" i="5"/>
  <c r="UF27" i="5"/>
  <c r="UE27" i="5"/>
  <c r="UD27" i="5"/>
  <c r="UC27" i="5"/>
  <c r="UB27" i="5"/>
  <c r="UA27" i="5"/>
  <c r="TZ27" i="5"/>
  <c r="TY27" i="5"/>
  <c r="TX27" i="5"/>
  <c r="TW27" i="5"/>
  <c r="TV27" i="5"/>
  <c r="TU27" i="5"/>
  <c r="TT27" i="5"/>
  <c r="TS27" i="5"/>
  <c r="TR27" i="5"/>
  <c r="TQ27" i="5"/>
  <c r="TP27" i="5"/>
  <c r="TO27" i="5"/>
  <c r="TN27" i="5"/>
  <c r="TM27" i="5"/>
  <c r="TL27" i="5"/>
  <c r="TK27" i="5"/>
  <c r="TJ27" i="5"/>
  <c r="TI27" i="5"/>
  <c r="TH27" i="5"/>
  <c r="TG27" i="5"/>
  <c r="TF27" i="5"/>
  <c r="TE27" i="5"/>
  <c r="TD27" i="5"/>
  <c r="TC27" i="5"/>
  <c r="TB27" i="5"/>
  <c r="TA27" i="5"/>
  <c r="SZ27" i="5"/>
  <c r="SY27" i="5"/>
  <c r="SX27" i="5"/>
  <c r="SW27" i="5"/>
  <c r="SV27" i="5"/>
  <c r="SU27" i="5"/>
  <c r="ST27" i="5"/>
  <c r="SS27" i="5"/>
  <c r="SR27" i="5"/>
  <c r="SQ27" i="5"/>
  <c r="SP27" i="5"/>
  <c r="SO27" i="5"/>
  <c r="SN27" i="5"/>
  <c r="SM27" i="5"/>
  <c r="SL27" i="5"/>
  <c r="SK27" i="5"/>
  <c r="SJ27" i="5"/>
  <c r="SI27" i="5"/>
  <c r="SH27" i="5"/>
  <c r="SG27" i="5"/>
  <c r="SF27" i="5"/>
  <c r="SE27" i="5"/>
  <c r="SD27" i="5"/>
  <c r="SC27" i="5"/>
  <c r="SB27" i="5"/>
  <c r="SA27" i="5"/>
  <c r="RZ27" i="5"/>
  <c r="RY27" i="5"/>
  <c r="RX27" i="5"/>
  <c r="RW27" i="5"/>
  <c r="RV27" i="5"/>
  <c r="RU27" i="5"/>
  <c r="RT27" i="5"/>
  <c r="RS27" i="5"/>
  <c r="RR27" i="5"/>
  <c r="RQ27" i="5"/>
  <c r="RP27" i="5"/>
  <c r="RO27" i="5"/>
  <c r="RN27" i="5"/>
  <c r="RM27" i="5"/>
  <c r="RL27" i="5"/>
  <c r="RK27" i="5"/>
  <c r="RJ27" i="5"/>
  <c r="RI27" i="5"/>
  <c r="RH27" i="5"/>
  <c r="RG27" i="5"/>
  <c r="RF27" i="5"/>
  <c r="RE27" i="5"/>
  <c r="RD27" i="5"/>
  <c r="RC27" i="5"/>
  <c r="RB27" i="5"/>
  <c r="RA27" i="5"/>
  <c r="QZ27" i="5"/>
  <c r="QY27" i="5"/>
  <c r="QX27" i="5"/>
  <c r="QW27" i="5"/>
  <c r="QV27" i="5"/>
  <c r="QU27" i="5"/>
  <c r="QT27" i="5"/>
  <c r="QS27" i="5"/>
  <c r="QR27" i="5"/>
  <c r="QQ27" i="5"/>
  <c r="QP27" i="5"/>
  <c r="QO27" i="5"/>
  <c r="QN27" i="5"/>
  <c r="QM27" i="5"/>
  <c r="QL27" i="5"/>
  <c r="QK27" i="5"/>
  <c r="QJ27" i="5"/>
  <c r="QI27" i="5"/>
  <c r="QH27" i="5"/>
  <c r="QG27" i="5"/>
  <c r="QF27" i="5"/>
  <c r="QE27" i="5"/>
  <c r="QD27" i="5"/>
  <c r="QC27" i="5"/>
  <c r="QB27" i="5"/>
  <c r="QA27" i="5"/>
  <c r="PZ27" i="5"/>
  <c r="PY27" i="5"/>
  <c r="PX27" i="5"/>
  <c r="PW27" i="5"/>
  <c r="PV27" i="5"/>
  <c r="PU27" i="5"/>
  <c r="PT27" i="5"/>
  <c r="PS27" i="5"/>
  <c r="PR27" i="5"/>
  <c r="PQ27" i="5"/>
  <c r="PP27" i="5"/>
  <c r="PO27" i="5"/>
  <c r="PN27" i="5"/>
  <c r="PM27" i="5"/>
  <c r="PL27" i="5"/>
  <c r="PK27" i="5"/>
  <c r="PJ27" i="5"/>
  <c r="PI27" i="5"/>
  <c r="PH27" i="5"/>
  <c r="PG27" i="5"/>
  <c r="PF27" i="5"/>
  <c r="PE27" i="5"/>
  <c r="PD27" i="5"/>
  <c r="PC27" i="5"/>
  <c r="PB27" i="5"/>
  <c r="PA27" i="5"/>
  <c r="OZ27" i="5"/>
  <c r="OY27" i="5"/>
  <c r="OX27" i="5"/>
  <c r="OW27" i="5"/>
  <c r="OV27" i="5"/>
  <c r="OU27" i="5"/>
  <c r="OT27" i="5"/>
  <c r="OS27" i="5"/>
  <c r="OR27" i="5"/>
  <c r="OQ27" i="5"/>
  <c r="OP27" i="5"/>
  <c r="OO27" i="5"/>
  <c r="ON27" i="5"/>
  <c r="OM27" i="5"/>
  <c r="OL27" i="5"/>
  <c r="OK27" i="5"/>
  <c r="OJ27" i="5"/>
  <c r="OI27" i="5"/>
  <c r="OH27" i="5"/>
  <c r="OG27" i="5"/>
  <c r="OF27" i="5"/>
  <c r="OE27" i="5"/>
  <c r="OD27" i="5"/>
  <c r="OC27" i="5"/>
  <c r="OB27" i="5"/>
  <c r="OA27" i="5"/>
  <c r="NZ27" i="5"/>
  <c r="NY27" i="5"/>
  <c r="NX27" i="5"/>
  <c r="NW27" i="5"/>
  <c r="NV27" i="5"/>
  <c r="NU27" i="5"/>
  <c r="NT27" i="5"/>
  <c r="NS27" i="5"/>
  <c r="NR27" i="5"/>
  <c r="NQ27" i="5"/>
  <c r="NP27" i="5"/>
  <c r="NO27" i="5"/>
  <c r="NN27" i="5"/>
  <c r="NM27" i="5"/>
  <c r="NL27" i="5"/>
  <c r="NK27" i="5"/>
  <c r="NJ27" i="5"/>
  <c r="NI27" i="5"/>
  <c r="NH27" i="5"/>
  <c r="NG27" i="5"/>
  <c r="NF27" i="5"/>
  <c r="NE27" i="5"/>
  <c r="ND27" i="5"/>
  <c r="NC27" i="5"/>
  <c r="NB27" i="5"/>
  <c r="NA27" i="5"/>
  <c r="MZ27" i="5"/>
  <c r="MY27" i="5"/>
  <c r="MX27" i="5"/>
  <c r="MW27" i="5"/>
  <c r="MV27" i="5"/>
  <c r="MU27" i="5"/>
  <c r="MT27" i="5"/>
  <c r="MS27" i="5"/>
  <c r="MR27" i="5"/>
  <c r="MQ27" i="5"/>
  <c r="MP27" i="5"/>
  <c r="MO27" i="5"/>
  <c r="MN27" i="5"/>
  <c r="MM27" i="5"/>
  <c r="ML27" i="5"/>
  <c r="MK27" i="5"/>
  <c r="MJ27" i="5"/>
  <c r="MI27" i="5"/>
  <c r="MH27" i="5"/>
  <c r="MG27" i="5"/>
  <c r="MF27" i="5"/>
  <c r="ME27" i="5"/>
  <c r="MD27" i="5"/>
  <c r="MC27" i="5"/>
  <c r="MB27" i="5"/>
  <c r="MA27" i="5"/>
  <c r="LZ27" i="5"/>
  <c r="LY27" i="5"/>
  <c r="LX27" i="5"/>
  <c r="LW27" i="5"/>
  <c r="LV27" i="5"/>
  <c r="LU27" i="5"/>
  <c r="LT27" i="5"/>
  <c r="LS27" i="5"/>
  <c r="LR27" i="5"/>
  <c r="LQ27" i="5"/>
  <c r="LP27" i="5"/>
  <c r="LO27" i="5"/>
  <c r="LN27" i="5"/>
  <c r="LM27" i="5"/>
  <c r="LL27" i="5"/>
  <c r="LK27" i="5"/>
  <c r="LJ27" i="5"/>
  <c r="LI27" i="5"/>
  <c r="LH27" i="5"/>
  <c r="LG27" i="5"/>
  <c r="LF27" i="5"/>
  <c r="LE27" i="5"/>
  <c r="LD27" i="5"/>
  <c r="LC27" i="5"/>
  <c r="LB27" i="5"/>
  <c r="LA27" i="5"/>
  <c r="KZ27" i="5"/>
  <c r="KY27" i="5"/>
  <c r="KX27" i="5"/>
  <c r="KW27" i="5"/>
  <c r="KV27" i="5"/>
  <c r="KU27" i="5"/>
  <c r="KT27" i="5"/>
  <c r="KS27" i="5"/>
  <c r="KR27" i="5"/>
  <c r="KQ27" i="5"/>
  <c r="KP27" i="5"/>
  <c r="KO27" i="5"/>
  <c r="KN27" i="5"/>
  <c r="KM27" i="5"/>
  <c r="KL27" i="5"/>
  <c r="KK27" i="5"/>
  <c r="KJ27" i="5"/>
  <c r="KI27" i="5"/>
  <c r="KH27" i="5"/>
  <c r="KG27" i="5"/>
  <c r="KF27" i="5"/>
  <c r="KE27" i="5"/>
  <c r="KD27" i="5"/>
  <c r="KC27" i="5"/>
  <c r="KB27" i="5"/>
  <c r="KA27" i="5"/>
  <c r="JZ27" i="5"/>
  <c r="JY27" i="5"/>
  <c r="JX27" i="5"/>
  <c r="JW27" i="5"/>
  <c r="JV27" i="5"/>
  <c r="JU27" i="5"/>
  <c r="JT27" i="5"/>
  <c r="JS27" i="5"/>
  <c r="JR27" i="5"/>
  <c r="JQ27" i="5"/>
  <c r="JP27" i="5"/>
  <c r="JO27" i="5"/>
  <c r="JN27" i="5"/>
  <c r="JM27" i="5"/>
  <c r="JL27" i="5"/>
  <c r="JK27" i="5"/>
  <c r="JJ27" i="5"/>
  <c r="JI27" i="5"/>
  <c r="JH27" i="5"/>
  <c r="JG27" i="5"/>
  <c r="JF27" i="5"/>
  <c r="JE27" i="5"/>
  <c r="JD27" i="5"/>
  <c r="JC27" i="5"/>
  <c r="JB27" i="5"/>
  <c r="JA27" i="5"/>
  <c r="IZ27" i="5"/>
  <c r="IY27" i="5"/>
  <c r="IX27" i="5"/>
  <c r="IW27" i="5"/>
  <c r="IV27" i="5"/>
  <c r="IU27" i="5"/>
  <c r="IT27" i="5"/>
  <c r="IS27" i="5"/>
  <c r="IR27" i="5"/>
  <c r="IQ27" i="5"/>
  <c r="IP27" i="5"/>
  <c r="IO27" i="5"/>
  <c r="IN27" i="5"/>
  <c r="IM27" i="5"/>
  <c r="IL27" i="5"/>
  <c r="IK27" i="5"/>
  <c r="IJ27" i="5"/>
  <c r="II27" i="5"/>
  <c r="IH27" i="5"/>
  <c r="IG27" i="5"/>
  <c r="IF27" i="5"/>
  <c r="IE27" i="5"/>
  <c r="ID27" i="5"/>
  <c r="IC27" i="5"/>
  <c r="IB27" i="5"/>
  <c r="IA27" i="5"/>
  <c r="HZ27" i="5"/>
  <c r="HY27" i="5"/>
  <c r="HX27" i="5"/>
  <c r="HW27" i="5"/>
  <c r="HV27" i="5"/>
  <c r="HU27" i="5"/>
  <c r="HT27" i="5"/>
  <c r="HS27" i="5"/>
  <c r="HR27" i="5"/>
  <c r="HQ27" i="5"/>
  <c r="HP27" i="5"/>
  <c r="HO27" i="5"/>
  <c r="HN27" i="5"/>
  <c r="HM27" i="5"/>
  <c r="HL27" i="5"/>
  <c r="HK27" i="5"/>
  <c r="HJ27" i="5"/>
  <c r="HI27" i="5"/>
  <c r="HH27" i="5"/>
  <c r="HG27" i="5"/>
  <c r="HF27" i="5"/>
  <c r="HE27" i="5"/>
  <c r="HD27" i="5"/>
  <c r="HC27" i="5"/>
  <c r="HB27" i="5"/>
  <c r="HA27" i="5"/>
  <c r="GZ27" i="5"/>
  <c r="GY27" i="5"/>
  <c r="GX27" i="5"/>
  <c r="GW27" i="5"/>
  <c r="GV27" i="5"/>
  <c r="GU27" i="5"/>
  <c r="GT27" i="5"/>
  <c r="GS27" i="5"/>
  <c r="GR27" i="5"/>
  <c r="GQ27" i="5"/>
  <c r="GP27" i="5"/>
  <c r="GO27" i="5"/>
  <c r="GN27" i="5"/>
  <c r="GM27" i="5"/>
  <c r="GL27" i="5"/>
  <c r="GK27" i="5"/>
  <c r="GJ27" i="5"/>
  <c r="GI27" i="5"/>
  <c r="GH27" i="5"/>
  <c r="GG27" i="5"/>
  <c r="GF27" i="5"/>
  <c r="GE27" i="5"/>
  <c r="GD27" i="5"/>
  <c r="GC27" i="5"/>
  <c r="GB27" i="5"/>
  <c r="GA27" i="5"/>
  <c r="FZ27" i="5"/>
  <c r="FY27" i="5"/>
  <c r="FX27" i="5"/>
  <c r="FW27" i="5"/>
  <c r="FV27" i="5"/>
  <c r="FU27" i="5"/>
  <c r="FT27" i="5"/>
  <c r="FS27" i="5"/>
  <c r="FR27" i="5"/>
  <c r="FQ27" i="5"/>
  <c r="FP27" i="5"/>
  <c r="FO27" i="5"/>
  <c r="FN27" i="5"/>
  <c r="FM27" i="5"/>
  <c r="FL27" i="5"/>
  <c r="FK27" i="5"/>
  <c r="FJ27" i="5"/>
  <c r="FI27" i="5"/>
  <c r="FH27" i="5"/>
  <c r="FG27" i="5"/>
  <c r="FF27" i="5"/>
  <c r="FE27" i="5"/>
  <c r="FD27" i="5"/>
  <c r="FC27" i="5"/>
  <c r="FB27" i="5"/>
  <c r="FA27" i="5"/>
  <c r="EZ27" i="5"/>
  <c r="EY27" i="5"/>
  <c r="EX27" i="5"/>
  <c r="EW27" i="5"/>
  <c r="EV27" i="5"/>
  <c r="EU27" i="5"/>
  <c r="ET27" i="5"/>
  <c r="ES27" i="5"/>
  <c r="ER27" i="5"/>
  <c r="EQ27" i="5"/>
  <c r="EP27" i="5"/>
  <c r="EO27" i="5"/>
  <c r="EN27" i="5"/>
  <c r="EM27" i="5"/>
  <c r="EL27" i="5"/>
  <c r="EK27" i="5"/>
  <c r="EJ27" i="5"/>
  <c r="EI27" i="5"/>
  <c r="EH27" i="5"/>
  <c r="EG27" i="5"/>
  <c r="EF27" i="5"/>
  <c r="EE27" i="5"/>
  <c r="ED27" i="5"/>
  <c r="EC27" i="5"/>
  <c r="EB27" i="5"/>
  <c r="EA27" i="5"/>
  <c r="DZ27" i="5"/>
  <c r="DY27" i="5"/>
  <c r="DX27" i="5"/>
  <c r="DW27" i="5"/>
  <c r="DV27" i="5"/>
  <c r="DU27" i="5"/>
  <c r="DT27" i="5"/>
  <c r="DS27" i="5"/>
  <c r="DR27" i="5"/>
  <c r="DQ27" i="5"/>
  <c r="DP27" i="5"/>
  <c r="DO27" i="5"/>
  <c r="DN27" i="5"/>
  <c r="DM27" i="5"/>
  <c r="DL27" i="5"/>
  <c r="DK27" i="5"/>
  <c r="DJ27" i="5"/>
  <c r="DI27" i="5"/>
  <c r="DH27" i="5"/>
  <c r="DG27" i="5"/>
  <c r="DF27" i="5"/>
  <c r="DE27" i="5"/>
  <c r="DD27" i="5"/>
  <c r="DC27" i="5"/>
  <c r="DB27" i="5"/>
  <c r="DA27" i="5"/>
  <c r="CZ27" i="5"/>
  <c r="CY27" i="5"/>
  <c r="CX27" i="5"/>
  <c r="CW27" i="5"/>
  <c r="CV27" i="5"/>
  <c r="CU27" i="5"/>
  <c r="CT27" i="5"/>
  <c r="CS27" i="5"/>
  <c r="CR27" i="5"/>
  <c r="CQ27" i="5"/>
  <c r="CP27" i="5"/>
  <c r="CO27" i="5"/>
  <c r="CN27" i="5"/>
  <c r="CM27" i="5"/>
  <c r="CL27" i="5"/>
  <c r="CK27" i="5"/>
  <c r="CJ27" i="5"/>
  <c r="CI27" i="5"/>
  <c r="CH27" i="5"/>
  <c r="CG27" i="5"/>
  <c r="CF27" i="5"/>
  <c r="CE27" i="5"/>
  <c r="CD27" i="5"/>
  <c r="CC27" i="5"/>
  <c r="CB27" i="5"/>
  <c r="CA27" i="5"/>
  <c r="BZ27" i="5"/>
  <c r="BY27" i="5"/>
  <c r="BX27" i="5"/>
  <c r="BW27" i="5"/>
  <c r="BV27" i="5"/>
  <c r="BU27" i="5"/>
  <c r="BT27" i="5"/>
  <c r="BS27" i="5"/>
  <c r="BR27" i="5"/>
  <c r="BQ27" i="5"/>
  <c r="BP27" i="5"/>
  <c r="BO27" i="5"/>
  <c r="BN27" i="5"/>
  <c r="BM27" i="5"/>
  <c r="BL27" i="5"/>
  <c r="BK27" i="5"/>
  <c r="BJ27" i="5"/>
  <c r="BI27" i="5"/>
  <c r="BH27" i="5"/>
  <c r="BG27" i="5"/>
  <c r="BF27" i="5"/>
  <c r="BE27" i="5"/>
  <c r="BD27" i="5"/>
  <c r="BC27" i="5"/>
  <c r="BB27" i="5"/>
  <c r="BA27" i="5"/>
  <c r="AZ27" i="5"/>
  <c r="AY27" i="5"/>
  <c r="AX27" i="5"/>
  <c r="AW27" i="5"/>
  <c r="AV27" i="5"/>
  <c r="AU27" i="5"/>
  <c r="AT27" i="5"/>
  <c r="AS27" i="5"/>
  <c r="AR27" i="5"/>
  <c r="AQ27" i="5"/>
  <c r="AP27" i="5"/>
  <c r="AO27" i="5"/>
  <c r="AN27" i="5"/>
  <c r="AM27" i="5"/>
  <c r="AL27" i="5"/>
  <c r="AK27" i="5"/>
  <c r="AJ27" i="5"/>
  <c r="AI27" i="5"/>
  <c r="AH27" i="5"/>
  <c r="AG27" i="5"/>
  <c r="AF27" i="5"/>
  <c r="AE27" i="5"/>
  <c r="AD27" i="5"/>
  <c r="AC27" i="5"/>
  <c r="AB27" i="5"/>
  <c r="AA27" i="5"/>
  <c r="Z27" i="5"/>
  <c r="Y27" i="5"/>
  <c r="X27" i="5"/>
  <c r="W27" i="5"/>
  <c r="V27" i="5"/>
  <c r="U27" i="5"/>
  <c r="T27" i="5"/>
  <c r="S27" i="5"/>
  <c r="R27" i="5"/>
  <c r="Q27" i="5"/>
  <c r="P27" i="5"/>
  <c r="O27" i="5"/>
  <c r="N27" i="5"/>
  <c r="M27" i="5"/>
  <c r="L27" i="5"/>
  <c r="K27" i="5"/>
  <c r="J27" i="5"/>
  <c r="I27" i="5"/>
  <c r="H27" i="5"/>
  <c r="G27" i="5"/>
  <c r="F27" i="5"/>
  <c r="E27" i="5"/>
  <c r="D27" i="5"/>
  <c r="C27" i="5"/>
  <c r="B27" i="5"/>
  <c r="AHA26" i="5"/>
  <c r="AGZ26" i="5"/>
  <c r="AGY26" i="5"/>
  <c r="AGX26" i="5"/>
  <c r="AGW26" i="5"/>
  <c r="AGU26" i="5"/>
  <c r="AGT26" i="5"/>
  <c r="AGS26" i="5"/>
  <c r="AGR26" i="5"/>
  <c r="AGQ26" i="5"/>
  <c r="AGP26" i="5"/>
  <c r="AGO26" i="5"/>
  <c r="AGN26" i="5"/>
  <c r="AGM26" i="5"/>
  <c r="AGL26" i="5"/>
  <c r="AGK26" i="5"/>
  <c r="AGJ26" i="5"/>
  <c r="AGI26" i="5"/>
  <c r="AGH26" i="5"/>
  <c r="AGG26" i="5"/>
  <c r="AGF26" i="5"/>
  <c r="AGE26" i="5"/>
  <c r="AGD26" i="5"/>
  <c r="AGC26" i="5"/>
  <c r="AGB26" i="5"/>
  <c r="AGA26" i="5"/>
  <c r="AFZ26" i="5"/>
  <c r="AFY26" i="5"/>
  <c r="AFX26" i="5"/>
  <c r="AFW26" i="5"/>
  <c r="AFV26" i="5"/>
  <c r="AFU26" i="5"/>
  <c r="AFT26" i="5"/>
  <c r="AFS26" i="5"/>
  <c r="AFR26" i="5"/>
  <c r="AFQ26" i="5"/>
  <c r="AFP26" i="5"/>
  <c r="AFO26" i="5"/>
  <c r="AFN26" i="5"/>
  <c r="AFM26" i="5"/>
  <c r="AFL26" i="5"/>
  <c r="AFK26" i="5"/>
  <c r="AFJ26" i="5"/>
  <c r="AFI26" i="5"/>
  <c r="AFH26" i="5"/>
  <c r="AFG26" i="5"/>
  <c r="AFF26" i="5"/>
  <c r="AFE26" i="5"/>
  <c r="AFD26" i="5"/>
  <c r="AFC26" i="5"/>
  <c r="AFB26" i="5"/>
  <c r="AFA26" i="5"/>
  <c r="AEZ26" i="5"/>
  <c r="AEY26" i="5"/>
  <c r="AEX26" i="5"/>
  <c r="AEW26" i="5"/>
  <c r="AEV26" i="5"/>
  <c r="AEU26" i="5"/>
  <c r="AET26" i="5"/>
  <c r="AES26" i="5"/>
  <c r="AER26" i="5"/>
  <c r="AEQ26" i="5"/>
  <c r="AEP26" i="5"/>
  <c r="AEO26" i="5"/>
  <c r="AEN26" i="5"/>
  <c r="AEM26" i="5"/>
  <c r="AEL26" i="5"/>
  <c r="AEK26" i="5"/>
  <c r="AEJ26" i="5"/>
  <c r="AEI26" i="5"/>
  <c r="AEH26" i="5"/>
  <c r="AEG26" i="5"/>
  <c r="AEF26" i="5"/>
  <c r="AEE26" i="5"/>
  <c r="AED26" i="5"/>
  <c r="AEC26" i="5"/>
  <c r="AEB26" i="5"/>
  <c r="AEA26" i="5"/>
  <c r="ADZ26" i="5"/>
  <c r="ADY26" i="5"/>
  <c r="ADX26" i="5"/>
  <c r="ADW26" i="5"/>
  <c r="ADV26" i="5"/>
  <c r="ADU26" i="5"/>
  <c r="ADT26" i="5"/>
  <c r="ADS26" i="5"/>
  <c r="ADR26" i="5"/>
  <c r="ADQ26" i="5"/>
  <c r="ADP26" i="5"/>
  <c r="ADO26" i="5"/>
  <c r="ADN26" i="5"/>
  <c r="ADM26" i="5"/>
  <c r="ADL26" i="5"/>
  <c r="ADK26" i="5"/>
  <c r="ADJ26" i="5"/>
  <c r="ADI26" i="5"/>
  <c r="ADH26" i="5"/>
  <c r="ADG26" i="5"/>
  <c r="ADF26" i="5"/>
  <c r="ADE26" i="5"/>
  <c r="ADD26" i="5"/>
  <c r="ADC26" i="5"/>
  <c r="ADB26" i="5"/>
  <c r="ADA26" i="5"/>
  <c r="ACZ26" i="5"/>
  <c r="ACY26" i="5"/>
  <c r="ACX26" i="5"/>
  <c r="ACW26" i="5"/>
  <c r="ACV26" i="5"/>
  <c r="ACU26" i="5"/>
  <c r="ACT26" i="5"/>
  <c r="ACS26" i="5"/>
  <c r="ACR26" i="5"/>
  <c r="ACQ26" i="5"/>
  <c r="ACP26" i="5"/>
  <c r="ACO26" i="5"/>
  <c r="ACN26" i="5"/>
  <c r="ACM26" i="5"/>
  <c r="ACL26" i="5"/>
  <c r="ACK26" i="5"/>
  <c r="ACJ26" i="5"/>
  <c r="ACI26" i="5"/>
  <c r="ACH26" i="5"/>
  <c r="ACG26" i="5"/>
  <c r="ACF26" i="5"/>
  <c r="ACE26" i="5"/>
  <c r="ACD26" i="5"/>
  <c r="ACC26" i="5"/>
  <c r="ACB26" i="5"/>
  <c r="ACA26" i="5"/>
  <c r="ABZ26" i="5"/>
  <c r="ABY26" i="5"/>
  <c r="ABX26" i="5"/>
  <c r="ABW26" i="5"/>
  <c r="ABV26" i="5"/>
  <c r="ABU26" i="5"/>
  <c r="ABT26" i="5"/>
  <c r="ABS26" i="5"/>
  <c r="ABR26" i="5"/>
  <c r="ABQ26" i="5"/>
  <c r="ABP26" i="5"/>
  <c r="ABO26" i="5"/>
  <c r="ABN26" i="5"/>
  <c r="ABM26" i="5"/>
  <c r="ABL26" i="5"/>
  <c r="ABK26" i="5"/>
  <c r="ABJ26" i="5"/>
  <c r="ABI26" i="5"/>
  <c r="ABH26" i="5"/>
  <c r="ABG26" i="5"/>
  <c r="ABF26" i="5"/>
  <c r="ABE26" i="5"/>
  <c r="ABD26" i="5"/>
  <c r="ABC26" i="5"/>
  <c r="ABB26" i="5"/>
  <c r="ABA26" i="5"/>
  <c r="AAZ26" i="5"/>
  <c r="AAY26" i="5"/>
  <c r="AAX26" i="5"/>
  <c r="AAW26" i="5"/>
  <c r="AAV26" i="5"/>
  <c r="AAU26" i="5"/>
  <c r="AAT26" i="5"/>
  <c r="AAS26" i="5"/>
  <c r="AAR26" i="5"/>
  <c r="AAQ26" i="5"/>
  <c r="AAP26" i="5"/>
  <c r="AAO26" i="5"/>
  <c r="AAN26" i="5"/>
  <c r="AAM26" i="5"/>
  <c r="AAL26" i="5"/>
  <c r="AAK26" i="5"/>
  <c r="AAJ26" i="5"/>
  <c r="AAI26" i="5"/>
  <c r="AAH26" i="5"/>
  <c r="AAG26" i="5"/>
  <c r="AAF26" i="5"/>
  <c r="AAE26" i="5"/>
  <c r="AAD26" i="5"/>
  <c r="AAC26" i="5"/>
  <c r="AAB26" i="5"/>
  <c r="AAA26" i="5"/>
  <c r="ZZ26" i="5"/>
  <c r="ZY26" i="5"/>
  <c r="ZX26" i="5"/>
  <c r="ZW26" i="5"/>
  <c r="ZV26" i="5"/>
  <c r="ZU26" i="5"/>
  <c r="ZT26" i="5"/>
  <c r="ZS26" i="5"/>
  <c r="ZR26" i="5"/>
  <c r="ZQ26" i="5"/>
  <c r="ZP26" i="5"/>
  <c r="ZO26" i="5"/>
  <c r="ZN26" i="5"/>
  <c r="ZM26" i="5"/>
  <c r="ZL26" i="5"/>
  <c r="ZK26" i="5"/>
  <c r="ZJ26" i="5"/>
  <c r="ZI26" i="5"/>
  <c r="ZH26" i="5"/>
  <c r="ZG26" i="5"/>
  <c r="ZF26" i="5"/>
  <c r="ZE26" i="5"/>
  <c r="ZD26" i="5"/>
  <c r="ZC26" i="5"/>
  <c r="ZB26" i="5"/>
  <c r="ZA26" i="5"/>
  <c r="YZ26" i="5"/>
  <c r="YY26" i="5"/>
  <c r="YX26" i="5"/>
  <c r="YW26" i="5"/>
  <c r="YV26" i="5"/>
  <c r="YU26" i="5"/>
  <c r="YT26" i="5"/>
  <c r="YS26" i="5"/>
  <c r="YR26" i="5"/>
  <c r="YQ26" i="5"/>
  <c r="YP26" i="5"/>
  <c r="YO26" i="5"/>
  <c r="YN26" i="5"/>
  <c r="YM26" i="5"/>
  <c r="YL26" i="5"/>
  <c r="YK26" i="5"/>
  <c r="YJ26" i="5"/>
  <c r="YI26" i="5"/>
  <c r="YH26" i="5"/>
  <c r="YG26" i="5"/>
  <c r="YF26" i="5"/>
  <c r="YE26" i="5"/>
  <c r="YD26" i="5"/>
  <c r="YC26" i="5"/>
  <c r="YB26" i="5"/>
  <c r="YA26" i="5"/>
  <c r="XZ26" i="5"/>
  <c r="XY26" i="5"/>
  <c r="XX26" i="5"/>
  <c r="XW26" i="5"/>
  <c r="XV26" i="5"/>
  <c r="XU26" i="5"/>
  <c r="XT26" i="5"/>
  <c r="XS26" i="5"/>
  <c r="XR26" i="5"/>
  <c r="XQ26" i="5"/>
  <c r="XP26" i="5"/>
  <c r="XO26" i="5"/>
  <c r="XN26" i="5"/>
  <c r="XM26" i="5"/>
  <c r="XL26" i="5"/>
  <c r="XK26" i="5"/>
  <c r="XJ26" i="5"/>
  <c r="XI26" i="5"/>
  <c r="XH26" i="5"/>
  <c r="XG26" i="5"/>
  <c r="XF26" i="5"/>
  <c r="XE26" i="5"/>
  <c r="XD26" i="5"/>
  <c r="XC26" i="5"/>
  <c r="XB26" i="5"/>
  <c r="XA26" i="5"/>
  <c r="WZ26" i="5"/>
  <c r="WY26" i="5"/>
  <c r="WX26" i="5"/>
  <c r="WW26" i="5"/>
  <c r="WV26" i="5"/>
  <c r="WU26" i="5"/>
  <c r="WT26" i="5"/>
  <c r="WS26" i="5"/>
  <c r="WR26" i="5"/>
  <c r="WQ26" i="5"/>
  <c r="WP26" i="5"/>
  <c r="WO26" i="5"/>
  <c r="WN26" i="5"/>
  <c r="WM26" i="5"/>
  <c r="WL26" i="5"/>
  <c r="WK26" i="5"/>
  <c r="WJ26" i="5"/>
  <c r="WI26" i="5"/>
  <c r="WH26" i="5"/>
  <c r="WG26" i="5"/>
  <c r="WF26" i="5"/>
  <c r="WE26" i="5"/>
  <c r="WD26" i="5"/>
  <c r="WC26" i="5"/>
  <c r="WB26" i="5"/>
  <c r="WA26" i="5"/>
  <c r="VZ26" i="5"/>
  <c r="VY26" i="5"/>
  <c r="VX26" i="5"/>
  <c r="VW26" i="5"/>
  <c r="VV26" i="5"/>
  <c r="VU26" i="5"/>
  <c r="VT26" i="5"/>
  <c r="VS26" i="5"/>
  <c r="VR26" i="5"/>
  <c r="VQ26" i="5"/>
  <c r="VP26" i="5"/>
  <c r="VO26" i="5"/>
  <c r="VN26" i="5"/>
  <c r="VM26" i="5"/>
  <c r="VL26" i="5"/>
  <c r="VK26" i="5"/>
  <c r="VJ26" i="5"/>
  <c r="VI26" i="5"/>
  <c r="VH26" i="5"/>
  <c r="VG26" i="5"/>
  <c r="VF26" i="5"/>
  <c r="VE26" i="5"/>
  <c r="VD26" i="5"/>
  <c r="VC26" i="5"/>
  <c r="VB26" i="5"/>
  <c r="VA26" i="5"/>
  <c r="UZ26" i="5"/>
  <c r="UY26" i="5"/>
  <c r="UX26" i="5"/>
  <c r="UW26" i="5"/>
  <c r="UV26" i="5"/>
  <c r="UU26" i="5"/>
  <c r="UT26" i="5"/>
  <c r="US26" i="5"/>
  <c r="UR26" i="5"/>
  <c r="UQ26" i="5"/>
  <c r="UP26" i="5"/>
  <c r="UO26" i="5"/>
  <c r="UN26" i="5"/>
  <c r="UM26" i="5"/>
  <c r="UL26" i="5"/>
  <c r="UK26" i="5"/>
  <c r="UJ26" i="5"/>
  <c r="UI26" i="5"/>
  <c r="UH26" i="5"/>
  <c r="UG26" i="5"/>
  <c r="UF26" i="5"/>
  <c r="UE26" i="5"/>
  <c r="UD26" i="5"/>
  <c r="UC26" i="5"/>
  <c r="UB26" i="5"/>
  <c r="UA26" i="5"/>
  <c r="TZ26" i="5"/>
  <c r="TY26" i="5"/>
  <c r="TX26" i="5"/>
  <c r="TW26" i="5"/>
  <c r="TV26" i="5"/>
  <c r="TU26" i="5"/>
  <c r="TT26" i="5"/>
  <c r="TS26" i="5"/>
  <c r="TR26" i="5"/>
  <c r="TQ26" i="5"/>
  <c r="TP26" i="5"/>
  <c r="TO26" i="5"/>
  <c r="TN26" i="5"/>
  <c r="TM26" i="5"/>
  <c r="TL26" i="5"/>
  <c r="TK26" i="5"/>
  <c r="TJ26" i="5"/>
  <c r="TI26" i="5"/>
  <c r="TH26" i="5"/>
  <c r="TG26" i="5"/>
  <c r="TF26" i="5"/>
  <c r="TE26" i="5"/>
  <c r="TD26" i="5"/>
  <c r="TC26" i="5"/>
  <c r="TB26" i="5"/>
  <c r="TA26" i="5"/>
  <c r="SZ26" i="5"/>
  <c r="SY26" i="5"/>
  <c r="SX26" i="5"/>
  <c r="SW26" i="5"/>
  <c r="SV26" i="5"/>
  <c r="SU26" i="5"/>
  <c r="ST26" i="5"/>
  <c r="SS26" i="5"/>
  <c r="SR26" i="5"/>
  <c r="SQ26" i="5"/>
  <c r="SP26" i="5"/>
  <c r="SO26" i="5"/>
  <c r="SN26" i="5"/>
  <c r="SM26" i="5"/>
  <c r="SL26" i="5"/>
  <c r="SK26" i="5"/>
  <c r="SJ26" i="5"/>
  <c r="SI26" i="5"/>
  <c r="SH26" i="5"/>
  <c r="SG26" i="5"/>
  <c r="SF26" i="5"/>
  <c r="SE26" i="5"/>
  <c r="SD26" i="5"/>
  <c r="SC26" i="5"/>
  <c r="SB26" i="5"/>
  <c r="SA26" i="5"/>
  <c r="RZ26" i="5"/>
  <c r="RY26" i="5"/>
  <c r="RX26" i="5"/>
  <c r="RW26" i="5"/>
  <c r="RV26" i="5"/>
  <c r="RU26" i="5"/>
  <c r="RT26" i="5"/>
  <c r="RS26" i="5"/>
  <c r="RR26" i="5"/>
  <c r="RQ26" i="5"/>
  <c r="RP26" i="5"/>
  <c r="RO26" i="5"/>
  <c r="RN26" i="5"/>
  <c r="RM26" i="5"/>
  <c r="RL26" i="5"/>
  <c r="RK26" i="5"/>
  <c r="RJ26" i="5"/>
  <c r="RI26" i="5"/>
  <c r="RH26" i="5"/>
  <c r="RG26" i="5"/>
  <c r="RF26" i="5"/>
  <c r="RE26" i="5"/>
  <c r="RD26" i="5"/>
  <c r="RC26" i="5"/>
  <c r="RB26" i="5"/>
  <c r="RA26" i="5"/>
  <c r="QZ26" i="5"/>
  <c r="QY26" i="5"/>
  <c r="QX26" i="5"/>
  <c r="QW26" i="5"/>
  <c r="QV26" i="5"/>
  <c r="QU26" i="5"/>
  <c r="QT26" i="5"/>
  <c r="QS26" i="5"/>
  <c r="QR26" i="5"/>
  <c r="QQ26" i="5"/>
  <c r="QP26" i="5"/>
  <c r="QO26" i="5"/>
  <c r="QN26" i="5"/>
  <c r="QM26" i="5"/>
  <c r="QL26" i="5"/>
  <c r="QK26" i="5"/>
  <c r="QJ26" i="5"/>
  <c r="QI26" i="5"/>
  <c r="QH26" i="5"/>
  <c r="QG26" i="5"/>
  <c r="QF26" i="5"/>
  <c r="QE26" i="5"/>
  <c r="QD26" i="5"/>
  <c r="QC26" i="5"/>
  <c r="QB26" i="5"/>
  <c r="QA26" i="5"/>
  <c r="PZ26" i="5"/>
  <c r="PY26" i="5"/>
  <c r="PX26" i="5"/>
  <c r="PW26" i="5"/>
  <c r="PV26" i="5"/>
  <c r="PU26" i="5"/>
  <c r="PT26" i="5"/>
  <c r="PS26" i="5"/>
  <c r="PR26" i="5"/>
  <c r="PQ26" i="5"/>
  <c r="PP26" i="5"/>
  <c r="PO26" i="5"/>
  <c r="PN26" i="5"/>
  <c r="PM26" i="5"/>
  <c r="PL26" i="5"/>
  <c r="PK26" i="5"/>
  <c r="PJ26" i="5"/>
  <c r="PI26" i="5"/>
  <c r="PH26" i="5"/>
  <c r="PG26" i="5"/>
  <c r="PF26" i="5"/>
  <c r="PE26" i="5"/>
  <c r="PD26" i="5"/>
  <c r="PC26" i="5"/>
  <c r="PB26" i="5"/>
  <c r="PA26" i="5"/>
  <c r="OZ26" i="5"/>
  <c r="OY26" i="5"/>
  <c r="OX26" i="5"/>
  <c r="OW26" i="5"/>
  <c r="OV26" i="5"/>
  <c r="OU26" i="5"/>
  <c r="OT26" i="5"/>
  <c r="OS26" i="5"/>
  <c r="OR26" i="5"/>
  <c r="OQ26" i="5"/>
  <c r="OP26" i="5"/>
  <c r="OO26" i="5"/>
  <c r="ON26" i="5"/>
  <c r="OM26" i="5"/>
  <c r="OL26" i="5"/>
  <c r="OK26" i="5"/>
  <c r="OJ26" i="5"/>
  <c r="OI26" i="5"/>
  <c r="OH26" i="5"/>
  <c r="OG26" i="5"/>
  <c r="OF26" i="5"/>
  <c r="OE26" i="5"/>
  <c r="OD26" i="5"/>
  <c r="OC26" i="5"/>
  <c r="OB26" i="5"/>
  <c r="OA26" i="5"/>
  <c r="NZ26" i="5"/>
  <c r="NY26" i="5"/>
  <c r="NX26" i="5"/>
  <c r="NW26" i="5"/>
  <c r="NV26" i="5"/>
  <c r="NU26" i="5"/>
  <c r="NT26" i="5"/>
  <c r="NS26" i="5"/>
  <c r="NR26" i="5"/>
  <c r="NQ26" i="5"/>
  <c r="NP26" i="5"/>
  <c r="NO26" i="5"/>
  <c r="NN26" i="5"/>
  <c r="NM26" i="5"/>
  <c r="NL26" i="5"/>
  <c r="NK26" i="5"/>
  <c r="NJ26" i="5"/>
  <c r="NI26" i="5"/>
  <c r="NH26" i="5"/>
  <c r="NG26" i="5"/>
  <c r="NF26" i="5"/>
  <c r="NE26" i="5"/>
  <c r="ND26" i="5"/>
  <c r="NC26" i="5"/>
  <c r="NB26" i="5"/>
  <c r="NA26" i="5"/>
  <c r="MZ26" i="5"/>
  <c r="MY26" i="5"/>
  <c r="MX26" i="5"/>
  <c r="MW26" i="5"/>
  <c r="MV26" i="5"/>
  <c r="MU26" i="5"/>
  <c r="MT26" i="5"/>
  <c r="MS26" i="5"/>
  <c r="MR26" i="5"/>
  <c r="MQ26" i="5"/>
  <c r="MP26" i="5"/>
  <c r="MO26" i="5"/>
  <c r="MN26" i="5"/>
  <c r="MM26" i="5"/>
  <c r="ML26" i="5"/>
  <c r="MK26" i="5"/>
  <c r="MJ26" i="5"/>
  <c r="MI26" i="5"/>
  <c r="MH26" i="5"/>
  <c r="MG26" i="5"/>
  <c r="MF26" i="5"/>
  <c r="ME26" i="5"/>
  <c r="MD26" i="5"/>
  <c r="MC26" i="5"/>
  <c r="MB26" i="5"/>
  <c r="MA26" i="5"/>
  <c r="LZ26" i="5"/>
  <c r="LY26" i="5"/>
  <c r="LX26" i="5"/>
  <c r="LW26" i="5"/>
  <c r="LV26" i="5"/>
  <c r="LU26" i="5"/>
  <c r="LT26" i="5"/>
  <c r="LS26" i="5"/>
  <c r="LR26" i="5"/>
  <c r="LQ26" i="5"/>
  <c r="LP26" i="5"/>
  <c r="LO26" i="5"/>
  <c r="LN26" i="5"/>
  <c r="LM26" i="5"/>
  <c r="LL26" i="5"/>
  <c r="LK26" i="5"/>
  <c r="LJ26" i="5"/>
  <c r="LI26" i="5"/>
  <c r="LH26" i="5"/>
  <c r="LG26" i="5"/>
  <c r="LF26" i="5"/>
  <c r="LE26" i="5"/>
  <c r="LD26" i="5"/>
  <c r="LC26" i="5"/>
  <c r="LB26" i="5"/>
  <c r="LA26" i="5"/>
  <c r="KZ26" i="5"/>
  <c r="KY26" i="5"/>
  <c r="KX26" i="5"/>
  <c r="KW26" i="5"/>
  <c r="KV26" i="5"/>
  <c r="KU26" i="5"/>
  <c r="KT26" i="5"/>
  <c r="KS26" i="5"/>
  <c r="KR26" i="5"/>
  <c r="KQ26" i="5"/>
  <c r="KP26" i="5"/>
  <c r="KO26" i="5"/>
  <c r="KN26" i="5"/>
  <c r="KM26" i="5"/>
  <c r="KL26" i="5"/>
  <c r="KK26" i="5"/>
  <c r="KJ26" i="5"/>
  <c r="KI26" i="5"/>
  <c r="KH26" i="5"/>
  <c r="KG26" i="5"/>
  <c r="KF26" i="5"/>
  <c r="KE26" i="5"/>
  <c r="KD26" i="5"/>
  <c r="KC26" i="5"/>
  <c r="KB26" i="5"/>
  <c r="KA26" i="5"/>
  <c r="JZ26" i="5"/>
  <c r="JY26" i="5"/>
  <c r="JX26" i="5"/>
  <c r="JW26" i="5"/>
  <c r="JV26" i="5"/>
  <c r="JU26" i="5"/>
  <c r="JT26" i="5"/>
  <c r="JS26" i="5"/>
  <c r="JR26" i="5"/>
  <c r="JQ26" i="5"/>
  <c r="JP26" i="5"/>
  <c r="JO26" i="5"/>
  <c r="JN26" i="5"/>
  <c r="JM26" i="5"/>
  <c r="JL26" i="5"/>
  <c r="JK26" i="5"/>
  <c r="JJ26" i="5"/>
  <c r="JI26" i="5"/>
  <c r="JH26" i="5"/>
  <c r="JG26" i="5"/>
  <c r="JF26" i="5"/>
  <c r="JE26" i="5"/>
  <c r="JD26" i="5"/>
  <c r="JC26" i="5"/>
  <c r="JB26" i="5"/>
  <c r="JA26" i="5"/>
  <c r="IZ26" i="5"/>
  <c r="IY26" i="5"/>
  <c r="IX26" i="5"/>
  <c r="IW26" i="5"/>
  <c r="IV26" i="5"/>
  <c r="IU26" i="5"/>
  <c r="IT26" i="5"/>
  <c r="IS26" i="5"/>
  <c r="IR26" i="5"/>
  <c r="IQ26" i="5"/>
  <c r="IP26" i="5"/>
  <c r="IO26" i="5"/>
  <c r="IN26" i="5"/>
  <c r="IM26" i="5"/>
  <c r="IL26" i="5"/>
  <c r="IK26" i="5"/>
  <c r="IJ26" i="5"/>
  <c r="II26" i="5"/>
  <c r="IH26" i="5"/>
  <c r="IG26" i="5"/>
  <c r="IF26" i="5"/>
  <c r="IE26" i="5"/>
  <c r="ID26" i="5"/>
  <c r="IC26" i="5"/>
  <c r="IB26" i="5"/>
  <c r="IA26" i="5"/>
  <c r="HZ26" i="5"/>
  <c r="HY26" i="5"/>
  <c r="HX26" i="5"/>
  <c r="HW26" i="5"/>
  <c r="HV26" i="5"/>
  <c r="HU26" i="5"/>
  <c r="HT26" i="5"/>
  <c r="HS26" i="5"/>
  <c r="HR26" i="5"/>
  <c r="HQ26" i="5"/>
  <c r="HP26" i="5"/>
  <c r="HO26" i="5"/>
  <c r="HN26" i="5"/>
  <c r="HM26" i="5"/>
  <c r="HL26" i="5"/>
  <c r="HK26" i="5"/>
  <c r="HJ26" i="5"/>
  <c r="HI26" i="5"/>
  <c r="HH26" i="5"/>
  <c r="HG26" i="5"/>
  <c r="HF26" i="5"/>
  <c r="HE26" i="5"/>
  <c r="HD26" i="5"/>
  <c r="HC26" i="5"/>
  <c r="HB26" i="5"/>
  <c r="HA26" i="5"/>
  <c r="GZ26" i="5"/>
  <c r="GY26" i="5"/>
  <c r="GX26" i="5"/>
  <c r="GW26" i="5"/>
  <c r="GV26" i="5"/>
  <c r="GU26" i="5"/>
  <c r="GT26" i="5"/>
  <c r="GS26" i="5"/>
  <c r="GR26" i="5"/>
  <c r="GQ26" i="5"/>
  <c r="GP26" i="5"/>
  <c r="GO26" i="5"/>
  <c r="GN26" i="5"/>
  <c r="GM26" i="5"/>
  <c r="GL26" i="5"/>
  <c r="GK26" i="5"/>
  <c r="GJ26" i="5"/>
  <c r="GI26" i="5"/>
  <c r="GH26" i="5"/>
  <c r="GG26" i="5"/>
  <c r="GF26" i="5"/>
  <c r="GE26" i="5"/>
  <c r="GD26" i="5"/>
  <c r="GC26" i="5"/>
  <c r="GB26" i="5"/>
  <c r="GA26" i="5"/>
  <c r="FZ26" i="5"/>
  <c r="FY26" i="5"/>
  <c r="FX26" i="5"/>
  <c r="FW26" i="5"/>
  <c r="FV26" i="5"/>
  <c r="FU26" i="5"/>
  <c r="FT26" i="5"/>
  <c r="FS26" i="5"/>
  <c r="FR26" i="5"/>
  <c r="FQ26" i="5"/>
  <c r="FP26" i="5"/>
  <c r="FO26" i="5"/>
  <c r="FN26" i="5"/>
  <c r="FM26" i="5"/>
  <c r="FL26" i="5"/>
  <c r="FK26" i="5"/>
  <c r="FJ26" i="5"/>
  <c r="FI26" i="5"/>
  <c r="FH26" i="5"/>
  <c r="FG26" i="5"/>
  <c r="FF26" i="5"/>
  <c r="FE26" i="5"/>
  <c r="FD26" i="5"/>
  <c r="FC26" i="5"/>
  <c r="FB26" i="5"/>
  <c r="FA26" i="5"/>
  <c r="EZ26" i="5"/>
  <c r="EY26" i="5"/>
  <c r="EX26" i="5"/>
  <c r="EW26" i="5"/>
  <c r="EV26" i="5"/>
  <c r="EU26" i="5"/>
  <c r="ET26" i="5"/>
  <c r="ES26" i="5"/>
  <c r="ER26" i="5"/>
  <c r="EQ26" i="5"/>
  <c r="EP26" i="5"/>
  <c r="EO26" i="5"/>
  <c r="EN26" i="5"/>
  <c r="EM26" i="5"/>
  <c r="EL26" i="5"/>
  <c r="EK26" i="5"/>
  <c r="EJ26" i="5"/>
  <c r="EI26" i="5"/>
  <c r="EH26" i="5"/>
  <c r="EG26" i="5"/>
  <c r="EF26" i="5"/>
  <c r="EE26" i="5"/>
  <c r="ED26" i="5"/>
  <c r="EC26" i="5"/>
  <c r="EB26" i="5"/>
  <c r="EA26" i="5"/>
  <c r="DZ26" i="5"/>
  <c r="DY26" i="5"/>
  <c r="DX26" i="5"/>
  <c r="DW26" i="5"/>
  <c r="DV26" i="5"/>
  <c r="DU26" i="5"/>
  <c r="DT26" i="5"/>
  <c r="DS26" i="5"/>
  <c r="DR26" i="5"/>
  <c r="DQ26" i="5"/>
  <c r="DP26" i="5"/>
  <c r="DO26" i="5"/>
  <c r="DN26" i="5"/>
  <c r="DM26" i="5"/>
  <c r="DL26" i="5"/>
  <c r="DK26" i="5"/>
  <c r="DJ26" i="5"/>
  <c r="DI26" i="5"/>
  <c r="DH26" i="5"/>
  <c r="DG26" i="5"/>
  <c r="DF26" i="5"/>
  <c r="DE26" i="5"/>
  <c r="DD26" i="5"/>
  <c r="DC26" i="5"/>
  <c r="DB26" i="5"/>
  <c r="DA26" i="5"/>
  <c r="CZ26" i="5"/>
  <c r="CY26" i="5"/>
  <c r="CX26" i="5"/>
  <c r="CW26" i="5"/>
  <c r="CV26" i="5"/>
  <c r="CU26" i="5"/>
  <c r="CT26" i="5"/>
  <c r="CS26" i="5"/>
  <c r="CR26" i="5"/>
  <c r="CQ26" i="5"/>
  <c r="CP26" i="5"/>
  <c r="CO26" i="5"/>
  <c r="CN26" i="5"/>
  <c r="CM26" i="5"/>
  <c r="CL26" i="5"/>
  <c r="CK26" i="5"/>
  <c r="CJ26" i="5"/>
  <c r="CI26" i="5"/>
  <c r="CH26" i="5"/>
  <c r="CG26" i="5"/>
  <c r="CF26" i="5"/>
  <c r="CE26" i="5"/>
  <c r="CD26" i="5"/>
  <c r="CC26" i="5"/>
  <c r="CB26" i="5"/>
  <c r="CA26" i="5"/>
  <c r="BZ26" i="5"/>
  <c r="BY26" i="5"/>
  <c r="BX26" i="5"/>
  <c r="BW26" i="5"/>
  <c r="BV26" i="5"/>
  <c r="BU26" i="5"/>
  <c r="BT26" i="5"/>
  <c r="BS26" i="5"/>
  <c r="BR26" i="5"/>
  <c r="BQ26" i="5"/>
  <c r="BP26" i="5"/>
  <c r="BO26" i="5"/>
  <c r="BN26" i="5"/>
  <c r="BM26" i="5"/>
  <c r="BL26" i="5"/>
  <c r="BK26" i="5"/>
  <c r="BJ26" i="5"/>
  <c r="BI26" i="5"/>
  <c r="BH26" i="5"/>
  <c r="BG26" i="5"/>
  <c r="BF26" i="5"/>
  <c r="BE26" i="5"/>
  <c r="BD26" i="5"/>
  <c r="BC26" i="5"/>
  <c r="BB26" i="5"/>
  <c r="BA26" i="5"/>
  <c r="AZ26" i="5"/>
  <c r="AY26" i="5"/>
  <c r="AX26" i="5"/>
  <c r="AW26" i="5"/>
  <c r="AV26" i="5"/>
  <c r="AU26" i="5"/>
  <c r="AT26" i="5"/>
  <c r="AS26" i="5"/>
  <c r="AR26" i="5"/>
  <c r="AQ26" i="5"/>
  <c r="AP26" i="5"/>
  <c r="AO26" i="5"/>
  <c r="AN26" i="5"/>
  <c r="AM26" i="5"/>
  <c r="AL26" i="5"/>
  <c r="AK26" i="5"/>
  <c r="AJ26" i="5"/>
  <c r="AI26" i="5"/>
  <c r="AH26" i="5"/>
  <c r="AG26" i="5"/>
  <c r="AF26" i="5"/>
  <c r="AE26" i="5"/>
  <c r="AD26" i="5"/>
  <c r="AC26" i="5"/>
  <c r="AB26" i="5"/>
  <c r="AA26" i="5"/>
  <c r="Z26" i="5"/>
  <c r="Y26" i="5"/>
  <c r="X26" i="5"/>
  <c r="W26" i="5"/>
  <c r="V26" i="5"/>
  <c r="U26" i="5"/>
  <c r="T26" i="5"/>
  <c r="S26" i="5"/>
  <c r="R26" i="5"/>
  <c r="Q26" i="5"/>
  <c r="P26" i="5"/>
  <c r="O26" i="5"/>
  <c r="N26" i="5"/>
  <c r="M26" i="5"/>
  <c r="L26" i="5"/>
  <c r="K26" i="5"/>
  <c r="J26" i="5"/>
  <c r="I26" i="5"/>
  <c r="H26" i="5"/>
  <c r="G26" i="5"/>
  <c r="F26" i="5"/>
  <c r="E26" i="5"/>
  <c r="D26" i="5"/>
  <c r="C26" i="5"/>
  <c r="B26" i="5"/>
  <c r="AGV25" i="5"/>
  <c r="AGV29" i="5" s="1"/>
  <c r="AGT25" i="5"/>
  <c r="AGX24" i="5"/>
  <c r="AGT22" i="5"/>
  <c r="AGX21" i="5"/>
  <c r="AGW21" i="5"/>
  <c r="AHA21" i="5" s="1"/>
  <c r="AGT20" i="5"/>
  <c r="AHA18" i="5"/>
  <c r="AGZ18" i="5"/>
  <c r="AGY18" i="5"/>
  <c r="AGX18" i="5"/>
  <c r="AGW18" i="5"/>
  <c r="AGV18" i="5"/>
  <c r="AGU18" i="5"/>
  <c r="AGS18" i="5"/>
  <c r="AGR18" i="5"/>
  <c r="AGQ18" i="5"/>
  <c r="AGP18" i="5"/>
  <c r="AGO18" i="5"/>
  <c r="AGN18" i="5"/>
  <c r="AGM18" i="5"/>
  <c r="AGL18" i="5"/>
  <c r="AGK18" i="5"/>
  <c r="AGJ18" i="5"/>
  <c r="AGI18" i="5"/>
  <c r="AGH18" i="5"/>
  <c r="AGG18" i="5"/>
  <c r="AGF18" i="5"/>
  <c r="AGE18" i="5"/>
  <c r="AGD18" i="5"/>
  <c r="AGC18" i="5"/>
  <c r="AGB18" i="5"/>
  <c r="AGA18" i="5"/>
  <c r="AFZ18" i="5"/>
  <c r="AFY18" i="5"/>
  <c r="AFX18" i="5"/>
  <c r="AFW18" i="5"/>
  <c r="AFV18" i="5"/>
  <c r="AFU18" i="5"/>
  <c r="AFT18" i="5"/>
  <c r="AFS18" i="5"/>
  <c r="AFR18" i="5"/>
  <c r="AFQ18" i="5"/>
  <c r="AFP18" i="5"/>
  <c r="AFO18" i="5"/>
  <c r="AFN18" i="5"/>
  <c r="AFM18" i="5"/>
  <c r="AFL18" i="5"/>
  <c r="AFK18" i="5"/>
  <c r="AFJ18" i="5"/>
  <c r="AFI18" i="5"/>
  <c r="AFH18" i="5"/>
  <c r="AFG18" i="5"/>
  <c r="AFF18" i="5"/>
  <c r="AFE18" i="5"/>
  <c r="AFD18" i="5"/>
  <c r="AFC18" i="5"/>
  <c r="AFB18" i="5"/>
  <c r="AFA18" i="5"/>
  <c r="AEZ18" i="5"/>
  <c r="AEY18" i="5"/>
  <c r="AEX18" i="5"/>
  <c r="AEW18" i="5"/>
  <c r="AEV18" i="5"/>
  <c r="AEU18" i="5"/>
  <c r="AET18" i="5"/>
  <c r="AES18" i="5"/>
  <c r="AER18" i="5"/>
  <c r="AEQ18" i="5"/>
  <c r="AEP18" i="5"/>
  <c r="AEO18" i="5"/>
  <c r="AEN18" i="5"/>
  <c r="AEM18" i="5"/>
  <c r="AEL18" i="5"/>
  <c r="AEK18" i="5"/>
  <c r="AEJ18" i="5"/>
  <c r="AEI18" i="5"/>
  <c r="AEH18" i="5"/>
  <c r="AEG18" i="5"/>
  <c r="AEF18" i="5"/>
  <c r="AEE18" i="5"/>
  <c r="AED18" i="5"/>
  <c r="AEC18" i="5"/>
  <c r="AEB18" i="5"/>
  <c r="AEA18" i="5"/>
  <c r="ADZ18" i="5"/>
  <c r="ADY18" i="5"/>
  <c r="ADX18" i="5"/>
  <c r="ADW18" i="5"/>
  <c r="ADV18" i="5"/>
  <c r="ADU18" i="5"/>
  <c r="ADT18" i="5"/>
  <c r="ADS18" i="5"/>
  <c r="ADR18" i="5"/>
  <c r="ADQ18" i="5"/>
  <c r="ADP18" i="5"/>
  <c r="ADO18" i="5"/>
  <c r="ADN18" i="5"/>
  <c r="ADM18" i="5"/>
  <c r="ADL18" i="5"/>
  <c r="ADK18" i="5"/>
  <c r="ADJ18" i="5"/>
  <c r="ADI18" i="5"/>
  <c r="ADH18" i="5"/>
  <c r="ADG18" i="5"/>
  <c r="ADF18" i="5"/>
  <c r="ADE18" i="5"/>
  <c r="ADD18" i="5"/>
  <c r="ADC18" i="5"/>
  <c r="ADB18" i="5"/>
  <c r="ADA18" i="5"/>
  <c r="ACZ18" i="5"/>
  <c r="ACY18" i="5"/>
  <c r="ACX18" i="5"/>
  <c r="ACW18" i="5"/>
  <c r="ACV18" i="5"/>
  <c r="ACU18" i="5"/>
  <c r="ACT18" i="5"/>
  <c r="ACS18" i="5"/>
  <c r="ACR18" i="5"/>
  <c r="ACQ18" i="5"/>
  <c r="ACP18" i="5"/>
  <c r="ACO18" i="5"/>
  <c r="ACN18" i="5"/>
  <c r="ACM18" i="5"/>
  <c r="ACL18" i="5"/>
  <c r="ACK18" i="5"/>
  <c r="ACJ18" i="5"/>
  <c r="ACI18" i="5"/>
  <c r="ACH18" i="5"/>
  <c r="ACG18" i="5"/>
  <c r="ACF18" i="5"/>
  <c r="ACE18" i="5"/>
  <c r="ACD18" i="5"/>
  <c r="ACC18" i="5"/>
  <c r="ACB18" i="5"/>
  <c r="ACA18" i="5"/>
  <c r="ABZ18" i="5"/>
  <c r="ABY18" i="5"/>
  <c r="ABX18" i="5"/>
  <c r="ABW18" i="5"/>
  <c r="ABV18" i="5"/>
  <c r="ABU18" i="5"/>
  <c r="ABT18" i="5"/>
  <c r="ABS18" i="5"/>
  <c r="ABR18" i="5"/>
  <c r="ABQ18" i="5"/>
  <c r="ABP18" i="5"/>
  <c r="ABO18" i="5"/>
  <c r="ABN18" i="5"/>
  <c r="ABM18" i="5"/>
  <c r="ABL18" i="5"/>
  <c r="ABK18" i="5"/>
  <c r="ABJ18" i="5"/>
  <c r="ABI18" i="5"/>
  <c r="ABH18" i="5"/>
  <c r="ABG18" i="5"/>
  <c r="ABF18" i="5"/>
  <c r="ABE18" i="5"/>
  <c r="ABD18" i="5"/>
  <c r="ABC18" i="5"/>
  <c r="ABB18" i="5"/>
  <c r="ABA18" i="5"/>
  <c r="AAZ18" i="5"/>
  <c r="AAY18" i="5"/>
  <c r="AAX18" i="5"/>
  <c r="AAW18" i="5"/>
  <c r="AAV18" i="5"/>
  <c r="AAU18" i="5"/>
  <c r="AAT18" i="5"/>
  <c r="AAS18" i="5"/>
  <c r="AAR18" i="5"/>
  <c r="AAQ18" i="5"/>
  <c r="AAP18" i="5"/>
  <c r="AAO18" i="5"/>
  <c r="AAN18" i="5"/>
  <c r="AAM18" i="5"/>
  <c r="AAL18" i="5"/>
  <c r="AAK18" i="5"/>
  <c r="AAJ18" i="5"/>
  <c r="AAI18" i="5"/>
  <c r="AAH18" i="5"/>
  <c r="AAG18" i="5"/>
  <c r="AAF18" i="5"/>
  <c r="AAE18" i="5"/>
  <c r="AAD18" i="5"/>
  <c r="AAC18" i="5"/>
  <c r="AAB18" i="5"/>
  <c r="AAA18" i="5"/>
  <c r="ZZ18" i="5"/>
  <c r="ZY18" i="5"/>
  <c r="ZX18" i="5"/>
  <c r="ZW18" i="5"/>
  <c r="ZV18" i="5"/>
  <c r="ZU18" i="5"/>
  <c r="ZT18" i="5"/>
  <c r="ZS18" i="5"/>
  <c r="ZR18" i="5"/>
  <c r="ZQ18" i="5"/>
  <c r="ZP18" i="5"/>
  <c r="ZO18" i="5"/>
  <c r="ZN18" i="5"/>
  <c r="ZM18" i="5"/>
  <c r="ZL18" i="5"/>
  <c r="ZK18" i="5"/>
  <c r="ZJ18" i="5"/>
  <c r="ZI18" i="5"/>
  <c r="ZH18" i="5"/>
  <c r="ZG18" i="5"/>
  <c r="ZF18" i="5"/>
  <c r="ZE18" i="5"/>
  <c r="ZD18" i="5"/>
  <c r="ZC18" i="5"/>
  <c r="ZB18" i="5"/>
  <c r="ZA18" i="5"/>
  <c r="YZ18" i="5"/>
  <c r="YY18" i="5"/>
  <c r="YX18" i="5"/>
  <c r="YW18" i="5"/>
  <c r="YV18" i="5"/>
  <c r="YU18" i="5"/>
  <c r="YT18" i="5"/>
  <c r="YS18" i="5"/>
  <c r="YR18" i="5"/>
  <c r="YQ18" i="5"/>
  <c r="YP18" i="5"/>
  <c r="YO18" i="5"/>
  <c r="YN18" i="5"/>
  <c r="YM18" i="5"/>
  <c r="YL18" i="5"/>
  <c r="YK18" i="5"/>
  <c r="YJ18" i="5"/>
  <c r="YI18" i="5"/>
  <c r="YH18" i="5"/>
  <c r="YG18" i="5"/>
  <c r="YF18" i="5"/>
  <c r="YE18" i="5"/>
  <c r="YD18" i="5"/>
  <c r="YC18" i="5"/>
  <c r="YB18" i="5"/>
  <c r="YA18" i="5"/>
  <c r="XZ18" i="5"/>
  <c r="XY18" i="5"/>
  <c r="XX18" i="5"/>
  <c r="XW18" i="5"/>
  <c r="XV18" i="5"/>
  <c r="XU18" i="5"/>
  <c r="XT18" i="5"/>
  <c r="XS18" i="5"/>
  <c r="XR18" i="5"/>
  <c r="XQ18" i="5"/>
  <c r="XP18" i="5"/>
  <c r="XO18" i="5"/>
  <c r="XN18" i="5"/>
  <c r="XM18" i="5"/>
  <c r="XL18" i="5"/>
  <c r="XK18" i="5"/>
  <c r="XJ18" i="5"/>
  <c r="XI18" i="5"/>
  <c r="XH18" i="5"/>
  <c r="XG18" i="5"/>
  <c r="XF18" i="5"/>
  <c r="XE18" i="5"/>
  <c r="XD18" i="5"/>
  <c r="XC18" i="5"/>
  <c r="XB18" i="5"/>
  <c r="XA18" i="5"/>
  <c r="WZ18" i="5"/>
  <c r="WY18" i="5"/>
  <c r="WX18" i="5"/>
  <c r="WW18" i="5"/>
  <c r="WV18" i="5"/>
  <c r="WU18" i="5"/>
  <c r="WT18" i="5"/>
  <c r="WS18" i="5"/>
  <c r="WR18" i="5"/>
  <c r="WQ18" i="5"/>
  <c r="WP18" i="5"/>
  <c r="WO18" i="5"/>
  <c r="WN18" i="5"/>
  <c r="WM18" i="5"/>
  <c r="WL18" i="5"/>
  <c r="WK18" i="5"/>
  <c r="WJ18" i="5"/>
  <c r="WI18" i="5"/>
  <c r="WH18" i="5"/>
  <c r="WG18" i="5"/>
  <c r="WF18" i="5"/>
  <c r="WE18" i="5"/>
  <c r="WD18" i="5"/>
  <c r="WC18" i="5"/>
  <c r="WB18" i="5"/>
  <c r="WA18" i="5"/>
  <c r="VZ18" i="5"/>
  <c r="VY18" i="5"/>
  <c r="VX18" i="5"/>
  <c r="VW18" i="5"/>
  <c r="VV18" i="5"/>
  <c r="VU18" i="5"/>
  <c r="VT18" i="5"/>
  <c r="VS18" i="5"/>
  <c r="VR18" i="5"/>
  <c r="VQ18" i="5"/>
  <c r="VP18" i="5"/>
  <c r="VO18" i="5"/>
  <c r="VN18" i="5"/>
  <c r="VM18" i="5"/>
  <c r="VL18" i="5"/>
  <c r="VK18" i="5"/>
  <c r="VJ18" i="5"/>
  <c r="VI18" i="5"/>
  <c r="VH18" i="5"/>
  <c r="VG18" i="5"/>
  <c r="VF18" i="5"/>
  <c r="VE18" i="5"/>
  <c r="VD18" i="5"/>
  <c r="VC18" i="5"/>
  <c r="VB18" i="5"/>
  <c r="VA18" i="5"/>
  <c r="UZ18" i="5"/>
  <c r="UY18" i="5"/>
  <c r="UX18" i="5"/>
  <c r="UW18" i="5"/>
  <c r="UV18" i="5"/>
  <c r="UU18" i="5"/>
  <c r="UT18" i="5"/>
  <c r="US18" i="5"/>
  <c r="UR18" i="5"/>
  <c r="UQ18" i="5"/>
  <c r="UP18" i="5"/>
  <c r="UO18" i="5"/>
  <c r="UN18" i="5"/>
  <c r="UM18" i="5"/>
  <c r="UL18" i="5"/>
  <c r="UK18" i="5"/>
  <c r="UJ18" i="5"/>
  <c r="UI18" i="5"/>
  <c r="UH18" i="5"/>
  <c r="UG18" i="5"/>
  <c r="UF18" i="5"/>
  <c r="UE18" i="5"/>
  <c r="UD18" i="5"/>
  <c r="UC18" i="5"/>
  <c r="UB18" i="5"/>
  <c r="UA18" i="5"/>
  <c r="TZ18" i="5"/>
  <c r="TY18" i="5"/>
  <c r="TX18" i="5"/>
  <c r="TW18" i="5"/>
  <c r="TV18" i="5"/>
  <c r="TU18" i="5"/>
  <c r="TT18" i="5"/>
  <c r="TS18" i="5"/>
  <c r="TR18" i="5"/>
  <c r="TQ18" i="5"/>
  <c r="TP18" i="5"/>
  <c r="TO18" i="5"/>
  <c r="TN18" i="5"/>
  <c r="TM18" i="5"/>
  <c r="TL18" i="5"/>
  <c r="TK18" i="5"/>
  <c r="TJ18" i="5"/>
  <c r="TI18" i="5"/>
  <c r="TH18" i="5"/>
  <c r="TG18" i="5"/>
  <c r="TF18" i="5"/>
  <c r="TE18" i="5"/>
  <c r="TD18" i="5"/>
  <c r="TC18" i="5"/>
  <c r="TB18" i="5"/>
  <c r="TA18" i="5"/>
  <c r="SZ18" i="5"/>
  <c r="SY18" i="5"/>
  <c r="SX18" i="5"/>
  <c r="SW18" i="5"/>
  <c r="SV18" i="5"/>
  <c r="SU18" i="5"/>
  <c r="ST18" i="5"/>
  <c r="SS18" i="5"/>
  <c r="SR18" i="5"/>
  <c r="SQ18" i="5"/>
  <c r="SP18" i="5"/>
  <c r="SO18" i="5"/>
  <c r="SN18" i="5"/>
  <c r="SM18" i="5"/>
  <c r="SL18" i="5"/>
  <c r="SK18" i="5"/>
  <c r="SJ18" i="5"/>
  <c r="SI18" i="5"/>
  <c r="SH18" i="5"/>
  <c r="SG18" i="5"/>
  <c r="SF18" i="5"/>
  <c r="SE18" i="5"/>
  <c r="SD18" i="5"/>
  <c r="SC18" i="5"/>
  <c r="SB18" i="5"/>
  <c r="SA18" i="5"/>
  <c r="RZ18" i="5"/>
  <c r="RY18" i="5"/>
  <c r="RX18" i="5"/>
  <c r="RW18" i="5"/>
  <c r="RV18" i="5"/>
  <c r="RU18" i="5"/>
  <c r="RT18" i="5"/>
  <c r="RS18" i="5"/>
  <c r="RR18" i="5"/>
  <c r="RQ18" i="5"/>
  <c r="RP18" i="5"/>
  <c r="RO18" i="5"/>
  <c r="RN18" i="5"/>
  <c r="RM18" i="5"/>
  <c r="RL18" i="5"/>
  <c r="RK18" i="5"/>
  <c r="RJ18" i="5"/>
  <c r="RI18" i="5"/>
  <c r="RH18" i="5"/>
  <c r="RG18" i="5"/>
  <c r="RF18" i="5"/>
  <c r="RE18" i="5"/>
  <c r="RD18" i="5"/>
  <c r="RC18" i="5"/>
  <c r="RB18" i="5"/>
  <c r="RA18" i="5"/>
  <c r="QZ18" i="5"/>
  <c r="QY18" i="5"/>
  <c r="QX18" i="5"/>
  <c r="QW18" i="5"/>
  <c r="QV18" i="5"/>
  <c r="QU18" i="5"/>
  <c r="QT18" i="5"/>
  <c r="QS18" i="5"/>
  <c r="QR18" i="5"/>
  <c r="QQ18" i="5"/>
  <c r="QP18" i="5"/>
  <c r="QO18" i="5"/>
  <c r="QN18" i="5"/>
  <c r="QM18" i="5"/>
  <c r="QL18" i="5"/>
  <c r="QK18" i="5"/>
  <c r="QJ18" i="5"/>
  <c r="QI18" i="5"/>
  <c r="QH18" i="5"/>
  <c r="QG18" i="5"/>
  <c r="QF18" i="5"/>
  <c r="QE18" i="5"/>
  <c r="QD18" i="5"/>
  <c r="QC18" i="5"/>
  <c r="QB18" i="5"/>
  <c r="QA18" i="5"/>
  <c r="PZ18" i="5"/>
  <c r="PY18" i="5"/>
  <c r="PX18" i="5"/>
  <c r="PW18" i="5"/>
  <c r="PV18" i="5"/>
  <c r="PU18" i="5"/>
  <c r="PT18" i="5"/>
  <c r="PS18" i="5"/>
  <c r="PR18" i="5"/>
  <c r="PQ18" i="5"/>
  <c r="PP18" i="5"/>
  <c r="PO18" i="5"/>
  <c r="PN18" i="5"/>
  <c r="PM18" i="5"/>
  <c r="PL18" i="5"/>
  <c r="PK18" i="5"/>
  <c r="PJ18" i="5"/>
  <c r="PI18" i="5"/>
  <c r="PH18" i="5"/>
  <c r="PG18" i="5"/>
  <c r="PF18" i="5"/>
  <c r="PE18" i="5"/>
  <c r="PD18" i="5"/>
  <c r="PC18" i="5"/>
  <c r="PB18" i="5"/>
  <c r="PA18" i="5"/>
  <c r="OZ18" i="5"/>
  <c r="OY18" i="5"/>
  <c r="OX18" i="5"/>
  <c r="OW18" i="5"/>
  <c r="OV18" i="5"/>
  <c r="OU18" i="5"/>
  <c r="OT18" i="5"/>
  <c r="OS18" i="5"/>
  <c r="OR18" i="5"/>
  <c r="OQ18" i="5"/>
  <c r="OP18" i="5"/>
  <c r="OO18" i="5"/>
  <c r="ON18" i="5"/>
  <c r="OM18" i="5"/>
  <c r="OL18" i="5"/>
  <c r="OK18" i="5"/>
  <c r="OJ18" i="5"/>
  <c r="OI18" i="5"/>
  <c r="OH18" i="5"/>
  <c r="OG18" i="5"/>
  <c r="OF18" i="5"/>
  <c r="OE18" i="5"/>
  <c r="OD18" i="5"/>
  <c r="OC18" i="5"/>
  <c r="OB18" i="5"/>
  <c r="OA18" i="5"/>
  <c r="NZ18" i="5"/>
  <c r="NY18" i="5"/>
  <c r="NX18" i="5"/>
  <c r="NW18" i="5"/>
  <c r="NV18" i="5"/>
  <c r="NU18" i="5"/>
  <c r="NT18" i="5"/>
  <c r="NS18" i="5"/>
  <c r="NR18" i="5"/>
  <c r="NQ18" i="5"/>
  <c r="NP18" i="5"/>
  <c r="NO18" i="5"/>
  <c r="NN18" i="5"/>
  <c r="NM18" i="5"/>
  <c r="NL18" i="5"/>
  <c r="NK18" i="5"/>
  <c r="NJ18" i="5"/>
  <c r="NI18" i="5"/>
  <c r="NH18" i="5"/>
  <c r="NG18" i="5"/>
  <c r="NF18" i="5"/>
  <c r="NE18" i="5"/>
  <c r="ND18" i="5"/>
  <c r="NC18" i="5"/>
  <c r="NB18" i="5"/>
  <c r="NA18" i="5"/>
  <c r="MZ18" i="5"/>
  <c r="MY18" i="5"/>
  <c r="MX18" i="5"/>
  <c r="MW18" i="5"/>
  <c r="MV18" i="5"/>
  <c r="MU18" i="5"/>
  <c r="MT18" i="5"/>
  <c r="MS18" i="5"/>
  <c r="MR18" i="5"/>
  <c r="MQ18" i="5"/>
  <c r="MP18" i="5"/>
  <c r="MO18" i="5"/>
  <c r="MN18" i="5"/>
  <c r="MM18" i="5"/>
  <c r="ML18" i="5"/>
  <c r="MK18" i="5"/>
  <c r="MJ18" i="5"/>
  <c r="MI18" i="5"/>
  <c r="MH18" i="5"/>
  <c r="MG18" i="5"/>
  <c r="MF18" i="5"/>
  <c r="ME18" i="5"/>
  <c r="MD18" i="5"/>
  <c r="MC18" i="5"/>
  <c r="MB18" i="5"/>
  <c r="MA18" i="5"/>
  <c r="LZ18" i="5"/>
  <c r="LY18" i="5"/>
  <c r="LX18" i="5"/>
  <c r="LW18" i="5"/>
  <c r="LV18" i="5"/>
  <c r="LU18" i="5"/>
  <c r="LT18" i="5"/>
  <c r="LS18" i="5"/>
  <c r="LR18" i="5"/>
  <c r="LQ18" i="5"/>
  <c r="LP18" i="5"/>
  <c r="LO18" i="5"/>
  <c r="LN18" i="5"/>
  <c r="LM18" i="5"/>
  <c r="LL18" i="5"/>
  <c r="LK18" i="5"/>
  <c r="LJ18" i="5"/>
  <c r="LI18" i="5"/>
  <c r="LH18" i="5"/>
  <c r="LG18" i="5"/>
  <c r="LF18" i="5"/>
  <c r="LE18" i="5"/>
  <c r="LD18" i="5"/>
  <c r="LC18" i="5"/>
  <c r="LB18" i="5"/>
  <c r="LA18" i="5"/>
  <c r="KZ18" i="5"/>
  <c r="KY18" i="5"/>
  <c r="KX18" i="5"/>
  <c r="KW18" i="5"/>
  <c r="KV18" i="5"/>
  <c r="KU18" i="5"/>
  <c r="KT18" i="5"/>
  <c r="KS18" i="5"/>
  <c r="KR18" i="5"/>
  <c r="KQ18" i="5"/>
  <c r="KP18" i="5"/>
  <c r="KO18" i="5"/>
  <c r="KN18" i="5"/>
  <c r="KM18" i="5"/>
  <c r="KL18" i="5"/>
  <c r="KK18" i="5"/>
  <c r="KJ18" i="5"/>
  <c r="KI18" i="5"/>
  <c r="KH18" i="5"/>
  <c r="KG18" i="5"/>
  <c r="KF18" i="5"/>
  <c r="KE18" i="5"/>
  <c r="KD18" i="5"/>
  <c r="KC18" i="5"/>
  <c r="KB18" i="5"/>
  <c r="KA18" i="5"/>
  <c r="JZ18" i="5"/>
  <c r="JY18" i="5"/>
  <c r="JX18" i="5"/>
  <c r="JW18" i="5"/>
  <c r="JV18" i="5"/>
  <c r="JU18" i="5"/>
  <c r="JT18" i="5"/>
  <c r="JS18" i="5"/>
  <c r="JR18" i="5"/>
  <c r="JQ18" i="5"/>
  <c r="JP18" i="5"/>
  <c r="JO18" i="5"/>
  <c r="JN18" i="5"/>
  <c r="JM18" i="5"/>
  <c r="JL18" i="5"/>
  <c r="JK18" i="5"/>
  <c r="JJ18" i="5"/>
  <c r="JI18" i="5"/>
  <c r="JH18" i="5"/>
  <c r="JG18" i="5"/>
  <c r="JF18" i="5"/>
  <c r="JE18" i="5"/>
  <c r="JD18" i="5"/>
  <c r="JC18" i="5"/>
  <c r="JB18" i="5"/>
  <c r="JA18" i="5"/>
  <c r="IZ18" i="5"/>
  <c r="IY18" i="5"/>
  <c r="IX18" i="5"/>
  <c r="IW18" i="5"/>
  <c r="IV18" i="5"/>
  <c r="IU18" i="5"/>
  <c r="IT18" i="5"/>
  <c r="IS18" i="5"/>
  <c r="IR18" i="5"/>
  <c r="IQ18" i="5"/>
  <c r="IP18" i="5"/>
  <c r="IO18" i="5"/>
  <c r="IN18" i="5"/>
  <c r="IM18" i="5"/>
  <c r="IL18" i="5"/>
  <c r="IK18" i="5"/>
  <c r="IJ18" i="5"/>
  <c r="II18" i="5"/>
  <c r="IH18" i="5"/>
  <c r="IG18" i="5"/>
  <c r="IF18" i="5"/>
  <c r="IE18" i="5"/>
  <c r="ID18" i="5"/>
  <c r="IC18" i="5"/>
  <c r="IB18" i="5"/>
  <c r="IA18" i="5"/>
  <c r="HZ18" i="5"/>
  <c r="HY18" i="5"/>
  <c r="HX18" i="5"/>
  <c r="HW18" i="5"/>
  <c r="HV18" i="5"/>
  <c r="HU18" i="5"/>
  <c r="HT18" i="5"/>
  <c r="HS18" i="5"/>
  <c r="HR18" i="5"/>
  <c r="HQ18" i="5"/>
  <c r="HP18" i="5"/>
  <c r="HO18" i="5"/>
  <c r="HN18" i="5"/>
  <c r="HM18" i="5"/>
  <c r="HL18" i="5"/>
  <c r="HK18" i="5"/>
  <c r="HJ18" i="5"/>
  <c r="HI18" i="5"/>
  <c r="HH18" i="5"/>
  <c r="HG18" i="5"/>
  <c r="HF18" i="5"/>
  <c r="HE18" i="5"/>
  <c r="HD18" i="5"/>
  <c r="HC18" i="5"/>
  <c r="HB18" i="5"/>
  <c r="HA18" i="5"/>
  <c r="GZ18" i="5"/>
  <c r="GY18" i="5"/>
  <c r="GX18" i="5"/>
  <c r="GW18" i="5"/>
  <c r="GV18" i="5"/>
  <c r="GU18" i="5"/>
  <c r="GT18" i="5"/>
  <c r="GS18" i="5"/>
  <c r="GR18" i="5"/>
  <c r="GQ18" i="5"/>
  <c r="GP18" i="5"/>
  <c r="GO18" i="5"/>
  <c r="GN18" i="5"/>
  <c r="GM18" i="5"/>
  <c r="GL18" i="5"/>
  <c r="GK18" i="5"/>
  <c r="GJ18" i="5"/>
  <c r="GI18" i="5"/>
  <c r="GH18" i="5"/>
  <c r="GG18" i="5"/>
  <c r="GF18" i="5"/>
  <c r="GE18" i="5"/>
  <c r="GD18" i="5"/>
  <c r="GC18" i="5"/>
  <c r="GB18" i="5"/>
  <c r="GA18" i="5"/>
  <c r="FZ18" i="5"/>
  <c r="FY18" i="5"/>
  <c r="FX18" i="5"/>
  <c r="FW18" i="5"/>
  <c r="FV18" i="5"/>
  <c r="FU18" i="5"/>
  <c r="FT18" i="5"/>
  <c r="FS18" i="5"/>
  <c r="FR18" i="5"/>
  <c r="FQ18" i="5"/>
  <c r="FP18" i="5"/>
  <c r="FO18" i="5"/>
  <c r="FN18" i="5"/>
  <c r="FM18" i="5"/>
  <c r="FL18" i="5"/>
  <c r="FK18" i="5"/>
  <c r="FJ18" i="5"/>
  <c r="FI18" i="5"/>
  <c r="FH18" i="5"/>
  <c r="FG18" i="5"/>
  <c r="FF18" i="5"/>
  <c r="FE18" i="5"/>
  <c r="FD18" i="5"/>
  <c r="FC18" i="5"/>
  <c r="FB18" i="5"/>
  <c r="FA18" i="5"/>
  <c r="EZ18" i="5"/>
  <c r="EY18" i="5"/>
  <c r="EX18" i="5"/>
  <c r="EW18" i="5"/>
  <c r="EV18" i="5"/>
  <c r="EU18" i="5"/>
  <c r="ET18" i="5"/>
  <c r="ES18" i="5"/>
  <c r="ER18" i="5"/>
  <c r="EQ18" i="5"/>
  <c r="EP18" i="5"/>
  <c r="EO18" i="5"/>
  <c r="EN18" i="5"/>
  <c r="EM18" i="5"/>
  <c r="EL18" i="5"/>
  <c r="EK18" i="5"/>
  <c r="EJ18" i="5"/>
  <c r="EI18" i="5"/>
  <c r="EH18" i="5"/>
  <c r="EG18" i="5"/>
  <c r="EF18" i="5"/>
  <c r="EE18" i="5"/>
  <c r="ED18" i="5"/>
  <c r="EC18" i="5"/>
  <c r="EB18" i="5"/>
  <c r="EA18" i="5"/>
  <c r="DZ18" i="5"/>
  <c r="DY18" i="5"/>
  <c r="DX18" i="5"/>
  <c r="DW18" i="5"/>
  <c r="DV18" i="5"/>
  <c r="DU18" i="5"/>
  <c r="DT18" i="5"/>
  <c r="DS18" i="5"/>
  <c r="DR18" i="5"/>
  <c r="DQ18" i="5"/>
  <c r="DP18" i="5"/>
  <c r="DO18" i="5"/>
  <c r="DN18" i="5"/>
  <c r="DM18" i="5"/>
  <c r="DL18" i="5"/>
  <c r="DK18" i="5"/>
  <c r="DJ18" i="5"/>
  <c r="DI18" i="5"/>
  <c r="DH18" i="5"/>
  <c r="DG18" i="5"/>
  <c r="DF18" i="5"/>
  <c r="DE18" i="5"/>
  <c r="DD18" i="5"/>
  <c r="DC18" i="5"/>
  <c r="DB18" i="5"/>
  <c r="DA18" i="5"/>
  <c r="CZ18" i="5"/>
  <c r="CY18" i="5"/>
  <c r="CX18" i="5"/>
  <c r="CW18" i="5"/>
  <c r="CV18" i="5"/>
  <c r="CU18" i="5"/>
  <c r="CT18" i="5"/>
  <c r="CS18" i="5"/>
  <c r="CR18" i="5"/>
  <c r="CQ18" i="5"/>
  <c r="CP18" i="5"/>
  <c r="CO18" i="5"/>
  <c r="CN18" i="5"/>
  <c r="CM18" i="5"/>
  <c r="CL18" i="5"/>
  <c r="CK18" i="5"/>
  <c r="CJ18" i="5"/>
  <c r="CI18" i="5"/>
  <c r="CH18" i="5"/>
  <c r="CG18" i="5"/>
  <c r="CF18" i="5"/>
  <c r="CE18" i="5"/>
  <c r="CD18" i="5"/>
  <c r="CC18" i="5"/>
  <c r="CB18" i="5"/>
  <c r="CA18" i="5"/>
  <c r="BZ18" i="5"/>
  <c r="BY18" i="5"/>
  <c r="BX18" i="5"/>
  <c r="BW18" i="5"/>
  <c r="BV18" i="5"/>
  <c r="BU18" i="5"/>
  <c r="BT18" i="5"/>
  <c r="BS18" i="5"/>
  <c r="BR18" i="5"/>
  <c r="BQ18" i="5"/>
  <c r="BP18" i="5"/>
  <c r="BO18" i="5"/>
  <c r="BN18" i="5"/>
  <c r="BM18" i="5"/>
  <c r="BL18" i="5"/>
  <c r="BK18" i="5"/>
  <c r="BJ18" i="5"/>
  <c r="BI18" i="5"/>
  <c r="BH18" i="5"/>
  <c r="BG18" i="5"/>
  <c r="BF18" i="5"/>
  <c r="BE18" i="5"/>
  <c r="BD18" i="5"/>
  <c r="BC18" i="5"/>
  <c r="BB18" i="5"/>
  <c r="BA18" i="5"/>
  <c r="AZ18" i="5"/>
  <c r="AY18" i="5"/>
  <c r="AX18" i="5"/>
  <c r="AW18" i="5"/>
  <c r="AV18" i="5"/>
  <c r="AU18" i="5"/>
  <c r="AT18" i="5"/>
  <c r="AS18" i="5"/>
  <c r="AR18" i="5"/>
  <c r="AQ18" i="5"/>
  <c r="AP18" i="5"/>
  <c r="AO18" i="5"/>
  <c r="AN18" i="5"/>
  <c r="AM18" i="5"/>
  <c r="AL18" i="5"/>
  <c r="AK18" i="5"/>
  <c r="AJ18" i="5"/>
  <c r="AI18" i="5"/>
  <c r="AH18" i="5"/>
  <c r="AG18" i="5"/>
  <c r="AF18" i="5"/>
  <c r="AE18" i="5"/>
  <c r="AD18" i="5"/>
  <c r="AC18" i="5"/>
  <c r="AB18" i="5"/>
  <c r="AA18" i="5"/>
  <c r="Z18" i="5"/>
  <c r="Y18" i="5"/>
  <c r="X18" i="5"/>
  <c r="W18" i="5"/>
  <c r="V18" i="5"/>
  <c r="U18" i="5"/>
  <c r="T18" i="5"/>
  <c r="S18" i="5"/>
  <c r="R18" i="5"/>
  <c r="Q18" i="5"/>
  <c r="P18" i="5"/>
  <c r="O18" i="5"/>
  <c r="N18" i="5"/>
  <c r="M18" i="5"/>
  <c r="L18" i="5"/>
  <c r="K18" i="5"/>
  <c r="J18" i="5"/>
  <c r="I18" i="5"/>
  <c r="H18" i="5"/>
  <c r="G18" i="5"/>
  <c r="F18" i="5"/>
  <c r="E18" i="5"/>
  <c r="D18" i="5"/>
  <c r="C18" i="5"/>
  <c r="B18" i="5"/>
  <c r="AGT17" i="5"/>
  <c r="AGT18" i="5" s="1"/>
  <c r="AHA13" i="5"/>
  <c r="AGZ13" i="5"/>
  <c r="AGY13" i="5"/>
  <c r="AGX13" i="5"/>
  <c r="AGW13" i="5"/>
  <c r="AGV13" i="5"/>
  <c r="AGU13" i="5"/>
  <c r="AGU14" i="5" s="1"/>
  <c r="AGT13" i="5"/>
  <c r="AGT16" i="5" s="1"/>
  <c r="AGS13" i="5"/>
  <c r="AGR13" i="5"/>
  <c r="AGQ13" i="5"/>
  <c r="AGP13" i="5"/>
  <c r="AGO13" i="5"/>
  <c r="AGN13" i="5"/>
  <c r="AGM13" i="5"/>
  <c r="AGM14" i="5" s="1"/>
  <c r="AGL13" i="5"/>
  <c r="AGL14" i="5" s="1"/>
  <c r="AGK13" i="5"/>
  <c r="AGJ13" i="5"/>
  <c r="AGI13" i="5"/>
  <c r="AGH13" i="5"/>
  <c r="AGG13" i="5"/>
  <c r="AGF13" i="5"/>
  <c r="AGE13" i="5"/>
  <c r="AGE14" i="5" s="1"/>
  <c r="AGD13" i="5"/>
  <c r="AGD16" i="5" s="1"/>
  <c r="AGC13" i="5"/>
  <c r="AGB13" i="5"/>
  <c r="AGA13" i="5"/>
  <c r="AFZ13" i="5"/>
  <c r="AFY13" i="5"/>
  <c r="AFX13" i="5"/>
  <c r="AFW13" i="5"/>
  <c r="AFW14" i="5" s="1"/>
  <c r="AFV13" i="5"/>
  <c r="AFV14" i="5" s="1"/>
  <c r="AFU13" i="5"/>
  <c r="AFT13" i="5"/>
  <c r="AFS13" i="5"/>
  <c r="AFR13" i="5"/>
  <c r="AFQ13" i="5"/>
  <c r="AFP13" i="5"/>
  <c r="AFO13" i="5"/>
  <c r="AFO14" i="5" s="1"/>
  <c r="AFN13" i="5"/>
  <c r="AFN16" i="5" s="1"/>
  <c r="AFM13" i="5"/>
  <c r="AFL13" i="5"/>
  <c r="AFK13" i="5"/>
  <c r="AFJ13" i="5"/>
  <c r="AFI13" i="5"/>
  <c r="AFH13" i="5"/>
  <c r="AFG13" i="5"/>
  <c r="AFG14" i="5" s="1"/>
  <c r="AFF13" i="5"/>
  <c r="AFF14" i="5" s="1"/>
  <c r="AFE13" i="5"/>
  <c r="AFD13" i="5"/>
  <c r="AFC13" i="5"/>
  <c r="AFB13" i="5"/>
  <c r="AFA13" i="5"/>
  <c r="AEZ13" i="5"/>
  <c r="AEY13" i="5"/>
  <c r="AEY14" i="5" s="1"/>
  <c r="AEX13" i="5"/>
  <c r="AEX16" i="5" s="1"/>
  <c r="AEW13" i="5"/>
  <c r="AEV13" i="5"/>
  <c r="AEU13" i="5"/>
  <c r="AET13" i="5"/>
  <c r="AES13" i="5"/>
  <c r="AER13" i="5"/>
  <c r="AEQ13" i="5"/>
  <c r="AEQ14" i="5" s="1"/>
  <c r="AEP13" i="5"/>
  <c r="AEP14" i="5" s="1"/>
  <c r="AEO13" i="5"/>
  <c r="AEN13" i="5"/>
  <c r="AEM13" i="5"/>
  <c r="AEM16" i="5" s="1"/>
  <c r="AEL13" i="5"/>
  <c r="AEK13" i="5"/>
  <c r="AEJ13" i="5"/>
  <c r="AEI13" i="5"/>
  <c r="AEI14" i="5" s="1"/>
  <c r="AEH13" i="5"/>
  <c r="AEH14" i="5" s="1"/>
  <c r="AEG13" i="5"/>
  <c r="AEF13" i="5"/>
  <c r="AEE13" i="5"/>
  <c r="AEE16" i="5" s="1"/>
  <c r="AED13" i="5"/>
  <c r="AEC13" i="5"/>
  <c r="AEB13" i="5"/>
  <c r="AEA13" i="5"/>
  <c r="AEA14" i="5" s="1"/>
  <c r="ADZ13" i="5"/>
  <c r="ADZ14" i="5" s="1"/>
  <c r="ADY13" i="5"/>
  <c r="ADX13" i="5"/>
  <c r="ADW13" i="5"/>
  <c r="ADW16" i="5" s="1"/>
  <c r="ADV13" i="5"/>
  <c r="ADU13" i="5"/>
  <c r="ADT13" i="5"/>
  <c r="ADS13" i="5"/>
  <c r="ADS14" i="5" s="1"/>
  <c r="ADR13" i="5"/>
  <c r="ADR14" i="5" s="1"/>
  <c r="ADQ13" i="5"/>
  <c r="ADP13" i="5"/>
  <c r="ADO13" i="5"/>
  <c r="ADO16" i="5" s="1"/>
  <c r="ADN13" i="5"/>
  <c r="ADM13" i="5"/>
  <c r="ADL13" i="5"/>
  <c r="ADK13" i="5"/>
  <c r="ADK14" i="5" s="1"/>
  <c r="ADJ13" i="5"/>
  <c r="ADJ14" i="5" s="1"/>
  <c r="ADI13" i="5"/>
  <c r="ADH13" i="5"/>
  <c r="ADG13" i="5"/>
  <c r="ADG16" i="5" s="1"/>
  <c r="ADF13" i="5"/>
  <c r="ADE13" i="5"/>
  <c r="ADD13" i="5"/>
  <c r="ADC13" i="5"/>
  <c r="ADC14" i="5" s="1"/>
  <c r="ADB13" i="5"/>
  <c r="ADB14" i="5" s="1"/>
  <c r="ADA13" i="5"/>
  <c r="ACZ13" i="5"/>
  <c r="ACY13" i="5"/>
  <c r="ACY16" i="5" s="1"/>
  <c r="ACX13" i="5"/>
  <c r="ACW13" i="5"/>
  <c r="ACV13" i="5"/>
  <c r="ACU13" i="5"/>
  <c r="ACU14" i="5" s="1"/>
  <c r="ACT13" i="5"/>
  <c r="ACT14" i="5" s="1"/>
  <c r="ACS13" i="5"/>
  <c r="ACR13" i="5"/>
  <c r="ACQ13" i="5"/>
  <c r="ACQ16" i="5" s="1"/>
  <c r="ACP13" i="5"/>
  <c r="ACO13" i="5"/>
  <c r="ACN13" i="5"/>
  <c r="ACM13" i="5"/>
  <c r="ACM14" i="5" s="1"/>
  <c r="ACL13" i="5"/>
  <c r="ACL14" i="5" s="1"/>
  <c r="ACK13" i="5"/>
  <c r="ACJ13" i="5"/>
  <c r="ACI13" i="5"/>
  <c r="ACI16" i="5" s="1"/>
  <c r="ACH13" i="5"/>
  <c r="ACG13" i="5"/>
  <c r="ACF13" i="5"/>
  <c r="ACE13" i="5"/>
  <c r="ACE14" i="5" s="1"/>
  <c r="ACD13" i="5"/>
  <c r="ACD14" i="5" s="1"/>
  <c r="ACC13" i="5"/>
  <c r="ACB13" i="5"/>
  <c r="ACA13" i="5"/>
  <c r="ACA16" i="5" s="1"/>
  <c r="ABZ13" i="5"/>
  <c r="ABY13" i="5"/>
  <c r="ABX13" i="5"/>
  <c r="ABW13" i="5"/>
  <c r="ABW14" i="5" s="1"/>
  <c r="ABV13" i="5"/>
  <c r="ABU13" i="5"/>
  <c r="ABT13" i="5"/>
  <c r="ABS13" i="5"/>
  <c r="ABS16" i="5" s="1"/>
  <c r="ABR13" i="5"/>
  <c r="ABR14" i="5" s="1"/>
  <c r="ABQ13" i="5"/>
  <c r="ABP13" i="5"/>
  <c r="ABO13" i="5"/>
  <c r="ABO14" i="5" s="1"/>
  <c r="ABN13" i="5"/>
  <c r="ABN14" i="5" s="1"/>
  <c r="ABM13" i="5"/>
  <c r="ABL13" i="5"/>
  <c r="ABL14" i="5" s="1"/>
  <c r="ABK13" i="5"/>
  <c r="ABK16" i="5" s="1"/>
  <c r="ABJ13" i="5"/>
  <c r="ABI13" i="5"/>
  <c r="ABH13" i="5"/>
  <c r="ABG13" i="5"/>
  <c r="ABG14" i="5" s="1"/>
  <c r="ABF13" i="5"/>
  <c r="ABE13" i="5"/>
  <c r="ABD13" i="5"/>
  <c r="ABC13" i="5"/>
  <c r="ABC16" i="5" s="1"/>
  <c r="ABB13" i="5"/>
  <c r="ABB14" i="5" s="1"/>
  <c r="ABA13" i="5"/>
  <c r="AAZ13" i="5"/>
  <c r="AAY13" i="5"/>
  <c r="AAY14" i="5" s="1"/>
  <c r="AAX13" i="5"/>
  <c r="AAX14" i="5" s="1"/>
  <c r="AAW13" i="5"/>
  <c r="AAV13" i="5"/>
  <c r="AAU13" i="5"/>
  <c r="AAU16" i="5" s="1"/>
  <c r="AAT13" i="5"/>
  <c r="AAS13" i="5"/>
  <c r="AAR13" i="5"/>
  <c r="AAQ13" i="5"/>
  <c r="AAQ14" i="5" s="1"/>
  <c r="AAP13" i="5"/>
  <c r="AAO13" i="5"/>
  <c r="AAN13" i="5"/>
  <c r="AAM13" i="5"/>
  <c r="AAM16" i="5" s="1"/>
  <c r="AAL13" i="5"/>
  <c r="AAL14" i="5" s="1"/>
  <c r="AAK13" i="5"/>
  <c r="AAJ13" i="5"/>
  <c r="AAI13" i="5"/>
  <c r="AAI14" i="5" s="1"/>
  <c r="AAH13" i="5"/>
  <c r="AAH14" i="5" s="1"/>
  <c r="AAG13" i="5"/>
  <c r="AAF13" i="5"/>
  <c r="AAF14" i="5" s="1"/>
  <c r="AAE13" i="5"/>
  <c r="AAE16" i="5" s="1"/>
  <c r="AAD13" i="5"/>
  <c r="AAC13" i="5"/>
  <c r="AAB13" i="5"/>
  <c r="AAA13" i="5"/>
  <c r="AAA14" i="5" s="1"/>
  <c r="ZZ13" i="5"/>
  <c r="ZY13" i="5"/>
  <c r="ZX13" i="5"/>
  <c r="ZW13" i="5"/>
  <c r="ZW16" i="5" s="1"/>
  <c r="ZV13" i="5"/>
  <c r="ZV14" i="5" s="1"/>
  <c r="ZU13" i="5"/>
  <c r="ZT13" i="5"/>
  <c r="ZS13" i="5"/>
  <c r="ZS14" i="5" s="1"/>
  <c r="ZR13" i="5"/>
  <c r="ZR14" i="5" s="1"/>
  <c r="ZQ13" i="5"/>
  <c r="ZP13" i="5"/>
  <c r="ZP14" i="5" s="1"/>
  <c r="ZO13" i="5"/>
  <c r="ZO16" i="5" s="1"/>
  <c r="ZN13" i="5"/>
  <c r="ZM13" i="5"/>
  <c r="ZL13" i="5"/>
  <c r="ZK13" i="5"/>
  <c r="ZK14" i="5" s="1"/>
  <c r="ZJ13" i="5"/>
  <c r="ZI13" i="5"/>
  <c r="ZH13" i="5"/>
  <c r="ZG13" i="5"/>
  <c r="ZG16" i="5" s="1"/>
  <c r="ZF13" i="5"/>
  <c r="ZF14" i="5" s="1"/>
  <c r="ZE13" i="5"/>
  <c r="ZD13" i="5"/>
  <c r="ZC13" i="5"/>
  <c r="ZC14" i="5" s="1"/>
  <c r="ZB13" i="5"/>
  <c r="ZB14" i="5" s="1"/>
  <c r="ZA13" i="5"/>
  <c r="YZ13" i="5"/>
  <c r="YZ14" i="5" s="1"/>
  <c r="YY13" i="5"/>
  <c r="YY16" i="5" s="1"/>
  <c r="YX13" i="5"/>
  <c r="YW13" i="5"/>
  <c r="YV13" i="5"/>
  <c r="YU13" i="5"/>
  <c r="YU14" i="5" s="1"/>
  <c r="YT13" i="5"/>
  <c r="YS13" i="5"/>
  <c r="YR13" i="5"/>
  <c r="YQ13" i="5"/>
  <c r="YQ16" i="5" s="1"/>
  <c r="YP13" i="5"/>
  <c r="YP14" i="5" s="1"/>
  <c r="YO13" i="5"/>
  <c r="YN13" i="5"/>
  <c r="YM13" i="5"/>
  <c r="YM14" i="5" s="1"/>
  <c r="YL13" i="5"/>
  <c r="YL14" i="5" s="1"/>
  <c r="YK13" i="5"/>
  <c r="YJ13" i="5"/>
  <c r="YI13" i="5"/>
  <c r="YI16" i="5" s="1"/>
  <c r="YH13" i="5"/>
  <c r="YG13" i="5"/>
  <c r="YF13" i="5"/>
  <c r="YE13" i="5"/>
  <c r="YE14" i="5" s="1"/>
  <c r="YD13" i="5"/>
  <c r="YC13" i="5"/>
  <c r="YB13" i="5"/>
  <c r="YA13" i="5"/>
  <c r="YA16" i="5" s="1"/>
  <c r="XZ13" i="5"/>
  <c r="XZ14" i="5" s="1"/>
  <c r="XY13" i="5"/>
  <c r="XX13" i="5"/>
  <c r="XW13" i="5"/>
  <c r="XW14" i="5" s="1"/>
  <c r="XV13" i="5"/>
  <c r="XV14" i="5" s="1"/>
  <c r="XU13" i="5"/>
  <c r="XT13" i="5"/>
  <c r="XT14" i="5" s="1"/>
  <c r="XS13" i="5"/>
  <c r="XS16" i="5" s="1"/>
  <c r="XR13" i="5"/>
  <c r="XQ13" i="5"/>
  <c r="XP13" i="5"/>
  <c r="XO13" i="5"/>
  <c r="XO14" i="5" s="1"/>
  <c r="XN13" i="5"/>
  <c r="XM13" i="5"/>
  <c r="XL13" i="5"/>
  <c r="XK13" i="5"/>
  <c r="XK16" i="5" s="1"/>
  <c r="XJ13" i="5"/>
  <c r="XJ14" i="5" s="1"/>
  <c r="XI13" i="5"/>
  <c r="XH13" i="5"/>
  <c r="XG13" i="5"/>
  <c r="XG14" i="5" s="1"/>
  <c r="XF13" i="5"/>
  <c r="XF14" i="5" s="1"/>
  <c r="XE13" i="5"/>
  <c r="XD13" i="5"/>
  <c r="XD14" i="5" s="1"/>
  <c r="XC13" i="5"/>
  <c r="XC16" i="5" s="1"/>
  <c r="XB13" i="5"/>
  <c r="XA13" i="5"/>
  <c r="WZ13" i="5"/>
  <c r="WY13" i="5"/>
  <c r="WY14" i="5" s="1"/>
  <c r="WX13" i="5"/>
  <c r="WW13" i="5"/>
  <c r="WV13" i="5"/>
  <c r="WU13" i="5"/>
  <c r="WU16" i="5" s="1"/>
  <c r="WT13" i="5"/>
  <c r="WT14" i="5" s="1"/>
  <c r="WS13" i="5"/>
  <c r="WR13" i="5"/>
  <c r="WQ13" i="5"/>
  <c r="WQ14" i="5" s="1"/>
  <c r="WP13" i="5"/>
  <c r="WP14" i="5" s="1"/>
  <c r="WO13" i="5"/>
  <c r="WN13" i="5"/>
  <c r="WN14" i="5" s="1"/>
  <c r="WM13" i="5"/>
  <c r="WM16" i="5" s="1"/>
  <c r="WL13" i="5"/>
  <c r="WK13" i="5"/>
  <c r="WJ13" i="5"/>
  <c r="WI13" i="5"/>
  <c r="WI14" i="5" s="1"/>
  <c r="WH13" i="5"/>
  <c r="WG13" i="5"/>
  <c r="WF13" i="5"/>
  <c r="WE13" i="5"/>
  <c r="WE16" i="5" s="1"/>
  <c r="WD13" i="5"/>
  <c r="WD14" i="5" s="1"/>
  <c r="WC13" i="5"/>
  <c r="WB13" i="5"/>
  <c r="WA13" i="5"/>
  <c r="WA14" i="5" s="1"/>
  <c r="VZ13" i="5"/>
  <c r="VZ14" i="5" s="1"/>
  <c r="VY13" i="5"/>
  <c r="VX13" i="5"/>
  <c r="VW13" i="5"/>
  <c r="VW16" i="5" s="1"/>
  <c r="VV13" i="5"/>
  <c r="VU13" i="5"/>
  <c r="VT13" i="5"/>
  <c r="VS13" i="5"/>
  <c r="VS14" i="5" s="1"/>
  <c r="VR13" i="5"/>
  <c r="VQ13" i="5"/>
  <c r="VP13" i="5"/>
  <c r="VO13" i="5"/>
  <c r="VO16" i="5" s="1"/>
  <c r="VN13" i="5"/>
  <c r="VN14" i="5" s="1"/>
  <c r="VM13" i="5"/>
  <c r="VL13" i="5"/>
  <c r="VK13" i="5"/>
  <c r="VK14" i="5" s="1"/>
  <c r="VJ13" i="5"/>
  <c r="VJ14" i="5" s="1"/>
  <c r="VI13" i="5"/>
  <c r="VH13" i="5"/>
  <c r="VH14" i="5" s="1"/>
  <c r="VG13" i="5"/>
  <c r="VG16" i="5" s="1"/>
  <c r="VF13" i="5"/>
  <c r="VE13" i="5"/>
  <c r="VD13" i="5"/>
  <c r="VC13" i="5"/>
  <c r="VC14" i="5" s="1"/>
  <c r="VB13" i="5"/>
  <c r="VA13" i="5"/>
  <c r="UZ13" i="5"/>
  <c r="UY13" i="5"/>
  <c r="UY16" i="5" s="1"/>
  <c r="UX13" i="5"/>
  <c r="UX14" i="5" s="1"/>
  <c r="UW13" i="5"/>
  <c r="UV13" i="5"/>
  <c r="UU13" i="5"/>
  <c r="UU14" i="5" s="1"/>
  <c r="UT13" i="5"/>
  <c r="UT14" i="5" s="1"/>
  <c r="US13" i="5"/>
  <c r="UR13" i="5"/>
  <c r="UR14" i="5" s="1"/>
  <c r="UQ13" i="5"/>
  <c r="UQ16" i="5" s="1"/>
  <c r="UP13" i="5"/>
  <c r="UO13" i="5"/>
  <c r="UN13" i="5"/>
  <c r="UM13" i="5"/>
  <c r="UM14" i="5" s="1"/>
  <c r="UL13" i="5"/>
  <c r="UK13" i="5"/>
  <c r="UJ13" i="5"/>
  <c r="UI13" i="5"/>
  <c r="UI16" i="5" s="1"/>
  <c r="UH13" i="5"/>
  <c r="UH14" i="5" s="1"/>
  <c r="UG13" i="5"/>
  <c r="UF13" i="5"/>
  <c r="UE13" i="5"/>
  <c r="UE14" i="5" s="1"/>
  <c r="UD13" i="5"/>
  <c r="UD14" i="5" s="1"/>
  <c r="UC13" i="5"/>
  <c r="UB13" i="5"/>
  <c r="UB14" i="5" s="1"/>
  <c r="UA13" i="5"/>
  <c r="UA16" i="5" s="1"/>
  <c r="TZ13" i="5"/>
  <c r="TY13" i="5"/>
  <c r="TX13" i="5"/>
  <c r="TW13" i="5"/>
  <c r="TW14" i="5" s="1"/>
  <c r="TV13" i="5"/>
  <c r="TU13" i="5"/>
  <c r="TT13" i="5"/>
  <c r="TS13" i="5"/>
  <c r="TS16" i="5" s="1"/>
  <c r="TR13" i="5"/>
  <c r="TR14" i="5" s="1"/>
  <c r="TQ13" i="5"/>
  <c r="TP13" i="5"/>
  <c r="TO13" i="5"/>
  <c r="TO14" i="5" s="1"/>
  <c r="TN13" i="5"/>
  <c r="TN14" i="5" s="1"/>
  <c r="TM13" i="5"/>
  <c r="TL13" i="5"/>
  <c r="TK13" i="5"/>
  <c r="TK16" i="5" s="1"/>
  <c r="TJ13" i="5"/>
  <c r="TI13" i="5"/>
  <c r="TH13" i="5"/>
  <c r="TG13" i="5"/>
  <c r="TG14" i="5" s="1"/>
  <c r="TF13" i="5"/>
  <c r="TF15" i="5" s="1"/>
  <c r="TE13" i="5"/>
  <c r="TD13" i="5"/>
  <c r="TC13" i="5"/>
  <c r="TC16" i="5" s="1"/>
  <c r="TB13" i="5"/>
  <c r="TB14" i="5" s="1"/>
  <c r="TA13" i="5"/>
  <c r="SZ13" i="5"/>
  <c r="SY13" i="5"/>
  <c r="SY14" i="5" s="1"/>
  <c r="SX13" i="5"/>
  <c r="SX14" i="5" s="1"/>
  <c r="SW13" i="5"/>
  <c r="SV13" i="5"/>
  <c r="SV14" i="5" s="1"/>
  <c r="SU13" i="5"/>
  <c r="SU14" i="5" s="1"/>
  <c r="ST13" i="5"/>
  <c r="SS13" i="5"/>
  <c r="SR13" i="5"/>
  <c r="SQ13" i="5"/>
  <c r="SQ14" i="5" s="1"/>
  <c r="SP13" i="5"/>
  <c r="SO13" i="5"/>
  <c r="SN13" i="5"/>
  <c r="SM13" i="5"/>
  <c r="SM16" i="5" s="1"/>
  <c r="SL13" i="5"/>
  <c r="SL14" i="5" s="1"/>
  <c r="SK13" i="5"/>
  <c r="SJ13" i="5"/>
  <c r="SI13" i="5"/>
  <c r="SI14" i="5" s="1"/>
  <c r="SH13" i="5"/>
  <c r="SH14" i="5" s="1"/>
  <c r="SG13" i="5"/>
  <c r="SF13" i="5"/>
  <c r="SF14" i="5" s="1"/>
  <c r="SE13" i="5"/>
  <c r="SE16" i="5" s="1"/>
  <c r="SD13" i="5"/>
  <c r="SC13" i="5"/>
  <c r="SB13" i="5"/>
  <c r="SA13" i="5"/>
  <c r="SA14" i="5" s="1"/>
  <c r="RZ13" i="5"/>
  <c r="RY13" i="5"/>
  <c r="RX13" i="5"/>
  <c r="RW13" i="5"/>
  <c r="RW16" i="5" s="1"/>
  <c r="RV13" i="5"/>
  <c r="RV14" i="5" s="1"/>
  <c r="RU13" i="5"/>
  <c r="RT13" i="5"/>
  <c r="RS13" i="5"/>
  <c r="RS14" i="5" s="1"/>
  <c r="RR13" i="5"/>
  <c r="RR14" i="5" s="1"/>
  <c r="RQ13" i="5"/>
  <c r="RP13" i="5"/>
  <c r="RP14" i="5" s="1"/>
  <c r="RO13" i="5"/>
  <c r="RO16" i="5" s="1"/>
  <c r="RN13" i="5"/>
  <c r="RM13" i="5"/>
  <c r="RL13" i="5"/>
  <c r="RK13" i="5"/>
  <c r="RK14" i="5" s="1"/>
  <c r="RJ13" i="5"/>
  <c r="RI13" i="5"/>
  <c r="RH13" i="5"/>
  <c r="RG13" i="5"/>
  <c r="RG16" i="5" s="1"/>
  <c r="RF13" i="5"/>
  <c r="RF14" i="5" s="1"/>
  <c r="RE13" i="5"/>
  <c r="RD13" i="5"/>
  <c r="RC13" i="5"/>
  <c r="RC14" i="5" s="1"/>
  <c r="RB13" i="5"/>
  <c r="RB14" i="5" s="1"/>
  <c r="RA13" i="5"/>
  <c r="QZ13" i="5"/>
  <c r="QY13" i="5"/>
  <c r="QY16" i="5" s="1"/>
  <c r="QX13" i="5"/>
  <c r="QW13" i="5"/>
  <c r="QV13" i="5"/>
  <c r="QU13" i="5"/>
  <c r="QU14" i="5" s="1"/>
  <c r="QT13" i="5"/>
  <c r="QS13" i="5"/>
  <c r="QR13" i="5"/>
  <c r="QQ13" i="5"/>
  <c r="QQ16" i="5" s="1"/>
  <c r="QP13" i="5"/>
  <c r="QP14" i="5" s="1"/>
  <c r="QO13" i="5"/>
  <c r="QN13" i="5"/>
  <c r="QM13" i="5"/>
  <c r="QM14" i="5" s="1"/>
  <c r="QL13" i="5"/>
  <c r="QL14" i="5" s="1"/>
  <c r="QK13" i="5"/>
  <c r="QJ13" i="5"/>
  <c r="QJ14" i="5" s="1"/>
  <c r="QI13" i="5"/>
  <c r="QI16" i="5" s="1"/>
  <c r="QH13" i="5"/>
  <c r="QG13" i="5"/>
  <c r="QF13" i="5"/>
  <c r="QE13" i="5"/>
  <c r="QE14" i="5" s="1"/>
  <c r="QD13" i="5"/>
  <c r="QC13" i="5"/>
  <c r="QB13" i="5"/>
  <c r="QA13" i="5"/>
  <c r="QA16" i="5" s="1"/>
  <c r="PZ13" i="5"/>
  <c r="PZ14" i="5" s="1"/>
  <c r="PY13" i="5"/>
  <c r="PX13" i="5"/>
  <c r="PW13" i="5"/>
  <c r="PW14" i="5" s="1"/>
  <c r="PV13" i="5"/>
  <c r="PV14" i="5" s="1"/>
  <c r="PU13" i="5"/>
  <c r="PT13" i="5"/>
  <c r="PT14" i="5" s="1"/>
  <c r="PS13" i="5"/>
  <c r="PS16" i="5" s="1"/>
  <c r="PR13" i="5"/>
  <c r="PQ13" i="5"/>
  <c r="PP13" i="5"/>
  <c r="PO13" i="5"/>
  <c r="PO14" i="5" s="1"/>
  <c r="PN13" i="5"/>
  <c r="PN15" i="5" s="1"/>
  <c r="PM13" i="5"/>
  <c r="PL13" i="5"/>
  <c r="PK13" i="5"/>
  <c r="PK16" i="5" s="1"/>
  <c r="PJ13" i="5"/>
  <c r="PJ14" i="5" s="1"/>
  <c r="PI13" i="5"/>
  <c r="PH13" i="5"/>
  <c r="PG13" i="5"/>
  <c r="PG14" i="5" s="1"/>
  <c r="PF13" i="5"/>
  <c r="PF14" i="5" s="1"/>
  <c r="PE13" i="5"/>
  <c r="PD13" i="5"/>
  <c r="PD14" i="5" s="1"/>
  <c r="PC13" i="5"/>
  <c r="PC16" i="5" s="1"/>
  <c r="PB13" i="5"/>
  <c r="PA13" i="5"/>
  <c r="OZ13" i="5"/>
  <c r="OY13" i="5"/>
  <c r="OY14" i="5" s="1"/>
  <c r="OX13" i="5"/>
  <c r="OW13" i="5"/>
  <c r="OV13" i="5"/>
  <c r="OU13" i="5"/>
  <c r="OU16" i="5" s="1"/>
  <c r="OT13" i="5"/>
  <c r="OT14" i="5" s="1"/>
  <c r="OS13" i="5"/>
  <c r="OR13" i="5"/>
  <c r="OQ13" i="5"/>
  <c r="OQ14" i="5" s="1"/>
  <c r="OP13" i="5"/>
  <c r="OP14" i="5" s="1"/>
  <c r="OO13" i="5"/>
  <c r="ON13" i="5"/>
  <c r="OM13" i="5"/>
  <c r="OM16" i="5" s="1"/>
  <c r="OL13" i="5"/>
  <c r="OK13" i="5"/>
  <c r="OJ13" i="5"/>
  <c r="OI13" i="5"/>
  <c r="OI14" i="5" s="1"/>
  <c r="OH13" i="5"/>
  <c r="OG13" i="5"/>
  <c r="OF13" i="5"/>
  <c r="OE13" i="5"/>
  <c r="OE16" i="5" s="1"/>
  <c r="OD13" i="5"/>
  <c r="OD14" i="5" s="1"/>
  <c r="OC13" i="5"/>
  <c r="OB13" i="5"/>
  <c r="OA13" i="5"/>
  <c r="OA14" i="5" s="1"/>
  <c r="NZ13" i="5"/>
  <c r="NZ14" i="5" s="1"/>
  <c r="NY13" i="5"/>
  <c r="NX13" i="5"/>
  <c r="NX14" i="5" s="1"/>
  <c r="NW13" i="5"/>
  <c r="NW16" i="5" s="1"/>
  <c r="NV13" i="5"/>
  <c r="NU13" i="5"/>
  <c r="NT13" i="5"/>
  <c r="NS13" i="5"/>
  <c r="NS14" i="5" s="1"/>
  <c r="NR13" i="5"/>
  <c r="NQ13" i="5"/>
  <c r="NP13" i="5"/>
  <c r="NO13" i="5"/>
  <c r="NO16" i="5" s="1"/>
  <c r="NN13" i="5"/>
  <c r="NN14" i="5" s="1"/>
  <c r="NM13" i="5"/>
  <c r="NL13" i="5"/>
  <c r="NK13" i="5"/>
  <c r="NK14" i="5" s="1"/>
  <c r="NJ13" i="5"/>
  <c r="NJ14" i="5" s="1"/>
  <c r="NI13" i="5"/>
  <c r="NH13" i="5"/>
  <c r="NH14" i="5" s="1"/>
  <c r="NG13" i="5"/>
  <c r="NG16" i="5" s="1"/>
  <c r="NF13" i="5"/>
  <c r="NE13" i="5"/>
  <c r="ND13" i="5"/>
  <c r="NC13" i="5"/>
  <c r="NC14" i="5" s="1"/>
  <c r="NB13" i="5"/>
  <c r="NA13" i="5"/>
  <c r="MZ13" i="5"/>
  <c r="MY13" i="5"/>
  <c r="MY16" i="5" s="1"/>
  <c r="MX13" i="5"/>
  <c r="MX14" i="5" s="1"/>
  <c r="MW13" i="5"/>
  <c r="MV13" i="5"/>
  <c r="MU13" i="5"/>
  <c r="MU14" i="5" s="1"/>
  <c r="MT13" i="5"/>
  <c r="MT14" i="5" s="1"/>
  <c r="MS13" i="5"/>
  <c r="MR13" i="5"/>
  <c r="MR14" i="5" s="1"/>
  <c r="MQ13" i="5"/>
  <c r="MQ14" i="5" s="1"/>
  <c r="MP13" i="5"/>
  <c r="MO13" i="5"/>
  <c r="MN13" i="5"/>
  <c r="MM13" i="5"/>
  <c r="MM14" i="5" s="1"/>
  <c r="ML13" i="5"/>
  <c r="MK13" i="5"/>
  <c r="MJ13" i="5"/>
  <c r="MI13" i="5"/>
  <c r="MI16" i="5" s="1"/>
  <c r="MH13" i="5"/>
  <c r="MH14" i="5" s="1"/>
  <c r="MG13" i="5"/>
  <c r="MG16" i="5" s="1"/>
  <c r="MF13" i="5"/>
  <c r="ME13" i="5"/>
  <c r="ME14" i="5" s="1"/>
  <c r="MD13" i="5"/>
  <c r="MD14" i="5" s="1"/>
  <c r="MC13" i="5"/>
  <c r="MB13" i="5"/>
  <c r="MA13" i="5"/>
  <c r="MA16" i="5" s="1"/>
  <c r="LZ13" i="5"/>
  <c r="LY13" i="5"/>
  <c r="LX13" i="5"/>
  <c r="LW13" i="5"/>
  <c r="LW14" i="5" s="1"/>
  <c r="LV13" i="5"/>
  <c r="LU13" i="5"/>
  <c r="LT13" i="5"/>
  <c r="LS13" i="5"/>
  <c r="LS16" i="5" s="1"/>
  <c r="LR13" i="5"/>
  <c r="LR14" i="5" s="1"/>
  <c r="LQ13" i="5"/>
  <c r="LP13" i="5"/>
  <c r="LO13" i="5"/>
  <c r="LO14" i="5" s="1"/>
  <c r="LN13" i="5"/>
  <c r="LN14" i="5" s="1"/>
  <c r="LM13" i="5"/>
  <c r="LL13" i="5"/>
  <c r="LL16" i="5" s="1"/>
  <c r="LK13" i="5"/>
  <c r="LJ13" i="5"/>
  <c r="LI13" i="5"/>
  <c r="LH13" i="5"/>
  <c r="LG13" i="5"/>
  <c r="LG16" i="5" s="1"/>
  <c r="LF13" i="5"/>
  <c r="LE13" i="5"/>
  <c r="LD13" i="5"/>
  <c r="LC13" i="5"/>
  <c r="LC16" i="5" s="1"/>
  <c r="LB13" i="5"/>
  <c r="LB16" i="5" s="1"/>
  <c r="LA13" i="5"/>
  <c r="KZ13" i="5"/>
  <c r="KY13" i="5"/>
  <c r="KY16" i="5" s="1"/>
  <c r="KX13" i="5"/>
  <c r="KX16" i="5" s="1"/>
  <c r="KW13" i="5"/>
  <c r="KV13" i="5"/>
  <c r="KV14" i="5" s="1"/>
  <c r="KU13" i="5"/>
  <c r="KU16" i="5" s="1"/>
  <c r="KT13" i="5"/>
  <c r="KT16" i="5" s="1"/>
  <c r="KS13" i="5"/>
  <c r="KR13" i="5"/>
  <c r="KQ13" i="5"/>
  <c r="KQ16" i="5" s="1"/>
  <c r="KP13" i="5"/>
  <c r="KP16" i="5" s="1"/>
  <c r="KO13" i="5"/>
  <c r="KN13" i="5"/>
  <c r="KM13" i="5"/>
  <c r="KM16" i="5" s="1"/>
  <c r="KL13" i="5"/>
  <c r="KL16" i="5" s="1"/>
  <c r="KK13" i="5"/>
  <c r="KJ13" i="5"/>
  <c r="KI13" i="5"/>
  <c r="KI16" i="5" s="1"/>
  <c r="KH13" i="5"/>
  <c r="KH16" i="5" s="1"/>
  <c r="KG13" i="5"/>
  <c r="KF13" i="5"/>
  <c r="KF14" i="5" s="1"/>
  <c r="KE13" i="5"/>
  <c r="KE16" i="5" s="1"/>
  <c r="KD13" i="5"/>
  <c r="KD16" i="5" s="1"/>
  <c r="KC13" i="5"/>
  <c r="KB13" i="5"/>
  <c r="KA13" i="5"/>
  <c r="KA16" i="5" s="1"/>
  <c r="JZ13" i="5"/>
  <c r="JZ16" i="5" s="1"/>
  <c r="JY13" i="5"/>
  <c r="JX13" i="5"/>
  <c r="JW13" i="5"/>
  <c r="JW16" i="5" s="1"/>
  <c r="JV13" i="5"/>
  <c r="JV16" i="5" s="1"/>
  <c r="JU13" i="5"/>
  <c r="JT13" i="5"/>
  <c r="JS13" i="5"/>
  <c r="JS16" i="5" s="1"/>
  <c r="JR13" i="5"/>
  <c r="JR16" i="5" s="1"/>
  <c r="JQ13" i="5"/>
  <c r="JP13" i="5"/>
  <c r="JO13" i="5"/>
  <c r="JO16" i="5" s="1"/>
  <c r="JN13" i="5"/>
  <c r="JN16" i="5" s="1"/>
  <c r="JM13" i="5"/>
  <c r="JL13" i="5"/>
  <c r="JK13" i="5"/>
  <c r="JK16" i="5" s="1"/>
  <c r="JJ13" i="5"/>
  <c r="JJ16" i="5" s="1"/>
  <c r="JI13" i="5"/>
  <c r="JH13" i="5"/>
  <c r="JG13" i="5"/>
  <c r="JG16" i="5" s="1"/>
  <c r="JF13" i="5"/>
  <c r="JF16" i="5" s="1"/>
  <c r="JE13" i="5"/>
  <c r="JD13" i="5"/>
  <c r="JC13" i="5"/>
  <c r="JC16" i="5" s="1"/>
  <c r="JB13" i="5"/>
  <c r="JB16" i="5" s="1"/>
  <c r="JA13" i="5"/>
  <c r="IZ13" i="5"/>
  <c r="IZ14" i="5" s="1"/>
  <c r="IY13" i="5"/>
  <c r="IY14" i="5" s="1"/>
  <c r="IX13" i="5"/>
  <c r="IX16" i="5" s="1"/>
  <c r="IW13" i="5"/>
  <c r="IV13" i="5"/>
  <c r="IU13" i="5"/>
  <c r="IU16" i="5" s="1"/>
  <c r="IT13" i="5"/>
  <c r="IT16" i="5" s="1"/>
  <c r="IS13" i="5"/>
  <c r="IR13" i="5"/>
  <c r="IQ13" i="5"/>
  <c r="IQ16" i="5" s="1"/>
  <c r="IP13" i="5"/>
  <c r="IP16" i="5" s="1"/>
  <c r="IO13" i="5"/>
  <c r="IN13" i="5"/>
  <c r="IM13" i="5"/>
  <c r="IM16" i="5" s="1"/>
  <c r="IL13" i="5"/>
  <c r="IL16" i="5" s="1"/>
  <c r="IK13" i="5"/>
  <c r="IJ13" i="5"/>
  <c r="IJ14" i="5" s="1"/>
  <c r="II13" i="5"/>
  <c r="II16" i="5" s="1"/>
  <c r="IH13" i="5"/>
  <c r="IH16" i="5" s="1"/>
  <c r="IG13" i="5"/>
  <c r="IF13" i="5"/>
  <c r="IE13" i="5"/>
  <c r="IE16" i="5" s="1"/>
  <c r="ID13" i="5"/>
  <c r="ID16" i="5" s="1"/>
  <c r="IC13" i="5"/>
  <c r="IB13" i="5"/>
  <c r="IA13" i="5"/>
  <c r="IA16" i="5" s="1"/>
  <c r="HZ13" i="5"/>
  <c r="HZ16" i="5" s="1"/>
  <c r="HY13" i="5"/>
  <c r="HX13" i="5"/>
  <c r="HW13" i="5"/>
  <c r="HW16" i="5" s="1"/>
  <c r="HV13" i="5"/>
  <c r="HV16" i="5" s="1"/>
  <c r="HU13" i="5"/>
  <c r="HT13" i="5"/>
  <c r="HT14" i="5" s="1"/>
  <c r="HS13" i="5"/>
  <c r="HS16" i="5" s="1"/>
  <c r="HR13" i="5"/>
  <c r="HR16" i="5" s="1"/>
  <c r="HQ13" i="5"/>
  <c r="HP13" i="5"/>
  <c r="HO13" i="5"/>
  <c r="HO16" i="5" s="1"/>
  <c r="HN13" i="5"/>
  <c r="HN16" i="5" s="1"/>
  <c r="HM13" i="5"/>
  <c r="HL13" i="5"/>
  <c r="HK13" i="5"/>
  <c r="HK16" i="5" s="1"/>
  <c r="HJ13" i="5"/>
  <c r="HJ16" i="5" s="1"/>
  <c r="HI13" i="5"/>
  <c r="HH13" i="5"/>
  <c r="HG13" i="5"/>
  <c r="HG16" i="5" s="1"/>
  <c r="HF13" i="5"/>
  <c r="HF16" i="5" s="1"/>
  <c r="HE13" i="5"/>
  <c r="HD13" i="5"/>
  <c r="HC13" i="5"/>
  <c r="HC14" i="5" s="1"/>
  <c r="HB13" i="5"/>
  <c r="HB16" i="5" s="1"/>
  <c r="HA13" i="5"/>
  <c r="GZ13" i="5"/>
  <c r="GY13" i="5"/>
  <c r="GY16" i="5" s="1"/>
  <c r="GX13" i="5"/>
  <c r="GX16" i="5" s="1"/>
  <c r="GW13" i="5"/>
  <c r="GV13" i="5"/>
  <c r="GU13" i="5"/>
  <c r="GU16" i="5" s="1"/>
  <c r="F40" i="5" s="1"/>
  <c r="GT13" i="5"/>
  <c r="GT16" i="5" s="1"/>
  <c r="GS13" i="5"/>
  <c r="GR13" i="5"/>
  <c r="GQ13" i="5"/>
  <c r="GQ16" i="5" s="1"/>
  <c r="GP13" i="5"/>
  <c r="GP16" i="5" s="1"/>
  <c r="GO13" i="5"/>
  <c r="GN13" i="5"/>
  <c r="GN14" i="5" s="1"/>
  <c r="GM13" i="5"/>
  <c r="GM16" i="5" s="1"/>
  <c r="GL13" i="5"/>
  <c r="GL16" i="5" s="1"/>
  <c r="GK13" i="5"/>
  <c r="GJ13" i="5"/>
  <c r="GI13" i="5"/>
  <c r="GI16" i="5" s="1"/>
  <c r="GH13" i="5"/>
  <c r="GH14" i="5" s="1"/>
  <c r="GG13" i="5"/>
  <c r="GF13" i="5"/>
  <c r="GE13" i="5"/>
  <c r="GE16" i="5" s="1"/>
  <c r="GD13" i="5"/>
  <c r="GD16" i="5" s="1"/>
  <c r="GC13" i="5"/>
  <c r="GB13" i="5"/>
  <c r="GA13" i="5"/>
  <c r="GA16" i="5" s="1"/>
  <c r="FZ13" i="5"/>
  <c r="FZ16" i="5" s="1"/>
  <c r="FY13" i="5"/>
  <c r="FX13" i="5"/>
  <c r="FX14" i="5" s="1"/>
  <c r="FW13" i="5"/>
  <c r="FW16" i="5" s="1"/>
  <c r="FV13" i="5"/>
  <c r="FV16" i="5" s="1"/>
  <c r="FU13" i="5"/>
  <c r="FT13" i="5"/>
  <c r="FT14" i="5" s="1"/>
  <c r="FS13" i="5"/>
  <c r="FS16" i="5" s="1"/>
  <c r="FR13" i="5"/>
  <c r="FR16" i="5" s="1"/>
  <c r="FQ13" i="5"/>
  <c r="FP13" i="5"/>
  <c r="FO13" i="5"/>
  <c r="FO16" i="5" s="1"/>
  <c r="FN13" i="5"/>
  <c r="FN16" i="5" s="1"/>
  <c r="FM13" i="5"/>
  <c r="FL13" i="5"/>
  <c r="FL14" i="5" s="1"/>
  <c r="FK13" i="5"/>
  <c r="FK16" i="5" s="1"/>
  <c r="FJ13" i="5"/>
  <c r="FJ16" i="5" s="1"/>
  <c r="FI13" i="5"/>
  <c r="FH13" i="5"/>
  <c r="FH14" i="5" s="1"/>
  <c r="FG13" i="5"/>
  <c r="FG16" i="5" s="1"/>
  <c r="FF13" i="5"/>
  <c r="FF16" i="5" s="1"/>
  <c r="FE13" i="5"/>
  <c r="FD13" i="5"/>
  <c r="FD14" i="5" s="1"/>
  <c r="FC13" i="5"/>
  <c r="FC16" i="5" s="1"/>
  <c r="FB13" i="5"/>
  <c r="FB16" i="5" s="1"/>
  <c r="FA13" i="5"/>
  <c r="EZ13" i="5"/>
  <c r="EY13" i="5"/>
  <c r="EY16" i="5" s="1"/>
  <c r="EX13" i="5"/>
  <c r="EX16" i="5" s="1"/>
  <c r="EW13" i="5"/>
  <c r="EV13" i="5"/>
  <c r="EV14" i="5" s="1"/>
  <c r="EU13" i="5"/>
  <c r="EU16" i="5" s="1"/>
  <c r="ET13" i="5"/>
  <c r="ET15" i="5" s="1"/>
  <c r="ES13" i="5"/>
  <c r="ER13" i="5"/>
  <c r="ER14" i="5" s="1"/>
  <c r="EQ13" i="5"/>
  <c r="EQ14" i="5" s="1"/>
  <c r="EP13" i="5"/>
  <c r="EP16" i="5" s="1"/>
  <c r="EO13" i="5"/>
  <c r="EN13" i="5"/>
  <c r="EN14" i="5" s="1"/>
  <c r="EM13" i="5"/>
  <c r="EM16" i="5" s="1"/>
  <c r="EL13" i="5"/>
  <c r="EL16" i="5" s="1"/>
  <c r="EK13" i="5"/>
  <c r="EJ13" i="5"/>
  <c r="EI13" i="5"/>
  <c r="EI16" i="5" s="1"/>
  <c r="EH13" i="5"/>
  <c r="EH16" i="5" s="1"/>
  <c r="EG13" i="5"/>
  <c r="EF13" i="5"/>
  <c r="EF14" i="5" s="1"/>
  <c r="EE13" i="5"/>
  <c r="EE16" i="5" s="1"/>
  <c r="ED13" i="5"/>
  <c r="ED16" i="5" s="1"/>
  <c r="EC13" i="5"/>
  <c r="EB13" i="5"/>
  <c r="EB14" i="5" s="1"/>
  <c r="EA13" i="5"/>
  <c r="EA16" i="5" s="1"/>
  <c r="DZ13" i="5"/>
  <c r="DZ16" i="5" s="1"/>
  <c r="DY13" i="5"/>
  <c r="DX13" i="5"/>
  <c r="DX14" i="5" s="1"/>
  <c r="DW13" i="5"/>
  <c r="DW16" i="5" s="1"/>
  <c r="DV13" i="5"/>
  <c r="DV16" i="5" s="1"/>
  <c r="DU13" i="5"/>
  <c r="DT13" i="5"/>
  <c r="DS13" i="5"/>
  <c r="DS16" i="5" s="1"/>
  <c r="DR13" i="5"/>
  <c r="DR16" i="5" s="1"/>
  <c r="DQ13" i="5"/>
  <c r="DP13" i="5"/>
  <c r="DP14" i="5" s="1"/>
  <c r="DO13" i="5"/>
  <c r="DO16" i="5" s="1"/>
  <c r="DN13" i="5"/>
  <c r="DN16" i="5" s="1"/>
  <c r="DM13" i="5"/>
  <c r="DL13" i="5"/>
  <c r="DL14" i="5" s="1"/>
  <c r="DK13" i="5"/>
  <c r="DK16" i="5" s="1"/>
  <c r="DJ13" i="5"/>
  <c r="DJ16" i="5" s="1"/>
  <c r="DI13" i="5"/>
  <c r="DH13" i="5"/>
  <c r="DH14" i="5" s="1"/>
  <c r="DG13" i="5"/>
  <c r="DG16" i="5" s="1"/>
  <c r="DF13" i="5"/>
  <c r="DF16" i="5" s="1"/>
  <c r="DE13" i="5"/>
  <c r="DD13" i="5"/>
  <c r="DC13" i="5"/>
  <c r="DC14" i="5" s="1"/>
  <c r="DB13" i="5"/>
  <c r="DB16" i="5" s="1"/>
  <c r="DA13" i="5"/>
  <c r="DA16" i="5" s="1"/>
  <c r="CZ13" i="5"/>
  <c r="CZ14" i="5" s="1"/>
  <c r="CY13" i="5"/>
  <c r="CY16" i="5" s="1"/>
  <c r="CX13" i="5"/>
  <c r="CX16" i="5" s="1"/>
  <c r="CW13" i="5"/>
  <c r="CV13" i="5"/>
  <c r="CV14" i="5" s="1"/>
  <c r="CU13" i="5"/>
  <c r="CU16" i="5" s="1"/>
  <c r="CT13" i="5"/>
  <c r="CT16" i="5" s="1"/>
  <c r="CS13" i="5"/>
  <c r="CR13" i="5"/>
  <c r="CR14" i="5" s="1"/>
  <c r="CQ13" i="5"/>
  <c r="CQ16" i="5" s="1"/>
  <c r="CP13" i="5"/>
  <c r="CP16" i="5" s="1"/>
  <c r="CO13" i="5"/>
  <c r="CN13" i="5"/>
  <c r="CM13" i="5"/>
  <c r="CM16" i="5" s="1"/>
  <c r="CL13" i="5"/>
  <c r="CL16" i="5" s="1"/>
  <c r="CK13" i="5"/>
  <c r="CJ13" i="5"/>
  <c r="CJ14" i="5" s="1"/>
  <c r="CI13" i="5"/>
  <c r="CI16" i="5" s="1"/>
  <c r="CH13" i="5"/>
  <c r="CH16" i="5" s="1"/>
  <c r="CG13" i="5"/>
  <c r="CF13" i="5"/>
  <c r="CF14" i="5" s="1"/>
  <c r="CE13" i="5"/>
  <c r="CE14" i="5" s="1"/>
  <c r="CD13" i="5"/>
  <c r="CD16" i="5" s="1"/>
  <c r="CC13" i="5"/>
  <c r="CB13" i="5"/>
  <c r="CB14" i="5" s="1"/>
  <c r="CA13" i="5"/>
  <c r="CA16" i="5" s="1"/>
  <c r="BZ13" i="5"/>
  <c r="BZ16" i="5" s="1"/>
  <c r="BY13" i="5"/>
  <c r="BX13" i="5"/>
  <c r="BW13" i="5"/>
  <c r="BW16" i="5" s="1"/>
  <c r="BV13" i="5"/>
  <c r="BV16" i="5" s="1"/>
  <c r="BU13" i="5"/>
  <c r="BT13" i="5"/>
  <c r="BT14" i="5" s="1"/>
  <c r="BS13" i="5"/>
  <c r="BS16" i="5" s="1"/>
  <c r="BR13" i="5"/>
  <c r="BR16" i="5" s="1"/>
  <c r="BQ13" i="5"/>
  <c r="BP13" i="5"/>
  <c r="BP14" i="5" s="1"/>
  <c r="BO13" i="5"/>
  <c r="BO16" i="5" s="1"/>
  <c r="BN13" i="5"/>
  <c r="BN16" i="5" s="1"/>
  <c r="BM13" i="5"/>
  <c r="BL13" i="5"/>
  <c r="BL14" i="5" s="1"/>
  <c r="BK13" i="5"/>
  <c r="BK16" i="5" s="1"/>
  <c r="BJ13" i="5"/>
  <c r="BJ15" i="5" s="1"/>
  <c r="BI13" i="5"/>
  <c r="BH13" i="5"/>
  <c r="BG13" i="5"/>
  <c r="BG16" i="5" s="1"/>
  <c r="BF13" i="5"/>
  <c r="BF16" i="5" s="1"/>
  <c r="BE13" i="5"/>
  <c r="BD13" i="5"/>
  <c r="BD14" i="5" s="1"/>
  <c r="BC13" i="5"/>
  <c r="BC16" i="5" s="1"/>
  <c r="BB13" i="5"/>
  <c r="BB16" i="5" s="1"/>
  <c r="BA13" i="5"/>
  <c r="AZ13" i="5"/>
  <c r="AZ14" i="5" s="1"/>
  <c r="AY13" i="5"/>
  <c r="AY16" i="5" s="1"/>
  <c r="AX13" i="5"/>
  <c r="AX16" i="5" s="1"/>
  <c r="AW13" i="5"/>
  <c r="AV13" i="5"/>
  <c r="AV14" i="5" s="1"/>
  <c r="AU13" i="5"/>
  <c r="AU16" i="5" s="1"/>
  <c r="AT13" i="5"/>
  <c r="AT16" i="5" s="1"/>
  <c r="AS13" i="5"/>
  <c r="AR13" i="5"/>
  <c r="AQ13" i="5"/>
  <c r="AQ16" i="5" s="1"/>
  <c r="AP13" i="5"/>
  <c r="AP16" i="5" s="1"/>
  <c r="AO13" i="5"/>
  <c r="AN13" i="5"/>
  <c r="AN14" i="5" s="1"/>
  <c r="AM13" i="5"/>
  <c r="AM16" i="5" s="1"/>
  <c r="AL13" i="5"/>
  <c r="AL16" i="5" s="1"/>
  <c r="AK13" i="5"/>
  <c r="AJ13" i="5"/>
  <c r="AJ14" i="5" s="1"/>
  <c r="AI13" i="5"/>
  <c r="AI16" i="5" s="1"/>
  <c r="AH13" i="5"/>
  <c r="AH16" i="5" s="1"/>
  <c r="AG13" i="5"/>
  <c r="AF13" i="5"/>
  <c r="AF14" i="5" s="1"/>
  <c r="AE13" i="5"/>
  <c r="AE16" i="5" s="1"/>
  <c r="AD13" i="5"/>
  <c r="AD16" i="5" s="1"/>
  <c r="AC13" i="5"/>
  <c r="AB13" i="5"/>
  <c r="AA13" i="5"/>
  <c r="AA16" i="5" s="1"/>
  <c r="Z13" i="5"/>
  <c r="Z14" i="5" s="1"/>
  <c r="Y13" i="5"/>
  <c r="X13" i="5"/>
  <c r="X14" i="5" s="1"/>
  <c r="W13" i="5"/>
  <c r="W16" i="5" s="1"/>
  <c r="V13" i="5"/>
  <c r="V16" i="5" s="1"/>
  <c r="U13" i="5"/>
  <c r="T13" i="5"/>
  <c r="T14" i="5" s="1"/>
  <c r="S13" i="5"/>
  <c r="S16" i="5" s="1"/>
  <c r="R13" i="5"/>
  <c r="R16" i="5" s="1"/>
  <c r="Q13" i="5"/>
  <c r="P13" i="5"/>
  <c r="P14" i="5" s="1"/>
  <c r="O13" i="5"/>
  <c r="O16" i="5" s="1"/>
  <c r="N13" i="5"/>
  <c r="N16" i="5" s="1"/>
  <c r="M13" i="5"/>
  <c r="L13" i="5"/>
  <c r="K13" i="5"/>
  <c r="K16" i="5" s="1"/>
  <c r="J13" i="5"/>
  <c r="J16" i="5" s="1"/>
  <c r="I13" i="5"/>
  <c r="H13" i="5"/>
  <c r="H14" i="5" s="1"/>
  <c r="G13" i="5"/>
  <c r="G16" i="5" s="1"/>
  <c r="F13" i="5"/>
  <c r="F16" i="5" s="1"/>
  <c r="E13" i="5"/>
  <c r="D13" i="5"/>
  <c r="D14" i="5" s="1"/>
  <c r="C13" i="5"/>
  <c r="C16" i="5" s="1"/>
  <c r="B13" i="5"/>
  <c r="B16" i="5" s="1"/>
  <c r="AHA12" i="5"/>
  <c r="AGZ12" i="5"/>
  <c r="AGY12" i="5"/>
  <c r="AGX12" i="5"/>
  <c r="AGW12" i="5"/>
  <c r="AGV12" i="5"/>
  <c r="AGU12" i="5"/>
  <c r="AGT12" i="5"/>
  <c r="AGS12" i="5"/>
  <c r="AGR12" i="5"/>
  <c r="AGQ12" i="5"/>
  <c r="AGP12" i="5"/>
  <c r="AGO12" i="5"/>
  <c r="AGN12" i="5"/>
  <c r="AGM12" i="5"/>
  <c r="AGL12" i="5"/>
  <c r="AGK12" i="5"/>
  <c r="AGJ12" i="5"/>
  <c r="AGI12" i="5"/>
  <c r="AGH12" i="5"/>
  <c r="AGG12" i="5"/>
  <c r="AGF12" i="5"/>
  <c r="AGE12" i="5"/>
  <c r="AGD12" i="5"/>
  <c r="AGC12" i="5"/>
  <c r="AGB12" i="5"/>
  <c r="AGA12" i="5"/>
  <c r="AFZ12" i="5"/>
  <c r="AFY12" i="5"/>
  <c r="AFX12" i="5"/>
  <c r="AFW12" i="5"/>
  <c r="AFV12" i="5"/>
  <c r="AFU12" i="5"/>
  <c r="AFT12" i="5"/>
  <c r="AFS12" i="5"/>
  <c r="AFR12" i="5"/>
  <c r="AFQ12" i="5"/>
  <c r="AFP12" i="5"/>
  <c r="AFO12" i="5"/>
  <c r="AFN12" i="5"/>
  <c r="AFM12" i="5"/>
  <c r="AFL12" i="5"/>
  <c r="AFK12" i="5"/>
  <c r="AFJ12" i="5"/>
  <c r="AFI12" i="5"/>
  <c r="AFH12" i="5"/>
  <c r="AFG12" i="5"/>
  <c r="AFF12" i="5"/>
  <c r="AFE12" i="5"/>
  <c r="AFD12" i="5"/>
  <c r="AFC12" i="5"/>
  <c r="AFB12" i="5"/>
  <c r="AFA12" i="5"/>
  <c r="AEZ12" i="5"/>
  <c r="AEY12" i="5"/>
  <c r="AEX12" i="5"/>
  <c r="AEW12" i="5"/>
  <c r="AEV12" i="5"/>
  <c r="AEU12" i="5"/>
  <c r="AET12" i="5"/>
  <c r="AES12" i="5"/>
  <c r="AER12" i="5"/>
  <c r="AEQ12" i="5"/>
  <c r="AEP12" i="5"/>
  <c r="AEO12" i="5"/>
  <c r="AEN12" i="5"/>
  <c r="AEM12" i="5"/>
  <c r="AEL12" i="5"/>
  <c r="AEK12" i="5"/>
  <c r="AEJ12" i="5"/>
  <c r="AEI12" i="5"/>
  <c r="AEH12" i="5"/>
  <c r="AEG12" i="5"/>
  <c r="AEF12" i="5"/>
  <c r="AEE12" i="5"/>
  <c r="AED12" i="5"/>
  <c r="AEC12" i="5"/>
  <c r="AEB12" i="5"/>
  <c r="AEA12" i="5"/>
  <c r="ADZ12" i="5"/>
  <c r="ADY12" i="5"/>
  <c r="ADX12" i="5"/>
  <c r="ADW12" i="5"/>
  <c r="ADV12" i="5"/>
  <c r="ADU12" i="5"/>
  <c r="ADT12" i="5"/>
  <c r="ADS12" i="5"/>
  <c r="ADR12" i="5"/>
  <c r="ADQ12" i="5"/>
  <c r="ADP12" i="5"/>
  <c r="ADO12" i="5"/>
  <c r="ADN12" i="5"/>
  <c r="ADM12" i="5"/>
  <c r="ADL12" i="5"/>
  <c r="ADK12" i="5"/>
  <c r="ADJ12" i="5"/>
  <c r="ADI12" i="5"/>
  <c r="ADH12" i="5"/>
  <c r="ADG12" i="5"/>
  <c r="ADF12" i="5"/>
  <c r="ADE12" i="5"/>
  <c r="ADD12" i="5"/>
  <c r="ADC12" i="5"/>
  <c r="ADB12" i="5"/>
  <c r="ADA12" i="5"/>
  <c r="ACZ12" i="5"/>
  <c r="ACY12" i="5"/>
  <c r="ACX12" i="5"/>
  <c r="ACW12" i="5"/>
  <c r="ACV12" i="5"/>
  <c r="ACU12" i="5"/>
  <c r="ACT12" i="5"/>
  <c r="ACS12" i="5"/>
  <c r="ACR12" i="5"/>
  <c r="ACQ12" i="5"/>
  <c r="ACP12" i="5"/>
  <c r="ACO12" i="5"/>
  <c r="ACN12" i="5"/>
  <c r="ACM12" i="5"/>
  <c r="ACL12" i="5"/>
  <c r="ACK12" i="5"/>
  <c r="ACJ12" i="5"/>
  <c r="ACI12" i="5"/>
  <c r="ACH12" i="5"/>
  <c r="ACG12" i="5"/>
  <c r="ACF12" i="5"/>
  <c r="ACE12" i="5"/>
  <c r="ACD12" i="5"/>
  <c r="ACC12" i="5"/>
  <c r="ACB12" i="5"/>
  <c r="ACA12" i="5"/>
  <c r="ABZ12" i="5"/>
  <c r="ABY12" i="5"/>
  <c r="ABX12" i="5"/>
  <c r="ABW12" i="5"/>
  <c r="ABV12" i="5"/>
  <c r="ABU12" i="5"/>
  <c r="ABT12" i="5"/>
  <c r="ABS12" i="5"/>
  <c r="ABR12" i="5"/>
  <c r="ABQ12" i="5"/>
  <c r="ABP12" i="5"/>
  <c r="ABO12" i="5"/>
  <c r="ABN12" i="5"/>
  <c r="ABM12" i="5"/>
  <c r="ABL12" i="5"/>
  <c r="ABK12" i="5"/>
  <c r="ABJ12" i="5"/>
  <c r="ABI12" i="5"/>
  <c r="ABH12" i="5"/>
  <c r="ABG12" i="5"/>
  <c r="ABF12" i="5"/>
  <c r="ABE12" i="5"/>
  <c r="ABD12" i="5"/>
  <c r="ABC12" i="5"/>
  <c r="ABB12" i="5"/>
  <c r="ABA12" i="5"/>
  <c r="AAZ12" i="5"/>
  <c r="AAY12" i="5"/>
  <c r="AAX12" i="5"/>
  <c r="AAW12" i="5"/>
  <c r="AAV12" i="5"/>
  <c r="AAU12" i="5"/>
  <c r="AAT12" i="5"/>
  <c r="AAS12" i="5"/>
  <c r="AAR12" i="5"/>
  <c r="AAQ12" i="5"/>
  <c r="AAP12" i="5"/>
  <c r="AAO12" i="5"/>
  <c r="AAN12" i="5"/>
  <c r="AAM12" i="5"/>
  <c r="AAL12" i="5"/>
  <c r="AAK12" i="5"/>
  <c r="AAJ12" i="5"/>
  <c r="AAI12" i="5"/>
  <c r="AAH12" i="5"/>
  <c r="AAG12" i="5"/>
  <c r="AAF12" i="5"/>
  <c r="AAE12" i="5"/>
  <c r="AAD12" i="5"/>
  <c r="AAC12" i="5"/>
  <c r="AAB12" i="5"/>
  <c r="AAA12" i="5"/>
  <c r="ZZ12" i="5"/>
  <c r="ZY12" i="5"/>
  <c r="ZX12" i="5"/>
  <c r="ZW12" i="5"/>
  <c r="ZV12" i="5"/>
  <c r="ZU12" i="5"/>
  <c r="ZT12" i="5"/>
  <c r="ZS12" i="5"/>
  <c r="ZR12" i="5"/>
  <c r="ZQ12" i="5"/>
  <c r="ZP12" i="5"/>
  <c r="ZO12" i="5"/>
  <c r="ZN12" i="5"/>
  <c r="ZM12" i="5"/>
  <c r="ZL12" i="5"/>
  <c r="ZK12" i="5"/>
  <c r="ZJ12" i="5"/>
  <c r="ZI12" i="5"/>
  <c r="ZH12" i="5"/>
  <c r="ZG12" i="5"/>
  <c r="ZF12" i="5"/>
  <c r="ZE12" i="5"/>
  <c r="ZD12" i="5"/>
  <c r="ZC12" i="5"/>
  <c r="ZB12" i="5"/>
  <c r="ZA12" i="5"/>
  <c r="YZ12" i="5"/>
  <c r="YY12" i="5"/>
  <c r="YX12" i="5"/>
  <c r="YW12" i="5"/>
  <c r="YV12" i="5"/>
  <c r="YU12" i="5"/>
  <c r="YT12" i="5"/>
  <c r="YS12" i="5"/>
  <c r="YR12" i="5"/>
  <c r="YQ12" i="5"/>
  <c r="YP12" i="5"/>
  <c r="YO12" i="5"/>
  <c r="YN12" i="5"/>
  <c r="YM12" i="5"/>
  <c r="YL12" i="5"/>
  <c r="YK12" i="5"/>
  <c r="YJ12" i="5"/>
  <c r="YI12" i="5"/>
  <c r="YH12" i="5"/>
  <c r="YG12" i="5"/>
  <c r="YF12" i="5"/>
  <c r="YE12" i="5"/>
  <c r="YD12" i="5"/>
  <c r="YC12" i="5"/>
  <c r="YB12" i="5"/>
  <c r="YA12" i="5"/>
  <c r="XZ12" i="5"/>
  <c r="XY12" i="5"/>
  <c r="XX12" i="5"/>
  <c r="XW12" i="5"/>
  <c r="XV12" i="5"/>
  <c r="XU12" i="5"/>
  <c r="XT12" i="5"/>
  <c r="XS12" i="5"/>
  <c r="XR12" i="5"/>
  <c r="XQ12" i="5"/>
  <c r="XP12" i="5"/>
  <c r="XO12" i="5"/>
  <c r="XN12" i="5"/>
  <c r="XM12" i="5"/>
  <c r="XL12" i="5"/>
  <c r="XK12" i="5"/>
  <c r="XJ12" i="5"/>
  <c r="XI12" i="5"/>
  <c r="XH12" i="5"/>
  <c r="XG12" i="5"/>
  <c r="XF12" i="5"/>
  <c r="XE12" i="5"/>
  <c r="XD12" i="5"/>
  <c r="XC12" i="5"/>
  <c r="XB12" i="5"/>
  <c r="XA12" i="5"/>
  <c r="WZ12" i="5"/>
  <c r="WY12" i="5"/>
  <c r="WX12" i="5"/>
  <c r="WW12" i="5"/>
  <c r="WV12" i="5"/>
  <c r="WU12" i="5"/>
  <c r="WT12" i="5"/>
  <c r="WS12" i="5"/>
  <c r="WR12" i="5"/>
  <c r="WQ12" i="5"/>
  <c r="WP12" i="5"/>
  <c r="WO12" i="5"/>
  <c r="WN12" i="5"/>
  <c r="WM12" i="5"/>
  <c r="WL12" i="5"/>
  <c r="WK12" i="5"/>
  <c r="WJ12" i="5"/>
  <c r="WI12" i="5"/>
  <c r="WH12" i="5"/>
  <c r="WG12" i="5"/>
  <c r="WF12" i="5"/>
  <c r="WE12" i="5"/>
  <c r="WD12" i="5"/>
  <c r="WC12" i="5"/>
  <c r="WB12" i="5"/>
  <c r="WA12" i="5"/>
  <c r="VZ12" i="5"/>
  <c r="VY12" i="5"/>
  <c r="VX12" i="5"/>
  <c r="VW12" i="5"/>
  <c r="VV12" i="5"/>
  <c r="VU12" i="5"/>
  <c r="VT12" i="5"/>
  <c r="VS12" i="5"/>
  <c r="VR12" i="5"/>
  <c r="VQ12" i="5"/>
  <c r="VP12" i="5"/>
  <c r="VO12" i="5"/>
  <c r="VN12" i="5"/>
  <c r="VM12" i="5"/>
  <c r="VL12" i="5"/>
  <c r="VK12" i="5"/>
  <c r="VJ12" i="5"/>
  <c r="VI12" i="5"/>
  <c r="VH12" i="5"/>
  <c r="VG12" i="5"/>
  <c r="VF12" i="5"/>
  <c r="VE12" i="5"/>
  <c r="VD12" i="5"/>
  <c r="VC12" i="5"/>
  <c r="VB12" i="5"/>
  <c r="VA12" i="5"/>
  <c r="UZ12" i="5"/>
  <c r="UY12" i="5"/>
  <c r="UX12" i="5"/>
  <c r="UW12" i="5"/>
  <c r="UV12" i="5"/>
  <c r="UU12" i="5"/>
  <c r="UT12" i="5"/>
  <c r="US12" i="5"/>
  <c r="UR12" i="5"/>
  <c r="UQ12" i="5"/>
  <c r="UP12" i="5"/>
  <c r="UO12" i="5"/>
  <c r="UN12" i="5"/>
  <c r="UM12" i="5"/>
  <c r="UL12" i="5"/>
  <c r="UK12" i="5"/>
  <c r="UJ12" i="5"/>
  <c r="UI12" i="5"/>
  <c r="UH12" i="5"/>
  <c r="UG12" i="5"/>
  <c r="UF12" i="5"/>
  <c r="UE12" i="5"/>
  <c r="UD12" i="5"/>
  <c r="UC12" i="5"/>
  <c r="UB12" i="5"/>
  <c r="UA12" i="5"/>
  <c r="TZ12" i="5"/>
  <c r="TY12" i="5"/>
  <c r="TX12" i="5"/>
  <c r="TW12" i="5"/>
  <c r="TV12" i="5"/>
  <c r="TU12" i="5"/>
  <c r="TT12" i="5"/>
  <c r="TS12" i="5"/>
  <c r="TR12" i="5"/>
  <c r="TQ12" i="5"/>
  <c r="TP12" i="5"/>
  <c r="TO12" i="5"/>
  <c r="TN12" i="5"/>
  <c r="TM12" i="5"/>
  <c r="TL12" i="5"/>
  <c r="TK12" i="5"/>
  <c r="TJ12" i="5"/>
  <c r="TI12" i="5"/>
  <c r="TH12" i="5"/>
  <c r="TG12" i="5"/>
  <c r="TF12" i="5"/>
  <c r="TE12" i="5"/>
  <c r="TD12" i="5"/>
  <c r="TC12" i="5"/>
  <c r="TB12" i="5"/>
  <c r="TA12" i="5"/>
  <c r="SZ12" i="5"/>
  <c r="SY12" i="5"/>
  <c r="SX12" i="5"/>
  <c r="SW12" i="5"/>
  <c r="SV12" i="5"/>
  <c r="SU12" i="5"/>
  <c r="ST12" i="5"/>
  <c r="SS12" i="5"/>
  <c r="SR12" i="5"/>
  <c r="SQ12" i="5"/>
  <c r="SP12" i="5"/>
  <c r="SO12" i="5"/>
  <c r="SN12" i="5"/>
  <c r="SM12" i="5"/>
  <c r="SL12" i="5"/>
  <c r="SK12" i="5"/>
  <c r="SJ12" i="5"/>
  <c r="SI12" i="5"/>
  <c r="SH12" i="5"/>
  <c r="SG12" i="5"/>
  <c r="SF12" i="5"/>
  <c r="SE12" i="5"/>
  <c r="SD12" i="5"/>
  <c r="SC12" i="5"/>
  <c r="SB12" i="5"/>
  <c r="SA12" i="5"/>
  <c r="RZ12" i="5"/>
  <c r="RY12" i="5"/>
  <c r="RX12" i="5"/>
  <c r="RW12" i="5"/>
  <c r="RV12" i="5"/>
  <c r="RU12" i="5"/>
  <c r="RT12" i="5"/>
  <c r="RS12" i="5"/>
  <c r="RR12" i="5"/>
  <c r="RQ12" i="5"/>
  <c r="RP12" i="5"/>
  <c r="RO12" i="5"/>
  <c r="RN12" i="5"/>
  <c r="RM12" i="5"/>
  <c r="RL12" i="5"/>
  <c r="RK12" i="5"/>
  <c r="RJ12" i="5"/>
  <c r="RI12" i="5"/>
  <c r="RH12" i="5"/>
  <c r="RG12" i="5"/>
  <c r="RF12" i="5"/>
  <c r="RE12" i="5"/>
  <c r="RD12" i="5"/>
  <c r="RC12" i="5"/>
  <c r="RB12" i="5"/>
  <c r="RA12" i="5"/>
  <c r="QZ12" i="5"/>
  <c r="QY12" i="5"/>
  <c r="QX12" i="5"/>
  <c r="QW12" i="5"/>
  <c r="QV12" i="5"/>
  <c r="QU12" i="5"/>
  <c r="QT12" i="5"/>
  <c r="QS12" i="5"/>
  <c r="QR12" i="5"/>
  <c r="QQ12" i="5"/>
  <c r="QP12" i="5"/>
  <c r="QO12" i="5"/>
  <c r="QN12" i="5"/>
  <c r="QM12" i="5"/>
  <c r="QL12" i="5"/>
  <c r="QK12" i="5"/>
  <c r="QJ12" i="5"/>
  <c r="QI12" i="5"/>
  <c r="QH12" i="5"/>
  <c r="QG12" i="5"/>
  <c r="QF12" i="5"/>
  <c r="QE12" i="5"/>
  <c r="QD12" i="5"/>
  <c r="QC12" i="5"/>
  <c r="QB12" i="5"/>
  <c r="QA12" i="5"/>
  <c r="PZ12" i="5"/>
  <c r="PY12" i="5"/>
  <c r="PX12" i="5"/>
  <c r="PW12" i="5"/>
  <c r="PV12" i="5"/>
  <c r="PU12" i="5"/>
  <c r="PT12" i="5"/>
  <c r="PS12" i="5"/>
  <c r="PR12" i="5"/>
  <c r="PQ12" i="5"/>
  <c r="PP12" i="5"/>
  <c r="PO12" i="5"/>
  <c r="PN12" i="5"/>
  <c r="PM12" i="5"/>
  <c r="PL12" i="5"/>
  <c r="PK12" i="5"/>
  <c r="PJ12" i="5"/>
  <c r="PI12" i="5"/>
  <c r="PH12" i="5"/>
  <c r="PG12" i="5"/>
  <c r="PF12" i="5"/>
  <c r="PE12" i="5"/>
  <c r="PD12" i="5"/>
  <c r="PC12" i="5"/>
  <c r="PB12" i="5"/>
  <c r="PA12" i="5"/>
  <c r="OZ12" i="5"/>
  <c r="OY12" i="5"/>
  <c r="OX12" i="5"/>
  <c r="OW12" i="5"/>
  <c r="OV12" i="5"/>
  <c r="OU12" i="5"/>
  <c r="OT12" i="5"/>
  <c r="OS12" i="5"/>
  <c r="OR12" i="5"/>
  <c r="OQ12" i="5"/>
  <c r="OP12" i="5"/>
  <c r="OO12" i="5"/>
  <c r="ON12" i="5"/>
  <c r="OM12" i="5"/>
  <c r="OL12" i="5"/>
  <c r="OK12" i="5"/>
  <c r="OJ12" i="5"/>
  <c r="OI12" i="5"/>
  <c r="OH12" i="5"/>
  <c r="OG12" i="5"/>
  <c r="OF12" i="5"/>
  <c r="OE12" i="5"/>
  <c r="OD12" i="5"/>
  <c r="OC12" i="5"/>
  <c r="OB12" i="5"/>
  <c r="OA12" i="5"/>
  <c r="NZ12" i="5"/>
  <c r="NY12" i="5"/>
  <c r="NX12" i="5"/>
  <c r="NW12" i="5"/>
  <c r="NV12" i="5"/>
  <c r="NU12" i="5"/>
  <c r="NT12" i="5"/>
  <c r="NS12" i="5"/>
  <c r="NR12" i="5"/>
  <c r="NQ12" i="5"/>
  <c r="NP12" i="5"/>
  <c r="NO12" i="5"/>
  <c r="NN12" i="5"/>
  <c r="NM12" i="5"/>
  <c r="NL12" i="5"/>
  <c r="NK12" i="5"/>
  <c r="NJ12" i="5"/>
  <c r="NI12" i="5"/>
  <c r="NH12" i="5"/>
  <c r="NG12" i="5"/>
  <c r="NF12" i="5"/>
  <c r="NE12" i="5"/>
  <c r="ND12" i="5"/>
  <c r="NC12" i="5"/>
  <c r="NB12" i="5"/>
  <c r="NA12" i="5"/>
  <c r="MZ12" i="5"/>
  <c r="MY12" i="5"/>
  <c r="MX12" i="5"/>
  <c r="MW12" i="5"/>
  <c r="MV12" i="5"/>
  <c r="MU12" i="5"/>
  <c r="MT12" i="5"/>
  <c r="MS12" i="5"/>
  <c r="MR12" i="5"/>
  <c r="MQ12" i="5"/>
  <c r="MP12" i="5"/>
  <c r="MO12" i="5"/>
  <c r="MN12" i="5"/>
  <c r="MM12" i="5"/>
  <c r="ML12" i="5"/>
  <c r="MK12" i="5"/>
  <c r="MJ12" i="5"/>
  <c r="MI12" i="5"/>
  <c r="MH12" i="5"/>
  <c r="MG12" i="5"/>
  <c r="MF12" i="5"/>
  <c r="ME12" i="5"/>
  <c r="MD12" i="5"/>
  <c r="MC12" i="5"/>
  <c r="MB12" i="5"/>
  <c r="MA12" i="5"/>
  <c r="LZ12" i="5"/>
  <c r="LY12" i="5"/>
  <c r="LX12" i="5"/>
  <c r="LW12" i="5"/>
  <c r="LV12" i="5"/>
  <c r="LU12" i="5"/>
  <c r="LT12" i="5"/>
  <c r="LS12" i="5"/>
  <c r="LR12" i="5"/>
  <c r="LQ12" i="5"/>
  <c r="LP12" i="5"/>
  <c r="LO12" i="5"/>
  <c r="LN12" i="5"/>
  <c r="LM12" i="5"/>
  <c r="LL12" i="5"/>
  <c r="LK12" i="5"/>
  <c r="LJ12" i="5"/>
  <c r="LI12" i="5"/>
  <c r="LH12" i="5"/>
  <c r="LG12" i="5"/>
  <c r="LF12" i="5"/>
  <c r="LE12" i="5"/>
  <c r="LD12" i="5"/>
  <c r="LC12" i="5"/>
  <c r="LB12" i="5"/>
  <c r="LA12" i="5"/>
  <c r="KZ12" i="5"/>
  <c r="KY12" i="5"/>
  <c r="KX12" i="5"/>
  <c r="KW12" i="5"/>
  <c r="KV12" i="5"/>
  <c r="KU12" i="5"/>
  <c r="KT12" i="5"/>
  <c r="KS12" i="5"/>
  <c r="KR12" i="5"/>
  <c r="KQ12" i="5"/>
  <c r="KP12" i="5"/>
  <c r="KO12" i="5"/>
  <c r="KN12" i="5"/>
  <c r="KM12" i="5"/>
  <c r="KL12" i="5"/>
  <c r="KK12" i="5"/>
  <c r="KJ12" i="5"/>
  <c r="KI12" i="5"/>
  <c r="KH12" i="5"/>
  <c r="KG12" i="5"/>
  <c r="KF12" i="5"/>
  <c r="KE12" i="5"/>
  <c r="KD12" i="5"/>
  <c r="KC12" i="5"/>
  <c r="KB12" i="5"/>
  <c r="KA12" i="5"/>
  <c r="JZ12" i="5"/>
  <c r="JY12" i="5"/>
  <c r="JX12" i="5"/>
  <c r="JW12" i="5"/>
  <c r="JV12" i="5"/>
  <c r="JU12" i="5"/>
  <c r="JT12" i="5"/>
  <c r="JS12" i="5"/>
  <c r="JR12" i="5"/>
  <c r="JQ12" i="5"/>
  <c r="JP12" i="5"/>
  <c r="JO12" i="5"/>
  <c r="JN12" i="5"/>
  <c r="JM12" i="5"/>
  <c r="JL12" i="5"/>
  <c r="JK12" i="5"/>
  <c r="JJ12" i="5"/>
  <c r="JI12" i="5"/>
  <c r="JH12" i="5"/>
  <c r="JG12" i="5"/>
  <c r="JF12" i="5"/>
  <c r="JE12" i="5"/>
  <c r="JD12" i="5"/>
  <c r="JC12" i="5"/>
  <c r="JB12" i="5"/>
  <c r="JA12" i="5"/>
  <c r="IZ12" i="5"/>
  <c r="IY12" i="5"/>
  <c r="IX12" i="5"/>
  <c r="IW12" i="5"/>
  <c r="IV12" i="5"/>
  <c r="IU12" i="5"/>
  <c r="IT12" i="5"/>
  <c r="IS12" i="5"/>
  <c r="IR12" i="5"/>
  <c r="IQ12" i="5"/>
  <c r="IP12" i="5"/>
  <c r="IO12" i="5"/>
  <c r="IN12" i="5"/>
  <c r="IM12" i="5"/>
  <c r="IL12" i="5"/>
  <c r="IK12" i="5"/>
  <c r="IJ12" i="5"/>
  <c r="II12" i="5"/>
  <c r="IH12" i="5"/>
  <c r="IG12" i="5"/>
  <c r="IF12" i="5"/>
  <c r="IE12" i="5"/>
  <c r="ID12" i="5"/>
  <c r="IC12" i="5"/>
  <c r="IB12" i="5"/>
  <c r="IA12" i="5"/>
  <c r="HZ12" i="5"/>
  <c r="HY12" i="5"/>
  <c r="HX12" i="5"/>
  <c r="HW12" i="5"/>
  <c r="HV12" i="5"/>
  <c r="HU12" i="5"/>
  <c r="HT12" i="5"/>
  <c r="HS12" i="5"/>
  <c r="HR12" i="5"/>
  <c r="HQ12" i="5"/>
  <c r="HP12" i="5"/>
  <c r="HO12" i="5"/>
  <c r="HN12" i="5"/>
  <c r="HM12" i="5"/>
  <c r="HL12" i="5"/>
  <c r="HK12" i="5"/>
  <c r="HJ12" i="5"/>
  <c r="HI12" i="5"/>
  <c r="HH12" i="5"/>
  <c r="HG12" i="5"/>
  <c r="HF12" i="5"/>
  <c r="HE12" i="5"/>
  <c r="HD12" i="5"/>
  <c r="HC12" i="5"/>
  <c r="HB12" i="5"/>
  <c r="HA12" i="5"/>
  <c r="GZ12" i="5"/>
  <c r="GY12" i="5"/>
  <c r="GX12" i="5"/>
  <c r="GW12" i="5"/>
  <c r="GV12" i="5"/>
  <c r="GU12" i="5"/>
  <c r="GT12" i="5"/>
  <c r="GS12" i="5"/>
  <c r="GR12" i="5"/>
  <c r="GQ12" i="5"/>
  <c r="GP12" i="5"/>
  <c r="GO12" i="5"/>
  <c r="GN12" i="5"/>
  <c r="GM12" i="5"/>
  <c r="GL12" i="5"/>
  <c r="GK12" i="5"/>
  <c r="GJ12" i="5"/>
  <c r="GI12" i="5"/>
  <c r="GH12" i="5"/>
  <c r="GG12" i="5"/>
  <c r="GF12" i="5"/>
  <c r="GE12" i="5"/>
  <c r="GD12" i="5"/>
  <c r="GC12" i="5"/>
  <c r="GB12" i="5"/>
  <c r="GA12" i="5"/>
  <c r="FZ12" i="5"/>
  <c r="FY12" i="5"/>
  <c r="FX12" i="5"/>
  <c r="FW12" i="5"/>
  <c r="FV12" i="5"/>
  <c r="FU12" i="5"/>
  <c r="FT12" i="5"/>
  <c r="FS12" i="5"/>
  <c r="FR12" i="5"/>
  <c r="FQ12" i="5"/>
  <c r="FP12" i="5"/>
  <c r="FO12" i="5"/>
  <c r="FN12" i="5"/>
  <c r="FM12" i="5"/>
  <c r="FL12" i="5"/>
  <c r="FK12" i="5"/>
  <c r="FJ12" i="5"/>
  <c r="FI12" i="5"/>
  <c r="FH12" i="5"/>
  <c r="FG12" i="5"/>
  <c r="FF12" i="5"/>
  <c r="FE12" i="5"/>
  <c r="FD12" i="5"/>
  <c r="FC12" i="5"/>
  <c r="FB12" i="5"/>
  <c r="FA12" i="5"/>
  <c r="EZ12" i="5"/>
  <c r="EY12" i="5"/>
  <c r="EX12" i="5"/>
  <c r="EW12" i="5"/>
  <c r="EV12" i="5"/>
  <c r="EU12" i="5"/>
  <c r="ET12" i="5"/>
  <c r="ES12" i="5"/>
  <c r="ER12" i="5"/>
  <c r="EQ12" i="5"/>
  <c r="EP12" i="5"/>
  <c r="EO12" i="5"/>
  <c r="EN12" i="5"/>
  <c r="EM12" i="5"/>
  <c r="EL12" i="5"/>
  <c r="EK12" i="5"/>
  <c r="EJ12" i="5"/>
  <c r="EI12" i="5"/>
  <c r="EH12" i="5"/>
  <c r="EG12" i="5"/>
  <c r="EF12" i="5"/>
  <c r="EE12" i="5"/>
  <c r="ED12" i="5"/>
  <c r="EC12" i="5"/>
  <c r="EB12" i="5"/>
  <c r="EA12" i="5"/>
  <c r="DZ12" i="5"/>
  <c r="DY12" i="5"/>
  <c r="DX12" i="5"/>
  <c r="DW12" i="5"/>
  <c r="DV12" i="5"/>
  <c r="DU12" i="5"/>
  <c r="DT12" i="5"/>
  <c r="DS12" i="5"/>
  <c r="DR12" i="5"/>
  <c r="DQ12" i="5"/>
  <c r="DP12" i="5"/>
  <c r="DO12" i="5"/>
  <c r="DN12" i="5"/>
  <c r="DM12" i="5"/>
  <c r="DL12" i="5"/>
  <c r="DK12" i="5"/>
  <c r="DJ12" i="5"/>
  <c r="DI12" i="5"/>
  <c r="DH12" i="5"/>
  <c r="DG12" i="5"/>
  <c r="DF12" i="5"/>
  <c r="DE12" i="5"/>
  <c r="DD12" i="5"/>
  <c r="DC12" i="5"/>
  <c r="DB12" i="5"/>
  <c r="DA12" i="5"/>
  <c r="CZ12" i="5"/>
  <c r="CY12" i="5"/>
  <c r="CX12" i="5"/>
  <c r="CW12" i="5"/>
  <c r="CV12" i="5"/>
  <c r="CU12" i="5"/>
  <c r="CT12" i="5"/>
  <c r="CS12" i="5"/>
  <c r="CR12" i="5"/>
  <c r="CQ12" i="5"/>
  <c r="CP12" i="5"/>
  <c r="CO12" i="5"/>
  <c r="CN12" i="5"/>
  <c r="CM12" i="5"/>
  <c r="CL12" i="5"/>
  <c r="CK12" i="5"/>
  <c r="CJ12" i="5"/>
  <c r="CI12" i="5"/>
  <c r="CH12" i="5"/>
  <c r="CG12" i="5"/>
  <c r="CF12" i="5"/>
  <c r="CE12" i="5"/>
  <c r="CD12" i="5"/>
  <c r="CC12" i="5"/>
  <c r="CB12" i="5"/>
  <c r="CA12" i="5"/>
  <c r="BZ12" i="5"/>
  <c r="BY12" i="5"/>
  <c r="BX12" i="5"/>
  <c r="BW12" i="5"/>
  <c r="BV12" i="5"/>
  <c r="BU12" i="5"/>
  <c r="BT12" i="5"/>
  <c r="BS12" i="5"/>
  <c r="BR12" i="5"/>
  <c r="BQ12" i="5"/>
  <c r="BP12" i="5"/>
  <c r="BO12" i="5"/>
  <c r="BN12" i="5"/>
  <c r="BM12" i="5"/>
  <c r="BL12" i="5"/>
  <c r="BK12" i="5"/>
  <c r="BJ12" i="5"/>
  <c r="BI12" i="5"/>
  <c r="BH12" i="5"/>
  <c r="BG12" i="5"/>
  <c r="BF12" i="5"/>
  <c r="BE12" i="5"/>
  <c r="BD12" i="5"/>
  <c r="BC12" i="5"/>
  <c r="BB12" i="5"/>
  <c r="BA12" i="5"/>
  <c r="AZ12" i="5"/>
  <c r="AY12" i="5"/>
  <c r="AX12" i="5"/>
  <c r="AW12" i="5"/>
  <c r="AV12" i="5"/>
  <c r="AU12" i="5"/>
  <c r="AT12" i="5"/>
  <c r="AS12" i="5"/>
  <c r="AR12" i="5"/>
  <c r="AQ12" i="5"/>
  <c r="AP12" i="5"/>
  <c r="AO12" i="5"/>
  <c r="AN12" i="5"/>
  <c r="AM12" i="5"/>
  <c r="AL12" i="5"/>
  <c r="AK12" i="5"/>
  <c r="AJ12" i="5"/>
  <c r="AI12" i="5"/>
  <c r="AH12" i="5"/>
  <c r="AG12" i="5"/>
  <c r="AF12" i="5"/>
  <c r="AE12" i="5"/>
  <c r="AD12" i="5"/>
  <c r="AC12" i="5"/>
  <c r="AB12" i="5"/>
  <c r="AA12" i="5"/>
  <c r="Z12" i="5"/>
  <c r="Y12" i="5"/>
  <c r="X12" i="5"/>
  <c r="W12" i="5"/>
  <c r="V12" i="5"/>
  <c r="U12" i="5"/>
  <c r="T12" i="5"/>
  <c r="S12" i="5"/>
  <c r="R12" i="5"/>
  <c r="Q12" i="5"/>
  <c r="P12" i="5"/>
  <c r="O12" i="5"/>
  <c r="N12" i="5"/>
  <c r="M12" i="5"/>
  <c r="L12" i="5"/>
  <c r="K12" i="5"/>
  <c r="J12" i="5"/>
  <c r="I12" i="5"/>
  <c r="H12" i="5"/>
  <c r="G12" i="5"/>
  <c r="F12" i="5"/>
  <c r="E12" i="5"/>
  <c r="D12" i="5"/>
  <c r="C12" i="5"/>
  <c r="B12" i="5"/>
  <c r="AHA11" i="5"/>
  <c r="AGZ11" i="5"/>
  <c r="AGY11" i="5"/>
  <c r="AGX11" i="5"/>
  <c r="AGW11" i="5"/>
  <c r="AGV11" i="5"/>
  <c r="AGU11" i="5"/>
  <c r="AGT11" i="5"/>
  <c r="AGS11" i="5"/>
  <c r="AGR11" i="5"/>
  <c r="AGQ11" i="5"/>
  <c r="AGP11" i="5"/>
  <c r="AGO11" i="5"/>
  <c r="AGN11" i="5"/>
  <c r="AGM11" i="5"/>
  <c r="AGL11" i="5"/>
  <c r="AGK11" i="5"/>
  <c r="AGJ11" i="5"/>
  <c r="AGI11" i="5"/>
  <c r="AGH11" i="5"/>
  <c r="AGG11" i="5"/>
  <c r="AGF11" i="5"/>
  <c r="AGE11" i="5"/>
  <c r="AGD11" i="5"/>
  <c r="AGC11" i="5"/>
  <c r="AGB11" i="5"/>
  <c r="AGA11" i="5"/>
  <c r="AFZ11" i="5"/>
  <c r="AFY11" i="5"/>
  <c r="AFX11" i="5"/>
  <c r="AFW11" i="5"/>
  <c r="AFV11" i="5"/>
  <c r="AFU11" i="5"/>
  <c r="AFT11" i="5"/>
  <c r="AFS11" i="5"/>
  <c r="AFR11" i="5"/>
  <c r="AFQ11" i="5"/>
  <c r="AFP11" i="5"/>
  <c r="AFO11" i="5"/>
  <c r="AFN11" i="5"/>
  <c r="AFM11" i="5"/>
  <c r="AFL11" i="5"/>
  <c r="AFK11" i="5"/>
  <c r="AFJ11" i="5"/>
  <c r="AFI11" i="5"/>
  <c r="AFH11" i="5"/>
  <c r="AFG11" i="5"/>
  <c r="AFF11" i="5"/>
  <c r="AFE11" i="5"/>
  <c r="AFD11" i="5"/>
  <c r="AFC11" i="5"/>
  <c r="AFB11" i="5"/>
  <c r="AFA11" i="5"/>
  <c r="AEZ11" i="5"/>
  <c r="AEY11" i="5"/>
  <c r="AEX11" i="5"/>
  <c r="AEW11" i="5"/>
  <c r="AEV11" i="5"/>
  <c r="AEU11" i="5"/>
  <c r="AET11" i="5"/>
  <c r="AES11" i="5"/>
  <c r="AER11" i="5"/>
  <c r="AEQ11" i="5"/>
  <c r="AEP11" i="5"/>
  <c r="AEO11" i="5"/>
  <c r="AEN11" i="5"/>
  <c r="AEM11" i="5"/>
  <c r="AEL11" i="5"/>
  <c r="AEK11" i="5"/>
  <c r="AEJ11" i="5"/>
  <c r="AEI11" i="5"/>
  <c r="AEH11" i="5"/>
  <c r="AEG11" i="5"/>
  <c r="AEF11" i="5"/>
  <c r="AEE11" i="5"/>
  <c r="AED11" i="5"/>
  <c r="AEC11" i="5"/>
  <c r="AEB11" i="5"/>
  <c r="AEA11" i="5"/>
  <c r="ADZ11" i="5"/>
  <c r="ADY11" i="5"/>
  <c r="ADX11" i="5"/>
  <c r="ADW11" i="5"/>
  <c r="ADV11" i="5"/>
  <c r="ADU11" i="5"/>
  <c r="ADT11" i="5"/>
  <c r="ADS11" i="5"/>
  <c r="ADR11" i="5"/>
  <c r="ADQ11" i="5"/>
  <c r="ADP11" i="5"/>
  <c r="ADO11" i="5"/>
  <c r="ADN11" i="5"/>
  <c r="ADM11" i="5"/>
  <c r="ADL11" i="5"/>
  <c r="ADK11" i="5"/>
  <c r="ADJ11" i="5"/>
  <c r="ADI11" i="5"/>
  <c r="ADH11" i="5"/>
  <c r="ADG11" i="5"/>
  <c r="ADF11" i="5"/>
  <c r="ADE11" i="5"/>
  <c r="ADD11" i="5"/>
  <c r="ADC11" i="5"/>
  <c r="ADB11" i="5"/>
  <c r="ADA11" i="5"/>
  <c r="ACZ11" i="5"/>
  <c r="ACY11" i="5"/>
  <c r="ACX11" i="5"/>
  <c r="ACW11" i="5"/>
  <c r="ACV11" i="5"/>
  <c r="ACU11" i="5"/>
  <c r="ACT11" i="5"/>
  <c r="ACS11" i="5"/>
  <c r="ACR11" i="5"/>
  <c r="ACQ11" i="5"/>
  <c r="ACP11" i="5"/>
  <c r="ACO11" i="5"/>
  <c r="ACN11" i="5"/>
  <c r="ACM11" i="5"/>
  <c r="ACL11" i="5"/>
  <c r="ACK11" i="5"/>
  <c r="ACJ11" i="5"/>
  <c r="ACI11" i="5"/>
  <c r="ACH11" i="5"/>
  <c r="ACG11" i="5"/>
  <c r="ACF11" i="5"/>
  <c r="ACE11" i="5"/>
  <c r="ACD11" i="5"/>
  <c r="ACC11" i="5"/>
  <c r="ACB11" i="5"/>
  <c r="ACA11" i="5"/>
  <c r="ABZ11" i="5"/>
  <c r="ABY11" i="5"/>
  <c r="ABX11" i="5"/>
  <c r="ABW11" i="5"/>
  <c r="ABV11" i="5"/>
  <c r="ABU11" i="5"/>
  <c r="ABT11" i="5"/>
  <c r="ABS11" i="5"/>
  <c r="ABR11" i="5"/>
  <c r="ABQ11" i="5"/>
  <c r="ABP11" i="5"/>
  <c r="ABO11" i="5"/>
  <c r="ABN11" i="5"/>
  <c r="ABM11" i="5"/>
  <c r="ABL11" i="5"/>
  <c r="ABK11" i="5"/>
  <c r="ABJ11" i="5"/>
  <c r="ABI11" i="5"/>
  <c r="ABH11" i="5"/>
  <c r="ABG11" i="5"/>
  <c r="ABF11" i="5"/>
  <c r="ABE11" i="5"/>
  <c r="ABD11" i="5"/>
  <c r="ABC11" i="5"/>
  <c r="ABB11" i="5"/>
  <c r="ABA11" i="5"/>
  <c r="AAZ11" i="5"/>
  <c r="AAY11" i="5"/>
  <c r="AAX11" i="5"/>
  <c r="AAW11" i="5"/>
  <c r="AAV11" i="5"/>
  <c r="AAU11" i="5"/>
  <c r="AAT11" i="5"/>
  <c r="AAS11" i="5"/>
  <c r="AAR11" i="5"/>
  <c r="AAQ11" i="5"/>
  <c r="AAP11" i="5"/>
  <c r="AAO11" i="5"/>
  <c r="AAN11" i="5"/>
  <c r="AAM11" i="5"/>
  <c r="AAL11" i="5"/>
  <c r="AAK11" i="5"/>
  <c r="AAJ11" i="5"/>
  <c r="AAI11" i="5"/>
  <c r="AAH11" i="5"/>
  <c r="AAG11" i="5"/>
  <c r="AAF11" i="5"/>
  <c r="AAE11" i="5"/>
  <c r="AAD11" i="5"/>
  <c r="AAC11" i="5"/>
  <c r="AAB11" i="5"/>
  <c r="AAA11" i="5"/>
  <c r="ZZ11" i="5"/>
  <c r="ZY11" i="5"/>
  <c r="ZX11" i="5"/>
  <c r="ZW11" i="5"/>
  <c r="ZV11" i="5"/>
  <c r="ZU11" i="5"/>
  <c r="ZT11" i="5"/>
  <c r="ZS11" i="5"/>
  <c r="ZR11" i="5"/>
  <c r="ZQ11" i="5"/>
  <c r="ZP11" i="5"/>
  <c r="ZO11" i="5"/>
  <c r="ZN11" i="5"/>
  <c r="ZM11" i="5"/>
  <c r="ZL11" i="5"/>
  <c r="ZK11" i="5"/>
  <c r="ZJ11" i="5"/>
  <c r="ZI11" i="5"/>
  <c r="ZH11" i="5"/>
  <c r="ZG11" i="5"/>
  <c r="ZF11" i="5"/>
  <c r="ZE11" i="5"/>
  <c r="ZD11" i="5"/>
  <c r="ZC11" i="5"/>
  <c r="ZB11" i="5"/>
  <c r="ZA11" i="5"/>
  <c r="YZ11" i="5"/>
  <c r="YY11" i="5"/>
  <c r="YX11" i="5"/>
  <c r="YW11" i="5"/>
  <c r="YV11" i="5"/>
  <c r="YU11" i="5"/>
  <c r="YT11" i="5"/>
  <c r="YS11" i="5"/>
  <c r="YR11" i="5"/>
  <c r="YQ11" i="5"/>
  <c r="YP11" i="5"/>
  <c r="YO11" i="5"/>
  <c r="YN11" i="5"/>
  <c r="YM11" i="5"/>
  <c r="YL11" i="5"/>
  <c r="YK11" i="5"/>
  <c r="YJ11" i="5"/>
  <c r="YI11" i="5"/>
  <c r="YH11" i="5"/>
  <c r="YG11" i="5"/>
  <c r="YF11" i="5"/>
  <c r="YE11" i="5"/>
  <c r="YD11" i="5"/>
  <c r="YC11" i="5"/>
  <c r="YB11" i="5"/>
  <c r="YA11" i="5"/>
  <c r="XZ11" i="5"/>
  <c r="XY11" i="5"/>
  <c r="XX11" i="5"/>
  <c r="XW11" i="5"/>
  <c r="XV11" i="5"/>
  <c r="XU11" i="5"/>
  <c r="XT11" i="5"/>
  <c r="XS11" i="5"/>
  <c r="XR11" i="5"/>
  <c r="XQ11" i="5"/>
  <c r="XP11" i="5"/>
  <c r="XO11" i="5"/>
  <c r="XN11" i="5"/>
  <c r="XM11" i="5"/>
  <c r="XL11" i="5"/>
  <c r="XK11" i="5"/>
  <c r="XJ11" i="5"/>
  <c r="XI11" i="5"/>
  <c r="XH11" i="5"/>
  <c r="XG11" i="5"/>
  <c r="XF11" i="5"/>
  <c r="XE11" i="5"/>
  <c r="XD11" i="5"/>
  <c r="XC11" i="5"/>
  <c r="XB11" i="5"/>
  <c r="XA11" i="5"/>
  <c r="WZ11" i="5"/>
  <c r="WY11" i="5"/>
  <c r="WX11" i="5"/>
  <c r="WW11" i="5"/>
  <c r="WV11" i="5"/>
  <c r="WU11" i="5"/>
  <c r="WT11" i="5"/>
  <c r="WS11" i="5"/>
  <c r="WR11" i="5"/>
  <c r="WQ11" i="5"/>
  <c r="WP11" i="5"/>
  <c r="WO11" i="5"/>
  <c r="WN11" i="5"/>
  <c r="WM11" i="5"/>
  <c r="WL11" i="5"/>
  <c r="WK11" i="5"/>
  <c r="WJ11" i="5"/>
  <c r="WI11" i="5"/>
  <c r="WH11" i="5"/>
  <c r="WG11" i="5"/>
  <c r="WF11" i="5"/>
  <c r="WE11" i="5"/>
  <c r="WD11" i="5"/>
  <c r="WC11" i="5"/>
  <c r="WB11" i="5"/>
  <c r="WA11" i="5"/>
  <c r="VZ11" i="5"/>
  <c r="VY11" i="5"/>
  <c r="VX11" i="5"/>
  <c r="VW11" i="5"/>
  <c r="VV11" i="5"/>
  <c r="VU11" i="5"/>
  <c r="VT11" i="5"/>
  <c r="VS11" i="5"/>
  <c r="VR11" i="5"/>
  <c r="VQ11" i="5"/>
  <c r="VP11" i="5"/>
  <c r="VO11" i="5"/>
  <c r="VN11" i="5"/>
  <c r="VM11" i="5"/>
  <c r="VL11" i="5"/>
  <c r="VK11" i="5"/>
  <c r="VJ11" i="5"/>
  <c r="VI11" i="5"/>
  <c r="VH11" i="5"/>
  <c r="VG11" i="5"/>
  <c r="VF11" i="5"/>
  <c r="VE11" i="5"/>
  <c r="VD11" i="5"/>
  <c r="VC11" i="5"/>
  <c r="VB11" i="5"/>
  <c r="VA11" i="5"/>
  <c r="UZ11" i="5"/>
  <c r="UY11" i="5"/>
  <c r="UX11" i="5"/>
  <c r="UW11" i="5"/>
  <c r="UV11" i="5"/>
  <c r="UU11" i="5"/>
  <c r="UT11" i="5"/>
  <c r="US11" i="5"/>
  <c r="UR11" i="5"/>
  <c r="UQ11" i="5"/>
  <c r="UP11" i="5"/>
  <c r="UO11" i="5"/>
  <c r="UN11" i="5"/>
  <c r="UM11" i="5"/>
  <c r="UL11" i="5"/>
  <c r="UK11" i="5"/>
  <c r="UJ11" i="5"/>
  <c r="UI11" i="5"/>
  <c r="UH11" i="5"/>
  <c r="UG11" i="5"/>
  <c r="UF11" i="5"/>
  <c r="UE11" i="5"/>
  <c r="UD11" i="5"/>
  <c r="UC11" i="5"/>
  <c r="UB11" i="5"/>
  <c r="UA11" i="5"/>
  <c r="TZ11" i="5"/>
  <c r="TY11" i="5"/>
  <c r="TX11" i="5"/>
  <c r="TW11" i="5"/>
  <c r="TV11" i="5"/>
  <c r="TU11" i="5"/>
  <c r="TT11" i="5"/>
  <c r="TS11" i="5"/>
  <c r="TR11" i="5"/>
  <c r="TQ11" i="5"/>
  <c r="TP11" i="5"/>
  <c r="TO11" i="5"/>
  <c r="TN11" i="5"/>
  <c r="TM11" i="5"/>
  <c r="TL11" i="5"/>
  <c r="TK11" i="5"/>
  <c r="TJ11" i="5"/>
  <c r="TI11" i="5"/>
  <c r="TH11" i="5"/>
  <c r="TG11" i="5"/>
  <c r="TF11" i="5"/>
  <c r="TE11" i="5"/>
  <c r="TD11" i="5"/>
  <c r="TC11" i="5"/>
  <c r="TB11" i="5"/>
  <c r="TA11" i="5"/>
  <c r="SZ11" i="5"/>
  <c r="SY11" i="5"/>
  <c r="SX11" i="5"/>
  <c r="SW11" i="5"/>
  <c r="SV11" i="5"/>
  <c r="SU11" i="5"/>
  <c r="ST11" i="5"/>
  <c r="SS11" i="5"/>
  <c r="SR11" i="5"/>
  <c r="SQ11" i="5"/>
  <c r="SP11" i="5"/>
  <c r="SO11" i="5"/>
  <c r="SN11" i="5"/>
  <c r="SM11" i="5"/>
  <c r="SL11" i="5"/>
  <c r="SK11" i="5"/>
  <c r="SJ11" i="5"/>
  <c r="SI11" i="5"/>
  <c r="SH11" i="5"/>
  <c r="SG11" i="5"/>
  <c r="SF11" i="5"/>
  <c r="SE11" i="5"/>
  <c r="SD11" i="5"/>
  <c r="SC11" i="5"/>
  <c r="SB11" i="5"/>
  <c r="SA11" i="5"/>
  <c r="RZ11" i="5"/>
  <c r="RY11" i="5"/>
  <c r="RX11" i="5"/>
  <c r="RW11" i="5"/>
  <c r="RV11" i="5"/>
  <c r="RU11" i="5"/>
  <c r="RT11" i="5"/>
  <c r="RS11" i="5"/>
  <c r="RR11" i="5"/>
  <c r="RQ11" i="5"/>
  <c r="RP11" i="5"/>
  <c r="RO11" i="5"/>
  <c r="RN11" i="5"/>
  <c r="RM11" i="5"/>
  <c r="RL11" i="5"/>
  <c r="RK11" i="5"/>
  <c r="RJ11" i="5"/>
  <c r="RI11" i="5"/>
  <c r="RH11" i="5"/>
  <c r="RG11" i="5"/>
  <c r="RF11" i="5"/>
  <c r="RE11" i="5"/>
  <c r="RD11" i="5"/>
  <c r="RC11" i="5"/>
  <c r="RB11" i="5"/>
  <c r="RA11" i="5"/>
  <c r="QZ11" i="5"/>
  <c r="QY11" i="5"/>
  <c r="QX11" i="5"/>
  <c r="QW11" i="5"/>
  <c r="QV11" i="5"/>
  <c r="QU11" i="5"/>
  <c r="QT11" i="5"/>
  <c r="QS11" i="5"/>
  <c r="QR11" i="5"/>
  <c r="QQ11" i="5"/>
  <c r="QP11" i="5"/>
  <c r="QO11" i="5"/>
  <c r="QN11" i="5"/>
  <c r="QM11" i="5"/>
  <c r="QL11" i="5"/>
  <c r="QK11" i="5"/>
  <c r="QJ11" i="5"/>
  <c r="QI11" i="5"/>
  <c r="QH11" i="5"/>
  <c r="QG11" i="5"/>
  <c r="QF11" i="5"/>
  <c r="QE11" i="5"/>
  <c r="QD11" i="5"/>
  <c r="QC11" i="5"/>
  <c r="QB11" i="5"/>
  <c r="QA11" i="5"/>
  <c r="PZ11" i="5"/>
  <c r="PY11" i="5"/>
  <c r="PX11" i="5"/>
  <c r="PW11" i="5"/>
  <c r="PV11" i="5"/>
  <c r="PU11" i="5"/>
  <c r="PT11" i="5"/>
  <c r="PS11" i="5"/>
  <c r="PR11" i="5"/>
  <c r="PQ11" i="5"/>
  <c r="PP11" i="5"/>
  <c r="PO11" i="5"/>
  <c r="PN11" i="5"/>
  <c r="PM11" i="5"/>
  <c r="PL11" i="5"/>
  <c r="PK11" i="5"/>
  <c r="PJ11" i="5"/>
  <c r="PI11" i="5"/>
  <c r="PH11" i="5"/>
  <c r="PG11" i="5"/>
  <c r="PF11" i="5"/>
  <c r="PE11" i="5"/>
  <c r="PD11" i="5"/>
  <c r="PC11" i="5"/>
  <c r="PB11" i="5"/>
  <c r="PA11" i="5"/>
  <c r="OZ11" i="5"/>
  <c r="OY11" i="5"/>
  <c r="OX11" i="5"/>
  <c r="OW11" i="5"/>
  <c r="OV11" i="5"/>
  <c r="OU11" i="5"/>
  <c r="OT11" i="5"/>
  <c r="OS11" i="5"/>
  <c r="OR11" i="5"/>
  <c r="OQ11" i="5"/>
  <c r="OP11" i="5"/>
  <c r="OO11" i="5"/>
  <c r="ON11" i="5"/>
  <c r="OM11" i="5"/>
  <c r="OL11" i="5"/>
  <c r="OK11" i="5"/>
  <c r="OJ11" i="5"/>
  <c r="OI11" i="5"/>
  <c r="OH11" i="5"/>
  <c r="OG11" i="5"/>
  <c r="OF11" i="5"/>
  <c r="OE11" i="5"/>
  <c r="OD11" i="5"/>
  <c r="OC11" i="5"/>
  <c r="OB11" i="5"/>
  <c r="OA11" i="5"/>
  <c r="NZ11" i="5"/>
  <c r="NY11" i="5"/>
  <c r="NX11" i="5"/>
  <c r="NW11" i="5"/>
  <c r="NV11" i="5"/>
  <c r="NU11" i="5"/>
  <c r="NT11" i="5"/>
  <c r="NS11" i="5"/>
  <c r="NR11" i="5"/>
  <c r="NQ11" i="5"/>
  <c r="NP11" i="5"/>
  <c r="NO11" i="5"/>
  <c r="NN11" i="5"/>
  <c r="NM11" i="5"/>
  <c r="NL11" i="5"/>
  <c r="NK11" i="5"/>
  <c r="NJ11" i="5"/>
  <c r="NI11" i="5"/>
  <c r="NH11" i="5"/>
  <c r="NG11" i="5"/>
  <c r="NF11" i="5"/>
  <c r="NE11" i="5"/>
  <c r="ND11" i="5"/>
  <c r="NC11" i="5"/>
  <c r="NB11" i="5"/>
  <c r="NA11" i="5"/>
  <c r="MZ11" i="5"/>
  <c r="MY11" i="5"/>
  <c r="MX11" i="5"/>
  <c r="MW11" i="5"/>
  <c r="MV11" i="5"/>
  <c r="MU11" i="5"/>
  <c r="MT11" i="5"/>
  <c r="MS11" i="5"/>
  <c r="MR11" i="5"/>
  <c r="MQ11" i="5"/>
  <c r="MP11" i="5"/>
  <c r="MO11" i="5"/>
  <c r="MN11" i="5"/>
  <c r="MM11" i="5"/>
  <c r="ML11" i="5"/>
  <c r="MK11" i="5"/>
  <c r="MJ11" i="5"/>
  <c r="MI11" i="5"/>
  <c r="MH11" i="5"/>
  <c r="MG11" i="5"/>
  <c r="MF11" i="5"/>
  <c r="ME11" i="5"/>
  <c r="MD11" i="5"/>
  <c r="MC11" i="5"/>
  <c r="MB11" i="5"/>
  <c r="MA11" i="5"/>
  <c r="LZ11" i="5"/>
  <c r="LY11" i="5"/>
  <c r="LX11" i="5"/>
  <c r="LW11" i="5"/>
  <c r="LV11" i="5"/>
  <c r="LU11" i="5"/>
  <c r="LT11" i="5"/>
  <c r="LS11" i="5"/>
  <c r="LR11" i="5"/>
  <c r="LQ11" i="5"/>
  <c r="LP11" i="5"/>
  <c r="LO11" i="5"/>
  <c r="LN11" i="5"/>
  <c r="LM11" i="5"/>
  <c r="LL11" i="5"/>
  <c r="LK11" i="5"/>
  <c r="LJ11" i="5"/>
  <c r="LI11" i="5"/>
  <c r="LH11" i="5"/>
  <c r="LG11" i="5"/>
  <c r="LF11" i="5"/>
  <c r="LE11" i="5"/>
  <c r="LD11" i="5"/>
  <c r="LC11" i="5"/>
  <c r="LB11" i="5"/>
  <c r="LA11" i="5"/>
  <c r="KZ11" i="5"/>
  <c r="KY11" i="5"/>
  <c r="KX11" i="5"/>
  <c r="KW11" i="5"/>
  <c r="KV11" i="5"/>
  <c r="KU11" i="5"/>
  <c r="KT11" i="5"/>
  <c r="KS11" i="5"/>
  <c r="KR11" i="5"/>
  <c r="KQ11" i="5"/>
  <c r="KP11" i="5"/>
  <c r="KO11" i="5"/>
  <c r="KN11" i="5"/>
  <c r="KM11" i="5"/>
  <c r="KL11" i="5"/>
  <c r="KK11" i="5"/>
  <c r="KJ11" i="5"/>
  <c r="KI11" i="5"/>
  <c r="KH11" i="5"/>
  <c r="KG11" i="5"/>
  <c r="KF11" i="5"/>
  <c r="KE11" i="5"/>
  <c r="KD11" i="5"/>
  <c r="KC11" i="5"/>
  <c r="KB11" i="5"/>
  <c r="KA11" i="5"/>
  <c r="JZ11" i="5"/>
  <c r="JY11" i="5"/>
  <c r="JX11" i="5"/>
  <c r="JW11" i="5"/>
  <c r="JV11" i="5"/>
  <c r="JU11" i="5"/>
  <c r="JT11" i="5"/>
  <c r="JS11" i="5"/>
  <c r="JR11" i="5"/>
  <c r="JQ11" i="5"/>
  <c r="JP11" i="5"/>
  <c r="JO11" i="5"/>
  <c r="JN11" i="5"/>
  <c r="JM11" i="5"/>
  <c r="JL11" i="5"/>
  <c r="JK11" i="5"/>
  <c r="JJ11" i="5"/>
  <c r="JI11" i="5"/>
  <c r="JH11" i="5"/>
  <c r="JG11" i="5"/>
  <c r="JF11" i="5"/>
  <c r="JE11" i="5"/>
  <c r="JD11" i="5"/>
  <c r="JC11" i="5"/>
  <c r="JB11" i="5"/>
  <c r="JA11" i="5"/>
  <c r="IZ11" i="5"/>
  <c r="IY11" i="5"/>
  <c r="IX11" i="5"/>
  <c r="IW11" i="5"/>
  <c r="IV11" i="5"/>
  <c r="IU11" i="5"/>
  <c r="IT11" i="5"/>
  <c r="IS11" i="5"/>
  <c r="IR11" i="5"/>
  <c r="IQ11" i="5"/>
  <c r="IP11" i="5"/>
  <c r="IO11" i="5"/>
  <c r="IN11" i="5"/>
  <c r="IM11" i="5"/>
  <c r="IL11" i="5"/>
  <c r="IK11" i="5"/>
  <c r="IJ11" i="5"/>
  <c r="II11" i="5"/>
  <c r="IH11" i="5"/>
  <c r="IG11" i="5"/>
  <c r="IF11" i="5"/>
  <c r="IE11" i="5"/>
  <c r="ID11" i="5"/>
  <c r="IC11" i="5"/>
  <c r="IB11" i="5"/>
  <c r="IA11" i="5"/>
  <c r="HZ11" i="5"/>
  <c r="HY11" i="5"/>
  <c r="HX11" i="5"/>
  <c r="HW11" i="5"/>
  <c r="HV11" i="5"/>
  <c r="HU11" i="5"/>
  <c r="HT11" i="5"/>
  <c r="HS11" i="5"/>
  <c r="HR11" i="5"/>
  <c r="HQ11" i="5"/>
  <c r="HP11" i="5"/>
  <c r="HO11" i="5"/>
  <c r="HN11" i="5"/>
  <c r="HM11" i="5"/>
  <c r="HL11" i="5"/>
  <c r="HK11" i="5"/>
  <c r="HJ11" i="5"/>
  <c r="HI11" i="5"/>
  <c r="HH11" i="5"/>
  <c r="HG11" i="5"/>
  <c r="HF11" i="5"/>
  <c r="HE11" i="5"/>
  <c r="HD11" i="5"/>
  <c r="HC11" i="5"/>
  <c r="HB11" i="5"/>
  <c r="HA11" i="5"/>
  <c r="GZ11" i="5"/>
  <c r="GY11" i="5"/>
  <c r="GX11" i="5"/>
  <c r="GW11" i="5"/>
  <c r="GV11" i="5"/>
  <c r="GU11" i="5"/>
  <c r="GT11" i="5"/>
  <c r="GS11" i="5"/>
  <c r="GR11" i="5"/>
  <c r="GQ11" i="5"/>
  <c r="GP11" i="5"/>
  <c r="GO11" i="5"/>
  <c r="GN11" i="5"/>
  <c r="GM11" i="5"/>
  <c r="GL11" i="5"/>
  <c r="GK11" i="5"/>
  <c r="GJ11" i="5"/>
  <c r="GI11" i="5"/>
  <c r="GH11" i="5"/>
  <c r="GG11" i="5"/>
  <c r="GF11" i="5"/>
  <c r="GE11" i="5"/>
  <c r="GD11" i="5"/>
  <c r="GC11" i="5"/>
  <c r="GB11" i="5"/>
  <c r="GA11" i="5"/>
  <c r="FZ11" i="5"/>
  <c r="FY11" i="5"/>
  <c r="FX11" i="5"/>
  <c r="FW11" i="5"/>
  <c r="FV11" i="5"/>
  <c r="FU11" i="5"/>
  <c r="FT11" i="5"/>
  <c r="FS11" i="5"/>
  <c r="FR11" i="5"/>
  <c r="FQ11" i="5"/>
  <c r="FP11" i="5"/>
  <c r="FO11" i="5"/>
  <c r="FN11" i="5"/>
  <c r="FM11" i="5"/>
  <c r="FL11" i="5"/>
  <c r="FK11" i="5"/>
  <c r="FJ11" i="5"/>
  <c r="FI11" i="5"/>
  <c r="FH11" i="5"/>
  <c r="FG11" i="5"/>
  <c r="FF11" i="5"/>
  <c r="FE11" i="5"/>
  <c r="FD11" i="5"/>
  <c r="FC11" i="5"/>
  <c r="FB11" i="5"/>
  <c r="FA11" i="5"/>
  <c r="EZ11" i="5"/>
  <c r="EY11" i="5"/>
  <c r="EX11" i="5"/>
  <c r="EW11" i="5"/>
  <c r="EV11" i="5"/>
  <c r="EU11" i="5"/>
  <c r="ET11" i="5"/>
  <c r="ES11" i="5"/>
  <c r="ER11" i="5"/>
  <c r="EQ11" i="5"/>
  <c r="EP11" i="5"/>
  <c r="EO11" i="5"/>
  <c r="EN11" i="5"/>
  <c r="EM11" i="5"/>
  <c r="EL11" i="5"/>
  <c r="EK11" i="5"/>
  <c r="EJ11" i="5"/>
  <c r="EI11" i="5"/>
  <c r="EH11" i="5"/>
  <c r="EG11" i="5"/>
  <c r="EF11" i="5"/>
  <c r="EE11" i="5"/>
  <c r="ED11" i="5"/>
  <c r="EC11" i="5"/>
  <c r="EB11" i="5"/>
  <c r="EA11" i="5"/>
  <c r="DZ11" i="5"/>
  <c r="DY11" i="5"/>
  <c r="DX11" i="5"/>
  <c r="DW11" i="5"/>
  <c r="DV11" i="5"/>
  <c r="DU11" i="5"/>
  <c r="DT11" i="5"/>
  <c r="DS11" i="5"/>
  <c r="DR11" i="5"/>
  <c r="DQ11" i="5"/>
  <c r="DP11" i="5"/>
  <c r="DO11" i="5"/>
  <c r="DN11" i="5"/>
  <c r="DM11" i="5"/>
  <c r="DL11" i="5"/>
  <c r="DK11" i="5"/>
  <c r="DJ11" i="5"/>
  <c r="DI11" i="5"/>
  <c r="DH11" i="5"/>
  <c r="DG11" i="5"/>
  <c r="DF11" i="5"/>
  <c r="DE11" i="5"/>
  <c r="DD11" i="5"/>
  <c r="DC11" i="5"/>
  <c r="DB11" i="5"/>
  <c r="DA11" i="5"/>
  <c r="CZ11" i="5"/>
  <c r="CY11" i="5"/>
  <c r="CX11" i="5"/>
  <c r="CW11" i="5"/>
  <c r="CV11" i="5"/>
  <c r="CU11" i="5"/>
  <c r="CT11" i="5"/>
  <c r="CS11" i="5"/>
  <c r="CR11" i="5"/>
  <c r="CQ11" i="5"/>
  <c r="CP11" i="5"/>
  <c r="CO11" i="5"/>
  <c r="CN11" i="5"/>
  <c r="CM11" i="5"/>
  <c r="CL11" i="5"/>
  <c r="CK11" i="5"/>
  <c r="CJ11" i="5"/>
  <c r="CI11" i="5"/>
  <c r="CH11" i="5"/>
  <c r="CG11" i="5"/>
  <c r="CF11" i="5"/>
  <c r="CE11" i="5"/>
  <c r="CD11" i="5"/>
  <c r="CC11" i="5"/>
  <c r="CB11" i="5"/>
  <c r="CA11" i="5"/>
  <c r="BZ11" i="5"/>
  <c r="BY11" i="5"/>
  <c r="BX11" i="5"/>
  <c r="BW11" i="5"/>
  <c r="BV11" i="5"/>
  <c r="BU11" i="5"/>
  <c r="BT11" i="5"/>
  <c r="BS11" i="5"/>
  <c r="BR11" i="5"/>
  <c r="BQ11" i="5"/>
  <c r="BP11" i="5"/>
  <c r="BO11" i="5"/>
  <c r="BN11" i="5"/>
  <c r="BM11" i="5"/>
  <c r="BL11" i="5"/>
  <c r="BK11" i="5"/>
  <c r="BJ11" i="5"/>
  <c r="BI11" i="5"/>
  <c r="BH11" i="5"/>
  <c r="BG11" i="5"/>
  <c r="BF11" i="5"/>
  <c r="BE11" i="5"/>
  <c r="BD11" i="5"/>
  <c r="BC11" i="5"/>
  <c r="BB11" i="5"/>
  <c r="BA11" i="5"/>
  <c r="AZ11" i="5"/>
  <c r="AY11" i="5"/>
  <c r="AX11" i="5"/>
  <c r="AW11" i="5"/>
  <c r="AV11" i="5"/>
  <c r="AU11" i="5"/>
  <c r="AT11" i="5"/>
  <c r="AS11" i="5"/>
  <c r="AR11" i="5"/>
  <c r="AQ11" i="5"/>
  <c r="AP11" i="5"/>
  <c r="AO11" i="5"/>
  <c r="AN11" i="5"/>
  <c r="AM11" i="5"/>
  <c r="AL11" i="5"/>
  <c r="AK11" i="5"/>
  <c r="AJ11" i="5"/>
  <c r="AI11" i="5"/>
  <c r="AH11" i="5"/>
  <c r="AG11" i="5"/>
  <c r="AF11" i="5"/>
  <c r="AE11" i="5"/>
  <c r="AD11" i="5"/>
  <c r="AC11" i="5"/>
  <c r="AB11" i="5"/>
  <c r="AA11" i="5"/>
  <c r="Z11" i="5"/>
  <c r="Y11" i="5"/>
  <c r="X11" i="5"/>
  <c r="W11" i="5"/>
  <c r="V11" i="5"/>
  <c r="U11" i="5"/>
  <c r="T11" i="5"/>
  <c r="S11" i="5"/>
  <c r="R11" i="5"/>
  <c r="Q11" i="5"/>
  <c r="P11" i="5"/>
  <c r="O11" i="5"/>
  <c r="N11" i="5"/>
  <c r="M11" i="5"/>
  <c r="L11" i="5"/>
  <c r="K11" i="5"/>
  <c r="J11" i="5"/>
  <c r="I11" i="5"/>
  <c r="H11" i="5"/>
  <c r="G11" i="5"/>
  <c r="F11" i="5"/>
  <c r="E11" i="5"/>
  <c r="D11" i="5"/>
  <c r="C11" i="5"/>
  <c r="B11" i="5"/>
  <c r="AHA10" i="5"/>
  <c r="AGZ10" i="5"/>
  <c r="AGY10" i="5"/>
  <c r="AGX10" i="5"/>
  <c r="AGW10" i="5"/>
  <c r="AGV10" i="5"/>
  <c r="AGU10" i="5"/>
  <c r="AGT10" i="5"/>
  <c r="AGS10" i="5"/>
  <c r="AGR10" i="5"/>
  <c r="AGQ10" i="5"/>
  <c r="AGP10" i="5"/>
  <c r="AGO10" i="5"/>
  <c r="AGN10" i="5"/>
  <c r="AGM10" i="5"/>
  <c r="AGL10" i="5"/>
  <c r="AGK10" i="5"/>
  <c r="AGJ10" i="5"/>
  <c r="AGI10" i="5"/>
  <c r="AGH10" i="5"/>
  <c r="AGG10" i="5"/>
  <c r="AGF10" i="5"/>
  <c r="AGE10" i="5"/>
  <c r="AGD10" i="5"/>
  <c r="AGC10" i="5"/>
  <c r="AGB10" i="5"/>
  <c r="AGA10" i="5"/>
  <c r="AFZ10" i="5"/>
  <c r="AFY10" i="5"/>
  <c r="AFX10" i="5"/>
  <c r="AFW10" i="5"/>
  <c r="AFV10" i="5"/>
  <c r="AFU10" i="5"/>
  <c r="AFT10" i="5"/>
  <c r="AFS10" i="5"/>
  <c r="AFR10" i="5"/>
  <c r="AFQ10" i="5"/>
  <c r="AFP10" i="5"/>
  <c r="AFO10" i="5"/>
  <c r="AFN10" i="5"/>
  <c r="AFM10" i="5"/>
  <c r="AFL10" i="5"/>
  <c r="AFK10" i="5"/>
  <c r="AFJ10" i="5"/>
  <c r="AFI10" i="5"/>
  <c r="AFH10" i="5"/>
  <c r="AFG10" i="5"/>
  <c r="AFF10" i="5"/>
  <c r="AFE10" i="5"/>
  <c r="AFD10" i="5"/>
  <c r="AFC10" i="5"/>
  <c r="AFB10" i="5"/>
  <c r="AFA10" i="5"/>
  <c r="AEZ10" i="5"/>
  <c r="AEY10" i="5"/>
  <c r="AEX10" i="5"/>
  <c r="AEW10" i="5"/>
  <c r="AEV10" i="5"/>
  <c r="AEU10" i="5"/>
  <c r="AET10" i="5"/>
  <c r="AES10" i="5"/>
  <c r="AER10" i="5"/>
  <c r="AEQ10" i="5"/>
  <c r="AEP10" i="5"/>
  <c r="AEO10" i="5"/>
  <c r="AEN10" i="5"/>
  <c r="AEM10" i="5"/>
  <c r="AEL10" i="5"/>
  <c r="AEK10" i="5"/>
  <c r="AEJ10" i="5"/>
  <c r="AEI10" i="5"/>
  <c r="AEH10" i="5"/>
  <c r="AEG10" i="5"/>
  <c r="AEF10" i="5"/>
  <c r="AEE10" i="5"/>
  <c r="AED10" i="5"/>
  <c r="AEC10" i="5"/>
  <c r="AEB10" i="5"/>
  <c r="AEA10" i="5"/>
  <c r="ADZ10" i="5"/>
  <c r="ADY10" i="5"/>
  <c r="ADX10" i="5"/>
  <c r="ADW10" i="5"/>
  <c r="ADV10" i="5"/>
  <c r="ADU10" i="5"/>
  <c r="ADT10" i="5"/>
  <c r="ADS10" i="5"/>
  <c r="ADR10" i="5"/>
  <c r="ADQ10" i="5"/>
  <c r="ADP10" i="5"/>
  <c r="ADO10" i="5"/>
  <c r="ADN10" i="5"/>
  <c r="ADM10" i="5"/>
  <c r="ADL10" i="5"/>
  <c r="ADK10" i="5"/>
  <c r="ADJ10" i="5"/>
  <c r="ADI10" i="5"/>
  <c r="ADH10" i="5"/>
  <c r="ADG10" i="5"/>
  <c r="ADF10" i="5"/>
  <c r="ADE10" i="5"/>
  <c r="ADD10" i="5"/>
  <c r="ADC10" i="5"/>
  <c r="ADB10" i="5"/>
  <c r="ADA10" i="5"/>
  <c r="ACZ10" i="5"/>
  <c r="ACY10" i="5"/>
  <c r="ACX10" i="5"/>
  <c r="ACW10" i="5"/>
  <c r="ACV10" i="5"/>
  <c r="ACU10" i="5"/>
  <c r="ACT10" i="5"/>
  <c r="ACS10" i="5"/>
  <c r="ACR10" i="5"/>
  <c r="ACQ10" i="5"/>
  <c r="ACP10" i="5"/>
  <c r="ACO10" i="5"/>
  <c r="ACN10" i="5"/>
  <c r="ACM10" i="5"/>
  <c r="ACL10" i="5"/>
  <c r="ACK10" i="5"/>
  <c r="ACJ10" i="5"/>
  <c r="ACI10" i="5"/>
  <c r="ACH10" i="5"/>
  <c r="ACG10" i="5"/>
  <c r="ACF10" i="5"/>
  <c r="ACE10" i="5"/>
  <c r="ACD10" i="5"/>
  <c r="ACC10" i="5"/>
  <c r="ACB10" i="5"/>
  <c r="ACA10" i="5"/>
  <c r="ABZ10" i="5"/>
  <c r="ABY10" i="5"/>
  <c r="ABX10" i="5"/>
  <c r="ABW10" i="5"/>
  <c r="ABV10" i="5"/>
  <c r="ABU10" i="5"/>
  <c r="ABT10" i="5"/>
  <c r="ABS10" i="5"/>
  <c r="ABR10" i="5"/>
  <c r="ABQ10" i="5"/>
  <c r="ABP10" i="5"/>
  <c r="ABO10" i="5"/>
  <c r="ABN10" i="5"/>
  <c r="ABM10" i="5"/>
  <c r="ABL10" i="5"/>
  <c r="ABK10" i="5"/>
  <c r="ABJ10" i="5"/>
  <c r="ABI10" i="5"/>
  <c r="ABH10" i="5"/>
  <c r="ABG10" i="5"/>
  <c r="ABF10" i="5"/>
  <c r="ABE10" i="5"/>
  <c r="ABD10" i="5"/>
  <c r="ABC10" i="5"/>
  <c r="ABB10" i="5"/>
  <c r="ABA10" i="5"/>
  <c r="AAZ10" i="5"/>
  <c r="AAY10" i="5"/>
  <c r="AAX10" i="5"/>
  <c r="AAW10" i="5"/>
  <c r="AAV10" i="5"/>
  <c r="AAU10" i="5"/>
  <c r="AAT10" i="5"/>
  <c r="AAS10" i="5"/>
  <c r="AAR10" i="5"/>
  <c r="AAQ10" i="5"/>
  <c r="AAP10" i="5"/>
  <c r="AAO10" i="5"/>
  <c r="AAN10" i="5"/>
  <c r="AAM10" i="5"/>
  <c r="AAL10" i="5"/>
  <c r="AAK10" i="5"/>
  <c r="AAJ10" i="5"/>
  <c r="AAI10" i="5"/>
  <c r="AAH10" i="5"/>
  <c r="AAG10" i="5"/>
  <c r="AAF10" i="5"/>
  <c r="AAE10" i="5"/>
  <c r="AAD10" i="5"/>
  <c r="AAC10" i="5"/>
  <c r="AAB10" i="5"/>
  <c r="AAA10" i="5"/>
  <c r="ZZ10" i="5"/>
  <c r="ZY10" i="5"/>
  <c r="ZX10" i="5"/>
  <c r="ZW10" i="5"/>
  <c r="ZV10" i="5"/>
  <c r="ZU10" i="5"/>
  <c r="ZT10" i="5"/>
  <c r="ZS10" i="5"/>
  <c r="ZR10" i="5"/>
  <c r="ZQ10" i="5"/>
  <c r="ZP10" i="5"/>
  <c r="ZO10" i="5"/>
  <c r="ZN10" i="5"/>
  <c r="ZM10" i="5"/>
  <c r="ZL10" i="5"/>
  <c r="ZK10" i="5"/>
  <c r="ZJ10" i="5"/>
  <c r="ZI10" i="5"/>
  <c r="ZH10" i="5"/>
  <c r="ZG10" i="5"/>
  <c r="ZF10" i="5"/>
  <c r="ZE10" i="5"/>
  <c r="ZD10" i="5"/>
  <c r="ZC10" i="5"/>
  <c r="ZB10" i="5"/>
  <c r="ZA10" i="5"/>
  <c r="YZ10" i="5"/>
  <c r="YY10" i="5"/>
  <c r="YX10" i="5"/>
  <c r="YW10" i="5"/>
  <c r="YV10" i="5"/>
  <c r="YU10" i="5"/>
  <c r="YT10" i="5"/>
  <c r="YS10" i="5"/>
  <c r="YR10" i="5"/>
  <c r="YQ10" i="5"/>
  <c r="YP10" i="5"/>
  <c r="YO10" i="5"/>
  <c r="YN10" i="5"/>
  <c r="YM10" i="5"/>
  <c r="YL10" i="5"/>
  <c r="YK10" i="5"/>
  <c r="YJ10" i="5"/>
  <c r="YI10" i="5"/>
  <c r="YH10" i="5"/>
  <c r="YG10" i="5"/>
  <c r="YF10" i="5"/>
  <c r="YE10" i="5"/>
  <c r="YD10" i="5"/>
  <c r="YC10" i="5"/>
  <c r="YB10" i="5"/>
  <c r="YA10" i="5"/>
  <c r="XZ10" i="5"/>
  <c r="XY10" i="5"/>
  <c r="XX10" i="5"/>
  <c r="XW10" i="5"/>
  <c r="XV10" i="5"/>
  <c r="XU10" i="5"/>
  <c r="XT10" i="5"/>
  <c r="XS10" i="5"/>
  <c r="XR10" i="5"/>
  <c r="XQ10" i="5"/>
  <c r="XP10" i="5"/>
  <c r="XO10" i="5"/>
  <c r="XN10" i="5"/>
  <c r="XM10" i="5"/>
  <c r="XL10" i="5"/>
  <c r="XK10" i="5"/>
  <c r="XJ10" i="5"/>
  <c r="XI10" i="5"/>
  <c r="XH10" i="5"/>
  <c r="XG10" i="5"/>
  <c r="XF10" i="5"/>
  <c r="XE10" i="5"/>
  <c r="XD10" i="5"/>
  <c r="XC10" i="5"/>
  <c r="XB10" i="5"/>
  <c r="XA10" i="5"/>
  <c r="WZ10" i="5"/>
  <c r="WY10" i="5"/>
  <c r="WX10" i="5"/>
  <c r="WW10" i="5"/>
  <c r="WV10" i="5"/>
  <c r="WU10" i="5"/>
  <c r="WT10" i="5"/>
  <c r="WS10" i="5"/>
  <c r="WR10" i="5"/>
  <c r="WQ10" i="5"/>
  <c r="WP10" i="5"/>
  <c r="WO10" i="5"/>
  <c r="WN10" i="5"/>
  <c r="WM10" i="5"/>
  <c r="WL10" i="5"/>
  <c r="WK10" i="5"/>
  <c r="WJ10" i="5"/>
  <c r="WI10" i="5"/>
  <c r="WH10" i="5"/>
  <c r="WG10" i="5"/>
  <c r="WF10" i="5"/>
  <c r="WE10" i="5"/>
  <c r="WD10" i="5"/>
  <c r="WC10" i="5"/>
  <c r="WB10" i="5"/>
  <c r="WA10" i="5"/>
  <c r="VZ10" i="5"/>
  <c r="VY10" i="5"/>
  <c r="VX10" i="5"/>
  <c r="VW10" i="5"/>
  <c r="VV10" i="5"/>
  <c r="VU10" i="5"/>
  <c r="VT10" i="5"/>
  <c r="VS10" i="5"/>
  <c r="VR10" i="5"/>
  <c r="VQ10" i="5"/>
  <c r="VP10" i="5"/>
  <c r="VO10" i="5"/>
  <c r="VN10" i="5"/>
  <c r="VM10" i="5"/>
  <c r="VL10" i="5"/>
  <c r="VK10" i="5"/>
  <c r="VJ10" i="5"/>
  <c r="VI10" i="5"/>
  <c r="VH10" i="5"/>
  <c r="VG10" i="5"/>
  <c r="VF10" i="5"/>
  <c r="VE10" i="5"/>
  <c r="VD10" i="5"/>
  <c r="VC10" i="5"/>
  <c r="VB10" i="5"/>
  <c r="VA10" i="5"/>
  <c r="UZ10" i="5"/>
  <c r="UY10" i="5"/>
  <c r="UX10" i="5"/>
  <c r="UW10" i="5"/>
  <c r="UV10" i="5"/>
  <c r="UU10" i="5"/>
  <c r="UT10" i="5"/>
  <c r="US10" i="5"/>
  <c r="UR10" i="5"/>
  <c r="UQ10" i="5"/>
  <c r="UP10" i="5"/>
  <c r="UO10" i="5"/>
  <c r="UN10" i="5"/>
  <c r="UM10" i="5"/>
  <c r="UL10" i="5"/>
  <c r="UK10" i="5"/>
  <c r="UJ10" i="5"/>
  <c r="UI10" i="5"/>
  <c r="UH10" i="5"/>
  <c r="UG10" i="5"/>
  <c r="UF10" i="5"/>
  <c r="UE10" i="5"/>
  <c r="UD10" i="5"/>
  <c r="UC10" i="5"/>
  <c r="UB10" i="5"/>
  <c r="UA10" i="5"/>
  <c r="TZ10" i="5"/>
  <c r="TY10" i="5"/>
  <c r="TX10" i="5"/>
  <c r="TW10" i="5"/>
  <c r="TV10" i="5"/>
  <c r="TU10" i="5"/>
  <c r="TT10" i="5"/>
  <c r="TS10" i="5"/>
  <c r="TR10" i="5"/>
  <c r="TQ10" i="5"/>
  <c r="TP10" i="5"/>
  <c r="TO10" i="5"/>
  <c r="TN10" i="5"/>
  <c r="TM10" i="5"/>
  <c r="TL10" i="5"/>
  <c r="TK10" i="5"/>
  <c r="TJ10" i="5"/>
  <c r="TI10" i="5"/>
  <c r="TH10" i="5"/>
  <c r="TG10" i="5"/>
  <c r="TF10" i="5"/>
  <c r="TE10" i="5"/>
  <c r="TD10" i="5"/>
  <c r="TC10" i="5"/>
  <c r="TB10" i="5"/>
  <c r="TA10" i="5"/>
  <c r="SZ10" i="5"/>
  <c r="SY10" i="5"/>
  <c r="SX10" i="5"/>
  <c r="SW10" i="5"/>
  <c r="SV10" i="5"/>
  <c r="SU10" i="5"/>
  <c r="ST10" i="5"/>
  <c r="SS10" i="5"/>
  <c r="SR10" i="5"/>
  <c r="SQ10" i="5"/>
  <c r="SP10" i="5"/>
  <c r="SO10" i="5"/>
  <c r="SN10" i="5"/>
  <c r="SM10" i="5"/>
  <c r="SL10" i="5"/>
  <c r="SK10" i="5"/>
  <c r="SJ10" i="5"/>
  <c r="SI10" i="5"/>
  <c r="SH10" i="5"/>
  <c r="SG10" i="5"/>
  <c r="SF10" i="5"/>
  <c r="SE10" i="5"/>
  <c r="SD10" i="5"/>
  <c r="SC10" i="5"/>
  <c r="SB10" i="5"/>
  <c r="SA10" i="5"/>
  <c r="RZ10" i="5"/>
  <c r="RY10" i="5"/>
  <c r="RX10" i="5"/>
  <c r="RW10" i="5"/>
  <c r="RV10" i="5"/>
  <c r="RU10" i="5"/>
  <c r="RT10" i="5"/>
  <c r="RS10" i="5"/>
  <c r="RR10" i="5"/>
  <c r="RQ10" i="5"/>
  <c r="RP10" i="5"/>
  <c r="RO10" i="5"/>
  <c r="RN10" i="5"/>
  <c r="RM10" i="5"/>
  <c r="RL10" i="5"/>
  <c r="RK10" i="5"/>
  <c r="RJ10" i="5"/>
  <c r="RI10" i="5"/>
  <c r="RH10" i="5"/>
  <c r="RG10" i="5"/>
  <c r="RF10" i="5"/>
  <c r="RE10" i="5"/>
  <c r="RD10" i="5"/>
  <c r="RC10" i="5"/>
  <c r="RB10" i="5"/>
  <c r="RA10" i="5"/>
  <c r="QZ10" i="5"/>
  <c r="QY10" i="5"/>
  <c r="QX10" i="5"/>
  <c r="QW10" i="5"/>
  <c r="QV10" i="5"/>
  <c r="QU10" i="5"/>
  <c r="QT10" i="5"/>
  <c r="QS10" i="5"/>
  <c r="QR10" i="5"/>
  <c r="QQ10" i="5"/>
  <c r="QP10" i="5"/>
  <c r="QO10" i="5"/>
  <c r="QN10" i="5"/>
  <c r="QM10" i="5"/>
  <c r="QL10" i="5"/>
  <c r="QK10" i="5"/>
  <c r="QJ10" i="5"/>
  <c r="QI10" i="5"/>
  <c r="QH10" i="5"/>
  <c r="QG10" i="5"/>
  <c r="QF10" i="5"/>
  <c r="QE10" i="5"/>
  <c r="QD10" i="5"/>
  <c r="QC10" i="5"/>
  <c r="QB10" i="5"/>
  <c r="QA10" i="5"/>
  <c r="PZ10" i="5"/>
  <c r="PY10" i="5"/>
  <c r="PX10" i="5"/>
  <c r="PW10" i="5"/>
  <c r="PV10" i="5"/>
  <c r="PU10" i="5"/>
  <c r="PT10" i="5"/>
  <c r="PS10" i="5"/>
  <c r="PR10" i="5"/>
  <c r="PQ10" i="5"/>
  <c r="PP10" i="5"/>
  <c r="PO10" i="5"/>
  <c r="PN10" i="5"/>
  <c r="PM10" i="5"/>
  <c r="PL10" i="5"/>
  <c r="PK10" i="5"/>
  <c r="PJ10" i="5"/>
  <c r="PI10" i="5"/>
  <c r="PH10" i="5"/>
  <c r="PG10" i="5"/>
  <c r="PF10" i="5"/>
  <c r="PE10" i="5"/>
  <c r="PD10" i="5"/>
  <c r="PC10" i="5"/>
  <c r="PB10" i="5"/>
  <c r="PA10" i="5"/>
  <c r="OZ10" i="5"/>
  <c r="OY10" i="5"/>
  <c r="OX10" i="5"/>
  <c r="OW10" i="5"/>
  <c r="OV10" i="5"/>
  <c r="OU10" i="5"/>
  <c r="OT10" i="5"/>
  <c r="OS10" i="5"/>
  <c r="OR10" i="5"/>
  <c r="OQ10" i="5"/>
  <c r="OP10" i="5"/>
  <c r="OO10" i="5"/>
  <c r="ON10" i="5"/>
  <c r="OM10" i="5"/>
  <c r="OL10" i="5"/>
  <c r="OK10" i="5"/>
  <c r="OJ10" i="5"/>
  <c r="OI10" i="5"/>
  <c r="OH10" i="5"/>
  <c r="OG10" i="5"/>
  <c r="OF10" i="5"/>
  <c r="OE10" i="5"/>
  <c r="OD10" i="5"/>
  <c r="OC10" i="5"/>
  <c r="OB10" i="5"/>
  <c r="OA10" i="5"/>
  <c r="NZ10" i="5"/>
  <c r="NY10" i="5"/>
  <c r="NX10" i="5"/>
  <c r="NW10" i="5"/>
  <c r="NV10" i="5"/>
  <c r="NU10" i="5"/>
  <c r="NT10" i="5"/>
  <c r="NS10" i="5"/>
  <c r="NR10" i="5"/>
  <c r="NQ10" i="5"/>
  <c r="NP10" i="5"/>
  <c r="NO10" i="5"/>
  <c r="NN10" i="5"/>
  <c r="NM10" i="5"/>
  <c r="NL10" i="5"/>
  <c r="NK10" i="5"/>
  <c r="NJ10" i="5"/>
  <c r="NI10" i="5"/>
  <c r="NH10" i="5"/>
  <c r="NG10" i="5"/>
  <c r="NF10" i="5"/>
  <c r="NE10" i="5"/>
  <c r="ND10" i="5"/>
  <c r="NC10" i="5"/>
  <c r="NB10" i="5"/>
  <c r="NA10" i="5"/>
  <c r="MZ10" i="5"/>
  <c r="MY10" i="5"/>
  <c r="MX10" i="5"/>
  <c r="MW10" i="5"/>
  <c r="MV10" i="5"/>
  <c r="MU10" i="5"/>
  <c r="MT10" i="5"/>
  <c r="MS10" i="5"/>
  <c r="MR10" i="5"/>
  <c r="MQ10" i="5"/>
  <c r="MP10" i="5"/>
  <c r="MO10" i="5"/>
  <c r="MN10" i="5"/>
  <c r="MM10" i="5"/>
  <c r="ML10" i="5"/>
  <c r="MK10" i="5"/>
  <c r="MJ10" i="5"/>
  <c r="MI10" i="5"/>
  <c r="MH10" i="5"/>
  <c r="MG10" i="5"/>
  <c r="MF10" i="5"/>
  <c r="ME10" i="5"/>
  <c r="MD10" i="5"/>
  <c r="MC10" i="5"/>
  <c r="MB10" i="5"/>
  <c r="MA10" i="5"/>
  <c r="LZ10" i="5"/>
  <c r="LY10" i="5"/>
  <c r="LX10" i="5"/>
  <c r="LW10" i="5"/>
  <c r="LV10" i="5"/>
  <c r="LU10" i="5"/>
  <c r="LT10" i="5"/>
  <c r="LS10" i="5"/>
  <c r="LR10" i="5"/>
  <c r="LQ10" i="5"/>
  <c r="LP10" i="5"/>
  <c r="LO10" i="5"/>
  <c r="LN10" i="5"/>
  <c r="LM10" i="5"/>
  <c r="LL10" i="5"/>
  <c r="LK10" i="5"/>
  <c r="LJ10" i="5"/>
  <c r="LI10" i="5"/>
  <c r="LH10" i="5"/>
  <c r="LG10" i="5"/>
  <c r="LF10" i="5"/>
  <c r="LE10" i="5"/>
  <c r="LD10" i="5"/>
  <c r="LC10" i="5"/>
  <c r="LB10" i="5"/>
  <c r="LA10" i="5"/>
  <c r="KZ10" i="5"/>
  <c r="KY10" i="5"/>
  <c r="KX10" i="5"/>
  <c r="KW10" i="5"/>
  <c r="KV10" i="5"/>
  <c r="KU10" i="5"/>
  <c r="KT10" i="5"/>
  <c r="KS10" i="5"/>
  <c r="KR10" i="5"/>
  <c r="KQ10" i="5"/>
  <c r="KP10" i="5"/>
  <c r="KO10" i="5"/>
  <c r="KN10" i="5"/>
  <c r="KM10" i="5"/>
  <c r="KL10" i="5"/>
  <c r="KK10" i="5"/>
  <c r="KJ10" i="5"/>
  <c r="KI10" i="5"/>
  <c r="KH10" i="5"/>
  <c r="KG10" i="5"/>
  <c r="KF10" i="5"/>
  <c r="KE10" i="5"/>
  <c r="KD10" i="5"/>
  <c r="KC10" i="5"/>
  <c r="KB10" i="5"/>
  <c r="KA10" i="5"/>
  <c r="JZ10" i="5"/>
  <c r="JY10" i="5"/>
  <c r="JX10" i="5"/>
  <c r="JW10" i="5"/>
  <c r="JV10" i="5"/>
  <c r="JU10" i="5"/>
  <c r="JT10" i="5"/>
  <c r="JS10" i="5"/>
  <c r="JR10" i="5"/>
  <c r="JQ10" i="5"/>
  <c r="JP10" i="5"/>
  <c r="JO10" i="5"/>
  <c r="JN10" i="5"/>
  <c r="JM10" i="5"/>
  <c r="JL10" i="5"/>
  <c r="JK10" i="5"/>
  <c r="JJ10" i="5"/>
  <c r="JI10" i="5"/>
  <c r="JH10" i="5"/>
  <c r="JG10" i="5"/>
  <c r="JF10" i="5"/>
  <c r="JE10" i="5"/>
  <c r="JD10" i="5"/>
  <c r="JC10" i="5"/>
  <c r="JB10" i="5"/>
  <c r="JA10" i="5"/>
  <c r="IZ10" i="5"/>
  <c r="IY10" i="5"/>
  <c r="IX10" i="5"/>
  <c r="IW10" i="5"/>
  <c r="IV10" i="5"/>
  <c r="IU10" i="5"/>
  <c r="IT10" i="5"/>
  <c r="IS10" i="5"/>
  <c r="IR10" i="5"/>
  <c r="IQ10" i="5"/>
  <c r="IP10" i="5"/>
  <c r="IO10" i="5"/>
  <c r="IN10" i="5"/>
  <c r="IM10" i="5"/>
  <c r="IL10" i="5"/>
  <c r="IK10" i="5"/>
  <c r="IJ10" i="5"/>
  <c r="II10" i="5"/>
  <c r="IH10" i="5"/>
  <c r="IG10" i="5"/>
  <c r="IF10" i="5"/>
  <c r="IE10" i="5"/>
  <c r="ID10" i="5"/>
  <c r="IC10" i="5"/>
  <c r="IB10" i="5"/>
  <c r="IA10" i="5"/>
  <c r="HZ10" i="5"/>
  <c r="HY10" i="5"/>
  <c r="HX10" i="5"/>
  <c r="HW10" i="5"/>
  <c r="HV10" i="5"/>
  <c r="HU10" i="5"/>
  <c r="HT10" i="5"/>
  <c r="HS10" i="5"/>
  <c r="HR10" i="5"/>
  <c r="HQ10" i="5"/>
  <c r="HP10" i="5"/>
  <c r="HO10" i="5"/>
  <c r="HN10" i="5"/>
  <c r="HM10" i="5"/>
  <c r="HL10" i="5"/>
  <c r="HK10" i="5"/>
  <c r="HJ10" i="5"/>
  <c r="HI10" i="5"/>
  <c r="HH10" i="5"/>
  <c r="HG10" i="5"/>
  <c r="HF10" i="5"/>
  <c r="HE10" i="5"/>
  <c r="HD10" i="5"/>
  <c r="HC10" i="5"/>
  <c r="HB10" i="5"/>
  <c r="HA10" i="5"/>
  <c r="GZ10" i="5"/>
  <c r="GY10" i="5"/>
  <c r="GX10" i="5"/>
  <c r="GW10" i="5"/>
  <c r="GV10" i="5"/>
  <c r="GU10" i="5"/>
  <c r="GT10" i="5"/>
  <c r="GS10" i="5"/>
  <c r="GR10" i="5"/>
  <c r="GQ10" i="5"/>
  <c r="GP10" i="5"/>
  <c r="GO10" i="5"/>
  <c r="GN10" i="5"/>
  <c r="GM10" i="5"/>
  <c r="GL10" i="5"/>
  <c r="GK10" i="5"/>
  <c r="GJ10" i="5"/>
  <c r="GI10" i="5"/>
  <c r="GH10" i="5"/>
  <c r="GG10" i="5"/>
  <c r="GF10" i="5"/>
  <c r="GE10" i="5"/>
  <c r="GD10" i="5"/>
  <c r="GC10" i="5"/>
  <c r="GB10" i="5"/>
  <c r="GA10" i="5"/>
  <c r="FZ10" i="5"/>
  <c r="FY10" i="5"/>
  <c r="FX10" i="5"/>
  <c r="FW10" i="5"/>
  <c r="FV10" i="5"/>
  <c r="FU10" i="5"/>
  <c r="FT10" i="5"/>
  <c r="FS10" i="5"/>
  <c r="FR10" i="5"/>
  <c r="FQ10" i="5"/>
  <c r="FP10" i="5"/>
  <c r="FO10" i="5"/>
  <c r="FN10" i="5"/>
  <c r="FM10" i="5"/>
  <c r="FL10" i="5"/>
  <c r="FK10" i="5"/>
  <c r="FJ10" i="5"/>
  <c r="FI10" i="5"/>
  <c r="FH10" i="5"/>
  <c r="FG10" i="5"/>
  <c r="FF10" i="5"/>
  <c r="FE10" i="5"/>
  <c r="FD10" i="5"/>
  <c r="FC10" i="5"/>
  <c r="FB10" i="5"/>
  <c r="FA10" i="5"/>
  <c r="EZ10" i="5"/>
  <c r="EY10" i="5"/>
  <c r="EX10" i="5"/>
  <c r="EW10" i="5"/>
  <c r="EV10" i="5"/>
  <c r="EU10" i="5"/>
  <c r="ET10" i="5"/>
  <c r="ES10" i="5"/>
  <c r="ER10" i="5"/>
  <c r="EQ10" i="5"/>
  <c r="EP10" i="5"/>
  <c r="EO10" i="5"/>
  <c r="EN10" i="5"/>
  <c r="EM10" i="5"/>
  <c r="EL10" i="5"/>
  <c r="EK10" i="5"/>
  <c r="EJ10" i="5"/>
  <c r="EI10" i="5"/>
  <c r="EH10" i="5"/>
  <c r="EG10" i="5"/>
  <c r="EF10" i="5"/>
  <c r="EE10" i="5"/>
  <c r="ED10" i="5"/>
  <c r="EC10" i="5"/>
  <c r="EB10" i="5"/>
  <c r="EA10" i="5"/>
  <c r="DZ10" i="5"/>
  <c r="DY10" i="5"/>
  <c r="DX10" i="5"/>
  <c r="DW10" i="5"/>
  <c r="DV10" i="5"/>
  <c r="DU10" i="5"/>
  <c r="DT10" i="5"/>
  <c r="DS10" i="5"/>
  <c r="DR10" i="5"/>
  <c r="DQ10" i="5"/>
  <c r="DP10" i="5"/>
  <c r="DO10" i="5"/>
  <c r="DN10" i="5"/>
  <c r="DM10" i="5"/>
  <c r="DL10" i="5"/>
  <c r="DK10" i="5"/>
  <c r="DJ10" i="5"/>
  <c r="DI10" i="5"/>
  <c r="DH10" i="5"/>
  <c r="DG10" i="5"/>
  <c r="DF10" i="5"/>
  <c r="DE10" i="5"/>
  <c r="DD10" i="5"/>
  <c r="DC10" i="5"/>
  <c r="DB10" i="5"/>
  <c r="DA10" i="5"/>
  <c r="CZ10" i="5"/>
  <c r="CY10" i="5"/>
  <c r="CX10" i="5"/>
  <c r="CW10" i="5"/>
  <c r="CV10" i="5"/>
  <c r="CU10" i="5"/>
  <c r="CT10" i="5"/>
  <c r="CS10" i="5"/>
  <c r="CR10" i="5"/>
  <c r="CQ10" i="5"/>
  <c r="CP10" i="5"/>
  <c r="CO10" i="5"/>
  <c r="CN10" i="5"/>
  <c r="CM10" i="5"/>
  <c r="CL10" i="5"/>
  <c r="CK10" i="5"/>
  <c r="CJ10" i="5"/>
  <c r="CI10" i="5"/>
  <c r="CH10" i="5"/>
  <c r="CG10" i="5"/>
  <c r="CF10" i="5"/>
  <c r="CE10" i="5"/>
  <c r="CD10" i="5"/>
  <c r="CC10" i="5"/>
  <c r="CB10" i="5"/>
  <c r="CA10" i="5"/>
  <c r="BZ10" i="5"/>
  <c r="BY10" i="5"/>
  <c r="BX10" i="5"/>
  <c r="BW10" i="5"/>
  <c r="BV10" i="5"/>
  <c r="BU10" i="5"/>
  <c r="BT10" i="5"/>
  <c r="BS10" i="5"/>
  <c r="BR10" i="5"/>
  <c r="BQ10" i="5"/>
  <c r="BP10" i="5"/>
  <c r="BO10" i="5"/>
  <c r="BN10" i="5"/>
  <c r="BM10" i="5"/>
  <c r="BL10" i="5"/>
  <c r="BK10" i="5"/>
  <c r="BJ10" i="5"/>
  <c r="BI10" i="5"/>
  <c r="BH10" i="5"/>
  <c r="BG10" i="5"/>
  <c r="BF10" i="5"/>
  <c r="BE10" i="5"/>
  <c r="BD10" i="5"/>
  <c r="BC10" i="5"/>
  <c r="BB10" i="5"/>
  <c r="BA10" i="5"/>
  <c r="AZ10" i="5"/>
  <c r="AY10" i="5"/>
  <c r="AX10" i="5"/>
  <c r="AW10" i="5"/>
  <c r="AV10" i="5"/>
  <c r="AU10" i="5"/>
  <c r="AT10" i="5"/>
  <c r="AS10" i="5"/>
  <c r="AR10" i="5"/>
  <c r="AQ10" i="5"/>
  <c r="AP10" i="5"/>
  <c r="AO10" i="5"/>
  <c r="AN10" i="5"/>
  <c r="AM10" i="5"/>
  <c r="AL10" i="5"/>
  <c r="AK10" i="5"/>
  <c r="AJ10" i="5"/>
  <c r="AI10" i="5"/>
  <c r="AH10" i="5"/>
  <c r="AG10" i="5"/>
  <c r="AF10" i="5"/>
  <c r="AE10" i="5"/>
  <c r="AD10" i="5"/>
  <c r="AC10" i="5"/>
  <c r="AB10" i="5"/>
  <c r="AA10" i="5"/>
  <c r="Z10" i="5"/>
  <c r="Y10" i="5"/>
  <c r="X10" i="5"/>
  <c r="W10" i="5"/>
  <c r="V10" i="5"/>
  <c r="U10" i="5"/>
  <c r="T10" i="5"/>
  <c r="S10" i="5"/>
  <c r="R10" i="5"/>
  <c r="Q10" i="5"/>
  <c r="P10" i="5"/>
  <c r="O10" i="5"/>
  <c r="N10" i="5"/>
  <c r="M10" i="5"/>
  <c r="L10" i="5"/>
  <c r="K10" i="5"/>
  <c r="J10" i="5"/>
  <c r="I10" i="5"/>
  <c r="H10" i="5"/>
  <c r="G10" i="5"/>
  <c r="F10" i="5"/>
  <c r="E10" i="5"/>
  <c r="D10" i="5"/>
  <c r="C10" i="5"/>
  <c r="B10" i="5"/>
  <c r="AHA8" i="5"/>
  <c r="AGZ8" i="5"/>
  <c r="AGY8" i="5"/>
  <c r="AGX8" i="5"/>
  <c r="AGW8" i="5"/>
  <c r="AGV8" i="5"/>
  <c r="AGU8" i="5"/>
  <c r="AGS8" i="5"/>
  <c r="AGR8" i="5"/>
  <c r="AGQ8" i="5"/>
  <c r="AGP8" i="5"/>
  <c r="AGO8" i="5"/>
  <c r="AGN8" i="5"/>
  <c r="AGM8" i="5"/>
  <c r="AGL8" i="5"/>
  <c r="AGK8" i="5"/>
  <c r="AGJ8" i="5"/>
  <c r="AGI8" i="5"/>
  <c r="AGH8" i="5"/>
  <c r="AGG8" i="5"/>
  <c r="AGF8" i="5"/>
  <c r="AGE8" i="5"/>
  <c r="AGD8" i="5"/>
  <c r="AGC8" i="5"/>
  <c r="AGB8" i="5"/>
  <c r="AGA8" i="5"/>
  <c r="AFZ8" i="5"/>
  <c r="AFY8" i="5"/>
  <c r="AFX8" i="5"/>
  <c r="AFW8" i="5"/>
  <c r="AFV8" i="5"/>
  <c r="AFU8" i="5"/>
  <c r="AFT8" i="5"/>
  <c r="AFS8" i="5"/>
  <c r="AFR8" i="5"/>
  <c r="AFQ8" i="5"/>
  <c r="AFP8" i="5"/>
  <c r="AFO8" i="5"/>
  <c r="AFN8" i="5"/>
  <c r="AFM8" i="5"/>
  <c r="AFL8" i="5"/>
  <c r="AFK8" i="5"/>
  <c r="AFJ8" i="5"/>
  <c r="AFI8" i="5"/>
  <c r="AFH8" i="5"/>
  <c r="AFG8" i="5"/>
  <c r="AFF8" i="5"/>
  <c r="AFE8" i="5"/>
  <c r="AFD8" i="5"/>
  <c r="AFC8" i="5"/>
  <c r="AFB8" i="5"/>
  <c r="AFA8" i="5"/>
  <c r="AEZ8" i="5"/>
  <c r="AEY8" i="5"/>
  <c r="AEX8" i="5"/>
  <c r="AEW8" i="5"/>
  <c r="AEV8" i="5"/>
  <c r="AEU8" i="5"/>
  <c r="AET8" i="5"/>
  <c r="AES8" i="5"/>
  <c r="AER8" i="5"/>
  <c r="AEQ8" i="5"/>
  <c r="AEP8" i="5"/>
  <c r="AEO8" i="5"/>
  <c r="AEN8" i="5"/>
  <c r="AEM8" i="5"/>
  <c r="AEL8" i="5"/>
  <c r="AEK8" i="5"/>
  <c r="AEJ8" i="5"/>
  <c r="AEI8" i="5"/>
  <c r="AEH8" i="5"/>
  <c r="AEG8" i="5"/>
  <c r="AEF8" i="5"/>
  <c r="AEE8" i="5"/>
  <c r="AED8" i="5"/>
  <c r="AEC8" i="5"/>
  <c r="AEB8" i="5"/>
  <c r="AEA8" i="5"/>
  <c r="ADZ8" i="5"/>
  <c r="ADY8" i="5"/>
  <c r="ADX8" i="5"/>
  <c r="ADW8" i="5"/>
  <c r="ADV8" i="5"/>
  <c r="ADU8" i="5"/>
  <c r="ADT8" i="5"/>
  <c r="ADS8" i="5"/>
  <c r="ADR8" i="5"/>
  <c r="ADQ8" i="5"/>
  <c r="ADP8" i="5"/>
  <c r="ADO8" i="5"/>
  <c r="ADN8" i="5"/>
  <c r="ADM8" i="5"/>
  <c r="ADL8" i="5"/>
  <c r="ADK8" i="5"/>
  <c r="ADJ8" i="5"/>
  <c r="ADI8" i="5"/>
  <c r="ADH8" i="5"/>
  <c r="ADG8" i="5"/>
  <c r="ADF8" i="5"/>
  <c r="ADE8" i="5"/>
  <c r="ADD8" i="5"/>
  <c r="ADC8" i="5"/>
  <c r="ADB8" i="5"/>
  <c r="ADA8" i="5"/>
  <c r="ACZ8" i="5"/>
  <c r="ACY8" i="5"/>
  <c r="ACX8" i="5"/>
  <c r="ACW8" i="5"/>
  <c r="ACV8" i="5"/>
  <c r="ACU8" i="5"/>
  <c r="ACT8" i="5"/>
  <c r="ACS8" i="5"/>
  <c r="ACR8" i="5"/>
  <c r="ACQ8" i="5"/>
  <c r="ACP8" i="5"/>
  <c r="ACO8" i="5"/>
  <c r="ACN8" i="5"/>
  <c r="ACM8" i="5"/>
  <c r="ACL8" i="5"/>
  <c r="ACK8" i="5"/>
  <c r="ACJ8" i="5"/>
  <c r="ACI8" i="5"/>
  <c r="ACH8" i="5"/>
  <c r="ACG8" i="5"/>
  <c r="ACF8" i="5"/>
  <c r="ACE8" i="5"/>
  <c r="ACD8" i="5"/>
  <c r="ACC8" i="5"/>
  <c r="ACB8" i="5"/>
  <c r="ACA8" i="5"/>
  <c r="ABZ8" i="5"/>
  <c r="ABY8" i="5"/>
  <c r="ABX8" i="5"/>
  <c r="ABW8" i="5"/>
  <c r="ABV8" i="5"/>
  <c r="ABU8" i="5"/>
  <c r="ABT8" i="5"/>
  <c r="ABS8" i="5"/>
  <c r="ABR8" i="5"/>
  <c r="ABQ8" i="5"/>
  <c r="ABP8" i="5"/>
  <c r="ABO8" i="5"/>
  <c r="ABN8" i="5"/>
  <c r="ABM8" i="5"/>
  <c r="ABL8" i="5"/>
  <c r="ABK8" i="5"/>
  <c r="ABJ8" i="5"/>
  <c r="ABI8" i="5"/>
  <c r="ABH8" i="5"/>
  <c r="ABG8" i="5"/>
  <c r="ABF8" i="5"/>
  <c r="ABE8" i="5"/>
  <c r="ABD8" i="5"/>
  <c r="ABC8" i="5"/>
  <c r="ABB8" i="5"/>
  <c r="ABA8" i="5"/>
  <c r="AAZ8" i="5"/>
  <c r="AAY8" i="5"/>
  <c r="AAX8" i="5"/>
  <c r="AAW8" i="5"/>
  <c r="AAV8" i="5"/>
  <c r="AAU8" i="5"/>
  <c r="AAT8" i="5"/>
  <c r="AAS8" i="5"/>
  <c r="AAR8" i="5"/>
  <c r="AAQ8" i="5"/>
  <c r="AAP8" i="5"/>
  <c r="AAO8" i="5"/>
  <c r="AAN8" i="5"/>
  <c r="AAM8" i="5"/>
  <c r="AAL8" i="5"/>
  <c r="AAK8" i="5"/>
  <c r="AAJ8" i="5"/>
  <c r="AAI8" i="5"/>
  <c r="AAH8" i="5"/>
  <c r="AAG8" i="5"/>
  <c r="AAF8" i="5"/>
  <c r="AAE8" i="5"/>
  <c r="AAD8" i="5"/>
  <c r="AAC8" i="5"/>
  <c r="AAB8" i="5"/>
  <c r="AAA8" i="5"/>
  <c r="ZZ8" i="5"/>
  <c r="ZY8" i="5"/>
  <c r="ZX8" i="5"/>
  <c r="ZW8" i="5"/>
  <c r="ZV8" i="5"/>
  <c r="ZU8" i="5"/>
  <c r="ZT8" i="5"/>
  <c r="ZS8" i="5"/>
  <c r="ZR8" i="5"/>
  <c r="ZQ8" i="5"/>
  <c r="ZP8" i="5"/>
  <c r="ZO8" i="5"/>
  <c r="ZN8" i="5"/>
  <c r="ZM8" i="5"/>
  <c r="ZL8" i="5"/>
  <c r="ZK8" i="5"/>
  <c r="ZJ8" i="5"/>
  <c r="ZI8" i="5"/>
  <c r="ZH8" i="5"/>
  <c r="ZG8" i="5"/>
  <c r="ZF8" i="5"/>
  <c r="ZE8" i="5"/>
  <c r="ZD8" i="5"/>
  <c r="ZC8" i="5"/>
  <c r="ZB8" i="5"/>
  <c r="ZA8" i="5"/>
  <c r="YZ8" i="5"/>
  <c r="YY8" i="5"/>
  <c r="YX8" i="5"/>
  <c r="YW8" i="5"/>
  <c r="YV8" i="5"/>
  <c r="YU8" i="5"/>
  <c r="YT8" i="5"/>
  <c r="YS8" i="5"/>
  <c r="YR8" i="5"/>
  <c r="YQ8" i="5"/>
  <c r="YP8" i="5"/>
  <c r="YO8" i="5"/>
  <c r="YN8" i="5"/>
  <c r="YM8" i="5"/>
  <c r="YL8" i="5"/>
  <c r="YK8" i="5"/>
  <c r="YJ8" i="5"/>
  <c r="YI8" i="5"/>
  <c r="YH8" i="5"/>
  <c r="YG8" i="5"/>
  <c r="YF8" i="5"/>
  <c r="YE8" i="5"/>
  <c r="YD8" i="5"/>
  <c r="YC8" i="5"/>
  <c r="YB8" i="5"/>
  <c r="YA8" i="5"/>
  <c r="XZ8" i="5"/>
  <c r="XY8" i="5"/>
  <c r="XX8" i="5"/>
  <c r="XW8" i="5"/>
  <c r="XV8" i="5"/>
  <c r="XU8" i="5"/>
  <c r="XT8" i="5"/>
  <c r="XS8" i="5"/>
  <c r="XR8" i="5"/>
  <c r="XQ8" i="5"/>
  <c r="XP8" i="5"/>
  <c r="XO8" i="5"/>
  <c r="XN8" i="5"/>
  <c r="XM8" i="5"/>
  <c r="XL8" i="5"/>
  <c r="XK8" i="5"/>
  <c r="XJ8" i="5"/>
  <c r="XI8" i="5"/>
  <c r="XH8" i="5"/>
  <c r="XG8" i="5"/>
  <c r="XF8" i="5"/>
  <c r="XE8" i="5"/>
  <c r="XD8" i="5"/>
  <c r="XC8" i="5"/>
  <c r="XB8" i="5"/>
  <c r="XA8" i="5"/>
  <c r="WZ8" i="5"/>
  <c r="WY8" i="5"/>
  <c r="WX8" i="5"/>
  <c r="WW8" i="5"/>
  <c r="WV8" i="5"/>
  <c r="WU8" i="5"/>
  <c r="WT8" i="5"/>
  <c r="WS8" i="5"/>
  <c r="WR8" i="5"/>
  <c r="WQ8" i="5"/>
  <c r="WP8" i="5"/>
  <c r="WO8" i="5"/>
  <c r="WN8" i="5"/>
  <c r="WM8" i="5"/>
  <c r="WL8" i="5"/>
  <c r="WK8" i="5"/>
  <c r="WJ8" i="5"/>
  <c r="WI8" i="5"/>
  <c r="WH8" i="5"/>
  <c r="WG8" i="5"/>
  <c r="WF8" i="5"/>
  <c r="WE8" i="5"/>
  <c r="WD8" i="5"/>
  <c r="WC8" i="5"/>
  <c r="WB8" i="5"/>
  <c r="WA8" i="5"/>
  <c r="VZ8" i="5"/>
  <c r="VY8" i="5"/>
  <c r="VX8" i="5"/>
  <c r="VW8" i="5"/>
  <c r="VV8" i="5"/>
  <c r="VU8" i="5"/>
  <c r="VT8" i="5"/>
  <c r="VS8" i="5"/>
  <c r="VR8" i="5"/>
  <c r="VQ8" i="5"/>
  <c r="VP8" i="5"/>
  <c r="VO8" i="5"/>
  <c r="VN8" i="5"/>
  <c r="VM8" i="5"/>
  <c r="VL8" i="5"/>
  <c r="VK8" i="5"/>
  <c r="VJ8" i="5"/>
  <c r="VI8" i="5"/>
  <c r="VH8" i="5"/>
  <c r="VG8" i="5"/>
  <c r="VF8" i="5"/>
  <c r="VE8" i="5"/>
  <c r="VD8" i="5"/>
  <c r="VC8" i="5"/>
  <c r="VB8" i="5"/>
  <c r="VA8" i="5"/>
  <c r="UZ8" i="5"/>
  <c r="UY8" i="5"/>
  <c r="UX8" i="5"/>
  <c r="UW8" i="5"/>
  <c r="UV8" i="5"/>
  <c r="UU8" i="5"/>
  <c r="UT8" i="5"/>
  <c r="US8" i="5"/>
  <c r="UR8" i="5"/>
  <c r="UQ8" i="5"/>
  <c r="UP8" i="5"/>
  <c r="UO8" i="5"/>
  <c r="UN8" i="5"/>
  <c r="UM8" i="5"/>
  <c r="UL8" i="5"/>
  <c r="UK8" i="5"/>
  <c r="UJ8" i="5"/>
  <c r="UI8" i="5"/>
  <c r="UH8" i="5"/>
  <c r="UG8" i="5"/>
  <c r="UF8" i="5"/>
  <c r="UE8" i="5"/>
  <c r="UD8" i="5"/>
  <c r="UC8" i="5"/>
  <c r="UB8" i="5"/>
  <c r="UA8" i="5"/>
  <c r="TZ8" i="5"/>
  <c r="TY8" i="5"/>
  <c r="TX8" i="5"/>
  <c r="TW8" i="5"/>
  <c r="TV8" i="5"/>
  <c r="TU8" i="5"/>
  <c r="TT8" i="5"/>
  <c r="TS8" i="5"/>
  <c r="TR8" i="5"/>
  <c r="TQ8" i="5"/>
  <c r="TP8" i="5"/>
  <c r="TO8" i="5"/>
  <c r="TN8" i="5"/>
  <c r="TM8" i="5"/>
  <c r="TL8" i="5"/>
  <c r="TK8" i="5"/>
  <c r="TJ8" i="5"/>
  <c r="TI8" i="5"/>
  <c r="TH8" i="5"/>
  <c r="TG8" i="5"/>
  <c r="TF8" i="5"/>
  <c r="TE8" i="5"/>
  <c r="TD8" i="5"/>
  <c r="TC8" i="5"/>
  <c r="TB8" i="5"/>
  <c r="TA8" i="5"/>
  <c r="SZ8" i="5"/>
  <c r="SY8" i="5"/>
  <c r="SX8" i="5"/>
  <c r="SW8" i="5"/>
  <c r="SV8" i="5"/>
  <c r="SU8" i="5"/>
  <c r="ST8" i="5"/>
  <c r="SS8" i="5"/>
  <c r="SR8" i="5"/>
  <c r="SQ8" i="5"/>
  <c r="SP8" i="5"/>
  <c r="SO8" i="5"/>
  <c r="SN8" i="5"/>
  <c r="SM8" i="5"/>
  <c r="SL8" i="5"/>
  <c r="SK8" i="5"/>
  <c r="SJ8" i="5"/>
  <c r="SI8" i="5"/>
  <c r="SH8" i="5"/>
  <c r="SG8" i="5"/>
  <c r="SF8" i="5"/>
  <c r="SE8" i="5"/>
  <c r="SD8" i="5"/>
  <c r="SC8" i="5"/>
  <c r="SB8" i="5"/>
  <c r="SA8" i="5"/>
  <c r="RZ8" i="5"/>
  <c r="RY8" i="5"/>
  <c r="RX8" i="5"/>
  <c r="RW8" i="5"/>
  <c r="RV8" i="5"/>
  <c r="RU8" i="5"/>
  <c r="RT8" i="5"/>
  <c r="RS8" i="5"/>
  <c r="RR8" i="5"/>
  <c r="RQ8" i="5"/>
  <c r="RP8" i="5"/>
  <c r="RO8" i="5"/>
  <c r="RN8" i="5"/>
  <c r="RM8" i="5"/>
  <c r="RL8" i="5"/>
  <c r="RK8" i="5"/>
  <c r="RJ8" i="5"/>
  <c r="RI8" i="5"/>
  <c r="RH8" i="5"/>
  <c r="RG8" i="5"/>
  <c r="RF8" i="5"/>
  <c r="RE8" i="5"/>
  <c r="RD8" i="5"/>
  <c r="RC8" i="5"/>
  <c r="RB8" i="5"/>
  <c r="RA8" i="5"/>
  <c r="QZ8" i="5"/>
  <c r="QY8" i="5"/>
  <c r="QX8" i="5"/>
  <c r="QW8" i="5"/>
  <c r="QV8" i="5"/>
  <c r="QU8" i="5"/>
  <c r="QT8" i="5"/>
  <c r="QS8" i="5"/>
  <c r="QR8" i="5"/>
  <c r="QQ8" i="5"/>
  <c r="QP8" i="5"/>
  <c r="QO8" i="5"/>
  <c r="QN8" i="5"/>
  <c r="QM8" i="5"/>
  <c r="QL8" i="5"/>
  <c r="QK8" i="5"/>
  <c r="QJ8" i="5"/>
  <c r="QI8" i="5"/>
  <c r="QH8" i="5"/>
  <c r="QG8" i="5"/>
  <c r="QF8" i="5"/>
  <c r="QE8" i="5"/>
  <c r="QD8" i="5"/>
  <c r="QC8" i="5"/>
  <c r="QB8" i="5"/>
  <c r="QA8" i="5"/>
  <c r="PZ8" i="5"/>
  <c r="PY8" i="5"/>
  <c r="PX8" i="5"/>
  <c r="PW8" i="5"/>
  <c r="PV8" i="5"/>
  <c r="PU8" i="5"/>
  <c r="PT8" i="5"/>
  <c r="PS8" i="5"/>
  <c r="PR8" i="5"/>
  <c r="PQ8" i="5"/>
  <c r="PP8" i="5"/>
  <c r="PO8" i="5"/>
  <c r="PN8" i="5"/>
  <c r="PM8" i="5"/>
  <c r="PL8" i="5"/>
  <c r="PK8" i="5"/>
  <c r="PJ8" i="5"/>
  <c r="PI8" i="5"/>
  <c r="PH8" i="5"/>
  <c r="PG8" i="5"/>
  <c r="PF8" i="5"/>
  <c r="PE8" i="5"/>
  <c r="PD8" i="5"/>
  <c r="PC8" i="5"/>
  <c r="PB8" i="5"/>
  <c r="PA8" i="5"/>
  <c r="OZ8" i="5"/>
  <c r="OY8" i="5"/>
  <c r="OX8" i="5"/>
  <c r="OW8" i="5"/>
  <c r="OV8" i="5"/>
  <c r="OU8" i="5"/>
  <c r="OT8" i="5"/>
  <c r="OS8" i="5"/>
  <c r="OR8" i="5"/>
  <c r="OQ8" i="5"/>
  <c r="OP8" i="5"/>
  <c r="OO8" i="5"/>
  <c r="ON8" i="5"/>
  <c r="OM8" i="5"/>
  <c r="OL8" i="5"/>
  <c r="OK8" i="5"/>
  <c r="OJ8" i="5"/>
  <c r="OI8" i="5"/>
  <c r="OH8" i="5"/>
  <c r="OG8" i="5"/>
  <c r="OF8" i="5"/>
  <c r="OE8" i="5"/>
  <c r="OD8" i="5"/>
  <c r="OC8" i="5"/>
  <c r="OB8" i="5"/>
  <c r="OA8" i="5"/>
  <c r="NZ8" i="5"/>
  <c r="NY8" i="5"/>
  <c r="NX8" i="5"/>
  <c r="NW8" i="5"/>
  <c r="NV8" i="5"/>
  <c r="NU8" i="5"/>
  <c r="NT8" i="5"/>
  <c r="NS8" i="5"/>
  <c r="NR8" i="5"/>
  <c r="NQ8" i="5"/>
  <c r="NP8" i="5"/>
  <c r="NO8" i="5"/>
  <c r="NN8" i="5"/>
  <c r="NM8" i="5"/>
  <c r="NL8" i="5"/>
  <c r="NK8" i="5"/>
  <c r="NJ8" i="5"/>
  <c r="NI8" i="5"/>
  <c r="NH8" i="5"/>
  <c r="NG8" i="5"/>
  <c r="NF8" i="5"/>
  <c r="NE8" i="5"/>
  <c r="ND8" i="5"/>
  <c r="NC8" i="5"/>
  <c r="NB8" i="5"/>
  <c r="NA8" i="5"/>
  <c r="MZ8" i="5"/>
  <c r="MY8" i="5"/>
  <c r="MX8" i="5"/>
  <c r="MW8" i="5"/>
  <c r="MV8" i="5"/>
  <c r="MU8" i="5"/>
  <c r="MT8" i="5"/>
  <c r="MS8" i="5"/>
  <c r="MR8" i="5"/>
  <c r="MQ8" i="5"/>
  <c r="MP8" i="5"/>
  <c r="MO8" i="5"/>
  <c r="MN8" i="5"/>
  <c r="MM8" i="5"/>
  <c r="ML8" i="5"/>
  <c r="MK8" i="5"/>
  <c r="MJ8" i="5"/>
  <c r="MI8" i="5"/>
  <c r="MH8" i="5"/>
  <c r="MG8" i="5"/>
  <c r="MF8" i="5"/>
  <c r="ME8" i="5"/>
  <c r="MD8" i="5"/>
  <c r="MC8" i="5"/>
  <c r="MB8" i="5"/>
  <c r="MA8" i="5"/>
  <c r="LZ8" i="5"/>
  <c r="LY8" i="5"/>
  <c r="LX8" i="5"/>
  <c r="LW8" i="5"/>
  <c r="LV8" i="5"/>
  <c r="LU8" i="5"/>
  <c r="LT8" i="5"/>
  <c r="LS8" i="5"/>
  <c r="LR8" i="5"/>
  <c r="LQ8" i="5"/>
  <c r="LP8" i="5"/>
  <c r="LO8" i="5"/>
  <c r="LN8" i="5"/>
  <c r="LM8" i="5"/>
  <c r="LL8" i="5"/>
  <c r="LK8" i="5"/>
  <c r="LJ8" i="5"/>
  <c r="LI8" i="5"/>
  <c r="LH8" i="5"/>
  <c r="LG8" i="5"/>
  <c r="LF8" i="5"/>
  <c r="LE8" i="5"/>
  <c r="LD8" i="5"/>
  <c r="LC8" i="5"/>
  <c r="LB8" i="5"/>
  <c r="LA8" i="5"/>
  <c r="KZ8" i="5"/>
  <c r="KY8" i="5"/>
  <c r="KX8" i="5"/>
  <c r="KW8" i="5"/>
  <c r="KV8" i="5"/>
  <c r="KU8" i="5"/>
  <c r="KT8" i="5"/>
  <c r="KS8" i="5"/>
  <c r="KR8" i="5"/>
  <c r="KQ8" i="5"/>
  <c r="KP8" i="5"/>
  <c r="KO8" i="5"/>
  <c r="KN8" i="5"/>
  <c r="KM8" i="5"/>
  <c r="KL8" i="5"/>
  <c r="KK8" i="5"/>
  <c r="KJ8" i="5"/>
  <c r="KI8" i="5"/>
  <c r="KH8" i="5"/>
  <c r="KG8" i="5"/>
  <c r="KF8" i="5"/>
  <c r="KE8" i="5"/>
  <c r="KD8" i="5"/>
  <c r="KC8" i="5"/>
  <c r="KB8" i="5"/>
  <c r="KA8" i="5"/>
  <c r="JZ8" i="5"/>
  <c r="JY8" i="5"/>
  <c r="JX8" i="5"/>
  <c r="JW8" i="5"/>
  <c r="JV8" i="5"/>
  <c r="JU8" i="5"/>
  <c r="JT8" i="5"/>
  <c r="JS8" i="5"/>
  <c r="JR8" i="5"/>
  <c r="JQ8" i="5"/>
  <c r="JP8" i="5"/>
  <c r="JO8" i="5"/>
  <c r="JN8" i="5"/>
  <c r="JM8" i="5"/>
  <c r="JL8" i="5"/>
  <c r="JK8" i="5"/>
  <c r="JJ8" i="5"/>
  <c r="JI8" i="5"/>
  <c r="JH8" i="5"/>
  <c r="JG8" i="5"/>
  <c r="JF8" i="5"/>
  <c r="JE8" i="5"/>
  <c r="JD8" i="5"/>
  <c r="JC8" i="5"/>
  <c r="JB8" i="5"/>
  <c r="JA8" i="5"/>
  <c r="IZ8" i="5"/>
  <c r="IY8" i="5"/>
  <c r="IX8" i="5"/>
  <c r="IW8" i="5"/>
  <c r="IV8" i="5"/>
  <c r="IU8" i="5"/>
  <c r="IT8" i="5"/>
  <c r="IS8" i="5"/>
  <c r="IR8" i="5"/>
  <c r="IQ8" i="5"/>
  <c r="IP8" i="5"/>
  <c r="IO8" i="5"/>
  <c r="IN8" i="5"/>
  <c r="IM8" i="5"/>
  <c r="IL8" i="5"/>
  <c r="IK8" i="5"/>
  <c r="IJ8" i="5"/>
  <c r="II8" i="5"/>
  <c r="IH8" i="5"/>
  <c r="IG8" i="5"/>
  <c r="IF8" i="5"/>
  <c r="IE8" i="5"/>
  <c r="ID8" i="5"/>
  <c r="IC8" i="5"/>
  <c r="IB8" i="5"/>
  <c r="IA8" i="5"/>
  <c r="HZ8" i="5"/>
  <c r="HY8" i="5"/>
  <c r="HX8" i="5"/>
  <c r="HW8" i="5"/>
  <c r="HV8" i="5"/>
  <c r="HU8" i="5"/>
  <c r="HT8" i="5"/>
  <c r="HS8" i="5"/>
  <c r="HR8" i="5"/>
  <c r="HQ8" i="5"/>
  <c r="HP8" i="5"/>
  <c r="HO8" i="5"/>
  <c r="HN8" i="5"/>
  <c r="HM8" i="5"/>
  <c r="HL8" i="5"/>
  <c r="HK8" i="5"/>
  <c r="HJ8" i="5"/>
  <c r="HI8" i="5"/>
  <c r="HH8" i="5"/>
  <c r="HG8" i="5"/>
  <c r="HF8" i="5"/>
  <c r="HE8" i="5"/>
  <c r="HD8" i="5"/>
  <c r="HC8" i="5"/>
  <c r="HB8" i="5"/>
  <c r="HA8" i="5"/>
  <c r="GZ8" i="5"/>
  <c r="GY8" i="5"/>
  <c r="GX8" i="5"/>
  <c r="GW8" i="5"/>
  <c r="GV8" i="5"/>
  <c r="GU8" i="5"/>
  <c r="GT8" i="5"/>
  <c r="GS8" i="5"/>
  <c r="GR8" i="5"/>
  <c r="GQ8" i="5"/>
  <c r="GP8" i="5"/>
  <c r="GO8" i="5"/>
  <c r="GN8" i="5"/>
  <c r="GM8" i="5"/>
  <c r="GL8" i="5"/>
  <c r="GK8" i="5"/>
  <c r="GJ8" i="5"/>
  <c r="GI8" i="5"/>
  <c r="GH8" i="5"/>
  <c r="GG8" i="5"/>
  <c r="GF8" i="5"/>
  <c r="GE8" i="5"/>
  <c r="GD8" i="5"/>
  <c r="GC8" i="5"/>
  <c r="GB8" i="5"/>
  <c r="GA8" i="5"/>
  <c r="FZ8" i="5"/>
  <c r="FY8" i="5"/>
  <c r="FX8" i="5"/>
  <c r="FW8" i="5"/>
  <c r="FV8" i="5"/>
  <c r="FU8" i="5"/>
  <c r="FT8" i="5"/>
  <c r="FS8" i="5"/>
  <c r="FR8" i="5"/>
  <c r="FQ8" i="5"/>
  <c r="FP8" i="5"/>
  <c r="FO8" i="5"/>
  <c r="FN8" i="5"/>
  <c r="FM8" i="5"/>
  <c r="FL8" i="5"/>
  <c r="FK8" i="5"/>
  <c r="FJ8" i="5"/>
  <c r="FI8" i="5"/>
  <c r="FH8" i="5"/>
  <c r="FG8" i="5"/>
  <c r="FF8" i="5"/>
  <c r="FE8" i="5"/>
  <c r="FD8" i="5"/>
  <c r="FC8" i="5"/>
  <c r="FB8" i="5"/>
  <c r="FA8" i="5"/>
  <c r="EZ8" i="5"/>
  <c r="EY8" i="5"/>
  <c r="EX8" i="5"/>
  <c r="EW8" i="5"/>
  <c r="EV8" i="5"/>
  <c r="EU8" i="5"/>
  <c r="ET8" i="5"/>
  <c r="ES8" i="5"/>
  <c r="ER8" i="5"/>
  <c r="EQ8" i="5"/>
  <c r="EP8" i="5"/>
  <c r="EO8" i="5"/>
  <c r="EN8" i="5"/>
  <c r="EM8" i="5"/>
  <c r="EL8" i="5"/>
  <c r="EK8" i="5"/>
  <c r="EJ8" i="5"/>
  <c r="EI8" i="5"/>
  <c r="EH8" i="5"/>
  <c r="EG8" i="5"/>
  <c r="EF8" i="5"/>
  <c r="EE8" i="5"/>
  <c r="ED8" i="5"/>
  <c r="EC8" i="5"/>
  <c r="EB8" i="5"/>
  <c r="EA8" i="5"/>
  <c r="DZ8" i="5"/>
  <c r="DY8" i="5"/>
  <c r="DX8" i="5"/>
  <c r="DW8" i="5"/>
  <c r="DV8" i="5"/>
  <c r="DU8" i="5"/>
  <c r="DT8" i="5"/>
  <c r="DS8" i="5"/>
  <c r="DR8" i="5"/>
  <c r="DQ8" i="5"/>
  <c r="DP8" i="5"/>
  <c r="DO8" i="5"/>
  <c r="DN8" i="5"/>
  <c r="DM8" i="5"/>
  <c r="DL8" i="5"/>
  <c r="DK8" i="5"/>
  <c r="DJ8" i="5"/>
  <c r="DI8" i="5"/>
  <c r="DH8" i="5"/>
  <c r="DG8" i="5"/>
  <c r="DF8" i="5"/>
  <c r="DE8" i="5"/>
  <c r="DD8" i="5"/>
  <c r="DC8" i="5"/>
  <c r="DB8" i="5"/>
  <c r="DA8" i="5"/>
  <c r="CZ8" i="5"/>
  <c r="CY8" i="5"/>
  <c r="CX8" i="5"/>
  <c r="CW8" i="5"/>
  <c r="CV8" i="5"/>
  <c r="CU8" i="5"/>
  <c r="CT8" i="5"/>
  <c r="CS8" i="5"/>
  <c r="CR8" i="5"/>
  <c r="CQ8" i="5"/>
  <c r="CP8" i="5"/>
  <c r="CO8" i="5"/>
  <c r="CN8" i="5"/>
  <c r="CM8" i="5"/>
  <c r="CL8" i="5"/>
  <c r="CK8" i="5"/>
  <c r="CJ8" i="5"/>
  <c r="CI8" i="5"/>
  <c r="CH8" i="5"/>
  <c r="CG8" i="5"/>
  <c r="CF8" i="5"/>
  <c r="CE8" i="5"/>
  <c r="CD8" i="5"/>
  <c r="CC8" i="5"/>
  <c r="CB8" i="5"/>
  <c r="CA8" i="5"/>
  <c r="BZ8" i="5"/>
  <c r="BY8" i="5"/>
  <c r="BX8" i="5"/>
  <c r="BW8" i="5"/>
  <c r="BV8" i="5"/>
  <c r="BU8" i="5"/>
  <c r="BT8" i="5"/>
  <c r="BS8" i="5"/>
  <c r="BR8" i="5"/>
  <c r="BQ8" i="5"/>
  <c r="BP8" i="5"/>
  <c r="BO8" i="5"/>
  <c r="BN8" i="5"/>
  <c r="BM8" i="5"/>
  <c r="BL8" i="5"/>
  <c r="BK8" i="5"/>
  <c r="BJ8" i="5"/>
  <c r="BI8" i="5"/>
  <c r="BH8" i="5"/>
  <c r="BG8" i="5"/>
  <c r="BF8" i="5"/>
  <c r="BE8" i="5"/>
  <c r="BD8" i="5"/>
  <c r="BC8" i="5"/>
  <c r="BB8" i="5"/>
  <c r="BA8" i="5"/>
  <c r="AZ8" i="5"/>
  <c r="AY8" i="5"/>
  <c r="AX8" i="5"/>
  <c r="AW8" i="5"/>
  <c r="AV8" i="5"/>
  <c r="AU8" i="5"/>
  <c r="AT8" i="5"/>
  <c r="AS8" i="5"/>
  <c r="AR8" i="5"/>
  <c r="AQ8" i="5"/>
  <c r="AP8" i="5"/>
  <c r="AO8" i="5"/>
  <c r="AN8" i="5"/>
  <c r="AM8" i="5"/>
  <c r="AL8" i="5"/>
  <c r="AK8" i="5"/>
  <c r="AJ8" i="5"/>
  <c r="AI8" i="5"/>
  <c r="AH8" i="5"/>
  <c r="AG8" i="5"/>
  <c r="AF8" i="5"/>
  <c r="AE8" i="5"/>
  <c r="AD8" i="5"/>
  <c r="AC8" i="5"/>
  <c r="AB8" i="5"/>
  <c r="AA8" i="5"/>
  <c r="Z8" i="5"/>
  <c r="Y8" i="5"/>
  <c r="X8" i="5"/>
  <c r="W8" i="5"/>
  <c r="V8" i="5"/>
  <c r="U8" i="5"/>
  <c r="T8" i="5"/>
  <c r="S8" i="5"/>
  <c r="R8" i="5"/>
  <c r="Q8" i="5"/>
  <c r="P8" i="5"/>
  <c r="O8" i="5"/>
  <c r="N8" i="5"/>
  <c r="M8" i="5"/>
  <c r="L8" i="5"/>
  <c r="K8" i="5"/>
  <c r="J8" i="5"/>
  <c r="I8" i="5"/>
  <c r="H8" i="5"/>
  <c r="G8" i="5"/>
  <c r="F8" i="5"/>
  <c r="E8" i="5"/>
  <c r="D8" i="5"/>
  <c r="C8" i="5"/>
  <c r="B8" i="5"/>
  <c r="AGT7" i="5"/>
  <c r="AGT8" i="5" s="1"/>
  <c r="AGS6" i="5"/>
  <c r="AGR6" i="5"/>
  <c r="AGQ6" i="5"/>
  <c r="AGP6" i="5"/>
  <c r="AGO6" i="5"/>
  <c r="AGN6" i="5"/>
  <c r="AGM6" i="5"/>
  <c r="AGL6" i="5"/>
  <c r="AGK6" i="5"/>
  <c r="AGJ6" i="5"/>
  <c r="AGI6" i="5"/>
  <c r="AGH6" i="5"/>
  <c r="AGG6" i="5"/>
  <c r="AGF6" i="5"/>
  <c r="AGE6" i="5"/>
  <c r="AGD6" i="5"/>
  <c r="AGC6" i="5"/>
  <c r="AGB6" i="5"/>
  <c r="AGA6" i="5"/>
  <c r="AFZ6" i="5"/>
  <c r="AFY6" i="5"/>
  <c r="AFX6" i="5"/>
  <c r="AFW6" i="5"/>
  <c r="AFV6" i="5"/>
  <c r="AFU6" i="5"/>
  <c r="AFT6" i="5"/>
  <c r="AFS6" i="5"/>
  <c r="AFR6" i="5"/>
  <c r="AFQ6" i="5"/>
  <c r="AFP6" i="5"/>
  <c r="AFO6" i="5"/>
  <c r="AFN6" i="5"/>
  <c r="AFM6" i="5"/>
  <c r="AFL6" i="5"/>
  <c r="AFK6" i="5"/>
  <c r="AFJ6" i="5"/>
  <c r="AFI6" i="5"/>
  <c r="AFH6" i="5"/>
  <c r="AFG6" i="5"/>
  <c r="AFF6" i="5"/>
  <c r="AFE6" i="5"/>
  <c r="AFD6" i="5"/>
  <c r="AFC6" i="5"/>
  <c r="AFB6" i="5"/>
  <c r="AFA6" i="5"/>
  <c r="AEZ6" i="5"/>
  <c r="AEY6" i="5"/>
  <c r="AEX6" i="5"/>
  <c r="AEW6" i="5"/>
  <c r="AEV6" i="5"/>
  <c r="AEU6" i="5"/>
  <c r="AET6" i="5"/>
  <c r="AES6" i="5"/>
  <c r="AER6" i="5"/>
  <c r="AEQ6" i="5"/>
  <c r="AEP6" i="5"/>
  <c r="AEO6" i="5"/>
  <c r="AEN6" i="5"/>
  <c r="AEM6" i="5"/>
  <c r="AEL6" i="5"/>
  <c r="AEK6" i="5"/>
  <c r="AEJ6" i="5"/>
  <c r="AEI6" i="5"/>
  <c r="AEH6" i="5"/>
  <c r="AEG6" i="5"/>
  <c r="AEF6" i="5"/>
  <c r="AEE6" i="5"/>
  <c r="AED6" i="5"/>
  <c r="AEC6" i="5"/>
  <c r="AEB6" i="5"/>
  <c r="AEA6" i="5"/>
  <c r="ADZ6" i="5"/>
  <c r="ADY6" i="5"/>
  <c r="ADX6" i="5"/>
  <c r="ADW6" i="5"/>
  <c r="ADV6" i="5"/>
  <c r="ADU6" i="5"/>
  <c r="ADT6" i="5"/>
  <c r="ADS6" i="5"/>
  <c r="ADR6" i="5"/>
  <c r="ADQ6" i="5"/>
  <c r="ADP6" i="5"/>
  <c r="ADO6" i="5"/>
  <c r="ADN6" i="5"/>
  <c r="ADM6" i="5"/>
  <c r="ADL6" i="5"/>
  <c r="ADK6" i="5"/>
  <c r="ADJ6" i="5"/>
  <c r="ADI6" i="5"/>
  <c r="ADH6" i="5"/>
  <c r="ADG6" i="5"/>
  <c r="ADF6" i="5"/>
  <c r="ADE6" i="5"/>
  <c r="ADD6" i="5"/>
  <c r="ADC6" i="5"/>
  <c r="ADB6" i="5"/>
  <c r="ADA6" i="5"/>
  <c r="ACZ6" i="5"/>
  <c r="ACY6" i="5"/>
  <c r="ACX6" i="5"/>
  <c r="ACW6" i="5"/>
  <c r="ACV6" i="5"/>
  <c r="ACU6" i="5"/>
  <c r="ACT6" i="5"/>
  <c r="ACS6" i="5"/>
  <c r="ACR6" i="5"/>
  <c r="ACQ6" i="5"/>
  <c r="ACP6" i="5"/>
  <c r="ACO6" i="5"/>
  <c r="ACN6" i="5"/>
  <c r="ACM6" i="5"/>
  <c r="ACL6" i="5"/>
  <c r="ACK6" i="5"/>
  <c r="ACJ6" i="5"/>
  <c r="ACI6" i="5"/>
  <c r="ACH6" i="5"/>
  <c r="ACG6" i="5"/>
  <c r="ACF6" i="5"/>
  <c r="ACE6" i="5"/>
  <c r="ACD6" i="5"/>
  <c r="ACC6" i="5"/>
  <c r="ACB6" i="5"/>
  <c r="ACA6" i="5"/>
  <c r="ABZ6" i="5"/>
  <c r="ABY6" i="5"/>
  <c r="ABX6" i="5"/>
  <c r="ABW6" i="5"/>
  <c r="ABV6" i="5"/>
  <c r="ABU6" i="5"/>
  <c r="ABT6" i="5"/>
  <c r="ABS6" i="5"/>
  <c r="ABR6" i="5"/>
  <c r="ABQ6" i="5"/>
  <c r="ABP6" i="5"/>
  <c r="ABO6" i="5"/>
  <c r="ABN6" i="5"/>
  <c r="ABM6" i="5"/>
  <c r="ABL6" i="5"/>
  <c r="ABK6" i="5"/>
  <c r="ABJ6" i="5"/>
  <c r="ABI6" i="5"/>
  <c r="ABH6" i="5"/>
  <c r="ABG6" i="5"/>
  <c r="ABF6" i="5"/>
  <c r="ABE6" i="5"/>
  <c r="ABD6" i="5"/>
  <c r="ABC6" i="5"/>
  <c r="ABB6" i="5"/>
  <c r="ABA6" i="5"/>
  <c r="AAZ6" i="5"/>
  <c r="AAY6" i="5"/>
  <c r="AAX6" i="5"/>
  <c r="AAW6" i="5"/>
  <c r="AAV6" i="5"/>
  <c r="AAU6" i="5"/>
  <c r="AAT6" i="5"/>
  <c r="AAS6" i="5"/>
  <c r="AAR6" i="5"/>
  <c r="AAQ6" i="5"/>
  <c r="AAP6" i="5"/>
  <c r="AAO6" i="5"/>
  <c r="AAN6" i="5"/>
  <c r="AAM6" i="5"/>
  <c r="AAL6" i="5"/>
  <c r="AAK6" i="5"/>
  <c r="AAJ6" i="5"/>
  <c r="AAI6" i="5"/>
  <c r="AAH6" i="5"/>
  <c r="AAG6" i="5"/>
  <c r="AAF6" i="5"/>
  <c r="AAE6" i="5"/>
  <c r="AAD6" i="5"/>
  <c r="AAC6" i="5"/>
  <c r="AAB6" i="5"/>
  <c r="AAA6" i="5"/>
  <c r="ZZ6" i="5"/>
  <c r="ZY6" i="5"/>
  <c r="ZX6" i="5"/>
  <c r="ZW6" i="5"/>
  <c r="ZV6" i="5"/>
  <c r="ZU6" i="5"/>
  <c r="ZT6" i="5"/>
  <c r="ZS6" i="5"/>
  <c r="ZR6" i="5"/>
  <c r="ZQ6" i="5"/>
  <c r="ZP6" i="5"/>
  <c r="ZO6" i="5"/>
  <c r="ZN6" i="5"/>
  <c r="ZM6" i="5"/>
  <c r="ZL6" i="5"/>
  <c r="ZK6" i="5"/>
  <c r="ZJ6" i="5"/>
  <c r="ZI6" i="5"/>
  <c r="ZH6" i="5"/>
  <c r="ZG6" i="5"/>
  <c r="ZF6" i="5"/>
  <c r="ZE6" i="5"/>
  <c r="ZD6" i="5"/>
  <c r="ZC6" i="5"/>
  <c r="ZB6" i="5"/>
  <c r="ZA6" i="5"/>
  <c r="YZ6" i="5"/>
  <c r="YY6" i="5"/>
  <c r="YX6" i="5"/>
  <c r="YW6" i="5"/>
  <c r="YV6" i="5"/>
  <c r="YU6" i="5"/>
  <c r="YT6" i="5"/>
  <c r="YS6" i="5"/>
  <c r="YR6" i="5"/>
  <c r="YQ6" i="5"/>
  <c r="YP6" i="5"/>
  <c r="YO6" i="5"/>
  <c r="YN6" i="5"/>
  <c r="YM6" i="5"/>
  <c r="YL6" i="5"/>
  <c r="YK6" i="5"/>
  <c r="YJ6" i="5"/>
  <c r="YI6" i="5"/>
  <c r="YH6" i="5"/>
  <c r="YG6" i="5"/>
  <c r="YF6" i="5"/>
  <c r="YE6" i="5"/>
  <c r="YD6" i="5"/>
  <c r="YC6" i="5"/>
  <c r="YB6" i="5"/>
  <c r="YA6" i="5"/>
  <c r="XZ6" i="5"/>
  <c r="XY6" i="5"/>
  <c r="XX6" i="5"/>
  <c r="XW6" i="5"/>
  <c r="XV6" i="5"/>
  <c r="XU6" i="5"/>
  <c r="XT6" i="5"/>
  <c r="XS6" i="5"/>
  <c r="XR6" i="5"/>
  <c r="XQ6" i="5"/>
  <c r="XP6" i="5"/>
  <c r="XO6" i="5"/>
  <c r="XN6" i="5"/>
  <c r="XM6" i="5"/>
  <c r="XL6" i="5"/>
  <c r="XK6" i="5"/>
  <c r="XJ6" i="5"/>
  <c r="XI6" i="5"/>
  <c r="XH6" i="5"/>
  <c r="XG6" i="5"/>
  <c r="XF6" i="5"/>
  <c r="XE6" i="5"/>
  <c r="XD6" i="5"/>
  <c r="XC6" i="5"/>
  <c r="XB6" i="5"/>
  <c r="XA6" i="5"/>
  <c r="WZ6" i="5"/>
  <c r="WY6" i="5"/>
  <c r="WX6" i="5"/>
  <c r="WW6" i="5"/>
  <c r="WV6" i="5"/>
  <c r="WU6" i="5"/>
  <c r="WT6" i="5"/>
  <c r="WS6" i="5"/>
  <c r="WR6" i="5"/>
  <c r="WQ6" i="5"/>
  <c r="WP6" i="5"/>
  <c r="WO6" i="5"/>
  <c r="WN6" i="5"/>
  <c r="WM6" i="5"/>
  <c r="WL6" i="5"/>
  <c r="WK6" i="5"/>
  <c r="WJ6" i="5"/>
  <c r="WI6" i="5"/>
  <c r="WH6" i="5"/>
  <c r="WG6" i="5"/>
  <c r="WF6" i="5"/>
  <c r="WE6" i="5"/>
  <c r="WD6" i="5"/>
  <c r="WC6" i="5"/>
  <c r="WB6" i="5"/>
  <c r="WA6" i="5"/>
  <c r="VZ6" i="5"/>
  <c r="VY6" i="5"/>
  <c r="VX6" i="5"/>
  <c r="VW6" i="5"/>
  <c r="VV6" i="5"/>
  <c r="VU6" i="5"/>
  <c r="VT6" i="5"/>
  <c r="VS6" i="5"/>
  <c r="VR6" i="5"/>
  <c r="VQ6" i="5"/>
  <c r="VP6" i="5"/>
  <c r="VO6" i="5"/>
  <c r="VN6" i="5"/>
  <c r="VM6" i="5"/>
  <c r="VL6" i="5"/>
  <c r="VK6" i="5"/>
  <c r="VJ6" i="5"/>
  <c r="VI6" i="5"/>
  <c r="VH6" i="5"/>
  <c r="VG6" i="5"/>
  <c r="VF6" i="5"/>
  <c r="VE6" i="5"/>
  <c r="VD6" i="5"/>
  <c r="VC6" i="5"/>
  <c r="VB6" i="5"/>
  <c r="VA6" i="5"/>
  <c r="UZ6" i="5"/>
  <c r="UY6" i="5"/>
  <c r="UX6" i="5"/>
  <c r="UW6" i="5"/>
  <c r="UV6" i="5"/>
  <c r="UU6" i="5"/>
  <c r="UT6" i="5"/>
  <c r="US6" i="5"/>
  <c r="UR6" i="5"/>
  <c r="UQ6" i="5"/>
  <c r="UP6" i="5"/>
  <c r="UO6" i="5"/>
  <c r="UN6" i="5"/>
  <c r="UM6" i="5"/>
  <c r="UL6" i="5"/>
  <c r="UK6" i="5"/>
  <c r="UJ6" i="5"/>
  <c r="UI6" i="5"/>
  <c r="UH6" i="5"/>
  <c r="UG6" i="5"/>
  <c r="UF6" i="5"/>
  <c r="UE6" i="5"/>
  <c r="UD6" i="5"/>
  <c r="UC6" i="5"/>
  <c r="UB6" i="5"/>
  <c r="UA6" i="5"/>
  <c r="TZ6" i="5"/>
  <c r="TY6" i="5"/>
  <c r="TX6" i="5"/>
  <c r="TW6" i="5"/>
  <c r="TV6" i="5"/>
  <c r="TU6" i="5"/>
  <c r="TT6" i="5"/>
  <c r="TS6" i="5"/>
  <c r="TR6" i="5"/>
  <c r="TQ6" i="5"/>
  <c r="TP6" i="5"/>
  <c r="TO6" i="5"/>
  <c r="TN6" i="5"/>
  <c r="TM6" i="5"/>
  <c r="TL6" i="5"/>
  <c r="TK6" i="5"/>
  <c r="TJ6" i="5"/>
  <c r="TI6" i="5"/>
  <c r="TH6" i="5"/>
  <c r="TG6" i="5"/>
  <c r="TF6" i="5"/>
  <c r="TE6" i="5"/>
  <c r="TD6" i="5"/>
  <c r="TC6" i="5"/>
  <c r="TB6" i="5"/>
  <c r="TA6" i="5"/>
  <c r="SZ6" i="5"/>
  <c r="SY6" i="5"/>
  <c r="SX6" i="5"/>
  <c r="SW6" i="5"/>
  <c r="SV6" i="5"/>
  <c r="SU6" i="5"/>
  <c r="ST6" i="5"/>
  <c r="SS6" i="5"/>
  <c r="SR6" i="5"/>
  <c r="SQ6" i="5"/>
  <c r="SP6" i="5"/>
  <c r="SO6" i="5"/>
  <c r="SN6" i="5"/>
  <c r="SM6" i="5"/>
  <c r="SL6" i="5"/>
  <c r="SK6" i="5"/>
  <c r="SJ6" i="5"/>
  <c r="SI6" i="5"/>
  <c r="SH6" i="5"/>
  <c r="SG6" i="5"/>
  <c r="SF6" i="5"/>
  <c r="SE6" i="5"/>
  <c r="SD6" i="5"/>
  <c r="SC6" i="5"/>
  <c r="SB6" i="5"/>
  <c r="SA6" i="5"/>
  <c r="RZ6" i="5"/>
  <c r="RY6" i="5"/>
  <c r="RX6" i="5"/>
  <c r="RW6" i="5"/>
  <c r="RV6" i="5"/>
  <c r="RU6" i="5"/>
  <c r="RT6" i="5"/>
  <c r="RS6" i="5"/>
  <c r="RR6" i="5"/>
  <c r="RQ6" i="5"/>
  <c r="RP6" i="5"/>
  <c r="RO6" i="5"/>
  <c r="RN6" i="5"/>
  <c r="RM6" i="5"/>
  <c r="RL6" i="5"/>
  <c r="RK6" i="5"/>
  <c r="RJ6" i="5"/>
  <c r="RI6" i="5"/>
  <c r="RH6" i="5"/>
  <c r="RG6" i="5"/>
  <c r="RF6" i="5"/>
  <c r="RE6" i="5"/>
  <c r="RD6" i="5"/>
  <c r="RC6" i="5"/>
  <c r="RB6" i="5"/>
  <c r="RA6" i="5"/>
  <c r="QZ6" i="5"/>
  <c r="QY6" i="5"/>
  <c r="QX6" i="5"/>
  <c r="QW6" i="5"/>
  <c r="QV6" i="5"/>
  <c r="QU6" i="5"/>
  <c r="QT6" i="5"/>
  <c r="QS6" i="5"/>
  <c r="QR6" i="5"/>
  <c r="QQ6" i="5"/>
  <c r="QP6" i="5"/>
  <c r="QO6" i="5"/>
  <c r="QN6" i="5"/>
  <c r="QM6" i="5"/>
  <c r="QL6" i="5"/>
  <c r="QK6" i="5"/>
  <c r="QJ6" i="5"/>
  <c r="QI6" i="5"/>
  <c r="QH6" i="5"/>
  <c r="QG6" i="5"/>
  <c r="QF6" i="5"/>
  <c r="QE6" i="5"/>
  <c r="QD6" i="5"/>
  <c r="QC6" i="5"/>
  <c r="QB6" i="5"/>
  <c r="QA6" i="5"/>
  <c r="PZ6" i="5"/>
  <c r="PY6" i="5"/>
  <c r="PX6" i="5"/>
  <c r="PW6" i="5"/>
  <c r="PV6" i="5"/>
  <c r="PU6" i="5"/>
  <c r="PT6" i="5"/>
  <c r="PS6" i="5"/>
  <c r="PR6" i="5"/>
  <c r="PQ6" i="5"/>
  <c r="PP6" i="5"/>
  <c r="PO6" i="5"/>
  <c r="PN6" i="5"/>
  <c r="PM6" i="5"/>
  <c r="PL6" i="5"/>
  <c r="PK6" i="5"/>
  <c r="PJ6" i="5"/>
  <c r="PI6" i="5"/>
  <c r="PH6" i="5"/>
  <c r="PG6" i="5"/>
  <c r="PF6" i="5"/>
  <c r="PE6" i="5"/>
  <c r="PD6" i="5"/>
  <c r="PC6" i="5"/>
  <c r="PB6" i="5"/>
  <c r="PA6" i="5"/>
  <c r="OZ6" i="5"/>
  <c r="OY6" i="5"/>
  <c r="OX6" i="5"/>
  <c r="OW6" i="5"/>
  <c r="OV6" i="5"/>
  <c r="OU6" i="5"/>
  <c r="OT6" i="5"/>
  <c r="OS6" i="5"/>
  <c r="OR6" i="5"/>
  <c r="OQ6" i="5"/>
  <c r="OP6" i="5"/>
  <c r="OO6" i="5"/>
  <c r="ON6" i="5"/>
  <c r="OM6" i="5"/>
  <c r="OL6" i="5"/>
  <c r="OK6" i="5"/>
  <c r="OJ6" i="5"/>
  <c r="OI6" i="5"/>
  <c r="OH6" i="5"/>
  <c r="OG6" i="5"/>
  <c r="OF6" i="5"/>
  <c r="OE6" i="5"/>
  <c r="OD6" i="5"/>
  <c r="OC6" i="5"/>
  <c r="OB6" i="5"/>
  <c r="OA6" i="5"/>
  <c r="NZ6" i="5"/>
  <c r="NY6" i="5"/>
  <c r="NX6" i="5"/>
  <c r="NW6" i="5"/>
  <c r="NV6" i="5"/>
  <c r="NU6" i="5"/>
  <c r="NT6" i="5"/>
  <c r="NS6" i="5"/>
  <c r="NR6" i="5"/>
  <c r="NQ6" i="5"/>
  <c r="NP6" i="5"/>
  <c r="NO6" i="5"/>
  <c r="NN6" i="5"/>
  <c r="NM6" i="5"/>
  <c r="NL6" i="5"/>
  <c r="NK6" i="5"/>
  <c r="NJ6" i="5"/>
  <c r="NI6" i="5"/>
  <c r="NH6" i="5"/>
  <c r="NG6" i="5"/>
  <c r="NF6" i="5"/>
  <c r="NE6" i="5"/>
  <c r="ND6" i="5"/>
  <c r="NC6" i="5"/>
  <c r="NB6" i="5"/>
  <c r="NA6" i="5"/>
  <c r="MZ6" i="5"/>
  <c r="MY6" i="5"/>
  <c r="MX6" i="5"/>
  <c r="MW6" i="5"/>
  <c r="MV6" i="5"/>
  <c r="MU6" i="5"/>
  <c r="MT6" i="5"/>
  <c r="MS6" i="5"/>
  <c r="MR6" i="5"/>
  <c r="MQ6" i="5"/>
  <c r="MP6" i="5"/>
  <c r="MO6" i="5"/>
  <c r="MN6" i="5"/>
  <c r="MM6" i="5"/>
  <c r="ML6" i="5"/>
  <c r="MK6" i="5"/>
  <c r="MJ6" i="5"/>
  <c r="MI6" i="5"/>
  <c r="MH6" i="5"/>
  <c r="MG6" i="5"/>
  <c r="MF6" i="5"/>
  <c r="ME6" i="5"/>
  <c r="MD6" i="5"/>
  <c r="MC6" i="5"/>
  <c r="MB6" i="5"/>
  <c r="MA6" i="5"/>
  <c r="LZ6" i="5"/>
  <c r="LY6" i="5"/>
  <c r="LX6" i="5"/>
  <c r="LW6" i="5"/>
  <c r="LV6" i="5"/>
  <c r="LU6" i="5"/>
  <c r="LT6" i="5"/>
  <c r="LS6" i="5"/>
  <c r="LR6" i="5"/>
  <c r="LQ6" i="5"/>
  <c r="LP6" i="5"/>
  <c r="LO6" i="5"/>
  <c r="LN6" i="5"/>
  <c r="LM6" i="5"/>
  <c r="LL6" i="5"/>
  <c r="LK6" i="5"/>
  <c r="LJ6" i="5"/>
  <c r="LI6" i="5"/>
  <c r="LH6" i="5"/>
  <c r="LG6" i="5"/>
  <c r="LF6" i="5"/>
  <c r="LE6" i="5"/>
  <c r="LD6" i="5"/>
  <c r="LC6" i="5"/>
  <c r="LB6" i="5"/>
  <c r="LA6" i="5"/>
  <c r="KZ6" i="5"/>
  <c r="KY6" i="5"/>
  <c r="KX6" i="5"/>
  <c r="KW6" i="5"/>
  <c r="KV6" i="5"/>
  <c r="KU6" i="5"/>
  <c r="KT6" i="5"/>
  <c r="KS6" i="5"/>
  <c r="KR6" i="5"/>
  <c r="KQ6" i="5"/>
  <c r="KP6" i="5"/>
  <c r="KO6" i="5"/>
  <c r="KN6" i="5"/>
  <c r="KM6" i="5"/>
  <c r="KL6" i="5"/>
  <c r="KK6" i="5"/>
  <c r="KJ6" i="5"/>
  <c r="KI6" i="5"/>
  <c r="KH6" i="5"/>
  <c r="KG6" i="5"/>
  <c r="KF6" i="5"/>
  <c r="KE6" i="5"/>
  <c r="KD6" i="5"/>
  <c r="KC6" i="5"/>
  <c r="KB6" i="5"/>
  <c r="KA6" i="5"/>
  <c r="JZ6" i="5"/>
  <c r="JY6" i="5"/>
  <c r="JX6" i="5"/>
  <c r="JW6" i="5"/>
  <c r="JV6" i="5"/>
  <c r="JU6" i="5"/>
  <c r="JT6" i="5"/>
  <c r="JS6" i="5"/>
  <c r="JR6" i="5"/>
  <c r="JQ6" i="5"/>
  <c r="JP6" i="5"/>
  <c r="JO6" i="5"/>
  <c r="JN6" i="5"/>
  <c r="JM6" i="5"/>
  <c r="JL6" i="5"/>
  <c r="JK6" i="5"/>
  <c r="JJ6" i="5"/>
  <c r="JI6" i="5"/>
  <c r="JH6" i="5"/>
  <c r="JG6" i="5"/>
  <c r="JF6" i="5"/>
  <c r="JE6" i="5"/>
  <c r="JD6" i="5"/>
  <c r="JC6" i="5"/>
  <c r="JB6" i="5"/>
  <c r="JA6" i="5"/>
  <c r="IZ6" i="5"/>
  <c r="IY6" i="5"/>
  <c r="IX6" i="5"/>
  <c r="IW6" i="5"/>
  <c r="IV6" i="5"/>
  <c r="IU6" i="5"/>
  <c r="IT6" i="5"/>
  <c r="IS6" i="5"/>
  <c r="IR6" i="5"/>
  <c r="IQ6" i="5"/>
  <c r="IP6" i="5"/>
  <c r="IO6" i="5"/>
  <c r="IN6" i="5"/>
  <c r="IM6" i="5"/>
  <c r="IL6" i="5"/>
  <c r="IK6" i="5"/>
  <c r="IJ6" i="5"/>
  <c r="II6" i="5"/>
  <c r="IH6" i="5"/>
  <c r="IG6" i="5"/>
  <c r="IF6" i="5"/>
  <c r="IE6" i="5"/>
  <c r="ID6" i="5"/>
  <c r="IC6" i="5"/>
  <c r="IB6" i="5"/>
  <c r="IA6" i="5"/>
  <c r="HZ6" i="5"/>
  <c r="HY6" i="5"/>
  <c r="HX6" i="5"/>
  <c r="HW6" i="5"/>
  <c r="HV6" i="5"/>
  <c r="HU6" i="5"/>
  <c r="HT6" i="5"/>
  <c r="HS6" i="5"/>
  <c r="HR6" i="5"/>
  <c r="HQ6" i="5"/>
  <c r="HP6" i="5"/>
  <c r="HO6" i="5"/>
  <c r="HN6" i="5"/>
  <c r="HM6" i="5"/>
  <c r="HL6" i="5"/>
  <c r="HK6" i="5"/>
  <c r="HJ6" i="5"/>
  <c r="HI6" i="5"/>
  <c r="HH6" i="5"/>
  <c r="HG6" i="5"/>
  <c r="HF6" i="5"/>
  <c r="HE6" i="5"/>
  <c r="HD6" i="5"/>
  <c r="HC6" i="5"/>
  <c r="HB6" i="5"/>
  <c r="HA6" i="5"/>
  <c r="GZ6" i="5"/>
  <c r="GY6" i="5"/>
  <c r="GX6" i="5"/>
  <c r="GW6" i="5"/>
  <c r="GV6" i="5"/>
  <c r="GU6" i="5"/>
  <c r="GT6" i="5"/>
  <c r="GS6" i="5"/>
  <c r="GR6" i="5"/>
  <c r="GQ6" i="5"/>
  <c r="GP6" i="5"/>
  <c r="GO6" i="5"/>
  <c r="GN6" i="5"/>
  <c r="GM6" i="5"/>
  <c r="GL6" i="5"/>
  <c r="GK6" i="5"/>
  <c r="GJ6" i="5"/>
  <c r="GI6" i="5"/>
  <c r="GH6" i="5"/>
  <c r="GG6" i="5"/>
  <c r="GF6" i="5"/>
  <c r="GE6" i="5"/>
  <c r="GD6" i="5"/>
  <c r="GC6" i="5"/>
  <c r="GB6" i="5"/>
  <c r="GA6" i="5"/>
  <c r="FZ6" i="5"/>
  <c r="FY6" i="5"/>
  <c r="FX6" i="5"/>
  <c r="FW6" i="5"/>
  <c r="FV6" i="5"/>
  <c r="FU6" i="5"/>
  <c r="FT6" i="5"/>
  <c r="FS6" i="5"/>
  <c r="FR6" i="5"/>
  <c r="FQ6" i="5"/>
  <c r="FP6" i="5"/>
  <c r="FO6" i="5"/>
  <c r="FN6" i="5"/>
  <c r="FM6" i="5"/>
  <c r="FL6" i="5"/>
  <c r="FK6" i="5"/>
  <c r="FJ6" i="5"/>
  <c r="FI6" i="5"/>
  <c r="FH6" i="5"/>
  <c r="FG6" i="5"/>
  <c r="FF6" i="5"/>
  <c r="FE6" i="5"/>
  <c r="FD6" i="5"/>
  <c r="FC6" i="5"/>
  <c r="FB6" i="5"/>
  <c r="FA6" i="5"/>
  <c r="EZ6" i="5"/>
  <c r="EY6" i="5"/>
  <c r="EX6" i="5"/>
  <c r="EW6" i="5"/>
  <c r="EV6" i="5"/>
  <c r="EU6" i="5"/>
  <c r="ET6" i="5"/>
  <c r="ES6" i="5"/>
  <c r="ER6" i="5"/>
  <c r="EQ6" i="5"/>
  <c r="EP6" i="5"/>
  <c r="EO6" i="5"/>
  <c r="EN6" i="5"/>
  <c r="EM6" i="5"/>
  <c r="EL6" i="5"/>
  <c r="EK6" i="5"/>
  <c r="EJ6" i="5"/>
  <c r="EI6" i="5"/>
  <c r="EH6" i="5"/>
  <c r="EG6" i="5"/>
  <c r="EF6" i="5"/>
  <c r="EE6" i="5"/>
  <c r="ED6" i="5"/>
  <c r="EC6" i="5"/>
  <c r="EB6" i="5"/>
  <c r="EA6" i="5"/>
  <c r="DZ6" i="5"/>
  <c r="DY6" i="5"/>
  <c r="DX6" i="5"/>
  <c r="DW6" i="5"/>
  <c r="DV6" i="5"/>
  <c r="DU6" i="5"/>
  <c r="DT6" i="5"/>
  <c r="DS6" i="5"/>
  <c r="DR6" i="5"/>
  <c r="DQ6" i="5"/>
  <c r="DP6" i="5"/>
  <c r="DO6" i="5"/>
  <c r="DN6" i="5"/>
  <c r="DM6" i="5"/>
  <c r="DL6" i="5"/>
  <c r="DK6" i="5"/>
  <c r="DJ6" i="5"/>
  <c r="DI6" i="5"/>
  <c r="DH6" i="5"/>
  <c r="DG6" i="5"/>
  <c r="DF6" i="5"/>
  <c r="DE6" i="5"/>
  <c r="DD6" i="5"/>
  <c r="DC6" i="5"/>
  <c r="DB6" i="5"/>
  <c r="DA6" i="5"/>
  <c r="CZ6" i="5"/>
  <c r="CY6" i="5"/>
  <c r="CX6" i="5"/>
  <c r="CW6" i="5"/>
  <c r="CV6" i="5"/>
  <c r="CU6" i="5"/>
  <c r="CT6" i="5"/>
  <c r="CS6" i="5"/>
  <c r="CR6" i="5"/>
  <c r="CQ6" i="5"/>
  <c r="CP6" i="5"/>
  <c r="CO6" i="5"/>
  <c r="CN6" i="5"/>
  <c r="CM6" i="5"/>
  <c r="CL6" i="5"/>
  <c r="CK6" i="5"/>
  <c r="CJ6" i="5"/>
  <c r="CI6" i="5"/>
  <c r="CH6" i="5"/>
  <c r="CG6" i="5"/>
  <c r="CF6" i="5"/>
  <c r="CE6" i="5"/>
  <c r="CD6" i="5"/>
  <c r="CC6" i="5"/>
  <c r="CB6" i="5"/>
  <c r="CA6" i="5"/>
  <c r="BZ6" i="5"/>
  <c r="BY6" i="5"/>
  <c r="BX6" i="5"/>
  <c r="BW6" i="5"/>
  <c r="BV6" i="5"/>
  <c r="BU6" i="5"/>
  <c r="BT6" i="5"/>
  <c r="BS6" i="5"/>
  <c r="BR6" i="5"/>
  <c r="BQ6" i="5"/>
  <c r="BP6" i="5"/>
  <c r="BO6" i="5"/>
  <c r="BN6" i="5"/>
  <c r="BM6" i="5"/>
  <c r="BL6" i="5"/>
  <c r="BK6" i="5"/>
  <c r="BJ6" i="5"/>
  <c r="BI6" i="5"/>
  <c r="BH6" i="5"/>
  <c r="BG6" i="5"/>
  <c r="BF6" i="5"/>
  <c r="BE6" i="5"/>
  <c r="BD6" i="5"/>
  <c r="BC6" i="5"/>
  <c r="BB6" i="5"/>
  <c r="BA6" i="5"/>
  <c r="AZ6" i="5"/>
  <c r="AY6" i="5"/>
  <c r="AX6" i="5"/>
  <c r="AW6" i="5"/>
  <c r="AV6" i="5"/>
  <c r="AU6" i="5"/>
  <c r="AT6" i="5"/>
  <c r="AS6" i="5"/>
  <c r="AR6" i="5"/>
  <c r="AQ6" i="5"/>
  <c r="AP6" i="5"/>
  <c r="AO6" i="5"/>
  <c r="AN6" i="5"/>
  <c r="AM6" i="5"/>
  <c r="AL6" i="5"/>
  <c r="AK6" i="5"/>
  <c r="AJ6" i="5"/>
  <c r="AI6" i="5"/>
  <c r="AH6" i="5"/>
  <c r="AG6" i="5"/>
  <c r="AF6" i="5"/>
  <c r="AE6" i="5"/>
  <c r="AD6" i="5"/>
  <c r="AC6" i="5"/>
  <c r="AB6" i="5"/>
  <c r="AA6" i="5"/>
  <c r="Z6" i="5"/>
  <c r="Y6" i="5"/>
  <c r="X6" i="5"/>
  <c r="W6" i="5"/>
  <c r="V6" i="5"/>
  <c r="U6" i="5"/>
  <c r="T6" i="5"/>
  <c r="S6" i="5"/>
  <c r="R6" i="5"/>
  <c r="Q6" i="5"/>
  <c r="P6" i="5"/>
  <c r="O6" i="5"/>
  <c r="N6" i="5"/>
  <c r="M6" i="5"/>
  <c r="L6" i="5"/>
  <c r="K6" i="5"/>
  <c r="J6" i="5"/>
  <c r="I6" i="5"/>
  <c r="H6" i="5"/>
  <c r="G6" i="5"/>
  <c r="F6" i="5"/>
  <c r="E6" i="5"/>
  <c r="D6" i="5"/>
  <c r="C6" i="5"/>
  <c r="B6" i="5"/>
  <c r="AGV5" i="5"/>
  <c r="AGS5" i="5"/>
  <c r="AGR5" i="5"/>
  <c r="AGQ5" i="5"/>
  <c r="AGP5" i="5"/>
  <c r="AGO5" i="5"/>
  <c r="AGN5" i="5"/>
  <c r="AGM5" i="5"/>
  <c r="AGL5" i="5"/>
  <c r="AGK5" i="5"/>
  <c r="AGJ5" i="5"/>
  <c r="AGI5" i="5"/>
  <c r="AGH5" i="5"/>
  <c r="AGG5" i="5"/>
  <c r="AGF5" i="5"/>
  <c r="AGE5" i="5"/>
  <c r="AGD5" i="5"/>
  <c r="AGC5" i="5"/>
  <c r="AGB5" i="5"/>
  <c r="AGA5" i="5"/>
  <c r="AFZ5" i="5"/>
  <c r="AFY5" i="5"/>
  <c r="AFX5" i="5"/>
  <c r="AFW5" i="5"/>
  <c r="AFV5" i="5"/>
  <c r="AFU5" i="5"/>
  <c r="AFT5" i="5"/>
  <c r="AFS5" i="5"/>
  <c r="AFR5" i="5"/>
  <c r="AFQ5" i="5"/>
  <c r="AFP5" i="5"/>
  <c r="AFO5" i="5"/>
  <c r="AFN5" i="5"/>
  <c r="AFM5" i="5"/>
  <c r="AFL5" i="5"/>
  <c r="AFK5" i="5"/>
  <c r="AFJ5" i="5"/>
  <c r="AFI5" i="5"/>
  <c r="AFH5" i="5"/>
  <c r="AFG5" i="5"/>
  <c r="AFF5" i="5"/>
  <c r="AFE5" i="5"/>
  <c r="AFD5" i="5"/>
  <c r="AFC5" i="5"/>
  <c r="AFB5" i="5"/>
  <c r="AFA5" i="5"/>
  <c r="AEZ5" i="5"/>
  <c r="AEY5" i="5"/>
  <c r="AEX5" i="5"/>
  <c r="AEW5" i="5"/>
  <c r="AEV5" i="5"/>
  <c r="AEU5" i="5"/>
  <c r="AET5" i="5"/>
  <c r="AES5" i="5"/>
  <c r="AER5" i="5"/>
  <c r="AEQ5" i="5"/>
  <c r="AEP5" i="5"/>
  <c r="AEO5" i="5"/>
  <c r="AEN5" i="5"/>
  <c r="AEM5" i="5"/>
  <c r="AEL5" i="5"/>
  <c r="AEK5" i="5"/>
  <c r="AEJ5" i="5"/>
  <c r="AEI5" i="5"/>
  <c r="AEH5" i="5"/>
  <c r="AEG5" i="5"/>
  <c r="AEF5" i="5"/>
  <c r="AEE5" i="5"/>
  <c r="AED5" i="5"/>
  <c r="AEC5" i="5"/>
  <c r="AEB5" i="5"/>
  <c r="AEA5" i="5"/>
  <c r="ADZ5" i="5"/>
  <c r="ADY5" i="5"/>
  <c r="ADX5" i="5"/>
  <c r="ADW5" i="5"/>
  <c r="ADV5" i="5"/>
  <c r="ADU5" i="5"/>
  <c r="ADT5" i="5"/>
  <c r="ADS5" i="5"/>
  <c r="ADR5" i="5"/>
  <c r="ADQ5" i="5"/>
  <c r="ADP5" i="5"/>
  <c r="ADO5" i="5"/>
  <c r="ADN5" i="5"/>
  <c r="ADM5" i="5"/>
  <c r="ADL5" i="5"/>
  <c r="ADK5" i="5"/>
  <c r="ADJ5" i="5"/>
  <c r="ADI5" i="5"/>
  <c r="ADH5" i="5"/>
  <c r="ADG5" i="5"/>
  <c r="ADF5" i="5"/>
  <c r="ADE5" i="5"/>
  <c r="ADD5" i="5"/>
  <c r="ADC5" i="5"/>
  <c r="ADB5" i="5"/>
  <c r="ADA5" i="5"/>
  <c r="ACZ5" i="5"/>
  <c r="ACY5" i="5"/>
  <c r="ACX5" i="5"/>
  <c r="ACW5" i="5"/>
  <c r="ACV5" i="5"/>
  <c r="ACU5" i="5"/>
  <c r="ACT5" i="5"/>
  <c r="ACS5" i="5"/>
  <c r="ACR5" i="5"/>
  <c r="ACQ5" i="5"/>
  <c r="ACP5" i="5"/>
  <c r="ACO5" i="5"/>
  <c r="ACN5" i="5"/>
  <c r="ACM5" i="5"/>
  <c r="ACL5" i="5"/>
  <c r="ACK5" i="5"/>
  <c r="ACJ5" i="5"/>
  <c r="ACI5" i="5"/>
  <c r="ACH5" i="5"/>
  <c r="ACG5" i="5"/>
  <c r="ACF5" i="5"/>
  <c r="ACE5" i="5"/>
  <c r="ACD5" i="5"/>
  <c r="ACC5" i="5"/>
  <c r="ACB5" i="5"/>
  <c r="ACA5" i="5"/>
  <c r="ABZ5" i="5"/>
  <c r="ABY5" i="5"/>
  <c r="ABX5" i="5"/>
  <c r="ABW5" i="5"/>
  <c r="ABV5" i="5"/>
  <c r="ABU5" i="5"/>
  <c r="ABT5" i="5"/>
  <c r="ABS5" i="5"/>
  <c r="ABR5" i="5"/>
  <c r="ABQ5" i="5"/>
  <c r="ABP5" i="5"/>
  <c r="ABO5" i="5"/>
  <c r="ABN5" i="5"/>
  <c r="ABM5" i="5"/>
  <c r="ABL5" i="5"/>
  <c r="ABK5" i="5"/>
  <c r="ABJ5" i="5"/>
  <c r="ABI5" i="5"/>
  <c r="ABH5" i="5"/>
  <c r="ABG5" i="5"/>
  <c r="ABF5" i="5"/>
  <c r="ABE5" i="5"/>
  <c r="ABD5" i="5"/>
  <c r="ABC5" i="5"/>
  <c r="ABB5" i="5"/>
  <c r="ABA5" i="5"/>
  <c r="AAZ5" i="5"/>
  <c r="AAY5" i="5"/>
  <c r="AAX5" i="5"/>
  <c r="AAW5" i="5"/>
  <c r="AAV5" i="5"/>
  <c r="AAU5" i="5"/>
  <c r="AAT5" i="5"/>
  <c r="AAS5" i="5"/>
  <c r="AAR5" i="5"/>
  <c r="AAQ5" i="5"/>
  <c r="AAP5" i="5"/>
  <c r="AAO5" i="5"/>
  <c r="AAN5" i="5"/>
  <c r="AAM5" i="5"/>
  <c r="AAL5" i="5"/>
  <c r="AAK5" i="5"/>
  <c r="AAJ5" i="5"/>
  <c r="AAI5" i="5"/>
  <c r="AAH5" i="5"/>
  <c r="AAG5" i="5"/>
  <c r="AAF5" i="5"/>
  <c r="AAE5" i="5"/>
  <c r="AAD5" i="5"/>
  <c r="AAC5" i="5"/>
  <c r="AAB5" i="5"/>
  <c r="AAA5" i="5"/>
  <c r="ZZ5" i="5"/>
  <c r="ZY5" i="5"/>
  <c r="ZX5" i="5"/>
  <c r="ZW5" i="5"/>
  <c r="ZV5" i="5"/>
  <c r="ZU5" i="5"/>
  <c r="ZT5" i="5"/>
  <c r="ZS5" i="5"/>
  <c r="ZR5" i="5"/>
  <c r="ZQ5" i="5"/>
  <c r="ZP5" i="5"/>
  <c r="ZO5" i="5"/>
  <c r="ZN5" i="5"/>
  <c r="ZM5" i="5"/>
  <c r="ZL5" i="5"/>
  <c r="ZK5" i="5"/>
  <c r="ZJ5" i="5"/>
  <c r="ZI5" i="5"/>
  <c r="ZH5" i="5"/>
  <c r="ZG5" i="5"/>
  <c r="ZF5" i="5"/>
  <c r="ZE5" i="5"/>
  <c r="ZD5" i="5"/>
  <c r="ZC5" i="5"/>
  <c r="ZB5" i="5"/>
  <c r="ZA5" i="5"/>
  <c r="YZ5" i="5"/>
  <c r="YY5" i="5"/>
  <c r="YX5" i="5"/>
  <c r="YW5" i="5"/>
  <c r="YV5" i="5"/>
  <c r="YU5" i="5"/>
  <c r="YT5" i="5"/>
  <c r="YS5" i="5"/>
  <c r="YR5" i="5"/>
  <c r="YQ5" i="5"/>
  <c r="YP5" i="5"/>
  <c r="YO5" i="5"/>
  <c r="YN5" i="5"/>
  <c r="YM5" i="5"/>
  <c r="YL5" i="5"/>
  <c r="YK5" i="5"/>
  <c r="YJ5" i="5"/>
  <c r="YI5" i="5"/>
  <c r="YH5" i="5"/>
  <c r="YG5" i="5"/>
  <c r="YF5" i="5"/>
  <c r="YE5" i="5"/>
  <c r="YD5" i="5"/>
  <c r="YC5" i="5"/>
  <c r="YB5" i="5"/>
  <c r="YA5" i="5"/>
  <c r="XZ5" i="5"/>
  <c r="XY5" i="5"/>
  <c r="XX5" i="5"/>
  <c r="XW5" i="5"/>
  <c r="XV5" i="5"/>
  <c r="XU5" i="5"/>
  <c r="XT5" i="5"/>
  <c r="XS5" i="5"/>
  <c r="XR5" i="5"/>
  <c r="XQ5" i="5"/>
  <c r="XP5" i="5"/>
  <c r="XO5" i="5"/>
  <c r="XN5" i="5"/>
  <c r="XM5" i="5"/>
  <c r="XL5" i="5"/>
  <c r="XK5" i="5"/>
  <c r="XJ5" i="5"/>
  <c r="XI5" i="5"/>
  <c r="XH5" i="5"/>
  <c r="XG5" i="5"/>
  <c r="XF5" i="5"/>
  <c r="XE5" i="5"/>
  <c r="XD5" i="5"/>
  <c r="XC5" i="5"/>
  <c r="XB5" i="5"/>
  <c r="XA5" i="5"/>
  <c r="WZ5" i="5"/>
  <c r="WY5" i="5"/>
  <c r="WX5" i="5"/>
  <c r="WW5" i="5"/>
  <c r="WV5" i="5"/>
  <c r="WU5" i="5"/>
  <c r="WT5" i="5"/>
  <c r="WS5" i="5"/>
  <c r="WR5" i="5"/>
  <c r="WQ5" i="5"/>
  <c r="WP5" i="5"/>
  <c r="WO5" i="5"/>
  <c r="WN5" i="5"/>
  <c r="WM5" i="5"/>
  <c r="WL5" i="5"/>
  <c r="WK5" i="5"/>
  <c r="WJ5" i="5"/>
  <c r="WI5" i="5"/>
  <c r="WH5" i="5"/>
  <c r="WG5" i="5"/>
  <c r="WF5" i="5"/>
  <c r="WE5" i="5"/>
  <c r="WD5" i="5"/>
  <c r="WC5" i="5"/>
  <c r="WB5" i="5"/>
  <c r="WA5" i="5"/>
  <c r="VZ5" i="5"/>
  <c r="VY5" i="5"/>
  <c r="VX5" i="5"/>
  <c r="VW5" i="5"/>
  <c r="VV5" i="5"/>
  <c r="VU5" i="5"/>
  <c r="VT5" i="5"/>
  <c r="VS5" i="5"/>
  <c r="VR5" i="5"/>
  <c r="VQ5" i="5"/>
  <c r="VP5" i="5"/>
  <c r="VO5" i="5"/>
  <c r="VN5" i="5"/>
  <c r="VM5" i="5"/>
  <c r="VL5" i="5"/>
  <c r="VK5" i="5"/>
  <c r="VJ5" i="5"/>
  <c r="VI5" i="5"/>
  <c r="VH5" i="5"/>
  <c r="VG5" i="5"/>
  <c r="VF5" i="5"/>
  <c r="VE5" i="5"/>
  <c r="VD5" i="5"/>
  <c r="VC5" i="5"/>
  <c r="VB5" i="5"/>
  <c r="VA5" i="5"/>
  <c r="UZ5" i="5"/>
  <c r="UY5" i="5"/>
  <c r="UX5" i="5"/>
  <c r="UW5" i="5"/>
  <c r="UV5" i="5"/>
  <c r="UU5" i="5"/>
  <c r="UT5" i="5"/>
  <c r="US5" i="5"/>
  <c r="UR5" i="5"/>
  <c r="UQ5" i="5"/>
  <c r="UP5" i="5"/>
  <c r="UO5" i="5"/>
  <c r="UN5" i="5"/>
  <c r="UM5" i="5"/>
  <c r="UL5" i="5"/>
  <c r="UK5" i="5"/>
  <c r="UJ5" i="5"/>
  <c r="UI5" i="5"/>
  <c r="UH5" i="5"/>
  <c r="UG5" i="5"/>
  <c r="UF5" i="5"/>
  <c r="UE5" i="5"/>
  <c r="UD5" i="5"/>
  <c r="UC5" i="5"/>
  <c r="UB5" i="5"/>
  <c r="UA5" i="5"/>
  <c r="TZ5" i="5"/>
  <c r="TY5" i="5"/>
  <c r="TX5" i="5"/>
  <c r="TW5" i="5"/>
  <c r="TV5" i="5"/>
  <c r="TU5" i="5"/>
  <c r="TT5" i="5"/>
  <c r="TS5" i="5"/>
  <c r="TR5" i="5"/>
  <c r="TQ5" i="5"/>
  <c r="TP5" i="5"/>
  <c r="TO5" i="5"/>
  <c r="TN5" i="5"/>
  <c r="TM5" i="5"/>
  <c r="TL5" i="5"/>
  <c r="TK5" i="5"/>
  <c r="TJ5" i="5"/>
  <c r="TI5" i="5"/>
  <c r="TH5" i="5"/>
  <c r="TG5" i="5"/>
  <c r="TF5" i="5"/>
  <c r="TE5" i="5"/>
  <c r="TD5" i="5"/>
  <c r="TC5" i="5"/>
  <c r="TB5" i="5"/>
  <c r="TA5" i="5"/>
  <c r="SZ5" i="5"/>
  <c r="SY5" i="5"/>
  <c r="SX5" i="5"/>
  <c r="SW5" i="5"/>
  <c r="SV5" i="5"/>
  <c r="SU5" i="5"/>
  <c r="ST5" i="5"/>
  <c r="SS5" i="5"/>
  <c r="SR5" i="5"/>
  <c r="SQ5" i="5"/>
  <c r="SP5" i="5"/>
  <c r="SO5" i="5"/>
  <c r="SN5" i="5"/>
  <c r="SM5" i="5"/>
  <c r="SL5" i="5"/>
  <c r="SK5" i="5"/>
  <c r="SJ5" i="5"/>
  <c r="SI5" i="5"/>
  <c r="SH5" i="5"/>
  <c r="SG5" i="5"/>
  <c r="SF5" i="5"/>
  <c r="SE5" i="5"/>
  <c r="SD5" i="5"/>
  <c r="SC5" i="5"/>
  <c r="SB5" i="5"/>
  <c r="SA5" i="5"/>
  <c r="RZ5" i="5"/>
  <c r="RY5" i="5"/>
  <c r="RX5" i="5"/>
  <c r="RW5" i="5"/>
  <c r="RV5" i="5"/>
  <c r="RU5" i="5"/>
  <c r="RT5" i="5"/>
  <c r="RS5" i="5"/>
  <c r="RR5" i="5"/>
  <c r="RQ5" i="5"/>
  <c r="RP5" i="5"/>
  <c r="RO5" i="5"/>
  <c r="RN5" i="5"/>
  <c r="RM5" i="5"/>
  <c r="RL5" i="5"/>
  <c r="RK5" i="5"/>
  <c r="RJ5" i="5"/>
  <c r="RI5" i="5"/>
  <c r="RH5" i="5"/>
  <c r="RG5" i="5"/>
  <c r="RF5" i="5"/>
  <c r="RE5" i="5"/>
  <c r="RD5" i="5"/>
  <c r="RC5" i="5"/>
  <c r="RB5" i="5"/>
  <c r="RA5" i="5"/>
  <c r="QZ5" i="5"/>
  <c r="QY5" i="5"/>
  <c r="QX5" i="5"/>
  <c r="QW5" i="5"/>
  <c r="QV5" i="5"/>
  <c r="QU5" i="5"/>
  <c r="QT5" i="5"/>
  <c r="QS5" i="5"/>
  <c r="QR5" i="5"/>
  <c r="QQ5" i="5"/>
  <c r="QP5" i="5"/>
  <c r="QO5" i="5"/>
  <c r="QN5" i="5"/>
  <c r="QM5" i="5"/>
  <c r="QL5" i="5"/>
  <c r="QK5" i="5"/>
  <c r="QJ5" i="5"/>
  <c r="QI5" i="5"/>
  <c r="QH5" i="5"/>
  <c r="QG5" i="5"/>
  <c r="QF5" i="5"/>
  <c r="QE5" i="5"/>
  <c r="QD5" i="5"/>
  <c r="QC5" i="5"/>
  <c r="QB5" i="5"/>
  <c r="QA5" i="5"/>
  <c r="PZ5" i="5"/>
  <c r="PY5" i="5"/>
  <c r="PX5" i="5"/>
  <c r="PW5" i="5"/>
  <c r="PV5" i="5"/>
  <c r="PU5" i="5"/>
  <c r="PT5" i="5"/>
  <c r="PS5" i="5"/>
  <c r="PR5" i="5"/>
  <c r="PQ5" i="5"/>
  <c r="PP5" i="5"/>
  <c r="PO5" i="5"/>
  <c r="PN5" i="5"/>
  <c r="PM5" i="5"/>
  <c r="PL5" i="5"/>
  <c r="PK5" i="5"/>
  <c r="PJ5" i="5"/>
  <c r="PI5" i="5"/>
  <c r="PH5" i="5"/>
  <c r="PG5" i="5"/>
  <c r="PF5" i="5"/>
  <c r="PE5" i="5"/>
  <c r="PD5" i="5"/>
  <c r="PC5" i="5"/>
  <c r="PB5" i="5"/>
  <c r="PA5" i="5"/>
  <c r="OZ5" i="5"/>
  <c r="OY5" i="5"/>
  <c r="OX5" i="5"/>
  <c r="OW5" i="5"/>
  <c r="OV5" i="5"/>
  <c r="OU5" i="5"/>
  <c r="OT5" i="5"/>
  <c r="OS5" i="5"/>
  <c r="OR5" i="5"/>
  <c r="OQ5" i="5"/>
  <c r="OP5" i="5"/>
  <c r="OO5" i="5"/>
  <c r="ON5" i="5"/>
  <c r="OM5" i="5"/>
  <c r="OL5" i="5"/>
  <c r="OK5" i="5"/>
  <c r="OJ5" i="5"/>
  <c r="OI5" i="5"/>
  <c r="OH5" i="5"/>
  <c r="OG5" i="5"/>
  <c r="OF5" i="5"/>
  <c r="OE5" i="5"/>
  <c r="OD5" i="5"/>
  <c r="OC5" i="5"/>
  <c r="OB5" i="5"/>
  <c r="OA5" i="5"/>
  <c r="NZ5" i="5"/>
  <c r="NY5" i="5"/>
  <c r="NX5" i="5"/>
  <c r="NW5" i="5"/>
  <c r="NV5" i="5"/>
  <c r="NU5" i="5"/>
  <c r="NT5" i="5"/>
  <c r="NS5" i="5"/>
  <c r="NR5" i="5"/>
  <c r="NQ5" i="5"/>
  <c r="NP5" i="5"/>
  <c r="NO5" i="5"/>
  <c r="NN5" i="5"/>
  <c r="NM5" i="5"/>
  <c r="NL5" i="5"/>
  <c r="NK5" i="5"/>
  <c r="NJ5" i="5"/>
  <c r="NI5" i="5"/>
  <c r="NH5" i="5"/>
  <c r="NG5" i="5"/>
  <c r="NF5" i="5"/>
  <c r="NE5" i="5"/>
  <c r="ND5" i="5"/>
  <c r="NC5" i="5"/>
  <c r="NB5" i="5"/>
  <c r="NA5" i="5"/>
  <c r="MZ5" i="5"/>
  <c r="MY5" i="5"/>
  <c r="MX5" i="5"/>
  <c r="MW5" i="5"/>
  <c r="MV5" i="5"/>
  <c r="MU5" i="5"/>
  <c r="MT5" i="5"/>
  <c r="MS5" i="5"/>
  <c r="MR5" i="5"/>
  <c r="MQ5" i="5"/>
  <c r="MP5" i="5"/>
  <c r="MO5" i="5"/>
  <c r="MN5" i="5"/>
  <c r="MM5" i="5"/>
  <c r="ML5" i="5"/>
  <c r="MK5" i="5"/>
  <c r="MJ5" i="5"/>
  <c r="MI5" i="5"/>
  <c r="MH5" i="5"/>
  <c r="MG5" i="5"/>
  <c r="MF5" i="5"/>
  <c r="ME5" i="5"/>
  <c r="MD5" i="5"/>
  <c r="MC5" i="5"/>
  <c r="MB5" i="5"/>
  <c r="MA5" i="5"/>
  <c r="LZ5" i="5"/>
  <c r="LY5" i="5"/>
  <c r="LX5" i="5"/>
  <c r="LW5" i="5"/>
  <c r="LV5" i="5"/>
  <c r="LU5" i="5"/>
  <c r="LT5" i="5"/>
  <c r="LS5" i="5"/>
  <c r="LR5" i="5"/>
  <c r="LQ5" i="5"/>
  <c r="LP5" i="5"/>
  <c r="LO5" i="5"/>
  <c r="LN5" i="5"/>
  <c r="LM5" i="5"/>
  <c r="LL5" i="5"/>
  <c r="LK5" i="5"/>
  <c r="LJ5" i="5"/>
  <c r="LI5" i="5"/>
  <c r="LH5" i="5"/>
  <c r="LG5" i="5"/>
  <c r="LF5" i="5"/>
  <c r="LE5" i="5"/>
  <c r="LD5" i="5"/>
  <c r="LC5" i="5"/>
  <c r="LB5" i="5"/>
  <c r="LA5" i="5"/>
  <c r="KZ5" i="5"/>
  <c r="KY5" i="5"/>
  <c r="KX5" i="5"/>
  <c r="KW5" i="5"/>
  <c r="KV5" i="5"/>
  <c r="KU5" i="5"/>
  <c r="KT5" i="5"/>
  <c r="KS5" i="5"/>
  <c r="KR5" i="5"/>
  <c r="KQ5" i="5"/>
  <c r="KP5" i="5"/>
  <c r="KO5" i="5"/>
  <c r="KN5" i="5"/>
  <c r="KM5" i="5"/>
  <c r="KL5" i="5"/>
  <c r="KK5" i="5"/>
  <c r="KJ5" i="5"/>
  <c r="KI5" i="5"/>
  <c r="KH5" i="5"/>
  <c r="KG5" i="5"/>
  <c r="KF5" i="5"/>
  <c r="KE5" i="5"/>
  <c r="KD5" i="5"/>
  <c r="KC5" i="5"/>
  <c r="KB5" i="5"/>
  <c r="KA5" i="5"/>
  <c r="JZ5" i="5"/>
  <c r="JY5" i="5"/>
  <c r="JX5" i="5"/>
  <c r="JW5" i="5"/>
  <c r="JV5" i="5"/>
  <c r="JU5" i="5"/>
  <c r="JT5" i="5"/>
  <c r="JS5" i="5"/>
  <c r="JR5" i="5"/>
  <c r="JQ5" i="5"/>
  <c r="JP5" i="5"/>
  <c r="JO5" i="5"/>
  <c r="JN5" i="5"/>
  <c r="JM5" i="5"/>
  <c r="JL5" i="5"/>
  <c r="JK5" i="5"/>
  <c r="JJ5" i="5"/>
  <c r="JI5" i="5"/>
  <c r="JH5" i="5"/>
  <c r="JG5" i="5"/>
  <c r="JF5" i="5"/>
  <c r="JE5" i="5"/>
  <c r="JD5" i="5"/>
  <c r="JC5" i="5"/>
  <c r="JB5" i="5"/>
  <c r="JA5" i="5"/>
  <c r="IZ5" i="5"/>
  <c r="IY5" i="5"/>
  <c r="IX5" i="5"/>
  <c r="IW5" i="5"/>
  <c r="IV5" i="5"/>
  <c r="IU5" i="5"/>
  <c r="IT5" i="5"/>
  <c r="IS5" i="5"/>
  <c r="IR5" i="5"/>
  <c r="IQ5" i="5"/>
  <c r="IP5" i="5"/>
  <c r="IO5" i="5"/>
  <c r="IN5" i="5"/>
  <c r="IM5" i="5"/>
  <c r="IL5" i="5"/>
  <c r="IK5" i="5"/>
  <c r="IJ5" i="5"/>
  <c r="II5" i="5"/>
  <c r="IH5" i="5"/>
  <c r="IG5" i="5"/>
  <c r="IF5" i="5"/>
  <c r="IE5" i="5"/>
  <c r="ID5" i="5"/>
  <c r="IC5" i="5"/>
  <c r="IB5" i="5"/>
  <c r="IA5" i="5"/>
  <c r="HZ5" i="5"/>
  <c r="HY5" i="5"/>
  <c r="HX5" i="5"/>
  <c r="HW5" i="5"/>
  <c r="HV5" i="5"/>
  <c r="HU5" i="5"/>
  <c r="HT5" i="5"/>
  <c r="HS5" i="5"/>
  <c r="HR5" i="5"/>
  <c r="HQ5" i="5"/>
  <c r="HP5" i="5"/>
  <c r="HO5" i="5"/>
  <c r="HN5" i="5"/>
  <c r="HM5" i="5"/>
  <c r="HL5" i="5"/>
  <c r="HK5" i="5"/>
  <c r="HJ5" i="5"/>
  <c r="HI5" i="5"/>
  <c r="HH5" i="5"/>
  <c r="HG5" i="5"/>
  <c r="HF5" i="5"/>
  <c r="HE5" i="5"/>
  <c r="HD5" i="5"/>
  <c r="HC5" i="5"/>
  <c r="HB5" i="5"/>
  <c r="HA5" i="5"/>
  <c r="GZ5" i="5"/>
  <c r="GY5" i="5"/>
  <c r="GX5" i="5"/>
  <c r="GW5" i="5"/>
  <c r="GV5" i="5"/>
  <c r="GU5" i="5"/>
  <c r="GT5" i="5"/>
  <c r="GS5" i="5"/>
  <c r="GR5" i="5"/>
  <c r="GQ5" i="5"/>
  <c r="GP5" i="5"/>
  <c r="GO5" i="5"/>
  <c r="GN5" i="5"/>
  <c r="GM5" i="5"/>
  <c r="GL5" i="5"/>
  <c r="GK5" i="5"/>
  <c r="GJ5" i="5"/>
  <c r="GI5" i="5"/>
  <c r="GH5" i="5"/>
  <c r="GG5" i="5"/>
  <c r="GF5" i="5"/>
  <c r="GE5" i="5"/>
  <c r="GD5" i="5"/>
  <c r="GC5" i="5"/>
  <c r="GB5" i="5"/>
  <c r="GA5" i="5"/>
  <c r="FZ5" i="5"/>
  <c r="FY5" i="5"/>
  <c r="FX5" i="5"/>
  <c r="FW5" i="5"/>
  <c r="FV5" i="5"/>
  <c r="FU5" i="5"/>
  <c r="FT5" i="5"/>
  <c r="FS5" i="5"/>
  <c r="FR5" i="5"/>
  <c r="FQ5" i="5"/>
  <c r="FP5" i="5"/>
  <c r="FO5" i="5"/>
  <c r="FN5" i="5"/>
  <c r="FM5" i="5"/>
  <c r="FL5" i="5"/>
  <c r="FK5" i="5"/>
  <c r="FJ5" i="5"/>
  <c r="FI5" i="5"/>
  <c r="FH5" i="5"/>
  <c r="FG5" i="5"/>
  <c r="FF5" i="5"/>
  <c r="FE5" i="5"/>
  <c r="FD5" i="5"/>
  <c r="FC5" i="5"/>
  <c r="FB5" i="5"/>
  <c r="FA5" i="5"/>
  <c r="EZ5" i="5"/>
  <c r="EY5" i="5"/>
  <c r="EX5" i="5"/>
  <c r="EW5" i="5"/>
  <c r="EV5" i="5"/>
  <c r="EU5" i="5"/>
  <c r="ET5" i="5"/>
  <c r="ES5" i="5"/>
  <c r="ER5" i="5"/>
  <c r="EQ5" i="5"/>
  <c r="EP5" i="5"/>
  <c r="EO5" i="5"/>
  <c r="EN5" i="5"/>
  <c r="EM5" i="5"/>
  <c r="EL5" i="5"/>
  <c r="EK5" i="5"/>
  <c r="EJ5" i="5"/>
  <c r="EI5" i="5"/>
  <c r="EH5" i="5"/>
  <c r="EG5" i="5"/>
  <c r="EF5" i="5"/>
  <c r="EE5" i="5"/>
  <c r="ED5" i="5"/>
  <c r="EC5" i="5"/>
  <c r="EB5" i="5"/>
  <c r="EA5" i="5"/>
  <c r="DZ5" i="5"/>
  <c r="DY5" i="5"/>
  <c r="DX5" i="5"/>
  <c r="DW5" i="5"/>
  <c r="DV5" i="5"/>
  <c r="DU5" i="5"/>
  <c r="DT5" i="5"/>
  <c r="DS5" i="5"/>
  <c r="DR5" i="5"/>
  <c r="DQ5" i="5"/>
  <c r="DP5" i="5"/>
  <c r="DO5" i="5"/>
  <c r="DN5" i="5"/>
  <c r="DM5" i="5"/>
  <c r="DL5" i="5"/>
  <c r="DK5" i="5"/>
  <c r="DJ5" i="5"/>
  <c r="DI5" i="5"/>
  <c r="DH5" i="5"/>
  <c r="DG5" i="5"/>
  <c r="DF5" i="5"/>
  <c r="DE5" i="5"/>
  <c r="DD5" i="5"/>
  <c r="DC5" i="5"/>
  <c r="DB5" i="5"/>
  <c r="DA5" i="5"/>
  <c r="CZ5" i="5"/>
  <c r="CY5" i="5"/>
  <c r="CX5" i="5"/>
  <c r="CW5" i="5"/>
  <c r="CV5" i="5"/>
  <c r="CU5" i="5"/>
  <c r="CT5" i="5"/>
  <c r="CS5" i="5"/>
  <c r="CR5" i="5"/>
  <c r="CQ5" i="5"/>
  <c r="CP5" i="5"/>
  <c r="CO5" i="5"/>
  <c r="CN5" i="5"/>
  <c r="CM5" i="5"/>
  <c r="CL5" i="5"/>
  <c r="CK5" i="5"/>
  <c r="CJ5" i="5"/>
  <c r="CI5" i="5"/>
  <c r="CH5" i="5"/>
  <c r="CG5" i="5"/>
  <c r="CF5" i="5"/>
  <c r="CE5" i="5"/>
  <c r="CD5" i="5"/>
  <c r="CC5" i="5"/>
  <c r="CB5" i="5"/>
  <c r="CA5" i="5"/>
  <c r="BZ5" i="5"/>
  <c r="BY5" i="5"/>
  <c r="BX5" i="5"/>
  <c r="BW5" i="5"/>
  <c r="BV5" i="5"/>
  <c r="BU5" i="5"/>
  <c r="BT5" i="5"/>
  <c r="BS5" i="5"/>
  <c r="BR5" i="5"/>
  <c r="BQ5" i="5"/>
  <c r="BP5" i="5"/>
  <c r="BO5" i="5"/>
  <c r="BN5" i="5"/>
  <c r="BM5" i="5"/>
  <c r="BL5" i="5"/>
  <c r="BK5" i="5"/>
  <c r="BJ5" i="5"/>
  <c r="BI5" i="5"/>
  <c r="BH5" i="5"/>
  <c r="BG5" i="5"/>
  <c r="BF5" i="5"/>
  <c r="BE5" i="5"/>
  <c r="BD5" i="5"/>
  <c r="BC5" i="5"/>
  <c r="BB5" i="5"/>
  <c r="BA5" i="5"/>
  <c r="AZ5" i="5"/>
  <c r="AY5" i="5"/>
  <c r="AX5" i="5"/>
  <c r="AW5" i="5"/>
  <c r="AV5" i="5"/>
  <c r="AU5" i="5"/>
  <c r="AT5" i="5"/>
  <c r="AS5" i="5"/>
  <c r="AR5" i="5"/>
  <c r="AQ5" i="5"/>
  <c r="AP5" i="5"/>
  <c r="AO5" i="5"/>
  <c r="AN5" i="5"/>
  <c r="AM5" i="5"/>
  <c r="AL5" i="5"/>
  <c r="AK5" i="5"/>
  <c r="AJ5" i="5"/>
  <c r="AI5" i="5"/>
  <c r="AH5" i="5"/>
  <c r="AG5" i="5"/>
  <c r="AF5" i="5"/>
  <c r="AE5" i="5"/>
  <c r="AD5" i="5"/>
  <c r="AC5" i="5"/>
  <c r="AB5" i="5"/>
  <c r="AA5" i="5"/>
  <c r="Z5" i="5"/>
  <c r="Y5" i="5"/>
  <c r="X5" i="5"/>
  <c r="W5" i="5"/>
  <c r="V5" i="5"/>
  <c r="U5" i="5"/>
  <c r="T5" i="5"/>
  <c r="S5" i="5"/>
  <c r="R5" i="5"/>
  <c r="Q5" i="5"/>
  <c r="P5" i="5"/>
  <c r="O5" i="5"/>
  <c r="N5" i="5"/>
  <c r="M5" i="5"/>
  <c r="L5" i="5"/>
  <c r="K5" i="5"/>
  <c r="J5" i="5"/>
  <c r="I5" i="5"/>
  <c r="H5" i="5"/>
  <c r="G5" i="5"/>
  <c r="F5" i="5"/>
  <c r="E5" i="5"/>
  <c r="D5" i="5"/>
  <c r="C5" i="5"/>
  <c r="B5" i="5"/>
  <c r="AGX4" i="5"/>
  <c r="AGV4" i="5"/>
  <c r="AGU4" i="5"/>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2" i="1"/>
  <c r="E7" i="3"/>
  <c r="H15" i="3"/>
  <c r="H14" i="3"/>
  <c r="H13" i="3"/>
  <c r="H12" i="3"/>
  <c r="H11" i="3"/>
  <c r="P10" i="3"/>
  <c r="Q11" i="3"/>
  <c r="P15" i="3"/>
  <c r="N15" i="3"/>
  <c r="N14" i="3"/>
  <c r="P14" i="3"/>
  <c r="O14" i="3"/>
  <c r="M14" i="3"/>
  <c r="N13" i="3"/>
  <c r="M13" i="3"/>
  <c r="N12" i="3"/>
  <c r="M12" i="3"/>
  <c r="O11" i="3"/>
  <c r="N11" i="3"/>
  <c r="M11" i="3"/>
  <c r="O10" i="3"/>
  <c r="N10" i="3"/>
  <c r="M10" i="3"/>
  <c r="C3" i="3"/>
  <c r="C4" i="3"/>
  <c r="C5" i="3"/>
  <c r="C6" i="3"/>
  <c r="C2" i="3"/>
  <c r="R2" i="3"/>
  <c r="P3" i="3"/>
  <c r="P4" i="3"/>
  <c r="P5" i="3"/>
  <c r="P6" i="3"/>
  <c r="P2" i="3"/>
  <c r="O3" i="3"/>
  <c r="O6" i="3"/>
  <c r="O2" i="3"/>
  <c r="N3" i="3"/>
  <c r="N4" i="3"/>
  <c r="N5" i="3"/>
  <c r="N6" i="3"/>
  <c r="N2" i="3"/>
  <c r="L3" i="3"/>
  <c r="Q3" i="3" s="1"/>
  <c r="L4" i="3"/>
  <c r="M4" i="3" s="1"/>
  <c r="L5" i="3"/>
  <c r="Q5" i="3" s="1"/>
  <c r="L6" i="3"/>
  <c r="Q6" i="3" s="1"/>
  <c r="L2" i="3"/>
  <c r="Q2" i="3" s="1"/>
  <c r="K3" i="3"/>
  <c r="K4" i="3"/>
  <c r="K5" i="3"/>
  <c r="K6" i="3"/>
  <c r="K2" i="3"/>
  <c r="J3" i="3"/>
  <c r="J4" i="3"/>
  <c r="J5" i="3"/>
  <c r="J6" i="3"/>
  <c r="J2" i="3"/>
  <c r="I3" i="3"/>
  <c r="I4" i="3"/>
  <c r="I5" i="3"/>
  <c r="I6" i="3"/>
  <c r="I2" i="3"/>
  <c r="H3" i="3"/>
  <c r="H4" i="3"/>
  <c r="H5" i="3"/>
  <c r="H6" i="3"/>
  <c r="H2" i="3"/>
  <c r="G3" i="3"/>
  <c r="G4" i="3"/>
  <c r="G5" i="3"/>
  <c r="G6" i="3"/>
  <c r="G2" i="3"/>
  <c r="P36" i="9" l="1"/>
  <c r="O159" i="9"/>
  <c r="N117" i="1"/>
  <c r="P668" i="9"/>
  <c r="P205" i="9"/>
  <c r="O512" i="9"/>
  <c r="P802" i="9"/>
  <c r="O65" i="1"/>
  <c r="O328" i="9"/>
  <c r="P562" i="9"/>
  <c r="P862" i="9"/>
  <c r="N404" i="9"/>
  <c r="N779" i="1"/>
  <c r="N488" i="1"/>
  <c r="N40" i="1"/>
  <c r="N91" i="9"/>
  <c r="N521" i="9"/>
  <c r="P577" i="1"/>
  <c r="N430" i="1"/>
  <c r="N363" i="1"/>
  <c r="O91" i="9"/>
  <c r="O368" i="1"/>
  <c r="N165" i="1"/>
  <c r="N96" i="1"/>
  <c r="N345" i="9"/>
  <c r="N512" i="9"/>
  <c r="P606" i="9"/>
  <c r="O782" i="9"/>
  <c r="P754" i="1"/>
  <c r="N221" i="1"/>
  <c r="O125" i="1"/>
  <c r="P124" i="1"/>
  <c r="P290" i="9"/>
  <c r="P365" i="9"/>
  <c r="P489" i="9"/>
  <c r="O538" i="9"/>
  <c r="P700" i="9"/>
  <c r="P786" i="9"/>
  <c r="P412" i="1"/>
  <c r="O395" i="1"/>
  <c r="N236" i="1"/>
  <c r="P211" i="1"/>
  <c r="P168" i="1"/>
  <c r="O161" i="1"/>
  <c r="N125" i="1"/>
  <c r="O124" i="1"/>
  <c r="N68" i="1"/>
  <c r="P132" i="9"/>
  <c r="N248" i="9"/>
  <c r="N313" i="9"/>
  <c r="N802" i="1"/>
  <c r="P562" i="1"/>
  <c r="P402" i="1"/>
  <c r="O320" i="1"/>
  <c r="N251" i="1"/>
  <c r="P185" i="1"/>
  <c r="P151" i="1"/>
  <c r="N77" i="1"/>
  <c r="P248" i="9"/>
  <c r="O813" i="9"/>
  <c r="N842" i="1"/>
  <c r="P578" i="1"/>
  <c r="N97" i="1"/>
  <c r="N88" i="1"/>
  <c r="N69" i="1"/>
  <c r="O23" i="9"/>
  <c r="O75" i="9"/>
  <c r="P124" i="9"/>
  <c r="N385" i="9"/>
  <c r="N696" i="9"/>
  <c r="N834" i="1"/>
  <c r="O787" i="1"/>
  <c r="P766" i="1"/>
  <c r="N579" i="1"/>
  <c r="O578" i="1"/>
  <c r="N510" i="1"/>
  <c r="N414" i="1"/>
  <c r="O411" i="1"/>
  <c r="N398" i="1"/>
  <c r="N285" i="1"/>
  <c r="O280" i="1"/>
  <c r="N116" i="1"/>
  <c r="N48" i="1"/>
  <c r="N33" i="1"/>
  <c r="P23" i="9"/>
  <c r="O272" i="9"/>
  <c r="P322" i="9"/>
  <c r="O365" i="9"/>
  <c r="O389" i="9"/>
  <c r="P442" i="9"/>
  <c r="P505" i="9"/>
  <c r="P521" i="9"/>
  <c r="P594" i="9"/>
  <c r="O696" i="9"/>
  <c r="P728" i="9"/>
  <c r="O786" i="9"/>
  <c r="N813" i="9"/>
  <c r="N568" i="1"/>
  <c r="N472" i="1"/>
  <c r="N382" i="1"/>
  <c r="P9" i="9"/>
  <c r="P47" i="9"/>
  <c r="P100" i="9"/>
  <c r="P173" i="9"/>
  <c r="N308" i="9"/>
  <c r="N340" i="9"/>
  <c r="N377" i="9"/>
  <c r="P410" i="9"/>
  <c r="O473" i="9"/>
  <c r="P542" i="9"/>
  <c r="P630" i="9"/>
  <c r="O708" i="9"/>
  <c r="N751" i="9"/>
  <c r="P793" i="9"/>
  <c r="O4" i="9"/>
  <c r="P55" i="9"/>
  <c r="P108" i="9"/>
  <c r="N228" i="9"/>
  <c r="P370" i="9"/>
  <c r="N417" i="9"/>
  <c r="O573" i="9"/>
  <c r="P614" i="9"/>
  <c r="O657" i="9"/>
  <c r="O680" i="9"/>
  <c r="O720" i="9"/>
  <c r="N735" i="9"/>
  <c r="O756" i="9"/>
  <c r="O798" i="9"/>
  <c r="O837" i="9"/>
  <c r="P866" i="9"/>
  <c r="O317" i="9"/>
  <c r="O333" i="9"/>
  <c r="O381" i="9"/>
  <c r="P394" i="9"/>
  <c r="N866" i="1"/>
  <c r="P824" i="1"/>
  <c r="O746" i="1"/>
  <c r="P615" i="1"/>
  <c r="O606" i="1"/>
  <c r="P540" i="1"/>
  <c r="N504" i="1"/>
  <c r="O458" i="1"/>
  <c r="O304" i="1"/>
  <c r="O264" i="1"/>
  <c r="N17" i="1"/>
  <c r="O4" i="1"/>
  <c r="P4" i="9"/>
  <c r="P28" i="9"/>
  <c r="P68" i="9"/>
  <c r="O96" i="9"/>
  <c r="P116" i="9"/>
  <c r="P148" i="9"/>
  <c r="P192" i="9"/>
  <c r="O285" i="9"/>
  <c r="N297" i="9"/>
  <c r="P317" i="9"/>
  <c r="O336" i="9"/>
  <c r="O360" i="9"/>
  <c r="N376" i="9"/>
  <c r="P381" i="9"/>
  <c r="O400" i="9"/>
  <c r="O424" i="9"/>
  <c r="P453" i="9"/>
  <c r="N489" i="9"/>
  <c r="P497" i="9"/>
  <c r="O517" i="9"/>
  <c r="O557" i="9"/>
  <c r="P578" i="9"/>
  <c r="N621" i="9"/>
  <c r="P657" i="9"/>
  <c r="O684" i="9"/>
  <c r="P720" i="9"/>
  <c r="N777" i="9"/>
  <c r="N793" i="9"/>
  <c r="P798" i="9"/>
  <c r="P842" i="9"/>
  <c r="P873" i="9"/>
  <c r="P140" i="9"/>
  <c r="O187" i="9"/>
  <c r="N356" i="9"/>
  <c r="P493" i="9"/>
  <c r="P549" i="9"/>
  <c r="P856" i="1"/>
  <c r="N810" i="1"/>
  <c r="P795" i="1"/>
  <c r="O654" i="1"/>
  <c r="N607" i="1"/>
  <c r="O586" i="1"/>
  <c r="O522" i="1"/>
  <c r="O507" i="1"/>
  <c r="O490" i="1"/>
  <c r="P444" i="1"/>
  <c r="N392" i="1"/>
  <c r="O336" i="1"/>
  <c r="N315" i="1"/>
  <c r="N252" i="1"/>
  <c r="N181" i="1"/>
  <c r="O153" i="1"/>
  <c r="O148" i="1"/>
  <c r="P131" i="1"/>
  <c r="O116" i="1"/>
  <c r="N109" i="1"/>
  <c r="O96" i="1"/>
  <c r="N76" i="1"/>
  <c r="N60" i="1"/>
  <c r="N24" i="1"/>
  <c r="P96" i="9"/>
  <c r="O244" i="9"/>
  <c r="P285" i="9"/>
  <c r="O376" i="9"/>
  <c r="P517" i="9"/>
  <c r="P557" i="9"/>
  <c r="N339" i="1"/>
  <c r="O339" i="1"/>
  <c r="P284" i="1"/>
  <c r="N284" i="1"/>
  <c r="N164" i="1"/>
  <c r="O164" i="1"/>
  <c r="P105" i="1"/>
  <c r="N105" i="1"/>
  <c r="P37" i="1"/>
  <c r="N37" i="1"/>
  <c r="O104" i="9"/>
  <c r="P104" i="9"/>
  <c r="O136" i="9"/>
  <c r="P136" i="9"/>
  <c r="O181" i="9"/>
  <c r="P181" i="9"/>
  <c r="P224" i="9"/>
  <c r="O224" i="9"/>
  <c r="N224" i="9"/>
  <c r="P292" i="9"/>
  <c r="N292" i="9"/>
  <c r="P329" i="9"/>
  <c r="N329" i="9"/>
  <c r="N349" i="9"/>
  <c r="P349" i="9"/>
  <c r="O349" i="9"/>
  <c r="O414" i="9"/>
  <c r="P414" i="9"/>
  <c r="P448" i="9"/>
  <c r="O448" i="9"/>
  <c r="N474" i="9"/>
  <c r="P474" i="9"/>
  <c r="N565" i="9"/>
  <c r="P565" i="9"/>
  <c r="O565" i="9"/>
  <c r="N609" i="9"/>
  <c r="P609" i="9"/>
  <c r="N649" i="9"/>
  <c r="P649" i="9"/>
  <c r="O649" i="9"/>
  <c r="P675" i="9"/>
  <c r="O675" i="9"/>
  <c r="N732" i="9"/>
  <c r="O732" i="9"/>
  <c r="P797" i="9"/>
  <c r="N797" i="9"/>
  <c r="O869" i="1"/>
  <c r="N858" i="1"/>
  <c r="P840" i="1"/>
  <c r="N818" i="1"/>
  <c r="N743" i="1"/>
  <c r="P498" i="1"/>
  <c r="O491" i="1"/>
  <c r="P371" i="1"/>
  <c r="P340" i="1"/>
  <c r="N340" i="1"/>
  <c r="O331" i="1"/>
  <c r="N331" i="1"/>
  <c r="P308" i="1"/>
  <c r="N308" i="1"/>
  <c r="O299" i="1"/>
  <c r="N299" i="1"/>
  <c r="O253" i="1"/>
  <c r="N253" i="1"/>
  <c r="P248" i="1"/>
  <c r="O248" i="1"/>
  <c r="P219" i="1"/>
  <c r="N219" i="1"/>
  <c r="O219" i="1"/>
  <c r="N167" i="1"/>
  <c r="P167" i="1"/>
  <c r="O149" i="1"/>
  <c r="N149" i="1"/>
  <c r="O44" i="1"/>
  <c r="N44" i="1"/>
  <c r="P29" i="1"/>
  <c r="N29" i="1"/>
  <c r="O29" i="1"/>
  <c r="N60" i="9"/>
  <c r="P60" i="9"/>
  <c r="N233" i="9"/>
  <c r="O233" i="9"/>
  <c r="P280" i="9"/>
  <c r="N280" i="9"/>
  <c r="O765" i="9"/>
  <c r="P765" i="9"/>
  <c r="N765" i="9"/>
  <c r="P841" i="9"/>
  <c r="N841" i="9"/>
  <c r="P767" i="1"/>
  <c r="N655" i="1"/>
  <c r="N640" i="1"/>
  <c r="P623" i="1"/>
  <c r="P622" i="1"/>
  <c r="P607" i="1"/>
  <c r="P594" i="1"/>
  <c r="P593" i="1"/>
  <c r="N580" i="1"/>
  <c r="O554" i="1"/>
  <c r="N536" i="1"/>
  <c r="P508" i="1"/>
  <c r="N494" i="1"/>
  <c r="N478" i="1"/>
  <c r="O475" i="1"/>
  <c r="P466" i="1"/>
  <c r="O459" i="1"/>
  <c r="N456" i="1"/>
  <c r="N440" i="1"/>
  <c r="O426" i="1"/>
  <c r="N372" i="1"/>
  <c r="O371" i="1"/>
  <c r="O349" i="1"/>
  <c r="N349" i="1"/>
  <c r="N347" i="1"/>
  <c r="O317" i="1"/>
  <c r="N317" i="1"/>
  <c r="P268" i="1"/>
  <c r="N268" i="1"/>
  <c r="N152" i="1"/>
  <c r="P152" i="1"/>
  <c r="P104" i="1"/>
  <c r="N104" i="1"/>
  <c r="O104" i="1"/>
  <c r="O120" i="9"/>
  <c r="P120" i="9"/>
  <c r="O152" i="9"/>
  <c r="P152" i="9"/>
  <c r="O197" i="9"/>
  <c r="P197" i="9"/>
  <c r="P260" i="9"/>
  <c r="O260" i="9"/>
  <c r="N260" i="9"/>
  <c r="N301" i="9"/>
  <c r="P301" i="9"/>
  <c r="O301" i="9"/>
  <c r="O338" i="9"/>
  <c r="P338" i="9"/>
  <c r="O402" i="9"/>
  <c r="P402" i="9"/>
  <c r="O457" i="9"/>
  <c r="P457" i="9"/>
  <c r="N457" i="9"/>
  <c r="P528" i="9"/>
  <c r="O528" i="9"/>
  <c r="N528" i="9"/>
  <c r="P628" i="9"/>
  <c r="O628" i="9"/>
  <c r="P739" i="9"/>
  <c r="O739" i="9"/>
  <c r="N739" i="9"/>
  <c r="P817" i="9"/>
  <c r="O817" i="9"/>
  <c r="N817" i="9"/>
  <c r="N307" i="1"/>
  <c r="O307" i="1"/>
  <c r="N850" i="1"/>
  <c r="N826" i="1"/>
  <c r="P808" i="1"/>
  <c r="N797" i="1"/>
  <c r="N788" i="1"/>
  <c r="O778" i="1"/>
  <c r="O767" i="1"/>
  <c r="O623" i="1"/>
  <c r="P606" i="1"/>
  <c r="N595" i="1"/>
  <c r="O594" i="1"/>
  <c r="N542" i="1"/>
  <c r="O539" i="1"/>
  <c r="P530" i="1"/>
  <c r="P476" i="1"/>
  <c r="N462" i="1"/>
  <c r="N446" i="1"/>
  <c r="O443" i="1"/>
  <c r="P434" i="1"/>
  <c r="O427" i="1"/>
  <c r="N424" i="1"/>
  <c r="N408" i="1"/>
  <c r="O394" i="1"/>
  <c r="O352" i="1"/>
  <c r="P339" i="1"/>
  <c r="P307" i="1"/>
  <c r="P283" i="1"/>
  <c r="N283" i="1"/>
  <c r="P220" i="1"/>
  <c r="N220" i="1"/>
  <c r="N135" i="1"/>
  <c r="P135" i="1"/>
  <c r="P32" i="1"/>
  <c r="N32" i="1"/>
  <c r="O41" i="9"/>
  <c r="P41" i="9"/>
  <c r="N80" i="9"/>
  <c r="P80" i="9"/>
  <c r="O80" i="9"/>
  <c r="P312" i="9"/>
  <c r="O312" i="9"/>
  <c r="P464" i="9"/>
  <c r="O464" i="9"/>
  <c r="N464" i="9"/>
  <c r="N597" i="9"/>
  <c r="P597" i="9"/>
  <c r="O597" i="9"/>
  <c r="P703" i="9"/>
  <c r="N703" i="9"/>
  <c r="N806" i="9"/>
  <c r="O806" i="9"/>
  <c r="N826" i="9"/>
  <c r="O826" i="9"/>
  <c r="P857" i="9"/>
  <c r="O857" i="9"/>
  <c r="N857" i="9"/>
  <c r="O232" i="1"/>
  <c r="N189" i="1"/>
  <c r="P184" i="1"/>
  <c r="O177" i="1"/>
  <c r="P143" i="1"/>
  <c r="P119" i="1"/>
  <c r="O111" i="1"/>
  <c r="N80" i="1"/>
  <c r="N72" i="1"/>
  <c r="N65" i="1"/>
  <c r="N52" i="1"/>
  <c r="N5" i="1"/>
  <c r="P244" i="9"/>
  <c r="P389" i="9"/>
  <c r="P538" i="9"/>
  <c r="P573" i="9"/>
  <c r="O251" i="1"/>
  <c r="P153" i="1"/>
  <c r="O76" i="1"/>
  <c r="O68" i="1"/>
  <c r="P15" i="9"/>
  <c r="O36" i="9"/>
  <c r="O55" i="9"/>
  <c r="N75" i="9"/>
  <c r="P84" i="9"/>
  <c r="P112" i="9"/>
  <c r="P128" i="9"/>
  <c r="P144" i="9"/>
  <c r="P165" i="9"/>
  <c r="O192" i="9"/>
  <c r="N240" i="9"/>
  <c r="P265" i="9"/>
  <c r="O273" i="9"/>
  <c r="O296" i="9"/>
  <c r="P306" i="9"/>
  <c r="P314" i="9"/>
  <c r="N324" i="9"/>
  <c r="P333" i="9"/>
  <c r="O344" i="9"/>
  <c r="P354" i="9"/>
  <c r="N361" i="9"/>
  <c r="N372" i="9"/>
  <c r="N380" i="9"/>
  <c r="N400" i="9"/>
  <c r="P422" i="9"/>
  <c r="O440" i="9"/>
  <c r="O453" i="9"/>
  <c r="P458" i="9"/>
  <c r="N473" i="9"/>
  <c r="P481" i="9"/>
  <c r="O493" i="9"/>
  <c r="O505" i="9"/>
  <c r="O549" i="9"/>
  <c r="P570" i="9"/>
  <c r="P586" i="9"/>
  <c r="P602" i="9"/>
  <c r="O617" i="9"/>
  <c r="O636" i="9"/>
  <c r="P664" i="9"/>
  <c r="P680" i="9"/>
  <c r="N699" i="9"/>
  <c r="O707" i="9"/>
  <c r="N715" i="9"/>
  <c r="O728" i="9"/>
  <c r="O735" i="9"/>
  <c r="N837" i="9"/>
  <c r="N225" i="9"/>
  <c r="P225" i="9"/>
  <c r="N429" i="9"/>
  <c r="P429" i="9"/>
  <c r="O429" i="9"/>
  <c r="O513" i="9"/>
  <c r="P513" i="9"/>
  <c r="N589" i="9"/>
  <c r="P589" i="9"/>
  <c r="P667" i="9"/>
  <c r="N667" i="9"/>
  <c r="P864" i="1"/>
  <c r="P848" i="1"/>
  <c r="P832" i="1"/>
  <c r="P816" i="1"/>
  <c r="P727" i="1"/>
  <c r="P711" i="1"/>
  <c r="P695" i="1"/>
  <c r="P679" i="1"/>
  <c r="P663" i="1"/>
  <c r="P639" i="1"/>
  <c r="P267" i="1"/>
  <c r="P235" i="1"/>
  <c r="O12" i="9"/>
  <c r="P17" i="9"/>
  <c r="O31" i="9"/>
  <c r="O44" i="9"/>
  <c r="P49" i="9"/>
  <c r="O63" i="9"/>
  <c r="N72" i="9"/>
  <c r="N88" i="9"/>
  <c r="N103" i="9"/>
  <c r="N107" i="9"/>
  <c r="N111" i="9"/>
  <c r="N115" i="9"/>
  <c r="N119" i="9"/>
  <c r="N123" i="9"/>
  <c r="N127" i="9"/>
  <c r="N131" i="9"/>
  <c r="N135" i="9"/>
  <c r="N139" i="9"/>
  <c r="N143" i="9"/>
  <c r="N147" i="9"/>
  <c r="N151" i="9"/>
  <c r="O160" i="9"/>
  <c r="O168" i="9"/>
  <c r="O176" i="9"/>
  <c r="O184" i="9"/>
  <c r="O201" i="9"/>
  <c r="N208" i="9"/>
  <c r="N212" i="9"/>
  <c r="N221" i="9"/>
  <c r="O221" i="9"/>
  <c r="O236" i="9"/>
  <c r="O256" i="9"/>
  <c r="P264" i="9"/>
  <c r="N264" i="9"/>
  <c r="O288" i="9"/>
  <c r="P289" i="9"/>
  <c r="N289" i="9"/>
  <c r="N325" i="9"/>
  <c r="P325" i="9"/>
  <c r="P330" i="9"/>
  <c r="P332" i="9"/>
  <c r="N332" i="9"/>
  <c r="O352" i="9"/>
  <c r="P353" i="9"/>
  <c r="N353" i="9"/>
  <c r="P386" i="9"/>
  <c r="P388" i="9"/>
  <c r="N388" i="9"/>
  <c r="P412" i="9"/>
  <c r="O412" i="9"/>
  <c r="P418" i="9"/>
  <c r="P420" i="9"/>
  <c r="N420" i="9"/>
  <c r="O420" i="9"/>
  <c r="N445" i="9"/>
  <c r="O445" i="9"/>
  <c r="P445" i="9"/>
  <c r="N506" i="9"/>
  <c r="P506" i="9"/>
  <c r="O589" i="9"/>
  <c r="N633" i="9"/>
  <c r="P633" i="9"/>
  <c r="P644" i="9"/>
  <c r="O644" i="9"/>
  <c r="P683" i="9"/>
  <c r="O683" i="9"/>
  <c r="P773" i="9"/>
  <c r="O773" i="9"/>
  <c r="P853" i="9"/>
  <c r="O853" i="9"/>
  <c r="P861" i="9"/>
  <c r="N861" i="9"/>
  <c r="N309" i="9"/>
  <c r="P309" i="9"/>
  <c r="P316" i="9"/>
  <c r="N316" i="9"/>
  <c r="P337" i="9"/>
  <c r="N337" i="9"/>
  <c r="N373" i="9"/>
  <c r="P373" i="9"/>
  <c r="N485" i="9"/>
  <c r="P485" i="9"/>
  <c r="O485" i="9"/>
  <c r="N560" i="9"/>
  <c r="P560" i="9"/>
  <c r="O560" i="9"/>
  <c r="P600" i="9"/>
  <c r="O600" i="9"/>
  <c r="N704" i="9"/>
  <c r="P704" i="9"/>
  <c r="N712" i="9"/>
  <c r="O712" i="9"/>
  <c r="N736" i="9"/>
  <c r="P736" i="9"/>
  <c r="O736" i="9"/>
  <c r="P809" i="9"/>
  <c r="O809" i="9"/>
  <c r="N809" i="9"/>
  <c r="O877" i="1"/>
  <c r="O864" i="1"/>
  <c r="N856" i="1"/>
  <c r="O848" i="1"/>
  <c r="N840" i="1"/>
  <c r="O832" i="1"/>
  <c r="N824" i="1"/>
  <c r="O816" i="1"/>
  <c r="N808" i="1"/>
  <c r="N795" i="1"/>
  <c r="P779" i="1"/>
  <c r="O766" i="1"/>
  <c r="P747" i="1"/>
  <c r="P735" i="1"/>
  <c r="O734" i="1"/>
  <c r="O727" i="1"/>
  <c r="P726" i="1"/>
  <c r="P719" i="1"/>
  <c r="O718" i="1"/>
  <c r="O711" i="1"/>
  <c r="P710" i="1"/>
  <c r="P703" i="1"/>
  <c r="O702" i="1"/>
  <c r="O695" i="1"/>
  <c r="P694" i="1"/>
  <c r="P687" i="1"/>
  <c r="O686" i="1"/>
  <c r="O679" i="1"/>
  <c r="P678" i="1"/>
  <c r="P671" i="1"/>
  <c r="O670" i="1"/>
  <c r="O663" i="1"/>
  <c r="P662" i="1"/>
  <c r="P655" i="1"/>
  <c r="O639" i="1"/>
  <c r="P638" i="1"/>
  <c r="P631" i="1"/>
  <c r="O622" i="1"/>
  <c r="N615" i="1"/>
  <c r="N596" i="1"/>
  <c r="N558" i="1"/>
  <c r="O555" i="1"/>
  <c r="N552" i="1"/>
  <c r="N526" i="1"/>
  <c r="O523" i="1"/>
  <c r="N520" i="1"/>
  <c r="P355" i="1"/>
  <c r="P323" i="1"/>
  <c r="O267" i="1"/>
  <c r="O235" i="1"/>
  <c r="P137" i="1"/>
  <c r="O133" i="1"/>
  <c r="P132" i="1"/>
  <c r="O93" i="1"/>
  <c r="O85" i="1"/>
  <c r="O57" i="1"/>
  <c r="O49" i="1"/>
  <c r="P48" i="1"/>
  <c r="O41" i="1"/>
  <c r="P40" i="1"/>
  <c r="O7" i="9"/>
  <c r="P12" i="9"/>
  <c r="O20" i="9"/>
  <c r="P25" i="9"/>
  <c r="P31" i="9"/>
  <c r="O39" i="9"/>
  <c r="P44" i="9"/>
  <c r="O52" i="9"/>
  <c r="P57" i="9"/>
  <c r="P63" i="9"/>
  <c r="O72" i="9"/>
  <c r="P76" i="9"/>
  <c r="N83" i="9"/>
  <c r="O88" i="9"/>
  <c r="P92" i="9"/>
  <c r="N99" i="9"/>
  <c r="N104" i="9"/>
  <c r="O107" i="9"/>
  <c r="N112" i="9"/>
  <c r="O115" i="9"/>
  <c r="N120" i="9"/>
  <c r="O123" i="9"/>
  <c r="N128" i="9"/>
  <c r="O131" i="9"/>
  <c r="N136" i="9"/>
  <c r="O139" i="9"/>
  <c r="N144" i="9"/>
  <c r="O147" i="9"/>
  <c r="N152" i="9"/>
  <c r="P157" i="9"/>
  <c r="P160" i="9"/>
  <c r="P168" i="9"/>
  <c r="P176" i="9"/>
  <c r="P184" i="9"/>
  <c r="P189" i="9"/>
  <c r="N195" i="9"/>
  <c r="P201" i="9"/>
  <c r="O208" i="9"/>
  <c r="O212" i="9"/>
  <c r="P216" i="9"/>
  <c r="N216" i="9"/>
  <c r="P229" i="9"/>
  <c r="O237" i="9"/>
  <c r="P249" i="9"/>
  <c r="O257" i="9"/>
  <c r="P276" i="9"/>
  <c r="O276" i="9"/>
  <c r="P281" i="9"/>
  <c r="O304" i="9"/>
  <c r="P305" i="9"/>
  <c r="N305" i="9"/>
  <c r="O325" i="9"/>
  <c r="N341" i="9"/>
  <c r="P341" i="9"/>
  <c r="P346" i="9"/>
  <c r="P348" i="9"/>
  <c r="N348" i="9"/>
  <c r="O368" i="9"/>
  <c r="P369" i="9"/>
  <c r="N369" i="9"/>
  <c r="N396" i="9"/>
  <c r="O397" i="9"/>
  <c r="P397" i="9"/>
  <c r="N397" i="9"/>
  <c r="N405" i="9"/>
  <c r="P405" i="9"/>
  <c r="N412" i="9"/>
  <c r="P434" i="9"/>
  <c r="N437" i="9"/>
  <c r="P437" i="9"/>
  <c r="O437" i="9"/>
  <c r="N477" i="9"/>
  <c r="P477" i="9"/>
  <c r="O477" i="9"/>
  <c r="N541" i="9"/>
  <c r="P541" i="9"/>
  <c r="O541" i="9"/>
  <c r="P576" i="9"/>
  <c r="O576" i="9"/>
  <c r="O633" i="9"/>
  <c r="P660" i="9"/>
  <c r="O660" i="9"/>
  <c r="N683" i="9"/>
  <c r="P691" i="9"/>
  <c r="N691" i="9"/>
  <c r="N716" i="9"/>
  <c r="P716" i="9"/>
  <c r="N723" i="9"/>
  <c r="P723" i="9"/>
  <c r="O723" i="9"/>
  <c r="N748" i="9"/>
  <c r="O748" i="9"/>
  <c r="O759" i="9"/>
  <c r="N759" i="9"/>
  <c r="P759" i="9"/>
  <c r="N773" i="9"/>
  <c r="P785" i="9"/>
  <c r="N785" i="9"/>
  <c r="N801" i="9"/>
  <c r="P801" i="9"/>
  <c r="O801" i="9"/>
  <c r="N814" i="9"/>
  <c r="P814" i="9"/>
  <c r="O814" i="9"/>
  <c r="N834" i="9"/>
  <c r="O834" i="9"/>
  <c r="N853" i="9"/>
  <c r="P874" i="9"/>
  <c r="N241" i="9"/>
  <c r="P241" i="9"/>
  <c r="O378" i="9"/>
  <c r="P378" i="9"/>
  <c r="P392" i="9"/>
  <c r="O392" i="9"/>
  <c r="N392" i="9"/>
  <c r="O401" i="9"/>
  <c r="N401" i="9"/>
  <c r="P401" i="9"/>
  <c r="N522" i="9"/>
  <c r="P522" i="9"/>
  <c r="P616" i="9"/>
  <c r="N616" i="9"/>
  <c r="N641" i="9"/>
  <c r="O641" i="9"/>
  <c r="P829" i="9"/>
  <c r="O829" i="9"/>
  <c r="N829" i="9"/>
  <c r="N838" i="9"/>
  <c r="P838" i="9"/>
  <c r="N873" i="1"/>
  <c r="P866" i="1"/>
  <c r="P850" i="1"/>
  <c r="P834" i="1"/>
  <c r="P818" i="1"/>
  <c r="P802" i="1"/>
  <c r="N799" i="1"/>
  <c r="P778" i="1"/>
  <c r="N775" i="1"/>
  <c r="P758" i="1"/>
  <c r="O755" i="1"/>
  <c r="N747" i="1"/>
  <c r="N735" i="1"/>
  <c r="O726" i="1"/>
  <c r="N719" i="1"/>
  <c r="O710" i="1"/>
  <c r="N703" i="1"/>
  <c r="O694" i="1"/>
  <c r="N687" i="1"/>
  <c r="O678" i="1"/>
  <c r="N671" i="1"/>
  <c r="O662" i="1"/>
  <c r="P654" i="1"/>
  <c r="N647" i="1"/>
  <c r="O638" i="1"/>
  <c r="O570" i="1"/>
  <c r="P556" i="1"/>
  <c r="P546" i="1"/>
  <c r="O538" i="1"/>
  <c r="P524" i="1"/>
  <c r="P514" i="1"/>
  <c r="O506" i="1"/>
  <c r="P492" i="1"/>
  <c r="P482" i="1"/>
  <c r="O474" i="1"/>
  <c r="P460" i="1"/>
  <c r="P450" i="1"/>
  <c r="O442" i="1"/>
  <c r="P428" i="1"/>
  <c r="P418" i="1"/>
  <c r="O410" i="1"/>
  <c r="P396" i="1"/>
  <c r="P386" i="1"/>
  <c r="N365" i="1"/>
  <c r="N356" i="1"/>
  <c r="O355" i="1"/>
  <c r="N333" i="1"/>
  <c r="N324" i="1"/>
  <c r="O323" i="1"/>
  <c r="N301" i="1"/>
  <c r="N269" i="1"/>
  <c r="N237" i="1"/>
  <c r="O193" i="1"/>
  <c r="P183" i="1"/>
  <c r="O180" i="1"/>
  <c r="P169" i="1"/>
  <c r="O145" i="1"/>
  <c r="O140" i="1"/>
  <c r="O137" i="1"/>
  <c r="N133" i="1"/>
  <c r="O132" i="1"/>
  <c r="N93" i="1"/>
  <c r="N85" i="1"/>
  <c r="N61" i="1"/>
  <c r="N57" i="1"/>
  <c r="N49" i="1"/>
  <c r="N41" i="1"/>
  <c r="O37" i="1"/>
  <c r="O5" i="1"/>
  <c r="P4" i="1"/>
  <c r="P7" i="9"/>
  <c r="O15" i="9"/>
  <c r="P20" i="9"/>
  <c r="O28" i="9"/>
  <c r="P33" i="9"/>
  <c r="P39" i="9"/>
  <c r="O47" i="9"/>
  <c r="P52" i="9"/>
  <c r="O60" i="9"/>
  <c r="P65" i="9"/>
  <c r="O83" i="9"/>
  <c r="O99" i="9"/>
  <c r="N108" i="9"/>
  <c r="N116" i="9"/>
  <c r="N124" i="9"/>
  <c r="N132" i="9"/>
  <c r="N140" i="9"/>
  <c r="N148" i="9"/>
  <c r="N159" i="9"/>
  <c r="O163" i="9"/>
  <c r="O171" i="9"/>
  <c r="O179" i="9"/>
  <c r="N187" i="9"/>
  <c r="O195" i="9"/>
  <c r="O205" i="9"/>
  <c r="N209" i="9"/>
  <c r="O209" i="9"/>
  <c r="O216" i="9"/>
  <c r="P232" i="9"/>
  <c r="O232" i="9"/>
  <c r="N253" i="9"/>
  <c r="O253" i="9"/>
  <c r="N269" i="9"/>
  <c r="P269" i="9"/>
  <c r="N276" i="9"/>
  <c r="N293" i="9"/>
  <c r="P293" i="9"/>
  <c r="P298" i="9"/>
  <c r="P300" i="9"/>
  <c r="N300" i="9"/>
  <c r="O320" i="9"/>
  <c r="P321" i="9"/>
  <c r="N321" i="9"/>
  <c r="O341" i="9"/>
  <c r="N357" i="9"/>
  <c r="P357" i="9"/>
  <c r="P362" i="9"/>
  <c r="P364" i="9"/>
  <c r="N364" i="9"/>
  <c r="P384" i="9"/>
  <c r="O384" i="9"/>
  <c r="N384" i="9"/>
  <c r="O405" i="9"/>
  <c r="O426" i="9"/>
  <c r="P426" i="9"/>
  <c r="O450" i="9"/>
  <c r="P450" i="9"/>
  <c r="N469" i="9"/>
  <c r="O469" i="9"/>
  <c r="P469" i="9"/>
  <c r="N490" i="9"/>
  <c r="P490" i="9"/>
  <c r="N501" i="9"/>
  <c r="P501" i="9"/>
  <c r="O501" i="9"/>
  <c r="O529" i="9"/>
  <c r="P529" i="9"/>
  <c r="O545" i="9"/>
  <c r="P545" i="9"/>
  <c r="P568" i="9"/>
  <c r="O568" i="9"/>
  <c r="N581" i="9"/>
  <c r="P581" i="9"/>
  <c r="O581" i="9"/>
  <c r="P613" i="9"/>
  <c r="O613" i="9"/>
  <c r="P622" i="9"/>
  <c r="N625" i="9"/>
  <c r="P625" i="9"/>
  <c r="O625" i="9"/>
  <c r="P652" i="9"/>
  <c r="O652" i="9"/>
  <c r="O676" i="9"/>
  <c r="P711" i="9"/>
  <c r="N711" i="9"/>
  <c r="O716" i="9"/>
  <c r="P727" i="9"/>
  <c r="N727" i="9"/>
  <c r="N752" i="9"/>
  <c r="P752" i="9"/>
  <c r="N778" i="9"/>
  <c r="P778" i="9"/>
  <c r="N846" i="9"/>
  <c r="O846" i="9"/>
  <c r="N870" i="9"/>
  <c r="P870" i="9"/>
  <c r="N413" i="9"/>
  <c r="O413" i="9"/>
  <c r="N461" i="9"/>
  <c r="O461" i="9"/>
  <c r="N509" i="9"/>
  <c r="O509" i="9"/>
  <c r="N525" i="9"/>
  <c r="P525" i="9"/>
  <c r="P533" i="9"/>
  <c r="O533" i="9"/>
  <c r="P592" i="9"/>
  <c r="O592" i="9"/>
  <c r="O654" i="9"/>
  <c r="P654" i="9"/>
  <c r="P679" i="9"/>
  <c r="N679" i="9"/>
  <c r="P719" i="9"/>
  <c r="N719" i="9"/>
  <c r="P755" i="9"/>
  <c r="N755" i="9"/>
  <c r="N774" i="9"/>
  <c r="O774" i="9"/>
  <c r="N789" i="9"/>
  <c r="P789" i="9"/>
  <c r="N794" i="9"/>
  <c r="P794" i="9"/>
  <c r="P854" i="9"/>
  <c r="N854" i="9"/>
  <c r="P393" i="9"/>
  <c r="N393" i="9"/>
  <c r="P409" i="9"/>
  <c r="O409" i="9"/>
  <c r="P432" i="9"/>
  <c r="O432" i="9"/>
  <c r="P480" i="9"/>
  <c r="N480" i="9"/>
  <c r="P496" i="9"/>
  <c r="O496" i="9"/>
  <c r="O554" i="9"/>
  <c r="P554" i="9"/>
  <c r="P584" i="9"/>
  <c r="O584" i="9"/>
  <c r="O618" i="9"/>
  <c r="P618" i="9"/>
  <c r="P638" i="9"/>
  <c r="O646" i="9"/>
  <c r="P646" i="9"/>
  <c r="P662" i="9"/>
  <c r="O671" i="9"/>
  <c r="N672" i="9"/>
  <c r="O672" i="9"/>
  <c r="P687" i="9"/>
  <c r="O687" i="9"/>
  <c r="P692" i="9"/>
  <c r="N743" i="9"/>
  <c r="N744" i="9"/>
  <c r="P744" i="9"/>
  <c r="O755" i="9"/>
  <c r="O762" i="9"/>
  <c r="N770" i="9"/>
  <c r="O770" i="9"/>
  <c r="P774" i="9"/>
  <c r="O789" i="9"/>
  <c r="N821" i="9"/>
  <c r="N822" i="9"/>
  <c r="P822" i="9"/>
  <c r="O842" i="9"/>
  <c r="N849" i="9"/>
  <c r="N850" i="9"/>
  <c r="O850" i="9"/>
  <c r="N865" i="9"/>
  <c r="N873" i="9"/>
  <c r="N646" i="1"/>
  <c r="P646" i="1"/>
  <c r="N585" i="1"/>
  <c r="O585" i="1"/>
  <c r="O381" i="1"/>
  <c r="N381" i="1"/>
  <c r="P360" i="1"/>
  <c r="O360" i="1"/>
  <c r="P296" i="1"/>
  <c r="O296" i="1"/>
  <c r="N275" i="1"/>
  <c r="O275" i="1"/>
  <c r="P275" i="1"/>
  <c r="P67" i="9"/>
  <c r="O67" i="9"/>
  <c r="N67" i="9"/>
  <c r="N213" i="9"/>
  <c r="P213" i="9"/>
  <c r="O213" i="9"/>
  <c r="P220" i="9"/>
  <c r="O220" i="9"/>
  <c r="N220" i="9"/>
  <c r="P572" i="9"/>
  <c r="O572" i="9"/>
  <c r="N572" i="9"/>
  <c r="P580" i="9"/>
  <c r="O580" i="9"/>
  <c r="N580" i="9"/>
  <c r="P596" i="9"/>
  <c r="O596" i="9"/>
  <c r="N596" i="9"/>
  <c r="P604" i="9"/>
  <c r="N604" i="9"/>
  <c r="O604" i="9"/>
  <c r="P637" i="9"/>
  <c r="O637" i="9"/>
  <c r="N637" i="9"/>
  <c r="P747" i="9"/>
  <c r="O747" i="9"/>
  <c r="N747" i="9"/>
  <c r="P761" i="9"/>
  <c r="O761" i="9"/>
  <c r="N761" i="9"/>
  <c r="N766" i="9"/>
  <c r="P766" i="9"/>
  <c r="O766" i="9"/>
  <c r="P872" i="1"/>
  <c r="O865" i="1"/>
  <c r="O849" i="1"/>
  <c r="O833" i="1"/>
  <c r="O817" i="1"/>
  <c r="O801" i="1"/>
  <c r="O798" i="1"/>
  <c r="N791" i="1"/>
  <c r="O774" i="1"/>
  <c r="N755" i="1"/>
  <c r="O754" i="1"/>
  <c r="N728" i="1"/>
  <c r="N712" i="1"/>
  <c r="N696" i="1"/>
  <c r="N680" i="1"/>
  <c r="N664" i="1"/>
  <c r="O648" i="1"/>
  <c r="N648" i="1"/>
  <c r="N631" i="1"/>
  <c r="N630" i="1"/>
  <c r="P630" i="1"/>
  <c r="N624" i="1"/>
  <c r="N614" i="1"/>
  <c r="O614" i="1"/>
  <c r="P614" i="1"/>
  <c r="N608" i="1"/>
  <c r="O544" i="1"/>
  <c r="N544" i="1"/>
  <c r="O512" i="1"/>
  <c r="N512" i="1"/>
  <c r="O480" i="1"/>
  <c r="N480" i="1"/>
  <c r="O448" i="1"/>
  <c r="N448" i="1"/>
  <c r="O416" i="1"/>
  <c r="N416" i="1"/>
  <c r="O384" i="1"/>
  <c r="N384" i="1"/>
  <c r="P348" i="1"/>
  <c r="N348" i="1"/>
  <c r="P316" i="1"/>
  <c r="N316" i="1"/>
  <c r="O191" i="1"/>
  <c r="N191" i="1"/>
  <c r="P191" i="1"/>
  <c r="N127" i="1"/>
  <c r="P127" i="1"/>
  <c r="N12" i="1"/>
  <c r="O12" i="1"/>
  <c r="P12" i="1"/>
  <c r="P11" i="9"/>
  <c r="O11" i="9"/>
  <c r="N11" i="9"/>
  <c r="P43" i="9"/>
  <c r="O43" i="9"/>
  <c r="N43" i="9"/>
  <c r="O69" i="9"/>
  <c r="P69" i="9"/>
  <c r="O85" i="9"/>
  <c r="P85" i="9"/>
  <c r="O101" i="9"/>
  <c r="P101" i="9"/>
  <c r="O109" i="9"/>
  <c r="P109" i="9"/>
  <c r="O117" i="9"/>
  <c r="P117" i="9"/>
  <c r="O125" i="9"/>
  <c r="P125" i="9"/>
  <c r="O133" i="9"/>
  <c r="P133" i="9"/>
  <c r="O141" i="9"/>
  <c r="P141" i="9"/>
  <c r="O149" i="9"/>
  <c r="P149" i="9"/>
  <c r="P175" i="9"/>
  <c r="O175" i="9"/>
  <c r="N175" i="9"/>
  <c r="O420" i="1"/>
  <c r="P420" i="1"/>
  <c r="N379" i="1"/>
  <c r="O379" i="1"/>
  <c r="P379" i="1"/>
  <c r="P328" i="1"/>
  <c r="O328" i="1"/>
  <c r="N243" i="1"/>
  <c r="O243" i="1"/>
  <c r="P243" i="1"/>
  <c r="N201" i="1"/>
  <c r="O201" i="1"/>
  <c r="P201" i="1"/>
  <c r="N160" i="1"/>
  <c r="P160" i="1"/>
  <c r="O118" i="1"/>
  <c r="N118" i="1"/>
  <c r="P21" i="1"/>
  <c r="N21" i="1"/>
  <c r="P3" i="9"/>
  <c r="O3" i="9"/>
  <c r="N3" i="9"/>
  <c r="P164" i="9"/>
  <c r="O164" i="9"/>
  <c r="N164" i="9"/>
  <c r="P180" i="9"/>
  <c r="O180" i="9"/>
  <c r="N180" i="9"/>
  <c r="O398" i="9"/>
  <c r="P398" i="9"/>
  <c r="N421" i="9"/>
  <c r="P421" i="9"/>
  <c r="O421" i="9"/>
  <c r="P441" i="9"/>
  <c r="O441" i="9"/>
  <c r="N441" i="9"/>
  <c r="P476" i="9"/>
  <c r="O476" i="9"/>
  <c r="N476" i="9"/>
  <c r="P564" i="9"/>
  <c r="O564" i="9"/>
  <c r="N564" i="9"/>
  <c r="O872" i="1"/>
  <c r="P759" i="1"/>
  <c r="O632" i="1"/>
  <c r="N632" i="1"/>
  <c r="O582" i="1"/>
  <c r="N582" i="1"/>
  <c r="O564" i="1"/>
  <c r="P564" i="1"/>
  <c r="O532" i="1"/>
  <c r="P532" i="1"/>
  <c r="O500" i="1"/>
  <c r="P500" i="1"/>
  <c r="O468" i="1"/>
  <c r="P468" i="1"/>
  <c r="O436" i="1"/>
  <c r="P436" i="1"/>
  <c r="O404" i="1"/>
  <c r="P404" i="1"/>
  <c r="P376" i="1"/>
  <c r="O376" i="1"/>
  <c r="P344" i="1"/>
  <c r="O344" i="1"/>
  <c r="P312" i="1"/>
  <c r="O312" i="1"/>
  <c r="O293" i="1"/>
  <c r="N293" i="1"/>
  <c r="N291" i="1"/>
  <c r="O291" i="1"/>
  <c r="P291" i="1"/>
  <c r="O261" i="1"/>
  <c r="N261" i="1"/>
  <c r="N259" i="1"/>
  <c r="O259" i="1"/>
  <c r="P259" i="1"/>
  <c r="O229" i="1"/>
  <c r="N229" i="1"/>
  <c r="N227" i="1"/>
  <c r="O227" i="1"/>
  <c r="P227" i="1"/>
  <c r="N200" i="1"/>
  <c r="O200" i="1"/>
  <c r="P200" i="1"/>
  <c r="N176" i="1"/>
  <c r="P176" i="1"/>
  <c r="O157" i="1"/>
  <c r="N157" i="1"/>
  <c r="O141" i="1"/>
  <c r="N141" i="1"/>
  <c r="P101" i="1"/>
  <c r="N101" i="1"/>
  <c r="O101" i="1"/>
  <c r="P20" i="1"/>
  <c r="N20" i="1"/>
  <c r="O20" i="1"/>
  <c r="P19" i="9"/>
  <c r="O19" i="9"/>
  <c r="N19" i="9"/>
  <c r="P51" i="9"/>
  <c r="O51" i="9"/>
  <c r="N51" i="9"/>
  <c r="P156" i="9"/>
  <c r="O156" i="9"/>
  <c r="N156" i="9"/>
  <c r="O193" i="9"/>
  <c r="P193" i="9"/>
  <c r="O548" i="1"/>
  <c r="P548" i="1"/>
  <c r="O516" i="1"/>
  <c r="P516" i="1"/>
  <c r="O484" i="1"/>
  <c r="P484" i="1"/>
  <c r="O452" i="1"/>
  <c r="P452" i="1"/>
  <c r="O388" i="1"/>
  <c r="P388" i="1"/>
  <c r="O277" i="1"/>
  <c r="N277" i="1"/>
  <c r="O245" i="1"/>
  <c r="N245" i="1"/>
  <c r="O209" i="1"/>
  <c r="N209" i="1"/>
  <c r="O173" i="1"/>
  <c r="N173" i="1"/>
  <c r="P35" i="9"/>
  <c r="O35" i="9"/>
  <c r="N35" i="9"/>
  <c r="P252" i="9"/>
  <c r="O252" i="9"/>
  <c r="N252" i="9"/>
  <c r="O382" i="9"/>
  <c r="P382" i="9"/>
  <c r="O390" i="9"/>
  <c r="P390" i="9"/>
  <c r="O499" i="9"/>
  <c r="P499" i="9"/>
  <c r="N499" i="9"/>
  <c r="P537" i="9"/>
  <c r="O537" i="9"/>
  <c r="N537" i="9"/>
  <c r="P588" i="9"/>
  <c r="O588" i="9"/>
  <c r="N588" i="9"/>
  <c r="N874" i="1"/>
  <c r="P858" i="1"/>
  <c r="O857" i="1"/>
  <c r="P842" i="1"/>
  <c r="O841" i="1"/>
  <c r="P826" i="1"/>
  <c r="O825" i="1"/>
  <c r="P810" i="1"/>
  <c r="O809" i="1"/>
  <c r="N796" i="1"/>
  <c r="P787" i="1"/>
  <c r="P786" i="1"/>
  <c r="O759" i="1"/>
  <c r="P746" i="1"/>
  <c r="O742" i="1"/>
  <c r="P734" i="1"/>
  <c r="N720" i="1"/>
  <c r="P718" i="1"/>
  <c r="N704" i="1"/>
  <c r="P702" i="1"/>
  <c r="N688" i="1"/>
  <c r="P686" i="1"/>
  <c r="N672" i="1"/>
  <c r="P670" i="1"/>
  <c r="N656" i="1"/>
  <c r="P647" i="1"/>
  <c r="O646" i="1"/>
  <c r="O616" i="1"/>
  <c r="N616" i="1"/>
  <c r="O598" i="1"/>
  <c r="N598" i="1"/>
  <c r="O560" i="1"/>
  <c r="N560" i="1"/>
  <c r="O528" i="1"/>
  <c r="N528" i="1"/>
  <c r="O496" i="1"/>
  <c r="N496" i="1"/>
  <c r="O464" i="1"/>
  <c r="N464" i="1"/>
  <c r="O432" i="1"/>
  <c r="N432" i="1"/>
  <c r="O400" i="1"/>
  <c r="N400" i="1"/>
  <c r="P364" i="1"/>
  <c r="N364" i="1"/>
  <c r="P332" i="1"/>
  <c r="N332" i="1"/>
  <c r="P300" i="1"/>
  <c r="N300" i="1"/>
  <c r="O213" i="1"/>
  <c r="P213" i="1"/>
  <c r="P192" i="1"/>
  <c r="O192" i="1"/>
  <c r="N144" i="1"/>
  <c r="P144" i="1"/>
  <c r="O112" i="1"/>
  <c r="N112" i="1"/>
  <c r="N84" i="1"/>
  <c r="O84" i="1"/>
  <c r="P84" i="1"/>
  <c r="P13" i="1"/>
  <c r="N13" i="1"/>
  <c r="O13" i="1"/>
  <c r="P27" i="9"/>
  <c r="O27" i="9"/>
  <c r="N27" i="9"/>
  <c r="P59" i="9"/>
  <c r="O59" i="9"/>
  <c r="N59" i="9"/>
  <c r="O77" i="9"/>
  <c r="P77" i="9"/>
  <c r="O93" i="9"/>
  <c r="P93" i="9"/>
  <c r="O169" i="9"/>
  <c r="P169" i="9"/>
  <c r="O185" i="9"/>
  <c r="P185" i="9"/>
  <c r="P191" i="9"/>
  <c r="O191" i="9"/>
  <c r="P200" i="9"/>
  <c r="O200" i="9"/>
  <c r="N200" i="9"/>
  <c r="N277" i="9"/>
  <c r="P277" i="9"/>
  <c r="O277" i="9"/>
  <c r="P284" i="9"/>
  <c r="O284" i="9"/>
  <c r="N284" i="9"/>
  <c r="O294" i="9"/>
  <c r="P294" i="9"/>
  <c r="O310" i="9"/>
  <c r="P310" i="9"/>
  <c r="O326" i="9"/>
  <c r="P326" i="9"/>
  <c r="O342" i="9"/>
  <c r="P342" i="9"/>
  <c r="O358" i="9"/>
  <c r="P358" i="9"/>
  <c r="O374" i="9"/>
  <c r="P374" i="9"/>
  <c r="O406" i="9"/>
  <c r="P406" i="9"/>
  <c r="P436" i="9"/>
  <c r="O436" i="9"/>
  <c r="N436" i="9"/>
  <c r="N600" i="1"/>
  <c r="O597" i="1"/>
  <c r="N584" i="1"/>
  <c r="O581" i="1"/>
  <c r="N566" i="1"/>
  <c r="O563" i="1"/>
  <c r="O562" i="1"/>
  <c r="N550" i="1"/>
  <c r="O547" i="1"/>
  <c r="O546" i="1"/>
  <c r="N534" i="1"/>
  <c r="O531" i="1"/>
  <c r="O530" i="1"/>
  <c r="N518" i="1"/>
  <c r="O515" i="1"/>
  <c r="O514" i="1"/>
  <c r="N502" i="1"/>
  <c r="O499" i="1"/>
  <c r="O498" i="1"/>
  <c r="N486" i="1"/>
  <c r="O483" i="1"/>
  <c r="O482" i="1"/>
  <c r="N470" i="1"/>
  <c r="O467" i="1"/>
  <c r="O466" i="1"/>
  <c r="N454" i="1"/>
  <c r="O451" i="1"/>
  <c r="O450" i="1"/>
  <c r="N438" i="1"/>
  <c r="O435" i="1"/>
  <c r="O434" i="1"/>
  <c r="N422" i="1"/>
  <c r="O419" i="1"/>
  <c r="O418" i="1"/>
  <c r="N406" i="1"/>
  <c r="O403" i="1"/>
  <c r="O402" i="1"/>
  <c r="N390" i="1"/>
  <c r="O387" i="1"/>
  <c r="O386" i="1"/>
  <c r="N380" i="1"/>
  <c r="N373" i="1"/>
  <c r="P363" i="1"/>
  <c r="N357" i="1"/>
  <c r="P347" i="1"/>
  <c r="N341" i="1"/>
  <c r="P331" i="1"/>
  <c r="N325" i="1"/>
  <c r="P315" i="1"/>
  <c r="N309" i="1"/>
  <c r="P299" i="1"/>
  <c r="P295" i="1"/>
  <c r="N292" i="1"/>
  <c r="O288" i="1"/>
  <c r="N276" i="1"/>
  <c r="O272" i="1"/>
  <c r="N260" i="1"/>
  <c r="O256" i="1"/>
  <c r="N244" i="1"/>
  <c r="O240" i="1"/>
  <c r="N228" i="1"/>
  <c r="O224" i="1"/>
  <c r="N215" i="1"/>
  <c r="O212" i="1"/>
  <c r="O211" i="1"/>
  <c r="O206" i="1"/>
  <c r="P199" i="1"/>
  <c r="O185" i="1"/>
  <c r="P175" i="1"/>
  <c r="O172" i="1"/>
  <c r="O169" i="1"/>
  <c r="P159" i="1"/>
  <c r="O156" i="1"/>
  <c r="P5" i="9"/>
  <c r="O8" i="9"/>
  <c r="P13" i="9"/>
  <c r="O16" i="9"/>
  <c r="P21" i="9"/>
  <c r="O24" i="9"/>
  <c r="P29" i="9"/>
  <c r="O32" i="9"/>
  <c r="P37" i="9"/>
  <c r="O40" i="9"/>
  <c r="P45" i="9"/>
  <c r="O48" i="9"/>
  <c r="P53" i="9"/>
  <c r="O56" i="9"/>
  <c r="P61" i="9"/>
  <c r="O64" i="9"/>
  <c r="N71" i="9"/>
  <c r="N76" i="9"/>
  <c r="N79" i="9"/>
  <c r="N84" i="9"/>
  <c r="N87" i="9"/>
  <c r="N92" i="9"/>
  <c r="N95" i="9"/>
  <c r="N100" i="9"/>
  <c r="P167" i="9"/>
  <c r="O167" i="9"/>
  <c r="P172" i="9"/>
  <c r="O172" i="9"/>
  <c r="P183" i="9"/>
  <c r="O183" i="9"/>
  <c r="P196" i="9"/>
  <c r="O196" i="9"/>
  <c r="N217" i="9"/>
  <c r="P217" i="9"/>
  <c r="O217" i="9"/>
  <c r="P425" i="9"/>
  <c r="O425" i="9"/>
  <c r="N425" i="9"/>
  <c r="O465" i="9"/>
  <c r="N465" i="9"/>
  <c r="P465" i="9"/>
  <c r="P586" i="1"/>
  <c r="P570" i="1"/>
  <c r="P554" i="1"/>
  <c r="P538" i="1"/>
  <c r="P522" i="1"/>
  <c r="P506" i="1"/>
  <c r="P490" i="1"/>
  <c r="P474" i="1"/>
  <c r="P458" i="1"/>
  <c r="P442" i="1"/>
  <c r="P426" i="1"/>
  <c r="P410" i="1"/>
  <c r="P394" i="1"/>
  <c r="P193" i="1"/>
  <c r="P177" i="1"/>
  <c r="P161" i="1"/>
  <c r="P145" i="1"/>
  <c r="O109" i="1"/>
  <c r="O77" i="1"/>
  <c r="O60" i="1"/>
  <c r="O32" i="1"/>
  <c r="O17" i="1"/>
  <c r="P8" i="9"/>
  <c r="P16" i="9"/>
  <c r="P24" i="9"/>
  <c r="P32" i="9"/>
  <c r="P40" i="9"/>
  <c r="P48" i="9"/>
  <c r="P56" i="9"/>
  <c r="P64" i="9"/>
  <c r="O68" i="9"/>
  <c r="O71" i="9"/>
  <c r="P73" i="9"/>
  <c r="O79" i="9"/>
  <c r="P81" i="9"/>
  <c r="O87" i="9"/>
  <c r="P89" i="9"/>
  <c r="O95" i="9"/>
  <c r="P97" i="9"/>
  <c r="O103" i="9"/>
  <c r="P105" i="9"/>
  <c r="O111" i="9"/>
  <c r="P113" i="9"/>
  <c r="O119" i="9"/>
  <c r="P121" i="9"/>
  <c r="O127" i="9"/>
  <c r="P129" i="9"/>
  <c r="O135" i="9"/>
  <c r="P137" i="9"/>
  <c r="O143" i="9"/>
  <c r="P145" i="9"/>
  <c r="O151" i="9"/>
  <c r="P153" i="9"/>
  <c r="P155" i="9"/>
  <c r="N155" i="9"/>
  <c r="O161" i="9"/>
  <c r="P161" i="9"/>
  <c r="N167" i="9"/>
  <c r="N172" i="9"/>
  <c r="O177" i="9"/>
  <c r="P177" i="9"/>
  <c r="N183" i="9"/>
  <c r="P188" i="9"/>
  <c r="O188" i="9"/>
  <c r="N196" i="9"/>
  <c r="P204" i="9"/>
  <c r="O204" i="9"/>
  <c r="N204" i="9"/>
  <c r="N245" i="9"/>
  <c r="P245" i="9"/>
  <c r="O245" i="9"/>
  <c r="N261" i="9"/>
  <c r="P261" i="9"/>
  <c r="O261" i="9"/>
  <c r="P268" i="9"/>
  <c r="O268" i="9"/>
  <c r="N268" i="9"/>
  <c r="O302" i="9"/>
  <c r="P302" i="9"/>
  <c r="O318" i="9"/>
  <c r="P318" i="9"/>
  <c r="O334" i="9"/>
  <c r="P334" i="9"/>
  <c r="O350" i="9"/>
  <c r="P350" i="9"/>
  <c r="O366" i="9"/>
  <c r="P366" i="9"/>
  <c r="P452" i="9"/>
  <c r="O452" i="9"/>
  <c r="N452" i="9"/>
  <c r="P221" i="9"/>
  <c r="O228" i="9"/>
  <c r="P233" i="9"/>
  <c r="P237" i="9"/>
  <c r="O240" i="9"/>
  <c r="P257" i="9"/>
  <c r="O264" i="9"/>
  <c r="P273" i="9"/>
  <c r="O280" i="9"/>
  <c r="O289" i="9"/>
  <c r="O292" i="9"/>
  <c r="O297" i="9"/>
  <c r="O300" i="9"/>
  <c r="O305" i="9"/>
  <c r="O308" i="9"/>
  <c r="O313" i="9"/>
  <c r="O316" i="9"/>
  <c r="O321" i="9"/>
  <c r="O324" i="9"/>
  <c r="O329" i="9"/>
  <c r="O332" i="9"/>
  <c r="O337" i="9"/>
  <c r="O340" i="9"/>
  <c r="O345" i="9"/>
  <c r="O348" i="9"/>
  <c r="O353" i="9"/>
  <c r="O356" i="9"/>
  <c r="O361" i="9"/>
  <c r="O364" i="9"/>
  <c r="O369" i="9"/>
  <c r="O372" i="9"/>
  <c r="O377" i="9"/>
  <c r="O380" i="9"/>
  <c r="O385" i="9"/>
  <c r="O388" i="9"/>
  <c r="O393" i="9"/>
  <c r="O396" i="9"/>
  <c r="O404" i="9"/>
  <c r="P408" i="9"/>
  <c r="N408" i="9"/>
  <c r="P413" i="9"/>
  <c r="O417" i="9"/>
  <c r="O430" i="9"/>
  <c r="P430" i="9"/>
  <c r="O446" i="9"/>
  <c r="P446" i="9"/>
  <c r="O467" i="9"/>
  <c r="P467" i="9"/>
  <c r="O483" i="9"/>
  <c r="P483" i="9"/>
  <c r="N483" i="9"/>
  <c r="P524" i="9"/>
  <c r="O524" i="9"/>
  <c r="N524" i="9"/>
  <c r="P608" i="9"/>
  <c r="O608" i="9"/>
  <c r="N608" i="9"/>
  <c r="P632" i="9"/>
  <c r="O632" i="9"/>
  <c r="N632" i="9"/>
  <c r="P663" i="9"/>
  <c r="O663" i="9"/>
  <c r="N663" i="9"/>
  <c r="N163" i="9"/>
  <c r="N171" i="9"/>
  <c r="N179" i="9"/>
  <c r="O225" i="9"/>
  <c r="O229" i="9"/>
  <c r="N232" i="9"/>
  <c r="N236" i="9"/>
  <c r="O249" i="9"/>
  <c r="N256" i="9"/>
  <c r="O265" i="9"/>
  <c r="N272" i="9"/>
  <c r="O281" i="9"/>
  <c r="N288" i="9"/>
  <c r="N296" i="9"/>
  <c r="N304" i="9"/>
  <c r="N312" i="9"/>
  <c r="N320" i="9"/>
  <c r="N328" i="9"/>
  <c r="N336" i="9"/>
  <c r="N344" i="9"/>
  <c r="N352" i="9"/>
  <c r="N360" i="9"/>
  <c r="N368" i="9"/>
  <c r="P416" i="9"/>
  <c r="N416" i="9"/>
  <c r="P428" i="9"/>
  <c r="O428" i="9"/>
  <c r="P433" i="9"/>
  <c r="O433" i="9"/>
  <c r="P444" i="9"/>
  <c r="O444" i="9"/>
  <c r="P449" i="9"/>
  <c r="O449" i="9"/>
  <c r="N462" i="9"/>
  <c r="P462" i="9"/>
  <c r="O462" i="9"/>
  <c r="N467" i="9"/>
  <c r="P508" i="9"/>
  <c r="O508" i="9"/>
  <c r="N508" i="9"/>
  <c r="O531" i="9"/>
  <c r="P531" i="9"/>
  <c r="N531" i="9"/>
  <c r="P553" i="9"/>
  <c r="O553" i="9"/>
  <c r="N553" i="9"/>
  <c r="O610" i="9"/>
  <c r="P610" i="9"/>
  <c r="P653" i="9"/>
  <c r="O653" i="9"/>
  <c r="N653" i="9"/>
  <c r="N409" i="9"/>
  <c r="O416" i="9"/>
  <c r="O438" i="9"/>
  <c r="P438" i="9"/>
  <c r="O455" i="9"/>
  <c r="P455" i="9"/>
  <c r="N455" i="9"/>
  <c r="P460" i="9"/>
  <c r="O460" i="9"/>
  <c r="P492" i="9"/>
  <c r="O492" i="9"/>
  <c r="N492" i="9"/>
  <c r="O515" i="9"/>
  <c r="P515" i="9"/>
  <c r="N515" i="9"/>
  <c r="P534" i="9"/>
  <c r="O534" i="9"/>
  <c r="N534" i="9"/>
  <c r="N546" i="9"/>
  <c r="P546" i="9"/>
  <c r="O546" i="9"/>
  <c r="P556" i="9"/>
  <c r="O556" i="9"/>
  <c r="N556" i="9"/>
  <c r="P569" i="9"/>
  <c r="O569" i="9"/>
  <c r="N569" i="9"/>
  <c r="P577" i="9"/>
  <c r="O577" i="9"/>
  <c r="N577" i="9"/>
  <c r="P585" i="9"/>
  <c r="O585" i="9"/>
  <c r="N585" i="9"/>
  <c r="P593" i="9"/>
  <c r="O593" i="9"/>
  <c r="N593" i="9"/>
  <c r="P601" i="9"/>
  <c r="O601" i="9"/>
  <c r="N601" i="9"/>
  <c r="P648" i="9"/>
  <c r="O648" i="9"/>
  <c r="N648" i="9"/>
  <c r="P612" i="9"/>
  <c r="N612" i="9"/>
  <c r="P617" i="9"/>
  <c r="O621" i="9"/>
  <c r="O626" i="9"/>
  <c r="P626" i="9"/>
  <c r="O642" i="9"/>
  <c r="P642" i="9"/>
  <c r="O658" i="9"/>
  <c r="P658" i="9"/>
  <c r="N724" i="9"/>
  <c r="P724" i="9"/>
  <c r="O724" i="9"/>
  <c r="P731" i="9"/>
  <c r="O731" i="9"/>
  <c r="N731" i="9"/>
  <c r="P833" i="9"/>
  <c r="O833" i="9"/>
  <c r="N833" i="9"/>
  <c r="N858" i="9"/>
  <c r="P858" i="9"/>
  <c r="O858" i="9"/>
  <c r="N471" i="9"/>
  <c r="O478" i="9"/>
  <c r="N481" i="9"/>
  <c r="N487" i="9"/>
  <c r="O494" i="9"/>
  <c r="N497" i="9"/>
  <c r="N503" i="9"/>
  <c r="O510" i="9"/>
  <c r="N513" i="9"/>
  <c r="N519" i="9"/>
  <c r="O526" i="9"/>
  <c r="N529" i="9"/>
  <c r="N545" i="9"/>
  <c r="O550" i="9"/>
  <c r="P558" i="9"/>
  <c r="O561" i="9"/>
  <c r="P566" i="9"/>
  <c r="P574" i="9"/>
  <c r="P582" i="9"/>
  <c r="P590" i="9"/>
  <c r="P598" i="9"/>
  <c r="N605" i="9"/>
  <c r="O612" i="9"/>
  <c r="P620" i="9"/>
  <c r="N620" i="9"/>
  <c r="P624" i="9"/>
  <c r="O624" i="9"/>
  <c r="P629" i="9"/>
  <c r="O629" i="9"/>
  <c r="P640" i="9"/>
  <c r="O640" i="9"/>
  <c r="P645" i="9"/>
  <c r="O645" i="9"/>
  <c r="P656" i="9"/>
  <c r="O656" i="9"/>
  <c r="P661" i="9"/>
  <c r="O661" i="9"/>
  <c r="P769" i="9"/>
  <c r="O769" i="9"/>
  <c r="N769" i="9"/>
  <c r="P845" i="9"/>
  <c r="O845" i="9"/>
  <c r="N845" i="9"/>
  <c r="P869" i="9"/>
  <c r="O869" i="9"/>
  <c r="N869" i="9"/>
  <c r="P877" i="9"/>
  <c r="O877" i="9"/>
  <c r="N877" i="9"/>
  <c r="N424" i="9"/>
  <c r="N432" i="9"/>
  <c r="N440" i="9"/>
  <c r="N448" i="9"/>
  <c r="O458" i="9"/>
  <c r="P471" i="9"/>
  <c r="O474" i="9"/>
  <c r="P478" i="9"/>
  <c r="P487" i="9"/>
  <c r="O490" i="9"/>
  <c r="P494" i="9"/>
  <c r="P503" i="9"/>
  <c r="O506" i="9"/>
  <c r="P510" i="9"/>
  <c r="P519" i="9"/>
  <c r="O522" i="9"/>
  <c r="P526" i="9"/>
  <c r="N533" i="9"/>
  <c r="O542" i="9"/>
  <c r="P550" i="9"/>
  <c r="P561" i="9"/>
  <c r="N568" i="9"/>
  <c r="N576" i="9"/>
  <c r="N584" i="9"/>
  <c r="N592" i="9"/>
  <c r="N600" i="9"/>
  <c r="O605" i="9"/>
  <c r="O609" i="9"/>
  <c r="N613" i="9"/>
  <c r="O616" i="9"/>
  <c r="O620" i="9"/>
  <c r="N624" i="9"/>
  <c r="N629" i="9"/>
  <c r="O634" i="9"/>
  <c r="P634" i="9"/>
  <c r="O650" i="9"/>
  <c r="P650" i="9"/>
  <c r="N688" i="9"/>
  <c r="P688" i="9"/>
  <c r="O688" i="9"/>
  <c r="P695" i="9"/>
  <c r="O695" i="9"/>
  <c r="N695" i="9"/>
  <c r="N740" i="9"/>
  <c r="P740" i="9"/>
  <c r="O740" i="9"/>
  <c r="P781" i="9"/>
  <c r="O781" i="9"/>
  <c r="N781" i="9"/>
  <c r="N790" i="9"/>
  <c r="P790" i="9"/>
  <c r="O790" i="9"/>
  <c r="P805" i="9"/>
  <c r="O805" i="9"/>
  <c r="N805" i="9"/>
  <c r="N810" i="9"/>
  <c r="P810" i="9"/>
  <c r="O810" i="9"/>
  <c r="N818" i="9"/>
  <c r="P818" i="9"/>
  <c r="O818" i="9"/>
  <c r="P825" i="9"/>
  <c r="O825" i="9"/>
  <c r="N825" i="9"/>
  <c r="N830" i="9"/>
  <c r="P830" i="9"/>
  <c r="O830" i="9"/>
  <c r="O667" i="9"/>
  <c r="P672" i="9"/>
  <c r="P676" i="9"/>
  <c r="O679" i="9"/>
  <c r="P684" i="9"/>
  <c r="O691" i="9"/>
  <c r="O699" i="9"/>
  <c r="O703" i="9"/>
  <c r="P708" i="9"/>
  <c r="P712" i="9"/>
  <c r="O715" i="9"/>
  <c r="O719" i="9"/>
  <c r="O727" i="9"/>
  <c r="P732" i="9"/>
  <c r="O743" i="9"/>
  <c r="P748" i="9"/>
  <c r="O751" i="9"/>
  <c r="P756" i="9"/>
  <c r="P762" i="9"/>
  <c r="P770" i="9"/>
  <c r="O777" i="9"/>
  <c r="P782" i="9"/>
  <c r="O785" i="9"/>
  <c r="O797" i="9"/>
  <c r="P806" i="9"/>
  <c r="O821" i="9"/>
  <c r="P826" i="9"/>
  <c r="P834" i="9"/>
  <c r="O841" i="9"/>
  <c r="P846" i="9"/>
  <c r="O849" i="9"/>
  <c r="O854" i="9"/>
  <c r="O861" i="9"/>
  <c r="O865" i="9"/>
  <c r="N628" i="9"/>
  <c r="N636" i="9"/>
  <c r="N644" i="9"/>
  <c r="N652" i="9"/>
  <c r="N660" i="9"/>
  <c r="O664" i="9"/>
  <c r="O668" i="9"/>
  <c r="N671" i="9"/>
  <c r="N675" i="9"/>
  <c r="O692" i="9"/>
  <c r="O700" i="9"/>
  <c r="O704" i="9"/>
  <c r="N707" i="9"/>
  <c r="O794" i="9"/>
  <c r="O802" i="9"/>
  <c r="O862" i="9"/>
  <c r="N866" i="9"/>
  <c r="O874" i="9"/>
  <c r="P287" i="1"/>
  <c r="P279" i="1"/>
  <c r="P271" i="1"/>
  <c r="P263" i="1"/>
  <c r="P255" i="1"/>
  <c r="P247" i="1"/>
  <c r="P239" i="1"/>
  <c r="P231" i="1"/>
  <c r="P223" i="1"/>
  <c r="P205" i="1"/>
  <c r="P197" i="1"/>
  <c r="N136" i="1"/>
  <c r="O136" i="1"/>
  <c r="N92" i="1"/>
  <c r="O92" i="1"/>
  <c r="P92" i="1"/>
  <c r="N64" i="1"/>
  <c r="O64" i="1"/>
  <c r="P64" i="1"/>
  <c r="N36" i="1"/>
  <c r="O36" i="1"/>
  <c r="P36" i="1"/>
  <c r="N8" i="1"/>
  <c r="O8" i="1"/>
  <c r="P8" i="1"/>
  <c r="P70" i="9"/>
  <c r="O70" i="9"/>
  <c r="N70" i="9"/>
  <c r="P78" i="9"/>
  <c r="O78" i="9"/>
  <c r="N78" i="9"/>
  <c r="P86" i="9"/>
  <c r="O86" i="9"/>
  <c r="N86" i="9"/>
  <c r="P94" i="9"/>
  <c r="O94" i="9"/>
  <c r="N94" i="9"/>
  <c r="P102" i="9"/>
  <c r="O102" i="9"/>
  <c r="N102" i="9"/>
  <c r="P110" i="9"/>
  <c r="O110" i="9"/>
  <c r="N110" i="9"/>
  <c r="P118" i="9"/>
  <c r="O118" i="9"/>
  <c r="N118" i="9"/>
  <c r="P126" i="9"/>
  <c r="O126" i="9"/>
  <c r="N126" i="9"/>
  <c r="P134" i="9"/>
  <c r="O134" i="9"/>
  <c r="N134" i="9"/>
  <c r="P142" i="9"/>
  <c r="O142" i="9"/>
  <c r="N142" i="9"/>
  <c r="P150" i="9"/>
  <c r="O150" i="9"/>
  <c r="N150" i="9"/>
  <c r="P158" i="9"/>
  <c r="O158" i="9"/>
  <c r="N158" i="9"/>
  <c r="P166" i="9"/>
  <c r="O166" i="9"/>
  <c r="N166" i="9"/>
  <c r="P174" i="9"/>
  <c r="O174" i="9"/>
  <c r="N174" i="9"/>
  <c r="P182" i="9"/>
  <c r="O182" i="9"/>
  <c r="N182" i="9"/>
  <c r="P190" i="9"/>
  <c r="O190" i="9"/>
  <c r="N190" i="9"/>
  <c r="P198" i="9"/>
  <c r="O198" i="9"/>
  <c r="N198" i="9"/>
  <c r="O226" i="9"/>
  <c r="N226" i="9"/>
  <c r="P226" i="9"/>
  <c r="N128" i="1"/>
  <c r="O128" i="1"/>
  <c r="P128" i="1"/>
  <c r="N121" i="1"/>
  <c r="O121" i="1"/>
  <c r="P121" i="1"/>
  <c r="P73" i="1"/>
  <c r="N73" i="1"/>
  <c r="O73" i="1"/>
  <c r="N56" i="1"/>
  <c r="O56" i="1"/>
  <c r="P56" i="1"/>
  <c r="N28" i="1"/>
  <c r="O28" i="1"/>
  <c r="P28" i="1"/>
  <c r="P18" i="9"/>
  <c r="O18" i="9"/>
  <c r="N18" i="9"/>
  <c r="P34" i="9"/>
  <c r="O34" i="9"/>
  <c r="N34" i="9"/>
  <c r="P42" i="9"/>
  <c r="O42" i="9"/>
  <c r="N42" i="9"/>
  <c r="O246" i="9"/>
  <c r="N246" i="9"/>
  <c r="P246" i="9"/>
  <c r="P694" i="9"/>
  <c r="O694" i="9"/>
  <c r="N694" i="9"/>
  <c r="P746" i="9"/>
  <c r="O746" i="9"/>
  <c r="N746" i="9"/>
  <c r="O843" i="9"/>
  <c r="N843" i="9"/>
  <c r="P843" i="9"/>
  <c r="P860" i="1"/>
  <c r="P852" i="1"/>
  <c r="P828" i="1"/>
  <c r="P812" i="1"/>
  <c r="P804" i="1"/>
  <c r="P783" i="1"/>
  <c r="P763" i="1"/>
  <c r="P731" i="1"/>
  <c r="P723" i="1"/>
  <c r="P707" i="1"/>
  <c r="P699" i="1"/>
  <c r="P683" i="1"/>
  <c r="P675" i="1"/>
  <c r="P659" i="1"/>
  <c r="P643" i="1"/>
  <c r="P635" i="1"/>
  <c r="P627" i="1"/>
  <c r="P611" i="1"/>
  <c r="P574" i="1"/>
  <c r="P367" i="1"/>
  <c r="P351" i="1"/>
  <c r="P327" i="1"/>
  <c r="P319" i="1"/>
  <c r="P311" i="1"/>
  <c r="N877" i="1"/>
  <c r="O876" i="1"/>
  <c r="N870" i="1"/>
  <c r="N869" i="1"/>
  <c r="O868" i="1"/>
  <c r="P862" i="1"/>
  <c r="O861" i="1"/>
  <c r="O860" i="1"/>
  <c r="P854" i="1"/>
  <c r="O853" i="1"/>
  <c r="O852" i="1"/>
  <c r="P846" i="1"/>
  <c r="O845" i="1"/>
  <c r="O844" i="1"/>
  <c r="P838" i="1"/>
  <c r="O837" i="1"/>
  <c r="O836" i="1"/>
  <c r="P830" i="1"/>
  <c r="O829" i="1"/>
  <c r="O828" i="1"/>
  <c r="P822" i="1"/>
  <c r="O821" i="1"/>
  <c r="O820" i="1"/>
  <c r="P814" i="1"/>
  <c r="O813" i="1"/>
  <c r="O812" i="1"/>
  <c r="P806" i="1"/>
  <c r="O805" i="1"/>
  <c r="O804" i="1"/>
  <c r="P799" i="1"/>
  <c r="P791" i="1"/>
  <c r="N789" i="1"/>
  <c r="O783" i="1"/>
  <c r="P782" i="1"/>
  <c r="P775" i="1"/>
  <c r="O771" i="1"/>
  <c r="P770" i="1"/>
  <c r="O763" i="1"/>
  <c r="P762" i="1"/>
  <c r="O758" i="1"/>
  <c r="O751" i="1"/>
  <c r="P750" i="1"/>
  <c r="P743" i="1"/>
  <c r="O739" i="1"/>
  <c r="P738" i="1"/>
  <c r="N732" i="1"/>
  <c r="O731" i="1"/>
  <c r="P730" i="1"/>
  <c r="N724" i="1"/>
  <c r="O723" i="1"/>
  <c r="P722" i="1"/>
  <c r="N716" i="1"/>
  <c r="O715" i="1"/>
  <c r="P714" i="1"/>
  <c r="N708" i="1"/>
  <c r="O707" i="1"/>
  <c r="P706" i="1"/>
  <c r="N700" i="1"/>
  <c r="O699" i="1"/>
  <c r="P698" i="1"/>
  <c r="N692" i="1"/>
  <c r="O691" i="1"/>
  <c r="P690" i="1"/>
  <c r="N684" i="1"/>
  <c r="O683" i="1"/>
  <c r="P682" i="1"/>
  <c r="N676" i="1"/>
  <c r="O675" i="1"/>
  <c r="P674" i="1"/>
  <c r="N668" i="1"/>
  <c r="O667" i="1"/>
  <c r="P666" i="1"/>
  <c r="N660" i="1"/>
  <c r="O659" i="1"/>
  <c r="P658" i="1"/>
  <c r="N652" i="1"/>
  <c r="O651" i="1"/>
  <c r="P650" i="1"/>
  <c r="N644" i="1"/>
  <c r="O643" i="1"/>
  <c r="P642" i="1"/>
  <c r="N636" i="1"/>
  <c r="O635" i="1"/>
  <c r="P634" i="1"/>
  <c r="N628" i="1"/>
  <c r="O627" i="1"/>
  <c r="P626" i="1"/>
  <c r="N620" i="1"/>
  <c r="O619" i="1"/>
  <c r="P618" i="1"/>
  <c r="N612" i="1"/>
  <c r="O611" i="1"/>
  <c r="P610" i="1"/>
  <c r="N604" i="1"/>
  <c r="O603" i="1"/>
  <c r="P602" i="1"/>
  <c r="P598" i="1"/>
  <c r="O591" i="1"/>
  <c r="O590" i="1"/>
  <c r="P582" i="1"/>
  <c r="O575" i="1"/>
  <c r="O574" i="1"/>
  <c r="P566" i="1"/>
  <c r="N564" i="1"/>
  <c r="P558" i="1"/>
  <c r="N556" i="1"/>
  <c r="P550" i="1"/>
  <c r="N548" i="1"/>
  <c r="P542" i="1"/>
  <c r="N540" i="1"/>
  <c r="P534" i="1"/>
  <c r="N532" i="1"/>
  <c r="P526" i="1"/>
  <c r="N524" i="1"/>
  <c r="P518" i="1"/>
  <c r="N516" i="1"/>
  <c r="P510" i="1"/>
  <c r="N508" i="1"/>
  <c r="P502" i="1"/>
  <c r="N500" i="1"/>
  <c r="P494" i="1"/>
  <c r="N492" i="1"/>
  <c r="P486" i="1"/>
  <c r="N484" i="1"/>
  <c r="P478" i="1"/>
  <c r="N476" i="1"/>
  <c r="P470" i="1"/>
  <c r="N468" i="1"/>
  <c r="P462" i="1"/>
  <c r="N460" i="1"/>
  <c r="P454" i="1"/>
  <c r="N452" i="1"/>
  <c r="P446" i="1"/>
  <c r="N444" i="1"/>
  <c r="P438" i="1"/>
  <c r="N436" i="1"/>
  <c r="P430" i="1"/>
  <c r="N428" i="1"/>
  <c r="P422" i="1"/>
  <c r="N420" i="1"/>
  <c r="P414" i="1"/>
  <c r="N412" i="1"/>
  <c r="P406" i="1"/>
  <c r="N404" i="1"/>
  <c r="P398" i="1"/>
  <c r="N396" i="1"/>
  <c r="P390" i="1"/>
  <c r="N388" i="1"/>
  <c r="P382" i="1"/>
  <c r="N376" i="1"/>
  <c r="O375" i="1"/>
  <c r="N369" i="1"/>
  <c r="N368" i="1"/>
  <c r="O367" i="1"/>
  <c r="N361" i="1"/>
  <c r="N360" i="1"/>
  <c r="O359" i="1"/>
  <c r="N353" i="1"/>
  <c r="N352" i="1"/>
  <c r="O351" i="1"/>
  <c r="N345" i="1"/>
  <c r="N344" i="1"/>
  <c r="O343" i="1"/>
  <c r="N337" i="1"/>
  <c r="N336" i="1"/>
  <c r="O335" i="1"/>
  <c r="N329" i="1"/>
  <c r="N328" i="1"/>
  <c r="O327" i="1"/>
  <c r="N321" i="1"/>
  <c r="N320" i="1"/>
  <c r="O319" i="1"/>
  <c r="N313" i="1"/>
  <c r="N312" i="1"/>
  <c r="O311" i="1"/>
  <c r="N305" i="1"/>
  <c r="N304" i="1"/>
  <c r="O303" i="1"/>
  <c r="N297" i="1"/>
  <c r="N296" i="1"/>
  <c r="O295" i="1"/>
  <c r="N289" i="1"/>
  <c r="N288" i="1"/>
  <c r="O287" i="1"/>
  <c r="N281" i="1"/>
  <c r="N280" i="1"/>
  <c r="O279" i="1"/>
  <c r="N273" i="1"/>
  <c r="N272" i="1"/>
  <c r="O271" i="1"/>
  <c r="N265" i="1"/>
  <c r="N264" i="1"/>
  <c r="O263" i="1"/>
  <c r="N257" i="1"/>
  <c r="N256" i="1"/>
  <c r="O255" i="1"/>
  <c r="N249" i="1"/>
  <c r="N248" i="1"/>
  <c r="O247" i="1"/>
  <c r="N241" i="1"/>
  <c r="N240" i="1"/>
  <c r="O239" i="1"/>
  <c r="N233" i="1"/>
  <c r="N232" i="1"/>
  <c r="O231" i="1"/>
  <c r="N225" i="1"/>
  <c r="N224" i="1"/>
  <c r="O223" i="1"/>
  <c r="P217" i="1"/>
  <c r="O216" i="1"/>
  <c r="P215" i="1"/>
  <c r="N213" i="1"/>
  <c r="P207" i="1"/>
  <c r="N206" i="1"/>
  <c r="O205" i="1"/>
  <c r="P204" i="1"/>
  <c r="P203" i="1"/>
  <c r="O197" i="1"/>
  <c r="P196" i="1"/>
  <c r="P195" i="1"/>
  <c r="P189" i="1"/>
  <c r="P187" i="1"/>
  <c r="O184" i="1"/>
  <c r="P181" i="1"/>
  <c r="O176" i="1"/>
  <c r="P173" i="1"/>
  <c r="O168" i="1"/>
  <c r="P165" i="1"/>
  <c r="O160" i="1"/>
  <c r="P157" i="1"/>
  <c r="O152" i="1"/>
  <c r="P149" i="1"/>
  <c r="O144" i="1"/>
  <c r="P141" i="1"/>
  <c r="N129" i="1"/>
  <c r="O129" i="1"/>
  <c r="N120" i="1"/>
  <c r="O120" i="1"/>
  <c r="P120" i="1"/>
  <c r="N100" i="1"/>
  <c r="O100" i="1"/>
  <c r="P100" i="1"/>
  <c r="P81" i="1"/>
  <c r="N81" i="1"/>
  <c r="O81" i="1"/>
  <c r="P53" i="1"/>
  <c r="N53" i="1"/>
  <c r="O53" i="1"/>
  <c r="P45" i="1"/>
  <c r="N45" i="1"/>
  <c r="O45" i="1"/>
  <c r="P25" i="1"/>
  <c r="N25" i="1"/>
  <c r="O25" i="1"/>
  <c r="P6" i="9"/>
  <c r="O6" i="9"/>
  <c r="N6" i="9"/>
  <c r="P14" i="9"/>
  <c r="O14" i="9"/>
  <c r="N14" i="9"/>
  <c r="P22" i="9"/>
  <c r="O22" i="9"/>
  <c r="N22" i="9"/>
  <c r="P30" i="9"/>
  <c r="O30" i="9"/>
  <c r="N30" i="9"/>
  <c r="P38" i="9"/>
  <c r="O38" i="9"/>
  <c r="N38" i="9"/>
  <c r="P46" i="9"/>
  <c r="O46" i="9"/>
  <c r="N46" i="9"/>
  <c r="P54" i="9"/>
  <c r="O54" i="9"/>
  <c r="N54" i="9"/>
  <c r="P62" i="9"/>
  <c r="O62" i="9"/>
  <c r="N62" i="9"/>
  <c r="O202" i="9"/>
  <c r="N202" i="9"/>
  <c r="P202" i="9"/>
  <c r="P251" i="9"/>
  <c r="O251" i="9"/>
  <c r="N251" i="9"/>
  <c r="P267" i="9"/>
  <c r="O267" i="9"/>
  <c r="N267" i="9"/>
  <c r="P283" i="9"/>
  <c r="O283" i="9"/>
  <c r="N283" i="9"/>
  <c r="P2" i="9"/>
  <c r="O2" i="9"/>
  <c r="N2" i="9"/>
  <c r="P10" i="9"/>
  <c r="O10" i="9"/>
  <c r="N10" i="9"/>
  <c r="P26" i="9"/>
  <c r="O26" i="9"/>
  <c r="N26" i="9"/>
  <c r="P50" i="9"/>
  <c r="O50" i="9"/>
  <c r="N50" i="9"/>
  <c r="P58" i="9"/>
  <c r="O58" i="9"/>
  <c r="N58" i="9"/>
  <c r="P66" i="9"/>
  <c r="O66" i="9"/>
  <c r="N66" i="9"/>
  <c r="O214" i="9"/>
  <c r="N214" i="9"/>
  <c r="P214" i="9"/>
  <c r="P259" i="9"/>
  <c r="O259" i="9"/>
  <c r="N259" i="9"/>
  <c r="P275" i="9"/>
  <c r="O275" i="9"/>
  <c r="N275" i="9"/>
  <c r="O729" i="9"/>
  <c r="N729" i="9"/>
  <c r="P729" i="9"/>
  <c r="O779" i="9"/>
  <c r="N779" i="9"/>
  <c r="P779" i="9"/>
  <c r="P876" i="1"/>
  <c r="P868" i="1"/>
  <c r="P844" i="1"/>
  <c r="P836" i="1"/>
  <c r="P820" i="1"/>
  <c r="P771" i="1"/>
  <c r="P751" i="1"/>
  <c r="P739" i="1"/>
  <c r="P715" i="1"/>
  <c r="P691" i="1"/>
  <c r="P667" i="1"/>
  <c r="P651" i="1"/>
  <c r="P619" i="1"/>
  <c r="P603" i="1"/>
  <c r="P590" i="1"/>
  <c r="P375" i="1"/>
  <c r="P359" i="1"/>
  <c r="P343" i="1"/>
  <c r="P335" i="1"/>
  <c r="P303" i="1"/>
  <c r="O873" i="1"/>
  <c r="N862" i="1"/>
  <c r="N854" i="1"/>
  <c r="N846" i="1"/>
  <c r="N838" i="1"/>
  <c r="N830" i="1"/>
  <c r="N822" i="1"/>
  <c r="N814" i="1"/>
  <c r="N806" i="1"/>
  <c r="O800" i="1"/>
  <c r="P798" i="1"/>
  <c r="P797" i="1"/>
  <c r="O796" i="1"/>
  <c r="O790" i="1"/>
  <c r="O782" i="1"/>
  <c r="P774" i="1"/>
  <c r="O770" i="1"/>
  <c r="O762" i="1"/>
  <c r="O750" i="1"/>
  <c r="P742" i="1"/>
  <c r="O738" i="1"/>
  <c r="O730" i="1"/>
  <c r="O722" i="1"/>
  <c r="O714" i="1"/>
  <c r="O706" i="1"/>
  <c r="O698" i="1"/>
  <c r="O690" i="1"/>
  <c r="O682" i="1"/>
  <c r="O674" i="1"/>
  <c r="O666" i="1"/>
  <c r="O658" i="1"/>
  <c r="O650" i="1"/>
  <c r="O642" i="1"/>
  <c r="O634" i="1"/>
  <c r="O626" i="1"/>
  <c r="O618" i="1"/>
  <c r="O610" i="1"/>
  <c r="O602" i="1"/>
  <c r="N599" i="1"/>
  <c r="P597" i="1"/>
  <c r="P596" i="1"/>
  <c r="O595" i="1"/>
  <c r="P592" i="1"/>
  <c r="N583" i="1"/>
  <c r="P581" i="1"/>
  <c r="P580" i="1"/>
  <c r="O579" i="1"/>
  <c r="P576" i="1"/>
  <c r="P568" i="1"/>
  <c r="O567" i="1"/>
  <c r="P560" i="1"/>
  <c r="O559" i="1"/>
  <c r="P552" i="1"/>
  <c r="O551" i="1"/>
  <c r="P544" i="1"/>
  <c r="O543" i="1"/>
  <c r="P536" i="1"/>
  <c r="O535" i="1"/>
  <c r="P528" i="1"/>
  <c r="O527" i="1"/>
  <c r="P520" i="1"/>
  <c r="O519" i="1"/>
  <c r="P512" i="1"/>
  <c r="O511" i="1"/>
  <c r="P504" i="1"/>
  <c r="O503" i="1"/>
  <c r="P496" i="1"/>
  <c r="O495" i="1"/>
  <c r="P488" i="1"/>
  <c r="O487" i="1"/>
  <c r="P480" i="1"/>
  <c r="O479" i="1"/>
  <c r="P472" i="1"/>
  <c r="O471" i="1"/>
  <c r="P464" i="1"/>
  <c r="O463" i="1"/>
  <c r="P456" i="1"/>
  <c r="O455" i="1"/>
  <c r="P448" i="1"/>
  <c r="O447" i="1"/>
  <c r="P440" i="1"/>
  <c r="O439" i="1"/>
  <c r="P432" i="1"/>
  <c r="O431" i="1"/>
  <c r="P424" i="1"/>
  <c r="O423" i="1"/>
  <c r="P416" i="1"/>
  <c r="O415" i="1"/>
  <c r="P408" i="1"/>
  <c r="O407" i="1"/>
  <c r="P400" i="1"/>
  <c r="O399" i="1"/>
  <c r="P392" i="1"/>
  <c r="O391" i="1"/>
  <c r="P384" i="1"/>
  <c r="O383" i="1"/>
  <c r="P381" i="1"/>
  <c r="O380" i="1"/>
  <c r="O372" i="1"/>
  <c r="O364" i="1"/>
  <c r="O356" i="1"/>
  <c r="O348" i="1"/>
  <c r="O340" i="1"/>
  <c r="O332" i="1"/>
  <c r="O324" i="1"/>
  <c r="O316" i="1"/>
  <c r="O308" i="1"/>
  <c r="O300" i="1"/>
  <c r="O292" i="1"/>
  <c r="O284" i="1"/>
  <c r="O276" i="1"/>
  <c r="O268" i="1"/>
  <c r="O260" i="1"/>
  <c r="O252" i="1"/>
  <c r="O244" i="1"/>
  <c r="O236" i="1"/>
  <c r="O228" i="1"/>
  <c r="O220" i="1"/>
  <c r="N217" i="1"/>
  <c r="N216" i="1"/>
  <c r="P209" i="1"/>
  <c r="O208" i="1"/>
  <c r="O204" i="1"/>
  <c r="O196" i="1"/>
  <c r="N195" i="1"/>
  <c r="O188" i="1"/>
  <c r="N187" i="1"/>
  <c r="P180" i="1"/>
  <c r="P179" i="1"/>
  <c r="P172" i="1"/>
  <c r="P171" i="1"/>
  <c r="P164" i="1"/>
  <c r="P163" i="1"/>
  <c r="P156" i="1"/>
  <c r="P155" i="1"/>
  <c r="P148" i="1"/>
  <c r="P147" i="1"/>
  <c r="P140" i="1"/>
  <c r="P139" i="1"/>
  <c r="P123" i="1"/>
  <c r="N108" i="1"/>
  <c r="O108" i="1"/>
  <c r="P108" i="1"/>
  <c r="P89" i="1"/>
  <c r="N89" i="1"/>
  <c r="O89" i="1"/>
  <c r="N16" i="1"/>
  <c r="O16" i="1"/>
  <c r="P16" i="1"/>
  <c r="N9" i="1"/>
  <c r="O9" i="1"/>
  <c r="P9" i="1"/>
  <c r="P74" i="9"/>
  <c r="O74" i="9"/>
  <c r="N74" i="9"/>
  <c r="P82" i="9"/>
  <c r="O82" i="9"/>
  <c r="N82" i="9"/>
  <c r="P90" i="9"/>
  <c r="O90" i="9"/>
  <c r="N90" i="9"/>
  <c r="P98" i="9"/>
  <c r="O98" i="9"/>
  <c r="N98" i="9"/>
  <c r="P106" i="9"/>
  <c r="O106" i="9"/>
  <c r="N106" i="9"/>
  <c r="P114" i="9"/>
  <c r="O114" i="9"/>
  <c r="N114" i="9"/>
  <c r="P122" i="9"/>
  <c r="O122" i="9"/>
  <c r="N122" i="9"/>
  <c r="P130" i="9"/>
  <c r="O130" i="9"/>
  <c r="N130" i="9"/>
  <c r="P138" i="9"/>
  <c r="O138" i="9"/>
  <c r="N138" i="9"/>
  <c r="P146" i="9"/>
  <c r="O146" i="9"/>
  <c r="N146" i="9"/>
  <c r="P154" i="9"/>
  <c r="O154" i="9"/>
  <c r="N154" i="9"/>
  <c r="P162" i="9"/>
  <c r="O162" i="9"/>
  <c r="N162" i="9"/>
  <c r="P170" i="9"/>
  <c r="O170" i="9"/>
  <c r="N170" i="9"/>
  <c r="P178" i="9"/>
  <c r="O178" i="9"/>
  <c r="N178" i="9"/>
  <c r="P186" i="9"/>
  <c r="O186" i="9"/>
  <c r="N186" i="9"/>
  <c r="P194" i="9"/>
  <c r="O194" i="9"/>
  <c r="N194" i="9"/>
  <c r="O234" i="9"/>
  <c r="N234" i="9"/>
  <c r="P234" i="9"/>
  <c r="P203" i="9"/>
  <c r="O203" i="9"/>
  <c r="P215" i="9"/>
  <c r="O215" i="9"/>
  <c r="O222" i="9"/>
  <c r="N222" i="9"/>
  <c r="P227" i="9"/>
  <c r="O227" i="9"/>
  <c r="P235" i="9"/>
  <c r="O235" i="9"/>
  <c r="O242" i="9"/>
  <c r="N242" i="9"/>
  <c r="P247" i="9"/>
  <c r="O247" i="9"/>
  <c r="O254" i="9"/>
  <c r="N254" i="9"/>
  <c r="O262" i="9"/>
  <c r="N262" i="9"/>
  <c r="O270" i="9"/>
  <c r="N270" i="9"/>
  <c r="O278" i="9"/>
  <c r="N278" i="9"/>
  <c r="O286" i="9"/>
  <c r="N286" i="9"/>
  <c r="P291" i="9"/>
  <c r="O291" i="9"/>
  <c r="N291" i="9"/>
  <c r="P299" i="9"/>
  <c r="O299" i="9"/>
  <c r="N299" i="9"/>
  <c r="P307" i="9"/>
  <c r="O307" i="9"/>
  <c r="N307" i="9"/>
  <c r="P315" i="9"/>
  <c r="O315" i="9"/>
  <c r="N315" i="9"/>
  <c r="P323" i="9"/>
  <c r="O323" i="9"/>
  <c r="N323" i="9"/>
  <c r="P331" i="9"/>
  <c r="O331" i="9"/>
  <c r="N331" i="9"/>
  <c r="P339" i="9"/>
  <c r="O339" i="9"/>
  <c r="N339" i="9"/>
  <c r="P347" i="9"/>
  <c r="O347" i="9"/>
  <c r="N347" i="9"/>
  <c r="P355" i="9"/>
  <c r="O355" i="9"/>
  <c r="N355" i="9"/>
  <c r="P363" i="9"/>
  <c r="O363" i="9"/>
  <c r="N363" i="9"/>
  <c r="P371" i="9"/>
  <c r="O371" i="9"/>
  <c r="N371" i="9"/>
  <c r="P379" i="9"/>
  <c r="O379" i="9"/>
  <c r="N379" i="9"/>
  <c r="P387" i="9"/>
  <c r="O387" i="9"/>
  <c r="N387" i="9"/>
  <c r="P395" i="9"/>
  <c r="O395" i="9"/>
  <c r="N395" i="9"/>
  <c r="P403" i="9"/>
  <c r="O403" i="9"/>
  <c r="N403" i="9"/>
  <c r="P411" i="9"/>
  <c r="O411" i="9"/>
  <c r="N411" i="9"/>
  <c r="P419" i="9"/>
  <c r="O419" i="9"/>
  <c r="N419" i="9"/>
  <c r="P427" i="9"/>
  <c r="O427" i="9"/>
  <c r="N427" i="9"/>
  <c r="P435" i="9"/>
  <c r="O435" i="9"/>
  <c r="N435" i="9"/>
  <c r="P443" i="9"/>
  <c r="O443" i="9"/>
  <c r="N443" i="9"/>
  <c r="P451" i="9"/>
  <c r="O451" i="9"/>
  <c r="N451" i="9"/>
  <c r="O459" i="9"/>
  <c r="P459" i="9"/>
  <c r="N459" i="9"/>
  <c r="N466" i="9"/>
  <c r="P466" i="9"/>
  <c r="O466" i="9"/>
  <c r="O475" i="9"/>
  <c r="P475" i="9"/>
  <c r="N475" i="9"/>
  <c r="N482" i="9"/>
  <c r="P482" i="9"/>
  <c r="O482" i="9"/>
  <c r="O491" i="9"/>
  <c r="P491" i="9"/>
  <c r="N491" i="9"/>
  <c r="N498" i="9"/>
  <c r="P498" i="9"/>
  <c r="O498" i="9"/>
  <c r="O507" i="9"/>
  <c r="P507" i="9"/>
  <c r="N507" i="9"/>
  <c r="N514" i="9"/>
  <c r="P514" i="9"/>
  <c r="O514" i="9"/>
  <c r="O523" i="9"/>
  <c r="P523" i="9"/>
  <c r="N523" i="9"/>
  <c r="N530" i="9"/>
  <c r="P530" i="9"/>
  <c r="O530" i="9"/>
  <c r="P536" i="9"/>
  <c r="O536" i="9"/>
  <c r="N536" i="9"/>
  <c r="P552" i="9"/>
  <c r="O552" i="9"/>
  <c r="N552" i="9"/>
  <c r="P112" i="1"/>
  <c r="P88" i="1"/>
  <c r="P80" i="1"/>
  <c r="P72" i="1"/>
  <c r="P52" i="1"/>
  <c r="P44" i="1"/>
  <c r="P24" i="1"/>
  <c r="N5" i="9"/>
  <c r="N9" i="9"/>
  <c r="N13" i="9"/>
  <c r="N17" i="9"/>
  <c r="N21" i="9"/>
  <c r="N25" i="9"/>
  <c r="N29" i="9"/>
  <c r="N33" i="9"/>
  <c r="N37" i="9"/>
  <c r="N41" i="9"/>
  <c r="N45" i="9"/>
  <c r="N49" i="9"/>
  <c r="N53" i="9"/>
  <c r="N57" i="9"/>
  <c r="N61" i="9"/>
  <c r="N65" i="9"/>
  <c r="N69" i="9"/>
  <c r="N73" i="9"/>
  <c r="N77" i="9"/>
  <c r="N81" i="9"/>
  <c r="N85" i="9"/>
  <c r="N89" i="9"/>
  <c r="N93" i="9"/>
  <c r="N97" i="9"/>
  <c r="N101" i="9"/>
  <c r="N105" i="9"/>
  <c r="N109" i="9"/>
  <c r="N113" i="9"/>
  <c r="N117" i="9"/>
  <c r="N121" i="9"/>
  <c r="N125" i="9"/>
  <c r="N129" i="9"/>
  <c r="N133" i="9"/>
  <c r="N137" i="9"/>
  <c r="N141" i="9"/>
  <c r="N145" i="9"/>
  <c r="N149" i="9"/>
  <c r="N153" i="9"/>
  <c r="N157" i="9"/>
  <c r="N161" i="9"/>
  <c r="N165" i="9"/>
  <c r="N169" i="9"/>
  <c r="N173" i="9"/>
  <c r="N177" i="9"/>
  <c r="N181" i="9"/>
  <c r="N185" i="9"/>
  <c r="N189" i="9"/>
  <c r="N193" i="9"/>
  <c r="N197" i="9"/>
  <c r="N203" i="9"/>
  <c r="O206" i="9"/>
  <c r="N206" i="9"/>
  <c r="O210" i="9"/>
  <c r="N210" i="9"/>
  <c r="N215" i="9"/>
  <c r="O218" i="9"/>
  <c r="N218" i="9"/>
  <c r="P222" i="9"/>
  <c r="P223" i="9"/>
  <c r="O223" i="9"/>
  <c r="N227" i="9"/>
  <c r="O230" i="9"/>
  <c r="N230" i="9"/>
  <c r="N235" i="9"/>
  <c r="O238" i="9"/>
  <c r="N238" i="9"/>
  <c r="P242" i="9"/>
  <c r="P243" i="9"/>
  <c r="O243" i="9"/>
  <c r="N247" i="9"/>
  <c r="P254" i="9"/>
  <c r="P255" i="9"/>
  <c r="O255" i="9"/>
  <c r="P262" i="9"/>
  <c r="P263" i="9"/>
  <c r="O263" i="9"/>
  <c r="P270" i="9"/>
  <c r="P271" i="9"/>
  <c r="O271" i="9"/>
  <c r="P278" i="9"/>
  <c r="P279" i="9"/>
  <c r="O279" i="9"/>
  <c r="P286" i="9"/>
  <c r="P287" i="9"/>
  <c r="O287" i="9"/>
  <c r="P111" i="1"/>
  <c r="O105" i="1"/>
  <c r="O97" i="1"/>
  <c r="O69" i="1"/>
  <c r="O61" i="1"/>
  <c r="O33" i="1"/>
  <c r="O21" i="1"/>
  <c r="P199" i="9"/>
  <c r="O199" i="9"/>
  <c r="P207" i="9"/>
  <c r="O207" i="9"/>
  <c r="P211" i="9"/>
  <c r="O211" i="9"/>
  <c r="P219" i="9"/>
  <c r="O219" i="9"/>
  <c r="P231" i="9"/>
  <c r="O231" i="9"/>
  <c r="P239" i="9"/>
  <c r="O239" i="9"/>
  <c r="O250" i="9"/>
  <c r="N250" i="9"/>
  <c r="O258" i="9"/>
  <c r="N258" i="9"/>
  <c r="O266" i="9"/>
  <c r="N266" i="9"/>
  <c r="O274" i="9"/>
  <c r="N274" i="9"/>
  <c r="O282" i="9"/>
  <c r="N282" i="9"/>
  <c r="P295" i="9"/>
  <c r="O295" i="9"/>
  <c r="N295" i="9"/>
  <c r="P303" i="9"/>
  <c r="O303" i="9"/>
  <c r="N303" i="9"/>
  <c r="P311" i="9"/>
  <c r="O311" i="9"/>
  <c r="N311" i="9"/>
  <c r="P319" i="9"/>
  <c r="O319" i="9"/>
  <c r="N319" i="9"/>
  <c r="P327" i="9"/>
  <c r="O327" i="9"/>
  <c r="N327" i="9"/>
  <c r="P335" i="9"/>
  <c r="O335" i="9"/>
  <c r="N335" i="9"/>
  <c r="P343" i="9"/>
  <c r="O343" i="9"/>
  <c r="N343" i="9"/>
  <c r="P351" i="9"/>
  <c r="O351" i="9"/>
  <c r="N351" i="9"/>
  <c r="P359" i="9"/>
  <c r="O359" i="9"/>
  <c r="N359" i="9"/>
  <c r="P367" i="9"/>
  <c r="O367" i="9"/>
  <c r="N367" i="9"/>
  <c r="P375" i="9"/>
  <c r="O375" i="9"/>
  <c r="N375" i="9"/>
  <c r="P383" i="9"/>
  <c r="O383" i="9"/>
  <c r="N383" i="9"/>
  <c r="P391" i="9"/>
  <c r="O391" i="9"/>
  <c r="N391" i="9"/>
  <c r="P399" i="9"/>
  <c r="O399" i="9"/>
  <c r="N399" i="9"/>
  <c r="P407" i="9"/>
  <c r="O407" i="9"/>
  <c r="N407" i="9"/>
  <c r="P415" i="9"/>
  <c r="O415" i="9"/>
  <c r="N415" i="9"/>
  <c r="P423" i="9"/>
  <c r="O423" i="9"/>
  <c r="N423" i="9"/>
  <c r="P431" i="9"/>
  <c r="O431" i="9"/>
  <c r="N431" i="9"/>
  <c r="P439" i="9"/>
  <c r="O439" i="9"/>
  <c r="N439" i="9"/>
  <c r="P447" i="9"/>
  <c r="O447" i="9"/>
  <c r="N447" i="9"/>
  <c r="P468" i="9"/>
  <c r="O468" i="9"/>
  <c r="N468" i="9"/>
  <c r="P484" i="9"/>
  <c r="O484" i="9"/>
  <c r="N484" i="9"/>
  <c r="P500" i="9"/>
  <c r="O500" i="9"/>
  <c r="N500" i="9"/>
  <c r="P516" i="9"/>
  <c r="O516" i="9"/>
  <c r="N516" i="9"/>
  <c r="P532" i="9"/>
  <c r="O532" i="9"/>
  <c r="N532" i="9"/>
  <c r="O547" i="9"/>
  <c r="N547" i="9"/>
  <c r="P547" i="9"/>
  <c r="O543" i="9"/>
  <c r="N543" i="9"/>
  <c r="P548" i="9"/>
  <c r="O548" i="9"/>
  <c r="P555" i="9"/>
  <c r="O555" i="9"/>
  <c r="N555" i="9"/>
  <c r="P563" i="9"/>
  <c r="O563" i="9"/>
  <c r="N563" i="9"/>
  <c r="P571" i="9"/>
  <c r="O571" i="9"/>
  <c r="N571" i="9"/>
  <c r="P579" i="9"/>
  <c r="O579" i="9"/>
  <c r="N579" i="9"/>
  <c r="P587" i="9"/>
  <c r="O587" i="9"/>
  <c r="N587" i="9"/>
  <c r="P595" i="9"/>
  <c r="O595" i="9"/>
  <c r="N595" i="9"/>
  <c r="P603" i="9"/>
  <c r="O603" i="9"/>
  <c r="N603" i="9"/>
  <c r="P611" i="9"/>
  <c r="O611" i="9"/>
  <c r="N611" i="9"/>
  <c r="P619" i="9"/>
  <c r="O619" i="9"/>
  <c r="N619" i="9"/>
  <c r="P627" i="9"/>
  <c r="O627" i="9"/>
  <c r="N627" i="9"/>
  <c r="P635" i="9"/>
  <c r="O635" i="9"/>
  <c r="N635" i="9"/>
  <c r="P643" i="9"/>
  <c r="O643" i="9"/>
  <c r="N643" i="9"/>
  <c r="P651" i="9"/>
  <c r="O651" i="9"/>
  <c r="N651" i="9"/>
  <c r="P659" i="9"/>
  <c r="O659" i="9"/>
  <c r="N659" i="9"/>
  <c r="O673" i="9"/>
  <c r="N673" i="9"/>
  <c r="P673" i="9"/>
  <c r="O709" i="9"/>
  <c r="N709" i="9"/>
  <c r="P709" i="9"/>
  <c r="O763" i="9"/>
  <c r="N763" i="9"/>
  <c r="P763" i="9"/>
  <c r="O827" i="9"/>
  <c r="N827" i="9"/>
  <c r="P827" i="9"/>
  <c r="N290" i="9"/>
  <c r="N294" i="9"/>
  <c r="N298" i="9"/>
  <c r="N302" i="9"/>
  <c r="N306" i="9"/>
  <c r="N310" i="9"/>
  <c r="N314" i="9"/>
  <c r="N318" i="9"/>
  <c r="N322" i="9"/>
  <c r="N326" i="9"/>
  <c r="N330" i="9"/>
  <c r="N334" i="9"/>
  <c r="N338" i="9"/>
  <c r="N342" i="9"/>
  <c r="N346" i="9"/>
  <c r="N350" i="9"/>
  <c r="N354" i="9"/>
  <c r="N358" i="9"/>
  <c r="N362" i="9"/>
  <c r="N366" i="9"/>
  <c r="N370" i="9"/>
  <c r="N374" i="9"/>
  <c r="N378" i="9"/>
  <c r="N382" i="9"/>
  <c r="N386" i="9"/>
  <c r="N390" i="9"/>
  <c r="N394" i="9"/>
  <c r="N398" i="9"/>
  <c r="N402" i="9"/>
  <c r="N406" i="9"/>
  <c r="N410" i="9"/>
  <c r="N414" i="9"/>
  <c r="N418" i="9"/>
  <c r="N422" i="9"/>
  <c r="N426" i="9"/>
  <c r="N430" i="9"/>
  <c r="N434" i="9"/>
  <c r="N438" i="9"/>
  <c r="N442" i="9"/>
  <c r="N446" i="9"/>
  <c r="N450" i="9"/>
  <c r="O454" i="9"/>
  <c r="N456" i="9"/>
  <c r="N463" i="9"/>
  <c r="O470" i="9"/>
  <c r="N472" i="9"/>
  <c r="N479" i="9"/>
  <c r="O486" i="9"/>
  <c r="N488" i="9"/>
  <c r="N495" i="9"/>
  <c r="O502" i="9"/>
  <c r="N504" i="9"/>
  <c r="N511" i="9"/>
  <c r="O518" i="9"/>
  <c r="N520" i="9"/>
  <c r="N527" i="9"/>
  <c r="O539" i="9"/>
  <c r="N539" i="9"/>
  <c r="P543" i="9"/>
  <c r="P544" i="9"/>
  <c r="O544" i="9"/>
  <c r="N548" i="9"/>
  <c r="P686" i="9"/>
  <c r="O686" i="9"/>
  <c r="N686" i="9"/>
  <c r="P734" i="9"/>
  <c r="O734" i="9"/>
  <c r="N734" i="9"/>
  <c r="P758" i="9"/>
  <c r="O758" i="9"/>
  <c r="N758" i="9"/>
  <c r="O811" i="9"/>
  <c r="N811" i="9"/>
  <c r="P811" i="9"/>
  <c r="P454" i="9"/>
  <c r="O456" i="9"/>
  <c r="P463" i="9"/>
  <c r="P470" i="9"/>
  <c r="O472" i="9"/>
  <c r="P479" i="9"/>
  <c r="P486" i="9"/>
  <c r="O488" i="9"/>
  <c r="P495" i="9"/>
  <c r="P502" i="9"/>
  <c r="O504" i="9"/>
  <c r="P511" i="9"/>
  <c r="P518" i="9"/>
  <c r="O520" i="9"/>
  <c r="P527" i="9"/>
  <c r="O535" i="9"/>
  <c r="N535" i="9"/>
  <c r="P540" i="9"/>
  <c r="O540" i="9"/>
  <c r="O551" i="9"/>
  <c r="N551" i="9"/>
  <c r="P559" i="9"/>
  <c r="O559" i="9"/>
  <c r="N559" i="9"/>
  <c r="P567" i="9"/>
  <c r="O567" i="9"/>
  <c r="N567" i="9"/>
  <c r="P575" i="9"/>
  <c r="O575" i="9"/>
  <c r="N575" i="9"/>
  <c r="P583" i="9"/>
  <c r="O583" i="9"/>
  <c r="N583" i="9"/>
  <c r="P591" i="9"/>
  <c r="O591" i="9"/>
  <c r="N591" i="9"/>
  <c r="P599" i="9"/>
  <c r="O599" i="9"/>
  <c r="N599" i="9"/>
  <c r="P607" i="9"/>
  <c r="O607" i="9"/>
  <c r="N607" i="9"/>
  <c r="P615" i="9"/>
  <c r="O615" i="9"/>
  <c r="N615" i="9"/>
  <c r="P623" i="9"/>
  <c r="O623" i="9"/>
  <c r="N623" i="9"/>
  <c r="P631" i="9"/>
  <c r="O631" i="9"/>
  <c r="N631" i="9"/>
  <c r="P639" i="9"/>
  <c r="O639" i="9"/>
  <c r="N639" i="9"/>
  <c r="P647" i="9"/>
  <c r="O647" i="9"/>
  <c r="N647" i="9"/>
  <c r="P655" i="9"/>
  <c r="O655" i="9"/>
  <c r="N655" i="9"/>
  <c r="O665" i="9"/>
  <c r="N665" i="9"/>
  <c r="P665" i="9"/>
  <c r="O701" i="9"/>
  <c r="N701" i="9"/>
  <c r="P701" i="9"/>
  <c r="O717" i="9"/>
  <c r="N717" i="9"/>
  <c r="P717" i="9"/>
  <c r="O795" i="9"/>
  <c r="N795" i="9"/>
  <c r="P795" i="9"/>
  <c r="P860" i="9"/>
  <c r="O860" i="9"/>
  <c r="N860" i="9"/>
  <c r="P666" i="9"/>
  <c r="O666" i="9"/>
  <c r="P674" i="9"/>
  <c r="O674" i="9"/>
  <c r="O681" i="9"/>
  <c r="N681" i="9"/>
  <c r="O689" i="9"/>
  <c r="N689" i="9"/>
  <c r="P702" i="9"/>
  <c r="O702" i="9"/>
  <c r="P710" i="9"/>
  <c r="O710" i="9"/>
  <c r="P718" i="9"/>
  <c r="O718" i="9"/>
  <c r="O725" i="9"/>
  <c r="N725" i="9"/>
  <c r="P730" i="9"/>
  <c r="O730" i="9"/>
  <c r="O741" i="9"/>
  <c r="N741" i="9"/>
  <c r="O753" i="9"/>
  <c r="N753" i="9"/>
  <c r="P764" i="9"/>
  <c r="O764" i="9"/>
  <c r="N764" i="9"/>
  <c r="P780" i="9"/>
  <c r="O780" i="9"/>
  <c r="N780" i="9"/>
  <c r="P796" i="9"/>
  <c r="O796" i="9"/>
  <c r="N796" i="9"/>
  <c r="P812" i="9"/>
  <c r="O812" i="9"/>
  <c r="N812" i="9"/>
  <c r="P828" i="9"/>
  <c r="O828" i="9"/>
  <c r="N828" i="9"/>
  <c r="P844" i="9"/>
  <c r="O844" i="9"/>
  <c r="N844" i="9"/>
  <c r="O863" i="9"/>
  <c r="N863" i="9"/>
  <c r="P863" i="9"/>
  <c r="P872" i="9"/>
  <c r="O872" i="9"/>
  <c r="N554" i="9"/>
  <c r="N558" i="9"/>
  <c r="N562" i="9"/>
  <c r="N566" i="9"/>
  <c r="N570" i="9"/>
  <c r="N574" i="9"/>
  <c r="N578" i="9"/>
  <c r="N582" i="9"/>
  <c r="N586" i="9"/>
  <c r="N590" i="9"/>
  <c r="N594" i="9"/>
  <c r="N598" i="9"/>
  <c r="N602" i="9"/>
  <c r="N606" i="9"/>
  <c r="N610" i="9"/>
  <c r="N614" i="9"/>
  <c r="N618" i="9"/>
  <c r="N622" i="9"/>
  <c r="N626" i="9"/>
  <c r="N630" i="9"/>
  <c r="N634" i="9"/>
  <c r="N638" i="9"/>
  <c r="N642" i="9"/>
  <c r="N646" i="9"/>
  <c r="N650" i="9"/>
  <c r="N654" i="9"/>
  <c r="N658" i="9"/>
  <c r="N662" i="9"/>
  <c r="N666" i="9"/>
  <c r="O669" i="9"/>
  <c r="N669" i="9"/>
  <c r="N674" i="9"/>
  <c r="O677" i="9"/>
  <c r="N677" i="9"/>
  <c r="P681" i="9"/>
  <c r="P682" i="9"/>
  <c r="O682" i="9"/>
  <c r="P689" i="9"/>
  <c r="P690" i="9"/>
  <c r="O690" i="9"/>
  <c r="O697" i="9"/>
  <c r="N697" i="9"/>
  <c r="N702" i="9"/>
  <c r="O705" i="9"/>
  <c r="N705" i="9"/>
  <c r="N710" i="9"/>
  <c r="O713" i="9"/>
  <c r="N713" i="9"/>
  <c r="N718" i="9"/>
  <c r="O721" i="9"/>
  <c r="N721" i="9"/>
  <c r="P725" i="9"/>
  <c r="P726" i="9"/>
  <c r="O726" i="9"/>
  <c r="N730" i="9"/>
  <c r="O737" i="9"/>
  <c r="N737" i="9"/>
  <c r="P741" i="9"/>
  <c r="P742" i="9"/>
  <c r="O742" i="9"/>
  <c r="O749" i="9"/>
  <c r="N749" i="9"/>
  <c r="P753" i="9"/>
  <c r="P754" i="9"/>
  <c r="O754" i="9"/>
  <c r="O867" i="9"/>
  <c r="N867" i="9"/>
  <c r="N872" i="9"/>
  <c r="P670" i="9"/>
  <c r="O670" i="9"/>
  <c r="P678" i="9"/>
  <c r="O678" i="9"/>
  <c r="O685" i="9"/>
  <c r="N685" i="9"/>
  <c r="O693" i="9"/>
  <c r="N693" i="9"/>
  <c r="P698" i="9"/>
  <c r="O698" i="9"/>
  <c r="P706" i="9"/>
  <c r="O706" i="9"/>
  <c r="P714" i="9"/>
  <c r="O714" i="9"/>
  <c r="P722" i="9"/>
  <c r="O722" i="9"/>
  <c r="O733" i="9"/>
  <c r="N733" i="9"/>
  <c r="P738" i="9"/>
  <c r="O738" i="9"/>
  <c r="O745" i="9"/>
  <c r="N745" i="9"/>
  <c r="P750" i="9"/>
  <c r="O750" i="9"/>
  <c r="O757" i="9"/>
  <c r="N757" i="9"/>
  <c r="P760" i="9"/>
  <c r="O760" i="9"/>
  <c r="N760" i="9"/>
  <c r="P768" i="9"/>
  <c r="O768" i="9"/>
  <c r="O775" i="9"/>
  <c r="N775" i="9"/>
  <c r="P775" i="9"/>
  <c r="P784" i="9"/>
  <c r="O784" i="9"/>
  <c r="O791" i="9"/>
  <c r="N791" i="9"/>
  <c r="P791" i="9"/>
  <c r="P800" i="9"/>
  <c r="O800" i="9"/>
  <c r="O807" i="9"/>
  <c r="N807" i="9"/>
  <c r="P807" i="9"/>
  <c r="P816" i="9"/>
  <c r="O816" i="9"/>
  <c r="O823" i="9"/>
  <c r="N823" i="9"/>
  <c r="P823" i="9"/>
  <c r="P832" i="9"/>
  <c r="O832" i="9"/>
  <c r="O839" i="9"/>
  <c r="N839" i="9"/>
  <c r="P839" i="9"/>
  <c r="P848" i="9"/>
  <c r="O848" i="9"/>
  <c r="O855" i="9"/>
  <c r="N855" i="9"/>
  <c r="P855" i="9"/>
  <c r="P867" i="9"/>
  <c r="P868" i="9"/>
  <c r="O868" i="9"/>
  <c r="N868" i="9"/>
  <c r="O771" i="9"/>
  <c r="N771" i="9"/>
  <c r="P776" i="9"/>
  <c r="O776" i="9"/>
  <c r="O787" i="9"/>
  <c r="N787" i="9"/>
  <c r="P792" i="9"/>
  <c r="O792" i="9"/>
  <c r="O803" i="9"/>
  <c r="N803" i="9"/>
  <c r="P808" i="9"/>
  <c r="O808" i="9"/>
  <c r="O819" i="9"/>
  <c r="N819" i="9"/>
  <c r="P824" i="9"/>
  <c r="O824" i="9"/>
  <c r="O835" i="9"/>
  <c r="N835" i="9"/>
  <c r="P840" i="9"/>
  <c r="O840" i="9"/>
  <c r="O851" i="9"/>
  <c r="N851" i="9"/>
  <c r="P856" i="9"/>
  <c r="O856" i="9"/>
  <c r="P864" i="9"/>
  <c r="O864" i="9"/>
  <c r="O875" i="9"/>
  <c r="N875" i="9"/>
  <c r="O767" i="9"/>
  <c r="N767" i="9"/>
  <c r="P771" i="9"/>
  <c r="P772" i="9"/>
  <c r="O772" i="9"/>
  <c r="N776" i="9"/>
  <c r="O783" i="9"/>
  <c r="N783" i="9"/>
  <c r="P787" i="9"/>
  <c r="P788" i="9"/>
  <c r="O788" i="9"/>
  <c r="N792" i="9"/>
  <c r="O799" i="9"/>
  <c r="N799" i="9"/>
  <c r="P803" i="9"/>
  <c r="P804" i="9"/>
  <c r="O804" i="9"/>
  <c r="N808" i="9"/>
  <c r="O815" i="9"/>
  <c r="N815" i="9"/>
  <c r="P819" i="9"/>
  <c r="P820" i="9"/>
  <c r="O820" i="9"/>
  <c r="N824" i="9"/>
  <c r="O831" i="9"/>
  <c r="N831" i="9"/>
  <c r="P835" i="9"/>
  <c r="P836" i="9"/>
  <c r="O836" i="9"/>
  <c r="N840" i="9"/>
  <c r="O847" i="9"/>
  <c r="N847" i="9"/>
  <c r="P851" i="9"/>
  <c r="P852" i="9"/>
  <c r="O852" i="9"/>
  <c r="N856" i="9"/>
  <c r="O859" i="9"/>
  <c r="N859" i="9"/>
  <c r="N864" i="9"/>
  <c r="O871" i="9"/>
  <c r="N871" i="9"/>
  <c r="P875" i="9"/>
  <c r="P876" i="9"/>
  <c r="O876" i="9"/>
  <c r="O784" i="1"/>
  <c r="P784" i="1"/>
  <c r="N781" i="1"/>
  <c r="O781" i="1"/>
  <c r="O768" i="1"/>
  <c r="P768" i="1"/>
  <c r="N765" i="1"/>
  <c r="O765" i="1"/>
  <c r="O752" i="1"/>
  <c r="P752" i="1"/>
  <c r="N749" i="1"/>
  <c r="O749" i="1"/>
  <c r="O736" i="1"/>
  <c r="P736" i="1"/>
  <c r="N569" i="1"/>
  <c r="P569" i="1"/>
  <c r="O569" i="1"/>
  <c r="N561" i="1"/>
  <c r="O561" i="1"/>
  <c r="P561" i="1"/>
  <c r="N553" i="1"/>
  <c r="O553" i="1"/>
  <c r="P553" i="1"/>
  <c r="N545" i="1"/>
  <c r="O545" i="1"/>
  <c r="P545" i="1"/>
  <c r="N537" i="1"/>
  <c r="O537" i="1"/>
  <c r="P537" i="1"/>
  <c r="N529" i="1"/>
  <c r="O529" i="1"/>
  <c r="P529" i="1"/>
  <c r="N521" i="1"/>
  <c r="O521" i="1"/>
  <c r="P521" i="1"/>
  <c r="N513" i="1"/>
  <c r="O513" i="1"/>
  <c r="P513" i="1"/>
  <c r="N505" i="1"/>
  <c r="O505" i="1"/>
  <c r="P505" i="1"/>
  <c r="N497" i="1"/>
  <c r="O497" i="1"/>
  <c r="P497" i="1"/>
  <c r="N489" i="1"/>
  <c r="O489" i="1"/>
  <c r="P489" i="1"/>
  <c r="N481" i="1"/>
  <c r="O481" i="1"/>
  <c r="P481" i="1"/>
  <c r="N473" i="1"/>
  <c r="O473" i="1"/>
  <c r="P473" i="1"/>
  <c r="N465" i="1"/>
  <c r="O465" i="1"/>
  <c r="P465" i="1"/>
  <c r="N457" i="1"/>
  <c r="O457" i="1"/>
  <c r="P457" i="1"/>
  <c r="N449" i="1"/>
  <c r="O449" i="1"/>
  <c r="P449" i="1"/>
  <c r="N441" i="1"/>
  <c r="O441" i="1"/>
  <c r="P441" i="1"/>
  <c r="N433" i="1"/>
  <c r="O433" i="1"/>
  <c r="P433" i="1"/>
  <c r="N425" i="1"/>
  <c r="O425" i="1"/>
  <c r="P425" i="1"/>
  <c r="N417" i="1"/>
  <c r="O417" i="1"/>
  <c r="P417" i="1"/>
  <c r="N409" i="1"/>
  <c r="O409" i="1"/>
  <c r="P409" i="1"/>
  <c r="N401" i="1"/>
  <c r="O401" i="1"/>
  <c r="P401" i="1"/>
  <c r="N393" i="1"/>
  <c r="O393" i="1"/>
  <c r="P393" i="1"/>
  <c r="N385" i="1"/>
  <c r="O385" i="1"/>
  <c r="P385" i="1"/>
  <c r="N210" i="1"/>
  <c r="O210" i="1"/>
  <c r="P210" i="1"/>
  <c r="N202" i="1"/>
  <c r="O202" i="1"/>
  <c r="P202" i="1"/>
  <c r="O114" i="1"/>
  <c r="N114" i="1"/>
  <c r="P114" i="1"/>
  <c r="N107" i="1"/>
  <c r="O107" i="1"/>
  <c r="P107" i="1"/>
  <c r="N91" i="1"/>
  <c r="O91" i="1"/>
  <c r="P91" i="1"/>
  <c r="O78" i="1"/>
  <c r="P78" i="1"/>
  <c r="N78" i="1"/>
  <c r="N27" i="1"/>
  <c r="O27" i="1"/>
  <c r="P27" i="1"/>
  <c r="P875" i="1"/>
  <c r="P871" i="1"/>
  <c r="P867" i="1"/>
  <c r="N865" i="1"/>
  <c r="P863" i="1"/>
  <c r="N861" i="1"/>
  <c r="P859" i="1"/>
  <c r="N857" i="1"/>
  <c r="P855" i="1"/>
  <c r="N853" i="1"/>
  <c r="P851" i="1"/>
  <c r="N849" i="1"/>
  <c r="P847" i="1"/>
  <c r="N845" i="1"/>
  <c r="P843" i="1"/>
  <c r="N841" i="1"/>
  <c r="P839" i="1"/>
  <c r="N837" i="1"/>
  <c r="P835" i="1"/>
  <c r="N833" i="1"/>
  <c r="P831" i="1"/>
  <c r="N829" i="1"/>
  <c r="P827" i="1"/>
  <c r="N825" i="1"/>
  <c r="P823" i="1"/>
  <c r="N821" i="1"/>
  <c r="P819" i="1"/>
  <c r="N817" i="1"/>
  <c r="P815" i="1"/>
  <c r="N813" i="1"/>
  <c r="P811" i="1"/>
  <c r="N809" i="1"/>
  <c r="P807" i="1"/>
  <c r="N805" i="1"/>
  <c r="P803" i="1"/>
  <c r="N801" i="1"/>
  <c r="N800" i="1"/>
  <c r="O786" i="1"/>
  <c r="N785" i="1"/>
  <c r="O785" i="1"/>
  <c r="O772" i="1"/>
  <c r="P772" i="1"/>
  <c r="N769" i="1"/>
  <c r="O769" i="1"/>
  <c r="O756" i="1"/>
  <c r="P756" i="1"/>
  <c r="N753" i="1"/>
  <c r="O753" i="1"/>
  <c r="O740" i="1"/>
  <c r="P740" i="1"/>
  <c r="N737" i="1"/>
  <c r="O737" i="1"/>
  <c r="N729" i="1"/>
  <c r="O729" i="1"/>
  <c r="P729" i="1"/>
  <c r="N721" i="1"/>
  <c r="O721" i="1"/>
  <c r="P721" i="1"/>
  <c r="N713" i="1"/>
  <c r="O713" i="1"/>
  <c r="P713" i="1"/>
  <c r="N705" i="1"/>
  <c r="O705" i="1"/>
  <c r="P705" i="1"/>
  <c r="N697" i="1"/>
  <c r="O697" i="1"/>
  <c r="P697" i="1"/>
  <c r="N689" i="1"/>
  <c r="O689" i="1"/>
  <c r="P689" i="1"/>
  <c r="N681" i="1"/>
  <c r="O681" i="1"/>
  <c r="P681" i="1"/>
  <c r="N673" i="1"/>
  <c r="O673" i="1"/>
  <c r="P673" i="1"/>
  <c r="N665" i="1"/>
  <c r="O665" i="1"/>
  <c r="P665" i="1"/>
  <c r="N657" i="1"/>
  <c r="O657" i="1"/>
  <c r="P657" i="1"/>
  <c r="N649" i="1"/>
  <c r="O649" i="1"/>
  <c r="P649" i="1"/>
  <c r="N641" i="1"/>
  <c r="O641" i="1"/>
  <c r="P641" i="1"/>
  <c r="N633" i="1"/>
  <c r="O633" i="1"/>
  <c r="P633" i="1"/>
  <c r="N625" i="1"/>
  <c r="O625" i="1"/>
  <c r="P625" i="1"/>
  <c r="N617" i="1"/>
  <c r="O617" i="1"/>
  <c r="P617" i="1"/>
  <c r="N609" i="1"/>
  <c r="O609" i="1"/>
  <c r="P609" i="1"/>
  <c r="N601" i="1"/>
  <c r="O601" i="1"/>
  <c r="P601" i="1"/>
  <c r="N589" i="1"/>
  <c r="O589" i="1"/>
  <c r="P589" i="1"/>
  <c r="P587" i="1"/>
  <c r="N587" i="1"/>
  <c r="O587" i="1"/>
  <c r="N573" i="1"/>
  <c r="O573" i="1"/>
  <c r="P573" i="1"/>
  <c r="P571" i="1"/>
  <c r="N571" i="1"/>
  <c r="O571" i="1"/>
  <c r="O875" i="1"/>
  <c r="P874" i="1"/>
  <c r="O871" i="1"/>
  <c r="P870" i="1"/>
  <c r="O867" i="1"/>
  <c r="O863" i="1"/>
  <c r="O859" i="1"/>
  <c r="O855" i="1"/>
  <c r="O851" i="1"/>
  <c r="O847" i="1"/>
  <c r="O843" i="1"/>
  <c r="O839" i="1"/>
  <c r="O835" i="1"/>
  <c r="O831" i="1"/>
  <c r="O827" i="1"/>
  <c r="O823" i="1"/>
  <c r="O819" i="1"/>
  <c r="O815" i="1"/>
  <c r="O811" i="1"/>
  <c r="O807" i="1"/>
  <c r="O803" i="1"/>
  <c r="P794" i="1"/>
  <c r="P793" i="1"/>
  <c r="O792" i="1"/>
  <c r="O776" i="1"/>
  <c r="P776" i="1"/>
  <c r="N773" i="1"/>
  <c r="O773" i="1"/>
  <c r="O760" i="1"/>
  <c r="P760" i="1"/>
  <c r="N757" i="1"/>
  <c r="O757" i="1"/>
  <c r="O744" i="1"/>
  <c r="P744" i="1"/>
  <c r="N741" i="1"/>
  <c r="O741" i="1"/>
  <c r="O794" i="1"/>
  <c r="N793" i="1"/>
  <c r="N792" i="1"/>
  <c r="P790" i="1"/>
  <c r="P789" i="1"/>
  <c r="O788" i="1"/>
  <c r="N784" i="1"/>
  <c r="P781" i="1"/>
  <c r="O780" i="1"/>
  <c r="P780" i="1"/>
  <c r="N777" i="1"/>
  <c r="O777" i="1"/>
  <c r="N768" i="1"/>
  <c r="P765" i="1"/>
  <c r="O764" i="1"/>
  <c r="P764" i="1"/>
  <c r="N761" i="1"/>
  <c r="O761" i="1"/>
  <c r="N752" i="1"/>
  <c r="P749" i="1"/>
  <c r="O748" i="1"/>
  <c r="P748" i="1"/>
  <c r="N745" i="1"/>
  <c r="O745" i="1"/>
  <c r="N736" i="1"/>
  <c r="N733" i="1"/>
  <c r="O733" i="1"/>
  <c r="P733" i="1"/>
  <c r="N725" i="1"/>
  <c r="O725" i="1"/>
  <c r="P725" i="1"/>
  <c r="N717" i="1"/>
  <c r="O717" i="1"/>
  <c r="P717" i="1"/>
  <c r="N709" i="1"/>
  <c r="O709" i="1"/>
  <c r="P709" i="1"/>
  <c r="N701" i="1"/>
  <c r="O701" i="1"/>
  <c r="P701" i="1"/>
  <c r="N693" i="1"/>
  <c r="O693" i="1"/>
  <c r="P693" i="1"/>
  <c r="N685" i="1"/>
  <c r="O685" i="1"/>
  <c r="P685" i="1"/>
  <c r="N677" i="1"/>
  <c r="O677" i="1"/>
  <c r="P677" i="1"/>
  <c r="N669" i="1"/>
  <c r="O669" i="1"/>
  <c r="P669" i="1"/>
  <c r="N661" i="1"/>
  <c r="O661" i="1"/>
  <c r="P661" i="1"/>
  <c r="N653" i="1"/>
  <c r="O653" i="1"/>
  <c r="P653" i="1"/>
  <c r="N645" i="1"/>
  <c r="O645" i="1"/>
  <c r="P645" i="1"/>
  <c r="N637" i="1"/>
  <c r="O637" i="1"/>
  <c r="P637" i="1"/>
  <c r="N629" i="1"/>
  <c r="O629" i="1"/>
  <c r="P629" i="1"/>
  <c r="N621" i="1"/>
  <c r="O621" i="1"/>
  <c r="P621" i="1"/>
  <c r="N613" i="1"/>
  <c r="O613" i="1"/>
  <c r="P613" i="1"/>
  <c r="N605" i="1"/>
  <c r="O605" i="1"/>
  <c r="P605" i="1"/>
  <c r="O588" i="1"/>
  <c r="N588" i="1"/>
  <c r="P588" i="1"/>
  <c r="O572" i="1"/>
  <c r="N572" i="1"/>
  <c r="P572" i="1"/>
  <c r="P732" i="1"/>
  <c r="P728" i="1"/>
  <c r="P724" i="1"/>
  <c r="P720" i="1"/>
  <c r="P716" i="1"/>
  <c r="P712" i="1"/>
  <c r="P708" i="1"/>
  <c r="P704" i="1"/>
  <c r="P700" i="1"/>
  <c r="P696" i="1"/>
  <c r="P692" i="1"/>
  <c r="P688" i="1"/>
  <c r="P684" i="1"/>
  <c r="P680" i="1"/>
  <c r="P676" i="1"/>
  <c r="P672" i="1"/>
  <c r="P668" i="1"/>
  <c r="P664" i="1"/>
  <c r="P660" i="1"/>
  <c r="P656" i="1"/>
  <c r="P652" i="1"/>
  <c r="P648" i="1"/>
  <c r="P644" i="1"/>
  <c r="P640" i="1"/>
  <c r="P636" i="1"/>
  <c r="P632" i="1"/>
  <c r="P628" i="1"/>
  <c r="P624" i="1"/>
  <c r="P620" i="1"/>
  <c r="P616" i="1"/>
  <c r="P612" i="1"/>
  <c r="P608" i="1"/>
  <c r="P604" i="1"/>
  <c r="P600" i="1"/>
  <c r="O593" i="1"/>
  <c r="N592" i="1"/>
  <c r="N591" i="1"/>
  <c r="O577" i="1"/>
  <c r="N576" i="1"/>
  <c r="N575" i="1"/>
  <c r="N565" i="1"/>
  <c r="O565" i="1"/>
  <c r="P565" i="1"/>
  <c r="N557" i="1"/>
  <c r="O557" i="1"/>
  <c r="P557" i="1"/>
  <c r="N549" i="1"/>
  <c r="O549" i="1"/>
  <c r="P549" i="1"/>
  <c r="N541" i="1"/>
  <c r="O541" i="1"/>
  <c r="P541" i="1"/>
  <c r="N533" i="1"/>
  <c r="O533" i="1"/>
  <c r="P533" i="1"/>
  <c r="N525" i="1"/>
  <c r="O525" i="1"/>
  <c r="P525" i="1"/>
  <c r="N517" i="1"/>
  <c r="O517" i="1"/>
  <c r="P517" i="1"/>
  <c r="N509" i="1"/>
  <c r="O509" i="1"/>
  <c r="P509" i="1"/>
  <c r="N501" i="1"/>
  <c r="O501" i="1"/>
  <c r="P501" i="1"/>
  <c r="N493" i="1"/>
  <c r="O493" i="1"/>
  <c r="P493" i="1"/>
  <c r="N485" i="1"/>
  <c r="O485" i="1"/>
  <c r="P485" i="1"/>
  <c r="N477" i="1"/>
  <c r="O477" i="1"/>
  <c r="P477" i="1"/>
  <c r="N469" i="1"/>
  <c r="O469" i="1"/>
  <c r="P469" i="1"/>
  <c r="N461" i="1"/>
  <c r="O461" i="1"/>
  <c r="P461" i="1"/>
  <c r="N453" i="1"/>
  <c r="O453" i="1"/>
  <c r="P453" i="1"/>
  <c r="N445" i="1"/>
  <c r="O445" i="1"/>
  <c r="P445" i="1"/>
  <c r="N437" i="1"/>
  <c r="O437" i="1"/>
  <c r="P437" i="1"/>
  <c r="N429" i="1"/>
  <c r="O429" i="1"/>
  <c r="P429" i="1"/>
  <c r="N421" i="1"/>
  <c r="O421" i="1"/>
  <c r="P421" i="1"/>
  <c r="N413" i="1"/>
  <c r="O413" i="1"/>
  <c r="P413" i="1"/>
  <c r="N405" i="1"/>
  <c r="O405" i="1"/>
  <c r="P405" i="1"/>
  <c r="N397" i="1"/>
  <c r="O397" i="1"/>
  <c r="P397" i="1"/>
  <c r="N389" i="1"/>
  <c r="O389" i="1"/>
  <c r="P389" i="1"/>
  <c r="O599" i="1"/>
  <c r="P585" i="1"/>
  <c r="P584" i="1"/>
  <c r="O583" i="1"/>
  <c r="N567" i="1"/>
  <c r="N563" i="1"/>
  <c r="N559" i="1"/>
  <c r="N555" i="1"/>
  <c r="N551" i="1"/>
  <c r="N547" i="1"/>
  <c r="N543" i="1"/>
  <c r="N539" i="1"/>
  <c r="N535" i="1"/>
  <c r="N531" i="1"/>
  <c r="N527" i="1"/>
  <c r="N523" i="1"/>
  <c r="N519" i="1"/>
  <c r="N515" i="1"/>
  <c r="N511" i="1"/>
  <c r="N507" i="1"/>
  <c r="N503" i="1"/>
  <c r="N499" i="1"/>
  <c r="N495" i="1"/>
  <c r="N491" i="1"/>
  <c r="N487" i="1"/>
  <c r="N483" i="1"/>
  <c r="N479" i="1"/>
  <c r="N475" i="1"/>
  <c r="N471" i="1"/>
  <c r="N467" i="1"/>
  <c r="N463" i="1"/>
  <c r="N459" i="1"/>
  <c r="N455" i="1"/>
  <c r="N451" i="1"/>
  <c r="N447" i="1"/>
  <c r="N443" i="1"/>
  <c r="N439" i="1"/>
  <c r="N435" i="1"/>
  <c r="N431" i="1"/>
  <c r="N427" i="1"/>
  <c r="N423" i="1"/>
  <c r="N419" i="1"/>
  <c r="N415" i="1"/>
  <c r="N411" i="1"/>
  <c r="N407" i="1"/>
  <c r="N403" i="1"/>
  <c r="N399" i="1"/>
  <c r="N395" i="1"/>
  <c r="N391" i="1"/>
  <c r="N387" i="1"/>
  <c r="N383" i="1"/>
  <c r="N374" i="1"/>
  <c r="O374" i="1"/>
  <c r="P374" i="1"/>
  <c r="N366" i="1"/>
  <c r="O366" i="1"/>
  <c r="P366" i="1"/>
  <c r="N358" i="1"/>
  <c r="O358" i="1"/>
  <c r="P358" i="1"/>
  <c r="N350" i="1"/>
  <c r="O350" i="1"/>
  <c r="P350" i="1"/>
  <c r="N342" i="1"/>
  <c r="O342" i="1"/>
  <c r="P342" i="1"/>
  <c r="N334" i="1"/>
  <c r="O334" i="1"/>
  <c r="P334" i="1"/>
  <c r="N326" i="1"/>
  <c r="O326" i="1"/>
  <c r="P326" i="1"/>
  <c r="N318" i="1"/>
  <c r="O318" i="1"/>
  <c r="P318" i="1"/>
  <c r="N310" i="1"/>
  <c r="O310" i="1"/>
  <c r="P310" i="1"/>
  <c r="N302" i="1"/>
  <c r="O302" i="1"/>
  <c r="P302" i="1"/>
  <c r="N294" i="1"/>
  <c r="O294" i="1"/>
  <c r="P294" i="1"/>
  <c r="N286" i="1"/>
  <c r="O286" i="1"/>
  <c r="P286" i="1"/>
  <c r="N278" i="1"/>
  <c r="O278" i="1"/>
  <c r="P278" i="1"/>
  <c r="N270" i="1"/>
  <c r="O270" i="1"/>
  <c r="P270" i="1"/>
  <c r="N262" i="1"/>
  <c r="O262" i="1"/>
  <c r="P262" i="1"/>
  <c r="N254" i="1"/>
  <c r="O254" i="1"/>
  <c r="P254" i="1"/>
  <c r="N246" i="1"/>
  <c r="O246" i="1"/>
  <c r="P246" i="1"/>
  <c r="N238" i="1"/>
  <c r="O238" i="1"/>
  <c r="P238" i="1"/>
  <c r="N230" i="1"/>
  <c r="O230" i="1"/>
  <c r="P230" i="1"/>
  <c r="N222" i="1"/>
  <c r="O222" i="1"/>
  <c r="P222" i="1"/>
  <c r="O377" i="1"/>
  <c r="P377" i="1"/>
  <c r="N214" i="1"/>
  <c r="O214" i="1"/>
  <c r="P214" i="1"/>
  <c r="N378" i="1"/>
  <c r="O378" i="1"/>
  <c r="N370" i="1"/>
  <c r="O370" i="1"/>
  <c r="P370" i="1"/>
  <c r="N362" i="1"/>
  <c r="O362" i="1"/>
  <c r="P362" i="1"/>
  <c r="N354" i="1"/>
  <c r="O354" i="1"/>
  <c r="P354" i="1"/>
  <c r="N346" i="1"/>
  <c r="O346" i="1"/>
  <c r="P346" i="1"/>
  <c r="N338" i="1"/>
  <c r="O338" i="1"/>
  <c r="P338" i="1"/>
  <c r="N330" i="1"/>
  <c r="O330" i="1"/>
  <c r="P330" i="1"/>
  <c r="N322" i="1"/>
  <c r="O322" i="1"/>
  <c r="P322" i="1"/>
  <c r="N314" i="1"/>
  <c r="O314" i="1"/>
  <c r="P314" i="1"/>
  <c r="N306" i="1"/>
  <c r="O306" i="1"/>
  <c r="P306" i="1"/>
  <c r="N298" i="1"/>
  <c r="O298" i="1"/>
  <c r="P298" i="1"/>
  <c r="N290" i="1"/>
  <c r="O290" i="1"/>
  <c r="P290" i="1"/>
  <c r="N282" i="1"/>
  <c r="O282" i="1"/>
  <c r="P282" i="1"/>
  <c r="N274" i="1"/>
  <c r="O274" i="1"/>
  <c r="P274" i="1"/>
  <c r="N266" i="1"/>
  <c r="O266" i="1"/>
  <c r="P266" i="1"/>
  <c r="N258" i="1"/>
  <c r="O258" i="1"/>
  <c r="P258" i="1"/>
  <c r="N250" i="1"/>
  <c r="O250" i="1"/>
  <c r="P250" i="1"/>
  <c r="N242" i="1"/>
  <c r="O242" i="1"/>
  <c r="P242" i="1"/>
  <c r="N234" i="1"/>
  <c r="O234" i="1"/>
  <c r="P234" i="1"/>
  <c r="N226" i="1"/>
  <c r="O226" i="1"/>
  <c r="P226" i="1"/>
  <c r="N218" i="1"/>
  <c r="O218" i="1"/>
  <c r="P218" i="1"/>
  <c r="N212" i="1"/>
  <c r="N208" i="1"/>
  <c r="N207" i="1"/>
  <c r="N194" i="1"/>
  <c r="O194" i="1"/>
  <c r="P194" i="1"/>
  <c r="N186" i="1"/>
  <c r="O186" i="1"/>
  <c r="P186" i="1"/>
  <c r="N178" i="1"/>
  <c r="O178" i="1"/>
  <c r="P178" i="1"/>
  <c r="N170" i="1"/>
  <c r="O170" i="1"/>
  <c r="P170" i="1"/>
  <c r="N162" i="1"/>
  <c r="O162" i="1"/>
  <c r="P162" i="1"/>
  <c r="N154" i="1"/>
  <c r="O154" i="1"/>
  <c r="P154" i="1"/>
  <c r="N146" i="1"/>
  <c r="O146" i="1"/>
  <c r="P146" i="1"/>
  <c r="N138" i="1"/>
  <c r="O138" i="1"/>
  <c r="P138" i="1"/>
  <c r="N130" i="1"/>
  <c r="O130" i="1"/>
  <c r="P130" i="1"/>
  <c r="N122" i="1"/>
  <c r="O122" i="1"/>
  <c r="P122" i="1"/>
  <c r="O110" i="1"/>
  <c r="P110" i="1"/>
  <c r="N110" i="1"/>
  <c r="O94" i="1"/>
  <c r="P94" i="1"/>
  <c r="N94" i="1"/>
  <c r="N43" i="1"/>
  <c r="O43" i="1"/>
  <c r="P43" i="1"/>
  <c r="O30" i="1"/>
  <c r="P30" i="1"/>
  <c r="N30" i="1"/>
  <c r="P373" i="1"/>
  <c r="P369" i="1"/>
  <c r="P365" i="1"/>
  <c r="P361" i="1"/>
  <c r="P357" i="1"/>
  <c r="P353" i="1"/>
  <c r="P349" i="1"/>
  <c r="P345" i="1"/>
  <c r="P341" i="1"/>
  <c r="P337" i="1"/>
  <c r="P333" i="1"/>
  <c r="P329" i="1"/>
  <c r="P325" i="1"/>
  <c r="P321" i="1"/>
  <c r="P317" i="1"/>
  <c r="P313" i="1"/>
  <c r="P309" i="1"/>
  <c r="P305" i="1"/>
  <c r="P301" i="1"/>
  <c r="P297" i="1"/>
  <c r="P293" i="1"/>
  <c r="P289" i="1"/>
  <c r="P285" i="1"/>
  <c r="P281" i="1"/>
  <c r="P277" i="1"/>
  <c r="P273" i="1"/>
  <c r="P269" i="1"/>
  <c r="P265" i="1"/>
  <c r="P261" i="1"/>
  <c r="P257" i="1"/>
  <c r="P253" i="1"/>
  <c r="P249" i="1"/>
  <c r="P245" i="1"/>
  <c r="P241" i="1"/>
  <c r="P237" i="1"/>
  <c r="P233" i="1"/>
  <c r="P229" i="1"/>
  <c r="P225" i="1"/>
  <c r="P221" i="1"/>
  <c r="N198" i="1"/>
  <c r="O198" i="1"/>
  <c r="P198" i="1"/>
  <c r="N115" i="1"/>
  <c r="O115" i="1"/>
  <c r="P115" i="1"/>
  <c r="P113" i="1"/>
  <c r="N113" i="1"/>
  <c r="O113" i="1"/>
  <c r="N59" i="1"/>
  <c r="O59" i="1"/>
  <c r="P59" i="1"/>
  <c r="O46" i="1"/>
  <c r="P46" i="1"/>
  <c r="N46" i="1"/>
  <c r="N11" i="1"/>
  <c r="O11" i="1"/>
  <c r="P11" i="1"/>
  <c r="N190" i="1"/>
  <c r="O190" i="1"/>
  <c r="P190" i="1"/>
  <c r="N182" i="1"/>
  <c r="O182" i="1"/>
  <c r="P182" i="1"/>
  <c r="N174" i="1"/>
  <c r="O174" i="1"/>
  <c r="P174" i="1"/>
  <c r="N166" i="1"/>
  <c r="O166" i="1"/>
  <c r="P166" i="1"/>
  <c r="N158" i="1"/>
  <c r="O158" i="1"/>
  <c r="P158" i="1"/>
  <c r="N150" i="1"/>
  <c r="O150" i="1"/>
  <c r="P150" i="1"/>
  <c r="N142" i="1"/>
  <c r="O142" i="1"/>
  <c r="P142" i="1"/>
  <c r="N134" i="1"/>
  <c r="O134" i="1"/>
  <c r="P134" i="1"/>
  <c r="N126" i="1"/>
  <c r="O126" i="1"/>
  <c r="P126" i="1"/>
  <c r="N75" i="1"/>
  <c r="O75" i="1"/>
  <c r="P75" i="1"/>
  <c r="O62" i="1"/>
  <c r="P62" i="1"/>
  <c r="N62" i="1"/>
  <c r="O14" i="1"/>
  <c r="P14" i="1"/>
  <c r="N14" i="1"/>
  <c r="O203" i="1"/>
  <c r="O199" i="1"/>
  <c r="N192" i="1"/>
  <c r="N188" i="1"/>
  <c r="O183" i="1"/>
  <c r="O179" i="1"/>
  <c r="O175" i="1"/>
  <c r="O171" i="1"/>
  <c r="O167" i="1"/>
  <c r="O163" i="1"/>
  <c r="O159" i="1"/>
  <c r="O155" i="1"/>
  <c r="O151" i="1"/>
  <c r="O147" i="1"/>
  <c r="O143" i="1"/>
  <c r="O139" i="1"/>
  <c r="O135" i="1"/>
  <c r="O131" i="1"/>
  <c r="O127" i="1"/>
  <c r="O123" i="1"/>
  <c r="O119" i="1"/>
  <c r="P118" i="1"/>
  <c r="O117" i="1"/>
  <c r="O98" i="1"/>
  <c r="P98" i="1"/>
  <c r="N95" i="1"/>
  <c r="O95" i="1"/>
  <c r="O82" i="1"/>
  <c r="P82" i="1"/>
  <c r="N79" i="1"/>
  <c r="O79" i="1"/>
  <c r="O66" i="1"/>
  <c r="P66" i="1"/>
  <c r="N63" i="1"/>
  <c r="O63" i="1"/>
  <c r="O50" i="1"/>
  <c r="P50" i="1"/>
  <c r="N47" i="1"/>
  <c r="O47" i="1"/>
  <c r="O34" i="1"/>
  <c r="P34" i="1"/>
  <c r="N31" i="1"/>
  <c r="O31" i="1"/>
  <c r="O18" i="1"/>
  <c r="P18" i="1"/>
  <c r="N15" i="1"/>
  <c r="O15" i="1"/>
  <c r="O2" i="1"/>
  <c r="P2" i="1"/>
  <c r="O102" i="1"/>
  <c r="P102" i="1"/>
  <c r="N99" i="1"/>
  <c r="O99" i="1"/>
  <c r="O86" i="1"/>
  <c r="P86" i="1"/>
  <c r="N83" i="1"/>
  <c r="O83" i="1"/>
  <c r="O70" i="1"/>
  <c r="P70" i="1"/>
  <c r="N67" i="1"/>
  <c r="O67" i="1"/>
  <c r="O54" i="1"/>
  <c r="P54" i="1"/>
  <c r="N51" i="1"/>
  <c r="O51" i="1"/>
  <c r="O38" i="1"/>
  <c r="P38" i="1"/>
  <c r="N35" i="1"/>
  <c r="O35" i="1"/>
  <c r="O22" i="1"/>
  <c r="P22" i="1"/>
  <c r="N19" i="1"/>
  <c r="O19" i="1"/>
  <c r="O6" i="1"/>
  <c r="P6" i="1"/>
  <c r="N3" i="1"/>
  <c r="O3" i="1"/>
  <c r="O106" i="1"/>
  <c r="P106" i="1"/>
  <c r="N103" i="1"/>
  <c r="O103" i="1"/>
  <c r="O90" i="1"/>
  <c r="P90" i="1"/>
  <c r="N87" i="1"/>
  <c r="O87" i="1"/>
  <c r="O74" i="1"/>
  <c r="P74" i="1"/>
  <c r="N71" i="1"/>
  <c r="O71" i="1"/>
  <c r="O58" i="1"/>
  <c r="P58" i="1"/>
  <c r="N55" i="1"/>
  <c r="O55" i="1"/>
  <c r="O42" i="1"/>
  <c r="P42" i="1"/>
  <c r="N39" i="1"/>
  <c r="O39" i="1"/>
  <c r="O26" i="1"/>
  <c r="P26" i="1"/>
  <c r="N23" i="1"/>
  <c r="O23" i="1"/>
  <c r="O10" i="1"/>
  <c r="P10" i="1"/>
  <c r="N7" i="1"/>
  <c r="O7" i="1"/>
  <c r="HZ14" i="5"/>
  <c r="KH14" i="5"/>
  <c r="AGD14" i="5"/>
  <c r="AP15" i="5"/>
  <c r="DB15" i="5"/>
  <c r="FN15" i="5"/>
  <c r="HZ15" i="5"/>
  <c r="KL15" i="5"/>
  <c r="ET16" i="5"/>
  <c r="IP14" i="5"/>
  <c r="KL14" i="5"/>
  <c r="AGT14" i="5"/>
  <c r="BF15" i="5"/>
  <c r="DR15" i="5"/>
  <c r="GD15" i="5"/>
  <c r="IP15" i="5"/>
  <c r="LB15" i="5"/>
  <c r="GH16" i="5"/>
  <c r="JF14" i="5"/>
  <c r="KX14" i="5"/>
  <c r="AEX14" i="5"/>
  <c r="J15" i="5"/>
  <c r="BV15" i="5"/>
  <c r="EH15" i="5"/>
  <c r="GT15" i="5"/>
  <c r="JF15" i="5"/>
  <c r="Z16" i="5"/>
  <c r="JV14" i="5"/>
  <c r="LB14" i="5"/>
  <c r="AFN14" i="5"/>
  <c r="Z15" i="5"/>
  <c r="CL15" i="5"/>
  <c r="EX15" i="5"/>
  <c r="HJ15" i="5"/>
  <c r="JV15" i="5"/>
  <c r="BJ16" i="5"/>
  <c r="GE14" i="5"/>
  <c r="GU14" i="5"/>
  <c r="HK14" i="5"/>
  <c r="PK14" i="5"/>
  <c r="QA14" i="5"/>
  <c r="QQ14" i="5"/>
  <c r="RG14" i="5"/>
  <c r="ZG14" i="5"/>
  <c r="ZW14" i="5"/>
  <c r="AAM14" i="5"/>
  <c r="ABC14" i="5"/>
  <c r="C15" i="5"/>
  <c r="S15" i="5"/>
  <c r="AI15" i="5"/>
  <c r="AY15" i="5"/>
  <c r="BO15" i="5"/>
  <c r="CE15" i="5"/>
  <c r="CU15" i="5"/>
  <c r="DK15" i="5"/>
  <c r="EA15" i="5"/>
  <c r="EQ15" i="5"/>
  <c r="FG15" i="5"/>
  <c r="FW15" i="5"/>
  <c r="GM15" i="5"/>
  <c r="HC15" i="5"/>
  <c r="HS15" i="5"/>
  <c r="II15" i="5"/>
  <c r="IY15" i="5"/>
  <c r="JO15" i="5"/>
  <c r="KE15" i="5"/>
  <c r="KU15" i="5"/>
  <c r="MQ15" i="5"/>
  <c r="PC15" i="5"/>
  <c r="RO15" i="5"/>
  <c r="UA15" i="5"/>
  <c r="WM15" i="5"/>
  <c r="YY15" i="5"/>
  <c r="ABK15" i="5"/>
  <c r="ADW15" i="5"/>
  <c r="MQ16" i="5"/>
  <c r="GI14" i="5"/>
  <c r="GY14" i="5"/>
  <c r="HO14" i="5"/>
  <c r="IA14" i="5"/>
  <c r="IQ14" i="5"/>
  <c r="JG14" i="5"/>
  <c r="JW14" i="5"/>
  <c r="RW14" i="5"/>
  <c r="SM14" i="5"/>
  <c r="TC14" i="5"/>
  <c r="TS14" i="5"/>
  <c r="ABS14" i="5"/>
  <c r="NG15" i="5"/>
  <c r="PS15" i="5"/>
  <c r="SE15" i="5"/>
  <c r="UQ15" i="5"/>
  <c r="XC15" i="5"/>
  <c r="ZO15" i="5"/>
  <c r="ACA15" i="5"/>
  <c r="AEM15" i="5"/>
  <c r="SU16" i="5"/>
  <c r="FZ14" i="5"/>
  <c r="GP14" i="5"/>
  <c r="HF14" i="5"/>
  <c r="IE14" i="5"/>
  <c r="IU14" i="5"/>
  <c r="JK14" i="5"/>
  <c r="KA14" i="5"/>
  <c r="KM14" i="5"/>
  <c r="LC14" i="5"/>
  <c r="LS14" i="5"/>
  <c r="MI14" i="5"/>
  <c r="UI14" i="5"/>
  <c r="UY14" i="5"/>
  <c r="VO14" i="5"/>
  <c r="WE14" i="5"/>
  <c r="K15" i="5"/>
  <c r="AA15" i="5"/>
  <c r="AQ15" i="5"/>
  <c r="BG15" i="5"/>
  <c r="BW15" i="5"/>
  <c r="CM15" i="5"/>
  <c r="DC15" i="5"/>
  <c r="DS15" i="5"/>
  <c r="EI15" i="5"/>
  <c r="EY15" i="5"/>
  <c r="FO15" i="5"/>
  <c r="GE15" i="5"/>
  <c r="GU15" i="5"/>
  <c r="HK15" i="5"/>
  <c r="IA15" i="5"/>
  <c r="IQ15" i="5"/>
  <c r="JG15" i="5"/>
  <c r="JW15" i="5"/>
  <c r="KM15" i="5"/>
  <c r="LC15" i="5"/>
  <c r="NW15" i="5"/>
  <c r="QI15" i="5"/>
  <c r="SU15" i="5"/>
  <c r="VG15" i="5"/>
  <c r="XS15" i="5"/>
  <c r="AAE15" i="5"/>
  <c r="ACQ15" i="5"/>
  <c r="AFN15" i="5"/>
  <c r="DC16" i="5"/>
  <c r="TF16" i="5"/>
  <c r="AGY21" i="5"/>
  <c r="GD14" i="5"/>
  <c r="GT14" i="5"/>
  <c r="HJ14" i="5"/>
  <c r="HV14" i="5"/>
  <c r="IL14" i="5"/>
  <c r="JB14" i="5"/>
  <c r="JR14" i="5"/>
  <c r="KQ14" i="5"/>
  <c r="LG14" i="5"/>
  <c r="MY14" i="5"/>
  <c r="NO14" i="5"/>
  <c r="OE14" i="5"/>
  <c r="OU14" i="5"/>
  <c r="WU14" i="5"/>
  <c r="XK14" i="5"/>
  <c r="YA14" i="5"/>
  <c r="YQ14" i="5"/>
  <c r="B15" i="5"/>
  <c r="R15" i="5"/>
  <c r="AH15" i="5"/>
  <c r="AX15" i="5"/>
  <c r="BN15" i="5"/>
  <c r="CD15" i="5"/>
  <c r="CT15" i="5"/>
  <c r="DJ15" i="5"/>
  <c r="DZ15" i="5"/>
  <c r="EP15" i="5"/>
  <c r="FF15" i="5"/>
  <c r="FV15" i="5"/>
  <c r="GL15" i="5"/>
  <c r="HB15" i="5"/>
  <c r="HR15" i="5"/>
  <c r="IH15" i="5"/>
  <c r="IX15" i="5"/>
  <c r="JN15" i="5"/>
  <c r="KD15" i="5"/>
  <c r="KT15" i="5"/>
  <c r="MA15" i="5"/>
  <c r="OM15" i="5"/>
  <c r="QY15" i="5"/>
  <c r="TK15" i="5"/>
  <c r="VW15" i="5"/>
  <c r="YI15" i="5"/>
  <c r="AAU15" i="5"/>
  <c r="ADG15" i="5"/>
  <c r="AGT15" i="5"/>
  <c r="EQ16" i="5"/>
  <c r="LL15" i="5"/>
  <c r="I16" i="5"/>
  <c r="I15" i="5"/>
  <c r="I14" i="5"/>
  <c r="Q16" i="5"/>
  <c r="Q15" i="5"/>
  <c r="Q14" i="5"/>
  <c r="Y16" i="5"/>
  <c r="Y15" i="5"/>
  <c r="Y14" i="5"/>
  <c r="AG16" i="5"/>
  <c r="AG15" i="5"/>
  <c r="AG14" i="5"/>
  <c r="AO16" i="5"/>
  <c r="AO15" i="5"/>
  <c r="AO14" i="5"/>
  <c r="AW16" i="5"/>
  <c r="AW15" i="5"/>
  <c r="AW14" i="5"/>
  <c r="BE16" i="5"/>
  <c r="BE15" i="5"/>
  <c r="BE14" i="5"/>
  <c r="BM15" i="5"/>
  <c r="BM16" i="5"/>
  <c r="BM14" i="5"/>
  <c r="BU15" i="5"/>
  <c r="BU16" i="5"/>
  <c r="BU14" i="5"/>
  <c r="CC16" i="5"/>
  <c r="CC15" i="5"/>
  <c r="CC14" i="5"/>
  <c r="CK16" i="5"/>
  <c r="CK15" i="5"/>
  <c r="CK14" i="5"/>
  <c r="CS16" i="5"/>
  <c r="CS15" i="5"/>
  <c r="CS14" i="5"/>
  <c r="CW16" i="5"/>
  <c r="CW15" i="5"/>
  <c r="CW14" i="5"/>
  <c r="DE16" i="5"/>
  <c r="DE15" i="5"/>
  <c r="DE14" i="5"/>
  <c r="DM16" i="5"/>
  <c r="DM15" i="5"/>
  <c r="DM14" i="5"/>
  <c r="DU16" i="5"/>
  <c r="DU15" i="5"/>
  <c r="DU14" i="5"/>
  <c r="EC16" i="5"/>
  <c r="EC15" i="5"/>
  <c r="EC14" i="5"/>
  <c r="EK16" i="5"/>
  <c r="EK15" i="5"/>
  <c r="EK14" i="5"/>
  <c r="ES16" i="5"/>
  <c r="ES15" i="5"/>
  <c r="ES14" i="5"/>
  <c r="FA16" i="5"/>
  <c r="FA15" i="5"/>
  <c r="FA14" i="5"/>
  <c r="FI16" i="5"/>
  <c r="FI15" i="5"/>
  <c r="FI14" i="5"/>
  <c r="FQ16" i="5"/>
  <c r="FQ15" i="5"/>
  <c r="FQ14" i="5"/>
  <c r="GC16" i="5"/>
  <c r="GC15" i="5"/>
  <c r="GC14" i="5"/>
  <c r="GK15" i="5"/>
  <c r="GK14" i="5"/>
  <c r="GK16" i="5"/>
  <c r="GS15" i="5"/>
  <c r="GS14" i="5"/>
  <c r="GS16" i="5"/>
  <c r="HA16" i="5"/>
  <c r="HA15" i="5"/>
  <c r="HA14" i="5"/>
  <c r="HE16" i="5"/>
  <c r="HE15" i="5"/>
  <c r="HE14" i="5"/>
  <c r="HQ16" i="5"/>
  <c r="HQ15" i="5"/>
  <c r="HQ14" i="5"/>
  <c r="HY15" i="5"/>
  <c r="HY14" i="5"/>
  <c r="IC16" i="5"/>
  <c r="IC15" i="5"/>
  <c r="IC14" i="5"/>
  <c r="IK16" i="5"/>
  <c r="IK15" i="5"/>
  <c r="IK14" i="5"/>
  <c r="LL14" i="5"/>
  <c r="HY16" i="5"/>
  <c r="E16" i="5"/>
  <c r="E15" i="5"/>
  <c r="E14" i="5"/>
  <c r="M16" i="5"/>
  <c r="M15" i="5"/>
  <c r="M14" i="5"/>
  <c r="U16" i="5"/>
  <c r="U15" i="5"/>
  <c r="U14" i="5"/>
  <c r="AC16" i="5"/>
  <c r="AC15" i="5"/>
  <c r="AC14" i="5"/>
  <c r="AK16" i="5"/>
  <c r="AK15" i="5"/>
  <c r="AK14" i="5"/>
  <c r="AS16" i="5"/>
  <c r="AS15" i="5"/>
  <c r="AS14" i="5"/>
  <c r="BA16" i="5"/>
  <c r="BA15" i="5"/>
  <c r="BA14" i="5"/>
  <c r="BI16" i="5"/>
  <c r="BI15" i="5"/>
  <c r="BI14" i="5"/>
  <c r="BQ16" i="5"/>
  <c r="BQ15" i="5"/>
  <c r="BQ14" i="5"/>
  <c r="BY16" i="5"/>
  <c r="BY15" i="5"/>
  <c r="BY14" i="5"/>
  <c r="CG16" i="5"/>
  <c r="CG15" i="5"/>
  <c r="CG14" i="5"/>
  <c r="CO16" i="5"/>
  <c r="CO15" i="5"/>
  <c r="CO14" i="5"/>
  <c r="DA15" i="5"/>
  <c r="DA14" i="5"/>
  <c r="DI16" i="5"/>
  <c r="DI15" i="5"/>
  <c r="DI14" i="5"/>
  <c r="DQ16" i="5"/>
  <c r="DQ15" i="5"/>
  <c r="DQ14" i="5"/>
  <c r="DY15" i="5"/>
  <c r="DY16" i="5"/>
  <c r="DY14" i="5"/>
  <c r="EG15" i="5"/>
  <c r="EG16" i="5"/>
  <c r="EG14" i="5"/>
  <c r="EO16" i="5"/>
  <c r="EO15" i="5"/>
  <c r="EO14" i="5"/>
  <c r="EW16" i="5"/>
  <c r="EW15" i="5"/>
  <c r="EW14" i="5"/>
  <c r="FE16" i="5"/>
  <c r="FE15" i="5"/>
  <c r="FE14" i="5"/>
  <c r="FM15" i="5"/>
  <c r="FM16" i="5"/>
  <c r="FM14" i="5"/>
  <c r="FU16" i="5"/>
  <c r="FU15" i="5"/>
  <c r="FU14" i="5"/>
  <c r="FY16" i="5"/>
  <c r="FY15" i="5"/>
  <c r="FY14" i="5"/>
  <c r="GG16" i="5"/>
  <c r="GG15" i="5"/>
  <c r="GG14" i="5"/>
  <c r="GO16" i="5"/>
  <c r="GO15" i="5"/>
  <c r="GO14" i="5"/>
  <c r="GW16" i="5"/>
  <c r="GW15" i="5"/>
  <c r="GW14" i="5"/>
  <c r="HI16" i="5"/>
  <c r="HI15" i="5"/>
  <c r="HI14" i="5"/>
  <c r="HM16" i="5"/>
  <c r="HM15" i="5"/>
  <c r="HM14" i="5"/>
  <c r="HU16" i="5"/>
  <c r="HU15" i="5"/>
  <c r="HU14" i="5"/>
  <c r="IG16" i="5"/>
  <c r="IG15" i="5"/>
  <c r="IG14" i="5"/>
  <c r="IO16" i="5"/>
  <c r="IO15" i="5"/>
  <c r="IO14" i="5"/>
  <c r="D16" i="5"/>
  <c r="D15" i="5"/>
  <c r="H16" i="5"/>
  <c r="H15" i="5"/>
  <c r="L15" i="5"/>
  <c r="L16" i="5"/>
  <c r="P16" i="5"/>
  <c r="P15" i="5"/>
  <c r="T16" i="5"/>
  <c r="T15" i="5"/>
  <c r="X16" i="5"/>
  <c r="X15" i="5"/>
  <c r="AB15" i="5"/>
  <c r="AB16" i="5"/>
  <c r="AF16" i="5"/>
  <c r="AF15" i="5"/>
  <c r="AJ16" i="5"/>
  <c r="AJ15" i="5"/>
  <c r="AN16" i="5"/>
  <c r="AN15" i="5"/>
  <c r="AR15" i="5"/>
  <c r="AR16" i="5"/>
  <c r="AV16" i="5"/>
  <c r="AV15" i="5"/>
  <c r="AZ16" i="5"/>
  <c r="AZ15" i="5"/>
  <c r="BD16" i="5"/>
  <c r="BD15" i="5"/>
  <c r="BH16" i="5"/>
  <c r="BH15" i="5"/>
  <c r="BL16" i="5"/>
  <c r="BL15" i="5"/>
  <c r="BP16" i="5"/>
  <c r="BP15" i="5"/>
  <c r="BT16" i="5"/>
  <c r="BT15" i="5"/>
  <c r="BX16" i="5"/>
  <c r="BX15" i="5"/>
  <c r="CB16" i="5"/>
  <c r="CB15" i="5"/>
  <c r="CF16" i="5"/>
  <c r="CF15" i="5"/>
  <c r="CJ16" i="5"/>
  <c r="CJ15" i="5"/>
  <c r="CN16" i="5"/>
  <c r="CN15" i="5"/>
  <c r="CR16" i="5"/>
  <c r="CR15" i="5"/>
  <c r="CV16" i="5"/>
  <c r="CV15" i="5"/>
  <c r="CZ16" i="5"/>
  <c r="CZ15" i="5"/>
  <c r="DD16" i="5"/>
  <c r="DD15" i="5"/>
  <c r="DH16" i="5"/>
  <c r="DH15" i="5"/>
  <c r="DL16" i="5"/>
  <c r="DL15" i="5"/>
  <c r="DP16" i="5"/>
  <c r="DP15" i="5"/>
  <c r="DT16" i="5"/>
  <c r="DT15" i="5"/>
  <c r="DX16" i="5"/>
  <c r="DX15" i="5"/>
  <c r="EB16" i="5"/>
  <c r="EB15" i="5"/>
  <c r="EF16" i="5"/>
  <c r="EF15" i="5"/>
  <c r="EJ16" i="5"/>
  <c r="EJ15" i="5"/>
  <c r="EN16" i="5"/>
  <c r="EN15" i="5"/>
  <c r="ER16" i="5"/>
  <c r="ER15" i="5"/>
  <c r="EV16" i="5"/>
  <c r="EV15" i="5"/>
  <c r="EZ16" i="5"/>
  <c r="EZ15" i="5"/>
  <c r="FD16" i="5"/>
  <c r="FD15" i="5"/>
  <c r="FH16" i="5"/>
  <c r="FH15" i="5"/>
  <c r="FL16" i="5"/>
  <c r="FL15" i="5"/>
  <c r="FP16" i="5"/>
  <c r="FP15" i="5"/>
  <c r="FT16" i="5"/>
  <c r="FT15" i="5"/>
  <c r="FX16" i="5"/>
  <c r="FX15" i="5"/>
  <c r="GB16" i="5"/>
  <c r="GB15" i="5"/>
  <c r="GB14" i="5"/>
  <c r="GF16" i="5"/>
  <c r="GF15" i="5"/>
  <c r="GF14" i="5"/>
  <c r="GJ16" i="5"/>
  <c r="GJ15" i="5"/>
  <c r="GJ14" i="5"/>
  <c r="GN16" i="5"/>
  <c r="GN15" i="5"/>
  <c r="GR16" i="5"/>
  <c r="GR15" i="5"/>
  <c r="GR14" i="5"/>
  <c r="GV16" i="5"/>
  <c r="GV15" i="5"/>
  <c r="GV14" i="5"/>
  <c r="GZ16" i="5"/>
  <c r="GZ15" i="5"/>
  <c r="GZ14" i="5"/>
  <c r="HD16" i="5"/>
  <c r="HD15" i="5"/>
  <c r="HH16" i="5"/>
  <c r="HH15" i="5"/>
  <c r="HH14" i="5"/>
  <c r="HL16" i="5"/>
  <c r="HL15" i="5"/>
  <c r="HL14" i="5"/>
  <c r="HP16" i="5"/>
  <c r="HP15" i="5"/>
  <c r="HP14" i="5"/>
  <c r="HT16" i="5"/>
  <c r="HT15" i="5"/>
  <c r="HX16" i="5"/>
  <c r="HX15" i="5"/>
  <c r="HX14" i="5"/>
  <c r="IB16" i="5"/>
  <c r="IB15" i="5"/>
  <c r="IB14" i="5"/>
  <c r="IF16" i="5"/>
  <c r="IF15" i="5"/>
  <c r="IF14" i="5"/>
  <c r="IJ16" i="5"/>
  <c r="IJ15" i="5"/>
  <c r="IN16" i="5"/>
  <c r="IN15" i="5"/>
  <c r="IN14" i="5"/>
  <c r="IR16" i="5"/>
  <c r="IR15" i="5"/>
  <c r="IR14" i="5"/>
  <c r="IV16" i="5"/>
  <c r="IV15" i="5"/>
  <c r="IV14" i="5"/>
  <c r="IZ16" i="5"/>
  <c r="IZ15" i="5"/>
  <c r="JD16" i="5"/>
  <c r="JD15" i="5"/>
  <c r="JD14" i="5"/>
  <c r="JH16" i="5"/>
  <c r="JH15" i="5"/>
  <c r="JH14" i="5"/>
  <c r="JL16" i="5"/>
  <c r="JL15" i="5"/>
  <c r="JL14" i="5"/>
  <c r="JP16" i="5"/>
  <c r="JP15" i="5"/>
  <c r="JT16" i="5"/>
  <c r="JT15" i="5"/>
  <c r="JT14" i="5"/>
  <c r="JX16" i="5"/>
  <c r="JX15" i="5"/>
  <c r="JX14" i="5"/>
  <c r="KB16" i="5"/>
  <c r="KB15" i="5"/>
  <c r="KB14" i="5"/>
  <c r="KF16" i="5"/>
  <c r="KF15" i="5"/>
  <c r="KJ16" i="5"/>
  <c r="KJ15" i="5"/>
  <c r="KJ14" i="5"/>
  <c r="KN16" i="5"/>
  <c r="KN15" i="5"/>
  <c r="KN14" i="5"/>
  <c r="KR16" i="5"/>
  <c r="KR15" i="5"/>
  <c r="KR14" i="5"/>
  <c r="KV16" i="5"/>
  <c r="KV15" i="5"/>
  <c r="KZ16" i="5"/>
  <c r="KZ15" i="5"/>
  <c r="KZ14" i="5"/>
  <c r="LD16" i="5"/>
  <c r="LD15" i="5"/>
  <c r="LD14" i="5"/>
  <c r="LH16" i="5"/>
  <c r="LH15" i="5"/>
  <c r="LH14" i="5"/>
  <c r="LP16" i="5"/>
  <c r="LP15" i="5"/>
  <c r="LP14" i="5"/>
  <c r="LT16" i="5"/>
  <c r="LT15" i="5"/>
  <c r="LT14" i="5"/>
  <c r="LX16" i="5"/>
  <c r="LX15" i="5"/>
  <c r="LX14" i="5"/>
  <c r="MB16" i="5"/>
  <c r="MB15" i="5"/>
  <c r="MF16" i="5"/>
  <c r="MF15" i="5"/>
  <c r="MF14" i="5"/>
  <c r="MJ16" i="5"/>
  <c r="MJ15" i="5"/>
  <c r="MJ14" i="5"/>
  <c r="MN16" i="5"/>
  <c r="MN15" i="5"/>
  <c r="MN14" i="5"/>
  <c r="MR16" i="5"/>
  <c r="MR15" i="5"/>
  <c r="MV16" i="5"/>
  <c r="MV15" i="5"/>
  <c r="MV14" i="5"/>
  <c r="MZ16" i="5"/>
  <c r="MZ15" i="5"/>
  <c r="MZ14" i="5"/>
  <c r="ND16" i="5"/>
  <c r="ND15" i="5"/>
  <c r="ND14" i="5"/>
  <c r="NH16" i="5"/>
  <c r="NH15" i="5"/>
  <c r="NL16" i="5"/>
  <c r="NL15" i="5"/>
  <c r="NL14" i="5"/>
  <c r="NP16" i="5"/>
  <c r="NP15" i="5"/>
  <c r="NP14" i="5"/>
  <c r="NT16" i="5"/>
  <c r="NT15" i="5"/>
  <c r="NT14" i="5"/>
  <c r="NX16" i="5"/>
  <c r="NX15" i="5"/>
  <c r="OB16" i="5"/>
  <c r="OB15" i="5"/>
  <c r="OB14" i="5"/>
  <c r="OF16" i="5"/>
  <c r="OF15" i="5"/>
  <c r="OF14" i="5"/>
  <c r="OJ16" i="5"/>
  <c r="OJ15" i="5"/>
  <c r="OJ14" i="5"/>
  <c r="ON16" i="5"/>
  <c r="ON15" i="5"/>
  <c r="OR16" i="5"/>
  <c r="OR15" i="5"/>
  <c r="OR14" i="5"/>
  <c r="OV16" i="5"/>
  <c r="OV15" i="5"/>
  <c r="OV14" i="5"/>
  <c r="OZ16" i="5"/>
  <c r="OZ15" i="5"/>
  <c r="OZ14" i="5"/>
  <c r="PD16" i="5"/>
  <c r="PD15" i="5"/>
  <c r="PH16" i="5"/>
  <c r="PH15" i="5"/>
  <c r="PH14" i="5"/>
  <c r="PL16" i="5"/>
  <c r="PL15" i="5"/>
  <c r="PL14" i="5"/>
  <c r="PP16" i="5"/>
  <c r="PP15" i="5"/>
  <c r="PP14" i="5"/>
  <c r="PT16" i="5"/>
  <c r="PT15" i="5"/>
  <c r="PX16" i="5"/>
  <c r="PX15" i="5"/>
  <c r="PX14" i="5"/>
  <c r="QB16" i="5"/>
  <c r="QB15" i="5"/>
  <c r="QB14" i="5"/>
  <c r="QF16" i="5"/>
  <c r="QF15" i="5"/>
  <c r="QF14" i="5"/>
  <c r="QJ16" i="5"/>
  <c r="QJ15" i="5"/>
  <c r="QN16" i="5"/>
  <c r="QN15" i="5"/>
  <c r="QN14" i="5"/>
  <c r="QR16" i="5"/>
  <c r="QR15" i="5"/>
  <c r="QR14" i="5"/>
  <c r="QV16" i="5"/>
  <c r="QV15" i="5"/>
  <c r="QV14" i="5"/>
  <c r="QZ16" i="5"/>
  <c r="QZ15" i="5"/>
  <c r="RD16" i="5"/>
  <c r="RD15" i="5"/>
  <c r="RD14" i="5"/>
  <c r="RH16" i="5"/>
  <c r="RH15" i="5"/>
  <c r="RH14" i="5"/>
  <c r="RL16" i="5"/>
  <c r="RL15" i="5"/>
  <c r="RL14" i="5"/>
  <c r="RP16" i="5"/>
  <c r="RP15" i="5"/>
  <c r="RT16" i="5"/>
  <c r="RT15" i="5"/>
  <c r="RT14" i="5"/>
  <c r="RX16" i="5"/>
  <c r="RX15" i="5"/>
  <c r="RX14" i="5"/>
  <c r="SB16" i="5"/>
  <c r="SB15" i="5"/>
  <c r="SB14" i="5"/>
  <c r="SF16" i="5"/>
  <c r="SF15" i="5"/>
  <c r="SJ16" i="5"/>
  <c r="SJ15" i="5"/>
  <c r="SJ14" i="5"/>
  <c r="SN16" i="5"/>
  <c r="SN15" i="5"/>
  <c r="SN14" i="5"/>
  <c r="SR16" i="5"/>
  <c r="SR15" i="5"/>
  <c r="SR14" i="5"/>
  <c r="SV16" i="5"/>
  <c r="SV15" i="5"/>
  <c r="SZ16" i="5"/>
  <c r="SZ15" i="5"/>
  <c r="SZ14" i="5"/>
  <c r="TD16" i="5"/>
  <c r="TD15" i="5"/>
  <c r="TD14" i="5"/>
  <c r="TH16" i="5"/>
  <c r="TH15" i="5"/>
  <c r="TH14" i="5"/>
  <c r="TL16" i="5"/>
  <c r="TL15" i="5"/>
  <c r="TP16" i="5"/>
  <c r="TP15" i="5"/>
  <c r="TP14" i="5"/>
  <c r="TT16" i="5"/>
  <c r="TT15" i="5"/>
  <c r="TT14" i="5"/>
  <c r="TX16" i="5"/>
  <c r="TX15" i="5"/>
  <c r="TX14" i="5"/>
  <c r="UB16" i="5"/>
  <c r="UB15" i="5"/>
  <c r="UF16" i="5"/>
  <c r="UF15" i="5"/>
  <c r="UF14" i="5"/>
  <c r="UJ16" i="5"/>
  <c r="UJ15" i="5"/>
  <c r="UJ14" i="5"/>
  <c r="UN16" i="5"/>
  <c r="UN15" i="5"/>
  <c r="UN14" i="5"/>
  <c r="UR16" i="5"/>
  <c r="UR15" i="5"/>
  <c r="UV16" i="5"/>
  <c r="UV15" i="5"/>
  <c r="UV14" i="5"/>
  <c r="UZ16" i="5"/>
  <c r="UZ15" i="5"/>
  <c r="UZ14" i="5"/>
  <c r="VD16" i="5"/>
  <c r="VD15" i="5"/>
  <c r="VD14" i="5"/>
  <c r="VH16" i="5"/>
  <c r="VH15" i="5"/>
  <c r="VL16" i="5"/>
  <c r="VL15" i="5"/>
  <c r="VL14" i="5"/>
  <c r="VP16" i="5"/>
  <c r="VP15" i="5"/>
  <c r="VP14" i="5"/>
  <c r="VT16" i="5"/>
  <c r="VT15" i="5"/>
  <c r="VT14" i="5"/>
  <c r="VX16" i="5"/>
  <c r="VX15" i="5"/>
  <c r="WB16" i="5"/>
  <c r="WB15" i="5"/>
  <c r="WB14" i="5"/>
  <c r="WF16" i="5"/>
  <c r="WF15" i="5"/>
  <c r="WF14" i="5"/>
  <c r="WJ16" i="5"/>
  <c r="WJ15" i="5"/>
  <c r="WJ14" i="5"/>
  <c r="WN16" i="5"/>
  <c r="WN15" i="5"/>
  <c r="WR16" i="5"/>
  <c r="WR15" i="5"/>
  <c r="WR14" i="5"/>
  <c r="WV16" i="5"/>
  <c r="WV15" i="5"/>
  <c r="WV14" i="5"/>
  <c r="WZ16" i="5"/>
  <c r="WZ15" i="5"/>
  <c r="WZ14" i="5"/>
  <c r="XD16" i="5"/>
  <c r="XD15" i="5"/>
  <c r="XH16" i="5"/>
  <c r="XH15" i="5"/>
  <c r="XH14" i="5"/>
  <c r="XL16" i="5"/>
  <c r="XL15" i="5"/>
  <c r="XL14" i="5"/>
  <c r="XP16" i="5"/>
  <c r="XP15" i="5"/>
  <c r="XP14" i="5"/>
  <c r="XT16" i="5"/>
  <c r="XT15" i="5"/>
  <c r="XX16" i="5"/>
  <c r="XX15" i="5"/>
  <c r="XX14" i="5"/>
  <c r="YB16" i="5"/>
  <c r="YB15" i="5"/>
  <c r="YB14" i="5"/>
  <c r="YF16" i="5"/>
  <c r="YF15" i="5"/>
  <c r="YF14" i="5"/>
  <c r="YJ16" i="5"/>
  <c r="YJ15" i="5"/>
  <c r="YN16" i="5"/>
  <c r="YN15" i="5"/>
  <c r="YN14" i="5"/>
  <c r="YR16" i="5"/>
  <c r="YR15" i="5"/>
  <c r="YR14" i="5"/>
  <c r="YV16" i="5"/>
  <c r="YV15" i="5"/>
  <c r="YV14" i="5"/>
  <c r="YZ16" i="5"/>
  <c r="YZ15" i="5"/>
  <c r="ZD16" i="5"/>
  <c r="ZD15" i="5"/>
  <c r="ZD14" i="5"/>
  <c r="ZH16" i="5"/>
  <c r="ZH15" i="5"/>
  <c r="ZH14" i="5"/>
  <c r="ZL16" i="5"/>
  <c r="ZL15" i="5"/>
  <c r="ZL14" i="5"/>
  <c r="ZP16" i="5"/>
  <c r="ZP15" i="5"/>
  <c r="ZT16" i="5"/>
  <c r="ZT15" i="5"/>
  <c r="ZT14" i="5"/>
  <c r="ZX16" i="5"/>
  <c r="ZX15" i="5"/>
  <c r="ZX14" i="5"/>
  <c r="AAB16" i="5"/>
  <c r="AAB15" i="5"/>
  <c r="AAB14" i="5"/>
  <c r="AAF16" i="5"/>
  <c r="AAF15" i="5"/>
  <c r="AAJ16" i="5"/>
  <c r="AAJ15" i="5"/>
  <c r="AAJ14" i="5"/>
  <c r="AAN16" i="5"/>
  <c r="AAN15" i="5"/>
  <c r="AAN14" i="5"/>
  <c r="AAR16" i="5"/>
  <c r="AAR15" i="5"/>
  <c r="AAR14" i="5"/>
  <c r="AAV16" i="5"/>
  <c r="AAV15" i="5"/>
  <c r="AAZ16" i="5"/>
  <c r="AAZ15" i="5"/>
  <c r="AAZ14" i="5"/>
  <c r="ABD16" i="5"/>
  <c r="ABD15" i="5"/>
  <c r="ABD14" i="5"/>
  <c r="ABH16" i="5"/>
  <c r="ABH15" i="5"/>
  <c r="ABH14" i="5"/>
  <c r="ABL16" i="5"/>
  <c r="ABL15" i="5"/>
  <c r="ABP16" i="5"/>
  <c r="ABP15" i="5"/>
  <c r="ABP14" i="5"/>
  <c r="ABT16" i="5"/>
  <c r="ABT15" i="5"/>
  <c r="ABT14" i="5"/>
  <c r="ABX16" i="5"/>
  <c r="ABX15" i="5"/>
  <c r="ABX14" i="5"/>
  <c r="ACB16" i="5"/>
  <c r="ACB14" i="5"/>
  <c r="ACB15" i="5"/>
  <c r="ACF16" i="5"/>
  <c r="ACF15" i="5"/>
  <c r="ACF14" i="5"/>
  <c r="ACJ16" i="5"/>
  <c r="ACJ14" i="5"/>
  <c r="ACJ15" i="5"/>
  <c r="ACN16" i="5"/>
  <c r="ACN15" i="5"/>
  <c r="ACN14" i="5"/>
  <c r="ACR16" i="5"/>
  <c r="ACR14" i="5"/>
  <c r="ACR15" i="5"/>
  <c r="ACV16" i="5"/>
  <c r="ACV15" i="5"/>
  <c r="ACV14" i="5"/>
  <c r="ACZ16" i="5"/>
  <c r="ACZ14" i="5"/>
  <c r="ACZ15" i="5"/>
  <c r="ADD16" i="5"/>
  <c r="ADD15" i="5"/>
  <c r="ADD14" i="5"/>
  <c r="ADH16" i="5"/>
  <c r="ADH14" i="5"/>
  <c r="ADH15" i="5"/>
  <c r="ADL16" i="5"/>
  <c r="ADL15" i="5"/>
  <c r="ADL14" i="5"/>
  <c r="ADP16" i="5"/>
  <c r="ADP14" i="5"/>
  <c r="ADP15" i="5"/>
  <c r="ADT16" i="5"/>
  <c r="ADT15" i="5"/>
  <c r="ADT14" i="5"/>
  <c r="ADX16" i="5"/>
  <c r="ADX14" i="5"/>
  <c r="ADX15" i="5"/>
  <c r="AEB16" i="5"/>
  <c r="AEB15" i="5"/>
  <c r="AEB14" i="5"/>
  <c r="AEF16" i="5"/>
  <c r="AEF14" i="5"/>
  <c r="AEF15" i="5"/>
  <c r="AEJ16" i="5"/>
  <c r="AEJ15" i="5"/>
  <c r="AEJ14" i="5"/>
  <c r="AEN16" i="5"/>
  <c r="AEN14" i="5"/>
  <c r="AEN15" i="5"/>
  <c r="AER16" i="5"/>
  <c r="AER15" i="5"/>
  <c r="AER14" i="5"/>
  <c r="AEV16" i="5"/>
  <c r="AEV15" i="5"/>
  <c r="AEV14" i="5"/>
  <c r="AEZ16" i="5"/>
  <c r="AEZ14" i="5"/>
  <c r="AEZ15" i="5"/>
  <c r="AFD16" i="5"/>
  <c r="AFD15" i="5"/>
  <c r="AFD14" i="5"/>
  <c r="AFH16" i="5"/>
  <c r="AFH15" i="5"/>
  <c r="AFH14" i="5"/>
  <c r="AFL16" i="5"/>
  <c r="AFL15" i="5"/>
  <c r="AFL14" i="5"/>
  <c r="AFP16" i="5"/>
  <c r="AFP14" i="5"/>
  <c r="AFP15" i="5"/>
  <c r="AFT16" i="5"/>
  <c r="AFT15" i="5"/>
  <c r="AFT14" i="5"/>
  <c r="AFX16" i="5"/>
  <c r="AFX15" i="5"/>
  <c r="AFX14" i="5"/>
  <c r="AGB16" i="5"/>
  <c r="AGB15" i="5"/>
  <c r="AGB14" i="5"/>
  <c r="AGF16" i="5"/>
  <c r="AGF14" i="5"/>
  <c r="AGF15" i="5"/>
  <c r="AGJ16" i="5"/>
  <c r="AGJ15" i="5"/>
  <c r="AGJ14" i="5"/>
  <c r="AGN16" i="5"/>
  <c r="AGN15" i="5"/>
  <c r="AGN14" i="5"/>
  <c r="AGR16" i="5"/>
  <c r="AGR15" i="5"/>
  <c r="AGR14" i="5"/>
  <c r="AGV16" i="5"/>
  <c r="AGV14" i="5"/>
  <c r="AGV15" i="5"/>
  <c r="AGZ16" i="5"/>
  <c r="AGZ15" i="5"/>
  <c r="AGZ14" i="5"/>
  <c r="L14" i="5"/>
  <c r="AB14" i="5"/>
  <c r="AR14" i="5"/>
  <c r="BH14" i="5"/>
  <c r="BX14" i="5"/>
  <c r="CN14" i="5"/>
  <c r="DD14" i="5"/>
  <c r="DT14" i="5"/>
  <c r="EJ14" i="5"/>
  <c r="EZ14" i="5"/>
  <c r="FP14" i="5"/>
  <c r="HD14" i="5"/>
  <c r="JP14" i="5"/>
  <c r="MB14" i="5"/>
  <c r="ON14" i="5"/>
  <c r="QZ14" i="5"/>
  <c r="TL14" i="5"/>
  <c r="VX14" i="5"/>
  <c r="YJ14" i="5"/>
  <c r="AAV14" i="5"/>
  <c r="IS16" i="5"/>
  <c r="IS15" i="5"/>
  <c r="IS14" i="5"/>
  <c r="IW16" i="5"/>
  <c r="IW15" i="5"/>
  <c r="IW14" i="5"/>
  <c r="JA16" i="5"/>
  <c r="JA15" i="5"/>
  <c r="JA14" i="5"/>
  <c r="JE16" i="5"/>
  <c r="JE15" i="5"/>
  <c r="JE14" i="5"/>
  <c r="JI16" i="5"/>
  <c r="JI15" i="5"/>
  <c r="JI14" i="5"/>
  <c r="JM16" i="5"/>
  <c r="JM15" i="5"/>
  <c r="JM14" i="5"/>
  <c r="JQ16" i="5"/>
  <c r="JQ15" i="5"/>
  <c r="JQ14" i="5"/>
  <c r="JU16" i="5"/>
  <c r="JU15" i="5"/>
  <c r="JU14" i="5"/>
  <c r="JY16" i="5"/>
  <c r="JY15" i="5"/>
  <c r="JY14" i="5"/>
  <c r="KC16" i="5"/>
  <c r="KC15" i="5"/>
  <c r="KC14" i="5"/>
  <c r="KG16" i="5"/>
  <c r="KG15" i="5"/>
  <c r="KG14" i="5"/>
  <c r="KK16" i="5"/>
  <c r="KK15" i="5"/>
  <c r="KK14" i="5"/>
  <c r="KO16" i="5"/>
  <c r="KO15" i="5"/>
  <c r="KO14" i="5"/>
  <c r="KS16" i="5"/>
  <c r="KS15" i="5"/>
  <c r="KS14" i="5"/>
  <c r="KW16" i="5"/>
  <c r="KW15" i="5"/>
  <c r="KW14" i="5"/>
  <c r="LA16" i="5"/>
  <c r="LA15" i="5"/>
  <c r="LA14" i="5"/>
  <c r="LE16" i="5"/>
  <c r="LE15" i="5"/>
  <c r="LE14" i="5"/>
  <c r="LI16" i="5"/>
  <c r="LI14" i="5"/>
  <c r="LI15" i="5"/>
  <c r="LM16" i="5"/>
  <c r="LM14" i="5"/>
  <c r="LQ16" i="5"/>
  <c r="LQ15" i="5"/>
  <c r="LQ14" i="5"/>
  <c r="LU16" i="5"/>
  <c r="LU15" i="5"/>
  <c r="LU14" i="5"/>
  <c r="LY16" i="5"/>
  <c r="LY15" i="5"/>
  <c r="LY14" i="5"/>
  <c r="MC16" i="5"/>
  <c r="MC15" i="5"/>
  <c r="MC14" i="5"/>
  <c r="MG15" i="5"/>
  <c r="MG14" i="5"/>
  <c r="MK16" i="5"/>
  <c r="MK15" i="5"/>
  <c r="MK14" i="5"/>
  <c r="MO16" i="5"/>
  <c r="MO15" i="5"/>
  <c r="MO14" i="5"/>
  <c r="MS16" i="5"/>
  <c r="MS15" i="5"/>
  <c r="MS14" i="5"/>
  <c r="MW16" i="5"/>
  <c r="MW15" i="5"/>
  <c r="MW14" i="5"/>
  <c r="NA16" i="5"/>
  <c r="NA15" i="5"/>
  <c r="NA14" i="5"/>
  <c r="NE16" i="5"/>
  <c r="NE15" i="5"/>
  <c r="NE14" i="5"/>
  <c r="NI16" i="5"/>
  <c r="NI15" i="5"/>
  <c r="NI14" i="5"/>
  <c r="NM16" i="5"/>
  <c r="NM15" i="5"/>
  <c r="NM14" i="5"/>
  <c r="NQ16" i="5"/>
  <c r="NQ15" i="5"/>
  <c r="NQ14" i="5"/>
  <c r="NU16" i="5"/>
  <c r="NU15" i="5"/>
  <c r="NU14" i="5"/>
  <c r="NY16" i="5"/>
  <c r="NY15" i="5"/>
  <c r="NY14" i="5"/>
  <c r="OC16" i="5"/>
  <c r="OC15" i="5"/>
  <c r="OC14" i="5"/>
  <c r="OG16" i="5"/>
  <c r="OG15" i="5"/>
  <c r="OG14" i="5"/>
  <c r="OK16" i="5"/>
  <c r="OK15" i="5"/>
  <c r="OK14" i="5"/>
  <c r="OO16" i="5"/>
  <c r="OO15" i="5"/>
  <c r="OO14" i="5"/>
  <c r="OS16" i="5"/>
  <c r="OS15" i="5"/>
  <c r="OS14" i="5"/>
  <c r="OW16" i="5"/>
  <c r="OW15" i="5"/>
  <c r="OW14" i="5"/>
  <c r="PA16" i="5"/>
  <c r="PA15" i="5"/>
  <c r="PA14" i="5"/>
  <c r="PE16" i="5"/>
  <c r="PE15" i="5"/>
  <c r="PE14" i="5"/>
  <c r="PI16" i="5"/>
  <c r="PI15" i="5"/>
  <c r="PI14" i="5"/>
  <c r="PM16" i="5"/>
  <c r="PM15" i="5"/>
  <c r="PM14" i="5"/>
  <c r="PQ16" i="5"/>
  <c r="PQ15" i="5"/>
  <c r="PQ14" i="5"/>
  <c r="PU16" i="5"/>
  <c r="PU15" i="5"/>
  <c r="PU14" i="5"/>
  <c r="PY15" i="5"/>
  <c r="PY14" i="5"/>
  <c r="QC16" i="5"/>
  <c r="QC15" i="5"/>
  <c r="QC14" i="5"/>
  <c r="QG16" i="5"/>
  <c r="QG15" i="5"/>
  <c r="QG14" i="5"/>
  <c r="QK16" i="5"/>
  <c r="QK15" i="5"/>
  <c r="QK14" i="5"/>
  <c r="QO16" i="5"/>
  <c r="QO15" i="5"/>
  <c r="QO14" i="5"/>
  <c r="QS16" i="5"/>
  <c r="QS15" i="5"/>
  <c r="QS14" i="5"/>
  <c r="QW16" i="5"/>
  <c r="QW15" i="5"/>
  <c r="QW14" i="5"/>
  <c r="RA16" i="5"/>
  <c r="RA15" i="5"/>
  <c r="RA14" i="5"/>
  <c r="RE15" i="5"/>
  <c r="RE14" i="5"/>
  <c r="RE16" i="5"/>
  <c r="RI16" i="5"/>
  <c r="RI15" i="5"/>
  <c r="RI14" i="5"/>
  <c r="RM16" i="5"/>
  <c r="RM15" i="5"/>
  <c r="RM14" i="5"/>
  <c r="RQ16" i="5"/>
  <c r="RQ15" i="5"/>
  <c r="RQ14" i="5"/>
  <c r="RU16" i="5"/>
  <c r="RU15" i="5"/>
  <c r="RU14" i="5"/>
  <c r="RY16" i="5"/>
  <c r="RY15" i="5"/>
  <c r="RY14" i="5"/>
  <c r="SC16" i="5"/>
  <c r="SC15" i="5"/>
  <c r="SC14" i="5"/>
  <c r="SG16" i="5"/>
  <c r="SG15" i="5"/>
  <c r="SG14" i="5"/>
  <c r="SK16" i="5"/>
  <c r="SK15" i="5"/>
  <c r="SK14" i="5"/>
  <c r="SO16" i="5"/>
  <c r="SO15" i="5"/>
  <c r="SO14" i="5"/>
  <c r="SS16" i="5"/>
  <c r="SS15" i="5"/>
  <c r="SS14" i="5"/>
  <c r="SW16" i="5"/>
  <c r="SW15" i="5"/>
  <c r="SW14" i="5"/>
  <c r="TA16" i="5"/>
  <c r="TA15" i="5"/>
  <c r="TA14" i="5"/>
  <c r="TE16" i="5"/>
  <c r="TE15" i="5"/>
  <c r="TE14" i="5"/>
  <c r="TI16" i="5"/>
  <c r="TI15" i="5"/>
  <c r="TI14" i="5"/>
  <c r="TM16" i="5"/>
  <c r="TM15" i="5"/>
  <c r="TM14" i="5"/>
  <c r="TQ16" i="5"/>
  <c r="TQ15" i="5"/>
  <c r="TQ14" i="5"/>
  <c r="TU16" i="5"/>
  <c r="TU15" i="5"/>
  <c r="TU14" i="5"/>
  <c r="TY16" i="5"/>
  <c r="TY15" i="5"/>
  <c r="TY14" i="5"/>
  <c r="UC16" i="5"/>
  <c r="UC15" i="5"/>
  <c r="UC14" i="5"/>
  <c r="UG16" i="5"/>
  <c r="UG15" i="5"/>
  <c r="UG14" i="5"/>
  <c r="UK16" i="5"/>
  <c r="UK15" i="5"/>
  <c r="UK14" i="5"/>
  <c r="UO16" i="5"/>
  <c r="UO15" i="5"/>
  <c r="UO14" i="5"/>
  <c r="US16" i="5"/>
  <c r="US15" i="5"/>
  <c r="US14" i="5"/>
  <c r="UW16" i="5"/>
  <c r="UW15" i="5"/>
  <c r="UW14" i="5"/>
  <c r="VA15" i="5"/>
  <c r="VA16" i="5"/>
  <c r="VA14" i="5"/>
  <c r="VE16" i="5"/>
  <c r="VE15" i="5"/>
  <c r="VE14" i="5"/>
  <c r="VI16" i="5"/>
  <c r="VI15" i="5"/>
  <c r="VI14" i="5"/>
  <c r="VM16" i="5"/>
  <c r="VM15" i="5"/>
  <c r="VM14" i="5"/>
  <c r="VQ16" i="5"/>
  <c r="VQ15" i="5"/>
  <c r="VQ14" i="5"/>
  <c r="VU16" i="5"/>
  <c r="VU15" i="5"/>
  <c r="VU14" i="5"/>
  <c r="VY16" i="5"/>
  <c r="VY15" i="5"/>
  <c r="VY14" i="5"/>
  <c r="WC16" i="5"/>
  <c r="WC15" i="5"/>
  <c r="WC14" i="5"/>
  <c r="WG16" i="5"/>
  <c r="WG15" i="5"/>
  <c r="WG14" i="5"/>
  <c r="WK16" i="5"/>
  <c r="WK15" i="5"/>
  <c r="WK14" i="5"/>
  <c r="WO16" i="5"/>
  <c r="WO15" i="5"/>
  <c r="WO14" i="5"/>
  <c r="WS16" i="5"/>
  <c r="WS15" i="5"/>
  <c r="WS14" i="5"/>
  <c r="WW16" i="5"/>
  <c r="WW15" i="5"/>
  <c r="WW14" i="5"/>
  <c r="XA16" i="5"/>
  <c r="XA15" i="5"/>
  <c r="XA14" i="5"/>
  <c r="XE16" i="5"/>
  <c r="XE15" i="5"/>
  <c r="XE14" i="5"/>
  <c r="XI16" i="5"/>
  <c r="XI15" i="5"/>
  <c r="XI14" i="5"/>
  <c r="XM15" i="5"/>
  <c r="XM14" i="5"/>
  <c r="XQ16" i="5"/>
  <c r="XQ15" i="5"/>
  <c r="XQ14" i="5"/>
  <c r="XU16" i="5"/>
  <c r="XU15" i="5"/>
  <c r="XU14" i="5"/>
  <c r="XY16" i="5"/>
  <c r="XY15" i="5"/>
  <c r="XY14" i="5"/>
  <c r="YC16" i="5"/>
  <c r="YC15" i="5"/>
  <c r="YC14" i="5"/>
  <c r="YG15" i="5"/>
  <c r="YG14" i="5"/>
  <c r="YK16" i="5"/>
  <c r="YK15" i="5"/>
  <c r="YK14" i="5"/>
  <c r="YO16" i="5"/>
  <c r="YO15" i="5"/>
  <c r="YO14" i="5"/>
  <c r="YS16" i="5"/>
  <c r="YS15" i="5"/>
  <c r="YS14" i="5"/>
  <c r="YW16" i="5"/>
  <c r="YW15" i="5"/>
  <c r="YW14" i="5"/>
  <c r="ZA16" i="5"/>
  <c r="ZA15" i="5"/>
  <c r="ZA14" i="5"/>
  <c r="ZE16" i="5"/>
  <c r="ZE15" i="5"/>
  <c r="ZE14" i="5"/>
  <c r="ZI16" i="5"/>
  <c r="ZI15" i="5"/>
  <c r="ZI14" i="5"/>
  <c r="ZM16" i="5"/>
  <c r="ZM15" i="5"/>
  <c r="ZM14" i="5"/>
  <c r="ZQ16" i="5"/>
  <c r="ZQ15" i="5"/>
  <c r="ZQ14" i="5"/>
  <c r="ZU16" i="5"/>
  <c r="ZU15" i="5"/>
  <c r="ZU14" i="5"/>
  <c r="ZY16" i="5"/>
  <c r="ZY15" i="5"/>
  <c r="ZY14" i="5"/>
  <c r="AAC16" i="5"/>
  <c r="AAC15" i="5"/>
  <c r="AAC14" i="5"/>
  <c r="AAG16" i="5"/>
  <c r="AAG15" i="5"/>
  <c r="AAG14" i="5"/>
  <c r="AAK16" i="5"/>
  <c r="AAK15" i="5"/>
  <c r="AAK14" i="5"/>
  <c r="AAO16" i="5"/>
  <c r="AAO15" i="5"/>
  <c r="AAO14" i="5"/>
  <c r="AAS16" i="5"/>
  <c r="AAS15" i="5"/>
  <c r="AAS14" i="5"/>
  <c r="AAW16" i="5"/>
  <c r="AAW15" i="5"/>
  <c r="AAW14" i="5"/>
  <c r="ABA16" i="5"/>
  <c r="ABA15" i="5"/>
  <c r="ABA14" i="5"/>
  <c r="ABE16" i="5"/>
  <c r="ABE15" i="5"/>
  <c r="ABE14" i="5"/>
  <c r="ABI16" i="5"/>
  <c r="ABI15" i="5"/>
  <c r="ABI14" i="5"/>
  <c r="ABM16" i="5"/>
  <c r="ABM15" i="5"/>
  <c r="ABM14" i="5"/>
  <c r="ABQ16" i="5"/>
  <c r="ABQ15" i="5"/>
  <c r="ABQ14" i="5"/>
  <c r="ABU16" i="5"/>
  <c r="ABU15" i="5"/>
  <c r="ABU14" i="5"/>
  <c r="ABY16" i="5"/>
  <c r="ABY15" i="5"/>
  <c r="ABY14" i="5"/>
  <c r="ACC16" i="5"/>
  <c r="ACC15" i="5"/>
  <c r="ACC14" i="5"/>
  <c r="ACG16" i="5"/>
  <c r="ACG15" i="5"/>
  <c r="ACG14" i="5"/>
  <c r="ACK16" i="5"/>
  <c r="ACK15" i="5"/>
  <c r="ACK14" i="5"/>
  <c r="ACO16" i="5"/>
  <c r="ACO15" i="5"/>
  <c r="ACO14" i="5"/>
  <c r="ACS16" i="5"/>
  <c r="ACS15" i="5"/>
  <c r="ACS14" i="5"/>
  <c r="ACW16" i="5"/>
  <c r="ACW15" i="5"/>
  <c r="ACW14" i="5"/>
  <c r="ADA16" i="5"/>
  <c r="ADA15" i="5"/>
  <c r="ADA14" i="5"/>
  <c r="ADE16" i="5"/>
  <c r="ADE15" i="5"/>
  <c r="ADE14" i="5"/>
  <c r="ADI16" i="5"/>
  <c r="ADI15" i="5"/>
  <c r="ADI14" i="5"/>
  <c r="ADM16" i="5"/>
  <c r="ADM15" i="5"/>
  <c r="ADM14" i="5"/>
  <c r="ADQ16" i="5"/>
  <c r="ADQ15" i="5"/>
  <c r="ADQ14" i="5"/>
  <c r="ADU16" i="5"/>
  <c r="ADU15" i="5"/>
  <c r="ADU14" i="5"/>
  <c r="ADY16" i="5"/>
  <c r="ADY15" i="5"/>
  <c r="ADY14" i="5"/>
  <c r="AEC16" i="5"/>
  <c r="AEC15" i="5"/>
  <c r="AEC14" i="5"/>
  <c r="AEG16" i="5"/>
  <c r="AEG15" i="5"/>
  <c r="AEG14" i="5"/>
  <c r="AEK16" i="5"/>
  <c r="AEK15" i="5"/>
  <c r="AEK14" i="5"/>
  <c r="AEO16" i="5"/>
  <c r="AEO15" i="5"/>
  <c r="AEO14" i="5"/>
  <c r="AES16" i="5"/>
  <c r="AES15" i="5"/>
  <c r="AES14" i="5"/>
  <c r="AEW16" i="5"/>
  <c r="AEW15" i="5"/>
  <c r="AEW14" i="5"/>
  <c r="AFA16" i="5"/>
  <c r="AFA15" i="5"/>
  <c r="AFA14" i="5"/>
  <c r="AFE16" i="5"/>
  <c r="AFE15" i="5"/>
  <c r="AFE14" i="5"/>
  <c r="AFI16" i="5"/>
  <c r="AFI15" i="5"/>
  <c r="AFI14" i="5"/>
  <c r="AFM16" i="5"/>
  <c r="AFM15" i="5"/>
  <c r="AFM14" i="5"/>
  <c r="AFQ16" i="5"/>
  <c r="AFQ15" i="5"/>
  <c r="AFQ14" i="5"/>
  <c r="AFU16" i="5"/>
  <c r="AFU15" i="5"/>
  <c r="AFU14" i="5"/>
  <c r="AFY16" i="5"/>
  <c r="AFY15" i="5"/>
  <c r="AFY14" i="5"/>
  <c r="AGC16" i="5"/>
  <c r="AGC15" i="5"/>
  <c r="AGC14" i="5"/>
  <c r="AGG16" i="5"/>
  <c r="AGG15" i="5"/>
  <c r="AGG14" i="5"/>
  <c r="AGK16" i="5"/>
  <c r="AGK15" i="5"/>
  <c r="AGK14" i="5"/>
  <c r="AGO16" i="5"/>
  <c r="AGO15" i="5"/>
  <c r="AGO14" i="5"/>
  <c r="AGS16" i="5"/>
  <c r="AGS15" i="5"/>
  <c r="AGS14" i="5"/>
  <c r="AGW16" i="5"/>
  <c r="AGW15" i="5"/>
  <c r="AGW14" i="5"/>
  <c r="AHA16" i="5"/>
  <c r="AHA15" i="5"/>
  <c r="AHA14" i="5"/>
  <c r="LM15" i="5"/>
  <c r="LF16" i="5"/>
  <c r="LF15" i="5"/>
  <c r="LJ16" i="5"/>
  <c r="LJ15" i="5"/>
  <c r="LN16" i="5"/>
  <c r="LN15" i="5"/>
  <c r="LR16" i="5"/>
  <c r="LR15" i="5"/>
  <c r="LV16" i="5"/>
  <c r="LV15" i="5"/>
  <c r="LZ16" i="5"/>
  <c r="LZ15" i="5"/>
  <c r="MD16" i="5"/>
  <c r="MD15" i="5"/>
  <c r="MH16" i="5"/>
  <c r="MH15" i="5"/>
  <c r="ML16" i="5"/>
  <c r="ML15" i="5"/>
  <c r="MP16" i="5"/>
  <c r="MP15" i="5"/>
  <c r="MT16" i="5"/>
  <c r="MT15" i="5"/>
  <c r="MX16" i="5"/>
  <c r="MX15" i="5"/>
  <c r="NB15" i="5"/>
  <c r="NB16" i="5"/>
  <c r="NF16" i="5"/>
  <c r="NF15" i="5"/>
  <c r="NJ16" i="5"/>
  <c r="NJ15" i="5"/>
  <c r="NN16" i="5"/>
  <c r="NN15" i="5"/>
  <c r="NR16" i="5"/>
  <c r="NR15" i="5"/>
  <c r="NV16" i="5"/>
  <c r="NV15" i="5"/>
  <c r="NZ16" i="5"/>
  <c r="NZ15" i="5"/>
  <c r="OD16" i="5"/>
  <c r="OD15" i="5"/>
  <c r="OH15" i="5"/>
  <c r="OH16" i="5"/>
  <c r="OL16" i="5"/>
  <c r="OL15" i="5"/>
  <c r="OP16" i="5"/>
  <c r="OP15" i="5"/>
  <c r="OT16" i="5"/>
  <c r="OT15" i="5"/>
  <c r="OX16" i="5"/>
  <c r="OX15" i="5"/>
  <c r="PB16" i="5"/>
  <c r="PB15" i="5"/>
  <c r="PF16" i="5"/>
  <c r="PF15" i="5"/>
  <c r="PJ16" i="5"/>
  <c r="PJ15" i="5"/>
  <c r="PR16" i="5"/>
  <c r="PR15" i="5"/>
  <c r="PV16" i="5"/>
  <c r="PV15" i="5"/>
  <c r="PZ16" i="5"/>
  <c r="PZ15" i="5"/>
  <c r="QD16" i="5"/>
  <c r="QD15" i="5"/>
  <c r="QH16" i="5"/>
  <c r="QH15" i="5"/>
  <c r="QL16" i="5"/>
  <c r="QL15" i="5"/>
  <c r="QP16" i="5"/>
  <c r="QP15" i="5"/>
  <c r="QT16" i="5"/>
  <c r="QT15" i="5"/>
  <c r="QX16" i="5"/>
  <c r="QX15" i="5"/>
  <c r="RB16" i="5"/>
  <c r="RB15" i="5"/>
  <c r="RF16" i="5"/>
  <c r="RF15" i="5"/>
  <c r="RJ16" i="5"/>
  <c r="RJ15" i="5"/>
  <c r="RN16" i="5"/>
  <c r="RN15" i="5"/>
  <c r="RR16" i="5"/>
  <c r="RR15" i="5"/>
  <c r="RV16" i="5"/>
  <c r="RV15" i="5"/>
  <c r="RZ15" i="5"/>
  <c r="RZ16" i="5"/>
  <c r="SD16" i="5"/>
  <c r="SD15" i="5"/>
  <c r="SH16" i="5"/>
  <c r="SH15" i="5"/>
  <c r="SL16" i="5"/>
  <c r="SL15" i="5"/>
  <c r="SP16" i="5"/>
  <c r="SP15" i="5"/>
  <c r="ST16" i="5"/>
  <c r="ST15" i="5"/>
  <c r="SX16" i="5"/>
  <c r="SX15" i="5"/>
  <c r="TB16" i="5"/>
  <c r="TB15" i="5"/>
  <c r="TJ16" i="5"/>
  <c r="TJ15" i="5"/>
  <c r="TN16" i="5"/>
  <c r="TN15" i="5"/>
  <c r="TR16" i="5"/>
  <c r="TR15" i="5"/>
  <c r="TV16" i="5"/>
  <c r="TV15" i="5"/>
  <c r="TZ16" i="5"/>
  <c r="TZ15" i="5"/>
  <c r="UD16" i="5"/>
  <c r="UD15" i="5"/>
  <c r="UH16" i="5"/>
  <c r="UH15" i="5"/>
  <c r="UL15" i="5"/>
  <c r="UL16" i="5"/>
  <c r="UP16" i="5"/>
  <c r="UP15" i="5"/>
  <c r="UT16" i="5"/>
  <c r="UT15" i="5"/>
  <c r="UX16" i="5"/>
  <c r="UX15" i="5"/>
  <c r="VB16" i="5"/>
  <c r="VB15" i="5"/>
  <c r="VF16" i="5"/>
  <c r="VF15" i="5"/>
  <c r="VJ16" i="5"/>
  <c r="VJ15" i="5"/>
  <c r="VN16" i="5"/>
  <c r="VN15" i="5"/>
  <c r="VR16" i="5"/>
  <c r="VR15" i="5"/>
  <c r="VV16" i="5"/>
  <c r="VV15" i="5"/>
  <c r="VZ16" i="5"/>
  <c r="VZ15" i="5"/>
  <c r="WD16" i="5"/>
  <c r="WD15" i="5"/>
  <c r="WH16" i="5"/>
  <c r="WH15" i="5"/>
  <c r="WL16" i="5"/>
  <c r="WL15" i="5"/>
  <c r="WP16" i="5"/>
  <c r="WP15" i="5"/>
  <c r="WT16" i="5"/>
  <c r="WT15" i="5"/>
  <c r="WX16" i="5"/>
  <c r="WX15" i="5"/>
  <c r="XB16" i="5"/>
  <c r="XB15" i="5"/>
  <c r="XF16" i="5"/>
  <c r="XF15" i="5"/>
  <c r="XJ16" i="5"/>
  <c r="XJ15" i="5"/>
  <c r="XN16" i="5"/>
  <c r="XN15" i="5"/>
  <c r="XR16" i="5"/>
  <c r="XR15" i="5"/>
  <c r="XV16" i="5"/>
  <c r="XV15" i="5"/>
  <c r="XZ16" i="5"/>
  <c r="XZ15" i="5"/>
  <c r="YD16" i="5"/>
  <c r="YD15" i="5"/>
  <c r="YH16" i="5"/>
  <c r="YH15" i="5"/>
  <c r="YL16" i="5"/>
  <c r="YL15" i="5"/>
  <c r="YP16" i="5"/>
  <c r="YP15" i="5"/>
  <c r="YT16" i="5"/>
  <c r="YT15" i="5"/>
  <c r="YX16" i="5"/>
  <c r="YX15" i="5"/>
  <c r="ZB15" i="5"/>
  <c r="ZB16" i="5"/>
  <c r="ZF16" i="5"/>
  <c r="ZF15" i="5"/>
  <c r="ZJ16" i="5"/>
  <c r="ZJ15" i="5"/>
  <c r="ZN16" i="5"/>
  <c r="ZN15" i="5"/>
  <c r="ZR16" i="5"/>
  <c r="ZR15" i="5"/>
  <c r="ZV16" i="5"/>
  <c r="ZV15" i="5"/>
  <c r="ZZ16" i="5"/>
  <c r="ZZ15" i="5"/>
  <c r="AAD16" i="5"/>
  <c r="AAD15" i="5"/>
  <c r="AAH16" i="5"/>
  <c r="AAH15" i="5"/>
  <c r="AAL16" i="5"/>
  <c r="AAL15" i="5"/>
  <c r="AAP16" i="5"/>
  <c r="AAP15" i="5"/>
  <c r="AAT16" i="5"/>
  <c r="AAT15" i="5"/>
  <c r="AAX15" i="5"/>
  <c r="AAX16" i="5"/>
  <c r="ABB16" i="5"/>
  <c r="ABB15" i="5"/>
  <c r="ABF16" i="5"/>
  <c r="ABF15" i="5"/>
  <c r="ABJ16" i="5"/>
  <c r="ABJ15" i="5"/>
  <c r="ABN16" i="5"/>
  <c r="ABN15" i="5"/>
  <c r="ABR16" i="5"/>
  <c r="ABR15" i="5"/>
  <c r="ABV16" i="5"/>
  <c r="ABV15" i="5"/>
  <c r="ABZ16" i="5"/>
  <c r="ABZ15" i="5"/>
  <c r="ACD15" i="5"/>
  <c r="ACD16" i="5"/>
  <c r="ACH16" i="5"/>
  <c r="ACH15" i="5"/>
  <c r="ACL16" i="5"/>
  <c r="ACL15" i="5"/>
  <c r="ACP16" i="5"/>
  <c r="ACP15" i="5"/>
  <c r="ACT16" i="5"/>
  <c r="ACT15" i="5"/>
  <c r="ACX16" i="5"/>
  <c r="ACX15" i="5"/>
  <c r="ADB16" i="5"/>
  <c r="ADB15" i="5"/>
  <c r="ADF16" i="5"/>
  <c r="ADF15" i="5"/>
  <c r="ADJ15" i="5"/>
  <c r="ADJ16" i="5"/>
  <c r="ADN16" i="5"/>
  <c r="ADN15" i="5"/>
  <c r="ADR16" i="5"/>
  <c r="ADR15" i="5"/>
  <c r="ADV16" i="5"/>
  <c r="ADV15" i="5"/>
  <c r="ADZ16" i="5"/>
  <c r="ADZ15" i="5"/>
  <c r="AED16" i="5"/>
  <c r="AED15" i="5"/>
  <c r="AEH16" i="5"/>
  <c r="AEH15" i="5"/>
  <c r="AEL16" i="5"/>
  <c r="AEL15" i="5"/>
  <c r="AEP16" i="5"/>
  <c r="AEP15" i="5"/>
  <c r="AET16" i="5"/>
  <c r="AET15" i="5"/>
  <c r="AFB16" i="5"/>
  <c r="AFB15" i="5"/>
  <c r="AFF16" i="5"/>
  <c r="AFF15" i="5"/>
  <c r="AFJ16" i="5"/>
  <c r="AFJ15" i="5"/>
  <c r="AFR16" i="5"/>
  <c r="AFR15" i="5"/>
  <c r="AFV16" i="5"/>
  <c r="AFV15" i="5"/>
  <c r="AFZ16" i="5"/>
  <c r="AFZ15" i="5"/>
  <c r="AGH16" i="5"/>
  <c r="AGH15" i="5"/>
  <c r="AGL16" i="5"/>
  <c r="AGL15" i="5"/>
  <c r="AGP16" i="5"/>
  <c r="AGP15" i="5"/>
  <c r="AGX16" i="5"/>
  <c r="AGX15" i="5"/>
  <c r="B14" i="5"/>
  <c r="F14" i="5"/>
  <c r="J14" i="5"/>
  <c r="N14" i="5"/>
  <c r="R14" i="5"/>
  <c r="V14" i="5"/>
  <c r="AD14" i="5"/>
  <c r="AH14" i="5"/>
  <c r="AL14" i="5"/>
  <c r="AP14" i="5"/>
  <c r="AT14" i="5"/>
  <c r="AX14" i="5"/>
  <c r="BB14" i="5"/>
  <c r="BF14" i="5"/>
  <c r="BJ14" i="5"/>
  <c r="BN14" i="5"/>
  <c r="BR14" i="5"/>
  <c r="BV14" i="5"/>
  <c r="BZ14" i="5"/>
  <c r="CD14" i="5"/>
  <c r="CH14" i="5"/>
  <c r="CL14" i="5"/>
  <c r="CP14" i="5"/>
  <c r="CT14" i="5"/>
  <c r="CX14" i="5"/>
  <c r="DB14" i="5"/>
  <c r="DF14" i="5"/>
  <c r="DJ14" i="5"/>
  <c r="DN14" i="5"/>
  <c r="DR14" i="5"/>
  <c r="DV14" i="5"/>
  <c r="DZ14" i="5"/>
  <c r="ED14" i="5"/>
  <c r="EH14" i="5"/>
  <c r="EL14" i="5"/>
  <c r="EP14" i="5"/>
  <c r="ET14" i="5"/>
  <c r="EX14" i="5"/>
  <c r="FB14" i="5"/>
  <c r="FF14" i="5"/>
  <c r="FJ14" i="5"/>
  <c r="FN14" i="5"/>
  <c r="FR14" i="5"/>
  <c r="FV14" i="5"/>
  <c r="GA14" i="5"/>
  <c r="GL14" i="5"/>
  <c r="GQ14" i="5"/>
  <c r="HB14" i="5"/>
  <c r="HG14" i="5"/>
  <c r="HR14" i="5"/>
  <c r="HW14" i="5"/>
  <c r="IH14" i="5"/>
  <c r="IM14" i="5"/>
  <c r="IX14" i="5"/>
  <c r="JC14" i="5"/>
  <c r="JN14" i="5"/>
  <c r="JS14" i="5"/>
  <c r="KD14" i="5"/>
  <c r="KI14" i="5"/>
  <c r="KT14" i="5"/>
  <c r="KY14" i="5"/>
  <c r="LJ14" i="5"/>
  <c r="LZ14" i="5"/>
  <c r="MP14" i="5"/>
  <c r="NF14" i="5"/>
  <c r="NV14" i="5"/>
  <c r="OL14" i="5"/>
  <c r="PB14" i="5"/>
  <c r="PR14" i="5"/>
  <c r="QH14" i="5"/>
  <c r="QX14" i="5"/>
  <c r="RN14" i="5"/>
  <c r="SD14" i="5"/>
  <c r="ST14" i="5"/>
  <c r="TJ14" i="5"/>
  <c r="TZ14" i="5"/>
  <c r="UP14" i="5"/>
  <c r="VF14" i="5"/>
  <c r="VV14" i="5"/>
  <c r="WL14" i="5"/>
  <c r="XB14" i="5"/>
  <c r="XR14" i="5"/>
  <c r="YH14" i="5"/>
  <c r="YX14" i="5"/>
  <c r="ZN14" i="5"/>
  <c r="AAD14" i="5"/>
  <c r="AAT14" i="5"/>
  <c r="ABJ14" i="5"/>
  <c r="ABZ14" i="5"/>
  <c r="ACH14" i="5"/>
  <c r="ACP14" i="5"/>
  <c r="ACX14" i="5"/>
  <c r="ADF14" i="5"/>
  <c r="ADN14" i="5"/>
  <c r="ADV14" i="5"/>
  <c r="AED14" i="5"/>
  <c r="AEL14" i="5"/>
  <c r="AET14" i="5"/>
  <c r="AFB14" i="5"/>
  <c r="AFJ14" i="5"/>
  <c r="AFR14" i="5"/>
  <c r="AFZ14" i="5"/>
  <c r="AGH14" i="5"/>
  <c r="AGP14" i="5"/>
  <c r="AGX14" i="5"/>
  <c r="F15" i="5"/>
  <c r="N15" i="5"/>
  <c r="V15" i="5"/>
  <c r="AD15" i="5"/>
  <c r="AL15" i="5"/>
  <c r="AT15" i="5"/>
  <c r="BB15" i="5"/>
  <c r="BR15" i="5"/>
  <c r="BZ15" i="5"/>
  <c r="CH15" i="5"/>
  <c r="CP15" i="5"/>
  <c r="CX15" i="5"/>
  <c r="DF15" i="5"/>
  <c r="DN15" i="5"/>
  <c r="DV15" i="5"/>
  <c r="ED15" i="5"/>
  <c r="EL15" i="5"/>
  <c r="FB15" i="5"/>
  <c r="FJ15" i="5"/>
  <c r="FR15" i="5"/>
  <c r="FZ15" i="5"/>
  <c r="GH15" i="5"/>
  <c r="GP15" i="5"/>
  <c r="GX15" i="5"/>
  <c r="HF15" i="5"/>
  <c r="HN15" i="5"/>
  <c r="HV15" i="5"/>
  <c r="ID15" i="5"/>
  <c r="IL15" i="5"/>
  <c r="IT15" i="5"/>
  <c r="JB15" i="5"/>
  <c r="JJ15" i="5"/>
  <c r="JR15" i="5"/>
  <c r="JZ15" i="5"/>
  <c r="KH15" i="5"/>
  <c r="KP15" i="5"/>
  <c r="KX15" i="5"/>
  <c r="LG15" i="5"/>
  <c r="LS15" i="5"/>
  <c r="MI15" i="5"/>
  <c r="MY15" i="5"/>
  <c r="NO15" i="5"/>
  <c r="OE15" i="5"/>
  <c r="OU15" i="5"/>
  <c r="PK15" i="5"/>
  <c r="QA15" i="5"/>
  <c r="QQ15" i="5"/>
  <c r="RG15" i="5"/>
  <c r="RW15" i="5"/>
  <c r="SM15" i="5"/>
  <c r="TC15" i="5"/>
  <c r="TS15" i="5"/>
  <c r="UI15" i="5"/>
  <c r="UY15" i="5"/>
  <c r="VO15" i="5"/>
  <c r="WE15" i="5"/>
  <c r="WU15" i="5"/>
  <c r="XK15" i="5"/>
  <c r="YA15" i="5"/>
  <c r="YQ15" i="5"/>
  <c r="ZG15" i="5"/>
  <c r="ZW15" i="5"/>
  <c r="AAM15" i="5"/>
  <c r="ABC15" i="5"/>
  <c r="ABS15" i="5"/>
  <c r="ACI15" i="5"/>
  <c r="ACY15" i="5"/>
  <c r="ADO15" i="5"/>
  <c r="AEE15" i="5"/>
  <c r="AEX15" i="5"/>
  <c r="AGD15" i="5"/>
  <c r="CE16" i="5"/>
  <c r="HC16" i="5"/>
  <c r="IY16" i="5"/>
  <c r="PN16" i="5"/>
  <c r="XM16" i="5"/>
  <c r="LK16" i="5"/>
  <c r="LK15" i="5"/>
  <c r="LO16" i="5"/>
  <c r="LO15" i="5"/>
  <c r="LW16" i="5"/>
  <c r="LW15" i="5"/>
  <c r="ME16" i="5"/>
  <c r="ME15" i="5"/>
  <c r="MM16" i="5"/>
  <c r="MM15" i="5"/>
  <c r="MU16" i="5"/>
  <c r="MU15" i="5"/>
  <c r="NC16" i="5"/>
  <c r="NC15" i="5"/>
  <c r="NK16" i="5"/>
  <c r="NK15" i="5"/>
  <c r="NS16" i="5"/>
  <c r="NS15" i="5"/>
  <c r="OA16" i="5"/>
  <c r="OA15" i="5"/>
  <c r="OI16" i="5"/>
  <c r="OI15" i="5"/>
  <c r="OQ16" i="5"/>
  <c r="OQ15" i="5"/>
  <c r="OY16" i="5"/>
  <c r="OY15" i="5"/>
  <c r="PG16" i="5"/>
  <c r="PG15" i="5"/>
  <c r="PO16" i="5"/>
  <c r="PO15" i="5"/>
  <c r="PW16" i="5"/>
  <c r="PW15" i="5"/>
  <c r="QE16" i="5"/>
  <c r="QE15" i="5"/>
  <c r="QM16" i="5"/>
  <c r="QM15" i="5"/>
  <c r="QU16" i="5"/>
  <c r="QU15" i="5"/>
  <c r="RC16" i="5"/>
  <c r="RC15" i="5"/>
  <c r="RK16" i="5"/>
  <c r="RK15" i="5"/>
  <c r="RS16" i="5"/>
  <c r="RS15" i="5"/>
  <c r="SA16" i="5"/>
  <c r="SA15" i="5"/>
  <c r="SI16" i="5"/>
  <c r="SI15" i="5"/>
  <c r="SQ16" i="5"/>
  <c r="SQ15" i="5"/>
  <c r="SY16" i="5"/>
  <c r="SY15" i="5"/>
  <c r="TG16" i="5"/>
  <c r="TG15" i="5"/>
  <c r="TO16" i="5"/>
  <c r="TO15" i="5"/>
  <c r="TW16" i="5"/>
  <c r="TW15" i="5"/>
  <c r="UE16" i="5"/>
  <c r="UE15" i="5"/>
  <c r="UM16" i="5"/>
  <c r="UM15" i="5"/>
  <c r="UU16" i="5"/>
  <c r="UU15" i="5"/>
  <c r="VC16" i="5"/>
  <c r="VC15" i="5"/>
  <c r="VK16" i="5"/>
  <c r="VK15" i="5"/>
  <c r="VS16" i="5"/>
  <c r="VS15" i="5"/>
  <c r="WA16" i="5"/>
  <c r="WA15" i="5"/>
  <c r="WI16" i="5"/>
  <c r="WI15" i="5"/>
  <c r="WQ16" i="5"/>
  <c r="WQ15" i="5"/>
  <c r="WY16" i="5"/>
  <c r="WY15" i="5"/>
  <c r="XG16" i="5"/>
  <c r="XG15" i="5"/>
  <c r="XO16" i="5"/>
  <c r="XO15" i="5"/>
  <c r="XW16" i="5"/>
  <c r="XW15" i="5"/>
  <c r="YE16" i="5"/>
  <c r="YE15" i="5"/>
  <c r="YM16" i="5"/>
  <c r="YM15" i="5"/>
  <c r="YU16" i="5"/>
  <c r="YU15" i="5"/>
  <c r="ZC16" i="5"/>
  <c r="ZC15" i="5"/>
  <c r="ZK16" i="5"/>
  <c r="ZK15" i="5"/>
  <c r="ZS16" i="5"/>
  <c r="ZS15" i="5"/>
  <c r="AAA16" i="5"/>
  <c r="AAA15" i="5"/>
  <c r="AAI16" i="5"/>
  <c r="AAI15" i="5"/>
  <c r="AAQ16" i="5"/>
  <c r="AAQ15" i="5"/>
  <c r="AAY16" i="5"/>
  <c r="AAY15" i="5"/>
  <c r="ABG16" i="5"/>
  <c r="ABG15" i="5"/>
  <c r="ABO16" i="5"/>
  <c r="ABO15" i="5"/>
  <c r="ABW16" i="5"/>
  <c r="ABW15" i="5"/>
  <c r="ACE16" i="5"/>
  <c r="ACE15" i="5"/>
  <c r="ACM16" i="5"/>
  <c r="ACM15" i="5"/>
  <c r="ACU16" i="5"/>
  <c r="ACU15" i="5"/>
  <c r="ADC16" i="5"/>
  <c r="ADC15" i="5"/>
  <c r="ADK16" i="5"/>
  <c r="ADK15" i="5"/>
  <c r="ADS16" i="5"/>
  <c r="ADS15" i="5"/>
  <c r="AEA16" i="5"/>
  <c r="AEA15" i="5"/>
  <c r="AEI16" i="5"/>
  <c r="AEI15" i="5"/>
  <c r="AEQ16" i="5"/>
  <c r="AEQ15" i="5"/>
  <c r="AEU16" i="5"/>
  <c r="AEU15" i="5"/>
  <c r="AEY16" i="5"/>
  <c r="AEY15" i="5"/>
  <c r="AFC16" i="5"/>
  <c r="AFC15" i="5"/>
  <c r="AFG16" i="5"/>
  <c r="AFG15" i="5"/>
  <c r="AFK16" i="5"/>
  <c r="AFK15" i="5"/>
  <c r="AFO16" i="5"/>
  <c r="AFO15" i="5"/>
  <c r="AFS16" i="5"/>
  <c r="AFS15" i="5"/>
  <c r="AFW16" i="5"/>
  <c r="AFW15" i="5"/>
  <c r="AGA16" i="5"/>
  <c r="AGA15" i="5"/>
  <c r="AGE16" i="5"/>
  <c r="AGE15" i="5"/>
  <c r="AGI16" i="5"/>
  <c r="AGI15" i="5"/>
  <c r="AGM16" i="5"/>
  <c r="AGM15" i="5"/>
  <c r="AGQ16" i="5"/>
  <c r="AGQ15" i="5"/>
  <c r="AGU16" i="5"/>
  <c r="AGU15" i="5"/>
  <c r="AGY16" i="5"/>
  <c r="AGY15" i="5"/>
  <c r="C14" i="5"/>
  <c r="G14" i="5"/>
  <c r="K14" i="5"/>
  <c r="O14" i="5"/>
  <c r="S14" i="5"/>
  <c r="W14" i="5"/>
  <c r="AA14" i="5"/>
  <c r="AE14" i="5"/>
  <c r="AI14" i="5"/>
  <c r="AM14" i="5"/>
  <c r="AQ14" i="5"/>
  <c r="AU14" i="5"/>
  <c r="AY14" i="5"/>
  <c r="BC14" i="5"/>
  <c r="BG14" i="5"/>
  <c r="BK14" i="5"/>
  <c r="BO14" i="5"/>
  <c r="BS14" i="5"/>
  <c r="BW14" i="5"/>
  <c r="CA14" i="5"/>
  <c r="CI14" i="5"/>
  <c r="CM14" i="5"/>
  <c r="CQ14" i="5"/>
  <c r="CU14" i="5"/>
  <c r="CY14" i="5"/>
  <c r="DG14" i="5"/>
  <c r="DK14" i="5"/>
  <c r="DO14" i="5"/>
  <c r="DS14" i="5"/>
  <c r="DW14" i="5"/>
  <c r="EA14" i="5"/>
  <c r="EE14" i="5"/>
  <c r="EI14" i="5"/>
  <c r="EM14" i="5"/>
  <c r="EU14" i="5"/>
  <c r="EY14" i="5"/>
  <c r="FC14" i="5"/>
  <c r="FG14" i="5"/>
  <c r="FK14" i="5"/>
  <c r="FO14" i="5"/>
  <c r="FS14" i="5"/>
  <c r="FW14" i="5"/>
  <c r="GM14" i="5"/>
  <c r="GX14" i="5"/>
  <c r="HN14" i="5"/>
  <c r="HS14" i="5"/>
  <c r="ID14" i="5"/>
  <c r="II14" i="5"/>
  <c r="IT14" i="5"/>
  <c r="JJ14" i="5"/>
  <c r="JO14" i="5"/>
  <c r="JZ14" i="5"/>
  <c r="KE14" i="5"/>
  <c r="KP14" i="5"/>
  <c r="KU14" i="5"/>
  <c r="LF14" i="5"/>
  <c r="LK14" i="5"/>
  <c r="LV14" i="5"/>
  <c r="MA14" i="5"/>
  <c r="ML14" i="5"/>
  <c r="NB14" i="5"/>
  <c r="NG14" i="5"/>
  <c r="NR14" i="5"/>
  <c r="NW14" i="5"/>
  <c r="OH14" i="5"/>
  <c r="OM14" i="5"/>
  <c r="OX14" i="5"/>
  <c r="PC14" i="5"/>
  <c r="PN14" i="5"/>
  <c r="PS14" i="5"/>
  <c r="QD14" i="5"/>
  <c r="QI14" i="5"/>
  <c r="QT14" i="5"/>
  <c r="QY14" i="5"/>
  <c r="RJ14" i="5"/>
  <c r="RO14" i="5"/>
  <c r="RZ14" i="5"/>
  <c r="SE14" i="5"/>
  <c r="SP14" i="5"/>
  <c r="TF14" i="5"/>
  <c r="TK14" i="5"/>
  <c r="TV14" i="5"/>
  <c r="UA14" i="5"/>
  <c r="UL14" i="5"/>
  <c r="UQ14" i="5"/>
  <c r="VB14" i="5"/>
  <c r="VG14" i="5"/>
  <c r="VR14" i="5"/>
  <c r="VW14" i="5"/>
  <c r="WH14" i="5"/>
  <c r="WM14" i="5"/>
  <c r="WX14" i="5"/>
  <c r="XC14" i="5"/>
  <c r="XN14" i="5"/>
  <c r="XS14" i="5"/>
  <c r="YD14" i="5"/>
  <c r="YI14" i="5"/>
  <c r="YT14" i="5"/>
  <c r="YY14" i="5"/>
  <c r="ZJ14" i="5"/>
  <c r="ZO14" i="5"/>
  <c r="ZZ14" i="5"/>
  <c r="AAE14" i="5"/>
  <c r="AAP14" i="5"/>
  <c r="AAU14" i="5"/>
  <c r="ABF14" i="5"/>
  <c r="ABK14" i="5"/>
  <c r="ABV14" i="5"/>
  <c r="ACA14" i="5"/>
  <c r="ACI14" i="5"/>
  <c r="ACQ14" i="5"/>
  <c r="ACY14" i="5"/>
  <c r="ADG14" i="5"/>
  <c r="ADO14" i="5"/>
  <c r="ADW14" i="5"/>
  <c r="AEE14" i="5"/>
  <c r="AEM14" i="5"/>
  <c r="AEU14" i="5"/>
  <c r="AFC14" i="5"/>
  <c r="AFK14" i="5"/>
  <c r="AFS14" i="5"/>
  <c r="AGA14" i="5"/>
  <c r="AGI14" i="5"/>
  <c r="AGQ14" i="5"/>
  <c r="AGY14" i="5"/>
  <c r="G15" i="5"/>
  <c r="O15" i="5"/>
  <c r="W15" i="5"/>
  <c r="AE15" i="5"/>
  <c r="AM15" i="5"/>
  <c r="AU15" i="5"/>
  <c r="BC15" i="5"/>
  <c r="BK15" i="5"/>
  <c r="BS15" i="5"/>
  <c r="CA15" i="5"/>
  <c r="CI15" i="5"/>
  <c r="CQ15" i="5"/>
  <c r="CY15" i="5"/>
  <c r="DG15" i="5"/>
  <c r="DO15" i="5"/>
  <c r="DW15" i="5"/>
  <c r="EE15" i="5"/>
  <c r="EM15" i="5"/>
  <c r="EU15" i="5"/>
  <c r="FC15" i="5"/>
  <c r="FK15" i="5"/>
  <c r="FS15" i="5"/>
  <c r="GA15" i="5"/>
  <c r="GI15" i="5"/>
  <c r="GQ15" i="5"/>
  <c r="GY15" i="5"/>
  <c r="HG15" i="5"/>
  <c r="HO15" i="5"/>
  <c r="HW15" i="5"/>
  <c r="IE15" i="5"/>
  <c r="IM15" i="5"/>
  <c r="IU15" i="5"/>
  <c r="JC15" i="5"/>
  <c r="JK15" i="5"/>
  <c r="JS15" i="5"/>
  <c r="KA15" i="5"/>
  <c r="KI15" i="5"/>
  <c r="KQ15" i="5"/>
  <c r="KY15" i="5"/>
  <c r="PY16" i="5"/>
  <c r="YG16" i="5"/>
  <c r="AGZ21" i="5"/>
  <c r="AGV26" i="5"/>
  <c r="AGV27" i="5"/>
  <c r="AGV28" i="5"/>
  <c r="O5" i="3"/>
  <c r="O4" i="3"/>
  <c r="M2" i="3"/>
  <c r="M5" i="3"/>
  <c r="M3" i="3"/>
  <c r="Q4" i="3"/>
  <c r="M6" i="3"/>
</calcChain>
</file>

<file path=xl/sharedStrings.xml><?xml version="1.0" encoding="utf-8"?>
<sst xmlns="http://schemas.openxmlformats.org/spreadsheetml/2006/main" count="26552" uniqueCount="149">
  <si>
    <t>Employee ID</t>
  </si>
  <si>
    <t>First Name</t>
  </si>
  <si>
    <t>Last Name</t>
  </si>
  <si>
    <t>Department</t>
  </si>
  <si>
    <t>Salary</t>
  </si>
  <si>
    <t>Hire Date</t>
  </si>
  <si>
    <t>Age</t>
  </si>
  <si>
    <t>Gender</t>
  </si>
  <si>
    <t>Performance Score</t>
  </si>
  <si>
    <t>Full-Time</t>
  </si>
  <si>
    <t>Bonus</t>
  </si>
  <si>
    <t>Marital Status</t>
  </si>
  <si>
    <t>Education Level</t>
  </si>
  <si>
    <t>Work Experience (Years)</t>
  </si>
  <si>
    <t>Employee Type</t>
  </si>
  <si>
    <t>Office Location</t>
  </si>
  <si>
    <t>Project Count</t>
  </si>
  <si>
    <t>Last Promotion Year</t>
  </si>
  <si>
    <t>Remote Work Status</t>
  </si>
  <si>
    <t>Annual Training Hours</t>
  </si>
  <si>
    <t>Manager Feedback Score</t>
  </si>
  <si>
    <t>Michael</t>
  </si>
  <si>
    <t>Williams</t>
  </si>
  <si>
    <t>HR</t>
  </si>
  <si>
    <t>Female</t>
  </si>
  <si>
    <t>Yes</t>
  </si>
  <si>
    <t>Widowed</t>
  </si>
  <si>
    <t>PhD</t>
  </si>
  <si>
    <t>Intern</t>
  </si>
  <si>
    <t>San Francisco</t>
  </si>
  <si>
    <t>On-Site</t>
  </si>
  <si>
    <t>Emily</t>
  </si>
  <si>
    <t>Wilson</t>
  </si>
  <si>
    <t>Marketing</t>
  </si>
  <si>
    <t>Male</t>
  </si>
  <si>
    <t>Married</t>
  </si>
  <si>
    <t>Master's</t>
  </si>
  <si>
    <t>Nairobi</t>
  </si>
  <si>
    <t>Chris</t>
  </si>
  <si>
    <t>IT</t>
  </si>
  <si>
    <t>High School</t>
  </si>
  <si>
    <t>Permanent</t>
  </si>
  <si>
    <t>Berlin</t>
  </si>
  <si>
    <t>Hybrid</t>
  </si>
  <si>
    <t>Sales</t>
  </si>
  <si>
    <t>No</t>
  </si>
  <si>
    <t>Single</t>
  </si>
  <si>
    <t>Associate's</t>
  </si>
  <si>
    <t>Tokyo</t>
  </si>
  <si>
    <t>Fully Remote</t>
  </si>
  <si>
    <t>Alex</t>
  </si>
  <si>
    <t>Brown</t>
  </si>
  <si>
    <t>Operations</t>
  </si>
  <si>
    <t>Sarah</t>
  </si>
  <si>
    <t>Finance</t>
  </si>
  <si>
    <t>Bachelor's</t>
  </si>
  <si>
    <t>Contract</t>
  </si>
  <si>
    <t>Davis</t>
  </si>
  <si>
    <t>Divorced</t>
  </si>
  <si>
    <t>London</t>
  </si>
  <si>
    <t>Jane</t>
  </si>
  <si>
    <t>Smith</t>
  </si>
  <si>
    <t>New York</t>
  </si>
  <si>
    <t>Miller</t>
  </si>
  <si>
    <t>Katie</t>
  </si>
  <si>
    <t>Johnson</t>
  </si>
  <si>
    <t>John</t>
  </si>
  <si>
    <t>UPPER()</t>
  </si>
  <si>
    <t>LOWER()</t>
  </si>
  <si>
    <t>PROPER()</t>
  </si>
  <si>
    <t>LEN()</t>
  </si>
  <si>
    <t>TRIM()</t>
  </si>
  <si>
    <t>LEFT()</t>
  </si>
  <si>
    <t>RIGHT()</t>
  </si>
  <si>
    <t>MID()</t>
  </si>
  <si>
    <t>Full Name</t>
  </si>
  <si>
    <t>email</t>
  </si>
  <si>
    <t>Employees Department</t>
  </si>
  <si>
    <t>Addition(+)</t>
  </si>
  <si>
    <t>Subtraction(-)</t>
  </si>
  <si>
    <t>Multiplication(*)</t>
  </si>
  <si>
    <t>Division(/)</t>
  </si>
  <si>
    <t>Expontent(^)</t>
  </si>
  <si>
    <t>sum()</t>
  </si>
  <si>
    <t>AVERAGE()</t>
  </si>
  <si>
    <t>MAX</t>
  </si>
  <si>
    <t>MIN</t>
  </si>
  <si>
    <t>COUNT()</t>
  </si>
  <si>
    <t>TODAY()</t>
  </si>
  <si>
    <t>NOW()</t>
  </si>
  <si>
    <t>YEAR()</t>
  </si>
  <si>
    <t>MONTH()</t>
  </si>
  <si>
    <t>DAY()</t>
  </si>
  <si>
    <t>Today()</t>
  </si>
  <si>
    <t>Hire Year</t>
  </si>
  <si>
    <t>Hire Month</t>
  </si>
  <si>
    <t>Hire day</t>
  </si>
  <si>
    <t>datedif</t>
  </si>
  <si>
    <t>Datediff</t>
  </si>
  <si>
    <t>Networkdays()</t>
  </si>
  <si>
    <t>Age Category</t>
  </si>
  <si>
    <t>Salary Category</t>
  </si>
  <si>
    <t>good employee(and)</t>
  </si>
  <si>
    <t>good employee(or)</t>
  </si>
  <si>
    <t>A</t>
  </si>
  <si>
    <t>Sum of Salary</t>
  </si>
  <si>
    <t>Row Labels</t>
  </si>
  <si>
    <t>Grand Total</t>
  </si>
  <si>
    <t>Column Labels</t>
  </si>
  <si>
    <t>(All)</t>
  </si>
  <si>
    <t>Average of Manager Feedback Score</t>
  </si>
  <si>
    <t>Count of Employee ID</t>
  </si>
  <si>
    <t>Average of Salary</t>
  </si>
  <si>
    <t>Count of First Name</t>
  </si>
  <si>
    <t>110000-120000</t>
  </si>
  <si>
    <t>Jan</t>
  </si>
  <si>
    <t>Feb</t>
  </si>
  <si>
    <t>Mar</t>
  </si>
  <si>
    <t>Apr</t>
  </si>
  <si>
    <t>May</t>
  </si>
  <si>
    <t>Jun</t>
  </si>
  <si>
    <t>Jul</t>
  </si>
  <si>
    <t>Aug</t>
  </si>
  <si>
    <t>Sep</t>
  </si>
  <si>
    <t>Oct</t>
  </si>
  <si>
    <t>Nov</t>
  </si>
  <si>
    <t>Dec</t>
  </si>
  <si>
    <t>Old</t>
  </si>
  <si>
    <t>Average of Project Count</t>
  </si>
  <si>
    <t>Sum of Bonus</t>
  </si>
  <si>
    <t>30000-39999</t>
  </si>
  <si>
    <t>40000-49999</t>
  </si>
  <si>
    <t>50000-59999</t>
  </si>
  <si>
    <t>60000-69999</t>
  </si>
  <si>
    <t>70000-79999</t>
  </si>
  <si>
    <t>80000-89999</t>
  </si>
  <si>
    <t>90000-99999</t>
  </si>
  <si>
    <t>100000-109999</t>
  </si>
  <si>
    <t>Average of Bonus2</t>
  </si>
  <si>
    <t>1-5</t>
  </si>
  <si>
    <t>6-10</t>
  </si>
  <si>
    <t>11-15</t>
  </si>
  <si>
    <t>16-20</t>
  </si>
  <si>
    <t>21-25</t>
  </si>
  <si>
    <t>26-30</t>
  </si>
  <si>
    <t>31-35</t>
  </si>
  <si>
    <t>36-40</t>
  </si>
  <si>
    <t>Average of Bonus</t>
  </si>
  <si>
    <t>Average of Salary2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</si>
</sst>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8" formatCode="[$KES]\ #,##0"/>
    <numFmt numFmtId="169" formatCode="[$KES]\ #,##0.00"/>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1" fillId="0" borderId="0" xfId="0" applyFont="1" applyAlignment="1">
      <alignment horizontal="center" vertical="top"/>
    </xf>
    <xf numFmtId="0" fontId="2" fillId="0" borderId="0" xfId="1"/>
    <xf numFmtId="14" fontId="0" fillId="0" borderId="0" xfId="0" applyNumberFormat="1"/>
    <xf numFmtId="22" fontId="0" fillId="0" borderId="0" xfId="0" applyNumberFormat="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168" fontId="0" fillId="0" borderId="0" xfId="0" applyNumberFormat="1" applyAlignment="1">
      <alignment horizontal="left"/>
    </xf>
    <xf numFmtId="168" fontId="0" fillId="0" borderId="0" xfId="0" applyNumberFormat="1"/>
    <xf numFmtId="169" fontId="0" fillId="0" borderId="0" xfId="0" applyNumberFormat="1"/>
    <xf numFmtId="164" fontId="0" fillId="0" borderId="0" xfId="0" applyNumberFormat="1" applyAlignment="1">
      <alignment horizontal="left" indent="1"/>
    </xf>
    <xf numFmtId="0" fontId="0" fillId="2"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lrMapOvr bg1="lt1" tx1="dk1" bg2="lt2" tx2="dk2" accent1="accent1" accent2="accent2" accent3="accent3" accent4="accent4" accent5="accent5" accent6="accent6" hlink="hlink" folHlink="folHlink"/>
  <c:pivotSource>
    <c:name>[HR dataset with formulas.xlsx]PIVOT TABLES!PivotTable6</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TOTAL</a:t>
            </a:r>
            <a:r>
              <a:rPr lang="en-US" b="1" baseline="0">
                <a:solidFill>
                  <a:schemeClr val="accent2"/>
                </a:solidFill>
              </a:rPr>
              <a:t> SALARY by DEPARTMENT &amp; GENDER</a:t>
            </a:r>
            <a:endParaRPr lang="en-US"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TABLES'!$B$5:$B$6</c:f>
              <c:strCache>
                <c:ptCount val="1"/>
                <c:pt idx="0">
                  <c:v>Female</c:v>
                </c:pt>
              </c:strCache>
            </c:strRef>
          </c:tx>
          <c:spPr>
            <a:solidFill>
              <a:schemeClr val="accent5">
                <a:shade val="76000"/>
              </a:schemeClr>
            </a:solidFill>
            <a:ln>
              <a:noFill/>
            </a:ln>
            <a:effectLst/>
          </c:spPr>
          <c:invertIfNegative val="0"/>
          <c:cat>
            <c:strRef>
              <c:f>'PIVOT TABLES'!$A$7:$A$13</c:f>
              <c:strCache>
                <c:ptCount val="6"/>
                <c:pt idx="0">
                  <c:v>Finance</c:v>
                </c:pt>
                <c:pt idx="1">
                  <c:v>HR</c:v>
                </c:pt>
                <c:pt idx="2">
                  <c:v>IT</c:v>
                </c:pt>
                <c:pt idx="3">
                  <c:v>Marketing</c:v>
                </c:pt>
                <c:pt idx="4">
                  <c:v>Operations</c:v>
                </c:pt>
                <c:pt idx="5">
                  <c:v>Sales</c:v>
                </c:pt>
              </c:strCache>
            </c:strRef>
          </c:cat>
          <c:val>
            <c:numRef>
              <c:f>'PIVOT TABLES'!$B$7:$B$13</c:f>
              <c:numCache>
                <c:formatCode>General</c:formatCode>
                <c:ptCount val="6"/>
                <c:pt idx="0">
                  <c:v>1284081</c:v>
                </c:pt>
                <c:pt idx="1">
                  <c:v>1189368</c:v>
                </c:pt>
                <c:pt idx="2">
                  <c:v>1407547</c:v>
                </c:pt>
                <c:pt idx="3">
                  <c:v>719439</c:v>
                </c:pt>
                <c:pt idx="4">
                  <c:v>1576459</c:v>
                </c:pt>
                <c:pt idx="5">
                  <c:v>995983</c:v>
                </c:pt>
              </c:numCache>
            </c:numRef>
          </c:val>
          <c:extLst>
            <c:ext xmlns:c16="http://schemas.microsoft.com/office/drawing/2014/chart" uri="{C3380CC4-5D6E-409C-BE32-E72D297353CC}">
              <c16:uniqueId val="{00000000-E233-4557-918B-0FDFCFD1626B}"/>
            </c:ext>
          </c:extLst>
        </c:ser>
        <c:ser>
          <c:idx val="1"/>
          <c:order val="1"/>
          <c:tx>
            <c:strRef>
              <c:f>'PIVOT TABLES'!$C$5:$C$6</c:f>
              <c:strCache>
                <c:ptCount val="1"/>
                <c:pt idx="0">
                  <c:v>Male</c:v>
                </c:pt>
              </c:strCache>
            </c:strRef>
          </c:tx>
          <c:spPr>
            <a:solidFill>
              <a:schemeClr val="accent5">
                <a:tint val="77000"/>
              </a:schemeClr>
            </a:solidFill>
            <a:ln>
              <a:noFill/>
            </a:ln>
            <a:effectLst/>
          </c:spPr>
          <c:invertIfNegative val="0"/>
          <c:cat>
            <c:strRef>
              <c:f>'PIVOT TABLES'!$A$7:$A$13</c:f>
              <c:strCache>
                <c:ptCount val="6"/>
                <c:pt idx="0">
                  <c:v>Finance</c:v>
                </c:pt>
                <c:pt idx="1">
                  <c:v>HR</c:v>
                </c:pt>
                <c:pt idx="2">
                  <c:v>IT</c:v>
                </c:pt>
                <c:pt idx="3">
                  <c:v>Marketing</c:v>
                </c:pt>
                <c:pt idx="4">
                  <c:v>Operations</c:v>
                </c:pt>
                <c:pt idx="5">
                  <c:v>Sales</c:v>
                </c:pt>
              </c:strCache>
            </c:strRef>
          </c:cat>
          <c:val>
            <c:numRef>
              <c:f>'PIVOT TABLES'!$C$7:$C$13</c:f>
              <c:numCache>
                <c:formatCode>General</c:formatCode>
                <c:ptCount val="6"/>
                <c:pt idx="0">
                  <c:v>1023071</c:v>
                </c:pt>
                <c:pt idx="1">
                  <c:v>1079957</c:v>
                </c:pt>
                <c:pt idx="2">
                  <c:v>957974</c:v>
                </c:pt>
                <c:pt idx="3">
                  <c:v>1167950</c:v>
                </c:pt>
                <c:pt idx="4">
                  <c:v>1039516</c:v>
                </c:pt>
                <c:pt idx="5">
                  <c:v>821381</c:v>
                </c:pt>
              </c:numCache>
            </c:numRef>
          </c:val>
          <c:extLst>
            <c:ext xmlns:c16="http://schemas.microsoft.com/office/drawing/2014/chart" uri="{C3380CC4-5D6E-409C-BE32-E72D297353CC}">
              <c16:uniqueId val="{00000001-E233-4557-918B-0FDFCFD1626B}"/>
            </c:ext>
          </c:extLst>
        </c:ser>
        <c:dLbls>
          <c:showLegendKey val="0"/>
          <c:showVal val="0"/>
          <c:showCatName val="0"/>
          <c:showSerName val="0"/>
          <c:showPercent val="0"/>
          <c:showBubbleSize val="0"/>
        </c:dLbls>
        <c:gapWidth val="219"/>
        <c:overlap val="-27"/>
        <c:axId val="626871904"/>
        <c:axId val="626873704"/>
      </c:barChart>
      <c:catAx>
        <c:axId val="62687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873704"/>
        <c:crosses val="autoZero"/>
        <c:auto val="1"/>
        <c:lblAlgn val="ctr"/>
        <c:lblOffset val="100"/>
        <c:noMultiLvlLbl val="0"/>
      </c:catAx>
      <c:valAx>
        <c:axId val="626873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87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 dataset with formulas.xlsx]PIVOT TABLES!PivotTable7</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accent2"/>
                </a:solidFill>
              </a:rPr>
              <a:t>AVERAGE FEEDBACK by LOCATION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TABLES'!$B$18</c:f>
              <c:strCache>
                <c:ptCount val="1"/>
                <c:pt idx="0">
                  <c:v>Total</c:v>
                </c:pt>
              </c:strCache>
            </c:strRef>
          </c:tx>
          <c:spPr>
            <a:solidFill>
              <a:schemeClr val="accent5"/>
            </a:solidFill>
            <a:ln>
              <a:noFill/>
            </a:ln>
            <a:effectLst/>
          </c:spPr>
          <c:invertIfNegative val="0"/>
          <c:cat>
            <c:strRef>
              <c:f>'PIVOT TABLES'!$A$19:$A$25</c:f>
              <c:strCache>
                <c:ptCount val="6"/>
                <c:pt idx="0">
                  <c:v>Berlin</c:v>
                </c:pt>
                <c:pt idx="1">
                  <c:v>London</c:v>
                </c:pt>
                <c:pt idx="2">
                  <c:v>Nairobi</c:v>
                </c:pt>
                <c:pt idx="3">
                  <c:v>New York</c:v>
                </c:pt>
                <c:pt idx="4">
                  <c:v>San Francisco</c:v>
                </c:pt>
                <c:pt idx="5">
                  <c:v>Tokyo</c:v>
                </c:pt>
              </c:strCache>
            </c:strRef>
          </c:cat>
          <c:val>
            <c:numRef>
              <c:f>'PIVOT TABLES'!$B$19:$B$25</c:f>
              <c:numCache>
                <c:formatCode>0.00</c:formatCode>
                <c:ptCount val="6"/>
                <c:pt idx="0">
                  <c:v>3.0808823529411766</c:v>
                </c:pt>
                <c:pt idx="1">
                  <c:v>3.0054794520547938</c:v>
                </c:pt>
                <c:pt idx="2">
                  <c:v>2.9399999999999995</c:v>
                </c:pt>
                <c:pt idx="3">
                  <c:v>3.0386666666666664</c:v>
                </c:pt>
                <c:pt idx="4">
                  <c:v>3.0889610389610374</c:v>
                </c:pt>
                <c:pt idx="5">
                  <c:v>2.9270967741935485</c:v>
                </c:pt>
              </c:numCache>
            </c:numRef>
          </c:val>
          <c:extLst>
            <c:ext xmlns:c16="http://schemas.microsoft.com/office/drawing/2014/chart" uri="{C3380CC4-5D6E-409C-BE32-E72D297353CC}">
              <c16:uniqueId val="{00000000-7A63-4B81-9626-2645AC2E4394}"/>
            </c:ext>
          </c:extLst>
        </c:ser>
        <c:dLbls>
          <c:showLegendKey val="0"/>
          <c:showVal val="0"/>
          <c:showCatName val="0"/>
          <c:showSerName val="0"/>
          <c:showPercent val="0"/>
          <c:showBubbleSize val="0"/>
        </c:dLbls>
        <c:gapWidth val="182"/>
        <c:axId val="572348080"/>
        <c:axId val="572348440"/>
      </c:barChart>
      <c:catAx>
        <c:axId val="57234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348440"/>
        <c:crosses val="autoZero"/>
        <c:auto val="1"/>
        <c:lblAlgn val="ctr"/>
        <c:lblOffset val="100"/>
        <c:noMultiLvlLbl val="0"/>
      </c:catAx>
      <c:valAx>
        <c:axId val="57234844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34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 dataset with formulas.xlsx]PIVOT TABLES!PivotTable10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AVERAGE FEEDBACK</a:t>
            </a:r>
            <a:r>
              <a:rPr lang="en-US" b="1" baseline="0">
                <a:solidFill>
                  <a:schemeClr val="accent2"/>
                </a:solidFill>
              </a:rPr>
              <a:t> by MARITAL STATUS</a:t>
            </a:r>
            <a:endParaRPr lang="en-US"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s>
    <c:plotArea>
      <c:layout/>
      <c:doughnutChart>
        <c:varyColors val="1"/>
        <c:ser>
          <c:idx val="0"/>
          <c:order val="0"/>
          <c:tx>
            <c:strRef>
              <c:f>'PIVOT TABLES'!$M$19</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CF11-4D9B-83F8-806E756E219F}"/>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CF11-4D9B-83F8-806E756E219F}"/>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CF11-4D9B-83F8-806E756E219F}"/>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CF11-4D9B-83F8-806E756E219F}"/>
              </c:ext>
            </c:extLst>
          </c:dPt>
          <c:cat>
            <c:strRef>
              <c:f>'PIVOT TABLES'!$L$20:$L$24</c:f>
              <c:strCache>
                <c:ptCount val="4"/>
                <c:pt idx="0">
                  <c:v>Divorced</c:v>
                </c:pt>
                <c:pt idx="1">
                  <c:v>Married</c:v>
                </c:pt>
                <c:pt idx="2">
                  <c:v>Single</c:v>
                </c:pt>
                <c:pt idx="3">
                  <c:v>Widowed</c:v>
                </c:pt>
              </c:strCache>
            </c:strRef>
          </c:cat>
          <c:val>
            <c:numRef>
              <c:f>'PIVOT TABLES'!$M$20:$M$24</c:f>
              <c:numCache>
                <c:formatCode>0.00</c:formatCode>
                <c:ptCount val="4"/>
                <c:pt idx="0">
                  <c:v>2.880861244019139</c:v>
                </c:pt>
                <c:pt idx="1">
                  <c:v>3.0095652173913034</c:v>
                </c:pt>
                <c:pt idx="2">
                  <c:v>3.1097222222222221</c:v>
                </c:pt>
                <c:pt idx="3">
                  <c:v>3.0493212669683261</c:v>
                </c:pt>
              </c:numCache>
            </c:numRef>
          </c:val>
          <c:extLst>
            <c:ext xmlns:c16="http://schemas.microsoft.com/office/drawing/2014/chart" uri="{C3380CC4-5D6E-409C-BE32-E72D297353CC}">
              <c16:uniqueId val="{00000008-CF11-4D9B-83F8-806E756E219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 dataset with formulas.xlsx]PIVOT TABLES!PivotTable18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AVERAGE MONTHLY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TABLES'!$P$46</c:f>
              <c:strCache>
                <c:ptCount val="1"/>
                <c:pt idx="0">
                  <c:v>Total</c:v>
                </c:pt>
              </c:strCache>
            </c:strRef>
          </c:tx>
          <c:spPr>
            <a:ln w="28575" cap="rnd">
              <a:solidFill>
                <a:schemeClr val="accent5"/>
              </a:solidFill>
              <a:round/>
            </a:ln>
            <a:effectLst/>
          </c:spPr>
          <c:marker>
            <c:symbol val="none"/>
          </c:marker>
          <c:cat>
            <c:strRef>
              <c:f>'PIVOT TABLES'!$O$47:$O$59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TABLES'!$P$47:$P$59</c:f>
              <c:numCache>
                <c:formatCode>[$KES]\ #,##0.00</c:formatCode>
                <c:ptCount val="12"/>
                <c:pt idx="0">
                  <c:v>74839.954545454544</c:v>
                </c:pt>
                <c:pt idx="1">
                  <c:v>68380.82432432432</c:v>
                </c:pt>
                <c:pt idx="2">
                  <c:v>76615.24705882353</c:v>
                </c:pt>
                <c:pt idx="3">
                  <c:v>77014.126582278477</c:v>
                </c:pt>
                <c:pt idx="4">
                  <c:v>74272.069444444438</c:v>
                </c:pt>
                <c:pt idx="5">
                  <c:v>71889.013513513521</c:v>
                </c:pt>
                <c:pt idx="6">
                  <c:v>72196.486111111109</c:v>
                </c:pt>
                <c:pt idx="7">
                  <c:v>76118.867469879522</c:v>
                </c:pt>
                <c:pt idx="8">
                  <c:v>77550.411764705888</c:v>
                </c:pt>
                <c:pt idx="9">
                  <c:v>72248.057142857142</c:v>
                </c:pt>
                <c:pt idx="10">
                  <c:v>73653.38461538461</c:v>
                </c:pt>
                <c:pt idx="11">
                  <c:v>73302.970588235301</c:v>
                </c:pt>
              </c:numCache>
            </c:numRef>
          </c:val>
          <c:smooth val="0"/>
          <c:extLst>
            <c:ext xmlns:c16="http://schemas.microsoft.com/office/drawing/2014/chart" uri="{C3380CC4-5D6E-409C-BE32-E72D297353CC}">
              <c16:uniqueId val="{00000000-06D7-4E1F-8687-692024B0D20E}"/>
            </c:ext>
          </c:extLst>
        </c:ser>
        <c:dLbls>
          <c:showLegendKey val="0"/>
          <c:showVal val="0"/>
          <c:showCatName val="0"/>
          <c:showSerName val="0"/>
          <c:showPercent val="0"/>
          <c:showBubbleSize val="0"/>
        </c:dLbls>
        <c:smooth val="0"/>
        <c:axId val="633037456"/>
        <c:axId val="633034216"/>
      </c:lineChart>
      <c:catAx>
        <c:axId val="63303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034216"/>
        <c:crosses val="autoZero"/>
        <c:auto val="1"/>
        <c:lblAlgn val="ctr"/>
        <c:lblOffset val="100"/>
        <c:noMultiLvlLbl val="0"/>
      </c:catAx>
      <c:valAx>
        <c:axId val="633034216"/>
        <c:scaling>
          <c:orientation val="minMax"/>
        </c:scaling>
        <c:delete val="0"/>
        <c:axPos val="l"/>
        <c:majorGridlines>
          <c:spPr>
            <a:ln w="9525" cap="flat" cmpd="sng" algn="ctr">
              <a:solidFill>
                <a:schemeClr val="tx1">
                  <a:lumMod val="15000"/>
                  <a:lumOff val="85000"/>
                </a:schemeClr>
              </a:solidFill>
              <a:round/>
            </a:ln>
            <a:effectLst/>
          </c:spPr>
        </c:majorGridlines>
        <c:numFmt formatCode="[$KES]\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03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152400</xdr:colOff>
      <xdr:row>2</xdr:row>
      <xdr:rowOff>9525</xdr:rowOff>
    </xdr:from>
    <xdr:to>
      <xdr:col>5</xdr:col>
      <xdr:colOff>1078878</xdr:colOff>
      <xdr:row>12</xdr:row>
      <xdr:rowOff>114300</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8F31463E-4E50-0882-40B6-0C601E5EEFE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644189" y="390525"/>
              <a:ext cx="1818821" cy="2009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809625</xdr:colOff>
      <xdr:row>2</xdr:row>
      <xdr:rowOff>0</xdr:rowOff>
    </xdr:from>
    <xdr:to>
      <xdr:col>8</xdr:col>
      <xdr:colOff>361465</xdr:colOff>
      <xdr:row>6</xdr:row>
      <xdr:rowOff>142875</xdr:rowOff>
    </xdr:to>
    <mc:AlternateContent xmlns:mc="http://schemas.openxmlformats.org/markup-compatibility/2006">
      <mc:Choice xmlns:a14="http://schemas.microsoft.com/office/drawing/2010/main" Requires="a14">
        <xdr:graphicFrame macro="">
          <xdr:nvGraphicFramePr>
            <xdr:cNvPr id="3" name="Age Category">
              <a:extLst>
                <a:ext uri="{FF2B5EF4-FFF2-40B4-BE49-F238E27FC236}">
                  <a16:creationId xmlns:a16="http://schemas.microsoft.com/office/drawing/2014/main" id="{9DEB4CBD-B12F-627A-45EB-A37BFA7266C9}"/>
                </a:ext>
              </a:extLst>
            </xdr:cNvPr>
            <xdr:cNvGraphicFramePr/>
          </xdr:nvGraphicFramePr>
          <xdr:xfrm>
            <a:off x="0" y="0"/>
            <a:ext cx="0" cy="0"/>
          </xdr:xfrm>
          <a:graphic>
            <a:graphicData uri="http://schemas.microsoft.com/office/drawing/2010/slicer">
              <sle:slicer xmlns:sle="http://schemas.microsoft.com/office/drawing/2010/slicer" name="Age Category"/>
            </a:graphicData>
          </a:graphic>
        </xdr:graphicFrame>
      </mc:Choice>
      <mc:Fallback>
        <xdr:sp macro="" textlink="">
          <xdr:nvSpPr>
            <xdr:cNvPr id="0" name=""/>
            <xdr:cNvSpPr>
              <a:spLocks noTextEdit="1"/>
            </xdr:cNvSpPr>
          </xdr:nvSpPr>
          <xdr:spPr>
            <a:xfrm>
              <a:off x="7567362" y="381000"/>
              <a:ext cx="1817787"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114300</xdr:colOff>
      <xdr:row>2</xdr:row>
      <xdr:rowOff>1</xdr:rowOff>
    </xdr:from>
    <xdr:to>
      <xdr:col>20</xdr:col>
      <xdr:colOff>131105</xdr:colOff>
      <xdr:row>6</xdr:row>
      <xdr:rowOff>133351</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BA9C9B05-3394-96DD-22E3-812786BFE0B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1159537" y="381001"/>
              <a:ext cx="1801489"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676275</xdr:colOff>
      <xdr:row>2</xdr:row>
      <xdr:rowOff>0</xdr:rowOff>
    </xdr:from>
    <xdr:to>
      <xdr:col>11</xdr:col>
      <xdr:colOff>234819</xdr:colOff>
      <xdr:row>9</xdr:row>
      <xdr:rowOff>104775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B578CE47-9B47-D724-0980-094FA47921D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1274091" y="381000"/>
              <a:ext cx="1824491"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514350</xdr:colOff>
      <xdr:row>2</xdr:row>
      <xdr:rowOff>0</xdr:rowOff>
    </xdr:from>
    <xdr:to>
      <xdr:col>13</xdr:col>
      <xdr:colOff>61842</xdr:colOff>
      <xdr:row>12</xdr:row>
      <xdr:rowOff>66675</xdr:rowOff>
    </xdr:to>
    <mc:AlternateContent xmlns:mc="http://schemas.openxmlformats.org/markup-compatibility/2006">
      <mc:Choice xmlns:a14="http://schemas.microsoft.com/office/drawing/2010/main" Requires="a14">
        <xdr:graphicFrame macro="">
          <xdr:nvGraphicFramePr>
            <xdr:cNvPr id="6" name="Education Level">
              <a:extLst>
                <a:ext uri="{FF2B5EF4-FFF2-40B4-BE49-F238E27FC236}">
                  <a16:creationId xmlns:a16="http://schemas.microsoft.com/office/drawing/2014/main" id="{56B7B817-1E41-6F0F-574C-10CC3F038497}"/>
                </a:ext>
              </a:extLst>
            </xdr:cNvPr>
            <xdr:cNvGraphicFramePr/>
          </xdr:nvGraphicFramePr>
          <xdr:xfrm>
            <a:off x="0" y="0"/>
            <a:ext cx="0" cy="0"/>
          </xdr:xfrm>
          <a:graphic>
            <a:graphicData uri="http://schemas.microsoft.com/office/drawing/2010/slicer">
              <sle:slicer xmlns:sle="http://schemas.microsoft.com/office/drawing/2010/slicer" name="Education Level"/>
            </a:graphicData>
          </a:graphic>
        </xdr:graphicFrame>
      </mc:Choice>
      <mc:Fallback>
        <xdr:sp macro="" textlink="">
          <xdr:nvSpPr>
            <xdr:cNvPr id="0" name=""/>
            <xdr:cNvSpPr>
              <a:spLocks noTextEdit="1"/>
            </xdr:cNvSpPr>
          </xdr:nvSpPr>
          <xdr:spPr>
            <a:xfrm>
              <a:off x="14270455" y="381000"/>
              <a:ext cx="1813440" cy="1971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66675</xdr:colOff>
      <xdr:row>2</xdr:row>
      <xdr:rowOff>1</xdr:rowOff>
    </xdr:from>
    <xdr:to>
      <xdr:col>16</xdr:col>
      <xdr:colOff>780326</xdr:colOff>
      <xdr:row>12</xdr:row>
      <xdr:rowOff>57151</xdr:rowOff>
    </xdr:to>
    <mc:AlternateContent xmlns:mc="http://schemas.openxmlformats.org/markup-compatibility/2006">
      <mc:Choice xmlns:a14="http://schemas.microsoft.com/office/drawing/2010/main" Requires="a14">
        <xdr:graphicFrame macro="">
          <xdr:nvGraphicFramePr>
            <xdr:cNvPr id="7" name="Office Location">
              <a:extLst>
                <a:ext uri="{FF2B5EF4-FFF2-40B4-BE49-F238E27FC236}">
                  <a16:creationId xmlns:a16="http://schemas.microsoft.com/office/drawing/2014/main" id="{53709346-9EB7-8548-DEC6-F2EEB6AD0672}"/>
                </a:ext>
              </a:extLst>
            </xdr:cNvPr>
            <xdr:cNvGraphicFramePr/>
          </xdr:nvGraphicFramePr>
          <xdr:xfrm>
            <a:off x="0" y="0"/>
            <a:ext cx="0" cy="0"/>
          </xdr:xfrm>
          <a:graphic>
            <a:graphicData uri="http://schemas.microsoft.com/office/drawing/2010/slicer">
              <sle:slicer xmlns:sle="http://schemas.microsoft.com/office/drawing/2010/slicer" name="Office Location"/>
            </a:graphicData>
          </a:graphic>
        </xdr:graphicFrame>
      </mc:Choice>
      <mc:Fallback>
        <xdr:sp macro="" textlink="">
          <xdr:nvSpPr>
            <xdr:cNvPr id="0" name=""/>
            <xdr:cNvSpPr>
              <a:spLocks noTextEdit="1"/>
            </xdr:cNvSpPr>
          </xdr:nvSpPr>
          <xdr:spPr>
            <a:xfrm>
              <a:off x="17733043" y="381001"/>
              <a:ext cx="1816546" cy="1962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293331</xdr:colOff>
      <xdr:row>13</xdr:row>
      <xdr:rowOff>113717</xdr:rowOff>
    </xdr:from>
    <xdr:to>
      <xdr:col>11</xdr:col>
      <xdr:colOff>600853</xdr:colOff>
      <xdr:row>27</xdr:row>
      <xdr:rowOff>193805</xdr:rowOff>
    </xdr:to>
    <xdr:graphicFrame macro="">
      <xdr:nvGraphicFramePr>
        <xdr:cNvPr id="6" name="Chart 5">
          <a:extLst>
            <a:ext uri="{FF2B5EF4-FFF2-40B4-BE49-F238E27FC236}">
              <a16:creationId xmlns:a16="http://schemas.microsoft.com/office/drawing/2014/main" id="{74E4EDB0-C943-4441-BD6E-0A41C2488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253676</xdr:colOff>
      <xdr:row>30</xdr:row>
      <xdr:rowOff>83781</xdr:rowOff>
    </xdr:from>
    <xdr:to>
      <xdr:col>11</xdr:col>
      <xdr:colOff>561198</xdr:colOff>
      <xdr:row>44</xdr:row>
      <xdr:rowOff>163870</xdr:rowOff>
    </xdr:to>
    <xdr:graphicFrame macro="">
      <xdr:nvGraphicFramePr>
        <xdr:cNvPr id="8" name="Chart 7">
          <a:extLst>
            <a:ext uri="{FF2B5EF4-FFF2-40B4-BE49-F238E27FC236}">
              <a16:creationId xmlns:a16="http://schemas.microsoft.com/office/drawing/2014/main" id="{6F0FFACB-0A30-4411-A338-80978BC21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259508</xdr:colOff>
      <xdr:row>30</xdr:row>
      <xdr:rowOff>103802</xdr:rowOff>
    </xdr:from>
    <xdr:to>
      <xdr:col>19</xdr:col>
      <xdr:colOff>564308</xdr:colOff>
      <xdr:row>44</xdr:row>
      <xdr:rowOff>183891</xdr:rowOff>
    </xdr:to>
    <xdr:graphicFrame macro="">
      <xdr:nvGraphicFramePr>
        <xdr:cNvPr id="12" name="Chart 11">
          <a:extLst>
            <a:ext uri="{FF2B5EF4-FFF2-40B4-BE49-F238E27FC236}">
              <a16:creationId xmlns:a16="http://schemas.microsoft.com/office/drawing/2014/main" id="{677E0701-AD9C-4605-9F1D-AF7EB6ECB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446485</xdr:colOff>
      <xdr:row>1</xdr:row>
      <xdr:rowOff>57150</xdr:rowOff>
    </xdr:from>
    <xdr:to>
      <xdr:col>16</xdr:col>
      <xdr:colOff>190500</xdr:colOff>
      <xdr:row>4</xdr:row>
      <xdr:rowOff>57150</xdr:rowOff>
    </xdr:to>
    <xdr:sp macro="" textlink="">
      <xdr:nvSpPr>
        <xdr:cNvPr id="13" name="Rectangle: Rounded Corners 12">
          <a:extLst>
            <a:ext uri="{FF2B5EF4-FFF2-40B4-BE49-F238E27FC236}">
              <a16:creationId xmlns:a16="http://schemas.microsoft.com/office/drawing/2014/main" id="{07E49111-3337-4BA3-E58A-51CA206D23D2}"/>
            </a:ext>
          </a:extLst>
        </xdr:cNvPr>
        <xdr:cNvSpPr/>
      </xdr:nvSpPr>
      <xdr:spPr>
        <a:xfrm>
          <a:off x="2262188" y="245666"/>
          <a:ext cx="7612062" cy="565547"/>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chemeClr val="accent2"/>
              </a:solidFill>
              <a:latin typeface="Garamond" panose="02020404030301010803" pitchFamily="18" charset="0"/>
            </a:rPr>
            <a:t>EMPLOYEEE PERFOMANCE DASHBOARD</a:t>
          </a:r>
        </a:p>
      </xdr:txBody>
    </xdr:sp>
    <xdr:clientData/>
  </xdr:twoCellAnchor>
  <xdr:twoCellAnchor>
    <xdr:from>
      <xdr:col>12</xdr:col>
      <xdr:colOff>252704</xdr:colOff>
      <xdr:row>13</xdr:row>
      <xdr:rowOff>136072</xdr:rowOff>
    </xdr:from>
    <xdr:to>
      <xdr:col>19</xdr:col>
      <xdr:colOff>538454</xdr:colOff>
      <xdr:row>27</xdr:row>
      <xdr:rowOff>157844</xdr:rowOff>
    </xdr:to>
    <xdr:graphicFrame macro="">
      <xdr:nvGraphicFramePr>
        <xdr:cNvPr id="19" name="Chart 18">
          <a:extLst>
            <a:ext uri="{FF2B5EF4-FFF2-40B4-BE49-F238E27FC236}">
              <a16:creationId xmlns:a16="http://schemas.microsoft.com/office/drawing/2014/main" id="{250B7D42-A6EF-4BFF-BF60-59BAEBBA0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555366</xdr:colOff>
      <xdr:row>5</xdr:row>
      <xdr:rowOff>95056</xdr:rowOff>
    </xdr:from>
    <xdr:to>
      <xdr:col>3</xdr:col>
      <xdr:colOff>547202</xdr:colOff>
      <xdr:row>15</xdr:row>
      <xdr:rowOff>126353</xdr:rowOff>
    </xdr:to>
    <mc:AlternateContent xmlns:mc="http://schemas.openxmlformats.org/markup-compatibility/2006">
      <mc:Choice xmlns:a14="http://schemas.microsoft.com/office/drawing/2010/main" Requires="a14">
        <xdr:graphicFrame macro="">
          <xdr:nvGraphicFramePr>
            <xdr:cNvPr id="20" name="Department 1">
              <a:extLst>
                <a:ext uri="{FF2B5EF4-FFF2-40B4-BE49-F238E27FC236}">
                  <a16:creationId xmlns:a16="http://schemas.microsoft.com/office/drawing/2014/main" id="{7F79CFC9-D23F-E94C-438E-1ADB9E79BBD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555366" y="1066995"/>
              <a:ext cx="1828800" cy="1975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535927</xdr:colOff>
      <xdr:row>16</xdr:row>
      <xdr:rowOff>106720</xdr:rowOff>
    </xdr:from>
    <xdr:to>
      <xdr:col>3</xdr:col>
      <xdr:colOff>527763</xdr:colOff>
      <xdr:row>26</xdr:row>
      <xdr:rowOff>174950</xdr:rowOff>
    </xdr:to>
    <mc:AlternateContent xmlns:mc="http://schemas.openxmlformats.org/markup-compatibility/2006">
      <mc:Choice xmlns:a14="http://schemas.microsoft.com/office/drawing/2010/main" Requires="a14">
        <xdr:graphicFrame macro="">
          <xdr:nvGraphicFramePr>
            <xdr:cNvPr id="24" name="Office Location 1">
              <a:extLst>
                <a:ext uri="{FF2B5EF4-FFF2-40B4-BE49-F238E27FC236}">
                  <a16:creationId xmlns:a16="http://schemas.microsoft.com/office/drawing/2014/main" id="{9031A9CA-3A5D-68E6-E467-DAAB90CC1941}"/>
                </a:ext>
              </a:extLst>
            </xdr:cNvPr>
            <xdr:cNvGraphicFramePr/>
          </xdr:nvGraphicFramePr>
          <xdr:xfrm>
            <a:off x="0" y="0"/>
            <a:ext cx="0" cy="0"/>
          </xdr:xfrm>
          <a:graphic>
            <a:graphicData uri="http://schemas.microsoft.com/office/drawing/2010/slicer">
              <sle:slicer xmlns:sle="http://schemas.microsoft.com/office/drawing/2010/slicer" name="Office Location 1"/>
            </a:graphicData>
          </a:graphic>
        </xdr:graphicFrame>
      </mc:Choice>
      <mc:Fallback>
        <xdr:sp macro="" textlink="">
          <xdr:nvSpPr>
            <xdr:cNvPr id="0" name=""/>
            <xdr:cNvSpPr>
              <a:spLocks noTextEdit="1"/>
            </xdr:cNvSpPr>
          </xdr:nvSpPr>
          <xdr:spPr>
            <a:xfrm>
              <a:off x="535927" y="3216924"/>
              <a:ext cx="1828800" cy="20121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535927</xdr:colOff>
      <xdr:row>27</xdr:row>
      <xdr:rowOff>87281</xdr:rowOff>
    </xdr:from>
    <xdr:to>
      <xdr:col>3</xdr:col>
      <xdr:colOff>527763</xdr:colOff>
      <xdr:row>35</xdr:row>
      <xdr:rowOff>9720</xdr:rowOff>
    </xdr:to>
    <mc:AlternateContent xmlns:mc="http://schemas.openxmlformats.org/markup-compatibility/2006">
      <mc:Choice xmlns:a14="http://schemas.microsoft.com/office/drawing/2010/main" Requires="a14">
        <xdr:graphicFrame macro="">
          <xdr:nvGraphicFramePr>
            <xdr:cNvPr id="25" name="Marital Status 1">
              <a:extLst>
                <a:ext uri="{FF2B5EF4-FFF2-40B4-BE49-F238E27FC236}">
                  <a16:creationId xmlns:a16="http://schemas.microsoft.com/office/drawing/2014/main" id="{4212693D-43BF-5D82-AB15-0C04A98210B3}"/>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dr:sp macro="" textlink="">
          <xdr:nvSpPr>
            <xdr:cNvPr id="0" name=""/>
            <xdr:cNvSpPr>
              <a:spLocks noTextEdit="1"/>
            </xdr:cNvSpPr>
          </xdr:nvSpPr>
          <xdr:spPr>
            <a:xfrm>
              <a:off x="535927" y="5335750"/>
              <a:ext cx="1828800" cy="1477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242985</xdr:colOff>
      <xdr:row>4</xdr:row>
      <xdr:rowOff>174949</xdr:rowOff>
    </xdr:from>
    <xdr:to>
      <xdr:col>8</xdr:col>
      <xdr:colOff>48598</xdr:colOff>
      <xdr:row>10</xdr:row>
      <xdr:rowOff>106913</xdr:rowOff>
    </xdr:to>
    <xdr:sp macro="" textlink="">
      <xdr:nvSpPr>
        <xdr:cNvPr id="26" name="Oval 25">
          <a:extLst>
            <a:ext uri="{FF2B5EF4-FFF2-40B4-BE49-F238E27FC236}">
              <a16:creationId xmlns:a16="http://schemas.microsoft.com/office/drawing/2014/main" id="{E7D59D7E-0F16-8D31-7172-1B5C16E09F70}"/>
            </a:ext>
          </a:extLst>
        </xdr:cNvPr>
        <xdr:cNvSpPr/>
      </xdr:nvSpPr>
      <xdr:spPr>
        <a:xfrm>
          <a:off x="2692271" y="952500"/>
          <a:ext cx="2254898" cy="1098291"/>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SALARY</a:t>
          </a:r>
        </a:p>
        <a:p>
          <a:pPr algn="l"/>
          <a:endParaRPr lang="en-US" sz="1100"/>
        </a:p>
        <a:p>
          <a:pPr algn="l"/>
          <a:endParaRPr lang="en-US" sz="1100"/>
        </a:p>
      </xdr:txBody>
    </xdr:sp>
    <xdr:clientData/>
  </xdr:twoCellAnchor>
  <xdr:twoCellAnchor>
    <xdr:from>
      <xdr:col>9</xdr:col>
      <xdr:colOff>398495</xdr:colOff>
      <xdr:row>4</xdr:row>
      <xdr:rowOff>145790</xdr:rowOff>
    </xdr:from>
    <xdr:to>
      <xdr:col>13</xdr:col>
      <xdr:colOff>204107</xdr:colOff>
      <xdr:row>10</xdr:row>
      <xdr:rowOff>77754</xdr:rowOff>
    </xdr:to>
    <xdr:sp macro="" textlink="">
      <xdr:nvSpPr>
        <xdr:cNvPr id="28" name="Oval 27">
          <a:extLst>
            <a:ext uri="{FF2B5EF4-FFF2-40B4-BE49-F238E27FC236}">
              <a16:creationId xmlns:a16="http://schemas.microsoft.com/office/drawing/2014/main" id="{216E8F49-1713-4951-B3A0-E5010F507787}"/>
            </a:ext>
          </a:extLst>
        </xdr:cNvPr>
        <xdr:cNvSpPr/>
      </xdr:nvSpPr>
      <xdr:spPr>
        <a:xfrm>
          <a:off x="5909388" y="923341"/>
          <a:ext cx="2254898" cy="1098291"/>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BONUS</a:t>
          </a:r>
        </a:p>
        <a:p>
          <a:pPr algn="l"/>
          <a:endParaRPr lang="en-US" sz="1100"/>
        </a:p>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ES" refreshedDate="46100.443839120373" createdVersion="8" refreshedVersion="8" minRefreshableVersion="3" recordCount="876" xr:uid="{D9CA057E-FF5C-47BE-815E-B4AA5FAE76FD}">
  <cacheSource type="worksheet">
    <worksheetSource ref="A1:AJ877" sheet="COPY"/>
  </cacheSource>
  <cacheFields count="37">
    <cacheField name="Employee ID" numFmtId="0">
      <sharedItems containsSemiMixedTypes="0" containsString="0" containsNumber="1" containsInteger="1" minValue="10001" maxValue="10876" count="876">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sharedItems>
    </cacheField>
    <cacheField name="First Name" numFmtId="0">
      <sharedItems count="8">
        <s v="Michael"/>
        <s v="Emily"/>
        <s v="Chris"/>
        <s v="Alex"/>
        <s v="Sarah"/>
        <s v="Jane"/>
        <s v="Katie"/>
        <s v="John"/>
      </sharedItems>
    </cacheField>
    <cacheField name="Last Name" numFmtId="0">
      <sharedItems/>
    </cacheField>
    <cacheField name="Department" numFmtId="0">
      <sharedItems count="6">
        <s v="HR"/>
        <s v="Marketing"/>
        <s v="IT"/>
        <s v="Sales"/>
        <s v="Operations"/>
        <s v="Finance"/>
      </sharedItems>
    </cacheField>
    <cacheField name="Employees Department" numFmtId="0">
      <sharedItems count="310">
        <s v="Michael Williams is in HR Department"/>
        <s v="Emily Wilson is in Marketing Department"/>
        <s v="Chris Wilson is in IT Department"/>
        <s v="Michael Wilson is in Sales Department"/>
        <s v="Alex Brown is in Operations Department"/>
        <s v="Sarah Wilson is in Finance Department"/>
        <s v="Chris Davis is in Finance Department"/>
        <s v="Chris Williams is in HR Department"/>
        <s v="Michael Wilson is in IT Department"/>
        <s v="Jane Smith is in Marketing Department"/>
        <s v="Alex Brown is in Finance Department"/>
        <s v="Michael Davis is in HR Department"/>
        <s v="Alex Smith is in Sales Department"/>
        <s v="Alex Smith is in IT Department"/>
        <s v="Sarah Smith is in IT Department"/>
        <s v="Chris Smith is in HR Department"/>
        <s v="Emily Williams is in HR Department"/>
        <s v="Sarah Wilson is in Marketing Department"/>
        <s v="Sarah Miller is in HR Department"/>
        <s v="Alex Williams is in Marketing Department"/>
        <s v="Katie Williams is in Marketing Department"/>
        <s v="Chris Davis is in Operations Department"/>
        <s v="Jane Davis is in IT Department"/>
        <s v="Sarah Wilson is in Sales Department"/>
        <s v="Emily Miller is in IT Department"/>
        <s v="Katie Davis is in IT Department"/>
        <s v="Katie Wilson is in Operations Department"/>
        <s v="Jane Wilson is in Marketing Department"/>
        <s v="Sarah Johnson is in Marketing Department"/>
        <s v="Emily Miller is in HR Department"/>
        <s v="John Miller is in HR Department"/>
        <s v="Emily Williams is in Operations Department"/>
        <s v="Jane Williams is in HR Department"/>
        <s v="Katie Miller is in Finance Department"/>
        <s v="Chris Johnson is in IT Department"/>
        <s v="Emily Johnson is in IT Department"/>
        <s v="John Miller is in Sales Department"/>
        <s v="John Davis is in Marketing Department"/>
        <s v="Alex Brown is in Sales Department"/>
        <s v="Alex Johnson is in Finance Department"/>
        <s v="Michael Smith is in Sales Department"/>
        <s v="Jane Williams is in IT Department"/>
        <s v="Sarah Miller is in Marketing Department"/>
        <s v="Emily Smith is in Finance Department"/>
        <s v="Sarah Wilson is in HR Department"/>
        <s v="Michael Williams is in Operations Department"/>
        <s v="Katie Williams is in Finance Department"/>
        <s v="Katie Johnson is in Marketing Department"/>
        <s v="Michael Johnson is in Sales Department"/>
        <s v="Katie Smith is in Sales Department"/>
        <s v="Alex Wilson is in Finance Department"/>
        <s v="Emily Miller is in Marketing Department"/>
        <s v="Michael Wilson is in Finance Department"/>
        <s v="Emily Williams is in Marketing Department"/>
        <s v="Sarah Smith is in Sales Department"/>
        <s v="John Brown is in IT Department"/>
        <s v="Alex Smith is in HR Department"/>
        <s v="Chris Davis is in IT Department"/>
        <s v="John Davis is in IT Department"/>
        <s v="Michael Davis is in Finance Department"/>
        <s v="Jane Brown is in Operations Department"/>
        <s v="Emily Smith is in Sales Department"/>
        <s v="John Wilson is in Marketing Department"/>
        <s v="Katie Brown is in Marketing Department"/>
        <s v="Jane Williams is in Marketing Department"/>
        <s v="Jane Johnson is in HR Department"/>
        <s v="Chris Smith is in Finance Department"/>
        <s v="Jane Johnson is in IT Department"/>
        <s v="Emily Miller is in Sales Department"/>
        <s v="Michael Brown is in Marketing Department"/>
        <s v="Emily Miller is in Operations Department"/>
        <s v="Sarah Williams is in HR Department"/>
        <s v="Alex Miller is in Marketing Department"/>
        <s v="Katie Brown is in Finance Department"/>
        <s v="John Davis is in Operations Department"/>
        <s v="Emily Davis is in Marketing Department"/>
        <s v="Jane Johnson is in Finance Department"/>
        <s v="Sarah Davis is in Finance Department"/>
        <s v="Emily Davis is in Sales Department"/>
        <s v="Katie Johnson is in Finance Department"/>
        <s v="Jane Smith is in Finance Department"/>
        <s v="Emily Wilson is in Sales Department"/>
        <s v="Chris Johnson is in Finance Department"/>
        <s v="Michael Brown is in HR Department"/>
        <s v="Jane Miller is in Marketing Department"/>
        <s v="Jane Brown is in Sales Department"/>
        <s v="Emily Johnson is in HR Department"/>
        <s v="Jane Johnson is in Marketing Department"/>
        <s v="Emily Wilson is in Finance Department"/>
        <s v="Katie Wilson is in Sales Department"/>
        <s v="Michael Brown is in Finance Department"/>
        <s v="Sarah Johnson is in Sales Department"/>
        <s v="Michael Wilson is in Operations Department"/>
        <s v="Sarah Williams is in Finance Department"/>
        <s v="Katie Wilson is in IT Department"/>
        <s v="Michael Miller is in Sales Department"/>
        <s v="Emily Miller is in Finance Department"/>
        <s v="Katie Williams is in Sales Department"/>
        <s v="Sarah Miller is in Sales Department"/>
        <s v="Sarah Wilson is in Operations Department"/>
        <s v="Jane Wilson is in IT Department"/>
        <s v="Michael Smith is in IT Department"/>
        <s v="Chris Smith is in Sales Department"/>
        <s v="Jane Miller is in Finance Department"/>
        <s v="Emily Davis is in IT Department"/>
        <s v="Emily Davis is in Operations Department"/>
        <s v="John Williams is in HR Department"/>
        <s v="Chris Smith is in Operations Department"/>
        <s v="Michael Smith is in Finance Department"/>
        <s v="Chris Miller is in Marketing Department"/>
        <s v="John Wilson is in Finance Department"/>
        <s v="John Smith is in HR Department"/>
        <s v="Michael Wilson is in Marketing Department"/>
        <s v="John Wilson is in Sales Department"/>
        <s v="Sarah Miller is in IT Department"/>
        <s v="John Johnson is in Operations Department"/>
        <s v="Emily Johnson is in Finance Department"/>
        <s v="Sarah Brown is in HR Department"/>
        <s v="Michael Brown is in Operations Department"/>
        <s v="Alex Brown is in IT Department"/>
        <s v="Alex Johnson is in Operations Department"/>
        <s v="Alex Miller is in IT Department"/>
        <s v="Alex Davis is in Marketing Department"/>
        <s v="Chris Wilson is in HR Department"/>
        <s v="Jane Miller is in Operations Department"/>
        <s v="John Brown is in Marketing Department"/>
        <s v="Emily Davis is in HR Department"/>
        <s v="Emily Brown is in Sales Department"/>
        <s v="Jane Wilson is in Operations Department"/>
        <s v="John Wilson is in IT Department"/>
        <s v="Michael Johnson is in HR Department"/>
        <s v="Michael Johnson is in Marketing Department"/>
        <s v="Katie Johnson is in HR Department"/>
        <s v="Sarah Wilson is in IT Department"/>
        <s v="Emily Brown is in Finance Department"/>
        <s v="Sarah Smith is in HR Department"/>
        <s v="Alex Smith is in Marketing Department"/>
        <s v="John Smith is in Marketing Department"/>
        <s v="Alex Johnson is in Marketing Department"/>
        <s v="Michael Johnson is in IT Department"/>
        <s v="Alex Miller is in Sales Department"/>
        <s v="John Miller is in IT Department"/>
        <s v="Chris Smith is in IT Department"/>
        <s v="Katie Miller is in Marketing Department"/>
        <s v="Michael Davis is in Operations Department"/>
        <s v="Alex Brown is in Marketing Department"/>
        <s v="John Smith is in Operations Department"/>
        <s v="Jane Williams is in Operations Department"/>
        <s v="Jane Smith is in Operations Department"/>
        <s v="Emily Smith is in Marketing Department"/>
        <s v="Chris Williams is in Operations Department"/>
        <s v="Alex Williams is in Finance Department"/>
        <s v="Michael Smith is in HR Department"/>
        <s v="John Brown is in Operations Department"/>
        <s v="Emily Brown is in IT Department"/>
        <s v="Chris Brown is in IT Department"/>
        <s v="Sarah Johnson is in Operations Department"/>
        <s v="Katie Williams is in IT Department"/>
        <s v="Chris Davis is in Sales Department"/>
        <s v="Chris Miller is in Finance Department"/>
        <s v="Emily Smith is in IT Department"/>
        <s v="Chris Johnson is in Operations Department"/>
        <s v="Michael Johnson is in Finance Department"/>
        <s v="Alex Davis is in Sales Department"/>
        <s v="Jane Wilson is in Finance Department"/>
        <s v="Chris Johnson is in HR Department"/>
        <s v="Katie Wilson is in Marketing Department"/>
        <s v="John Wilson is in HR Department"/>
        <s v="Emily Williams is in Sales Department"/>
        <s v="Katie Smith is in Finance Department"/>
        <s v="Jane Smith is in HR Department"/>
        <s v="Michael Miller is in Marketing Department"/>
        <s v="Emily Smith is in HR Department"/>
        <s v="Katie Williams is in HR Department"/>
        <s v="John Williams is in Marketing Department"/>
        <s v="John Brown is in HR Department"/>
        <s v="John Davis is in Sales Department"/>
        <s v="Katie Smith is in Operations Department"/>
        <s v="John Davis is in Finance Department"/>
        <s v="Chris Wilson is in Sales Department"/>
        <s v="Alex Smith is in Operations Department"/>
        <s v="Michael Williams is in Sales Department"/>
        <s v="Sarah Johnson is in Finance Department"/>
        <s v="Alex Miller is in Finance Department"/>
        <s v="John Williams is in IT Department"/>
        <s v="Alex Wilson is in Sales Department"/>
        <s v="Jane Smith is in Sales Department"/>
        <s v="Michael Davis is in Marketing Department"/>
        <s v="Alex Davis is in Finance Department"/>
        <s v="Katie Brown is in Sales Department"/>
        <s v="Sarah Johnson is in HR Department"/>
        <s v="John Williams is in Operations Department"/>
        <s v="Katie Miller is in Operations Department"/>
        <s v="John Miller is in Marketing Department"/>
        <s v="Katie Wilson is in Finance Department"/>
        <s v="John Smith is in Finance Department"/>
        <s v="Chris Wilson is in Operations Department"/>
        <s v="John Miller is in Finance Department"/>
        <s v="Jane Brown is in Finance Department"/>
        <s v="Katie Brown is in HR Department"/>
        <s v="Michael Miller is in Operations Department"/>
        <s v="Chris Miller is in Sales Department"/>
        <s v="Sarah Smith is in Operations Department"/>
        <s v="John Brown is in Finance Department"/>
        <s v="Jane Smith is in IT Department"/>
        <s v="Katie Miller is in Sales Department"/>
        <s v="Michael Davis is in IT Department"/>
        <s v="Michael Wilson is in HR Department"/>
        <s v="Alex Davis is in Operations Department"/>
        <s v="Sarah Johnson is in IT Department"/>
        <s v="Jane Brown is in HR Department"/>
        <s v="Katie Miller is in IT Department"/>
        <s v="Katie Johnson is in IT Department"/>
        <s v="Chris Williams is in Sales Department"/>
        <s v="Emily Brown is in Operations Department"/>
        <s v="Sarah Smith is in Finance Department"/>
        <s v="Emily Johnson is in Marketing Department"/>
        <s v="John Brown is in Sales Department"/>
        <s v="Sarah Davis is in Sales Department"/>
        <s v="John Miller is in Operations Department"/>
        <s v="Katie Smith is in Marketing Department"/>
        <s v="Sarah Brown is in IT Department"/>
        <s v="Chris Williams is in Finance Department"/>
        <s v="Michael Davis is in Sales Department"/>
        <s v="Alex Brown is in HR Department"/>
        <s v="Alex Williams is in Operations Department"/>
        <s v="Alex Davis is in IT Department"/>
        <s v="Emily Johnson is in Sales Department"/>
        <s v="Sarah Brown is in Finance Department"/>
        <s v="Emily Wilson is in HR Department"/>
        <s v="John Johnson is in HR Department"/>
        <s v="Sarah Brown is in Sales Department"/>
        <s v="Sarah Williams is in Operations Department"/>
        <s v="Jane Williams is in Sales Department"/>
        <s v="Jane Wilson is in Sales Department"/>
        <s v="Jane Johnson is in Operations Department"/>
        <s v="Katie Smith is in HR Department"/>
        <s v="Alex Johnson is in HR Department"/>
        <s v="John Williams is in Finance Department"/>
        <s v="Katie Davis is in HR Department"/>
        <s v="Sarah Brown is in Operations Department"/>
        <s v="Alex Wilson is in HR Department"/>
        <s v="Katie Miller is in HR Department"/>
        <s v="Katie Brown is in IT Department"/>
        <s v="John Johnson is in Marketing Department"/>
        <s v="Chris Davis is in Marketing Department"/>
        <s v="Alex Miller is in HR Department"/>
        <s v="Sarah Miller is in Operations Department"/>
        <s v="Katie Wilson is in HR Department"/>
        <s v="Chris Miller is in IT Department"/>
        <s v="John Smith is in IT Department"/>
        <s v="Alex Williams is in HR Department"/>
        <s v="Emily Wilson is in IT Department"/>
        <s v="Emily Brown is in HR Department"/>
        <s v="Michael Miller is in Finance Department"/>
        <s v="Chris Brown is in HR Department"/>
        <s v="Michael Brown is in IT Department"/>
        <s v="Alex Miller is in Operations Department"/>
        <s v="Jane Williams is in Finance Department"/>
        <s v="Jane Davis is in Marketing Department"/>
        <s v="Sarah Williams is in Marketing Department"/>
        <s v="John Wilson is in Operations Department"/>
        <s v="Chris Brown is in Marketing Department"/>
        <s v="Sarah Brown is in Marketing Department"/>
        <s v="Katie Davis is in Operations Department"/>
        <s v="Emily Johnson is in Operations Department"/>
        <s v="Jane Brown is in Marketing Department"/>
        <s v="Chris Davis is in HR Department"/>
        <s v="Michael Williams is in Finance Department"/>
        <s v="Chris Wilson is in Finance Department"/>
        <s v="Chris Williams is in Marketing Department"/>
        <s v="Michael Williams is in Marketing Department"/>
        <s v="Emily Smith is in Operations Department"/>
        <s v="Sarah Davis is in IT Department"/>
        <s v="Sarah Davis is in Operations Department"/>
        <s v="Michael Johnson is in Operations Department"/>
        <s v="Katie Davis is in Finance Department"/>
        <s v="Michael Smith is in Operations Department"/>
        <s v="John Davis is in HR Department"/>
        <s v="Sarah Williams is in IT Department"/>
        <s v="John Johnson is in Sales Department"/>
        <s v="Katie Davis is in Marketing Department"/>
        <s v="Alex Wilson is in Marketing Department"/>
        <s v="Katie Williams is in Operations Department"/>
        <s v="Katie Smith is in IT Department"/>
        <s v="Emily Williams is in IT Department"/>
        <s v="Emily Davis is in Finance Department"/>
        <s v="Katie Davis is in Sales Department"/>
        <s v="Chris Johnson is in Marketing Department"/>
        <s v="Jane Davis is in Finance Department"/>
        <s v="Jane Davis is in HR Department"/>
        <s v="Sarah Miller is in Finance Department"/>
        <s v="Emily Williams is in Finance Department"/>
        <s v="Emily Wilson is in Operations Department"/>
        <s v="Emily Brown is in Marketing Department"/>
        <s v="Chris Miller is in Operations Department"/>
        <s v="Jane Miller is in Sales Department"/>
        <s v="Jane Miller is in HR Department"/>
        <s v="Alex Wilson is in IT Department"/>
        <s v="Sarah Davis is in Marketing Department"/>
        <s v="Chris Williams is in IT Department"/>
        <s v="Alex Davis is in HR Department"/>
        <s v="John Smith is in Sales Department"/>
        <s v="Sarah Williams is in Sales Department"/>
        <s v="Jane Brown is in IT Department"/>
        <s v="Michael Brown is in Sales Department"/>
        <s v="Michael Williams is in IT Department"/>
        <s v="Chris Wilson is in Marketing Department"/>
        <s v="Katie Brown is in Operations Department"/>
        <s v="Jane Davis is in Operations Department"/>
      </sharedItems>
    </cacheField>
    <cacheField name="email" numFmtId="0">
      <sharedItems/>
    </cacheField>
    <cacheField name="Salary" numFmtId="0">
      <sharedItems containsSemiMixedTypes="0" containsString="0" containsNumber="1" containsInteger="1" minValue="30056" maxValue="119909" count="868">
        <n v="74291"/>
        <n v="93350"/>
        <n v="112020"/>
        <n v="34646"/>
        <n v="69713"/>
        <n v="97936"/>
        <n v="74331"/>
        <n v="52185"/>
        <n v="114263"/>
        <n v="82107"/>
        <n v="96554"/>
        <n v="47563"/>
        <n v="100729"/>
        <n v="45701"/>
        <n v="99072"/>
        <n v="78217"/>
        <n v="74610"/>
        <n v="114422"/>
        <n v="80131"/>
        <n v="59410"/>
        <n v="88715"/>
        <n v="68665"/>
        <n v="45957"/>
        <n v="78127"/>
        <n v="93589"/>
        <n v="76008"/>
        <n v="91920"/>
        <n v="62875"/>
        <n v="31626"/>
        <n v="93822"/>
        <n v="101765"/>
        <n v="102413"/>
        <n v="63642"/>
        <n v="68311"/>
        <n v="62356"/>
        <n v="33809"/>
        <n v="73371"/>
        <n v="64875"/>
        <n v="39465"/>
        <n v="96095"/>
        <n v="103844"/>
        <n v="95250"/>
        <n v="116889"/>
        <n v="45250"/>
        <n v="76023"/>
        <n v="76624"/>
        <n v="46427"/>
        <n v="63276"/>
        <n v="101643"/>
        <n v="109012"/>
        <n v="33439"/>
        <n v="115848"/>
        <n v="117331"/>
        <n v="108672"/>
        <n v="109703"/>
        <n v="47300"/>
        <n v="90289"/>
        <n v="47182"/>
        <n v="100507"/>
        <n v="80912"/>
        <n v="56909"/>
        <n v="49659"/>
        <n v="61403"/>
        <n v="63586"/>
        <n v="40360"/>
        <n v="51424"/>
        <n v="78791"/>
        <n v="33065"/>
        <n v="98795"/>
        <n v="42300"/>
        <n v="63370"/>
        <n v="99831"/>
        <n v="57209"/>
        <n v="50927"/>
        <n v="64579"/>
        <n v="39032"/>
        <n v="108413"/>
        <n v="70731"/>
        <n v="83767"/>
        <n v="102302"/>
        <n v="79954"/>
        <n v="118365"/>
        <n v="115757"/>
        <n v="55102"/>
        <n v="64433"/>
        <n v="45932"/>
        <n v="55714"/>
        <n v="87803"/>
        <n v="69743"/>
        <n v="32552"/>
        <n v="86627"/>
        <n v="75987"/>
        <n v="109810"/>
        <n v="75380"/>
        <n v="59250"/>
        <n v="98344"/>
        <n v="94686"/>
        <n v="75028"/>
        <n v="45295"/>
        <n v="85248"/>
        <n v="110205"/>
        <n v="40523"/>
        <n v="75530"/>
        <n v="43769"/>
        <n v="93042"/>
        <n v="74645"/>
        <n v="92142"/>
        <n v="55557"/>
        <n v="109782"/>
        <n v="108382"/>
        <n v="67085"/>
        <n v="80708"/>
        <n v="81357"/>
        <n v="43470"/>
        <n v="108712"/>
        <n v="109082"/>
        <n v="36805"/>
        <n v="112324"/>
        <n v="92028"/>
        <n v="80772"/>
        <n v="82104"/>
        <n v="103616"/>
        <n v="119300"/>
        <n v="36630"/>
        <n v="44859"/>
        <n v="51183"/>
        <n v="70438"/>
        <n v="72244"/>
        <n v="104312"/>
        <n v="45021"/>
        <n v="99863"/>
        <n v="85565"/>
        <n v="78043"/>
        <n v="103150"/>
        <n v="94361"/>
        <n v="31245"/>
        <n v="71011"/>
        <n v="40355"/>
        <n v="78692"/>
        <n v="79004"/>
        <n v="59714"/>
        <n v="47198"/>
        <n v="96951"/>
        <n v="31652"/>
        <n v="73625"/>
        <n v="115982"/>
        <n v="48740"/>
        <n v="33810"/>
        <n v="46569"/>
        <n v="109120"/>
        <n v="56783"/>
        <n v="108047"/>
        <n v="39471"/>
        <n v="36163"/>
        <n v="93087"/>
        <n v="92071"/>
        <n v="46065"/>
        <n v="113456"/>
        <n v="78348"/>
        <n v="49154"/>
        <n v="50229"/>
        <n v="82587"/>
        <n v="79713"/>
        <n v="56997"/>
        <n v="51101"/>
        <n v="70391"/>
        <n v="105863"/>
        <n v="102723"/>
        <n v="89405"/>
        <n v="64948"/>
        <n v="83031"/>
        <n v="67921"/>
        <n v="102571"/>
        <n v="107007"/>
        <n v="58460"/>
        <n v="51071"/>
        <n v="96118"/>
        <n v="78282"/>
        <n v="88445"/>
        <n v="111067"/>
        <n v="112208"/>
        <n v="84816"/>
        <n v="115779"/>
        <n v="33060"/>
        <n v="43731"/>
        <n v="107830"/>
        <n v="50719"/>
        <n v="77042"/>
        <n v="79116"/>
        <n v="56325"/>
        <n v="52597"/>
        <n v="97439"/>
        <n v="44551"/>
        <n v="54278"/>
        <n v="45141"/>
        <n v="97913"/>
        <n v="63615"/>
        <n v="92751"/>
        <n v="57452"/>
        <n v="52725"/>
        <n v="80391"/>
        <n v="105060"/>
        <n v="41698"/>
        <n v="116711"/>
        <n v="107850"/>
        <n v="32365"/>
        <n v="73372"/>
        <n v="74134"/>
        <n v="67823"/>
        <n v="101158"/>
        <n v="31949"/>
        <n v="79396"/>
        <n v="61912"/>
        <n v="86947"/>
        <n v="74387"/>
        <n v="93965"/>
        <n v="46508"/>
        <n v="75592"/>
        <n v="31919"/>
        <n v="72595"/>
        <n v="39617"/>
        <n v="105268"/>
        <n v="63298"/>
        <n v="36929"/>
        <n v="44456"/>
        <n v="116676"/>
        <n v="113721"/>
        <n v="67924"/>
        <n v="54240"/>
        <n v="117381"/>
        <n v="39228"/>
        <n v="51686"/>
        <n v="41920"/>
        <n v="37432"/>
        <n v="93575"/>
        <n v="101725"/>
        <n v="63910"/>
        <n v="60226"/>
        <n v="89099"/>
        <n v="116760"/>
        <n v="48013"/>
        <n v="51446"/>
        <n v="100375"/>
        <n v="92509"/>
        <n v="30557"/>
        <n v="60666"/>
        <n v="67389"/>
        <n v="77700"/>
        <n v="54578"/>
        <n v="104779"/>
        <n v="39596"/>
        <n v="87500"/>
        <n v="102534"/>
        <n v="40129"/>
        <n v="93394"/>
        <n v="96046"/>
        <n v="41596"/>
        <n v="95355"/>
        <n v="42974"/>
        <n v="96673"/>
        <n v="100202"/>
        <n v="104442"/>
        <n v="51818"/>
        <n v="73246"/>
        <n v="85598"/>
        <n v="32654"/>
        <n v="63758"/>
        <n v="54204"/>
        <n v="64928"/>
        <n v="83609"/>
        <n v="60552"/>
        <n v="40336"/>
        <n v="77037"/>
        <n v="46206"/>
        <n v="64831"/>
        <n v="73563"/>
        <n v="48361"/>
        <n v="71335"/>
        <n v="104469"/>
        <n v="55816"/>
        <n v="45619"/>
        <n v="56819"/>
        <n v="41741"/>
        <n v="38798"/>
        <n v="55143"/>
        <n v="79695"/>
        <n v="62747"/>
        <n v="51182"/>
        <n v="39415"/>
        <n v="41085"/>
        <n v="45008"/>
        <n v="117638"/>
        <n v="48452"/>
        <n v="94075"/>
        <n v="38120"/>
        <n v="94385"/>
        <n v="103356"/>
        <n v="48170"/>
        <n v="46259"/>
        <n v="52099"/>
        <n v="39649"/>
        <n v="89258"/>
        <n v="71037"/>
        <n v="41805"/>
        <n v="73147"/>
        <n v="104280"/>
        <n v="76053"/>
        <n v="106215"/>
        <n v="40985"/>
        <n v="42391"/>
        <n v="34861"/>
        <n v="93582"/>
        <n v="81928"/>
        <n v="64364"/>
        <n v="112399"/>
        <n v="72923"/>
        <n v="37919"/>
        <n v="85896"/>
        <n v="115818"/>
        <n v="77396"/>
        <n v="64840"/>
        <n v="72255"/>
        <n v="101160"/>
        <n v="38176"/>
        <n v="63529"/>
        <n v="86406"/>
        <n v="42941"/>
        <n v="31669"/>
        <n v="115782"/>
        <n v="74859"/>
        <n v="85786"/>
        <n v="81083"/>
        <n v="70076"/>
        <n v="50323"/>
        <n v="36021"/>
        <n v="69807"/>
        <n v="80355"/>
        <n v="74732"/>
        <n v="38711"/>
        <n v="93079"/>
        <n v="37904"/>
        <n v="94033"/>
        <n v="116478"/>
        <n v="119787"/>
        <n v="85096"/>
        <n v="33093"/>
        <n v="54918"/>
        <n v="102743"/>
        <n v="92636"/>
        <n v="88806"/>
        <n v="39394"/>
        <n v="43280"/>
        <n v="66303"/>
        <n v="57453"/>
        <n v="90695"/>
        <n v="98449"/>
        <n v="55765"/>
        <n v="32340"/>
        <n v="68057"/>
        <n v="30597"/>
        <n v="87988"/>
        <n v="45025"/>
        <n v="37145"/>
        <n v="85797"/>
        <n v="71723"/>
        <n v="103230"/>
        <n v="34830"/>
        <n v="53930"/>
        <n v="53752"/>
        <n v="106025"/>
        <n v="111304"/>
        <n v="92040"/>
        <n v="97696"/>
        <n v="94648"/>
        <n v="85030"/>
        <n v="86815"/>
        <n v="115669"/>
        <n v="65690"/>
        <n v="118406"/>
        <n v="87923"/>
        <n v="66572"/>
        <n v="84030"/>
        <n v="97904"/>
        <n v="59203"/>
        <n v="107088"/>
        <n v="35608"/>
        <n v="75667"/>
        <n v="85547"/>
        <n v="52485"/>
        <n v="39862"/>
        <n v="105948"/>
        <n v="116890"/>
        <n v="101880"/>
        <n v="87560"/>
        <n v="113529"/>
        <n v="58415"/>
        <n v="94523"/>
        <n v="49323"/>
        <n v="83214"/>
        <n v="47997"/>
        <n v="87003"/>
        <n v="33679"/>
        <n v="70308"/>
        <n v="105024"/>
        <n v="69842"/>
        <n v="95408"/>
        <n v="99532"/>
        <n v="83938"/>
        <n v="35695"/>
        <n v="88499"/>
        <n v="53382"/>
        <n v="44235"/>
        <n v="92223"/>
        <n v="32366"/>
        <n v="57467"/>
        <n v="89316"/>
        <n v="36764"/>
        <n v="91836"/>
        <n v="61923"/>
        <n v="46292"/>
        <n v="31614"/>
        <n v="50939"/>
        <n v="48800"/>
        <n v="86440"/>
        <n v="53246"/>
        <n v="82805"/>
        <n v="79648"/>
        <n v="86851"/>
        <n v="61688"/>
        <n v="59764"/>
        <n v="62470"/>
        <n v="68501"/>
        <n v="87207"/>
        <n v="92157"/>
        <n v="33216"/>
        <n v="52072"/>
        <n v="67132"/>
        <n v="47861"/>
        <n v="94186"/>
        <n v="34960"/>
        <n v="48781"/>
        <n v="61126"/>
        <n v="52578"/>
        <n v="47883"/>
        <n v="59782"/>
        <n v="86387"/>
        <n v="46979"/>
        <n v="63746"/>
        <n v="96266"/>
        <n v="30056"/>
        <n v="61457"/>
        <n v="32243"/>
        <n v="85031"/>
        <n v="31701"/>
        <n v="86381"/>
        <n v="80438"/>
        <n v="103839"/>
        <n v="110636"/>
        <n v="96483"/>
        <n v="50505"/>
        <n v="36553"/>
        <n v="63525"/>
        <n v="110402"/>
        <n v="74348"/>
        <n v="101187"/>
        <n v="37273"/>
        <n v="94236"/>
        <n v="105569"/>
        <n v="33535"/>
        <n v="48677"/>
        <n v="113024"/>
        <n v="30908"/>
        <n v="100153"/>
        <n v="118989"/>
        <n v="65079"/>
        <n v="111556"/>
        <n v="79323"/>
        <n v="75320"/>
        <n v="119909"/>
        <n v="76105"/>
        <n v="60164"/>
        <n v="31885"/>
        <n v="87819"/>
        <n v="31049"/>
        <n v="83281"/>
        <n v="73271"/>
        <n v="96697"/>
        <n v="96351"/>
        <n v="66534"/>
        <n v="88097"/>
        <n v="83813"/>
        <n v="55037"/>
        <n v="66007"/>
        <n v="109478"/>
        <n v="57278"/>
        <n v="38272"/>
        <n v="87183"/>
        <n v="68294"/>
        <n v="103277"/>
        <n v="34694"/>
        <n v="88150"/>
        <n v="97470"/>
        <n v="51556"/>
        <n v="94471"/>
        <n v="79855"/>
        <n v="79086"/>
        <n v="48907"/>
        <n v="101695"/>
        <n v="78487"/>
        <n v="59158"/>
        <n v="50293"/>
        <n v="75761"/>
        <n v="63387"/>
        <n v="70750"/>
        <n v="98602"/>
        <n v="51256"/>
        <n v="35594"/>
        <n v="32460"/>
        <n v="102356"/>
        <n v="84698"/>
        <n v="46191"/>
        <n v="114631"/>
        <n v="40529"/>
        <n v="62175"/>
        <n v="47675"/>
        <n v="73158"/>
        <n v="76798"/>
        <n v="100910"/>
        <n v="55976"/>
        <n v="93116"/>
        <n v="108678"/>
        <n v="92821"/>
        <n v="42204"/>
        <n v="85665"/>
        <n v="37394"/>
        <n v="94814"/>
        <n v="63593"/>
        <n v="71964"/>
        <n v="107188"/>
        <n v="83365"/>
        <n v="30443"/>
        <n v="119439"/>
        <n v="58180"/>
        <n v="116655"/>
        <n v="105899"/>
        <n v="73665"/>
        <n v="33465"/>
        <n v="98247"/>
        <n v="81559"/>
        <n v="55198"/>
        <n v="84740"/>
        <n v="52488"/>
        <n v="68515"/>
        <n v="119144"/>
        <n v="57898"/>
        <n v="80070"/>
        <n v="92613"/>
        <n v="116135"/>
        <n v="112501"/>
        <n v="77003"/>
        <n v="78478"/>
        <n v="44434"/>
        <n v="76246"/>
        <n v="66649"/>
        <n v="89030"/>
        <n v="83061"/>
        <n v="31999"/>
        <n v="44849"/>
        <n v="106439"/>
        <n v="82800"/>
        <n v="35445"/>
        <n v="48040"/>
        <n v="94315"/>
        <n v="30246"/>
        <n v="61153"/>
        <n v="35212"/>
        <n v="33339"/>
        <n v="118678"/>
        <n v="86238"/>
        <n v="49394"/>
        <n v="83871"/>
        <n v="107722"/>
        <n v="64607"/>
        <n v="82055"/>
        <n v="34395"/>
        <n v="45290"/>
        <n v="117687"/>
        <n v="95078"/>
        <n v="33691"/>
        <n v="37470"/>
        <n v="33841"/>
        <n v="93197"/>
        <n v="85773"/>
        <n v="47776"/>
        <n v="101596"/>
        <n v="57584"/>
        <n v="34300"/>
        <n v="33338"/>
        <n v="92601"/>
        <n v="35487"/>
        <n v="66282"/>
        <n v="106816"/>
        <n v="58804"/>
        <n v="39915"/>
        <n v="41158"/>
        <n v="104157"/>
        <n v="40547"/>
        <n v="118713"/>
        <n v="32459"/>
        <n v="58768"/>
        <n v="93146"/>
        <n v="80870"/>
        <n v="80460"/>
        <n v="112970"/>
        <n v="90817"/>
        <n v="68247"/>
        <n v="45419"/>
        <n v="65577"/>
        <n v="32921"/>
        <n v="34676"/>
        <n v="115961"/>
        <n v="79684"/>
        <n v="43463"/>
        <n v="55474"/>
        <n v="70935"/>
        <n v="97005"/>
        <n v="88596"/>
        <n v="102828"/>
        <n v="119062"/>
        <n v="85152"/>
        <n v="119001"/>
        <n v="116569"/>
        <n v="102467"/>
        <n v="82576"/>
        <n v="96627"/>
        <n v="55772"/>
        <n v="46363"/>
        <n v="58490"/>
        <n v="89004"/>
        <n v="83806"/>
        <n v="30260"/>
        <n v="105992"/>
        <n v="52320"/>
        <n v="108971"/>
        <n v="72145"/>
        <n v="93688"/>
        <n v="78581"/>
        <n v="50754"/>
        <n v="99837"/>
        <n v="37207"/>
        <n v="57920"/>
        <n v="117739"/>
        <n v="117081"/>
        <n v="54016"/>
        <n v="90522"/>
        <n v="104092"/>
        <n v="84068"/>
        <n v="50102"/>
        <n v="31924"/>
        <n v="115015"/>
        <n v="84333"/>
        <n v="114458"/>
        <n v="114196"/>
        <n v="76099"/>
        <n v="87346"/>
        <n v="105481"/>
        <n v="80062"/>
        <n v="30306"/>
        <n v="118495"/>
        <n v="99767"/>
        <n v="42207"/>
        <n v="69426"/>
        <n v="36336"/>
        <n v="105166"/>
        <n v="47256"/>
        <n v="79817"/>
        <n v="63719"/>
        <n v="72017"/>
        <n v="75704"/>
        <n v="60013"/>
        <n v="109991"/>
        <n v="100258"/>
        <n v="108348"/>
        <n v="66776"/>
        <n v="40060"/>
        <n v="108592"/>
        <n v="36655"/>
        <n v="118110"/>
        <n v="79923"/>
        <n v="108563"/>
        <n v="34030"/>
        <n v="119779"/>
        <n v="63289"/>
        <n v="49739"/>
        <n v="91687"/>
        <n v="66491"/>
        <n v="102115"/>
        <n v="113778"/>
        <n v="34781"/>
        <n v="50448"/>
        <n v="81550"/>
        <n v="79294"/>
        <n v="106579"/>
        <n v="115389"/>
        <n v="115615"/>
        <n v="47101"/>
        <n v="96178"/>
        <n v="58016"/>
        <n v="48932"/>
        <n v="74653"/>
        <n v="82802"/>
        <n v="37549"/>
        <n v="108933"/>
        <n v="55362"/>
        <n v="77842"/>
        <n v="76539"/>
        <n v="63717"/>
        <n v="84596"/>
        <n v="53016"/>
        <n v="85200"/>
        <n v="110268"/>
        <n v="90287"/>
        <n v="113402"/>
        <n v="72607"/>
        <n v="57621"/>
        <n v="42823"/>
        <n v="59986"/>
        <n v="94325"/>
        <n v="87771"/>
        <n v="84973"/>
        <n v="44690"/>
        <n v="69107"/>
        <n v="87888"/>
        <n v="40956"/>
        <n v="116839"/>
        <n v="86227"/>
        <n v="66533"/>
        <n v="86234"/>
        <n v="97594"/>
        <n v="86901"/>
        <n v="41519"/>
        <n v="61115"/>
        <n v="31832"/>
        <n v="71368"/>
        <n v="118425"/>
        <n v="99715"/>
        <n v="101835"/>
        <n v="103366"/>
        <n v="67570"/>
        <n v="117977"/>
        <n v="36615"/>
        <n v="102298"/>
        <n v="53434"/>
        <n v="116879"/>
        <n v="45739"/>
        <n v="96202"/>
        <n v="109599"/>
        <n v="63649"/>
        <n v="77445"/>
        <n v="69470"/>
        <n v="104965"/>
        <n v="78621"/>
        <n v="62926"/>
        <n v="67997"/>
        <n v="89940"/>
        <n v="70724"/>
        <n v="61704"/>
        <n v="58391"/>
        <n v="93291"/>
        <n v="119723"/>
        <n v="32526"/>
        <n v="54686"/>
        <n v="103339"/>
        <n v="36574"/>
        <n v="38733"/>
        <n v="80290"/>
        <n v="102793"/>
        <n v="66051"/>
        <n v="45909"/>
        <n v="119682"/>
        <n v="107338"/>
        <n v="103432"/>
        <n v="58133"/>
        <n v="81571"/>
        <n v="109062"/>
        <n v="80908"/>
        <n v="41278"/>
        <n v="81458"/>
        <n v="94265"/>
        <n v="86782"/>
        <n v="85415"/>
        <n v="84160"/>
        <n v="84399"/>
        <n v="55298"/>
        <n v="52191"/>
        <n v="86964"/>
        <n v="63092"/>
        <n v="119407"/>
        <n v="105257"/>
        <n v="92513"/>
        <n v="81097"/>
        <n v="60279"/>
        <n v="44404"/>
        <n v="100022"/>
        <n v="65198"/>
        <n v="79997"/>
        <n v="108692"/>
        <n v="30567"/>
        <n v="91032"/>
        <n v="32179"/>
        <n v="32019"/>
        <n v="111455"/>
        <n v="115239"/>
        <n v="48704"/>
        <n v="48030"/>
        <n v="99445"/>
        <n v="103551"/>
        <n v="33420"/>
        <n v="89875"/>
        <n v="77653"/>
        <n v="46740"/>
        <n v="95263"/>
        <n v="94559"/>
        <n v="49465"/>
        <n v="81432"/>
        <n v="34131"/>
        <n v="40652"/>
        <n v="94973"/>
        <n v="117043"/>
        <n v="77147"/>
        <n v="77671"/>
        <n v="119342"/>
        <n v="49171"/>
        <n v="116129"/>
        <n v="85692"/>
        <n v="88541"/>
        <n v="39470"/>
        <n v="91344"/>
        <n v="74308"/>
        <n v="80639"/>
        <n v="51326"/>
        <n v="34597"/>
        <n v="60788"/>
        <n v="95020"/>
        <n v="79477"/>
        <n v="63071"/>
        <n v="100603"/>
        <n v="91923"/>
        <n v="100560"/>
        <n v="103251"/>
        <n v="87492"/>
        <n v="61770"/>
        <n v="106762"/>
        <n v="65399"/>
        <n v="108948"/>
        <n v="87439"/>
        <n v="74415"/>
        <n v="42569"/>
        <n v="32369"/>
        <n v="30528"/>
        <n v="60314"/>
        <n v="48047"/>
        <n v="49748"/>
        <n v="65109"/>
        <n v="43919"/>
        <n v="77498"/>
        <n v="85808"/>
        <n v="110792"/>
      </sharedItems>
      <fieldGroup base="6">
        <rangePr autoStart="0" autoEnd="0" startNum="30000" endNum="120000" groupInterval="10000"/>
        <groupItems count="11">
          <s v="&lt;30000"/>
          <s v="30000-39999"/>
          <s v="40000-49999"/>
          <s v="50000-59999"/>
          <s v="60000-69999"/>
          <s v="70000-79999"/>
          <s v="80000-89999"/>
          <s v="90000-99999"/>
          <s v="100000-109999"/>
          <s v="110000-120000"/>
          <s v="&gt;120000"/>
        </groupItems>
      </fieldGroup>
    </cacheField>
    <cacheField name="Salary Category" numFmtId="0">
      <sharedItems/>
    </cacheField>
    <cacheField name="Hire Date" numFmtId="164">
      <sharedItems containsSemiMixedTypes="0" containsNonDate="0" containsDate="1" containsString="0" minDate="2000-01-01T00:00:00" maxDate="2019-12-14T00:00:00" count="831">
        <d v="2002-09-14T00:00:00"/>
        <d v="2008-11-12T00:00:00"/>
        <d v="2017-07-13T00:00:00"/>
        <d v="2014-07-27T00:00:00"/>
        <d v="2010-07-12T00:00:00"/>
        <d v="2014-07-10T00:00:00"/>
        <d v="2017-04-02T00:00:00"/>
        <d v="2010-02-10T00:00:00"/>
        <d v="2000-04-08T00:00:00"/>
        <d v="2006-04-07T00:00:00"/>
        <d v="2004-02-23T00:00:00"/>
        <d v="2011-10-07T00:00:00"/>
        <d v="2001-09-25T00:00:00"/>
        <d v="2019-11-20T00:00:00"/>
        <d v="2013-04-03T00:00:00"/>
        <d v="2012-07-21T00:00:00"/>
        <d v="2001-08-01T00:00:00"/>
        <d v="2010-11-03T00:00:00"/>
        <d v="2018-04-06T00:00:00"/>
        <d v="2000-09-29T00:00:00"/>
        <d v="2014-08-13T00:00:00"/>
        <d v="2013-05-13T00:00:00"/>
        <d v="2010-10-29T00:00:00"/>
        <d v="2010-10-02T00:00:00"/>
        <d v="2001-03-28T00:00:00"/>
        <d v="2003-03-21T00:00:00"/>
        <d v="2017-10-08T00:00:00"/>
        <d v="2013-06-12T00:00:00"/>
        <d v="2001-02-17T00:00:00"/>
        <d v="2004-03-30T00:00:00"/>
        <d v="2012-05-23T00:00:00"/>
        <d v="2017-11-09T00:00:00"/>
        <d v="2019-07-21T00:00:00"/>
        <d v="2013-08-30T00:00:00"/>
        <d v="2017-12-28T00:00:00"/>
        <d v="2005-04-30T00:00:00"/>
        <d v="2014-03-31T00:00:00"/>
        <d v="2000-07-10T00:00:00"/>
        <d v="2000-02-10T00:00:00"/>
        <d v="2016-05-19T00:00:00"/>
        <d v="2005-02-02T00:00:00"/>
        <d v="2016-02-18T00:00:00"/>
        <d v="2003-08-25T00:00:00"/>
        <d v="2009-06-11T00:00:00"/>
        <d v="2000-05-15T00:00:00"/>
        <d v="2016-03-06T00:00:00"/>
        <d v="2011-07-03T00:00:00"/>
        <d v="2012-08-19T00:00:00"/>
        <d v="2005-04-25T00:00:00"/>
        <d v="2019-01-18T00:00:00"/>
        <d v="2004-04-14T00:00:00"/>
        <d v="2011-07-23T00:00:00"/>
        <d v="2017-11-30T00:00:00"/>
        <d v="2017-01-13T00:00:00"/>
        <d v="2001-01-23T00:00:00"/>
        <d v="2004-04-07T00:00:00"/>
        <d v="2015-12-08T00:00:00"/>
        <d v="2005-10-22T00:00:00"/>
        <d v="2002-10-25T00:00:00"/>
        <d v="2016-07-13T00:00:00"/>
        <d v="2009-09-04T00:00:00"/>
        <d v="2000-03-22T00:00:00"/>
        <d v="2015-06-27T00:00:00"/>
        <d v="2002-02-14T00:00:00"/>
        <d v="2008-04-26T00:00:00"/>
        <d v="2011-12-22T00:00:00"/>
        <d v="2007-11-27T00:00:00"/>
        <d v="2005-02-21T00:00:00"/>
        <d v="2006-03-21T00:00:00"/>
        <d v="2004-05-26T00:00:00"/>
        <d v="2008-08-05T00:00:00"/>
        <d v="2001-08-28T00:00:00"/>
        <d v="2016-11-14T00:00:00"/>
        <d v="2012-12-18T00:00:00"/>
        <d v="2009-05-07T00:00:00"/>
        <d v="2010-01-13T00:00:00"/>
        <d v="2016-02-11T00:00:00"/>
        <d v="2016-01-09T00:00:00"/>
        <d v="2014-12-15T00:00:00"/>
        <d v="2005-11-14T00:00:00"/>
        <d v="2019-10-07T00:00:00"/>
        <d v="2011-09-10T00:00:00"/>
        <d v="2010-04-23T00:00:00"/>
        <d v="2003-10-08T00:00:00"/>
        <d v="2009-06-24T00:00:00"/>
        <d v="2019-12-09T00:00:00"/>
        <d v="2000-12-13T00:00:00"/>
        <d v="2000-01-01T00:00:00"/>
        <d v="2000-03-03T00:00:00"/>
        <d v="2004-11-18T00:00:00"/>
        <d v="2010-06-11T00:00:00"/>
        <d v="2000-08-13T00:00:00"/>
        <d v="2017-12-23T00:00:00"/>
        <d v="2002-11-08T00:00:00"/>
        <d v="2016-11-26T00:00:00"/>
        <d v="2002-04-24T00:00:00"/>
        <d v="2007-05-04T00:00:00"/>
        <d v="2011-04-12T00:00:00"/>
        <d v="2019-02-10T00:00:00"/>
        <d v="2019-07-06T00:00:00"/>
        <d v="2003-05-19T00:00:00"/>
        <d v="2005-06-07T00:00:00"/>
        <d v="2011-08-27T00:00:00"/>
        <d v="2003-07-02T00:00:00"/>
        <d v="2004-05-13T00:00:00"/>
        <d v="2017-02-17T00:00:00"/>
        <d v="2006-12-26T00:00:00"/>
        <d v="2005-05-06T00:00:00"/>
        <d v="2004-08-22T00:00:00"/>
        <d v="2002-08-12T00:00:00"/>
        <d v="2009-01-04T00:00:00"/>
        <d v="2000-12-22T00:00:00"/>
        <d v="2017-04-13T00:00:00"/>
        <d v="2009-11-04T00:00:00"/>
        <d v="2002-08-26T00:00:00"/>
        <d v="2000-08-29T00:00:00"/>
        <d v="2009-06-08T00:00:00"/>
        <d v="2011-08-05T00:00:00"/>
        <d v="2000-05-26T00:00:00"/>
        <d v="2014-03-04T00:00:00"/>
        <d v="2014-02-17T00:00:00"/>
        <d v="2019-03-11T00:00:00"/>
        <d v="2001-06-26T00:00:00"/>
        <d v="2001-11-22T00:00:00"/>
        <d v="2002-10-22T00:00:00"/>
        <d v="2011-02-02T00:00:00"/>
        <d v="2010-12-19T00:00:00"/>
        <d v="2009-03-13T00:00:00"/>
        <d v="2014-05-24T00:00:00"/>
        <d v="2015-09-15T00:00:00"/>
        <d v="2008-01-30T00:00:00"/>
        <d v="2001-12-30T00:00:00"/>
        <d v="2017-09-22T00:00:00"/>
        <d v="2018-07-05T00:00:00"/>
        <d v="2012-04-26T00:00:00"/>
        <d v="2006-12-30T00:00:00"/>
        <d v="2016-07-10T00:00:00"/>
        <d v="2003-02-24T00:00:00"/>
        <d v="2004-10-01T00:00:00"/>
        <d v="2002-11-04T00:00:00"/>
        <d v="2017-06-09T00:00:00"/>
        <d v="2019-07-07T00:00:00"/>
        <d v="2007-12-22T00:00:00"/>
        <d v="2019-11-29T00:00:00"/>
        <d v="2013-04-02T00:00:00"/>
        <d v="2006-12-15T00:00:00"/>
        <d v="2012-02-01T00:00:00"/>
        <d v="2003-05-27T00:00:00"/>
        <d v="2002-02-11T00:00:00"/>
        <d v="2005-03-31T00:00:00"/>
        <d v="2009-05-05T00:00:00"/>
        <d v="2006-11-04T00:00:00"/>
        <d v="2009-06-02T00:00:00"/>
        <d v="2013-10-18T00:00:00"/>
        <d v="2019-02-21T00:00:00"/>
        <d v="2019-08-09T00:00:00"/>
        <d v="2016-09-23T00:00:00"/>
        <d v="2009-09-15T00:00:00"/>
        <d v="2003-04-28T00:00:00"/>
        <d v="2008-01-10T00:00:00"/>
        <d v="2001-02-22T00:00:00"/>
        <d v="2010-05-09T00:00:00"/>
        <d v="2013-07-31T00:00:00"/>
        <d v="2002-02-27T00:00:00"/>
        <d v="2005-02-14T00:00:00"/>
        <d v="2012-07-26T00:00:00"/>
        <d v="2014-02-14T00:00:00"/>
        <d v="2017-04-06T00:00:00"/>
        <d v="2005-07-18T00:00:00"/>
        <d v="2017-02-24T00:00:00"/>
        <d v="2006-09-12T00:00:00"/>
        <d v="2016-08-25T00:00:00"/>
        <d v="2013-03-16T00:00:00"/>
        <d v="2001-07-14T00:00:00"/>
        <d v="2007-04-05T00:00:00"/>
        <d v="2014-05-15T00:00:00"/>
        <d v="2010-09-09T00:00:00"/>
        <d v="2001-06-23T00:00:00"/>
        <d v="2017-10-17T00:00:00"/>
        <d v="2013-01-07T00:00:00"/>
        <d v="2018-01-01T00:00:00"/>
        <d v="2016-04-25T00:00:00"/>
        <d v="2008-08-02T00:00:00"/>
        <d v="2009-01-02T00:00:00"/>
        <d v="2007-02-23T00:00:00"/>
        <d v="2015-03-09T00:00:00"/>
        <d v="2013-06-13T00:00:00"/>
        <d v="2005-04-28T00:00:00"/>
        <d v="2008-08-11T00:00:00"/>
        <d v="2007-07-21T00:00:00"/>
        <d v="2014-07-17T00:00:00"/>
        <d v="2008-12-04T00:00:00"/>
        <d v="2011-03-31T00:00:00"/>
        <d v="2017-06-22T00:00:00"/>
        <d v="2005-03-10T00:00:00"/>
        <d v="2006-11-05T00:00:00"/>
        <d v="2017-11-13T00:00:00"/>
        <d v="2007-09-30T00:00:00"/>
        <d v="2010-08-09T00:00:00"/>
        <d v="2000-02-17T00:00:00"/>
        <d v="2006-06-22T00:00:00"/>
        <d v="2006-03-06T00:00:00"/>
        <d v="2015-07-07T00:00:00"/>
        <d v="2019-12-13T00:00:00"/>
        <d v="2012-10-16T00:00:00"/>
        <d v="2017-09-06T00:00:00"/>
        <d v="2002-01-23T00:00:00"/>
        <d v="2014-02-11T00:00:00"/>
        <d v="2019-04-29T00:00:00"/>
        <d v="2007-09-03T00:00:00"/>
        <d v="2012-09-23T00:00:00"/>
        <d v="2009-12-31T00:00:00"/>
        <d v="2001-02-06T00:00:00"/>
        <d v="2014-04-23T00:00:00"/>
        <d v="2005-09-17T00:00:00"/>
        <d v="2018-05-30T00:00:00"/>
        <d v="2006-02-05T00:00:00"/>
        <d v="2016-11-07T00:00:00"/>
        <d v="2009-05-03T00:00:00"/>
        <d v="2008-03-09T00:00:00"/>
        <d v="2012-09-17T00:00:00"/>
        <d v="2003-02-23T00:00:00"/>
        <d v="2013-07-10T00:00:00"/>
        <d v="2008-08-19T00:00:00"/>
        <d v="2002-10-05T00:00:00"/>
        <d v="2016-04-04T00:00:00"/>
        <d v="2005-07-24T00:00:00"/>
        <d v="2003-08-15T00:00:00"/>
        <d v="2005-09-12T00:00:00"/>
        <d v="2002-01-21T00:00:00"/>
        <d v="2011-05-07T00:00:00"/>
        <d v="2001-10-19T00:00:00"/>
        <d v="2004-07-18T00:00:00"/>
        <d v="2001-12-01T00:00:00"/>
        <d v="2002-12-16T00:00:00"/>
        <d v="2005-11-26T00:00:00"/>
        <d v="2004-03-20T00:00:00"/>
        <d v="2008-04-20T00:00:00"/>
        <d v="2016-11-19T00:00:00"/>
        <d v="2017-06-04T00:00:00"/>
        <d v="2005-06-06T00:00:00"/>
        <d v="2000-11-10T00:00:00"/>
        <d v="2017-08-16T00:00:00"/>
        <d v="2008-06-08T00:00:00"/>
        <d v="2015-11-14T00:00:00"/>
        <d v="2019-08-12T00:00:00"/>
        <d v="2013-12-31T00:00:00"/>
        <d v="2012-12-16T00:00:00"/>
        <d v="2006-05-03T00:00:00"/>
        <d v="2005-11-05T00:00:00"/>
        <d v="2018-01-24T00:00:00"/>
        <d v="2004-07-07T00:00:00"/>
        <d v="2008-10-24T00:00:00"/>
        <d v="2018-11-22T00:00:00"/>
        <d v="2010-05-28T00:00:00"/>
        <d v="2006-10-14T00:00:00"/>
        <d v="2011-02-19T00:00:00"/>
        <d v="2004-11-10T00:00:00"/>
        <d v="2005-05-20T00:00:00"/>
        <d v="2019-04-25T00:00:00"/>
        <d v="2016-08-03T00:00:00"/>
        <d v="2004-11-02T00:00:00"/>
        <d v="2010-06-12T00:00:00"/>
        <d v="2013-02-18T00:00:00"/>
        <d v="2008-01-28T00:00:00"/>
        <d v="2013-03-29T00:00:00"/>
        <d v="2016-12-31T00:00:00"/>
        <d v="2019-06-25T00:00:00"/>
        <d v="2017-11-08T00:00:00"/>
        <d v="2017-11-18T00:00:00"/>
        <d v="2016-03-07T00:00:00"/>
        <d v="2013-05-08T00:00:00"/>
        <d v="2011-04-04T00:00:00"/>
        <d v="2009-03-22T00:00:00"/>
        <d v="2013-11-29T00:00:00"/>
        <d v="2001-01-01T00:00:00"/>
        <d v="2007-09-28T00:00:00"/>
        <d v="2003-06-06T00:00:00"/>
        <d v="2006-10-23T00:00:00"/>
        <d v="2013-02-06T00:00:00"/>
        <d v="2009-11-12T00:00:00"/>
        <d v="2009-08-22T00:00:00"/>
        <d v="2013-07-13T00:00:00"/>
        <d v="2012-05-14T00:00:00"/>
        <d v="2004-07-01T00:00:00"/>
        <d v="2003-04-27T00:00:00"/>
        <d v="2012-11-16T00:00:00"/>
        <d v="2014-11-17T00:00:00"/>
        <d v="2000-01-20T00:00:00"/>
        <d v="2001-11-06T00:00:00"/>
        <d v="2012-04-04T00:00:00"/>
        <d v="2001-08-31T00:00:00"/>
        <d v="2017-03-18T00:00:00"/>
        <d v="2000-03-02T00:00:00"/>
        <d v="2003-06-19T00:00:00"/>
        <d v="2006-04-04T00:00:00"/>
        <d v="2003-02-28T00:00:00"/>
        <d v="2004-06-16T00:00:00"/>
        <d v="2004-06-14T00:00:00"/>
        <d v="2010-03-05T00:00:00"/>
        <d v="2014-05-09T00:00:00"/>
        <d v="2015-03-22T00:00:00"/>
        <d v="2013-10-01T00:00:00"/>
        <d v="2017-10-03T00:00:00"/>
        <d v="2003-12-13T00:00:00"/>
        <d v="2004-07-11T00:00:00"/>
        <d v="2006-11-07T00:00:00"/>
        <d v="2008-12-13T00:00:00"/>
        <d v="2000-10-08T00:00:00"/>
        <d v="2013-08-21T00:00:00"/>
        <d v="2002-10-21T00:00:00"/>
        <d v="2013-03-11T00:00:00"/>
        <d v="2016-02-20T00:00:00"/>
        <d v="2009-04-26T00:00:00"/>
        <d v="2003-05-20T00:00:00"/>
        <d v="2011-06-14T00:00:00"/>
        <d v="2013-01-12T00:00:00"/>
        <d v="2013-07-28T00:00:00"/>
        <d v="2015-12-06T00:00:00"/>
        <d v="2016-12-26T00:00:00"/>
        <d v="2019-01-01T00:00:00"/>
        <d v="2017-01-29T00:00:00"/>
        <d v="2002-02-24T00:00:00"/>
        <d v="2015-07-13T00:00:00"/>
        <d v="2009-01-30T00:00:00"/>
        <d v="2004-07-25T00:00:00"/>
        <d v="2008-03-27T00:00:00"/>
        <d v="2017-08-19T00:00:00"/>
        <d v="2008-09-29T00:00:00"/>
        <d v="2013-02-10T00:00:00"/>
        <d v="2010-05-03T00:00:00"/>
        <d v="2010-05-18T00:00:00"/>
        <d v="2019-05-30T00:00:00"/>
        <d v="2014-08-25T00:00:00"/>
        <d v="2001-06-17T00:00:00"/>
        <d v="2001-02-05T00:00:00"/>
        <d v="2010-01-11T00:00:00"/>
        <d v="2000-05-09T00:00:00"/>
        <d v="2006-05-28T00:00:00"/>
        <d v="2011-12-20T00:00:00"/>
        <d v="2008-02-07T00:00:00"/>
        <d v="2005-02-01T00:00:00"/>
        <d v="2008-02-21T00:00:00"/>
        <d v="2011-05-13T00:00:00"/>
        <d v="2009-12-28T00:00:00"/>
        <d v="2007-08-18T00:00:00"/>
        <d v="2008-06-24T00:00:00"/>
        <d v="2009-08-13T00:00:00"/>
        <d v="2013-04-22T00:00:00"/>
        <d v="2003-05-05T00:00:00"/>
        <d v="2001-10-03T00:00:00"/>
        <d v="2009-01-27T00:00:00"/>
        <d v="2016-04-09T00:00:00"/>
        <d v="2001-12-24T00:00:00"/>
        <d v="2014-07-15T00:00:00"/>
        <d v="2013-05-29T00:00:00"/>
        <d v="2002-01-07T00:00:00"/>
        <d v="2013-04-15T00:00:00"/>
        <d v="2015-07-28T00:00:00"/>
        <d v="2018-05-16T00:00:00"/>
        <d v="2003-07-23T00:00:00"/>
        <d v="2016-04-03T00:00:00"/>
        <d v="2009-07-12T00:00:00"/>
        <d v="2000-12-05T00:00:00"/>
        <d v="2000-06-01T00:00:00"/>
        <d v="2015-07-25T00:00:00"/>
        <d v="2003-11-22T00:00:00"/>
        <d v="2015-03-26T00:00:00"/>
        <d v="2008-05-09T00:00:00"/>
        <d v="2001-03-02T00:00:00"/>
        <d v="2019-07-26T00:00:00"/>
        <d v="2009-09-28T00:00:00"/>
        <d v="2017-05-18T00:00:00"/>
        <d v="2003-02-09T00:00:00"/>
        <d v="2006-06-30T00:00:00"/>
        <d v="2009-02-11T00:00:00"/>
        <d v="2002-08-07T00:00:00"/>
        <d v="2019-06-04T00:00:00"/>
        <d v="2003-10-05T00:00:00"/>
        <d v="2016-10-09T00:00:00"/>
        <d v="2019-05-23T00:00:00"/>
        <d v="2002-08-14T00:00:00"/>
        <d v="2004-08-28T00:00:00"/>
        <d v="2008-01-20T00:00:00"/>
        <d v="2006-10-18T00:00:00"/>
        <d v="2003-07-27T00:00:00"/>
        <d v="2001-01-05T00:00:00"/>
        <d v="2008-02-28T00:00:00"/>
        <d v="2006-04-15T00:00:00"/>
        <d v="2019-04-05T00:00:00"/>
        <d v="2017-04-25T00:00:00"/>
        <d v="2013-02-19T00:00:00"/>
        <d v="2019-07-22T00:00:00"/>
        <d v="2015-10-19T00:00:00"/>
        <d v="2005-10-26T00:00:00"/>
        <d v="2008-02-14T00:00:00"/>
        <d v="2019-03-30T00:00:00"/>
        <d v="2017-09-27T00:00:00"/>
        <d v="2011-05-08T00:00:00"/>
        <d v="2017-01-19T00:00:00"/>
        <d v="2007-07-05T00:00:00"/>
        <d v="2016-10-30T00:00:00"/>
        <d v="2013-12-06T00:00:00"/>
        <d v="2011-01-04T00:00:00"/>
        <d v="2014-04-27T00:00:00"/>
        <d v="2014-12-06T00:00:00"/>
        <d v="2016-05-06T00:00:00"/>
        <d v="2002-02-01T00:00:00"/>
        <d v="2018-06-30T00:00:00"/>
        <d v="2011-02-14T00:00:00"/>
        <d v="2002-10-01T00:00:00"/>
        <d v="2019-04-28T00:00:00"/>
        <d v="2010-04-13T00:00:00"/>
        <d v="2007-10-17T00:00:00"/>
        <d v="2017-02-22T00:00:00"/>
        <d v="2000-12-15T00:00:00"/>
        <d v="2008-02-12T00:00:00"/>
        <d v="2001-11-17T00:00:00"/>
        <d v="2012-09-11T00:00:00"/>
        <d v="2008-07-23T00:00:00"/>
        <d v="2012-03-14T00:00:00"/>
        <d v="2007-07-18T00:00:00"/>
        <d v="2009-08-25T00:00:00"/>
        <d v="2009-12-03T00:00:00"/>
        <d v="2007-06-25T00:00:00"/>
        <d v="2017-09-21T00:00:00"/>
        <d v="2017-06-02T00:00:00"/>
        <d v="2017-05-22T00:00:00"/>
        <d v="2004-08-20T00:00:00"/>
        <d v="2007-12-02T00:00:00"/>
        <d v="2010-06-08T00:00:00"/>
        <d v="2011-06-12T00:00:00"/>
        <d v="2001-11-15T00:00:00"/>
        <d v="2011-11-19T00:00:00"/>
        <d v="2007-12-29T00:00:00"/>
        <d v="2019-08-15T00:00:00"/>
        <d v="2010-04-14T00:00:00"/>
        <d v="2014-12-07T00:00:00"/>
        <d v="2008-12-27T00:00:00"/>
        <d v="2012-11-04T00:00:00"/>
        <d v="2018-09-11T00:00:00"/>
        <d v="2011-01-09T00:00:00"/>
        <d v="2003-03-02T00:00:00"/>
        <d v="2008-05-19T00:00:00"/>
        <d v="2019-08-06T00:00:00"/>
        <d v="2016-03-16T00:00:00"/>
        <d v="2016-02-19T00:00:00"/>
        <d v="2012-03-03T00:00:00"/>
        <d v="2006-05-18T00:00:00"/>
        <d v="2017-08-15T00:00:00"/>
        <d v="2003-07-16T00:00:00"/>
        <d v="2005-02-27T00:00:00"/>
        <d v="2004-04-09T00:00:00"/>
        <d v="2002-09-10T00:00:00"/>
        <d v="2005-08-29T00:00:00"/>
        <d v="2018-11-24T00:00:00"/>
        <d v="2005-02-06T00:00:00"/>
        <d v="2005-06-02T00:00:00"/>
        <d v="2004-10-02T00:00:00"/>
        <d v="2006-09-18T00:00:00"/>
        <d v="2014-05-01T00:00:00"/>
        <d v="2005-04-02T00:00:00"/>
        <d v="2019-07-03T00:00:00"/>
        <d v="2011-01-29T00:00:00"/>
        <d v="2005-09-04T00:00:00"/>
        <d v="2012-10-05T00:00:00"/>
        <d v="2010-04-11T00:00:00"/>
        <d v="2001-01-29T00:00:00"/>
        <d v="2005-05-10T00:00:00"/>
        <d v="2008-05-06T00:00:00"/>
        <d v="2009-06-14T00:00:00"/>
        <d v="2001-06-06T00:00:00"/>
        <d v="2004-04-11T00:00:00"/>
        <d v="2007-12-19T00:00:00"/>
        <d v="2014-03-30T00:00:00"/>
        <d v="2007-10-20T00:00:00"/>
        <d v="2001-07-03T00:00:00"/>
        <d v="2004-01-08T00:00:00"/>
        <d v="2017-01-21T00:00:00"/>
        <d v="2002-04-12T00:00:00"/>
        <d v="2012-04-09T00:00:00"/>
        <d v="2013-11-06T00:00:00"/>
        <d v="2018-08-25T00:00:00"/>
        <d v="2000-10-12T00:00:00"/>
        <d v="2007-07-08T00:00:00"/>
        <d v="2019-06-18T00:00:00"/>
        <d v="2012-03-22T00:00:00"/>
        <d v="2018-08-12T00:00:00"/>
        <d v="2003-12-16T00:00:00"/>
        <d v="2015-12-25T00:00:00"/>
        <d v="2018-08-11T00:00:00"/>
        <d v="2018-09-23T00:00:00"/>
        <d v="2004-01-06T00:00:00"/>
        <d v="2004-11-11T00:00:00"/>
        <d v="2015-06-10T00:00:00"/>
        <d v="2019-08-16T00:00:00"/>
        <d v="2010-01-03T00:00:00"/>
        <d v="2002-07-03T00:00:00"/>
        <d v="2000-10-14T00:00:00"/>
        <d v="2011-06-22T00:00:00"/>
        <d v="2018-08-26T00:00:00"/>
        <d v="2005-09-19T00:00:00"/>
        <d v="2012-02-13T00:00:00"/>
        <d v="2016-03-29T00:00:00"/>
        <d v="2004-12-09T00:00:00"/>
        <d v="2003-03-24T00:00:00"/>
        <d v="2011-12-19T00:00:00"/>
        <d v="2004-05-07T00:00:00"/>
        <d v="2017-04-23T00:00:00"/>
        <d v="2017-03-12T00:00:00"/>
        <d v="2013-04-24T00:00:00"/>
        <d v="2016-01-12T00:00:00"/>
        <d v="2003-04-18T00:00:00"/>
        <d v="2009-02-12T00:00:00"/>
        <d v="2017-06-26T00:00:00"/>
        <d v="2003-01-24T00:00:00"/>
        <d v="2000-07-15T00:00:00"/>
        <d v="2010-11-19T00:00:00"/>
        <d v="2001-06-09T00:00:00"/>
        <d v="2012-12-10T00:00:00"/>
        <d v="2003-11-11T00:00:00"/>
        <d v="2012-04-30T00:00:00"/>
        <d v="2003-04-09T00:00:00"/>
        <d v="2005-05-02T00:00:00"/>
        <d v="2013-02-07T00:00:00"/>
        <d v="2006-01-26T00:00:00"/>
        <d v="2011-08-25T00:00:00"/>
        <d v="2009-10-20T00:00:00"/>
        <d v="2018-01-16T00:00:00"/>
        <d v="2015-11-03T00:00:00"/>
        <d v="2016-07-08T00:00:00"/>
        <d v="2002-10-14T00:00:00"/>
        <d v="2009-10-30T00:00:00"/>
        <d v="2011-07-09T00:00:00"/>
        <d v="2011-02-21T00:00:00"/>
        <d v="2016-06-11T00:00:00"/>
        <d v="2012-03-29T00:00:00"/>
        <d v="2002-04-07T00:00:00"/>
        <d v="2016-11-28T00:00:00"/>
        <d v="2018-03-14T00:00:00"/>
        <d v="2012-12-05T00:00:00"/>
        <d v="2016-06-20T00:00:00"/>
        <d v="2014-01-09T00:00:00"/>
        <d v="2016-05-23T00:00:00"/>
        <d v="2005-09-20T00:00:00"/>
        <d v="2005-08-18T00:00:00"/>
        <d v="2019-07-23T00:00:00"/>
        <d v="2002-03-29T00:00:00"/>
        <d v="2013-01-04T00:00:00"/>
        <d v="2010-11-28T00:00:00"/>
        <d v="2010-01-28T00:00:00"/>
        <d v="2004-12-16T00:00:00"/>
        <d v="2013-05-17T00:00:00"/>
        <d v="2015-03-18T00:00:00"/>
        <d v="2019-09-12T00:00:00"/>
        <d v="2008-07-11T00:00:00"/>
        <d v="2014-05-17T00:00:00"/>
        <d v="2004-06-17T00:00:00"/>
        <d v="2004-03-23T00:00:00"/>
        <d v="2018-06-16T00:00:00"/>
        <d v="2009-10-19T00:00:00"/>
        <d v="2015-10-18T00:00:00"/>
        <d v="2005-03-19T00:00:00"/>
        <d v="2003-12-07T00:00:00"/>
        <d v="2013-10-10T00:00:00"/>
        <d v="2009-08-21T00:00:00"/>
        <d v="2008-05-17T00:00:00"/>
        <d v="2011-04-09T00:00:00"/>
        <d v="2002-09-25T00:00:00"/>
        <d v="2003-12-02T00:00:00"/>
        <d v="2012-06-18T00:00:00"/>
        <d v="2016-10-06T00:00:00"/>
        <d v="2000-09-21T00:00:00"/>
        <d v="2010-03-20T00:00:00"/>
        <d v="2017-04-28T00:00:00"/>
        <d v="2006-03-24T00:00:00"/>
        <d v="2010-08-11T00:00:00"/>
        <d v="2005-08-08T00:00:00"/>
        <d v="2008-08-10T00:00:00"/>
        <d v="2008-10-26T00:00:00"/>
        <d v="2008-08-06T00:00:00"/>
        <d v="2013-11-12T00:00:00"/>
        <d v="2013-06-01T00:00:00"/>
        <d v="2003-06-07T00:00:00"/>
        <d v="2001-12-23T00:00:00"/>
        <d v="2014-03-19T00:00:00"/>
        <d v="2013-12-15T00:00:00"/>
        <d v="2019-03-20T00:00:00"/>
        <d v="2000-03-24T00:00:00"/>
        <d v="2013-03-28T00:00:00"/>
        <d v="2009-03-24T00:00:00"/>
        <d v="2010-06-16T00:00:00"/>
        <d v="2009-03-18T00:00:00"/>
        <d v="2004-10-23T00:00:00"/>
        <d v="2016-09-02T00:00:00"/>
        <d v="2011-10-28T00:00:00"/>
        <d v="2018-12-28T00:00:00"/>
        <d v="2007-08-12T00:00:00"/>
        <d v="2008-12-31T00:00:00"/>
        <d v="2014-06-24T00:00:00"/>
        <d v="2000-11-24T00:00:00"/>
        <d v="2001-03-01T00:00:00"/>
        <d v="2015-07-14T00:00:00"/>
        <d v="2002-02-08T00:00:00"/>
        <d v="2014-07-21T00:00:00"/>
        <d v="2001-08-30T00:00:00"/>
        <d v="2005-01-26T00:00:00"/>
        <d v="2018-04-05T00:00:00"/>
        <d v="2007-04-26T00:00:00"/>
        <d v="2005-10-25T00:00:00"/>
        <d v="2016-10-25T00:00:00"/>
        <d v="2003-07-24T00:00:00"/>
        <d v="2013-09-24T00:00:00"/>
        <d v="2001-04-10T00:00:00"/>
        <d v="2005-05-18T00:00:00"/>
        <d v="2015-03-30T00:00:00"/>
        <d v="2005-04-29T00:00:00"/>
        <d v="2014-06-15T00:00:00"/>
        <d v="2006-12-14T00:00:00"/>
        <d v="2006-06-18T00:00:00"/>
        <d v="2015-09-29T00:00:00"/>
        <d v="2005-08-01T00:00:00"/>
        <d v="2003-03-30T00:00:00"/>
        <d v="2017-08-30T00:00:00"/>
        <d v="2010-10-09T00:00:00"/>
        <d v="2008-10-22T00:00:00"/>
        <d v="2015-11-12T00:00:00"/>
        <d v="2018-09-17T00:00:00"/>
        <d v="2017-01-23T00:00:00"/>
        <d v="2007-08-14T00:00:00"/>
        <d v="2002-02-16T00:00:00"/>
        <d v="2018-11-16T00:00:00"/>
        <d v="2009-04-02T00:00:00"/>
        <d v="2006-08-15T00:00:00"/>
        <d v="2018-01-20T00:00:00"/>
        <d v="2011-03-01T00:00:00"/>
        <d v="2011-09-02T00:00:00"/>
        <d v="2006-09-05T00:00:00"/>
        <d v="2013-03-24T00:00:00"/>
        <d v="2018-03-01T00:00:00"/>
        <d v="2013-09-29T00:00:00"/>
        <d v="2014-06-05T00:00:00"/>
        <d v="2015-04-19T00:00:00"/>
        <d v="2005-06-12T00:00:00"/>
        <d v="2002-12-02T00:00:00"/>
        <d v="2002-08-02T00:00:00"/>
        <d v="2000-01-29T00:00:00"/>
        <d v="2005-03-12T00:00:00"/>
        <d v="2015-09-30T00:00:00"/>
        <d v="2016-05-04T00:00:00"/>
        <d v="2014-02-06T00:00:00"/>
        <d v="2018-09-19T00:00:00"/>
        <d v="2004-08-24T00:00:00"/>
        <d v="2017-03-03T00:00:00"/>
        <d v="2007-09-15T00:00:00"/>
        <d v="2009-03-19T00:00:00"/>
        <d v="2006-10-24T00:00:00"/>
        <d v="2019-03-14T00:00:00"/>
        <d v="2015-01-29T00:00:00"/>
        <d v="2004-07-23T00:00:00"/>
        <d v="2012-08-24T00:00:00"/>
        <d v="2004-04-19T00:00:00"/>
        <d v="2004-09-29T00:00:00"/>
        <d v="2002-01-29T00:00:00"/>
        <d v="2005-11-27T00:00:00"/>
        <d v="2003-09-13T00:00:00"/>
        <d v="2009-07-08T00:00:00"/>
        <d v="2003-06-22T00:00:00"/>
        <d v="2004-11-20T00:00:00"/>
        <d v="2010-10-24T00:00:00"/>
        <d v="2016-04-14T00:00:00"/>
        <d v="2017-04-07T00:00:00"/>
        <d v="2007-02-20T00:00:00"/>
        <d v="2001-02-02T00:00:00"/>
        <d v="2007-03-15T00:00:00"/>
        <d v="2004-07-27T00:00:00"/>
        <d v="2000-08-26T00:00:00"/>
        <d v="2009-09-06T00:00:00"/>
        <d v="2015-08-09T00:00:00"/>
        <d v="2010-07-28T00:00:00"/>
        <d v="2008-06-30T00:00:00"/>
        <d v="2003-02-20T00:00:00"/>
        <d v="2004-04-06T00:00:00"/>
        <d v="2010-03-27T00:00:00"/>
        <d v="2014-10-04T00:00:00"/>
        <d v="2009-06-13T00:00:00"/>
        <d v="2000-10-26T00:00:00"/>
        <d v="2010-02-15T00:00:00"/>
        <d v="2011-02-05T00:00:00"/>
        <d v="2019-07-25T00:00:00"/>
        <d v="2016-01-18T00:00:00"/>
        <d v="2013-04-21T00:00:00"/>
        <d v="2000-09-05T00:00:00"/>
        <d v="2007-01-12T00:00:00"/>
        <d v="2011-04-22T00:00:00"/>
        <d v="2011-11-02T00:00:00"/>
        <d v="2012-10-24T00:00:00"/>
        <d v="2019-06-11T00:00:00"/>
        <d v="2007-10-31T00:00:00"/>
        <d v="2018-06-02T00:00:00"/>
        <d v="2001-07-23T00:00:00"/>
        <d v="2000-08-07T00:00:00"/>
        <d v="2003-10-26T00:00:00"/>
        <d v="2007-10-05T00:00:00"/>
        <d v="2018-04-07T00:00:00"/>
        <d v="2005-10-23T00:00:00"/>
        <d v="2015-09-16T00:00:00"/>
        <d v="2011-08-02T00:00:00"/>
        <d v="2010-12-14T00:00:00"/>
        <d v="2017-01-08T00:00:00"/>
        <d v="2011-11-28T00:00:00"/>
        <d v="2008-06-16T00:00:00"/>
        <d v="2016-07-25T00:00:00"/>
        <d v="2019-08-14T00:00:00"/>
        <d v="2019-09-28T00:00:00"/>
        <d v="2000-02-19T00:00:00"/>
        <d v="2001-05-29T00:00:00"/>
        <d v="2007-08-23T00:00:00"/>
        <d v="2007-08-10T00:00:00"/>
        <d v="2007-03-03T00:00:00"/>
        <d v="2005-01-11T00:00:00"/>
        <d v="2012-10-15T00:00:00"/>
        <d v="2003-03-11T00:00:00"/>
        <d v="2013-09-07T00:00:00"/>
        <d v="2006-02-27T00:00:00"/>
        <d v="2017-05-21T00:00:00"/>
        <d v="2001-02-18T00:00:00"/>
        <d v="2006-03-18T00:00:00"/>
        <d v="2018-11-23T00:00:00"/>
        <d v="2003-01-09T00:00:00"/>
        <d v="2013-04-20T00:00:00"/>
        <d v="2012-10-02T00:00:00"/>
        <d v="2009-03-10T00:00:00"/>
        <d v="2006-08-13T00:00:00"/>
        <d v="2015-05-13T00:00:00"/>
        <d v="2005-04-18T00:00:00"/>
        <d v="2019-04-10T00:00:00"/>
        <d v="2014-12-18T00:00:00"/>
        <d v="2000-07-22T00:00:00"/>
        <d v="2019-09-10T00:00:00"/>
        <d v="2019-06-10T00:00:00"/>
        <d v="2000-03-09T00:00:00"/>
        <d v="2001-05-30T00:00:00"/>
        <d v="2009-10-03T00:00:00"/>
        <d v="2017-06-23T00:00:00"/>
        <d v="2004-01-04T00:00:00"/>
        <d v="2016-06-23T00:00:00"/>
        <d v="2004-07-10T00:00:00"/>
        <d v="2001-12-07T00:00:00"/>
        <d v="2004-06-13T00:00:00"/>
        <d v="2018-09-16T00:00:00"/>
        <d v="2010-05-13T00:00:00"/>
        <d v="2003-09-07T00:00:00"/>
        <d v="2000-12-09T00:00:00"/>
        <d v="2010-05-14T00:00:00"/>
        <d v="2001-06-19T00:00:00"/>
        <d v="2000-12-20T00:00:00"/>
        <d v="2009-09-12T00:00:00"/>
        <d v="2013-10-02T00:00:00"/>
        <d v="2002-09-09T00:00:00"/>
        <d v="2016-09-26T00:00:00"/>
        <d v="2017-02-08T00:00:00"/>
        <d v="2015-08-01T00:00:00"/>
        <d v="2016-06-07T00:00:00"/>
        <d v="2008-03-28T00:00:00"/>
        <d v="2001-06-10T00:00:00"/>
        <d v="2019-11-09T00:00:00"/>
        <d v="2002-07-19T00:00:00"/>
        <d v="2007-07-19T00:00:00"/>
        <d v="2006-04-01T00:00:00"/>
        <d v="2014-09-26T00:00:00"/>
        <d v="2019-08-22T00:00:00"/>
        <d v="2006-12-16T00:00:00"/>
        <d v="2009-03-14T00:00:00"/>
        <d v="2004-05-12T00:00:00"/>
        <d v="2008-01-04T00:00:00"/>
        <d v="2009-12-04T00:00:00"/>
        <d v="2014-12-22T00:00:00"/>
        <d v="2003-05-08T00:00:00"/>
        <d v="2005-05-13T00:00:00"/>
        <d v="2019-06-20T00:00:00"/>
        <d v="2002-08-23T00:00:00"/>
        <d v="2013-11-07T00:00:00"/>
        <d v="2013-09-01T00:00:00"/>
        <d v="2010-01-26T00:00:00"/>
        <d v="2011-10-22T00:00:00"/>
        <d v="2001-09-14T00:00:00"/>
        <d v="2012-03-06T00:00:00"/>
        <d v="2013-02-08T00:00:00"/>
        <d v="2018-09-01T00:00:00"/>
        <d v="2012-12-09T00:00:00"/>
        <d v="2008-01-27T00:00:00"/>
        <d v="2009-01-12T00:00:00"/>
        <d v="2003-03-14T00:00:00"/>
        <d v="2013-01-01T00:00:00"/>
        <d v="2017-08-07T00:00:00"/>
        <d v="2001-01-26T00:00:00"/>
        <d v="2010-06-06T00:00:00"/>
        <d v="2006-08-04T00:00:00"/>
        <d v="2013-04-26T00:00:00"/>
        <d v="2013-05-24T00:00:00"/>
        <d v="2013-10-06T00:00:00"/>
        <d v="2016-08-10T00:00:00"/>
        <d v="2011-08-31T00:00:00"/>
        <d v="2013-03-21T00:00:00"/>
        <d v="2001-08-03T00:00:00"/>
        <d v="2002-03-31T00:00:00"/>
        <d v="2003-06-01T00:00:00"/>
        <d v="2000-05-03T00:00:00"/>
        <d v="2016-08-11T00:00:00"/>
        <d v="2012-02-26T00:00:00"/>
        <d v="2005-02-17T00:00:00"/>
        <d v="2001-06-07T00:00:00"/>
        <d v="2008-07-20T00:00:00"/>
        <d v="2011-07-26T00:00:00"/>
        <d v="2014-05-21T00:00:00"/>
        <d v="2018-08-14T00:00:00"/>
        <d v="2008-10-03T00:00:00"/>
        <d v="2007-08-17T00:00:00"/>
        <d v="2005-10-19T00:00:00"/>
        <d v="2017-07-26T00:00:00"/>
        <d v="2003-04-25T00:00:00"/>
        <d v="2002-10-23T00:00:00"/>
        <d v="2014-10-18T00:00:00"/>
        <d v="2011-04-10T00:00:00"/>
        <d v="2011-09-01T00:00:00"/>
        <d v="2014-11-12T00:00:00"/>
        <d v="2015-04-28T00:00:00"/>
        <d v="2001-05-12T00:00:00"/>
        <d v="2012-05-26T00:00:00"/>
        <d v="2007-09-06T00:00:00"/>
      </sharedItems>
      <fieldGroup par="36"/>
    </cacheField>
    <cacheField name="Hire Year" numFmtId="0">
      <sharedItems containsSemiMixedTypes="0" containsString="0" containsNumber="1" containsInteger="1" minValue="2000" maxValue="2019"/>
    </cacheField>
    <cacheField name="Hire Month" numFmtId="0">
      <sharedItems containsSemiMixedTypes="0" containsString="0" containsNumber="1" containsInteger="1" minValue="1" maxValue="12" count="12">
        <n v="9"/>
        <n v="11"/>
        <n v="7"/>
        <n v="4"/>
        <n v="2"/>
        <n v="10"/>
        <n v="8"/>
        <n v="5"/>
        <n v="3"/>
        <n v="6"/>
        <n v="12"/>
        <n v="1"/>
      </sharedItems>
    </cacheField>
    <cacheField name="Hire day" numFmtId="0">
      <sharedItems containsSemiMixedTypes="0" containsString="0" containsNumber="1" containsInteger="1" minValue="1" maxValue="31"/>
    </cacheField>
    <cacheField name="Today()" numFmtId="164">
      <sharedItems containsSemiMixedTypes="0" containsNonDate="0" containsDate="1" containsString="0" minDate="2026-03-19T00:00:00" maxDate="2026-03-20T00:00:00"/>
    </cacheField>
    <cacheField name="datedif" numFmtId="0">
      <sharedItems containsSemiMixedTypes="0" containsString="0" containsNumber="1" containsInteger="1" minValue="2288" maxValue="9574"/>
    </cacheField>
    <cacheField name="Datediff" numFmtId="0">
      <sharedItems containsSemiMixedTypes="0" containsString="0" containsNumber="1" containsInteger="1" minValue="2288" maxValue="9574"/>
    </cacheField>
    <cacheField name="Networkdays()" numFmtId="0">
      <sharedItems containsSemiMixedTypes="0" containsString="0" containsNumber="1" containsInteger="1" minValue="1635" maxValue="6839"/>
    </cacheField>
    <cacheField name="Age" numFmtId="0">
      <sharedItems containsSemiMixedTypes="0" containsString="0" containsNumber="1" containsInteger="1" minValue="22" maxValue="64"/>
    </cacheField>
    <cacheField name="Age Category" numFmtId="0">
      <sharedItems count="2">
        <s v="Old"/>
        <s v="Young"/>
      </sharedItems>
    </cacheField>
    <cacheField name="Gender" numFmtId="0">
      <sharedItems count="2">
        <s v="Female"/>
        <s v="Male"/>
      </sharedItems>
    </cacheField>
    <cacheField name="Performance Score" numFmtId="0">
      <sharedItems containsSemiMixedTypes="0" containsString="0" containsNumber="1" containsInteger="1" minValue="1" maxValue="9"/>
    </cacheField>
    <cacheField name="Full-Time" numFmtId="0">
      <sharedItems/>
    </cacheField>
    <cacheField name="Bonus" numFmtId="0">
      <sharedItems containsSemiMixedTypes="0" containsString="0" containsNumber="1" minValue="503.27" maxValue="9980.43"/>
    </cacheField>
    <cacheField name="Marital Status" numFmtId="0">
      <sharedItems count="4">
        <s v="Widowed"/>
        <s v="Married"/>
        <s v="Single"/>
        <s v="Divorced"/>
      </sharedItems>
    </cacheField>
    <cacheField name="Education Level" numFmtId="0">
      <sharedItems count="5">
        <s v="PhD"/>
        <s v="Master's"/>
        <s v="High School"/>
        <s v="Associate's"/>
        <s v="Bachelor's"/>
      </sharedItems>
    </cacheField>
    <cacheField name="Work Experience (Years)" numFmtId="0">
      <sharedItems containsSemiMixedTypes="0" containsString="0" containsNumber="1" containsInteger="1" minValue="1" maxValue="39" count="39">
        <n v="13"/>
        <n v="39"/>
        <n v="20"/>
        <n v="32"/>
        <n v="10"/>
        <n v="26"/>
        <n v="19"/>
        <n v="29"/>
        <n v="34"/>
        <n v="18"/>
        <n v="8"/>
        <n v="16"/>
        <n v="23"/>
        <n v="38"/>
        <n v="1"/>
        <n v="2"/>
        <n v="27"/>
        <n v="4"/>
        <n v="3"/>
        <n v="28"/>
        <n v="14"/>
        <n v="7"/>
        <n v="37"/>
        <n v="5"/>
        <n v="35"/>
        <n v="11"/>
        <n v="9"/>
        <n v="22"/>
        <n v="25"/>
        <n v="17"/>
        <n v="12"/>
        <n v="36"/>
        <n v="30"/>
        <n v="6"/>
        <n v="33"/>
        <n v="24"/>
        <n v="31"/>
        <n v="21"/>
        <n v="15"/>
      </sharedItems>
      <fieldGroup base="24">
        <rangePr startNum="1" endNum="39" groupInterval="5"/>
        <groupItems count="10">
          <s v="&lt;1"/>
          <s v="1-5"/>
          <s v="6-10"/>
          <s v="11-15"/>
          <s v="16-20"/>
          <s v="21-25"/>
          <s v="26-30"/>
          <s v="31-35"/>
          <s v="36-40"/>
          <s v="&gt;41"/>
        </groupItems>
      </fieldGroup>
    </cacheField>
    <cacheField name="good employee(and)" numFmtId="0">
      <sharedItems/>
    </cacheField>
    <cacheField name="good employee(and)2" numFmtId="0">
      <sharedItems/>
    </cacheField>
    <cacheField name="good employee(or)" numFmtId="0">
      <sharedItems/>
    </cacheField>
    <cacheField name="good employee(or)2" numFmtId="0">
      <sharedItems/>
    </cacheField>
    <cacheField name="Employee Type" numFmtId="0">
      <sharedItems count="3">
        <s v="Intern"/>
        <s v="Permanent"/>
        <s v="Contract"/>
      </sharedItems>
    </cacheField>
    <cacheField name="Office Location" numFmtId="0">
      <sharedItems count="6">
        <s v="San Francisco"/>
        <s v="Nairobi"/>
        <s v="Berlin"/>
        <s v="Tokyo"/>
        <s v="London"/>
        <s v="New York"/>
      </sharedItems>
    </cacheField>
    <cacheField name="Project Count" numFmtId="0">
      <sharedItems containsSemiMixedTypes="0" containsString="0" containsNumber="1" containsInteger="1" minValue="0" maxValue="19"/>
    </cacheField>
    <cacheField name="Last Promotion Year" numFmtId="0">
      <sharedItems containsSemiMixedTypes="0" containsString="0" containsNumber="1" containsInteger="1" minValue="2010" maxValue="2023"/>
    </cacheField>
    <cacheField name="Remote Work Status" numFmtId="0">
      <sharedItems/>
    </cacheField>
    <cacheField name="Annual Training Hours" numFmtId="0">
      <sharedItems containsSemiMixedTypes="0" containsString="0" containsNumber="1" containsInteger="1" minValue="5" maxValue="199"/>
    </cacheField>
    <cacheField name="Manager Feedback Score" numFmtId="0">
      <sharedItems containsSemiMixedTypes="0" containsString="0" containsNumber="1" minValue="1" maxValue="5" count="41">
        <n v="2.2000000000000002"/>
        <n v="1.2"/>
        <n v="4.7"/>
        <n v="1.9"/>
        <n v="2.5"/>
        <n v="3.1"/>
        <n v="4.9000000000000004"/>
        <n v="2.8"/>
        <n v="3.3"/>
        <n v="4.3"/>
        <n v="1.7"/>
        <n v="4.2"/>
        <n v="4.4000000000000004"/>
        <n v="3.8"/>
        <n v="3.6"/>
        <n v="4"/>
        <n v="1.5"/>
        <n v="2"/>
        <n v="1.8"/>
        <n v="3.7"/>
        <n v="3.9"/>
        <n v="1.3"/>
        <n v="3"/>
        <n v="2.2999999999999998"/>
        <n v="2.7"/>
        <n v="1.6"/>
        <n v="4.5999999999999996"/>
        <n v="5"/>
        <n v="2.4"/>
        <n v="4.0999999999999996"/>
        <n v="3.4"/>
        <n v="4.5"/>
        <n v="2.9"/>
        <n v="3.2"/>
        <n v="2.1"/>
        <n v="3.5"/>
        <n v="1"/>
        <n v="1.1000000000000001"/>
        <n v="1.4"/>
        <n v="2.6"/>
        <n v="4.8"/>
      </sharedItems>
    </cacheField>
    <cacheField name="Months (Hire Date)" numFmtId="0" databaseField="0">
      <fieldGroup base="8">
        <rangePr groupBy="months" startDate="2000-01-01T00:00:00" endDate="2019-12-14T00:00:00"/>
        <groupItems count="14">
          <s v="&lt;1/1/2000"/>
          <s v="Jan"/>
          <s v="Feb"/>
          <s v="Mar"/>
          <s v="Apr"/>
          <s v="May"/>
          <s v="Jun"/>
          <s v="Jul"/>
          <s v="Aug"/>
          <s v="Sep"/>
          <s v="Oct"/>
          <s v="Nov"/>
          <s v="Dec"/>
          <s v="&gt;12/14/2019"/>
        </groupItems>
      </fieldGroup>
    </cacheField>
  </cacheFields>
  <extLst>
    <ext xmlns:x14="http://schemas.microsoft.com/office/spreadsheetml/2009/9/main" uri="{725AE2AE-9491-48be-B2B4-4EB974FC3084}">
      <x14:pivotCacheDefinition pivotCacheId="17073416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6">
  <r>
    <x v="0"/>
    <x v="0"/>
    <s v="Williams"/>
    <x v="0"/>
    <x v="0"/>
    <s v="michaelwilliams@gmail.com"/>
    <x v="0"/>
    <s v="Medium"/>
    <x v="0"/>
    <n v="2002"/>
    <x v="0"/>
    <n v="14"/>
    <d v="2026-03-19T00:00:00"/>
    <n v="8587"/>
    <n v="8587"/>
    <n v="6134"/>
    <n v="48"/>
    <x v="0"/>
    <x v="0"/>
    <n v="9"/>
    <s v="Yes"/>
    <n v="5324.53"/>
    <x v="0"/>
    <x v="0"/>
    <x v="0"/>
    <s v="Bad Employee"/>
    <b v="0"/>
    <b v="1"/>
    <s v="Good employee"/>
    <x v="0"/>
    <x v="0"/>
    <n v="4"/>
    <n v="2022"/>
    <s v="On-Site"/>
    <n v="150"/>
    <x v="0"/>
  </r>
  <r>
    <x v="1"/>
    <x v="1"/>
    <s v="Wilson"/>
    <x v="1"/>
    <x v="1"/>
    <s v="emilywilson@gmail.com"/>
    <x v="1"/>
    <s v="High"/>
    <x v="1"/>
    <n v="2008"/>
    <x v="1"/>
    <n v="12"/>
    <d v="2026-03-19T00:00:00"/>
    <n v="6336"/>
    <n v="6336"/>
    <n v="4527"/>
    <n v="53"/>
    <x v="0"/>
    <x v="1"/>
    <n v="7"/>
    <s v="Yes"/>
    <n v="5037.68"/>
    <x v="1"/>
    <x v="1"/>
    <x v="1"/>
    <s v="Good Employee"/>
    <b v="1"/>
    <b v="1"/>
    <s v="Good employee"/>
    <x v="0"/>
    <x v="1"/>
    <n v="14"/>
    <n v="2019"/>
    <s v="On-Site"/>
    <n v="140"/>
    <x v="1"/>
  </r>
  <r>
    <x v="2"/>
    <x v="2"/>
    <s v="Wilson"/>
    <x v="2"/>
    <x v="2"/>
    <s v="chriswilson@gmail.com"/>
    <x v="2"/>
    <s v="High"/>
    <x v="2"/>
    <n v="2017"/>
    <x v="2"/>
    <n v="13"/>
    <d v="2026-03-19T00:00:00"/>
    <n v="3171"/>
    <n v="3171"/>
    <n v="2266"/>
    <n v="33"/>
    <x v="0"/>
    <x v="1"/>
    <n v="7"/>
    <s v="Yes"/>
    <n v="1087.8599999999999"/>
    <x v="0"/>
    <x v="2"/>
    <x v="2"/>
    <s v="Bad Employee"/>
    <b v="0"/>
    <b v="1"/>
    <s v="Good employee"/>
    <x v="1"/>
    <x v="2"/>
    <n v="11"/>
    <n v="2012"/>
    <s v="Hybrid"/>
    <n v="159"/>
    <x v="2"/>
  </r>
  <r>
    <x v="3"/>
    <x v="0"/>
    <s v="Wilson"/>
    <x v="3"/>
    <x v="3"/>
    <s v="michaelwilson@gmail.com"/>
    <x v="3"/>
    <s v="extremely low"/>
    <x v="3"/>
    <n v="2014"/>
    <x v="2"/>
    <n v="27"/>
    <d v="2026-03-19T00:00:00"/>
    <n v="4253"/>
    <n v="4253"/>
    <n v="3039"/>
    <n v="26"/>
    <x v="1"/>
    <x v="0"/>
    <n v="8"/>
    <s v="No"/>
    <n v="4817.13"/>
    <x v="2"/>
    <x v="3"/>
    <x v="3"/>
    <s v="Good Employee"/>
    <b v="1"/>
    <b v="1"/>
    <s v="Good employee"/>
    <x v="0"/>
    <x v="3"/>
    <n v="16"/>
    <n v="2020"/>
    <s v="Fully Remote"/>
    <n v="18"/>
    <x v="3"/>
  </r>
  <r>
    <x v="4"/>
    <x v="3"/>
    <s v="Brown"/>
    <x v="4"/>
    <x v="4"/>
    <s v="alexbrown@gmail.com"/>
    <x v="4"/>
    <s v="Medium"/>
    <x v="4"/>
    <n v="2010"/>
    <x v="2"/>
    <n v="12"/>
    <d v="2026-03-19T00:00:00"/>
    <n v="5729"/>
    <n v="5729"/>
    <n v="4094"/>
    <n v="28"/>
    <x v="1"/>
    <x v="1"/>
    <n v="4"/>
    <s v="No"/>
    <n v="3231.82"/>
    <x v="2"/>
    <x v="3"/>
    <x v="4"/>
    <s v="Bad Employee"/>
    <b v="0"/>
    <b v="0"/>
    <s v="Bad Employee"/>
    <x v="1"/>
    <x v="0"/>
    <n v="4"/>
    <n v="2017"/>
    <s v="Hybrid"/>
    <n v="150"/>
    <x v="4"/>
  </r>
  <r>
    <x v="5"/>
    <x v="4"/>
    <s v="Wilson"/>
    <x v="5"/>
    <x v="5"/>
    <s v="sarahwilson@gmail.com"/>
    <x v="5"/>
    <s v="High"/>
    <x v="5"/>
    <n v="2014"/>
    <x v="2"/>
    <n v="10"/>
    <d v="2026-03-19T00:00:00"/>
    <n v="4270"/>
    <n v="4270"/>
    <n v="3051"/>
    <n v="43"/>
    <x v="0"/>
    <x v="1"/>
    <n v="6"/>
    <s v="Yes"/>
    <n v="3108.36"/>
    <x v="0"/>
    <x v="4"/>
    <x v="5"/>
    <s v="Bad Employee"/>
    <b v="0"/>
    <b v="1"/>
    <s v="Good employee"/>
    <x v="2"/>
    <x v="0"/>
    <n v="18"/>
    <n v="2017"/>
    <s v="On-Site"/>
    <n v="69"/>
    <x v="5"/>
  </r>
  <r>
    <x v="6"/>
    <x v="2"/>
    <s v="Davis"/>
    <x v="5"/>
    <x v="6"/>
    <s v="chrisdavis@gmail.com"/>
    <x v="6"/>
    <s v="Medium"/>
    <x v="6"/>
    <n v="2017"/>
    <x v="3"/>
    <n v="2"/>
    <d v="2026-03-19T00:00:00"/>
    <n v="3273"/>
    <n v="3273"/>
    <n v="2339"/>
    <n v="48"/>
    <x v="0"/>
    <x v="0"/>
    <n v="5"/>
    <s v="No"/>
    <n v="2612.63"/>
    <x v="0"/>
    <x v="4"/>
    <x v="6"/>
    <s v="Bad Employee"/>
    <b v="0"/>
    <b v="0"/>
    <s v="Bad Employee"/>
    <x v="2"/>
    <x v="3"/>
    <n v="9"/>
    <n v="2021"/>
    <s v="On-Site"/>
    <n v="163"/>
    <x v="6"/>
  </r>
  <r>
    <x v="7"/>
    <x v="2"/>
    <s v="Williams"/>
    <x v="0"/>
    <x v="7"/>
    <s v="chriswilliams@gmail.com"/>
    <x v="7"/>
    <s v="Medium"/>
    <x v="7"/>
    <n v="2010"/>
    <x v="4"/>
    <n v="10"/>
    <d v="2026-03-19T00:00:00"/>
    <n v="5881"/>
    <n v="5881"/>
    <n v="4202"/>
    <n v="36"/>
    <x v="0"/>
    <x v="0"/>
    <n v="1"/>
    <s v="No"/>
    <n v="3659.02"/>
    <x v="2"/>
    <x v="4"/>
    <x v="7"/>
    <s v="Bad Employee"/>
    <b v="0"/>
    <b v="1"/>
    <s v="Good employee"/>
    <x v="0"/>
    <x v="2"/>
    <n v="11"/>
    <n v="2016"/>
    <s v="Hybrid"/>
    <n v="24"/>
    <x v="5"/>
  </r>
  <r>
    <x v="8"/>
    <x v="0"/>
    <s v="Wilson"/>
    <x v="2"/>
    <x v="8"/>
    <s v="michaelwilson@gmail.com"/>
    <x v="8"/>
    <s v="High"/>
    <x v="8"/>
    <n v="2000"/>
    <x v="3"/>
    <n v="8"/>
    <d v="2026-03-19T00:00:00"/>
    <n v="9476"/>
    <n v="9476"/>
    <n v="6769"/>
    <n v="60"/>
    <x v="0"/>
    <x v="1"/>
    <n v="9"/>
    <s v="No"/>
    <n v="3854.76"/>
    <x v="3"/>
    <x v="3"/>
    <x v="0"/>
    <s v="Bad Employee"/>
    <b v="0"/>
    <b v="1"/>
    <s v="Good employee"/>
    <x v="0"/>
    <x v="4"/>
    <n v="1"/>
    <n v="2017"/>
    <s v="On-Site"/>
    <n v="74"/>
    <x v="7"/>
  </r>
  <r>
    <x v="9"/>
    <x v="5"/>
    <s v="Smith"/>
    <x v="1"/>
    <x v="9"/>
    <s v="janesmith@gmail.com"/>
    <x v="9"/>
    <s v="High"/>
    <x v="9"/>
    <n v="2006"/>
    <x v="3"/>
    <n v="7"/>
    <d v="2026-03-19T00:00:00"/>
    <n v="7286"/>
    <n v="7286"/>
    <n v="5205"/>
    <n v="56"/>
    <x v="0"/>
    <x v="0"/>
    <n v="2"/>
    <s v="No"/>
    <n v="3433.37"/>
    <x v="3"/>
    <x v="1"/>
    <x v="8"/>
    <s v="Bad Employee"/>
    <b v="0"/>
    <b v="1"/>
    <s v="Good employee"/>
    <x v="1"/>
    <x v="5"/>
    <n v="16"/>
    <n v="2010"/>
    <s v="On-Site"/>
    <n v="49"/>
    <x v="8"/>
  </r>
  <r>
    <x v="10"/>
    <x v="3"/>
    <s v="Brown"/>
    <x v="5"/>
    <x v="10"/>
    <s v="alexbrown@gmail.com"/>
    <x v="10"/>
    <s v="High"/>
    <x v="10"/>
    <n v="2004"/>
    <x v="4"/>
    <n v="23"/>
    <d v="2026-03-19T00:00:00"/>
    <n v="8060"/>
    <n v="8060"/>
    <n v="5759"/>
    <n v="47"/>
    <x v="0"/>
    <x v="1"/>
    <n v="6"/>
    <s v="Yes"/>
    <n v="9798.15"/>
    <x v="3"/>
    <x v="2"/>
    <x v="2"/>
    <s v="Bad Employee"/>
    <b v="0"/>
    <b v="0"/>
    <s v="Bad Employee"/>
    <x v="0"/>
    <x v="2"/>
    <n v="4"/>
    <n v="2012"/>
    <s v="Fully Remote"/>
    <n v="5"/>
    <x v="6"/>
  </r>
  <r>
    <x v="11"/>
    <x v="0"/>
    <s v="Davis"/>
    <x v="0"/>
    <x v="11"/>
    <s v="michaeldavis@gmail.com"/>
    <x v="11"/>
    <s v="low"/>
    <x v="11"/>
    <n v="2011"/>
    <x v="5"/>
    <n v="7"/>
    <d v="2026-03-19T00:00:00"/>
    <n v="5277"/>
    <n v="5277"/>
    <n v="3770"/>
    <n v="44"/>
    <x v="0"/>
    <x v="1"/>
    <n v="8"/>
    <s v="Yes"/>
    <n v="9360.9500000000007"/>
    <x v="0"/>
    <x v="4"/>
    <x v="9"/>
    <s v="Bad Employee"/>
    <b v="0"/>
    <b v="1"/>
    <s v="Good employee"/>
    <x v="0"/>
    <x v="3"/>
    <n v="14"/>
    <n v="2015"/>
    <s v="Fully Remote"/>
    <n v="151"/>
    <x v="9"/>
  </r>
  <r>
    <x v="12"/>
    <x v="3"/>
    <s v="Smith"/>
    <x v="3"/>
    <x v="12"/>
    <s v="alexsmith@gmail.com"/>
    <x v="12"/>
    <s v="High"/>
    <x v="12"/>
    <n v="2001"/>
    <x v="0"/>
    <n v="25"/>
    <d v="2026-03-19T00:00:00"/>
    <n v="8941"/>
    <n v="8941"/>
    <n v="6388"/>
    <n v="34"/>
    <x v="0"/>
    <x v="1"/>
    <n v="3"/>
    <s v="No"/>
    <n v="5957.85"/>
    <x v="0"/>
    <x v="3"/>
    <x v="8"/>
    <s v="Bad Employee"/>
    <b v="0"/>
    <b v="1"/>
    <s v="Good employee"/>
    <x v="0"/>
    <x v="1"/>
    <n v="19"/>
    <n v="2021"/>
    <s v="On-Site"/>
    <n v="43"/>
    <x v="10"/>
  </r>
  <r>
    <x v="13"/>
    <x v="3"/>
    <s v="Smith"/>
    <x v="2"/>
    <x v="13"/>
    <s v="alexsmith@gmail.com"/>
    <x v="13"/>
    <s v="low"/>
    <x v="13"/>
    <n v="2019"/>
    <x v="1"/>
    <n v="20"/>
    <d v="2026-03-19T00:00:00"/>
    <n v="2311"/>
    <n v="2311"/>
    <n v="1652"/>
    <n v="47"/>
    <x v="0"/>
    <x v="1"/>
    <n v="5"/>
    <s v="Yes"/>
    <n v="9820.02"/>
    <x v="2"/>
    <x v="1"/>
    <x v="10"/>
    <s v="Bad Employee"/>
    <b v="0"/>
    <b v="0"/>
    <s v="Bad Employee"/>
    <x v="1"/>
    <x v="1"/>
    <n v="12"/>
    <n v="2016"/>
    <s v="On-Site"/>
    <n v="123"/>
    <x v="11"/>
  </r>
  <r>
    <x v="14"/>
    <x v="4"/>
    <s v="Smith"/>
    <x v="2"/>
    <x v="14"/>
    <s v="sarahsmith@gmail.com"/>
    <x v="14"/>
    <s v="High"/>
    <x v="14"/>
    <n v="2013"/>
    <x v="3"/>
    <n v="3"/>
    <d v="2026-03-19T00:00:00"/>
    <n v="4733"/>
    <n v="4733"/>
    <n v="3382"/>
    <n v="24"/>
    <x v="1"/>
    <x v="0"/>
    <n v="7"/>
    <s v="Yes"/>
    <n v="9916.3799999999992"/>
    <x v="1"/>
    <x v="4"/>
    <x v="11"/>
    <s v="Bad Employee"/>
    <b v="0"/>
    <b v="1"/>
    <s v="Good employee"/>
    <x v="2"/>
    <x v="3"/>
    <n v="19"/>
    <n v="2016"/>
    <s v="Hybrid"/>
    <n v="159"/>
    <x v="12"/>
  </r>
  <r>
    <x v="15"/>
    <x v="2"/>
    <s v="Smith"/>
    <x v="0"/>
    <x v="15"/>
    <s v="chrissmith@gmail.com"/>
    <x v="15"/>
    <s v="Medium"/>
    <x v="15"/>
    <n v="2012"/>
    <x v="2"/>
    <n v="21"/>
    <d v="2026-03-19T00:00:00"/>
    <n v="4989"/>
    <n v="4989"/>
    <n v="3564"/>
    <n v="50"/>
    <x v="0"/>
    <x v="0"/>
    <n v="4"/>
    <s v="Yes"/>
    <n v="3881.43"/>
    <x v="3"/>
    <x v="4"/>
    <x v="12"/>
    <s v="Bad Employee"/>
    <b v="0"/>
    <b v="1"/>
    <s v="Good employee"/>
    <x v="1"/>
    <x v="1"/>
    <n v="10"/>
    <n v="2020"/>
    <s v="Hybrid"/>
    <n v="60"/>
    <x v="13"/>
  </r>
  <r>
    <x v="16"/>
    <x v="1"/>
    <s v="Williams"/>
    <x v="0"/>
    <x v="16"/>
    <s v="emilywilliams@gmail.com"/>
    <x v="16"/>
    <s v="Medium"/>
    <x v="16"/>
    <n v="2001"/>
    <x v="6"/>
    <n v="1"/>
    <d v="2026-03-19T00:00:00"/>
    <n v="8996"/>
    <n v="8996"/>
    <n v="6427"/>
    <n v="23"/>
    <x v="1"/>
    <x v="1"/>
    <n v="5"/>
    <s v="Yes"/>
    <n v="4729.28"/>
    <x v="3"/>
    <x v="2"/>
    <x v="3"/>
    <s v="Bad Employee"/>
    <b v="0"/>
    <b v="1"/>
    <s v="Good employee"/>
    <x v="1"/>
    <x v="3"/>
    <n v="17"/>
    <n v="2015"/>
    <s v="On-Site"/>
    <n v="148"/>
    <x v="14"/>
  </r>
  <r>
    <x v="17"/>
    <x v="4"/>
    <s v="Wilson"/>
    <x v="1"/>
    <x v="17"/>
    <s v="sarahwilson@gmail.com"/>
    <x v="17"/>
    <s v="High"/>
    <x v="17"/>
    <n v="2010"/>
    <x v="1"/>
    <n v="3"/>
    <d v="2026-03-19T00:00:00"/>
    <n v="5615"/>
    <n v="5615"/>
    <n v="4012"/>
    <n v="49"/>
    <x v="0"/>
    <x v="0"/>
    <n v="1"/>
    <s v="No"/>
    <n v="9611.09"/>
    <x v="3"/>
    <x v="2"/>
    <x v="0"/>
    <s v="Bad Employee"/>
    <b v="0"/>
    <b v="0"/>
    <s v="Bad Employee"/>
    <x v="0"/>
    <x v="0"/>
    <n v="8"/>
    <n v="2022"/>
    <s v="Fully Remote"/>
    <n v="11"/>
    <x v="7"/>
  </r>
  <r>
    <x v="18"/>
    <x v="4"/>
    <s v="Miller"/>
    <x v="0"/>
    <x v="18"/>
    <s v="sarahmiller@gmail.com"/>
    <x v="18"/>
    <s v="High"/>
    <x v="18"/>
    <n v="2018"/>
    <x v="3"/>
    <n v="6"/>
    <d v="2026-03-19T00:00:00"/>
    <n v="2904"/>
    <n v="2904"/>
    <n v="2075"/>
    <n v="44"/>
    <x v="0"/>
    <x v="1"/>
    <n v="4"/>
    <s v="No"/>
    <n v="6281.95"/>
    <x v="2"/>
    <x v="0"/>
    <x v="5"/>
    <s v="Bad Employee"/>
    <b v="0"/>
    <b v="1"/>
    <s v="Good employee"/>
    <x v="2"/>
    <x v="4"/>
    <n v="15"/>
    <n v="2021"/>
    <s v="Fully Remote"/>
    <n v="24"/>
    <x v="14"/>
  </r>
  <r>
    <x v="19"/>
    <x v="3"/>
    <s v="Williams"/>
    <x v="1"/>
    <x v="19"/>
    <s v="alexwilliams@gmail.com"/>
    <x v="19"/>
    <s v="Medium"/>
    <x v="19"/>
    <n v="2000"/>
    <x v="0"/>
    <n v="29"/>
    <d v="2026-03-19T00:00:00"/>
    <n v="9302"/>
    <n v="9302"/>
    <n v="6645"/>
    <n v="57"/>
    <x v="0"/>
    <x v="1"/>
    <n v="7"/>
    <s v="No"/>
    <n v="2522.83"/>
    <x v="1"/>
    <x v="4"/>
    <x v="13"/>
    <s v="Good Employee"/>
    <b v="1"/>
    <b v="1"/>
    <s v="Good employee"/>
    <x v="1"/>
    <x v="0"/>
    <n v="14"/>
    <n v="2021"/>
    <s v="Hybrid"/>
    <n v="163"/>
    <x v="15"/>
  </r>
  <r>
    <x v="20"/>
    <x v="6"/>
    <s v="Williams"/>
    <x v="1"/>
    <x v="20"/>
    <s v="katiewilliams@gmail.com"/>
    <x v="20"/>
    <s v="High"/>
    <x v="20"/>
    <n v="2014"/>
    <x v="6"/>
    <n v="13"/>
    <d v="2026-03-19T00:00:00"/>
    <n v="4236"/>
    <n v="4236"/>
    <n v="3027"/>
    <n v="27"/>
    <x v="1"/>
    <x v="0"/>
    <n v="7"/>
    <s v="Yes"/>
    <n v="7049.12"/>
    <x v="1"/>
    <x v="0"/>
    <x v="14"/>
    <s v="Bad Employee"/>
    <b v="0"/>
    <b v="1"/>
    <s v="Good employee"/>
    <x v="0"/>
    <x v="0"/>
    <n v="3"/>
    <n v="2021"/>
    <s v="Fully Remote"/>
    <n v="88"/>
    <x v="16"/>
  </r>
  <r>
    <x v="21"/>
    <x v="2"/>
    <s v="Davis"/>
    <x v="4"/>
    <x v="21"/>
    <s v="chrisdavis@gmail.com"/>
    <x v="21"/>
    <s v="Medium"/>
    <x v="21"/>
    <n v="2013"/>
    <x v="7"/>
    <n v="13"/>
    <d v="2026-03-19T00:00:00"/>
    <n v="4693"/>
    <n v="4693"/>
    <n v="3354"/>
    <n v="32"/>
    <x v="0"/>
    <x v="0"/>
    <n v="4"/>
    <s v="No"/>
    <n v="2454.59"/>
    <x v="1"/>
    <x v="3"/>
    <x v="15"/>
    <s v="Bad Employee"/>
    <b v="0"/>
    <b v="0"/>
    <s v="Bad Employee"/>
    <x v="1"/>
    <x v="0"/>
    <n v="11"/>
    <n v="2020"/>
    <s v="Fully Remote"/>
    <n v="83"/>
    <x v="17"/>
  </r>
  <r>
    <x v="22"/>
    <x v="5"/>
    <s v="Davis"/>
    <x v="2"/>
    <x v="22"/>
    <s v="janedavis@gmail.com"/>
    <x v="22"/>
    <s v="low"/>
    <x v="22"/>
    <n v="2010"/>
    <x v="5"/>
    <n v="29"/>
    <d v="2026-03-19T00:00:00"/>
    <n v="5620"/>
    <n v="5620"/>
    <n v="4015"/>
    <n v="59"/>
    <x v="0"/>
    <x v="1"/>
    <n v="6"/>
    <s v="No"/>
    <n v="3723.9"/>
    <x v="3"/>
    <x v="2"/>
    <x v="1"/>
    <s v="Bad Employee"/>
    <b v="0"/>
    <b v="1"/>
    <s v="Good employee"/>
    <x v="0"/>
    <x v="3"/>
    <n v="12"/>
    <n v="2013"/>
    <s v="Hybrid"/>
    <n v="157"/>
    <x v="18"/>
  </r>
  <r>
    <x v="23"/>
    <x v="4"/>
    <s v="Wilson"/>
    <x v="3"/>
    <x v="23"/>
    <s v="sarahwilson@gmail.com"/>
    <x v="23"/>
    <s v="Medium"/>
    <x v="23"/>
    <n v="2010"/>
    <x v="5"/>
    <n v="2"/>
    <d v="2026-03-19T00:00:00"/>
    <n v="5647"/>
    <n v="5647"/>
    <n v="4034"/>
    <n v="55"/>
    <x v="0"/>
    <x v="0"/>
    <n v="5"/>
    <s v="No"/>
    <n v="2661.82"/>
    <x v="0"/>
    <x v="1"/>
    <x v="0"/>
    <s v="Bad Employee"/>
    <b v="0"/>
    <b v="0"/>
    <s v="Bad Employee"/>
    <x v="2"/>
    <x v="2"/>
    <n v="8"/>
    <n v="2014"/>
    <s v="Hybrid"/>
    <n v="114"/>
    <x v="12"/>
  </r>
  <r>
    <x v="24"/>
    <x v="1"/>
    <s v="Miller"/>
    <x v="2"/>
    <x v="24"/>
    <s v="emilymiller@gmail.com"/>
    <x v="24"/>
    <s v="High"/>
    <x v="24"/>
    <n v="2001"/>
    <x v="8"/>
    <n v="28"/>
    <d v="2026-03-19T00:00:00"/>
    <n v="9122"/>
    <n v="9122"/>
    <n v="6517"/>
    <n v="38"/>
    <x v="0"/>
    <x v="1"/>
    <n v="1"/>
    <s v="No"/>
    <n v="2827.31"/>
    <x v="3"/>
    <x v="4"/>
    <x v="16"/>
    <s v="Bad Employee"/>
    <b v="0"/>
    <b v="1"/>
    <s v="Good employee"/>
    <x v="2"/>
    <x v="5"/>
    <n v="14"/>
    <n v="2018"/>
    <s v="Fully Remote"/>
    <n v="5"/>
    <x v="19"/>
  </r>
  <r>
    <x v="25"/>
    <x v="6"/>
    <s v="Davis"/>
    <x v="2"/>
    <x v="25"/>
    <s v="katiedavis@gmail.com"/>
    <x v="25"/>
    <s v="Medium"/>
    <x v="25"/>
    <n v="2003"/>
    <x v="8"/>
    <n v="21"/>
    <d v="2026-03-19T00:00:00"/>
    <n v="8399"/>
    <n v="8399"/>
    <n v="6000"/>
    <n v="24"/>
    <x v="1"/>
    <x v="0"/>
    <n v="8"/>
    <s v="Yes"/>
    <n v="544.23"/>
    <x v="1"/>
    <x v="4"/>
    <x v="17"/>
    <s v="Bad Employee"/>
    <b v="0"/>
    <b v="1"/>
    <s v="Good employee"/>
    <x v="0"/>
    <x v="5"/>
    <n v="17"/>
    <n v="2010"/>
    <s v="Hybrid"/>
    <n v="149"/>
    <x v="7"/>
  </r>
  <r>
    <x v="26"/>
    <x v="6"/>
    <s v="Wilson"/>
    <x v="4"/>
    <x v="26"/>
    <s v="katiewilson@gmail.com"/>
    <x v="26"/>
    <s v="High"/>
    <x v="26"/>
    <n v="2017"/>
    <x v="5"/>
    <n v="8"/>
    <d v="2026-03-19T00:00:00"/>
    <n v="3084"/>
    <n v="3084"/>
    <n v="2204"/>
    <n v="55"/>
    <x v="0"/>
    <x v="0"/>
    <n v="7"/>
    <s v="No"/>
    <n v="8866.73"/>
    <x v="2"/>
    <x v="0"/>
    <x v="2"/>
    <s v="Bad Employee"/>
    <b v="0"/>
    <b v="1"/>
    <s v="Good employee"/>
    <x v="1"/>
    <x v="4"/>
    <n v="19"/>
    <n v="2011"/>
    <s v="On-Site"/>
    <n v="84"/>
    <x v="9"/>
  </r>
  <r>
    <x v="27"/>
    <x v="5"/>
    <s v="Wilson"/>
    <x v="1"/>
    <x v="27"/>
    <s v="janewilson@gmail.com"/>
    <x v="27"/>
    <s v="Medium"/>
    <x v="27"/>
    <n v="2013"/>
    <x v="9"/>
    <n v="12"/>
    <d v="2026-03-19T00:00:00"/>
    <n v="4663"/>
    <n v="4663"/>
    <n v="3332"/>
    <n v="43"/>
    <x v="0"/>
    <x v="1"/>
    <n v="5"/>
    <s v="Yes"/>
    <n v="3311.91"/>
    <x v="1"/>
    <x v="2"/>
    <x v="18"/>
    <s v="Bad Employee"/>
    <b v="0"/>
    <b v="0"/>
    <s v="Bad Employee"/>
    <x v="1"/>
    <x v="4"/>
    <n v="6"/>
    <n v="2014"/>
    <s v="Hybrid"/>
    <n v="31"/>
    <x v="20"/>
  </r>
  <r>
    <x v="28"/>
    <x v="4"/>
    <s v="Johnson"/>
    <x v="1"/>
    <x v="28"/>
    <s v="sarahjohnson@gmail.com"/>
    <x v="28"/>
    <s v="extremely low"/>
    <x v="28"/>
    <n v="2001"/>
    <x v="4"/>
    <n v="17"/>
    <d v="2026-03-19T00:00:00"/>
    <n v="9161"/>
    <n v="9161"/>
    <n v="6544"/>
    <n v="50"/>
    <x v="0"/>
    <x v="0"/>
    <n v="7"/>
    <s v="Yes"/>
    <n v="1320.56"/>
    <x v="3"/>
    <x v="0"/>
    <x v="12"/>
    <s v="Good Employee"/>
    <b v="1"/>
    <b v="1"/>
    <s v="Good employee"/>
    <x v="2"/>
    <x v="3"/>
    <n v="11"/>
    <n v="2014"/>
    <s v="On-Site"/>
    <n v="123"/>
    <x v="2"/>
  </r>
  <r>
    <x v="29"/>
    <x v="1"/>
    <s v="Miller"/>
    <x v="0"/>
    <x v="29"/>
    <s v="emilymiller@gmail.com"/>
    <x v="29"/>
    <s v="High"/>
    <x v="29"/>
    <n v="2004"/>
    <x v="8"/>
    <n v="30"/>
    <d v="2026-03-19T00:00:00"/>
    <n v="8024"/>
    <n v="8024"/>
    <n v="5733"/>
    <n v="50"/>
    <x v="0"/>
    <x v="0"/>
    <n v="3"/>
    <s v="No"/>
    <n v="1326.38"/>
    <x v="0"/>
    <x v="4"/>
    <x v="15"/>
    <s v="Bad Employee"/>
    <b v="0"/>
    <b v="0"/>
    <s v="Bad Employee"/>
    <x v="1"/>
    <x v="5"/>
    <n v="9"/>
    <n v="2021"/>
    <s v="On-Site"/>
    <n v="127"/>
    <x v="21"/>
  </r>
  <r>
    <x v="30"/>
    <x v="2"/>
    <s v="Davis"/>
    <x v="4"/>
    <x v="21"/>
    <s v="chrisdavis@gmail.com"/>
    <x v="30"/>
    <s v="High"/>
    <x v="30"/>
    <n v="2012"/>
    <x v="7"/>
    <n v="23"/>
    <d v="2026-03-19T00:00:00"/>
    <n v="5048"/>
    <n v="5048"/>
    <n v="3607"/>
    <n v="26"/>
    <x v="1"/>
    <x v="1"/>
    <n v="8"/>
    <s v="Yes"/>
    <n v="5782.17"/>
    <x v="1"/>
    <x v="2"/>
    <x v="11"/>
    <s v="Bad Employee"/>
    <b v="0"/>
    <b v="1"/>
    <s v="Good employee"/>
    <x v="0"/>
    <x v="2"/>
    <n v="6"/>
    <n v="2016"/>
    <s v="On-Site"/>
    <n v="28"/>
    <x v="22"/>
  </r>
  <r>
    <x v="31"/>
    <x v="7"/>
    <s v="Miller"/>
    <x v="0"/>
    <x v="30"/>
    <s v="johnmiller@gmail.com"/>
    <x v="31"/>
    <s v="High"/>
    <x v="31"/>
    <n v="2017"/>
    <x v="1"/>
    <n v="9"/>
    <d v="2026-03-19T00:00:00"/>
    <n v="3052"/>
    <n v="3052"/>
    <n v="2181"/>
    <n v="31"/>
    <x v="0"/>
    <x v="1"/>
    <n v="5"/>
    <s v="Yes"/>
    <n v="9932.75"/>
    <x v="0"/>
    <x v="4"/>
    <x v="4"/>
    <s v="Bad Employee"/>
    <b v="0"/>
    <b v="0"/>
    <s v="Bad Employee"/>
    <x v="0"/>
    <x v="3"/>
    <n v="13"/>
    <n v="2017"/>
    <s v="Hybrid"/>
    <n v="194"/>
    <x v="13"/>
  </r>
  <r>
    <x v="32"/>
    <x v="1"/>
    <s v="Williams"/>
    <x v="4"/>
    <x v="31"/>
    <s v="emilywilliams@gmail.com"/>
    <x v="32"/>
    <s v="Medium"/>
    <x v="32"/>
    <n v="2019"/>
    <x v="2"/>
    <n v="21"/>
    <d v="2026-03-19T00:00:00"/>
    <n v="2433"/>
    <n v="2433"/>
    <n v="1739"/>
    <n v="31"/>
    <x v="0"/>
    <x v="1"/>
    <n v="2"/>
    <s v="No"/>
    <n v="1877.71"/>
    <x v="1"/>
    <x v="2"/>
    <x v="19"/>
    <s v="Bad Employee"/>
    <b v="0"/>
    <b v="1"/>
    <s v="Good employee"/>
    <x v="0"/>
    <x v="4"/>
    <n v="14"/>
    <n v="2019"/>
    <s v="Hybrid"/>
    <n v="56"/>
    <x v="18"/>
  </r>
  <r>
    <x v="33"/>
    <x v="5"/>
    <s v="Williams"/>
    <x v="0"/>
    <x v="32"/>
    <s v="janewilliams@gmail.com"/>
    <x v="33"/>
    <s v="Medium"/>
    <x v="33"/>
    <n v="2013"/>
    <x v="6"/>
    <n v="30"/>
    <d v="2026-03-19T00:00:00"/>
    <n v="4584"/>
    <n v="4584"/>
    <n v="3275"/>
    <n v="30"/>
    <x v="1"/>
    <x v="1"/>
    <n v="2"/>
    <s v="No"/>
    <n v="1446.41"/>
    <x v="0"/>
    <x v="4"/>
    <x v="9"/>
    <s v="Bad Employee"/>
    <b v="0"/>
    <b v="0"/>
    <s v="Bad Employee"/>
    <x v="2"/>
    <x v="3"/>
    <n v="3"/>
    <n v="2015"/>
    <s v="Hybrid"/>
    <n v="55"/>
    <x v="23"/>
  </r>
  <r>
    <x v="34"/>
    <x v="6"/>
    <s v="Miller"/>
    <x v="5"/>
    <x v="33"/>
    <s v="katiemiller@gmail.com"/>
    <x v="34"/>
    <s v="Medium"/>
    <x v="34"/>
    <n v="2017"/>
    <x v="10"/>
    <n v="28"/>
    <d v="2026-03-19T00:00:00"/>
    <n v="3003"/>
    <n v="3003"/>
    <n v="2146"/>
    <n v="42"/>
    <x v="0"/>
    <x v="1"/>
    <n v="4"/>
    <s v="No"/>
    <n v="4663.8900000000003"/>
    <x v="0"/>
    <x v="1"/>
    <x v="15"/>
    <s v="Bad Employee"/>
    <b v="0"/>
    <b v="0"/>
    <s v="Bad Employee"/>
    <x v="2"/>
    <x v="4"/>
    <n v="7"/>
    <n v="2015"/>
    <s v="On-Site"/>
    <n v="198"/>
    <x v="24"/>
  </r>
  <r>
    <x v="35"/>
    <x v="2"/>
    <s v="Johnson"/>
    <x v="2"/>
    <x v="34"/>
    <s v="chrisjohnson@gmail.com"/>
    <x v="35"/>
    <s v="extremely low"/>
    <x v="35"/>
    <n v="2005"/>
    <x v="3"/>
    <n v="30"/>
    <d v="2026-03-19T00:00:00"/>
    <n v="7628"/>
    <n v="7628"/>
    <n v="5449"/>
    <n v="34"/>
    <x v="0"/>
    <x v="1"/>
    <n v="7"/>
    <s v="No"/>
    <n v="5851.65"/>
    <x v="1"/>
    <x v="0"/>
    <x v="20"/>
    <s v="Bad Employee"/>
    <b v="0"/>
    <b v="1"/>
    <s v="Good employee"/>
    <x v="2"/>
    <x v="5"/>
    <n v="18"/>
    <n v="2014"/>
    <s v="Hybrid"/>
    <n v="61"/>
    <x v="11"/>
  </r>
  <r>
    <x v="36"/>
    <x v="1"/>
    <s v="Johnson"/>
    <x v="2"/>
    <x v="35"/>
    <s v="emilyjohnson@gmail.com"/>
    <x v="36"/>
    <s v="Medium"/>
    <x v="36"/>
    <n v="2014"/>
    <x v="8"/>
    <n v="31"/>
    <d v="2026-03-19T00:00:00"/>
    <n v="4371"/>
    <n v="4371"/>
    <n v="3124"/>
    <n v="31"/>
    <x v="0"/>
    <x v="0"/>
    <n v="4"/>
    <s v="No"/>
    <n v="3296.61"/>
    <x v="2"/>
    <x v="2"/>
    <x v="2"/>
    <s v="Bad Employee"/>
    <b v="0"/>
    <b v="0"/>
    <s v="Bad Employee"/>
    <x v="0"/>
    <x v="3"/>
    <n v="18"/>
    <n v="2014"/>
    <s v="Fully Remote"/>
    <n v="59"/>
    <x v="22"/>
  </r>
  <r>
    <x v="37"/>
    <x v="7"/>
    <s v="Miller"/>
    <x v="3"/>
    <x v="36"/>
    <s v="johnmiller@gmail.com"/>
    <x v="37"/>
    <s v="Medium"/>
    <x v="37"/>
    <n v="2000"/>
    <x v="2"/>
    <n v="10"/>
    <d v="2026-03-19T00:00:00"/>
    <n v="9383"/>
    <n v="9383"/>
    <n v="6704"/>
    <n v="59"/>
    <x v="0"/>
    <x v="1"/>
    <n v="9"/>
    <s v="Yes"/>
    <n v="3373.96"/>
    <x v="3"/>
    <x v="0"/>
    <x v="12"/>
    <s v="Good Employee"/>
    <b v="1"/>
    <b v="1"/>
    <s v="Good employee"/>
    <x v="2"/>
    <x v="0"/>
    <n v="4"/>
    <n v="2022"/>
    <s v="Fully Remote"/>
    <n v="57"/>
    <x v="22"/>
  </r>
  <r>
    <x v="38"/>
    <x v="7"/>
    <s v="Davis"/>
    <x v="1"/>
    <x v="37"/>
    <s v="johndavis@gmail.com"/>
    <x v="38"/>
    <s v="extremely low"/>
    <x v="38"/>
    <n v="2000"/>
    <x v="4"/>
    <n v="10"/>
    <d v="2026-03-19T00:00:00"/>
    <n v="9534"/>
    <n v="9534"/>
    <n v="6811"/>
    <n v="32"/>
    <x v="0"/>
    <x v="1"/>
    <n v="2"/>
    <s v="No"/>
    <n v="4532.53"/>
    <x v="3"/>
    <x v="2"/>
    <x v="21"/>
    <s v="Bad Employee"/>
    <b v="0"/>
    <b v="0"/>
    <s v="Bad Employee"/>
    <x v="0"/>
    <x v="1"/>
    <n v="2"/>
    <n v="2020"/>
    <s v="Hybrid"/>
    <n v="93"/>
    <x v="24"/>
  </r>
  <r>
    <x v="39"/>
    <x v="3"/>
    <s v="Brown"/>
    <x v="3"/>
    <x v="38"/>
    <s v="alexbrown@gmail.com"/>
    <x v="39"/>
    <s v="High"/>
    <x v="39"/>
    <n v="2016"/>
    <x v="7"/>
    <n v="19"/>
    <d v="2026-03-19T00:00:00"/>
    <n v="3591"/>
    <n v="3591"/>
    <n v="2566"/>
    <n v="25"/>
    <x v="1"/>
    <x v="1"/>
    <n v="6"/>
    <s v="Yes"/>
    <n v="3484.38"/>
    <x v="1"/>
    <x v="2"/>
    <x v="20"/>
    <s v="Bad Employee"/>
    <b v="0"/>
    <b v="0"/>
    <s v="Bad Employee"/>
    <x v="1"/>
    <x v="4"/>
    <n v="9"/>
    <n v="2017"/>
    <s v="On-Site"/>
    <n v="23"/>
    <x v="3"/>
  </r>
  <r>
    <x v="40"/>
    <x v="3"/>
    <s v="Johnson"/>
    <x v="5"/>
    <x v="39"/>
    <s v="alexjohnson@gmail.com"/>
    <x v="40"/>
    <s v="High"/>
    <x v="40"/>
    <n v="2005"/>
    <x v="4"/>
    <n v="2"/>
    <d v="2026-03-19T00:00:00"/>
    <n v="7715"/>
    <n v="7715"/>
    <n v="5512"/>
    <n v="52"/>
    <x v="0"/>
    <x v="0"/>
    <n v="4"/>
    <s v="Yes"/>
    <n v="9195.65"/>
    <x v="0"/>
    <x v="2"/>
    <x v="22"/>
    <s v="Bad Employee"/>
    <b v="0"/>
    <b v="1"/>
    <s v="Good employee"/>
    <x v="2"/>
    <x v="0"/>
    <n v="14"/>
    <n v="2014"/>
    <s v="Hybrid"/>
    <n v="113"/>
    <x v="2"/>
  </r>
  <r>
    <x v="41"/>
    <x v="0"/>
    <s v="Smith"/>
    <x v="3"/>
    <x v="40"/>
    <s v="michaelsmith@gmail.com"/>
    <x v="41"/>
    <s v="High"/>
    <x v="41"/>
    <n v="2016"/>
    <x v="4"/>
    <n v="18"/>
    <d v="2026-03-19T00:00:00"/>
    <n v="3682"/>
    <n v="3682"/>
    <n v="2631"/>
    <n v="55"/>
    <x v="0"/>
    <x v="1"/>
    <n v="6"/>
    <s v="No"/>
    <n v="898.57"/>
    <x v="3"/>
    <x v="4"/>
    <x v="10"/>
    <s v="Bad Employee"/>
    <b v="0"/>
    <b v="0"/>
    <s v="Bad Employee"/>
    <x v="1"/>
    <x v="4"/>
    <n v="1"/>
    <n v="2015"/>
    <s v="Fully Remote"/>
    <n v="145"/>
    <x v="23"/>
  </r>
  <r>
    <x v="42"/>
    <x v="5"/>
    <s v="Williams"/>
    <x v="2"/>
    <x v="41"/>
    <s v="janewilliams@gmail.com"/>
    <x v="42"/>
    <s v="High"/>
    <x v="42"/>
    <n v="2003"/>
    <x v="6"/>
    <n v="25"/>
    <d v="2026-03-19T00:00:00"/>
    <n v="8242"/>
    <n v="8242"/>
    <n v="5889"/>
    <n v="63"/>
    <x v="0"/>
    <x v="1"/>
    <n v="9"/>
    <s v="Yes"/>
    <n v="2728.42"/>
    <x v="0"/>
    <x v="3"/>
    <x v="23"/>
    <s v="Bad Employee"/>
    <b v="0"/>
    <b v="1"/>
    <s v="Good employee"/>
    <x v="1"/>
    <x v="0"/>
    <n v="9"/>
    <n v="2012"/>
    <s v="On-Site"/>
    <n v="33"/>
    <x v="8"/>
  </r>
  <r>
    <x v="43"/>
    <x v="4"/>
    <s v="Miller"/>
    <x v="1"/>
    <x v="42"/>
    <s v="sarahmiller@gmail.com"/>
    <x v="43"/>
    <s v="low"/>
    <x v="43"/>
    <n v="2009"/>
    <x v="9"/>
    <n v="11"/>
    <d v="2026-03-19T00:00:00"/>
    <n v="6125"/>
    <n v="6125"/>
    <n v="4376"/>
    <n v="56"/>
    <x v="0"/>
    <x v="0"/>
    <n v="9"/>
    <s v="Yes"/>
    <n v="8181.25"/>
    <x v="2"/>
    <x v="4"/>
    <x v="12"/>
    <s v="Good Employee"/>
    <b v="1"/>
    <b v="1"/>
    <s v="Good employee"/>
    <x v="2"/>
    <x v="5"/>
    <n v="15"/>
    <n v="2023"/>
    <s v="Hybrid"/>
    <n v="138"/>
    <x v="25"/>
  </r>
  <r>
    <x v="44"/>
    <x v="1"/>
    <s v="Smith"/>
    <x v="5"/>
    <x v="43"/>
    <s v="emilysmith@gmail.com"/>
    <x v="44"/>
    <s v="Medium"/>
    <x v="44"/>
    <n v="2000"/>
    <x v="7"/>
    <n v="15"/>
    <d v="2026-03-19T00:00:00"/>
    <n v="9439"/>
    <n v="9439"/>
    <n v="6744"/>
    <n v="60"/>
    <x v="0"/>
    <x v="0"/>
    <n v="9"/>
    <s v="No"/>
    <n v="8422.6"/>
    <x v="1"/>
    <x v="3"/>
    <x v="4"/>
    <s v="Bad Employee"/>
    <b v="0"/>
    <b v="1"/>
    <s v="Good employee"/>
    <x v="2"/>
    <x v="5"/>
    <n v="2"/>
    <n v="2014"/>
    <s v="Hybrid"/>
    <n v="124"/>
    <x v="24"/>
  </r>
  <r>
    <x v="45"/>
    <x v="1"/>
    <s v="Miller"/>
    <x v="2"/>
    <x v="24"/>
    <s v="emilymiller@gmail.com"/>
    <x v="45"/>
    <s v="Medium"/>
    <x v="45"/>
    <n v="2016"/>
    <x v="8"/>
    <n v="6"/>
    <d v="2026-03-19T00:00:00"/>
    <n v="3665"/>
    <n v="3665"/>
    <n v="2619"/>
    <n v="60"/>
    <x v="0"/>
    <x v="1"/>
    <n v="9"/>
    <s v="No"/>
    <n v="1559.77"/>
    <x v="2"/>
    <x v="4"/>
    <x v="16"/>
    <s v="Good Employee"/>
    <b v="1"/>
    <b v="1"/>
    <s v="Good employee"/>
    <x v="1"/>
    <x v="2"/>
    <n v="6"/>
    <n v="2023"/>
    <s v="On-Site"/>
    <n v="133"/>
    <x v="26"/>
  </r>
  <r>
    <x v="46"/>
    <x v="4"/>
    <s v="Wilson"/>
    <x v="0"/>
    <x v="44"/>
    <s v="sarahwilson@gmail.com"/>
    <x v="46"/>
    <s v="low"/>
    <x v="46"/>
    <n v="2011"/>
    <x v="2"/>
    <n v="3"/>
    <d v="2026-03-19T00:00:00"/>
    <n v="5373"/>
    <n v="5373"/>
    <n v="3839"/>
    <n v="54"/>
    <x v="0"/>
    <x v="0"/>
    <n v="3"/>
    <s v="Yes"/>
    <n v="9750.75"/>
    <x v="0"/>
    <x v="3"/>
    <x v="24"/>
    <s v="Bad Employee"/>
    <b v="0"/>
    <b v="1"/>
    <s v="Good employee"/>
    <x v="1"/>
    <x v="2"/>
    <n v="18"/>
    <n v="2018"/>
    <s v="On-Site"/>
    <n v="156"/>
    <x v="27"/>
  </r>
  <r>
    <x v="47"/>
    <x v="0"/>
    <s v="Williams"/>
    <x v="4"/>
    <x v="45"/>
    <s v="michaelwilliams@gmail.com"/>
    <x v="47"/>
    <s v="Medium"/>
    <x v="47"/>
    <n v="2012"/>
    <x v="6"/>
    <n v="19"/>
    <d v="2026-03-19T00:00:00"/>
    <n v="4960"/>
    <n v="4960"/>
    <n v="3544"/>
    <n v="29"/>
    <x v="1"/>
    <x v="0"/>
    <n v="9"/>
    <s v="Yes"/>
    <n v="7086.87"/>
    <x v="0"/>
    <x v="2"/>
    <x v="14"/>
    <s v="Bad Employee"/>
    <b v="0"/>
    <b v="1"/>
    <s v="Good employee"/>
    <x v="1"/>
    <x v="2"/>
    <n v="14"/>
    <n v="2012"/>
    <s v="Fully Remote"/>
    <n v="78"/>
    <x v="28"/>
  </r>
  <r>
    <x v="48"/>
    <x v="6"/>
    <s v="Williams"/>
    <x v="5"/>
    <x v="46"/>
    <s v="katiewilliams@gmail.com"/>
    <x v="48"/>
    <s v="High"/>
    <x v="48"/>
    <n v="2005"/>
    <x v="3"/>
    <n v="25"/>
    <d v="2026-03-19T00:00:00"/>
    <n v="7633"/>
    <n v="7633"/>
    <n v="5454"/>
    <n v="53"/>
    <x v="0"/>
    <x v="1"/>
    <n v="3"/>
    <s v="Yes"/>
    <n v="3089.63"/>
    <x v="1"/>
    <x v="2"/>
    <x v="21"/>
    <s v="Bad Employee"/>
    <b v="0"/>
    <b v="0"/>
    <s v="Bad Employee"/>
    <x v="0"/>
    <x v="3"/>
    <n v="11"/>
    <n v="2017"/>
    <s v="Hybrid"/>
    <n v="103"/>
    <x v="25"/>
  </r>
  <r>
    <x v="49"/>
    <x v="6"/>
    <s v="Johnson"/>
    <x v="1"/>
    <x v="47"/>
    <s v="katiejohnson@gmail.com"/>
    <x v="49"/>
    <s v="High"/>
    <x v="49"/>
    <n v="2019"/>
    <x v="11"/>
    <n v="18"/>
    <d v="2026-03-19T00:00:00"/>
    <n v="2617"/>
    <n v="2617"/>
    <n v="1870"/>
    <n v="54"/>
    <x v="0"/>
    <x v="1"/>
    <n v="3"/>
    <s v="Yes"/>
    <n v="4832.3599999999997"/>
    <x v="0"/>
    <x v="3"/>
    <x v="10"/>
    <s v="Bad Employee"/>
    <b v="0"/>
    <b v="0"/>
    <s v="Bad Employee"/>
    <x v="1"/>
    <x v="4"/>
    <n v="1"/>
    <n v="2020"/>
    <s v="Fully Remote"/>
    <n v="10"/>
    <x v="23"/>
  </r>
  <r>
    <x v="50"/>
    <x v="0"/>
    <s v="Johnson"/>
    <x v="3"/>
    <x v="48"/>
    <s v="michaeljohnson@gmail.com"/>
    <x v="50"/>
    <s v="extremely low"/>
    <x v="50"/>
    <n v="2004"/>
    <x v="3"/>
    <n v="14"/>
    <d v="2026-03-19T00:00:00"/>
    <n v="8009"/>
    <n v="8009"/>
    <n v="5722"/>
    <n v="29"/>
    <x v="1"/>
    <x v="1"/>
    <n v="5"/>
    <s v="Yes"/>
    <n v="3322.82"/>
    <x v="1"/>
    <x v="3"/>
    <x v="25"/>
    <s v="Bad Employee"/>
    <b v="0"/>
    <b v="0"/>
    <s v="Bad Employee"/>
    <x v="0"/>
    <x v="3"/>
    <n v="12"/>
    <n v="2016"/>
    <s v="Fully Remote"/>
    <n v="180"/>
    <x v="23"/>
  </r>
  <r>
    <x v="51"/>
    <x v="6"/>
    <s v="Smith"/>
    <x v="3"/>
    <x v="49"/>
    <s v="katiesmith@gmail.com"/>
    <x v="51"/>
    <s v="High"/>
    <x v="51"/>
    <n v="2011"/>
    <x v="2"/>
    <n v="23"/>
    <d v="2026-03-19T00:00:00"/>
    <n v="5353"/>
    <n v="5353"/>
    <n v="3824"/>
    <n v="35"/>
    <x v="0"/>
    <x v="0"/>
    <n v="6"/>
    <s v="No"/>
    <n v="1925.21"/>
    <x v="1"/>
    <x v="0"/>
    <x v="8"/>
    <s v="Bad Employee"/>
    <b v="0"/>
    <b v="1"/>
    <s v="Good employee"/>
    <x v="2"/>
    <x v="2"/>
    <n v="19"/>
    <n v="2013"/>
    <s v="On-Site"/>
    <n v="152"/>
    <x v="14"/>
  </r>
  <r>
    <x v="52"/>
    <x v="3"/>
    <s v="Wilson"/>
    <x v="5"/>
    <x v="50"/>
    <s v="alexwilson@gmail.com"/>
    <x v="52"/>
    <s v="High"/>
    <x v="52"/>
    <n v="2017"/>
    <x v="1"/>
    <n v="30"/>
    <d v="2026-03-19T00:00:00"/>
    <n v="3031"/>
    <n v="3031"/>
    <n v="2166"/>
    <n v="55"/>
    <x v="0"/>
    <x v="1"/>
    <n v="9"/>
    <s v="No"/>
    <n v="3266.19"/>
    <x v="2"/>
    <x v="2"/>
    <x v="19"/>
    <s v="Good Employee"/>
    <b v="1"/>
    <b v="1"/>
    <s v="Good employee"/>
    <x v="1"/>
    <x v="4"/>
    <n v="18"/>
    <n v="2014"/>
    <s v="Hybrid"/>
    <n v="80"/>
    <x v="22"/>
  </r>
  <r>
    <x v="53"/>
    <x v="1"/>
    <s v="Miller"/>
    <x v="1"/>
    <x v="51"/>
    <s v="emilymiller@gmail.com"/>
    <x v="53"/>
    <s v="High"/>
    <x v="53"/>
    <n v="2017"/>
    <x v="11"/>
    <n v="13"/>
    <d v="2026-03-19T00:00:00"/>
    <n v="3352"/>
    <n v="3352"/>
    <n v="2395"/>
    <n v="29"/>
    <x v="1"/>
    <x v="0"/>
    <n v="1"/>
    <s v="No"/>
    <n v="6010.87"/>
    <x v="3"/>
    <x v="4"/>
    <x v="8"/>
    <s v="Bad Employee"/>
    <b v="0"/>
    <b v="1"/>
    <s v="Good employee"/>
    <x v="2"/>
    <x v="3"/>
    <n v="6"/>
    <n v="2017"/>
    <s v="Fully Remote"/>
    <n v="71"/>
    <x v="29"/>
  </r>
  <r>
    <x v="54"/>
    <x v="0"/>
    <s v="Wilson"/>
    <x v="5"/>
    <x v="52"/>
    <s v="michaelwilson@gmail.com"/>
    <x v="54"/>
    <s v="High"/>
    <x v="54"/>
    <n v="2001"/>
    <x v="11"/>
    <n v="23"/>
    <d v="2026-03-19T00:00:00"/>
    <n v="9186"/>
    <n v="9186"/>
    <n v="6563"/>
    <n v="63"/>
    <x v="0"/>
    <x v="1"/>
    <n v="8"/>
    <s v="No"/>
    <n v="8346.7099999999991"/>
    <x v="3"/>
    <x v="0"/>
    <x v="2"/>
    <s v="Bad Employee"/>
    <b v="0"/>
    <b v="1"/>
    <s v="Good employee"/>
    <x v="1"/>
    <x v="5"/>
    <n v="2"/>
    <n v="2019"/>
    <s v="Fully Remote"/>
    <n v="187"/>
    <x v="13"/>
  </r>
  <r>
    <x v="55"/>
    <x v="1"/>
    <s v="Williams"/>
    <x v="1"/>
    <x v="53"/>
    <s v="emilywilliams@gmail.com"/>
    <x v="55"/>
    <s v="low"/>
    <x v="55"/>
    <n v="2004"/>
    <x v="3"/>
    <n v="7"/>
    <d v="2026-03-19T00:00:00"/>
    <n v="8016"/>
    <n v="8016"/>
    <n v="5727"/>
    <n v="28"/>
    <x v="1"/>
    <x v="0"/>
    <n v="4"/>
    <s v="Yes"/>
    <n v="3953.53"/>
    <x v="0"/>
    <x v="3"/>
    <x v="19"/>
    <s v="Bad Employee"/>
    <b v="0"/>
    <b v="1"/>
    <s v="Good employee"/>
    <x v="2"/>
    <x v="4"/>
    <n v="5"/>
    <n v="2016"/>
    <s v="On-Site"/>
    <n v="22"/>
    <x v="17"/>
  </r>
  <r>
    <x v="56"/>
    <x v="4"/>
    <s v="Smith"/>
    <x v="3"/>
    <x v="54"/>
    <s v="sarahsmith@gmail.com"/>
    <x v="56"/>
    <s v="High"/>
    <x v="56"/>
    <n v="2015"/>
    <x v="10"/>
    <n v="8"/>
    <d v="2026-03-19T00:00:00"/>
    <n v="3754"/>
    <n v="3754"/>
    <n v="2683"/>
    <n v="34"/>
    <x v="0"/>
    <x v="1"/>
    <n v="7"/>
    <s v="No"/>
    <n v="3805.06"/>
    <x v="3"/>
    <x v="4"/>
    <x v="22"/>
    <s v="Good Employee"/>
    <b v="1"/>
    <b v="1"/>
    <s v="Good employee"/>
    <x v="1"/>
    <x v="2"/>
    <n v="0"/>
    <n v="2019"/>
    <s v="Hybrid"/>
    <n v="25"/>
    <x v="29"/>
  </r>
  <r>
    <x v="57"/>
    <x v="7"/>
    <s v="Brown"/>
    <x v="2"/>
    <x v="55"/>
    <s v="johnbrown@gmail.com"/>
    <x v="57"/>
    <s v="low"/>
    <x v="57"/>
    <n v="2005"/>
    <x v="5"/>
    <n v="22"/>
    <d v="2026-03-19T00:00:00"/>
    <n v="7453"/>
    <n v="7453"/>
    <n v="5324"/>
    <n v="42"/>
    <x v="0"/>
    <x v="0"/>
    <n v="6"/>
    <s v="No"/>
    <n v="4946.01"/>
    <x v="0"/>
    <x v="1"/>
    <x v="18"/>
    <s v="Bad Employee"/>
    <b v="0"/>
    <b v="0"/>
    <s v="Bad Employee"/>
    <x v="0"/>
    <x v="5"/>
    <n v="1"/>
    <n v="2019"/>
    <s v="Hybrid"/>
    <n v="196"/>
    <x v="12"/>
  </r>
  <r>
    <x v="58"/>
    <x v="3"/>
    <s v="Smith"/>
    <x v="0"/>
    <x v="56"/>
    <s v="alexsmith@gmail.com"/>
    <x v="58"/>
    <s v="High"/>
    <x v="58"/>
    <n v="2002"/>
    <x v="5"/>
    <n v="25"/>
    <d v="2026-03-19T00:00:00"/>
    <n v="8546"/>
    <n v="8546"/>
    <n v="6105"/>
    <n v="53"/>
    <x v="0"/>
    <x v="1"/>
    <n v="6"/>
    <s v="Yes"/>
    <n v="6623.28"/>
    <x v="3"/>
    <x v="1"/>
    <x v="26"/>
    <s v="Bad Employee"/>
    <b v="0"/>
    <b v="0"/>
    <s v="Bad Employee"/>
    <x v="2"/>
    <x v="4"/>
    <n v="0"/>
    <n v="2011"/>
    <s v="Fully Remote"/>
    <n v="169"/>
    <x v="30"/>
  </r>
  <r>
    <x v="59"/>
    <x v="2"/>
    <s v="Davis"/>
    <x v="2"/>
    <x v="57"/>
    <s v="chrisdavis@gmail.com"/>
    <x v="59"/>
    <s v="High"/>
    <x v="59"/>
    <n v="2016"/>
    <x v="2"/>
    <n v="13"/>
    <d v="2026-03-19T00:00:00"/>
    <n v="3536"/>
    <n v="3536"/>
    <n v="2527"/>
    <n v="32"/>
    <x v="0"/>
    <x v="1"/>
    <n v="7"/>
    <s v="Yes"/>
    <n v="7640.35"/>
    <x v="2"/>
    <x v="1"/>
    <x v="27"/>
    <s v="Good Employee"/>
    <b v="1"/>
    <b v="1"/>
    <s v="Good employee"/>
    <x v="2"/>
    <x v="3"/>
    <n v="3"/>
    <n v="2017"/>
    <s v="On-Site"/>
    <n v="23"/>
    <x v="2"/>
  </r>
  <r>
    <x v="60"/>
    <x v="3"/>
    <s v="Smith"/>
    <x v="0"/>
    <x v="56"/>
    <s v="alexsmith@gmail.com"/>
    <x v="60"/>
    <s v="Medium"/>
    <x v="60"/>
    <n v="2009"/>
    <x v="0"/>
    <n v="4"/>
    <d v="2026-03-19T00:00:00"/>
    <n v="6040"/>
    <n v="6040"/>
    <n v="4315"/>
    <n v="35"/>
    <x v="0"/>
    <x v="1"/>
    <n v="4"/>
    <s v="Yes"/>
    <n v="3604.6"/>
    <x v="3"/>
    <x v="4"/>
    <x v="28"/>
    <s v="Bad Employee"/>
    <b v="0"/>
    <b v="1"/>
    <s v="Good employee"/>
    <x v="1"/>
    <x v="1"/>
    <n v="4"/>
    <n v="2017"/>
    <s v="Hybrid"/>
    <n v="60"/>
    <x v="29"/>
  </r>
  <r>
    <x v="61"/>
    <x v="0"/>
    <s v="Wilson"/>
    <x v="3"/>
    <x v="3"/>
    <s v="michaelwilson@gmail.com"/>
    <x v="61"/>
    <s v="low"/>
    <x v="61"/>
    <n v="2000"/>
    <x v="8"/>
    <n v="22"/>
    <d v="2026-03-19T00:00:00"/>
    <n v="9493"/>
    <n v="9493"/>
    <n v="6782"/>
    <n v="32"/>
    <x v="0"/>
    <x v="0"/>
    <n v="6"/>
    <s v="No"/>
    <n v="6070.35"/>
    <x v="0"/>
    <x v="3"/>
    <x v="15"/>
    <s v="Bad Employee"/>
    <b v="0"/>
    <b v="0"/>
    <s v="Bad Employee"/>
    <x v="0"/>
    <x v="1"/>
    <n v="1"/>
    <n v="2018"/>
    <s v="Hybrid"/>
    <n v="194"/>
    <x v="30"/>
  </r>
  <r>
    <x v="62"/>
    <x v="2"/>
    <s v="Davis"/>
    <x v="2"/>
    <x v="57"/>
    <s v="chrisdavis@gmail.com"/>
    <x v="62"/>
    <s v="Medium"/>
    <x v="62"/>
    <n v="2015"/>
    <x v="9"/>
    <n v="27"/>
    <d v="2026-03-19T00:00:00"/>
    <n v="3918"/>
    <n v="3918"/>
    <n v="2799"/>
    <n v="23"/>
    <x v="1"/>
    <x v="0"/>
    <n v="3"/>
    <s v="No"/>
    <n v="4198.93"/>
    <x v="0"/>
    <x v="4"/>
    <x v="12"/>
    <s v="Bad Employee"/>
    <b v="0"/>
    <b v="1"/>
    <s v="Good employee"/>
    <x v="0"/>
    <x v="2"/>
    <n v="15"/>
    <n v="2011"/>
    <s v="Fully Remote"/>
    <n v="22"/>
    <x v="26"/>
  </r>
  <r>
    <x v="63"/>
    <x v="7"/>
    <s v="Davis"/>
    <x v="2"/>
    <x v="58"/>
    <s v="johndavis@gmail.com"/>
    <x v="63"/>
    <s v="Medium"/>
    <x v="63"/>
    <n v="2002"/>
    <x v="4"/>
    <n v="14"/>
    <d v="2026-03-19T00:00:00"/>
    <n v="8799"/>
    <n v="8799"/>
    <n v="6286"/>
    <n v="55"/>
    <x v="0"/>
    <x v="1"/>
    <n v="5"/>
    <s v="Yes"/>
    <n v="7305.8"/>
    <x v="3"/>
    <x v="0"/>
    <x v="29"/>
    <s v="Bad Employee"/>
    <b v="0"/>
    <b v="0"/>
    <s v="Bad Employee"/>
    <x v="0"/>
    <x v="3"/>
    <n v="7"/>
    <n v="2023"/>
    <s v="Hybrid"/>
    <n v="162"/>
    <x v="30"/>
  </r>
  <r>
    <x v="64"/>
    <x v="0"/>
    <s v="Davis"/>
    <x v="5"/>
    <x v="59"/>
    <s v="michaeldavis@gmail.com"/>
    <x v="64"/>
    <s v="low"/>
    <x v="64"/>
    <n v="2008"/>
    <x v="3"/>
    <n v="26"/>
    <d v="2026-03-19T00:00:00"/>
    <n v="6536"/>
    <n v="6536"/>
    <n v="4669"/>
    <n v="38"/>
    <x v="0"/>
    <x v="0"/>
    <n v="2"/>
    <s v="Yes"/>
    <n v="2064.41"/>
    <x v="1"/>
    <x v="0"/>
    <x v="28"/>
    <s v="Bad Employee"/>
    <b v="0"/>
    <b v="1"/>
    <s v="Good employee"/>
    <x v="1"/>
    <x v="5"/>
    <n v="14"/>
    <n v="2013"/>
    <s v="Hybrid"/>
    <n v="188"/>
    <x v="5"/>
  </r>
  <r>
    <x v="65"/>
    <x v="5"/>
    <s v="Brown"/>
    <x v="4"/>
    <x v="60"/>
    <s v="janebrown@gmail.com"/>
    <x v="65"/>
    <s v="Medium"/>
    <x v="65"/>
    <n v="2011"/>
    <x v="10"/>
    <n v="22"/>
    <d v="2026-03-19T00:00:00"/>
    <n v="5201"/>
    <n v="5201"/>
    <n v="3716"/>
    <n v="35"/>
    <x v="0"/>
    <x v="1"/>
    <n v="3"/>
    <s v="No"/>
    <n v="2940.79"/>
    <x v="2"/>
    <x v="1"/>
    <x v="30"/>
    <s v="Bad Employee"/>
    <b v="0"/>
    <b v="0"/>
    <s v="Bad Employee"/>
    <x v="2"/>
    <x v="5"/>
    <n v="10"/>
    <n v="2011"/>
    <s v="Hybrid"/>
    <n v="110"/>
    <x v="28"/>
  </r>
  <r>
    <x v="66"/>
    <x v="1"/>
    <s v="Smith"/>
    <x v="3"/>
    <x v="61"/>
    <s v="emilysmith@gmail.com"/>
    <x v="66"/>
    <s v="Medium"/>
    <x v="66"/>
    <n v="2007"/>
    <x v="1"/>
    <n v="27"/>
    <d v="2026-03-19T00:00:00"/>
    <n v="6687"/>
    <n v="6687"/>
    <n v="4778"/>
    <n v="46"/>
    <x v="0"/>
    <x v="0"/>
    <n v="9"/>
    <s v="Yes"/>
    <n v="4547.57"/>
    <x v="1"/>
    <x v="3"/>
    <x v="16"/>
    <s v="Good Employee"/>
    <b v="1"/>
    <b v="1"/>
    <s v="Good employee"/>
    <x v="1"/>
    <x v="5"/>
    <n v="9"/>
    <n v="2013"/>
    <s v="Hybrid"/>
    <n v="174"/>
    <x v="31"/>
  </r>
  <r>
    <x v="67"/>
    <x v="7"/>
    <s v="Wilson"/>
    <x v="1"/>
    <x v="62"/>
    <s v="johnwilson@gmail.com"/>
    <x v="67"/>
    <s v="extremely low"/>
    <x v="67"/>
    <n v="2005"/>
    <x v="4"/>
    <n v="21"/>
    <d v="2026-03-19T00:00:00"/>
    <n v="7696"/>
    <n v="7696"/>
    <n v="5499"/>
    <n v="48"/>
    <x v="0"/>
    <x v="1"/>
    <n v="6"/>
    <s v="Yes"/>
    <n v="8949.44"/>
    <x v="3"/>
    <x v="0"/>
    <x v="2"/>
    <s v="Bad Employee"/>
    <b v="0"/>
    <b v="0"/>
    <s v="Bad Employee"/>
    <x v="0"/>
    <x v="4"/>
    <n v="2"/>
    <n v="2012"/>
    <s v="Fully Remote"/>
    <n v="57"/>
    <x v="16"/>
  </r>
  <r>
    <x v="68"/>
    <x v="1"/>
    <s v="Smith"/>
    <x v="3"/>
    <x v="61"/>
    <s v="emilysmith@gmail.com"/>
    <x v="68"/>
    <s v="High"/>
    <x v="68"/>
    <n v="2006"/>
    <x v="8"/>
    <n v="21"/>
    <d v="2026-03-19T00:00:00"/>
    <n v="7303"/>
    <n v="7303"/>
    <n v="5218"/>
    <n v="29"/>
    <x v="1"/>
    <x v="0"/>
    <n v="3"/>
    <s v="Yes"/>
    <n v="5946.59"/>
    <x v="1"/>
    <x v="2"/>
    <x v="26"/>
    <s v="Bad Employee"/>
    <b v="0"/>
    <b v="0"/>
    <s v="Bad Employee"/>
    <x v="0"/>
    <x v="2"/>
    <n v="10"/>
    <n v="2016"/>
    <s v="Hybrid"/>
    <n v="90"/>
    <x v="32"/>
  </r>
  <r>
    <x v="69"/>
    <x v="6"/>
    <s v="Brown"/>
    <x v="1"/>
    <x v="63"/>
    <s v="katiebrown@gmail.com"/>
    <x v="69"/>
    <s v="low"/>
    <x v="69"/>
    <n v="2004"/>
    <x v="7"/>
    <n v="26"/>
    <d v="2026-03-19T00:00:00"/>
    <n v="7967"/>
    <n v="7967"/>
    <n v="5692"/>
    <n v="38"/>
    <x v="0"/>
    <x v="0"/>
    <n v="2"/>
    <s v="No"/>
    <n v="9671.26"/>
    <x v="3"/>
    <x v="2"/>
    <x v="12"/>
    <s v="Bad Employee"/>
    <b v="0"/>
    <b v="1"/>
    <s v="Good employee"/>
    <x v="2"/>
    <x v="1"/>
    <n v="16"/>
    <n v="2023"/>
    <s v="Hybrid"/>
    <n v="54"/>
    <x v="5"/>
  </r>
  <r>
    <x v="70"/>
    <x v="5"/>
    <s v="Williams"/>
    <x v="1"/>
    <x v="64"/>
    <s v="janewilliams@gmail.com"/>
    <x v="70"/>
    <s v="Medium"/>
    <x v="70"/>
    <n v="2008"/>
    <x v="6"/>
    <n v="5"/>
    <d v="2026-03-19T00:00:00"/>
    <n v="6435"/>
    <n v="6435"/>
    <n v="4598"/>
    <n v="26"/>
    <x v="1"/>
    <x v="0"/>
    <n v="5"/>
    <s v="No"/>
    <n v="1481.14"/>
    <x v="0"/>
    <x v="1"/>
    <x v="31"/>
    <s v="Bad Employee"/>
    <b v="0"/>
    <b v="1"/>
    <s v="Good employee"/>
    <x v="1"/>
    <x v="5"/>
    <n v="9"/>
    <n v="2014"/>
    <s v="On-Site"/>
    <n v="131"/>
    <x v="33"/>
  </r>
  <r>
    <x v="71"/>
    <x v="5"/>
    <s v="Johnson"/>
    <x v="0"/>
    <x v="65"/>
    <s v="janejohnson@gmail.com"/>
    <x v="71"/>
    <s v="High"/>
    <x v="71"/>
    <n v="2001"/>
    <x v="6"/>
    <n v="28"/>
    <d v="2026-03-19T00:00:00"/>
    <n v="8969"/>
    <n v="8969"/>
    <n v="6408"/>
    <n v="33"/>
    <x v="0"/>
    <x v="0"/>
    <n v="5"/>
    <s v="No"/>
    <n v="4871.67"/>
    <x v="1"/>
    <x v="1"/>
    <x v="19"/>
    <s v="Bad Employee"/>
    <b v="0"/>
    <b v="1"/>
    <s v="Good employee"/>
    <x v="1"/>
    <x v="3"/>
    <n v="16"/>
    <n v="2016"/>
    <s v="Fully Remote"/>
    <n v="8"/>
    <x v="14"/>
  </r>
  <r>
    <x v="72"/>
    <x v="7"/>
    <s v="Wilson"/>
    <x v="1"/>
    <x v="62"/>
    <s v="johnwilson@gmail.com"/>
    <x v="72"/>
    <s v="Medium"/>
    <x v="72"/>
    <n v="2016"/>
    <x v="1"/>
    <n v="14"/>
    <d v="2026-03-19T00:00:00"/>
    <n v="3412"/>
    <n v="3412"/>
    <n v="2439"/>
    <n v="59"/>
    <x v="0"/>
    <x v="0"/>
    <n v="1"/>
    <s v="Yes"/>
    <n v="4481.25"/>
    <x v="2"/>
    <x v="1"/>
    <x v="7"/>
    <s v="Bad Employee"/>
    <b v="0"/>
    <b v="1"/>
    <s v="Good employee"/>
    <x v="0"/>
    <x v="2"/>
    <n v="13"/>
    <n v="2011"/>
    <s v="Hybrid"/>
    <n v="67"/>
    <x v="22"/>
  </r>
  <r>
    <x v="73"/>
    <x v="5"/>
    <s v="Wilson"/>
    <x v="1"/>
    <x v="27"/>
    <s v="janewilson@gmail.com"/>
    <x v="73"/>
    <s v="Medium"/>
    <x v="73"/>
    <n v="2012"/>
    <x v="10"/>
    <n v="18"/>
    <d v="2026-03-19T00:00:00"/>
    <n v="4839"/>
    <n v="4839"/>
    <n v="3458"/>
    <n v="39"/>
    <x v="0"/>
    <x v="1"/>
    <n v="3"/>
    <s v="Yes"/>
    <n v="6201.96"/>
    <x v="1"/>
    <x v="0"/>
    <x v="3"/>
    <s v="Bad Employee"/>
    <b v="0"/>
    <b v="1"/>
    <s v="Good employee"/>
    <x v="2"/>
    <x v="1"/>
    <n v="0"/>
    <n v="2013"/>
    <s v="On-Site"/>
    <n v="199"/>
    <x v="17"/>
  </r>
  <r>
    <x v="74"/>
    <x v="2"/>
    <s v="Smith"/>
    <x v="5"/>
    <x v="66"/>
    <s v="chrissmith@gmail.com"/>
    <x v="74"/>
    <s v="Medium"/>
    <x v="74"/>
    <n v="2009"/>
    <x v="7"/>
    <n v="7"/>
    <d v="2026-03-19T00:00:00"/>
    <n v="6160"/>
    <n v="6160"/>
    <n v="4401"/>
    <n v="47"/>
    <x v="0"/>
    <x v="0"/>
    <n v="7"/>
    <s v="No"/>
    <n v="8213.66"/>
    <x v="0"/>
    <x v="3"/>
    <x v="30"/>
    <s v="Bad Employee"/>
    <b v="0"/>
    <b v="1"/>
    <s v="Good employee"/>
    <x v="2"/>
    <x v="3"/>
    <n v="8"/>
    <n v="2015"/>
    <s v="Fully Remote"/>
    <n v="117"/>
    <x v="12"/>
  </r>
  <r>
    <x v="75"/>
    <x v="5"/>
    <s v="Johnson"/>
    <x v="2"/>
    <x v="67"/>
    <s v="janejohnson@gmail.com"/>
    <x v="75"/>
    <s v="extremely low"/>
    <x v="75"/>
    <n v="2010"/>
    <x v="11"/>
    <n v="13"/>
    <d v="2026-03-19T00:00:00"/>
    <n v="5909"/>
    <n v="5909"/>
    <n v="4222"/>
    <n v="52"/>
    <x v="0"/>
    <x v="0"/>
    <n v="9"/>
    <s v="Yes"/>
    <n v="8493.76"/>
    <x v="0"/>
    <x v="1"/>
    <x v="32"/>
    <s v="Good Employee"/>
    <b v="1"/>
    <b v="1"/>
    <s v="Good employee"/>
    <x v="0"/>
    <x v="3"/>
    <n v="14"/>
    <n v="2021"/>
    <s v="Hybrid"/>
    <n v="60"/>
    <x v="14"/>
  </r>
  <r>
    <x v="76"/>
    <x v="1"/>
    <s v="Miller"/>
    <x v="3"/>
    <x v="68"/>
    <s v="emilymiller@gmail.com"/>
    <x v="76"/>
    <s v="High"/>
    <x v="76"/>
    <n v="2016"/>
    <x v="4"/>
    <n v="11"/>
    <d v="2026-03-19T00:00:00"/>
    <n v="3689"/>
    <n v="3689"/>
    <n v="2636"/>
    <n v="58"/>
    <x v="0"/>
    <x v="0"/>
    <n v="5"/>
    <s v="Yes"/>
    <n v="6866.85"/>
    <x v="0"/>
    <x v="4"/>
    <x v="25"/>
    <s v="Bad Employee"/>
    <b v="0"/>
    <b v="0"/>
    <s v="Bad Employee"/>
    <x v="1"/>
    <x v="5"/>
    <n v="3"/>
    <n v="2014"/>
    <s v="On-Site"/>
    <n v="181"/>
    <x v="12"/>
  </r>
  <r>
    <x v="77"/>
    <x v="1"/>
    <s v="Miller"/>
    <x v="3"/>
    <x v="68"/>
    <s v="emilymiller@gmail.com"/>
    <x v="77"/>
    <s v="Medium"/>
    <x v="77"/>
    <n v="2016"/>
    <x v="11"/>
    <n v="9"/>
    <d v="2026-03-19T00:00:00"/>
    <n v="3722"/>
    <n v="3722"/>
    <n v="2659"/>
    <n v="27"/>
    <x v="1"/>
    <x v="0"/>
    <n v="4"/>
    <s v="No"/>
    <n v="6594.6"/>
    <x v="1"/>
    <x v="1"/>
    <x v="22"/>
    <s v="Bad Employee"/>
    <b v="0"/>
    <b v="1"/>
    <s v="Good employee"/>
    <x v="1"/>
    <x v="2"/>
    <n v="19"/>
    <n v="2020"/>
    <s v="Fully Remote"/>
    <n v="154"/>
    <x v="34"/>
  </r>
  <r>
    <x v="78"/>
    <x v="0"/>
    <s v="Brown"/>
    <x v="1"/>
    <x v="69"/>
    <s v="michaelbrown@gmail.com"/>
    <x v="78"/>
    <s v="High"/>
    <x v="78"/>
    <n v="2014"/>
    <x v="10"/>
    <n v="15"/>
    <d v="2026-03-19T00:00:00"/>
    <n v="4112"/>
    <n v="4112"/>
    <n v="2939"/>
    <n v="62"/>
    <x v="0"/>
    <x v="1"/>
    <n v="3"/>
    <s v="Yes"/>
    <n v="9515.7800000000007"/>
    <x v="0"/>
    <x v="0"/>
    <x v="2"/>
    <s v="Bad Employee"/>
    <b v="0"/>
    <b v="0"/>
    <s v="Bad Employee"/>
    <x v="2"/>
    <x v="0"/>
    <n v="2"/>
    <n v="2011"/>
    <s v="Hybrid"/>
    <n v="144"/>
    <x v="35"/>
  </r>
  <r>
    <x v="79"/>
    <x v="1"/>
    <s v="Miller"/>
    <x v="4"/>
    <x v="70"/>
    <s v="emilymiller@gmail.com"/>
    <x v="79"/>
    <s v="High"/>
    <x v="79"/>
    <n v="2005"/>
    <x v="1"/>
    <n v="14"/>
    <d v="2026-03-19T00:00:00"/>
    <n v="7430"/>
    <n v="7430"/>
    <n v="5309"/>
    <n v="36"/>
    <x v="0"/>
    <x v="0"/>
    <n v="9"/>
    <s v="Yes"/>
    <n v="4145.03"/>
    <x v="0"/>
    <x v="3"/>
    <x v="25"/>
    <s v="Bad Employee"/>
    <b v="0"/>
    <b v="1"/>
    <s v="Good employee"/>
    <x v="2"/>
    <x v="4"/>
    <n v="19"/>
    <n v="2021"/>
    <s v="On-Site"/>
    <n v="181"/>
    <x v="20"/>
  </r>
  <r>
    <x v="80"/>
    <x v="0"/>
    <s v="Wilson"/>
    <x v="3"/>
    <x v="3"/>
    <s v="michaelwilson@gmail.com"/>
    <x v="80"/>
    <s v="Medium"/>
    <x v="80"/>
    <n v="2019"/>
    <x v="5"/>
    <n v="7"/>
    <d v="2026-03-19T00:00:00"/>
    <n v="2355"/>
    <n v="2355"/>
    <n v="1684"/>
    <n v="63"/>
    <x v="0"/>
    <x v="0"/>
    <n v="7"/>
    <s v="Yes"/>
    <n v="8411.44"/>
    <x v="1"/>
    <x v="1"/>
    <x v="13"/>
    <s v="Good Employee"/>
    <b v="1"/>
    <b v="1"/>
    <s v="Good employee"/>
    <x v="0"/>
    <x v="0"/>
    <n v="6"/>
    <n v="2016"/>
    <s v="Fully Remote"/>
    <n v="17"/>
    <x v="4"/>
  </r>
  <r>
    <x v="81"/>
    <x v="1"/>
    <s v="Miller"/>
    <x v="1"/>
    <x v="51"/>
    <s v="emilymiller@gmail.com"/>
    <x v="81"/>
    <s v="High"/>
    <x v="81"/>
    <n v="2011"/>
    <x v="0"/>
    <n v="10"/>
    <d v="2026-03-19T00:00:00"/>
    <n v="5304"/>
    <n v="5304"/>
    <n v="3789"/>
    <n v="47"/>
    <x v="0"/>
    <x v="1"/>
    <n v="7"/>
    <s v="Yes"/>
    <n v="9254.2900000000009"/>
    <x v="1"/>
    <x v="2"/>
    <x v="11"/>
    <s v="Bad Employee"/>
    <b v="0"/>
    <b v="1"/>
    <s v="Good employee"/>
    <x v="2"/>
    <x v="4"/>
    <n v="2"/>
    <n v="2011"/>
    <s v="On-Site"/>
    <n v="109"/>
    <x v="11"/>
  </r>
  <r>
    <x v="82"/>
    <x v="2"/>
    <s v="Williams"/>
    <x v="0"/>
    <x v="7"/>
    <s v="chriswilliams@gmail.com"/>
    <x v="82"/>
    <s v="High"/>
    <x v="82"/>
    <n v="2010"/>
    <x v="3"/>
    <n v="23"/>
    <d v="2026-03-19T00:00:00"/>
    <n v="5809"/>
    <n v="5809"/>
    <n v="4150"/>
    <n v="33"/>
    <x v="0"/>
    <x v="1"/>
    <n v="8"/>
    <s v="No"/>
    <n v="5169.62"/>
    <x v="3"/>
    <x v="1"/>
    <x v="24"/>
    <s v="Good Employee"/>
    <b v="1"/>
    <b v="1"/>
    <s v="Good employee"/>
    <x v="1"/>
    <x v="2"/>
    <n v="14"/>
    <n v="2023"/>
    <s v="On-Site"/>
    <n v="37"/>
    <x v="36"/>
  </r>
  <r>
    <x v="83"/>
    <x v="4"/>
    <s v="Williams"/>
    <x v="0"/>
    <x v="71"/>
    <s v="sarahwilliams@gmail.com"/>
    <x v="83"/>
    <s v="Medium"/>
    <x v="83"/>
    <n v="2003"/>
    <x v="5"/>
    <n v="8"/>
    <d v="2026-03-19T00:00:00"/>
    <n v="8198"/>
    <n v="8198"/>
    <n v="5857"/>
    <n v="62"/>
    <x v="0"/>
    <x v="0"/>
    <n v="1"/>
    <s v="Yes"/>
    <n v="7426.47"/>
    <x v="1"/>
    <x v="1"/>
    <x v="14"/>
    <s v="Bad Employee"/>
    <b v="0"/>
    <b v="0"/>
    <s v="Bad Employee"/>
    <x v="1"/>
    <x v="1"/>
    <n v="9"/>
    <n v="2018"/>
    <s v="Hybrid"/>
    <n v="179"/>
    <x v="30"/>
  </r>
  <r>
    <x v="84"/>
    <x v="0"/>
    <s v="Williams"/>
    <x v="0"/>
    <x v="0"/>
    <s v="michaelwilliams@gmail.com"/>
    <x v="84"/>
    <s v="Medium"/>
    <x v="84"/>
    <n v="2009"/>
    <x v="9"/>
    <n v="24"/>
    <d v="2026-03-19T00:00:00"/>
    <n v="6112"/>
    <n v="6112"/>
    <n v="4367"/>
    <n v="35"/>
    <x v="0"/>
    <x v="1"/>
    <n v="4"/>
    <s v="No"/>
    <n v="4081.69"/>
    <x v="0"/>
    <x v="3"/>
    <x v="28"/>
    <s v="Bad Employee"/>
    <b v="0"/>
    <b v="1"/>
    <s v="Good employee"/>
    <x v="2"/>
    <x v="5"/>
    <n v="15"/>
    <n v="2016"/>
    <s v="On-Site"/>
    <n v="68"/>
    <x v="35"/>
  </r>
  <r>
    <x v="85"/>
    <x v="3"/>
    <s v="Miller"/>
    <x v="1"/>
    <x v="72"/>
    <s v="alexmiller@gmail.com"/>
    <x v="85"/>
    <s v="low"/>
    <x v="85"/>
    <n v="2019"/>
    <x v="10"/>
    <n v="9"/>
    <d v="2026-03-19T00:00:00"/>
    <n v="2292"/>
    <n v="2292"/>
    <n v="1639"/>
    <n v="22"/>
    <x v="1"/>
    <x v="0"/>
    <n v="5"/>
    <s v="No"/>
    <n v="2009.35"/>
    <x v="2"/>
    <x v="4"/>
    <x v="16"/>
    <s v="Bad Employee"/>
    <b v="0"/>
    <b v="1"/>
    <s v="Good employee"/>
    <x v="0"/>
    <x v="2"/>
    <n v="16"/>
    <n v="2021"/>
    <s v="Hybrid"/>
    <n v="87"/>
    <x v="5"/>
  </r>
  <r>
    <x v="86"/>
    <x v="6"/>
    <s v="Brown"/>
    <x v="5"/>
    <x v="73"/>
    <s v="katiebrown@gmail.com"/>
    <x v="86"/>
    <s v="Medium"/>
    <x v="86"/>
    <n v="2000"/>
    <x v="10"/>
    <n v="13"/>
    <d v="2026-03-19T00:00:00"/>
    <n v="9227"/>
    <n v="9227"/>
    <n v="6592"/>
    <n v="38"/>
    <x v="0"/>
    <x v="0"/>
    <n v="5"/>
    <s v="No"/>
    <n v="6071.79"/>
    <x v="0"/>
    <x v="1"/>
    <x v="3"/>
    <s v="Bad Employee"/>
    <b v="0"/>
    <b v="1"/>
    <s v="Good employee"/>
    <x v="1"/>
    <x v="0"/>
    <n v="18"/>
    <n v="2012"/>
    <s v="Hybrid"/>
    <n v="109"/>
    <x v="35"/>
  </r>
  <r>
    <x v="87"/>
    <x v="7"/>
    <s v="Davis"/>
    <x v="4"/>
    <x v="74"/>
    <s v="johndavis@gmail.com"/>
    <x v="87"/>
    <s v="High"/>
    <x v="87"/>
    <n v="2000"/>
    <x v="11"/>
    <n v="1"/>
    <d v="2026-03-19T00:00:00"/>
    <n v="9574"/>
    <n v="9574"/>
    <n v="6839"/>
    <n v="54"/>
    <x v="0"/>
    <x v="1"/>
    <n v="1"/>
    <s v="No"/>
    <n v="2366.48"/>
    <x v="0"/>
    <x v="1"/>
    <x v="33"/>
    <s v="Bad Employee"/>
    <b v="0"/>
    <b v="0"/>
    <s v="Bad Employee"/>
    <x v="1"/>
    <x v="3"/>
    <n v="0"/>
    <n v="2015"/>
    <s v="On-Site"/>
    <n v="149"/>
    <x v="10"/>
  </r>
  <r>
    <x v="88"/>
    <x v="1"/>
    <s v="Davis"/>
    <x v="1"/>
    <x v="75"/>
    <s v="emilydavis@gmail.com"/>
    <x v="88"/>
    <s v="Medium"/>
    <x v="88"/>
    <n v="2000"/>
    <x v="8"/>
    <n v="3"/>
    <d v="2026-03-19T00:00:00"/>
    <n v="9512"/>
    <n v="9512"/>
    <n v="6795"/>
    <n v="50"/>
    <x v="0"/>
    <x v="0"/>
    <n v="3"/>
    <s v="Yes"/>
    <n v="4847.1899999999996"/>
    <x v="0"/>
    <x v="0"/>
    <x v="31"/>
    <s v="Bad Employee"/>
    <b v="0"/>
    <b v="1"/>
    <s v="Good employee"/>
    <x v="0"/>
    <x v="4"/>
    <n v="0"/>
    <n v="2014"/>
    <s v="On-Site"/>
    <n v="38"/>
    <x v="19"/>
  </r>
  <r>
    <x v="89"/>
    <x v="5"/>
    <s v="Johnson"/>
    <x v="5"/>
    <x v="76"/>
    <s v="janejohnson@gmail.com"/>
    <x v="89"/>
    <s v="extremely low"/>
    <x v="89"/>
    <n v="2004"/>
    <x v="1"/>
    <n v="18"/>
    <d v="2026-03-19T00:00:00"/>
    <n v="7791"/>
    <n v="7791"/>
    <n v="5566"/>
    <n v="52"/>
    <x v="0"/>
    <x v="1"/>
    <n v="2"/>
    <s v="Yes"/>
    <n v="8792.35"/>
    <x v="1"/>
    <x v="3"/>
    <x v="1"/>
    <s v="Bad Employee"/>
    <b v="0"/>
    <b v="1"/>
    <s v="Good employee"/>
    <x v="2"/>
    <x v="4"/>
    <n v="13"/>
    <n v="2021"/>
    <s v="On-Site"/>
    <n v="72"/>
    <x v="23"/>
  </r>
  <r>
    <x v="90"/>
    <x v="4"/>
    <s v="Davis"/>
    <x v="5"/>
    <x v="77"/>
    <s v="sarahdavis@gmail.com"/>
    <x v="90"/>
    <s v="High"/>
    <x v="90"/>
    <n v="2010"/>
    <x v="9"/>
    <n v="11"/>
    <d v="2026-03-19T00:00:00"/>
    <n v="5760"/>
    <n v="5760"/>
    <n v="4115"/>
    <n v="29"/>
    <x v="1"/>
    <x v="1"/>
    <n v="7"/>
    <s v="No"/>
    <n v="1317.17"/>
    <x v="2"/>
    <x v="0"/>
    <x v="12"/>
    <s v="Good Employee"/>
    <b v="1"/>
    <b v="1"/>
    <s v="Good employee"/>
    <x v="1"/>
    <x v="0"/>
    <n v="1"/>
    <n v="2018"/>
    <s v="On-Site"/>
    <n v="43"/>
    <x v="7"/>
  </r>
  <r>
    <x v="91"/>
    <x v="1"/>
    <s v="Davis"/>
    <x v="3"/>
    <x v="78"/>
    <s v="emilydavis@gmail.com"/>
    <x v="91"/>
    <s v="Medium"/>
    <x v="91"/>
    <n v="2000"/>
    <x v="6"/>
    <n v="13"/>
    <d v="2026-03-19T00:00:00"/>
    <n v="9349"/>
    <n v="9349"/>
    <n v="6679"/>
    <n v="51"/>
    <x v="0"/>
    <x v="0"/>
    <n v="5"/>
    <s v="No"/>
    <n v="789.07"/>
    <x v="0"/>
    <x v="1"/>
    <x v="7"/>
    <s v="Bad Employee"/>
    <b v="0"/>
    <b v="1"/>
    <s v="Good employee"/>
    <x v="1"/>
    <x v="5"/>
    <n v="1"/>
    <n v="2022"/>
    <s v="Fully Remote"/>
    <n v="133"/>
    <x v="23"/>
  </r>
  <r>
    <x v="92"/>
    <x v="5"/>
    <s v="Williams"/>
    <x v="1"/>
    <x v="64"/>
    <s v="janewilliams@gmail.com"/>
    <x v="92"/>
    <s v="High"/>
    <x v="92"/>
    <n v="2017"/>
    <x v="10"/>
    <n v="23"/>
    <d v="2026-03-19T00:00:00"/>
    <n v="3008"/>
    <n v="3008"/>
    <n v="2149"/>
    <n v="34"/>
    <x v="0"/>
    <x v="0"/>
    <n v="3"/>
    <s v="No"/>
    <n v="6261.54"/>
    <x v="1"/>
    <x v="1"/>
    <x v="32"/>
    <s v="Bad Employee"/>
    <b v="0"/>
    <b v="1"/>
    <s v="Good employee"/>
    <x v="0"/>
    <x v="2"/>
    <n v="19"/>
    <n v="2012"/>
    <s v="Hybrid"/>
    <n v="137"/>
    <x v="32"/>
  </r>
  <r>
    <x v="93"/>
    <x v="6"/>
    <s v="Williams"/>
    <x v="1"/>
    <x v="20"/>
    <s v="katiewilliams@gmail.com"/>
    <x v="93"/>
    <s v="Medium"/>
    <x v="93"/>
    <n v="2002"/>
    <x v="1"/>
    <n v="8"/>
    <d v="2026-03-19T00:00:00"/>
    <n v="8532"/>
    <n v="8532"/>
    <n v="6095"/>
    <n v="37"/>
    <x v="0"/>
    <x v="1"/>
    <n v="8"/>
    <s v="No"/>
    <n v="3645.08"/>
    <x v="3"/>
    <x v="2"/>
    <x v="27"/>
    <s v="Good Employee"/>
    <b v="1"/>
    <b v="1"/>
    <s v="Good employee"/>
    <x v="2"/>
    <x v="0"/>
    <n v="9"/>
    <n v="2011"/>
    <s v="On-Site"/>
    <n v="44"/>
    <x v="35"/>
  </r>
  <r>
    <x v="94"/>
    <x v="6"/>
    <s v="Miller"/>
    <x v="5"/>
    <x v="33"/>
    <s v="katiemiller@gmail.com"/>
    <x v="94"/>
    <s v="Medium"/>
    <x v="94"/>
    <n v="2016"/>
    <x v="1"/>
    <n v="26"/>
    <d v="2026-03-19T00:00:00"/>
    <n v="3400"/>
    <n v="3400"/>
    <n v="2429"/>
    <n v="23"/>
    <x v="1"/>
    <x v="0"/>
    <n v="1"/>
    <s v="Yes"/>
    <n v="4470.41"/>
    <x v="2"/>
    <x v="0"/>
    <x v="25"/>
    <s v="Bad Employee"/>
    <b v="0"/>
    <b v="0"/>
    <s v="Bad Employee"/>
    <x v="0"/>
    <x v="2"/>
    <n v="14"/>
    <n v="2011"/>
    <s v="Fully Remote"/>
    <n v="67"/>
    <x v="12"/>
  </r>
  <r>
    <x v="95"/>
    <x v="6"/>
    <s v="Johnson"/>
    <x v="5"/>
    <x v="79"/>
    <s v="katiejohnson@gmail.com"/>
    <x v="95"/>
    <s v="High"/>
    <x v="95"/>
    <n v="2002"/>
    <x v="3"/>
    <n v="24"/>
    <d v="2026-03-19T00:00:00"/>
    <n v="8730"/>
    <n v="8730"/>
    <n v="6237"/>
    <n v="39"/>
    <x v="0"/>
    <x v="1"/>
    <n v="1"/>
    <s v="No"/>
    <n v="4354.25"/>
    <x v="2"/>
    <x v="3"/>
    <x v="5"/>
    <s v="Bad Employee"/>
    <b v="0"/>
    <b v="1"/>
    <s v="Good employee"/>
    <x v="0"/>
    <x v="5"/>
    <n v="14"/>
    <n v="2013"/>
    <s v="On-Site"/>
    <n v="133"/>
    <x v="32"/>
  </r>
  <r>
    <x v="96"/>
    <x v="5"/>
    <s v="Smith"/>
    <x v="5"/>
    <x v="80"/>
    <s v="janesmith@gmail.com"/>
    <x v="96"/>
    <s v="High"/>
    <x v="96"/>
    <n v="2007"/>
    <x v="7"/>
    <n v="4"/>
    <d v="2026-03-19T00:00:00"/>
    <n v="6894"/>
    <n v="6894"/>
    <n v="4925"/>
    <n v="56"/>
    <x v="0"/>
    <x v="1"/>
    <n v="6"/>
    <s v="No"/>
    <n v="1322.89"/>
    <x v="1"/>
    <x v="1"/>
    <x v="12"/>
    <s v="Bad Employee"/>
    <b v="0"/>
    <b v="1"/>
    <s v="Good employee"/>
    <x v="2"/>
    <x v="3"/>
    <n v="6"/>
    <n v="2022"/>
    <s v="Fully Remote"/>
    <n v="167"/>
    <x v="23"/>
  </r>
  <r>
    <x v="97"/>
    <x v="1"/>
    <s v="Wilson"/>
    <x v="3"/>
    <x v="81"/>
    <s v="emilywilson@gmail.com"/>
    <x v="97"/>
    <s v="Medium"/>
    <x v="97"/>
    <n v="2011"/>
    <x v="3"/>
    <n v="12"/>
    <d v="2026-03-19T00:00:00"/>
    <n v="5455"/>
    <n v="5455"/>
    <n v="3898"/>
    <n v="40"/>
    <x v="0"/>
    <x v="1"/>
    <n v="1"/>
    <s v="Yes"/>
    <n v="533.88"/>
    <x v="3"/>
    <x v="2"/>
    <x v="18"/>
    <s v="Bad Employee"/>
    <b v="0"/>
    <b v="0"/>
    <s v="Bad Employee"/>
    <x v="1"/>
    <x v="2"/>
    <n v="7"/>
    <n v="2010"/>
    <s v="Hybrid"/>
    <n v="149"/>
    <x v="22"/>
  </r>
  <r>
    <x v="98"/>
    <x v="6"/>
    <s v="Johnson"/>
    <x v="1"/>
    <x v="47"/>
    <s v="katiejohnson@gmail.com"/>
    <x v="98"/>
    <s v="low"/>
    <x v="98"/>
    <n v="2019"/>
    <x v="4"/>
    <n v="10"/>
    <d v="2026-03-19T00:00:00"/>
    <n v="2594"/>
    <n v="2594"/>
    <n v="1854"/>
    <n v="34"/>
    <x v="0"/>
    <x v="1"/>
    <n v="4"/>
    <s v="No"/>
    <n v="9035.02"/>
    <x v="0"/>
    <x v="2"/>
    <x v="33"/>
    <s v="Bad Employee"/>
    <b v="0"/>
    <b v="0"/>
    <s v="Bad Employee"/>
    <x v="0"/>
    <x v="5"/>
    <n v="10"/>
    <n v="2018"/>
    <s v="On-Site"/>
    <n v="98"/>
    <x v="13"/>
  </r>
  <r>
    <x v="99"/>
    <x v="2"/>
    <s v="Johnson"/>
    <x v="5"/>
    <x v="82"/>
    <s v="chrisjohnson@gmail.com"/>
    <x v="99"/>
    <s v="High"/>
    <x v="99"/>
    <n v="2019"/>
    <x v="2"/>
    <n v="6"/>
    <d v="2026-03-19T00:00:00"/>
    <n v="2448"/>
    <n v="2448"/>
    <n v="1749"/>
    <n v="25"/>
    <x v="1"/>
    <x v="0"/>
    <n v="6"/>
    <s v="Yes"/>
    <n v="2569.09"/>
    <x v="3"/>
    <x v="4"/>
    <x v="21"/>
    <s v="Bad Employee"/>
    <b v="0"/>
    <b v="0"/>
    <s v="Bad Employee"/>
    <x v="1"/>
    <x v="0"/>
    <n v="15"/>
    <n v="2012"/>
    <s v="Fully Remote"/>
    <n v="103"/>
    <x v="28"/>
  </r>
  <r>
    <x v="100"/>
    <x v="0"/>
    <s v="Brown"/>
    <x v="0"/>
    <x v="83"/>
    <s v="michaelbrown@gmail.com"/>
    <x v="100"/>
    <s v="High"/>
    <x v="100"/>
    <n v="2003"/>
    <x v="7"/>
    <n v="19"/>
    <d v="2026-03-19T00:00:00"/>
    <n v="8340"/>
    <n v="8340"/>
    <n v="5959"/>
    <n v="40"/>
    <x v="0"/>
    <x v="0"/>
    <n v="1"/>
    <s v="Yes"/>
    <n v="4547.75"/>
    <x v="2"/>
    <x v="3"/>
    <x v="1"/>
    <s v="Bad Employee"/>
    <b v="0"/>
    <b v="1"/>
    <s v="Good employee"/>
    <x v="1"/>
    <x v="1"/>
    <n v="6"/>
    <n v="2023"/>
    <s v="Fully Remote"/>
    <n v="64"/>
    <x v="24"/>
  </r>
  <r>
    <x v="101"/>
    <x v="5"/>
    <s v="Miller"/>
    <x v="1"/>
    <x v="84"/>
    <s v="janemiller@gmail.com"/>
    <x v="101"/>
    <s v="low"/>
    <x v="101"/>
    <n v="2005"/>
    <x v="9"/>
    <n v="7"/>
    <d v="2026-03-19T00:00:00"/>
    <n v="7590"/>
    <n v="7590"/>
    <n v="5423"/>
    <n v="46"/>
    <x v="0"/>
    <x v="0"/>
    <n v="9"/>
    <s v="Yes"/>
    <n v="9733.2999999999993"/>
    <x v="1"/>
    <x v="2"/>
    <x v="27"/>
    <s v="Good Employee"/>
    <b v="1"/>
    <b v="1"/>
    <s v="Good employee"/>
    <x v="1"/>
    <x v="3"/>
    <n v="19"/>
    <n v="2022"/>
    <s v="Hybrid"/>
    <n v="133"/>
    <x v="8"/>
  </r>
  <r>
    <x v="102"/>
    <x v="5"/>
    <s v="Brown"/>
    <x v="3"/>
    <x v="85"/>
    <s v="janebrown@gmail.com"/>
    <x v="102"/>
    <s v="Medium"/>
    <x v="102"/>
    <n v="2011"/>
    <x v="6"/>
    <n v="27"/>
    <d v="2026-03-19T00:00:00"/>
    <n v="5318"/>
    <n v="5318"/>
    <n v="3799"/>
    <n v="59"/>
    <x v="0"/>
    <x v="0"/>
    <n v="4"/>
    <s v="No"/>
    <n v="8354.24"/>
    <x v="3"/>
    <x v="3"/>
    <x v="34"/>
    <s v="Bad Employee"/>
    <b v="0"/>
    <b v="1"/>
    <s v="Good employee"/>
    <x v="1"/>
    <x v="3"/>
    <n v="8"/>
    <n v="2014"/>
    <s v="On-Site"/>
    <n v="136"/>
    <x v="0"/>
  </r>
  <r>
    <x v="103"/>
    <x v="1"/>
    <s v="Johnson"/>
    <x v="0"/>
    <x v="86"/>
    <s v="emilyjohnson@gmail.com"/>
    <x v="103"/>
    <s v="low"/>
    <x v="103"/>
    <n v="2003"/>
    <x v="2"/>
    <n v="2"/>
    <d v="2026-03-19T00:00:00"/>
    <n v="8296"/>
    <n v="8296"/>
    <n v="5927"/>
    <n v="52"/>
    <x v="0"/>
    <x v="0"/>
    <n v="9"/>
    <s v="Yes"/>
    <n v="1525.34"/>
    <x v="0"/>
    <x v="1"/>
    <x v="18"/>
    <s v="Bad Employee"/>
    <b v="0"/>
    <b v="1"/>
    <s v="Good employee"/>
    <x v="0"/>
    <x v="3"/>
    <n v="18"/>
    <n v="2011"/>
    <s v="On-Site"/>
    <n v="141"/>
    <x v="18"/>
  </r>
  <r>
    <x v="104"/>
    <x v="5"/>
    <s v="Johnson"/>
    <x v="2"/>
    <x v="67"/>
    <s v="janejohnson@gmail.com"/>
    <x v="104"/>
    <s v="High"/>
    <x v="104"/>
    <n v="2004"/>
    <x v="7"/>
    <n v="13"/>
    <d v="2026-03-19T00:00:00"/>
    <n v="7980"/>
    <n v="7980"/>
    <n v="5701"/>
    <n v="57"/>
    <x v="0"/>
    <x v="0"/>
    <n v="9"/>
    <s v="Yes"/>
    <n v="5330.93"/>
    <x v="3"/>
    <x v="4"/>
    <x v="32"/>
    <s v="Good Employee"/>
    <b v="1"/>
    <b v="1"/>
    <s v="Good employee"/>
    <x v="2"/>
    <x v="4"/>
    <n v="0"/>
    <n v="2017"/>
    <s v="Hybrid"/>
    <n v="49"/>
    <x v="25"/>
  </r>
  <r>
    <x v="105"/>
    <x v="5"/>
    <s v="Johnson"/>
    <x v="1"/>
    <x v="87"/>
    <s v="janejohnson@gmail.com"/>
    <x v="105"/>
    <s v="Medium"/>
    <x v="105"/>
    <n v="2017"/>
    <x v="4"/>
    <n v="17"/>
    <d v="2026-03-19T00:00:00"/>
    <n v="3317"/>
    <n v="3317"/>
    <n v="2370"/>
    <n v="25"/>
    <x v="1"/>
    <x v="1"/>
    <n v="6"/>
    <s v="No"/>
    <n v="7435.75"/>
    <x v="3"/>
    <x v="3"/>
    <x v="35"/>
    <s v="Bad Employee"/>
    <b v="0"/>
    <b v="1"/>
    <s v="Good employee"/>
    <x v="1"/>
    <x v="1"/>
    <n v="17"/>
    <n v="2020"/>
    <s v="Hybrid"/>
    <n v="164"/>
    <x v="28"/>
  </r>
  <r>
    <x v="106"/>
    <x v="6"/>
    <s v="Davis"/>
    <x v="2"/>
    <x v="25"/>
    <s v="katiedavis@gmail.com"/>
    <x v="106"/>
    <s v="High"/>
    <x v="106"/>
    <n v="2006"/>
    <x v="10"/>
    <n v="26"/>
    <d v="2026-03-19T00:00:00"/>
    <n v="7023"/>
    <n v="7023"/>
    <n v="5018"/>
    <n v="60"/>
    <x v="0"/>
    <x v="0"/>
    <n v="7"/>
    <s v="No"/>
    <n v="7134.73"/>
    <x v="1"/>
    <x v="4"/>
    <x v="18"/>
    <s v="Bad Employee"/>
    <b v="0"/>
    <b v="1"/>
    <s v="Good employee"/>
    <x v="1"/>
    <x v="5"/>
    <n v="7"/>
    <n v="2020"/>
    <s v="Hybrid"/>
    <n v="73"/>
    <x v="1"/>
  </r>
  <r>
    <x v="107"/>
    <x v="1"/>
    <s v="Wilson"/>
    <x v="5"/>
    <x v="88"/>
    <s v="emilywilson@gmail.com"/>
    <x v="107"/>
    <s v="Medium"/>
    <x v="107"/>
    <n v="2005"/>
    <x v="7"/>
    <n v="6"/>
    <d v="2026-03-19T00:00:00"/>
    <n v="7622"/>
    <n v="7622"/>
    <n v="5445"/>
    <n v="28"/>
    <x v="1"/>
    <x v="1"/>
    <n v="1"/>
    <s v="No"/>
    <n v="7728"/>
    <x v="1"/>
    <x v="3"/>
    <x v="15"/>
    <s v="Bad Employee"/>
    <b v="0"/>
    <b v="0"/>
    <s v="Bad Employee"/>
    <x v="1"/>
    <x v="2"/>
    <n v="7"/>
    <n v="2023"/>
    <s v="Fully Remote"/>
    <n v="18"/>
    <x v="8"/>
  </r>
  <r>
    <x v="108"/>
    <x v="6"/>
    <s v="Wilson"/>
    <x v="3"/>
    <x v="89"/>
    <s v="katiewilson@gmail.com"/>
    <x v="108"/>
    <s v="High"/>
    <x v="108"/>
    <n v="2004"/>
    <x v="6"/>
    <n v="22"/>
    <d v="2026-03-19T00:00:00"/>
    <n v="7879"/>
    <n v="7879"/>
    <n v="5629"/>
    <n v="37"/>
    <x v="0"/>
    <x v="1"/>
    <n v="5"/>
    <s v="No"/>
    <n v="4845.82"/>
    <x v="2"/>
    <x v="3"/>
    <x v="6"/>
    <s v="Bad Employee"/>
    <b v="0"/>
    <b v="0"/>
    <s v="Bad Employee"/>
    <x v="2"/>
    <x v="0"/>
    <n v="7"/>
    <n v="2012"/>
    <s v="Fully Remote"/>
    <n v="183"/>
    <x v="10"/>
  </r>
  <r>
    <x v="109"/>
    <x v="0"/>
    <s v="Brown"/>
    <x v="5"/>
    <x v="90"/>
    <s v="michaelbrown@gmail.com"/>
    <x v="109"/>
    <s v="High"/>
    <x v="109"/>
    <n v="2002"/>
    <x v="6"/>
    <n v="12"/>
    <d v="2026-03-19T00:00:00"/>
    <n v="8620"/>
    <n v="8620"/>
    <n v="6159"/>
    <n v="26"/>
    <x v="1"/>
    <x v="1"/>
    <n v="3"/>
    <s v="Yes"/>
    <n v="2171.27"/>
    <x v="1"/>
    <x v="0"/>
    <x v="35"/>
    <s v="Bad Employee"/>
    <b v="0"/>
    <b v="1"/>
    <s v="Good employee"/>
    <x v="1"/>
    <x v="3"/>
    <n v="13"/>
    <n v="2014"/>
    <s v="Hybrid"/>
    <n v="155"/>
    <x v="4"/>
  </r>
  <r>
    <x v="110"/>
    <x v="4"/>
    <s v="Johnson"/>
    <x v="3"/>
    <x v="91"/>
    <s v="sarahjohnson@gmail.com"/>
    <x v="110"/>
    <s v="Medium"/>
    <x v="110"/>
    <n v="2009"/>
    <x v="11"/>
    <n v="4"/>
    <d v="2026-03-19T00:00:00"/>
    <n v="6283"/>
    <n v="6283"/>
    <n v="4489"/>
    <n v="44"/>
    <x v="0"/>
    <x v="0"/>
    <n v="6"/>
    <s v="No"/>
    <n v="4916.29"/>
    <x v="3"/>
    <x v="4"/>
    <x v="2"/>
    <s v="Bad Employee"/>
    <b v="0"/>
    <b v="0"/>
    <s v="Bad Employee"/>
    <x v="2"/>
    <x v="3"/>
    <n v="1"/>
    <n v="2016"/>
    <s v="On-Site"/>
    <n v="178"/>
    <x v="34"/>
  </r>
  <r>
    <x v="111"/>
    <x v="0"/>
    <s v="Wilson"/>
    <x v="4"/>
    <x v="92"/>
    <s v="michaelwilson@gmail.com"/>
    <x v="111"/>
    <s v="High"/>
    <x v="111"/>
    <n v="2000"/>
    <x v="10"/>
    <n v="22"/>
    <d v="2026-03-19T00:00:00"/>
    <n v="9218"/>
    <n v="9218"/>
    <n v="6585"/>
    <n v="57"/>
    <x v="0"/>
    <x v="1"/>
    <n v="4"/>
    <s v="Yes"/>
    <n v="6654.93"/>
    <x v="0"/>
    <x v="3"/>
    <x v="36"/>
    <s v="Bad Employee"/>
    <b v="0"/>
    <b v="1"/>
    <s v="Good employee"/>
    <x v="0"/>
    <x v="3"/>
    <n v="2"/>
    <n v="2011"/>
    <s v="Fully Remote"/>
    <n v="159"/>
    <x v="35"/>
  </r>
  <r>
    <x v="112"/>
    <x v="4"/>
    <s v="Williams"/>
    <x v="5"/>
    <x v="93"/>
    <s v="sarahwilliams@gmail.com"/>
    <x v="112"/>
    <s v="High"/>
    <x v="112"/>
    <n v="2017"/>
    <x v="3"/>
    <n v="13"/>
    <d v="2026-03-19T00:00:00"/>
    <n v="3262"/>
    <n v="3262"/>
    <n v="2331"/>
    <n v="53"/>
    <x v="0"/>
    <x v="0"/>
    <n v="9"/>
    <s v="Yes"/>
    <n v="6281.62"/>
    <x v="2"/>
    <x v="0"/>
    <x v="36"/>
    <s v="Good Employee"/>
    <b v="1"/>
    <b v="1"/>
    <s v="Good employee"/>
    <x v="2"/>
    <x v="5"/>
    <n v="6"/>
    <n v="2012"/>
    <s v="Hybrid"/>
    <n v="93"/>
    <x v="12"/>
  </r>
  <r>
    <x v="113"/>
    <x v="6"/>
    <s v="Wilson"/>
    <x v="2"/>
    <x v="94"/>
    <s v="katiewilson@gmail.com"/>
    <x v="113"/>
    <s v="low"/>
    <x v="113"/>
    <n v="2009"/>
    <x v="1"/>
    <n v="4"/>
    <d v="2026-03-19T00:00:00"/>
    <n v="5979"/>
    <n v="5979"/>
    <n v="4272"/>
    <n v="45"/>
    <x v="0"/>
    <x v="1"/>
    <n v="7"/>
    <s v="No"/>
    <n v="1169.96"/>
    <x v="1"/>
    <x v="0"/>
    <x v="22"/>
    <s v="Good Employee"/>
    <b v="1"/>
    <b v="1"/>
    <s v="Good employee"/>
    <x v="1"/>
    <x v="0"/>
    <n v="2"/>
    <n v="2017"/>
    <s v="Fully Remote"/>
    <n v="40"/>
    <x v="35"/>
  </r>
  <r>
    <x v="114"/>
    <x v="0"/>
    <s v="Miller"/>
    <x v="3"/>
    <x v="95"/>
    <s v="michaelmiller@gmail.com"/>
    <x v="114"/>
    <s v="High"/>
    <x v="114"/>
    <n v="2002"/>
    <x v="6"/>
    <n v="26"/>
    <d v="2026-03-19T00:00:00"/>
    <n v="8606"/>
    <n v="8606"/>
    <n v="6149"/>
    <n v="46"/>
    <x v="0"/>
    <x v="0"/>
    <n v="4"/>
    <s v="No"/>
    <n v="1117.05"/>
    <x v="3"/>
    <x v="4"/>
    <x v="7"/>
    <s v="Bad Employee"/>
    <b v="0"/>
    <b v="1"/>
    <s v="Good employee"/>
    <x v="0"/>
    <x v="5"/>
    <n v="14"/>
    <n v="2019"/>
    <s v="Fully Remote"/>
    <n v="36"/>
    <x v="33"/>
  </r>
  <r>
    <x v="115"/>
    <x v="1"/>
    <s v="Miller"/>
    <x v="5"/>
    <x v="96"/>
    <s v="emilymiller@gmail.com"/>
    <x v="115"/>
    <s v="High"/>
    <x v="115"/>
    <n v="2000"/>
    <x v="6"/>
    <n v="29"/>
    <d v="2026-03-19T00:00:00"/>
    <n v="9333"/>
    <n v="9333"/>
    <n v="6668"/>
    <n v="49"/>
    <x v="0"/>
    <x v="0"/>
    <n v="6"/>
    <s v="No"/>
    <n v="9669.9500000000007"/>
    <x v="3"/>
    <x v="1"/>
    <x v="17"/>
    <s v="Bad Employee"/>
    <b v="0"/>
    <b v="0"/>
    <s v="Bad Employee"/>
    <x v="2"/>
    <x v="0"/>
    <n v="10"/>
    <n v="2023"/>
    <s v="Hybrid"/>
    <n v="77"/>
    <x v="19"/>
  </r>
  <r>
    <x v="116"/>
    <x v="7"/>
    <s v="Wilson"/>
    <x v="1"/>
    <x v="62"/>
    <s v="johnwilson@gmail.com"/>
    <x v="116"/>
    <s v="extremely low"/>
    <x v="116"/>
    <n v="2009"/>
    <x v="9"/>
    <n v="8"/>
    <d v="2026-03-19T00:00:00"/>
    <n v="6128"/>
    <n v="6128"/>
    <n v="4379"/>
    <n v="40"/>
    <x v="0"/>
    <x v="0"/>
    <n v="2"/>
    <s v="No"/>
    <n v="1942.15"/>
    <x v="2"/>
    <x v="4"/>
    <x v="4"/>
    <s v="Bad Employee"/>
    <b v="0"/>
    <b v="0"/>
    <s v="Bad Employee"/>
    <x v="1"/>
    <x v="2"/>
    <n v="1"/>
    <n v="2017"/>
    <s v="On-Site"/>
    <n v="198"/>
    <x v="37"/>
  </r>
  <r>
    <x v="117"/>
    <x v="6"/>
    <s v="Williams"/>
    <x v="3"/>
    <x v="97"/>
    <s v="katiewilliams@gmail.com"/>
    <x v="117"/>
    <s v="High"/>
    <x v="117"/>
    <n v="2011"/>
    <x v="6"/>
    <n v="5"/>
    <d v="2026-03-19T00:00:00"/>
    <n v="5340"/>
    <n v="5340"/>
    <n v="3815"/>
    <n v="28"/>
    <x v="1"/>
    <x v="0"/>
    <n v="3"/>
    <s v="Yes"/>
    <n v="3297.39"/>
    <x v="2"/>
    <x v="3"/>
    <x v="31"/>
    <s v="Bad Employee"/>
    <b v="0"/>
    <b v="1"/>
    <s v="Good employee"/>
    <x v="0"/>
    <x v="4"/>
    <n v="17"/>
    <n v="2012"/>
    <s v="On-Site"/>
    <n v="174"/>
    <x v="16"/>
  </r>
  <r>
    <x v="118"/>
    <x v="4"/>
    <s v="Miller"/>
    <x v="3"/>
    <x v="98"/>
    <s v="sarahmiller@gmail.com"/>
    <x v="118"/>
    <s v="High"/>
    <x v="79"/>
    <n v="2005"/>
    <x v="1"/>
    <n v="14"/>
    <d v="2026-03-19T00:00:00"/>
    <n v="7430"/>
    <n v="7430"/>
    <n v="5309"/>
    <n v="62"/>
    <x v="0"/>
    <x v="0"/>
    <n v="7"/>
    <s v="No"/>
    <n v="7792.53"/>
    <x v="1"/>
    <x v="1"/>
    <x v="24"/>
    <s v="Good Employee"/>
    <b v="1"/>
    <b v="1"/>
    <s v="Good employee"/>
    <x v="0"/>
    <x v="0"/>
    <n v="13"/>
    <n v="2022"/>
    <s v="Fully Remote"/>
    <n v="54"/>
    <x v="38"/>
  </r>
  <r>
    <x v="119"/>
    <x v="2"/>
    <s v="Davis"/>
    <x v="5"/>
    <x v="6"/>
    <s v="chrisdavis@gmail.com"/>
    <x v="119"/>
    <s v="High"/>
    <x v="118"/>
    <n v="2000"/>
    <x v="7"/>
    <n v="26"/>
    <d v="2026-03-19T00:00:00"/>
    <n v="9428"/>
    <n v="9428"/>
    <n v="6735"/>
    <n v="38"/>
    <x v="0"/>
    <x v="1"/>
    <n v="4"/>
    <s v="Yes"/>
    <n v="4391.93"/>
    <x v="1"/>
    <x v="4"/>
    <x v="37"/>
    <s v="Bad Employee"/>
    <b v="0"/>
    <b v="1"/>
    <s v="Good employee"/>
    <x v="2"/>
    <x v="1"/>
    <n v="17"/>
    <n v="2019"/>
    <s v="On-Site"/>
    <n v="61"/>
    <x v="38"/>
  </r>
  <r>
    <x v="120"/>
    <x v="4"/>
    <s v="Wilson"/>
    <x v="4"/>
    <x v="99"/>
    <s v="sarahwilson@gmail.com"/>
    <x v="120"/>
    <s v="High"/>
    <x v="119"/>
    <n v="2014"/>
    <x v="8"/>
    <n v="4"/>
    <d v="2026-03-19T00:00:00"/>
    <n v="4398"/>
    <n v="4398"/>
    <n v="3143"/>
    <n v="23"/>
    <x v="1"/>
    <x v="0"/>
    <n v="7"/>
    <s v="Yes"/>
    <n v="2223.92"/>
    <x v="0"/>
    <x v="4"/>
    <x v="14"/>
    <s v="Bad Employee"/>
    <b v="0"/>
    <b v="1"/>
    <s v="Good employee"/>
    <x v="1"/>
    <x v="5"/>
    <n v="1"/>
    <n v="2021"/>
    <s v="On-Site"/>
    <n v="121"/>
    <x v="17"/>
  </r>
  <r>
    <x v="121"/>
    <x v="2"/>
    <s v="Davis"/>
    <x v="5"/>
    <x v="6"/>
    <s v="chrisdavis@gmail.com"/>
    <x v="121"/>
    <s v="High"/>
    <x v="120"/>
    <n v="2014"/>
    <x v="4"/>
    <n v="17"/>
    <d v="2026-03-19T00:00:00"/>
    <n v="4413"/>
    <n v="4413"/>
    <n v="3154"/>
    <n v="37"/>
    <x v="0"/>
    <x v="0"/>
    <n v="9"/>
    <s v="No"/>
    <n v="4938.71"/>
    <x v="2"/>
    <x v="4"/>
    <x v="30"/>
    <s v="Bad Employee"/>
    <b v="0"/>
    <b v="1"/>
    <s v="Good employee"/>
    <x v="2"/>
    <x v="5"/>
    <n v="3"/>
    <n v="2016"/>
    <s v="Hybrid"/>
    <n v="196"/>
    <x v="5"/>
  </r>
  <r>
    <x v="122"/>
    <x v="5"/>
    <s v="Wilson"/>
    <x v="2"/>
    <x v="100"/>
    <s v="janewilson@gmail.com"/>
    <x v="122"/>
    <s v="High"/>
    <x v="121"/>
    <n v="2019"/>
    <x v="8"/>
    <n v="11"/>
    <d v="2026-03-19T00:00:00"/>
    <n v="2565"/>
    <n v="2565"/>
    <n v="1834"/>
    <n v="60"/>
    <x v="0"/>
    <x v="1"/>
    <n v="5"/>
    <s v="No"/>
    <n v="5905.02"/>
    <x v="2"/>
    <x v="4"/>
    <x v="35"/>
    <s v="Bad Employee"/>
    <b v="0"/>
    <b v="1"/>
    <s v="Good employee"/>
    <x v="0"/>
    <x v="5"/>
    <n v="13"/>
    <n v="2023"/>
    <s v="Hybrid"/>
    <n v="178"/>
    <x v="16"/>
  </r>
  <r>
    <x v="123"/>
    <x v="0"/>
    <s v="Smith"/>
    <x v="2"/>
    <x v="101"/>
    <s v="michaelsmith@gmail.com"/>
    <x v="123"/>
    <s v="extremely low"/>
    <x v="122"/>
    <n v="2001"/>
    <x v="9"/>
    <n v="26"/>
    <d v="2026-03-19T00:00:00"/>
    <n v="9032"/>
    <n v="9032"/>
    <n v="6453"/>
    <n v="39"/>
    <x v="0"/>
    <x v="0"/>
    <n v="1"/>
    <s v="No"/>
    <n v="4801.28"/>
    <x v="3"/>
    <x v="1"/>
    <x v="15"/>
    <s v="Bad Employee"/>
    <b v="0"/>
    <b v="0"/>
    <s v="Bad Employee"/>
    <x v="0"/>
    <x v="4"/>
    <n v="6"/>
    <n v="2020"/>
    <s v="Hybrid"/>
    <n v="115"/>
    <x v="2"/>
  </r>
  <r>
    <x v="124"/>
    <x v="2"/>
    <s v="Smith"/>
    <x v="3"/>
    <x v="102"/>
    <s v="chrissmith@gmail.com"/>
    <x v="13"/>
    <s v="low"/>
    <x v="123"/>
    <n v="2001"/>
    <x v="1"/>
    <n v="22"/>
    <d v="2026-03-19T00:00:00"/>
    <n v="8883"/>
    <n v="8883"/>
    <n v="6346"/>
    <n v="60"/>
    <x v="0"/>
    <x v="0"/>
    <n v="5"/>
    <s v="Yes"/>
    <n v="9229.99"/>
    <x v="0"/>
    <x v="3"/>
    <x v="2"/>
    <s v="Bad Employee"/>
    <b v="0"/>
    <b v="0"/>
    <s v="Bad Employee"/>
    <x v="1"/>
    <x v="0"/>
    <n v="14"/>
    <n v="2022"/>
    <s v="On-Site"/>
    <n v="93"/>
    <x v="12"/>
  </r>
  <r>
    <x v="125"/>
    <x v="4"/>
    <s v="Smith"/>
    <x v="3"/>
    <x v="54"/>
    <s v="sarahsmith@gmail.com"/>
    <x v="124"/>
    <s v="low"/>
    <x v="124"/>
    <n v="2002"/>
    <x v="5"/>
    <n v="22"/>
    <d v="2026-03-19T00:00:00"/>
    <n v="8549"/>
    <n v="8549"/>
    <n v="6108"/>
    <n v="22"/>
    <x v="1"/>
    <x v="0"/>
    <n v="6"/>
    <s v="Yes"/>
    <n v="3204.64"/>
    <x v="1"/>
    <x v="0"/>
    <x v="11"/>
    <s v="Bad Employee"/>
    <b v="0"/>
    <b v="0"/>
    <s v="Bad Employee"/>
    <x v="0"/>
    <x v="0"/>
    <n v="5"/>
    <n v="2011"/>
    <s v="On-Site"/>
    <n v="108"/>
    <x v="6"/>
  </r>
  <r>
    <x v="126"/>
    <x v="5"/>
    <s v="Miller"/>
    <x v="5"/>
    <x v="103"/>
    <s v="janemiller@gmail.com"/>
    <x v="125"/>
    <s v="Medium"/>
    <x v="125"/>
    <n v="2011"/>
    <x v="4"/>
    <n v="2"/>
    <d v="2026-03-19T00:00:00"/>
    <n v="5524"/>
    <n v="5524"/>
    <n v="3947"/>
    <n v="24"/>
    <x v="1"/>
    <x v="0"/>
    <n v="2"/>
    <s v="Yes"/>
    <n v="6782.66"/>
    <x v="0"/>
    <x v="4"/>
    <x v="8"/>
    <s v="Bad Employee"/>
    <b v="0"/>
    <b v="1"/>
    <s v="Good employee"/>
    <x v="1"/>
    <x v="0"/>
    <n v="4"/>
    <n v="2018"/>
    <s v="Hybrid"/>
    <n v="58"/>
    <x v="1"/>
  </r>
  <r>
    <x v="127"/>
    <x v="7"/>
    <s v="Davis"/>
    <x v="2"/>
    <x v="58"/>
    <s v="johndavis@gmail.com"/>
    <x v="126"/>
    <s v="Medium"/>
    <x v="126"/>
    <n v="2010"/>
    <x v="10"/>
    <n v="19"/>
    <d v="2026-03-19T00:00:00"/>
    <n v="5569"/>
    <n v="5569"/>
    <n v="3979"/>
    <n v="42"/>
    <x v="0"/>
    <x v="0"/>
    <n v="8"/>
    <s v="No"/>
    <n v="1566.8"/>
    <x v="0"/>
    <x v="0"/>
    <x v="0"/>
    <s v="Bad Employee"/>
    <b v="0"/>
    <b v="1"/>
    <s v="Good employee"/>
    <x v="2"/>
    <x v="0"/>
    <n v="19"/>
    <n v="2022"/>
    <s v="On-Site"/>
    <n v="57"/>
    <x v="12"/>
  </r>
  <r>
    <x v="128"/>
    <x v="1"/>
    <s v="Davis"/>
    <x v="2"/>
    <x v="104"/>
    <s v="emilydavis@gmail.com"/>
    <x v="127"/>
    <s v="Medium"/>
    <x v="127"/>
    <n v="2009"/>
    <x v="8"/>
    <n v="13"/>
    <d v="2026-03-19T00:00:00"/>
    <n v="6215"/>
    <n v="6215"/>
    <n v="4440"/>
    <n v="51"/>
    <x v="0"/>
    <x v="1"/>
    <n v="2"/>
    <s v="No"/>
    <n v="4226.71"/>
    <x v="3"/>
    <x v="0"/>
    <x v="9"/>
    <s v="Bad Employee"/>
    <b v="0"/>
    <b v="0"/>
    <s v="Bad Employee"/>
    <x v="0"/>
    <x v="3"/>
    <n v="17"/>
    <n v="2022"/>
    <s v="Hybrid"/>
    <n v="161"/>
    <x v="11"/>
  </r>
  <r>
    <x v="129"/>
    <x v="1"/>
    <s v="Davis"/>
    <x v="4"/>
    <x v="105"/>
    <s v="emilydavis@gmail.com"/>
    <x v="128"/>
    <s v="High"/>
    <x v="128"/>
    <n v="2014"/>
    <x v="7"/>
    <n v="24"/>
    <d v="2026-03-19T00:00:00"/>
    <n v="4317"/>
    <n v="4317"/>
    <n v="3084"/>
    <n v="32"/>
    <x v="0"/>
    <x v="0"/>
    <n v="9"/>
    <s v="No"/>
    <n v="7539.44"/>
    <x v="2"/>
    <x v="0"/>
    <x v="7"/>
    <s v="Good Employee"/>
    <b v="1"/>
    <b v="1"/>
    <s v="Good employee"/>
    <x v="0"/>
    <x v="3"/>
    <n v="10"/>
    <n v="2017"/>
    <s v="Fully Remote"/>
    <n v="169"/>
    <x v="26"/>
  </r>
  <r>
    <x v="130"/>
    <x v="1"/>
    <s v="Williams"/>
    <x v="1"/>
    <x v="53"/>
    <s v="emilywilliams@gmail.com"/>
    <x v="129"/>
    <s v="low"/>
    <x v="129"/>
    <n v="2015"/>
    <x v="0"/>
    <n v="15"/>
    <d v="2026-03-19T00:00:00"/>
    <n v="3838"/>
    <n v="3838"/>
    <n v="2743"/>
    <n v="43"/>
    <x v="0"/>
    <x v="1"/>
    <n v="2"/>
    <s v="No"/>
    <n v="2635.76"/>
    <x v="2"/>
    <x v="4"/>
    <x v="20"/>
    <s v="Bad Employee"/>
    <b v="0"/>
    <b v="0"/>
    <s v="Bad Employee"/>
    <x v="1"/>
    <x v="1"/>
    <n v="7"/>
    <n v="2018"/>
    <s v="Fully Remote"/>
    <n v="73"/>
    <x v="5"/>
  </r>
  <r>
    <x v="131"/>
    <x v="2"/>
    <s v="Davis"/>
    <x v="4"/>
    <x v="21"/>
    <s v="chrisdavis@gmail.com"/>
    <x v="130"/>
    <s v="High"/>
    <x v="130"/>
    <n v="2008"/>
    <x v="11"/>
    <n v="30"/>
    <d v="2026-03-19T00:00:00"/>
    <n v="6623"/>
    <n v="6623"/>
    <n v="4732"/>
    <n v="46"/>
    <x v="0"/>
    <x v="0"/>
    <n v="3"/>
    <s v="No"/>
    <n v="6102.82"/>
    <x v="2"/>
    <x v="4"/>
    <x v="32"/>
    <s v="Bad Employee"/>
    <b v="0"/>
    <b v="1"/>
    <s v="Good employee"/>
    <x v="1"/>
    <x v="5"/>
    <n v="11"/>
    <n v="2018"/>
    <s v="On-Site"/>
    <n v="18"/>
    <x v="11"/>
  </r>
  <r>
    <x v="132"/>
    <x v="7"/>
    <s v="Williams"/>
    <x v="0"/>
    <x v="106"/>
    <s v="johnwilliams@gmail.com"/>
    <x v="131"/>
    <s v="High"/>
    <x v="131"/>
    <n v="2001"/>
    <x v="10"/>
    <n v="30"/>
    <d v="2026-03-19T00:00:00"/>
    <n v="8845"/>
    <n v="8845"/>
    <n v="6319"/>
    <n v="24"/>
    <x v="1"/>
    <x v="1"/>
    <n v="8"/>
    <s v="No"/>
    <n v="1957.65"/>
    <x v="1"/>
    <x v="4"/>
    <x v="24"/>
    <s v="Good Employee"/>
    <b v="1"/>
    <b v="1"/>
    <s v="Good employee"/>
    <x v="2"/>
    <x v="3"/>
    <n v="17"/>
    <n v="2016"/>
    <s v="On-Site"/>
    <n v="159"/>
    <x v="1"/>
  </r>
  <r>
    <x v="133"/>
    <x v="2"/>
    <s v="Smith"/>
    <x v="4"/>
    <x v="107"/>
    <s v="chrissmith@gmail.com"/>
    <x v="132"/>
    <s v="Medium"/>
    <x v="132"/>
    <n v="2017"/>
    <x v="0"/>
    <n v="22"/>
    <d v="2026-03-19T00:00:00"/>
    <n v="3100"/>
    <n v="3100"/>
    <n v="2215"/>
    <n v="51"/>
    <x v="0"/>
    <x v="1"/>
    <n v="6"/>
    <s v="No"/>
    <n v="1475.67"/>
    <x v="2"/>
    <x v="4"/>
    <x v="26"/>
    <s v="Bad Employee"/>
    <b v="0"/>
    <b v="0"/>
    <s v="Bad Employee"/>
    <x v="1"/>
    <x v="0"/>
    <n v="14"/>
    <n v="2013"/>
    <s v="On-Site"/>
    <n v="9"/>
    <x v="21"/>
  </r>
  <r>
    <x v="134"/>
    <x v="0"/>
    <s v="Smith"/>
    <x v="5"/>
    <x v="108"/>
    <s v="michaelsmith@gmail.com"/>
    <x v="133"/>
    <s v="High"/>
    <x v="133"/>
    <n v="2018"/>
    <x v="2"/>
    <n v="5"/>
    <d v="2026-03-19T00:00:00"/>
    <n v="2814"/>
    <n v="2814"/>
    <n v="2011"/>
    <n v="45"/>
    <x v="0"/>
    <x v="1"/>
    <n v="1"/>
    <s v="Yes"/>
    <n v="5470.71"/>
    <x v="0"/>
    <x v="2"/>
    <x v="22"/>
    <s v="Bad Employee"/>
    <b v="0"/>
    <b v="1"/>
    <s v="Good employee"/>
    <x v="0"/>
    <x v="0"/>
    <n v="7"/>
    <n v="2021"/>
    <s v="On-Site"/>
    <n v="122"/>
    <x v="16"/>
  </r>
  <r>
    <x v="135"/>
    <x v="2"/>
    <s v="Miller"/>
    <x v="1"/>
    <x v="109"/>
    <s v="chrismiller@gmail.com"/>
    <x v="134"/>
    <s v="High"/>
    <x v="134"/>
    <n v="2012"/>
    <x v="3"/>
    <n v="26"/>
    <d v="2026-03-19T00:00:00"/>
    <n v="5075"/>
    <n v="5075"/>
    <n v="3626"/>
    <n v="57"/>
    <x v="0"/>
    <x v="0"/>
    <n v="4"/>
    <s v="Yes"/>
    <n v="6912.6"/>
    <x v="0"/>
    <x v="3"/>
    <x v="1"/>
    <s v="Bad Employee"/>
    <b v="0"/>
    <b v="1"/>
    <s v="Good employee"/>
    <x v="2"/>
    <x v="3"/>
    <n v="3"/>
    <n v="2021"/>
    <s v="Fully Remote"/>
    <n v="176"/>
    <x v="2"/>
  </r>
  <r>
    <x v="136"/>
    <x v="7"/>
    <s v="Wilson"/>
    <x v="5"/>
    <x v="110"/>
    <s v="johnwilson@gmail.com"/>
    <x v="135"/>
    <s v="extremely low"/>
    <x v="135"/>
    <n v="2006"/>
    <x v="10"/>
    <n v="30"/>
    <d v="2026-03-19T00:00:00"/>
    <n v="7019"/>
    <n v="7019"/>
    <n v="5014"/>
    <n v="44"/>
    <x v="0"/>
    <x v="0"/>
    <n v="5"/>
    <s v="Yes"/>
    <n v="1576.99"/>
    <x v="2"/>
    <x v="2"/>
    <x v="30"/>
    <s v="Bad Employee"/>
    <b v="0"/>
    <b v="0"/>
    <s v="Bad Employee"/>
    <x v="2"/>
    <x v="2"/>
    <n v="14"/>
    <n v="2014"/>
    <s v="Hybrid"/>
    <n v="147"/>
    <x v="1"/>
  </r>
  <r>
    <x v="137"/>
    <x v="7"/>
    <s v="Smith"/>
    <x v="0"/>
    <x v="111"/>
    <s v="johnsmith@gmail.com"/>
    <x v="136"/>
    <s v="Medium"/>
    <x v="136"/>
    <n v="2016"/>
    <x v="2"/>
    <n v="10"/>
    <d v="2026-03-19T00:00:00"/>
    <n v="3539"/>
    <n v="3539"/>
    <n v="2529"/>
    <n v="29"/>
    <x v="1"/>
    <x v="1"/>
    <n v="3"/>
    <s v="Yes"/>
    <n v="9218.8700000000008"/>
    <x v="0"/>
    <x v="1"/>
    <x v="37"/>
    <s v="Bad Employee"/>
    <b v="0"/>
    <b v="1"/>
    <s v="Good employee"/>
    <x v="2"/>
    <x v="1"/>
    <n v="10"/>
    <n v="2016"/>
    <s v="Fully Remote"/>
    <n v="71"/>
    <x v="38"/>
  </r>
  <r>
    <x v="138"/>
    <x v="0"/>
    <s v="Wilson"/>
    <x v="1"/>
    <x v="112"/>
    <s v="michaelwilson@gmail.com"/>
    <x v="137"/>
    <s v="low"/>
    <x v="137"/>
    <n v="2003"/>
    <x v="4"/>
    <n v="24"/>
    <d v="2026-03-19T00:00:00"/>
    <n v="8424"/>
    <n v="8424"/>
    <n v="6019"/>
    <n v="25"/>
    <x v="1"/>
    <x v="0"/>
    <n v="1"/>
    <s v="No"/>
    <n v="2644.84"/>
    <x v="1"/>
    <x v="2"/>
    <x v="9"/>
    <s v="Bad Employee"/>
    <b v="0"/>
    <b v="0"/>
    <s v="Bad Employee"/>
    <x v="1"/>
    <x v="5"/>
    <n v="0"/>
    <n v="2022"/>
    <s v="Hybrid"/>
    <n v="5"/>
    <x v="2"/>
  </r>
  <r>
    <x v="139"/>
    <x v="7"/>
    <s v="Wilson"/>
    <x v="3"/>
    <x v="113"/>
    <s v="johnwilson@gmail.com"/>
    <x v="138"/>
    <s v="Medium"/>
    <x v="138"/>
    <n v="2004"/>
    <x v="5"/>
    <n v="1"/>
    <d v="2026-03-19T00:00:00"/>
    <n v="7839"/>
    <n v="7839"/>
    <n v="5600"/>
    <n v="60"/>
    <x v="0"/>
    <x v="0"/>
    <n v="3"/>
    <s v="No"/>
    <n v="1639.77"/>
    <x v="2"/>
    <x v="2"/>
    <x v="25"/>
    <s v="Bad Employee"/>
    <b v="0"/>
    <b v="0"/>
    <s v="Bad Employee"/>
    <x v="1"/>
    <x v="4"/>
    <n v="1"/>
    <n v="2014"/>
    <s v="On-Site"/>
    <n v="156"/>
    <x v="38"/>
  </r>
  <r>
    <x v="140"/>
    <x v="4"/>
    <s v="Miller"/>
    <x v="2"/>
    <x v="114"/>
    <s v="sarahmiller@gmail.com"/>
    <x v="139"/>
    <s v="Medium"/>
    <x v="139"/>
    <n v="2002"/>
    <x v="1"/>
    <n v="4"/>
    <d v="2026-03-19T00:00:00"/>
    <n v="8536"/>
    <n v="8536"/>
    <n v="6099"/>
    <n v="64"/>
    <x v="0"/>
    <x v="1"/>
    <n v="9"/>
    <s v="No"/>
    <n v="2425.64"/>
    <x v="1"/>
    <x v="2"/>
    <x v="16"/>
    <s v="Good Employee"/>
    <b v="1"/>
    <b v="1"/>
    <s v="Good employee"/>
    <x v="0"/>
    <x v="1"/>
    <n v="7"/>
    <n v="2021"/>
    <s v="Hybrid"/>
    <n v="113"/>
    <x v="31"/>
  </r>
  <r>
    <x v="141"/>
    <x v="7"/>
    <s v="Johnson"/>
    <x v="4"/>
    <x v="115"/>
    <s v="johnjohnson@gmail.com"/>
    <x v="140"/>
    <s v="Medium"/>
    <x v="140"/>
    <n v="2017"/>
    <x v="9"/>
    <n v="9"/>
    <d v="2026-03-19T00:00:00"/>
    <n v="3205"/>
    <n v="3205"/>
    <n v="2290"/>
    <n v="52"/>
    <x v="0"/>
    <x v="0"/>
    <n v="2"/>
    <s v="Yes"/>
    <n v="2110.94"/>
    <x v="2"/>
    <x v="3"/>
    <x v="35"/>
    <s v="Bad Employee"/>
    <b v="0"/>
    <b v="1"/>
    <s v="Good employee"/>
    <x v="2"/>
    <x v="5"/>
    <n v="15"/>
    <n v="2019"/>
    <s v="Hybrid"/>
    <n v="66"/>
    <x v="11"/>
  </r>
  <r>
    <x v="142"/>
    <x v="1"/>
    <s v="Johnson"/>
    <x v="5"/>
    <x v="116"/>
    <s v="emilyjohnson@gmail.com"/>
    <x v="141"/>
    <s v="low"/>
    <x v="141"/>
    <n v="2019"/>
    <x v="2"/>
    <n v="7"/>
    <d v="2026-03-19T00:00:00"/>
    <n v="2447"/>
    <n v="2447"/>
    <n v="1749"/>
    <n v="50"/>
    <x v="0"/>
    <x v="1"/>
    <n v="1"/>
    <s v="No"/>
    <n v="1361.41"/>
    <x v="1"/>
    <x v="0"/>
    <x v="8"/>
    <s v="Bad Employee"/>
    <b v="0"/>
    <b v="1"/>
    <s v="Good employee"/>
    <x v="2"/>
    <x v="5"/>
    <n v="0"/>
    <n v="2017"/>
    <s v="Hybrid"/>
    <n v="82"/>
    <x v="1"/>
  </r>
  <r>
    <x v="143"/>
    <x v="4"/>
    <s v="Brown"/>
    <x v="0"/>
    <x v="117"/>
    <s v="sarahbrown@gmail.com"/>
    <x v="142"/>
    <s v="High"/>
    <x v="142"/>
    <n v="2007"/>
    <x v="10"/>
    <n v="22"/>
    <d v="2026-03-19T00:00:00"/>
    <n v="6662"/>
    <n v="6662"/>
    <n v="4759"/>
    <n v="57"/>
    <x v="0"/>
    <x v="0"/>
    <n v="7"/>
    <s v="Yes"/>
    <n v="8079.47"/>
    <x v="1"/>
    <x v="1"/>
    <x v="2"/>
    <s v="Bad Employee"/>
    <b v="0"/>
    <b v="1"/>
    <s v="Good employee"/>
    <x v="2"/>
    <x v="5"/>
    <n v="2"/>
    <n v="2014"/>
    <s v="Hybrid"/>
    <n v="61"/>
    <x v="37"/>
  </r>
  <r>
    <x v="144"/>
    <x v="4"/>
    <s v="Miller"/>
    <x v="2"/>
    <x v="114"/>
    <s v="sarahmiller@gmail.com"/>
    <x v="143"/>
    <s v="extremely low"/>
    <x v="143"/>
    <n v="2019"/>
    <x v="1"/>
    <n v="29"/>
    <d v="2026-03-19T00:00:00"/>
    <n v="2302"/>
    <n v="2302"/>
    <n v="1645"/>
    <n v="34"/>
    <x v="0"/>
    <x v="1"/>
    <n v="7"/>
    <s v="Yes"/>
    <n v="5207.6099999999997"/>
    <x v="1"/>
    <x v="1"/>
    <x v="0"/>
    <s v="Bad Employee"/>
    <b v="0"/>
    <b v="1"/>
    <s v="Good employee"/>
    <x v="0"/>
    <x v="1"/>
    <n v="17"/>
    <n v="2014"/>
    <s v="Fully Remote"/>
    <n v="24"/>
    <x v="5"/>
  </r>
  <r>
    <x v="145"/>
    <x v="0"/>
    <s v="Brown"/>
    <x v="4"/>
    <x v="118"/>
    <s v="michaelbrown@gmail.com"/>
    <x v="144"/>
    <s v="Medium"/>
    <x v="144"/>
    <n v="2013"/>
    <x v="3"/>
    <n v="2"/>
    <d v="2026-03-19T00:00:00"/>
    <n v="4734"/>
    <n v="4734"/>
    <n v="3383"/>
    <n v="62"/>
    <x v="0"/>
    <x v="0"/>
    <n v="5"/>
    <s v="Yes"/>
    <n v="4190.93"/>
    <x v="0"/>
    <x v="3"/>
    <x v="10"/>
    <s v="Bad Employee"/>
    <b v="0"/>
    <b v="0"/>
    <s v="Bad Employee"/>
    <x v="1"/>
    <x v="1"/>
    <n v="15"/>
    <n v="2014"/>
    <s v="On-Site"/>
    <n v="190"/>
    <x v="27"/>
  </r>
  <r>
    <x v="146"/>
    <x v="3"/>
    <s v="Brown"/>
    <x v="2"/>
    <x v="119"/>
    <s v="alexbrown@gmail.com"/>
    <x v="145"/>
    <s v="High"/>
    <x v="145"/>
    <n v="2006"/>
    <x v="10"/>
    <n v="15"/>
    <d v="2026-03-19T00:00:00"/>
    <n v="7034"/>
    <n v="7034"/>
    <n v="5025"/>
    <n v="30"/>
    <x v="1"/>
    <x v="0"/>
    <n v="2"/>
    <s v="No"/>
    <n v="9530.9699999999993"/>
    <x v="1"/>
    <x v="2"/>
    <x v="22"/>
    <s v="Bad Employee"/>
    <b v="0"/>
    <b v="1"/>
    <s v="Good employee"/>
    <x v="2"/>
    <x v="3"/>
    <n v="19"/>
    <n v="2013"/>
    <s v="On-Site"/>
    <n v="18"/>
    <x v="31"/>
  </r>
  <r>
    <x v="147"/>
    <x v="3"/>
    <s v="Johnson"/>
    <x v="4"/>
    <x v="120"/>
    <s v="alexjohnson@gmail.com"/>
    <x v="146"/>
    <s v="low"/>
    <x v="146"/>
    <n v="2012"/>
    <x v="4"/>
    <n v="1"/>
    <d v="2026-03-19T00:00:00"/>
    <n v="5160"/>
    <n v="5160"/>
    <n v="3687"/>
    <n v="42"/>
    <x v="0"/>
    <x v="1"/>
    <n v="1"/>
    <s v="No"/>
    <n v="4024.58"/>
    <x v="3"/>
    <x v="0"/>
    <x v="23"/>
    <s v="Bad Employee"/>
    <b v="0"/>
    <b v="0"/>
    <s v="Bad Employee"/>
    <x v="1"/>
    <x v="5"/>
    <n v="19"/>
    <n v="2020"/>
    <s v="Hybrid"/>
    <n v="185"/>
    <x v="0"/>
  </r>
  <r>
    <x v="148"/>
    <x v="7"/>
    <s v="Miller"/>
    <x v="3"/>
    <x v="36"/>
    <s v="johnmiller@gmail.com"/>
    <x v="147"/>
    <s v="extremely low"/>
    <x v="147"/>
    <n v="2003"/>
    <x v="7"/>
    <n v="27"/>
    <d v="2026-03-19T00:00:00"/>
    <n v="8332"/>
    <n v="8332"/>
    <n v="5953"/>
    <n v="24"/>
    <x v="1"/>
    <x v="1"/>
    <n v="5"/>
    <s v="Yes"/>
    <n v="2086.2399999999998"/>
    <x v="1"/>
    <x v="4"/>
    <x v="21"/>
    <s v="Bad Employee"/>
    <b v="0"/>
    <b v="0"/>
    <s v="Bad Employee"/>
    <x v="1"/>
    <x v="0"/>
    <n v="12"/>
    <n v="2021"/>
    <s v="On-Site"/>
    <n v="39"/>
    <x v="4"/>
  </r>
  <r>
    <x v="149"/>
    <x v="4"/>
    <s v="Johnson"/>
    <x v="1"/>
    <x v="28"/>
    <s v="sarahjohnson@gmail.com"/>
    <x v="148"/>
    <s v="low"/>
    <x v="148"/>
    <n v="2002"/>
    <x v="4"/>
    <n v="11"/>
    <d v="2026-03-19T00:00:00"/>
    <n v="8802"/>
    <n v="8802"/>
    <n v="6289"/>
    <n v="46"/>
    <x v="0"/>
    <x v="0"/>
    <n v="4"/>
    <s v="Yes"/>
    <n v="3103.41"/>
    <x v="1"/>
    <x v="3"/>
    <x v="30"/>
    <s v="Bad Employee"/>
    <b v="0"/>
    <b v="0"/>
    <s v="Bad Employee"/>
    <x v="1"/>
    <x v="5"/>
    <n v="19"/>
    <n v="2020"/>
    <s v="Fully Remote"/>
    <n v="194"/>
    <x v="39"/>
  </r>
  <r>
    <x v="150"/>
    <x v="3"/>
    <s v="Brown"/>
    <x v="2"/>
    <x v="119"/>
    <s v="alexbrown@gmail.com"/>
    <x v="149"/>
    <s v="High"/>
    <x v="149"/>
    <n v="2005"/>
    <x v="8"/>
    <n v="31"/>
    <d v="2026-03-19T00:00:00"/>
    <n v="7658"/>
    <n v="7658"/>
    <n v="5471"/>
    <n v="46"/>
    <x v="0"/>
    <x v="1"/>
    <n v="9"/>
    <s v="No"/>
    <n v="2770.18"/>
    <x v="1"/>
    <x v="0"/>
    <x v="17"/>
    <s v="Bad Employee"/>
    <b v="0"/>
    <b v="1"/>
    <s v="Good employee"/>
    <x v="1"/>
    <x v="0"/>
    <n v="3"/>
    <n v="2021"/>
    <s v="Hybrid"/>
    <n v="193"/>
    <x v="20"/>
  </r>
  <r>
    <x v="151"/>
    <x v="3"/>
    <s v="Miller"/>
    <x v="2"/>
    <x v="121"/>
    <s v="alexmiller@gmail.com"/>
    <x v="150"/>
    <s v="Medium"/>
    <x v="150"/>
    <n v="2009"/>
    <x v="7"/>
    <n v="5"/>
    <d v="2026-03-19T00:00:00"/>
    <n v="6162"/>
    <n v="6162"/>
    <n v="4403"/>
    <n v="33"/>
    <x v="0"/>
    <x v="1"/>
    <n v="5"/>
    <s v="Yes"/>
    <n v="5238.04"/>
    <x v="1"/>
    <x v="3"/>
    <x v="6"/>
    <s v="Bad Employee"/>
    <b v="0"/>
    <b v="0"/>
    <s v="Bad Employee"/>
    <x v="1"/>
    <x v="3"/>
    <n v="3"/>
    <n v="2016"/>
    <s v="On-Site"/>
    <n v="151"/>
    <x v="28"/>
  </r>
  <r>
    <x v="152"/>
    <x v="7"/>
    <s v="Brown"/>
    <x v="2"/>
    <x v="55"/>
    <s v="johnbrown@gmail.com"/>
    <x v="151"/>
    <s v="High"/>
    <x v="151"/>
    <n v="2006"/>
    <x v="1"/>
    <n v="4"/>
    <d v="2026-03-19T00:00:00"/>
    <n v="7075"/>
    <n v="7075"/>
    <n v="5054"/>
    <n v="50"/>
    <x v="0"/>
    <x v="1"/>
    <n v="2"/>
    <s v="No"/>
    <n v="3269.3"/>
    <x v="2"/>
    <x v="3"/>
    <x v="14"/>
    <s v="Bad Employee"/>
    <b v="0"/>
    <b v="0"/>
    <s v="Bad Employee"/>
    <x v="0"/>
    <x v="3"/>
    <n v="1"/>
    <n v="2011"/>
    <s v="On-Site"/>
    <n v="88"/>
    <x v="25"/>
  </r>
  <r>
    <x v="153"/>
    <x v="3"/>
    <s v="Davis"/>
    <x v="1"/>
    <x v="122"/>
    <s v="alexdavis@gmail.com"/>
    <x v="152"/>
    <s v="extremely low"/>
    <x v="152"/>
    <n v="2009"/>
    <x v="9"/>
    <n v="2"/>
    <d v="2026-03-19T00:00:00"/>
    <n v="6134"/>
    <n v="6134"/>
    <n v="4383"/>
    <n v="32"/>
    <x v="0"/>
    <x v="1"/>
    <n v="4"/>
    <s v="Yes"/>
    <n v="5402.58"/>
    <x v="0"/>
    <x v="4"/>
    <x v="0"/>
    <s v="Bad Employee"/>
    <b v="0"/>
    <b v="0"/>
    <s v="Bad Employee"/>
    <x v="1"/>
    <x v="5"/>
    <n v="12"/>
    <n v="2019"/>
    <s v="Hybrid"/>
    <n v="46"/>
    <x v="15"/>
  </r>
  <r>
    <x v="154"/>
    <x v="2"/>
    <s v="Wilson"/>
    <x v="0"/>
    <x v="123"/>
    <s v="chriswilson@gmail.com"/>
    <x v="153"/>
    <s v="extremely low"/>
    <x v="153"/>
    <n v="2013"/>
    <x v="5"/>
    <n v="18"/>
    <d v="2026-03-19T00:00:00"/>
    <n v="4535"/>
    <n v="4535"/>
    <n v="3240"/>
    <n v="32"/>
    <x v="0"/>
    <x v="1"/>
    <n v="9"/>
    <s v="No"/>
    <n v="6858.29"/>
    <x v="0"/>
    <x v="0"/>
    <x v="28"/>
    <s v="Good Employee"/>
    <b v="1"/>
    <b v="1"/>
    <s v="Good employee"/>
    <x v="2"/>
    <x v="1"/>
    <n v="12"/>
    <n v="2022"/>
    <s v="Fully Remote"/>
    <n v="176"/>
    <x v="7"/>
  </r>
  <r>
    <x v="155"/>
    <x v="5"/>
    <s v="Miller"/>
    <x v="4"/>
    <x v="124"/>
    <s v="janemiller@gmail.com"/>
    <x v="154"/>
    <s v="High"/>
    <x v="154"/>
    <n v="2019"/>
    <x v="4"/>
    <n v="21"/>
    <d v="2026-03-19T00:00:00"/>
    <n v="2583"/>
    <n v="2583"/>
    <n v="1846"/>
    <n v="47"/>
    <x v="0"/>
    <x v="0"/>
    <n v="8"/>
    <s v="Yes"/>
    <n v="7884.34"/>
    <x v="0"/>
    <x v="2"/>
    <x v="8"/>
    <s v="Good Employee"/>
    <b v="1"/>
    <b v="1"/>
    <s v="Good employee"/>
    <x v="2"/>
    <x v="0"/>
    <n v="19"/>
    <n v="2013"/>
    <s v="Hybrid"/>
    <n v="102"/>
    <x v="21"/>
  </r>
  <r>
    <x v="156"/>
    <x v="0"/>
    <s v="Miller"/>
    <x v="3"/>
    <x v="95"/>
    <s v="michaelmiller@gmail.com"/>
    <x v="155"/>
    <s v="High"/>
    <x v="155"/>
    <n v="2019"/>
    <x v="6"/>
    <n v="9"/>
    <d v="2026-03-19T00:00:00"/>
    <n v="2414"/>
    <n v="2414"/>
    <n v="1725"/>
    <n v="35"/>
    <x v="0"/>
    <x v="1"/>
    <n v="3"/>
    <s v="No"/>
    <n v="7246.5"/>
    <x v="2"/>
    <x v="0"/>
    <x v="24"/>
    <s v="Bad Employee"/>
    <b v="0"/>
    <b v="1"/>
    <s v="Good employee"/>
    <x v="2"/>
    <x v="0"/>
    <n v="6"/>
    <n v="2020"/>
    <s v="Hybrid"/>
    <n v="5"/>
    <x v="11"/>
  </r>
  <r>
    <x v="157"/>
    <x v="5"/>
    <s v="Wilson"/>
    <x v="2"/>
    <x v="100"/>
    <s v="janewilson@gmail.com"/>
    <x v="156"/>
    <s v="low"/>
    <x v="156"/>
    <n v="2016"/>
    <x v="0"/>
    <n v="23"/>
    <d v="2026-03-19T00:00:00"/>
    <n v="3464"/>
    <n v="3464"/>
    <n v="2475"/>
    <n v="37"/>
    <x v="0"/>
    <x v="1"/>
    <n v="8"/>
    <s v="Yes"/>
    <n v="2453.11"/>
    <x v="1"/>
    <x v="0"/>
    <x v="29"/>
    <s v="Bad Employee"/>
    <b v="0"/>
    <b v="1"/>
    <s v="Good employee"/>
    <x v="0"/>
    <x v="0"/>
    <n v="6"/>
    <n v="2012"/>
    <s v="On-Site"/>
    <n v="72"/>
    <x v="8"/>
  </r>
  <r>
    <x v="158"/>
    <x v="7"/>
    <s v="Brown"/>
    <x v="1"/>
    <x v="125"/>
    <s v="johnbrown@gmail.com"/>
    <x v="157"/>
    <s v="High"/>
    <x v="157"/>
    <n v="2009"/>
    <x v="0"/>
    <n v="15"/>
    <d v="2026-03-19T00:00:00"/>
    <n v="6029"/>
    <n v="6029"/>
    <n v="4308"/>
    <n v="31"/>
    <x v="0"/>
    <x v="1"/>
    <n v="2"/>
    <s v="No"/>
    <n v="1601.05"/>
    <x v="1"/>
    <x v="2"/>
    <x v="5"/>
    <s v="Bad Employee"/>
    <b v="0"/>
    <b v="1"/>
    <s v="Good employee"/>
    <x v="1"/>
    <x v="0"/>
    <n v="16"/>
    <n v="2019"/>
    <s v="On-Site"/>
    <n v="108"/>
    <x v="22"/>
  </r>
  <r>
    <x v="159"/>
    <x v="1"/>
    <s v="Davis"/>
    <x v="0"/>
    <x v="126"/>
    <s v="emilydavis@gmail.com"/>
    <x v="158"/>
    <s v="Medium"/>
    <x v="158"/>
    <n v="2003"/>
    <x v="3"/>
    <n v="28"/>
    <d v="2026-03-19T00:00:00"/>
    <n v="8361"/>
    <n v="8361"/>
    <n v="5974"/>
    <n v="52"/>
    <x v="0"/>
    <x v="1"/>
    <n v="3"/>
    <s v="Yes"/>
    <n v="5653.28"/>
    <x v="0"/>
    <x v="4"/>
    <x v="37"/>
    <s v="Bad Employee"/>
    <b v="0"/>
    <b v="1"/>
    <s v="Good employee"/>
    <x v="2"/>
    <x v="4"/>
    <n v="9"/>
    <n v="2022"/>
    <s v="Hybrid"/>
    <n v="82"/>
    <x v="19"/>
  </r>
  <r>
    <x v="160"/>
    <x v="0"/>
    <s v="Williams"/>
    <x v="4"/>
    <x v="45"/>
    <s v="michaelwilliams@gmail.com"/>
    <x v="159"/>
    <s v="low"/>
    <x v="159"/>
    <n v="2008"/>
    <x v="11"/>
    <n v="10"/>
    <d v="2026-03-19T00:00:00"/>
    <n v="6643"/>
    <n v="6643"/>
    <n v="4746"/>
    <n v="52"/>
    <x v="0"/>
    <x v="0"/>
    <n v="5"/>
    <s v="No"/>
    <n v="2389.66"/>
    <x v="3"/>
    <x v="0"/>
    <x v="30"/>
    <s v="Bad Employee"/>
    <b v="0"/>
    <b v="0"/>
    <s v="Bad Employee"/>
    <x v="2"/>
    <x v="3"/>
    <n v="11"/>
    <n v="2017"/>
    <s v="Hybrid"/>
    <n v="178"/>
    <x v="22"/>
  </r>
  <r>
    <x v="161"/>
    <x v="7"/>
    <s v="Wilson"/>
    <x v="1"/>
    <x v="62"/>
    <s v="johnwilson@gmail.com"/>
    <x v="160"/>
    <s v="Medium"/>
    <x v="160"/>
    <n v="2001"/>
    <x v="4"/>
    <n v="22"/>
    <d v="2026-03-19T00:00:00"/>
    <n v="9156"/>
    <n v="9156"/>
    <n v="6541"/>
    <n v="57"/>
    <x v="0"/>
    <x v="1"/>
    <n v="8"/>
    <s v="Yes"/>
    <n v="1306.8699999999999"/>
    <x v="1"/>
    <x v="2"/>
    <x v="11"/>
    <s v="Bad Employee"/>
    <b v="0"/>
    <b v="1"/>
    <s v="Good employee"/>
    <x v="2"/>
    <x v="0"/>
    <n v="15"/>
    <n v="2016"/>
    <s v="On-Site"/>
    <n v="55"/>
    <x v="14"/>
  </r>
  <r>
    <x v="162"/>
    <x v="4"/>
    <s v="Johnson"/>
    <x v="3"/>
    <x v="91"/>
    <s v="sarahjohnson@gmail.com"/>
    <x v="161"/>
    <s v="High"/>
    <x v="161"/>
    <n v="2010"/>
    <x v="7"/>
    <n v="9"/>
    <d v="2026-03-19T00:00:00"/>
    <n v="5793"/>
    <n v="5793"/>
    <n v="4139"/>
    <n v="31"/>
    <x v="0"/>
    <x v="0"/>
    <n v="1"/>
    <s v="Yes"/>
    <n v="5507.4"/>
    <x v="1"/>
    <x v="3"/>
    <x v="2"/>
    <s v="Bad Employee"/>
    <b v="0"/>
    <b v="0"/>
    <s v="Bad Employee"/>
    <x v="1"/>
    <x v="4"/>
    <n v="1"/>
    <n v="2012"/>
    <s v="Hybrid"/>
    <n v="36"/>
    <x v="31"/>
  </r>
  <r>
    <x v="163"/>
    <x v="1"/>
    <s v="Brown"/>
    <x v="3"/>
    <x v="127"/>
    <s v="emilybrown@gmail.com"/>
    <x v="162"/>
    <s v="Medium"/>
    <x v="162"/>
    <n v="2013"/>
    <x v="2"/>
    <n v="31"/>
    <d v="2026-03-19T00:00:00"/>
    <n v="4614"/>
    <n v="4614"/>
    <n v="3297"/>
    <n v="47"/>
    <x v="0"/>
    <x v="0"/>
    <n v="4"/>
    <s v="Yes"/>
    <n v="3604.54"/>
    <x v="1"/>
    <x v="3"/>
    <x v="4"/>
    <s v="Bad Employee"/>
    <b v="0"/>
    <b v="0"/>
    <s v="Bad Employee"/>
    <x v="2"/>
    <x v="4"/>
    <n v="8"/>
    <n v="2013"/>
    <s v="Fully Remote"/>
    <n v="104"/>
    <x v="35"/>
  </r>
  <r>
    <x v="164"/>
    <x v="5"/>
    <s v="Wilson"/>
    <x v="4"/>
    <x v="128"/>
    <s v="janewilson@gmail.com"/>
    <x v="163"/>
    <s v="Medium"/>
    <x v="163"/>
    <n v="2002"/>
    <x v="4"/>
    <n v="27"/>
    <d v="2026-03-19T00:00:00"/>
    <n v="8786"/>
    <n v="8786"/>
    <n v="6277"/>
    <n v="41"/>
    <x v="0"/>
    <x v="1"/>
    <n v="1"/>
    <s v="Yes"/>
    <n v="7683.42"/>
    <x v="2"/>
    <x v="2"/>
    <x v="12"/>
    <s v="Bad Employee"/>
    <b v="0"/>
    <b v="1"/>
    <s v="Good employee"/>
    <x v="1"/>
    <x v="3"/>
    <n v="11"/>
    <n v="2022"/>
    <s v="Hybrid"/>
    <n v="151"/>
    <x v="14"/>
  </r>
  <r>
    <x v="165"/>
    <x v="7"/>
    <s v="Wilson"/>
    <x v="2"/>
    <x v="129"/>
    <s v="johnwilson@gmail.com"/>
    <x v="164"/>
    <s v="Medium"/>
    <x v="164"/>
    <n v="2005"/>
    <x v="4"/>
    <n v="14"/>
    <d v="2026-03-19T00:00:00"/>
    <n v="7703"/>
    <n v="7703"/>
    <n v="5504"/>
    <n v="30"/>
    <x v="1"/>
    <x v="1"/>
    <n v="1"/>
    <s v="Yes"/>
    <n v="3484.82"/>
    <x v="1"/>
    <x v="3"/>
    <x v="32"/>
    <s v="Bad Employee"/>
    <b v="0"/>
    <b v="1"/>
    <s v="Good employee"/>
    <x v="2"/>
    <x v="2"/>
    <n v="16"/>
    <n v="2023"/>
    <s v="Fully Remote"/>
    <n v="43"/>
    <x v="35"/>
  </r>
  <r>
    <x v="166"/>
    <x v="4"/>
    <s v="Miller"/>
    <x v="3"/>
    <x v="98"/>
    <s v="sarahmiller@gmail.com"/>
    <x v="165"/>
    <s v="Medium"/>
    <x v="165"/>
    <n v="2012"/>
    <x v="2"/>
    <n v="26"/>
    <d v="2026-03-19T00:00:00"/>
    <n v="4984"/>
    <n v="4984"/>
    <n v="3561"/>
    <n v="36"/>
    <x v="0"/>
    <x v="0"/>
    <n v="5"/>
    <s v="Yes"/>
    <n v="9797.81"/>
    <x v="0"/>
    <x v="0"/>
    <x v="10"/>
    <s v="Bad Employee"/>
    <b v="0"/>
    <b v="0"/>
    <s v="Bad Employee"/>
    <x v="2"/>
    <x v="5"/>
    <n v="15"/>
    <n v="2013"/>
    <s v="Hybrid"/>
    <n v="146"/>
    <x v="5"/>
  </r>
  <r>
    <x v="167"/>
    <x v="0"/>
    <s v="Johnson"/>
    <x v="0"/>
    <x v="130"/>
    <s v="michaeljohnson@gmail.com"/>
    <x v="166"/>
    <s v="High"/>
    <x v="166"/>
    <n v="2014"/>
    <x v="4"/>
    <n v="14"/>
    <d v="2026-03-19T00:00:00"/>
    <n v="4416"/>
    <n v="4416"/>
    <n v="3155"/>
    <n v="30"/>
    <x v="1"/>
    <x v="0"/>
    <n v="6"/>
    <s v="No"/>
    <n v="7705.97"/>
    <x v="1"/>
    <x v="2"/>
    <x v="23"/>
    <s v="Bad Employee"/>
    <b v="0"/>
    <b v="0"/>
    <s v="Bad Employee"/>
    <x v="1"/>
    <x v="3"/>
    <n v="4"/>
    <n v="2021"/>
    <s v="Hybrid"/>
    <n v="161"/>
    <x v="10"/>
  </r>
  <r>
    <x v="168"/>
    <x v="0"/>
    <s v="Johnson"/>
    <x v="1"/>
    <x v="131"/>
    <s v="michaeljohnson@gmail.com"/>
    <x v="167"/>
    <s v="High"/>
    <x v="167"/>
    <n v="2017"/>
    <x v="3"/>
    <n v="6"/>
    <d v="2026-03-19T00:00:00"/>
    <n v="3269"/>
    <n v="3269"/>
    <n v="2336"/>
    <n v="28"/>
    <x v="1"/>
    <x v="0"/>
    <n v="1"/>
    <s v="No"/>
    <n v="1048.0899999999999"/>
    <x v="0"/>
    <x v="0"/>
    <x v="30"/>
    <s v="Bad Employee"/>
    <b v="0"/>
    <b v="0"/>
    <s v="Bad Employee"/>
    <x v="2"/>
    <x v="2"/>
    <n v="18"/>
    <n v="2019"/>
    <s v="Hybrid"/>
    <n v="46"/>
    <x v="23"/>
  </r>
  <r>
    <x v="169"/>
    <x v="6"/>
    <s v="Johnson"/>
    <x v="0"/>
    <x v="132"/>
    <s v="katiejohnson@gmail.com"/>
    <x v="168"/>
    <s v="High"/>
    <x v="168"/>
    <n v="2005"/>
    <x v="2"/>
    <n v="18"/>
    <d v="2026-03-19T00:00:00"/>
    <n v="7549"/>
    <n v="7549"/>
    <n v="5394"/>
    <n v="47"/>
    <x v="0"/>
    <x v="1"/>
    <n v="6"/>
    <s v="Yes"/>
    <n v="5334.29"/>
    <x v="3"/>
    <x v="1"/>
    <x v="20"/>
    <s v="Bad Employee"/>
    <b v="0"/>
    <b v="0"/>
    <s v="Bad Employee"/>
    <x v="0"/>
    <x v="1"/>
    <n v="16"/>
    <n v="2016"/>
    <s v="On-Site"/>
    <n v="18"/>
    <x v="13"/>
  </r>
  <r>
    <x v="170"/>
    <x v="4"/>
    <s v="Wilson"/>
    <x v="2"/>
    <x v="133"/>
    <s v="sarahwilson@gmail.com"/>
    <x v="169"/>
    <s v="Medium"/>
    <x v="169"/>
    <n v="2017"/>
    <x v="4"/>
    <n v="24"/>
    <d v="2026-03-19T00:00:00"/>
    <n v="3310"/>
    <n v="3310"/>
    <n v="2365"/>
    <n v="45"/>
    <x v="0"/>
    <x v="0"/>
    <n v="5"/>
    <s v="No"/>
    <n v="5844.89"/>
    <x v="2"/>
    <x v="4"/>
    <x v="30"/>
    <s v="Bad Employee"/>
    <b v="0"/>
    <b v="0"/>
    <s v="Bad Employee"/>
    <x v="1"/>
    <x v="5"/>
    <n v="2"/>
    <n v="2017"/>
    <s v="On-Site"/>
    <n v="120"/>
    <x v="24"/>
  </r>
  <r>
    <x v="171"/>
    <x v="2"/>
    <s v="Williams"/>
    <x v="0"/>
    <x v="7"/>
    <s v="chriswilliams@gmail.com"/>
    <x v="170"/>
    <s v="High"/>
    <x v="170"/>
    <n v="2006"/>
    <x v="0"/>
    <n v="12"/>
    <d v="2026-03-19T00:00:00"/>
    <n v="7128"/>
    <n v="7128"/>
    <n v="5093"/>
    <n v="33"/>
    <x v="0"/>
    <x v="1"/>
    <n v="4"/>
    <s v="Yes"/>
    <n v="7105.38"/>
    <x v="3"/>
    <x v="4"/>
    <x v="35"/>
    <s v="Bad Employee"/>
    <b v="0"/>
    <b v="1"/>
    <s v="Good employee"/>
    <x v="2"/>
    <x v="5"/>
    <n v="16"/>
    <n v="2013"/>
    <s v="On-Site"/>
    <n v="143"/>
    <x v="39"/>
  </r>
  <r>
    <x v="172"/>
    <x v="3"/>
    <s v="Smith"/>
    <x v="0"/>
    <x v="56"/>
    <s v="alexsmith@gmail.com"/>
    <x v="171"/>
    <s v="Medium"/>
    <x v="171"/>
    <n v="2016"/>
    <x v="6"/>
    <n v="25"/>
    <d v="2026-03-19T00:00:00"/>
    <n v="3493"/>
    <n v="3493"/>
    <n v="2496"/>
    <n v="41"/>
    <x v="0"/>
    <x v="0"/>
    <n v="5"/>
    <s v="Yes"/>
    <n v="5229.07"/>
    <x v="1"/>
    <x v="4"/>
    <x v="29"/>
    <s v="Bad Employee"/>
    <b v="0"/>
    <b v="0"/>
    <s v="Bad Employee"/>
    <x v="0"/>
    <x v="5"/>
    <n v="14"/>
    <n v="2017"/>
    <s v="On-Site"/>
    <n v="79"/>
    <x v="15"/>
  </r>
  <r>
    <x v="173"/>
    <x v="1"/>
    <s v="Brown"/>
    <x v="5"/>
    <x v="134"/>
    <s v="emilybrown@gmail.com"/>
    <x v="172"/>
    <s v="High"/>
    <x v="172"/>
    <n v="2013"/>
    <x v="8"/>
    <n v="16"/>
    <d v="2026-03-19T00:00:00"/>
    <n v="4751"/>
    <n v="4751"/>
    <n v="3394"/>
    <n v="35"/>
    <x v="0"/>
    <x v="0"/>
    <n v="8"/>
    <s v="No"/>
    <n v="5092.71"/>
    <x v="3"/>
    <x v="2"/>
    <x v="14"/>
    <s v="Bad Employee"/>
    <b v="0"/>
    <b v="1"/>
    <s v="Good employee"/>
    <x v="0"/>
    <x v="4"/>
    <n v="18"/>
    <n v="2010"/>
    <s v="On-Site"/>
    <n v="51"/>
    <x v="36"/>
  </r>
  <r>
    <x v="174"/>
    <x v="4"/>
    <s v="Smith"/>
    <x v="0"/>
    <x v="135"/>
    <s v="sarahsmith@gmail.com"/>
    <x v="173"/>
    <s v="High"/>
    <x v="173"/>
    <n v="2001"/>
    <x v="2"/>
    <n v="14"/>
    <d v="2026-03-19T00:00:00"/>
    <n v="9014"/>
    <n v="9014"/>
    <n v="6439"/>
    <n v="43"/>
    <x v="0"/>
    <x v="1"/>
    <n v="9"/>
    <s v="Yes"/>
    <n v="3995.42"/>
    <x v="1"/>
    <x v="1"/>
    <x v="22"/>
    <s v="Good Employee"/>
    <b v="1"/>
    <b v="1"/>
    <s v="Good employee"/>
    <x v="1"/>
    <x v="0"/>
    <n v="14"/>
    <n v="2022"/>
    <s v="On-Site"/>
    <n v="108"/>
    <x v="19"/>
  </r>
  <r>
    <x v="175"/>
    <x v="6"/>
    <s v="Wilson"/>
    <x v="4"/>
    <x v="26"/>
    <s v="katiewilson@gmail.com"/>
    <x v="174"/>
    <s v="Medium"/>
    <x v="174"/>
    <n v="2007"/>
    <x v="3"/>
    <n v="5"/>
    <d v="2026-03-19T00:00:00"/>
    <n v="6923"/>
    <n v="6923"/>
    <n v="4946"/>
    <n v="37"/>
    <x v="0"/>
    <x v="1"/>
    <n v="2"/>
    <s v="Yes"/>
    <n v="3078.88"/>
    <x v="0"/>
    <x v="4"/>
    <x v="25"/>
    <s v="Bad Employee"/>
    <b v="0"/>
    <b v="0"/>
    <s v="Bad Employee"/>
    <x v="2"/>
    <x v="5"/>
    <n v="17"/>
    <n v="2018"/>
    <s v="Hybrid"/>
    <n v="28"/>
    <x v="22"/>
  </r>
  <r>
    <x v="176"/>
    <x v="3"/>
    <s v="Smith"/>
    <x v="1"/>
    <x v="136"/>
    <s v="alexsmith@gmail.com"/>
    <x v="175"/>
    <s v="Medium"/>
    <x v="175"/>
    <n v="2014"/>
    <x v="7"/>
    <n v="15"/>
    <d v="2026-03-19T00:00:00"/>
    <n v="4326"/>
    <n v="4326"/>
    <n v="3091"/>
    <n v="50"/>
    <x v="0"/>
    <x v="0"/>
    <n v="6"/>
    <s v="No"/>
    <n v="9488.9"/>
    <x v="1"/>
    <x v="0"/>
    <x v="33"/>
    <s v="Bad Employee"/>
    <b v="0"/>
    <b v="0"/>
    <s v="Bad Employee"/>
    <x v="1"/>
    <x v="0"/>
    <n v="11"/>
    <n v="2016"/>
    <s v="Fully Remote"/>
    <n v="154"/>
    <x v="4"/>
  </r>
  <r>
    <x v="177"/>
    <x v="3"/>
    <s v="Wilson"/>
    <x v="5"/>
    <x v="50"/>
    <s v="alexwilson@gmail.com"/>
    <x v="176"/>
    <s v="High"/>
    <x v="176"/>
    <n v="2010"/>
    <x v="0"/>
    <n v="9"/>
    <d v="2026-03-19T00:00:00"/>
    <n v="5670"/>
    <n v="5670"/>
    <n v="4051"/>
    <n v="53"/>
    <x v="0"/>
    <x v="1"/>
    <n v="3"/>
    <s v="Yes"/>
    <n v="3517.17"/>
    <x v="2"/>
    <x v="4"/>
    <x v="38"/>
    <s v="Bad Employee"/>
    <b v="0"/>
    <b v="0"/>
    <s v="Bad Employee"/>
    <x v="0"/>
    <x v="5"/>
    <n v="11"/>
    <n v="2013"/>
    <s v="On-Site"/>
    <n v="181"/>
    <x v="28"/>
  </r>
  <r>
    <x v="178"/>
    <x v="7"/>
    <s v="Smith"/>
    <x v="1"/>
    <x v="137"/>
    <s v="johnsmith@gmail.com"/>
    <x v="177"/>
    <s v="Medium"/>
    <x v="177"/>
    <n v="2001"/>
    <x v="9"/>
    <n v="23"/>
    <d v="2026-03-19T00:00:00"/>
    <n v="9035"/>
    <n v="9035"/>
    <n v="6454"/>
    <n v="40"/>
    <x v="0"/>
    <x v="1"/>
    <n v="2"/>
    <s v="Yes"/>
    <n v="1102.5"/>
    <x v="3"/>
    <x v="1"/>
    <x v="12"/>
    <s v="Bad Employee"/>
    <b v="0"/>
    <b v="1"/>
    <s v="Good employee"/>
    <x v="0"/>
    <x v="4"/>
    <n v="2"/>
    <n v="2017"/>
    <s v="On-Site"/>
    <n v="187"/>
    <x v="10"/>
  </r>
  <r>
    <x v="179"/>
    <x v="3"/>
    <s v="Johnson"/>
    <x v="1"/>
    <x v="138"/>
    <s v="alexjohnson@gmail.com"/>
    <x v="178"/>
    <s v="High"/>
    <x v="178"/>
    <n v="2017"/>
    <x v="5"/>
    <n v="17"/>
    <d v="2026-03-19T00:00:00"/>
    <n v="3075"/>
    <n v="3075"/>
    <n v="2198"/>
    <n v="56"/>
    <x v="0"/>
    <x v="0"/>
    <n v="1"/>
    <s v="No"/>
    <n v="2089.21"/>
    <x v="1"/>
    <x v="0"/>
    <x v="12"/>
    <s v="Bad Employee"/>
    <b v="0"/>
    <b v="1"/>
    <s v="Good employee"/>
    <x v="1"/>
    <x v="1"/>
    <n v="10"/>
    <n v="2021"/>
    <s v="Hybrid"/>
    <n v="59"/>
    <x v="23"/>
  </r>
  <r>
    <x v="180"/>
    <x v="2"/>
    <s v="Davis"/>
    <x v="2"/>
    <x v="57"/>
    <s v="chrisdavis@gmail.com"/>
    <x v="179"/>
    <s v="High"/>
    <x v="179"/>
    <n v="2013"/>
    <x v="11"/>
    <n v="7"/>
    <d v="2026-03-19T00:00:00"/>
    <n v="4819"/>
    <n v="4819"/>
    <n v="3444"/>
    <n v="64"/>
    <x v="0"/>
    <x v="1"/>
    <n v="4"/>
    <s v="No"/>
    <n v="8644.1299999999992"/>
    <x v="0"/>
    <x v="0"/>
    <x v="13"/>
    <s v="Bad Employee"/>
    <b v="0"/>
    <b v="1"/>
    <s v="Good employee"/>
    <x v="1"/>
    <x v="5"/>
    <n v="9"/>
    <n v="2019"/>
    <s v="On-Site"/>
    <n v="74"/>
    <x v="39"/>
  </r>
  <r>
    <x v="181"/>
    <x v="0"/>
    <s v="Johnson"/>
    <x v="2"/>
    <x v="139"/>
    <s v="michaeljohnson@gmail.com"/>
    <x v="180"/>
    <s v="High"/>
    <x v="180"/>
    <n v="2018"/>
    <x v="11"/>
    <n v="1"/>
    <d v="2026-03-19T00:00:00"/>
    <n v="2999"/>
    <n v="2999"/>
    <n v="2144"/>
    <n v="53"/>
    <x v="0"/>
    <x v="1"/>
    <n v="8"/>
    <s v="Yes"/>
    <n v="6073.02"/>
    <x v="3"/>
    <x v="2"/>
    <x v="13"/>
    <s v="Good Employee"/>
    <b v="1"/>
    <b v="1"/>
    <s v="Good employee"/>
    <x v="2"/>
    <x v="3"/>
    <n v="14"/>
    <n v="2011"/>
    <s v="Hybrid"/>
    <n v="82"/>
    <x v="24"/>
  </r>
  <r>
    <x v="182"/>
    <x v="6"/>
    <s v="Johnson"/>
    <x v="5"/>
    <x v="79"/>
    <s v="katiejohnson@gmail.com"/>
    <x v="181"/>
    <s v="High"/>
    <x v="181"/>
    <n v="2016"/>
    <x v="3"/>
    <n v="25"/>
    <d v="2026-03-19T00:00:00"/>
    <n v="3615"/>
    <n v="3615"/>
    <n v="2584"/>
    <n v="41"/>
    <x v="0"/>
    <x v="0"/>
    <n v="3"/>
    <s v="Yes"/>
    <n v="7898.42"/>
    <x v="2"/>
    <x v="2"/>
    <x v="30"/>
    <s v="Bad Employee"/>
    <b v="0"/>
    <b v="0"/>
    <s v="Bad Employee"/>
    <x v="0"/>
    <x v="2"/>
    <n v="10"/>
    <n v="2023"/>
    <s v="On-Site"/>
    <n v="77"/>
    <x v="19"/>
  </r>
  <r>
    <x v="183"/>
    <x v="3"/>
    <s v="Miller"/>
    <x v="3"/>
    <x v="140"/>
    <s v="alexmiller@gmail.com"/>
    <x v="182"/>
    <s v="High"/>
    <x v="182"/>
    <n v="2008"/>
    <x v="6"/>
    <n v="2"/>
    <d v="2026-03-19T00:00:00"/>
    <n v="6438"/>
    <n v="6438"/>
    <n v="4599"/>
    <n v="61"/>
    <x v="0"/>
    <x v="0"/>
    <n v="5"/>
    <s v="Yes"/>
    <n v="8183.42"/>
    <x v="1"/>
    <x v="3"/>
    <x v="21"/>
    <s v="Bad Employee"/>
    <b v="0"/>
    <b v="0"/>
    <s v="Bad Employee"/>
    <x v="1"/>
    <x v="5"/>
    <n v="0"/>
    <n v="2017"/>
    <s v="Fully Remote"/>
    <n v="167"/>
    <x v="7"/>
  </r>
  <r>
    <x v="184"/>
    <x v="7"/>
    <s v="Miller"/>
    <x v="2"/>
    <x v="141"/>
    <s v="johnmiller@gmail.com"/>
    <x v="183"/>
    <s v="extremely low"/>
    <x v="183"/>
    <n v="2009"/>
    <x v="11"/>
    <n v="2"/>
    <d v="2026-03-19T00:00:00"/>
    <n v="6285"/>
    <n v="6285"/>
    <n v="4490"/>
    <n v="41"/>
    <x v="0"/>
    <x v="1"/>
    <n v="5"/>
    <s v="Yes"/>
    <n v="8320.75"/>
    <x v="2"/>
    <x v="1"/>
    <x v="22"/>
    <s v="Bad Employee"/>
    <b v="0"/>
    <b v="1"/>
    <s v="Good employee"/>
    <x v="0"/>
    <x v="2"/>
    <n v="19"/>
    <n v="2019"/>
    <s v="On-Site"/>
    <n v="48"/>
    <x v="11"/>
  </r>
  <r>
    <x v="185"/>
    <x v="2"/>
    <s v="Smith"/>
    <x v="2"/>
    <x v="142"/>
    <s v="chrissmith@gmail.com"/>
    <x v="184"/>
    <s v="low"/>
    <x v="184"/>
    <n v="2007"/>
    <x v="4"/>
    <n v="23"/>
    <d v="2026-03-19T00:00:00"/>
    <n v="6964"/>
    <n v="6964"/>
    <n v="4975"/>
    <n v="29"/>
    <x v="1"/>
    <x v="1"/>
    <n v="5"/>
    <s v="Yes"/>
    <n v="5730.83"/>
    <x v="0"/>
    <x v="0"/>
    <x v="11"/>
    <s v="Bad Employee"/>
    <b v="0"/>
    <b v="0"/>
    <s v="Bad Employee"/>
    <x v="1"/>
    <x v="2"/>
    <n v="3"/>
    <n v="2015"/>
    <s v="On-Site"/>
    <n v="168"/>
    <x v="14"/>
  </r>
  <r>
    <x v="186"/>
    <x v="5"/>
    <s v="Wilson"/>
    <x v="2"/>
    <x v="100"/>
    <s v="janewilson@gmail.com"/>
    <x v="185"/>
    <s v="High"/>
    <x v="185"/>
    <n v="2015"/>
    <x v="8"/>
    <n v="9"/>
    <d v="2026-03-19T00:00:00"/>
    <n v="4028"/>
    <n v="4028"/>
    <n v="2879"/>
    <n v="56"/>
    <x v="0"/>
    <x v="1"/>
    <n v="9"/>
    <s v="Yes"/>
    <n v="2182.65"/>
    <x v="3"/>
    <x v="1"/>
    <x v="13"/>
    <s v="Good Employee"/>
    <b v="1"/>
    <b v="1"/>
    <s v="Good employee"/>
    <x v="2"/>
    <x v="4"/>
    <n v="7"/>
    <n v="2016"/>
    <s v="Hybrid"/>
    <n v="93"/>
    <x v="18"/>
  </r>
  <r>
    <x v="187"/>
    <x v="0"/>
    <s v="Johnson"/>
    <x v="1"/>
    <x v="131"/>
    <s v="michaeljohnson@gmail.com"/>
    <x v="186"/>
    <s v="Medium"/>
    <x v="186"/>
    <n v="2013"/>
    <x v="9"/>
    <n v="13"/>
    <d v="2026-03-19T00:00:00"/>
    <n v="4662"/>
    <n v="4662"/>
    <n v="3331"/>
    <n v="63"/>
    <x v="0"/>
    <x v="0"/>
    <n v="8"/>
    <s v="Yes"/>
    <n v="1908.21"/>
    <x v="3"/>
    <x v="4"/>
    <x v="24"/>
    <s v="Good Employee"/>
    <b v="1"/>
    <b v="1"/>
    <s v="Good employee"/>
    <x v="0"/>
    <x v="1"/>
    <n v="19"/>
    <n v="2016"/>
    <s v="On-Site"/>
    <n v="19"/>
    <x v="34"/>
  </r>
  <r>
    <x v="188"/>
    <x v="0"/>
    <s v="Smith"/>
    <x v="5"/>
    <x v="108"/>
    <s v="michaelsmith@gmail.com"/>
    <x v="187"/>
    <s v="Medium"/>
    <x v="187"/>
    <n v="2005"/>
    <x v="3"/>
    <n v="28"/>
    <d v="2026-03-19T00:00:00"/>
    <n v="7630"/>
    <n v="7630"/>
    <n v="5451"/>
    <n v="34"/>
    <x v="0"/>
    <x v="0"/>
    <n v="8"/>
    <s v="No"/>
    <n v="5952.85"/>
    <x v="3"/>
    <x v="4"/>
    <x v="7"/>
    <s v="Good Employee"/>
    <b v="1"/>
    <b v="1"/>
    <s v="Good employee"/>
    <x v="2"/>
    <x v="2"/>
    <n v="12"/>
    <n v="2011"/>
    <s v="Hybrid"/>
    <n v="49"/>
    <x v="21"/>
  </r>
  <r>
    <x v="189"/>
    <x v="6"/>
    <s v="Miller"/>
    <x v="1"/>
    <x v="143"/>
    <s v="katiemiller@gmail.com"/>
    <x v="188"/>
    <s v="Medium"/>
    <x v="188"/>
    <n v="2008"/>
    <x v="6"/>
    <n v="11"/>
    <d v="2026-03-19T00:00:00"/>
    <n v="6429"/>
    <n v="6429"/>
    <n v="4594"/>
    <n v="62"/>
    <x v="0"/>
    <x v="1"/>
    <n v="1"/>
    <s v="Yes"/>
    <n v="3981.89"/>
    <x v="0"/>
    <x v="3"/>
    <x v="1"/>
    <s v="Bad Employee"/>
    <b v="0"/>
    <b v="1"/>
    <s v="Good employee"/>
    <x v="2"/>
    <x v="4"/>
    <n v="16"/>
    <n v="2023"/>
    <s v="Fully Remote"/>
    <n v="126"/>
    <x v="40"/>
  </r>
  <r>
    <x v="190"/>
    <x v="0"/>
    <s v="Davis"/>
    <x v="4"/>
    <x v="144"/>
    <s v="michaeldavis@gmail.com"/>
    <x v="189"/>
    <s v="Medium"/>
    <x v="189"/>
    <n v="2007"/>
    <x v="2"/>
    <n v="21"/>
    <d v="2026-03-19T00:00:00"/>
    <n v="6816"/>
    <n v="6816"/>
    <n v="4869"/>
    <n v="27"/>
    <x v="1"/>
    <x v="1"/>
    <n v="1"/>
    <s v="Yes"/>
    <n v="5801.46"/>
    <x v="1"/>
    <x v="0"/>
    <x v="29"/>
    <s v="Bad Employee"/>
    <b v="0"/>
    <b v="0"/>
    <s v="Bad Employee"/>
    <x v="0"/>
    <x v="1"/>
    <n v="14"/>
    <n v="2020"/>
    <s v="On-Site"/>
    <n v="66"/>
    <x v="31"/>
  </r>
  <r>
    <x v="191"/>
    <x v="3"/>
    <s v="Brown"/>
    <x v="1"/>
    <x v="145"/>
    <s v="alexbrown@gmail.com"/>
    <x v="190"/>
    <s v="Medium"/>
    <x v="190"/>
    <n v="2014"/>
    <x v="2"/>
    <n v="17"/>
    <d v="2026-03-19T00:00:00"/>
    <n v="4263"/>
    <n v="4263"/>
    <n v="3046"/>
    <n v="37"/>
    <x v="0"/>
    <x v="1"/>
    <n v="2"/>
    <s v="No"/>
    <n v="5235.54"/>
    <x v="1"/>
    <x v="0"/>
    <x v="5"/>
    <s v="Bad Employee"/>
    <b v="0"/>
    <b v="1"/>
    <s v="Good employee"/>
    <x v="1"/>
    <x v="5"/>
    <n v="0"/>
    <n v="2011"/>
    <s v="Hybrid"/>
    <n v="96"/>
    <x v="21"/>
  </r>
  <r>
    <x v="192"/>
    <x v="7"/>
    <s v="Smith"/>
    <x v="4"/>
    <x v="146"/>
    <s v="johnsmith@gmail.com"/>
    <x v="191"/>
    <s v="High"/>
    <x v="191"/>
    <n v="2008"/>
    <x v="10"/>
    <n v="4"/>
    <d v="2026-03-19T00:00:00"/>
    <n v="6314"/>
    <n v="6314"/>
    <n v="4511"/>
    <n v="26"/>
    <x v="1"/>
    <x v="0"/>
    <n v="8"/>
    <s v="Yes"/>
    <n v="6220.88"/>
    <x v="1"/>
    <x v="3"/>
    <x v="2"/>
    <s v="Bad Employee"/>
    <b v="0"/>
    <b v="1"/>
    <s v="Good employee"/>
    <x v="2"/>
    <x v="0"/>
    <n v="2"/>
    <n v="2013"/>
    <s v="Fully Remote"/>
    <n v="182"/>
    <x v="8"/>
  </r>
  <r>
    <x v="193"/>
    <x v="0"/>
    <s v="Davis"/>
    <x v="0"/>
    <x v="11"/>
    <s v="michaeldavis@gmail.com"/>
    <x v="192"/>
    <s v="low"/>
    <x v="192"/>
    <n v="2011"/>
    <x v="8"/>
    <n v="31"/>
    <d v="2026-03-19T00:00:00"/>
    <n v="5467"/>
    <n v="5467"/>
    <n v="3906"/>
    <n v="55"/>
    <x v="0"/>
    <x v="0"/>
    <n v="1"/>
    <s v="Yes"/>
    <n v="805.06"/>
    <x v="2"/>
    <x v="4"/>
    <x v="28"/>
    <s v="Bad Employee"/>
    <b v="0"/>
    <b v="1"/>
    <s v="Good employee"/>
    <x v="2"/>
    <x v="4"/>
    <n v="16"/>
    <n v="2015"/>
    <s v="Fully Remote"/>
    <n v="17"/>
    <x v="40"/>
  </r>
  <r>
    <x v="194"/>
    <x v="0"/>
    <s v="Brown"/>
    <x v="0"/>
    <x v="83"/>
    <s v="michaelbrown@gmail.com"/>
    <x v="193"/>
    <s v="Medium"/>
    <x v="193"/>
    <n v="2017"/>
    <x v="9"/>
    <n v="22"/>
    <d v="2026-03-19T00:00:00"/>
    <n v="3192"/>
    <n v="3192"/>
    <n v="2281"/>
    <n v="27"/>
    <x v="1"/>
    <x v="1"/>
    <n v="4"/>
    <s v="No"/>
    <n v="811.95"/>
    <x v="0"/>
    <x v="0"/>
    <x v="13"/>
    <s v="Bad Employee"/>
    <b v="0"/>
    <b v="1"/>
    <s v="Good employee"/>
    <x v="0"/>
    <x v="2"/>
    <n v="3"/>
    <n v="2013"/>
    <s v="Hybrid"/>
    <n v="109"/>
    <x v="15"/>
  </r>
  <r>
    <x v="195"/>
    <x v="5"/>
    <s v="Williams"/>
    <x v="4"/>
    <x v="147"/>
    <s v="janewilliams@gmail.com"/>
    <x v="194"/>
    <s v="low"/>
    <x v="194"/>
    <n v="2005"/>
    <x v="8"/>
    <n v="10"/>
    <d v="2026-03-19T00:00:00"/>
    <n v="7679"/>
    <n v="7679"/>
    <n v="5486"/>
    <n v="54"/>
    <x v="0"/>
    <x v="1"/>
    <n v="9"/>
    <s v="Yes"/>
    <n v="7355.15"/>
    <x v="3"/>
    <x v="1"/>
    <x v="1"/>
    <s v="Good Employee"/>
    <b v="1"/>
    <b v="1"/>
    <s v="Good employee"/>
    <x v="0"/>
    <x v="2"/>
    <n v="7"/>
    <n v="2015"/>
    <s v="Hybrid"/>
    <n v="163"/>
    <x v="22"/>
  </r>
  <r>
    <x v="196"/>
    <x v="5"/>
    <s v="Smith"/>
    <x v="4"/>
    <x v="148"/>
    <s v="janesmith@gmail.com"/>
    <x v="195"/>
    <s v="High"/>
    <x v="195"/>
    <n v="2006"/>
    <x v="1"/>
    <n v="5"/>
    <d v="2026-03-19T00:00:00"/>
    <n v="7074"/>
    <n v="7074"/>
    <n v="5054"/>
    <n v="36"/>
    <x v="0"/>
    <x v="1"/>
    <n v="2"/>
    <s v="No"/>
    <n v="2334.71"/>
    <x v="0"/>
    <x v="0"/>
    <x v="22"/>
    <s v="Bad Employee"/>
    <b v="0"/>
    <b v="1"/>
    <s v="Good employee"/>
    <x v="0"/>
    <x v="5"/>
    <n v="14"/>
    <n v="2014"/>
    <s v="On-Site"/>
    <n v="9"/>
    <x v="17"/>
  </r>
  <r>
    <x v="197"/>
    <x v="1"/>
    <s v="Smith"/>
    <x v="1"/>
    <x v="149"/>
    <s v="emilysmith@gmail.com"/>
    <x v="196"/>
    <s v="Medium"/>
    <x v="196"/>
    <n v="2017"/>
    <x v="1"/>
    <n v="13"/>
    <d v="2026-03-19T00:00:00"/>
    <n v="3048"/>
    <n v="3048"/>
    <n v="2179"/>
    <n v="36"/>
    <x v="0"/>
    <x v="1"/>
    <n v="3"/>
    <s v="No"/>
    <n v="6695.89"/>
    <x v="0"/>
    <x v="4"/>
    <x v="6"/>
    <s v="Bad Employee"/>
    <b v="0"/>
    <b v="0"/>
    <s v="Bad Employee"/>
    <x v="2"/>
    <x v="4"/>
    <n v="7"/>
    <n v="2015"/>
    <s v="Fully Remote"/>
    <n v="87"/>
    <x v="34"/>
  </r>
  <r>
    <x v="198"/>
    <x v="2"/>
    <s v="Williams"/>
    <x v="4"/>
    <x v="150"/>
    <s v="chriswilliams@gmail.com"/>
    <x v="197"/>
    <s v="High"/>
    <x v="197"/>
    <n v="2007"/>
    <x v="0"/>
    <n v="30"/>
    <d v="2026-03-19T00:00:00"/>
    <n v="6745"/>
    <n v="6745"/>
    <n v="4819"/>
    <n v="35"/>
    <x v="0"/>
    <x v="0"/>
    <n v="6"/>
    <s v="No"/>
    <n v="5692.47"/>
    <x v="0"/>
    <x v="0"/>
    <x v="37"/>
    <s v="Bad Employee"/>
    <b v="0"/>
    <b v="1"/>
    <s v="Good employee"/>
    <x v="1"/>
    <x v="5"/>
    <n v="13"/>
    <n v="2018"/>
    <s v="Fully Remote"/>
    <n v="140"/>
    <x v="20"/>
  </r>
  <r>
    <x v="199"/>
    <x v="3"/>
    <s v="Williams"/>
    <x v="5"/>
    <x v="151"/>
    <s v="alexwilliams@gmail.com"/>
    <x v="198"/>
    <s v="Medium"/>
    <x v="198"/>
    <n v="2010"/>
    <x v="6"/>
    <n v="9"/>
    <d v="2026-03-19T00:00:00"/>
    <n v="5701"/>
    <n v="5701"/>
    <n v="4074"/>
    <n v="60"/>
    <x v="0"/>
    <x v="1"/>
    <n v="3"/>
    <s v="No"/>
    <n v="9827.0499999999993"/>
    <x v="3"/>
    <x v="0"/>
    <x v="3"/>
    <s v="Bad Employee"/>
    <b v="0"/>
    <b v="1"/>
    <s v="Good employee"/>
    <x v="1"/>
    <x v="4"/>
    <n v="5"/>
    <n v="2015"/>
    <s v="Hybrid"/>
    <n v="145"/>
    <x v="29"/>
  </r>
  <r>
    <x v="200"/>
    <x v="0"/>
    <s v="Smith"/>
    <x v="0"/>
    <x v="152"/>
    <s v="michaelsmith@gmail.com"/>
    <x v="199"/>
    <s v="Medium"/>
    <x v="199"/>
    <n v="2000"/>
    <x v="4"/>
    <n v="17"/>
    <d v="2026-03-19T00:00:00"/>
    <n v="9527"/>
    <n v="9527"/>
    <n v="6806"/>
    <n v="26"/>
    <x v="1"/>
    <x v="1"/>
    <n v="4"/>
    <s v="No"/>
    <n v="8436.36"/>
    <x v="3"/>
    <x v="2"/>
    <x v="19"/>
    <s v="Bad Employee"/>
    <b v="0"/>
    <b v="1"/>
    <s v="Good employee"/>
    <x v="0"/>
    <x v="0"/>
    <n v="14"/>
    <n v="2015"/>
    <s v="Fully Remote"/>
    <n v="173"/>
    <x v="5"/>
  </r>
  <r>
    <x v="201"/>
    <x v="4"/>
    <s v="Williams"/>
    <x v="0"/>
    <x v="71"/>
    <s v="sarahwilliams@gmail.com"/>
    <x v="200"/>
    <s v="High"/>
    <x v="200"/>
    <n v="2006"/>
    <x v="9"/>
    <n v="22"/>
    <d v="2026-03-19T00:00:00"/>
    <n v="7210"/>
    <n v="7210"/>
    <n v="5151"/>
    <n v="47"/>
    <x v="0"/>
    <x v="0"/>
    <n v="9"/>
    <s v="No"/>
    <n v="4424.78"/>
    <x v="2"/>
    <x v="0"/>
    <x v="1"/>
    <s v="Good Employee"/>
    <b v="1"/>
    <b v="1"/>
    <s v="Good employee"/>
    <x v="2"/>
    <x v="3"/>
    <n v="19"/>
    <n v="2020"/>
    <s v="Hybrid"/>
    <n v="21"/>
    <x v="16"/>
  </r>
  <r>
    <x v="202"/>
    <x v="0"/>
    <s v="Johnson"/>
    <x v="3"/>
    <x v="48"/>
    <s v="michaeljohnson@gmail.com"/>
    <x v="201"/>
    <s v="High"/>
    <x v="201"/>
    <n v="2006"/>
    <x v="8"/>
    <n v="6"/>
    <d v="2026-03-19T00:00:00"/>
    <n v="7318"/>
    <n v="7318"/>
    <n v="5229"/>
    <n v="38"/>
    <x v="0"/>
    <x v="1"/>
    <n v="9"/>
    <s v="No"/>
    <n v="6355.92"/>
    <x v="0"/>
    <x v="3"/>
    <x v="30"/>
    <s v="Bad Employee"/>
    <b v="0"/>
    <b v="1"/>
    <s v="Good employee"/>
    <x v="2"/>
    <x v="5"/>
    <n v="8"/>
    <n v="2020"/>
    <s v="On-Site"/>
    <n v="36"/>
    <x v="2"/>
  </r>
  <r>
    <x v="203"/>
    <x v="7"/>
    <s v="Brown"/>
    <x v="4"/>
    <x v="153"/>
    <s v="johnbrown@gmail.com"/>
    <x v="202"/>
    <s v="low"/>
    <x v="202"/>
    <n v="2015"/>
    <x v="2"/>
    <n v="7"/>
    <d v="2026-03-19T00:00:00"/>
    <n v="3908"/>
    <n v="3908"/>
    <n v="2793"/>
    <n v="64"/>
    <x v="0"/>
    <x v="1"/>
    <n v="5"/>
    <s v="Yes"/>
    <n v="1614.25"/>
    <x v="1"/>
    <x v="3"/>
    <x v="38"/>
    <s v="Bad Employee"/>
    <b v="0"/>
    <b v="0"/>
    <s v="Bad Employee"/>
    <x v="2"/>
    <x v="2"/>
    <n v="4"/>
    <n v="2017"/>
    <s v="Hybrid"/>
    <n v="9"/>
    <x v="12"/>
  </r>
  <r>
    <x v="204"/>
    <x v="1"/>
    <s v="Brown"/>
    <x v="2"/>
    <x v="154"/>
    <s v="emilybrown@gmail.com"/>
    <x v="203"/>
    <s v="High"/>
    <x v="203"/>
    <n v="2019"/>
    <x v="10"/>
    <n v="13"/>
    <d v="2026-03-19T00:00:00"/>
    <n v="2288"/>
    <n v="2288"/>
    <n v="1635"/>
    <n v="37"/>
    <x v="0"/>
    <x v="1"/>
    <n v="7"/>
    <s v="No"/>
    <n v="4170.67"/>
    <x v="2"/>
    <x v="1"/>
    <x v="19"/>
    <s v="Good Employee"/>
    <b v="1"/>
    <b v="1"/>
    <s v="Good employee"/>
    <x v="0"/>
    <x v="5"/>
    <n v="12"/>
    <n v="2014"/>
    <s v="On-Site"/>
    <n v="130"/>
    <x v="25"/>
  </r>
  <r>
    <x v="205"/>
    <x v="2"/>
    <s v="Brown"/>
    <x v="2"/>
    <x v="155"/>
    <s v="chrisbrown@gmail.com"/>
    <x v="204"/>
    <s v="High"/>
    <x v="204"/>
    <n v="2012"/>
    <x v="5"/>
    <n v="16"/>
    <d v="2026-03-19T00:00:00"/>
    <n v="4902"/>
    <n v="4902"/>
    <n v="3503"/>
    <n v="56"/>
    <x v="0"/>
    <x v="1"/>
    <n v="9"/>
    <s v="No"/>
    <n v="7471.93"/>
    <x v="3"/>
    <x v="0"/>
    <x v="37"/>
    <s v="Good Employee"/>
    <b v="1"/>
    <b v="1"/>
    <s v="Good employee"/>
    <x v="2"/>
    <x v="4"/>
    <n v="6"/>
    <n v="2014"/>
    <s v="Hybrid"/>
    <n v="141"/>
    <x v="1"/>
  </r>
  <r>
    <x v="206"/>
    <x v="4"/>
    <s v="Johnson"/>
    <x v="4"/>
    <x v="156"/>
    <s v="sarahjohnson@gmail.com"/>
    <x v="205"/>
    <s v="extremely low"/>
    <x v="205"/>
    <n v="2017"/>
    <x v="0"/>
    <n v="6"/>
    <d v="2026-03-19T00:00:00"/>
    <n v="3116"/>
    <n v="3116"/>
    <n v="2227"/>
    <n v="59"/>
    <x v="0"/>
    <x v="1"/>
    <n v="8"/>
    <s v="Yes"/>
    <n v="6415.38"/>
    <x v="3"/>
    <x v="1"/>
    <x v="11"/>
    <s v="Bad Employee"/>
    <b v="0"/>
    <b v="1"/>
    <s v="Good employee"/>
    <x v="2"/>
    <x v="5"/>
    <n v="16"/>
    <n v="2019"/>
    <s v="On-Site"/>
    <n v="111"/>
    <x v="5"/>
  </r>
  <r>
    <x v="207"/>
    <x v="1"/>
    <s v="Wilson"/>
    <x v="5"/>
    <x v="88"/>
    <s v="emilywilson@gmail.com"/>
    <x v="206"/>
    <s v="Medium"/>
    <x v="206"/>
    <n v="2002"/>
    <x v="11"/>
    <n v="23"/>
    <d v="2026-03-19T00:00:00"/>
    <n v="8821"/>
    <n v="8821"/>
    <n v="6302"/>
    <n v="44"/>
    <x v="0"/>
    <x v="1"/>
    <n v="7"/>
    <s v="Yes"/>
    <n v="5102.4799999999996"/>
    <x v="2"/>
    <x v="4"/>
    <x v="12"/>
    <s v="Good Employee"/>
    <b v="1"/>
    <b v="1"/>
    <s v="Good employee"/>
    <x v="1"/>
    <x v="0"/>
    <n v="7"/>
    <n v="2022"/>
    <s v="Fully Remote"/>
    <n v="166"/>
    <x v="34"/>
  </r>
  <r>
    <x v="208"/>
    <x v="6"/>
    <s v="Williams"/>
    <x v="2"/>
    <x v="157"/>
    <s v="katiewilliams@gmail.com"/>
    <x v="207"/>
    <s v="Medium"/>
    <x v="207"/>
    <n v="2014"/>
    <x v="4"/>
    <n v="11"/>
    <d v="2026-03-19T00:00:00"/>
    <n v="4419"/>
    <n v="4419"/>
    <n v="3158"/>
    <n v="34"/>
    <x v="0"/>
    <x v="0"/>
    <n v="8"/>
    <s v="No"/>
    <n v="2177.0300000000002"/>
    <x v="1"/>
    <x v="4"/>
    <x v="5"/>
    <s v="Good Employee"/>
    <b v="1"/>
    <b v="1"/>
    <s v="Good employee"/>
    <x v="0"/>
    <x v="4"/>
    <n v="4"/>
    <n v="2020"/>
    <s v="Hybrid"/>
    <n v="5"/>
    <x v="34"/>
  </r>
  <r>
    <x v="209"/>
    <x v="2"/>
    <s v="Davis"/>
    <x v="3"/>
    <x v="158"/>
    <s v="chrisdavis@gmail.com"/>
    <x v="208"/>
    <s v="Medium"/>
    <x v="208"/>
    <n v="2019"/>
    <x v="3"/>
    <n v="29"/>
    <d v="2026-03-19T00:00:00"/>
    <n v="2516"/>
    <n v="2516"/>
    <n v="1799"/>
    <n v="54"/>
    <x v="0"/>
    <x v="1"/>
    <n v="5"/>
    <s v="No"/>
    <n v="8129.89"/>
    <x v="0"/>
    <x v="2"/>
    <x v="38"/>
    <s v="Bad Employee"/>
    <b v="0"/>
    <b v="0"/>
    <s v="Bad Employee"/>
    <x v="0"/>
    <x v="1"/>
    <n v="6"/>
    <n v="2010"/>
    <s v="Hybrid"/>
    <n v="172"/>
    <x v="21"/>
  </r>
  <r>
    <x v="210"/>
    <x v="0"/>
    <s v="Williams"/>
    <x v="4"/>
    <x v="45"/>
    <s v="michaelwilliams@gmail.com"/>
    <x v="209"/>
    <s v="High"/>
    <x v="209"/>
    <n v="2007"/>
    <x v="0"/>
    <n v="3"/>
    <d v="2026-03-19T00:00:00"/>
    <n v="6772"/>
    <n v="6772"/>
    <n v="4839"/>
    <n v="50"/>
    <x v="0"/>
    <x v="0"/>
    <n v="5"/>
    <s v="No"/>
    <n v="3095.08"/>
    <x v="0"/>
    <x v="2"/>
    <x v="22"/>
    <s v="Bad Employee"/>
    <b v="0"/>
    <b v="1"/>
    <s v="Good employee"/>
    <x v="0"/>
    <x v="2"/>
    <n v="7"/>
    <n v="2015"/>
    <s v="Hybrid"/>
    <n v="186"/>
    <x v="40"/>
  </r>
  <r>
    <x v="211"/>
    <x v="0"/>
    <s v="Smith"/>
    <x v="5"/>
    <x v="108"/>
    <s v="michaelsmith@gmail.com"/>
    <x v="210"/>
    <s v="extremely low"/>
    <x v="210"/>
    <n v="2012"/>
    <x v="0"/>
    <n v="23"/>
    <d v="2026-03-19T00:00:00"/>
    <n v="4925"/>
    <n v="4925"/>
    <n v="3519"/>
    <n v="55"/>
    <x v="0"/>
    <x v="0"/>
    <n v="5"/>
    <s v="No"/>
    <n v="8294.5499999999993"/>
    <x v="1"/>
    <x v="0"/>
    <x v="30"/>
    <s v="Bad Employee"/>
    <b v="0"/>
    <b v="0"/>
    <s v="Bad Employee"/>
    <x v="2"/>
    <x v="2"/>
    <n v="6"/>
    <n v="2010"/>
    <s v="On-Site"/>
    <n v="130"/>
    <x v="9"/>
  </r>
  <r>
    <x v="212"/>
    <x v="2"/>
    <s v="Miller"/>
    <x v="5"/>
    <x v="159"/>
    <s v="chrismiller@gmail.com"/>
    <x v="211"/>
    <s v="Medium"/>
    <x v="211"/>
    <n v="2009"/>
    <x v="10"/>
    <n v="31"/>
    <d v="2026-03-19T00:00:00"/>
    <n v="5922"/>
    <n v="5922"/>
    <n v="4231"/>
    <n v="55"/>
    <x v="0"/>
    <x v="0"/>
    <n v="1"/>
    <s v="Yes"/>
    <n v="6310.29"/>
    <x v="0"/>
    <x v="0"/>
    <x v="17"/>
    <s v="Bad Employee"/>
    <b v="0"/>
    <b v="0"/>
    <s v="Bad Employee"/>
    <x v="2"/>
    <x v="4"/>
    <n v="11"/>
    <n v="2020"/>
    <s v="Hybrid"/>
    <n v="36"/>
    <x v="16"/>
  </r>
  <r>
    <x v="213"/>
    <x v="0"/>
    <s v="Brown"/>
    <x v="1"/>
    <x v="69"/>
    <s v="michaelbrown@gmail.com"/>
    <x v="212"/>
    <s v="Medium"/>
    <x v="212"/>
    <n v="2001"/>
    <x v="4"/>
    <n v="6"/>
    <d v="2026-03-19T00:00:00"/>
    <n v="9172"/>
    <n v="9172"/>
    <n v="6553"/>
    <n v="48"/>
    <x v="0"/>
    <x v="0"/>
    <n v="6"/>
    <s v="Yes"/>
    <n v="4040.95"/>
    <x v="3"/>
    <x v="1"/>
    <x v="24"/>
    <s v="Bad Employee"/>
    <b v="0"/>
    <b v="1"/>
    <s v="Good employee"/>
    <x v="1"/>
    <x v="1"/>
    <n v="5"/>
    <n v="2017"/>
    <s v="Hybrid"/>
    <n v="130"/>
    <x v="31"/>
  </r>
  <r>
    <x v="214"/>
    <x v="3"/>
    <s v="Williams"/>
    <x v="5"/>
    <x v="151"/>
    <s v="alexwilliams@gmail.com"/>
    <x v="213"/>
    <s v="High"/>
    <x v="213"/>
    <n v="2014"/>
    <x v="3"/>
    <n v="23"/>
    <d v="2026-03-19T00:00:00"/>
    <n v="4348"/>
    <n v="4348"/>
    <n v="3107"/>
    <n v="36"/>
    <x v="0"/>
    <x v="1"/>
    <n v="5"/>
    <s v="No"/>
    <n v="885.75"/>
    <x v="2"/>
    <x v="1"/>
    <x v="36"/>
    <s v="Bad Employee"/>
    <b v="0"/>
    <b v="1"/>
    <s v="Good employee"/>
    <x v="0"/>
    <x v="0"/>
    <n v="3"/>
    <n v="2019"/>
    <s v="Fully Remote"/>
    <n v="103"/>
    <x v="19"/>
  </r>
  <r>
    <x v="215"/>
    <x v="2"/>
    <s v="Davis"/>
    <x v="2"/>
    <x v="57"/>
    <s v="chrisdavis@gmail.com"/>
    <x v="214"/>
    <s v="Medium"/>
    <x v="214"/>
    <n v="2005"/>
    <x v="0"/>
    <n v="17"/>
    <d v="2026-03-19T00:00:00"/>
    <n v="7488"/>
    <n v="7488"/>
    <n v="5349"/>
    <n v="30"/>
    <x v="1"/>
    <x v="1"/>
    <n v="8"/>
    <s v="Yes"/>
    <n v="2707.98"/>
    <x v="1"/>
    <x v="0"/>
    <x v="16"/>
    <s v="Good Employee"/>
    <b v="1"/>
    <b v="1"/>
    <s v="Good employee"/>
    <x v="2"/>
    <x v="5"/>
    <n v="2"/>
    <n v="2018"/>
    <s v="Hybrid"/>
    <n v="117"/>
    <x v="23"/>
  </r>
  <r>
    <x v="216"/>
    <x v="1"/>
    <s v="Smith"/>
    <x v="2"/>
    <x v="160"/>
    <s v="emilysmith@gmail.com"/>
    <x v="215"/>
    <s v="High"/>
    <x v="215"/>
    <n v="2018"/>
    <x v="7"/>
    <n v="30"/>
    <d v="2026-03-19T00:00:00"/>
    <n v="2850"/>
    <n v="2850"/>
    <n v="2037"/>
    <n v="47"/>
    <x v="0"/>
    <x v="1"/>
    <n v="8"/>
    <s v="Yes"/>
    <n v="8946.17"/>
    <x v="2"/>
    <x v="0"/>
    <x v="3"/>
    <s v="Good Employee"/>
    <b v="1"/>
    <b v="1"/>
    <s v="Good employee"/>
    <x v="1"/>
    <x v="3"/>
    <n v="4"/>
    <n v="2015"/>
    <s v="Hybrid"/>
    <n v="182"/>
    <x v="31"/>
  </r>
  <r>
    <x v="217"/>
    <x v="2"/>
    <s v="Johnson"/>
    <x v="4"/>
    <x v="161"/>
    <s v="chrisjohnson@gmail.com"/>
    <x v="216"/>
    <s v="low"/>
    <x v="216"/>
    <n v="2006"/>
    <x v="4"/>
    <n v="5"/>
    <d v="2026-03-19T00:00:00"/>
    <n v="7347"/>
    <n v="7347"/>
    <n v="5249"/>
    <n v="24"/>
    <x v="1"/>
    <x v="1"/>
    <n v="2"/>
    <s v="Yes"/>
    <n v="8270.76"/>
    <x v="0"/>
    <x v="2"/>
    <x v="34"/>
    <s v="Bad Employee"/>
    <b v="0"/>
    <b v="1"/>
    <s v="Good employee"/>
    <x v="2"/>
    <x v="2"/>
    <n v="18"/>
    <n v="2023"/>
    <s v="Hybrid"/>
    <n v="191"/>
    <x v="30"/>
  </r>
  <r>
    <x v="218"/>
    <x v="4"/>
    <s v="Wilson"/>
    <x v="4"/>
    <x v="99"/>
    <s v="sarahwilson@gmail.com"/>
    <x v="217"/>
    <s v="Medium"/>
    <x v="217"/>
    <n v="2016"/>
    <x v="1"/>
    <n v="7"/>
    <d v="2026-03-19T00:00:00"/>
    <n v="3419"/>
    <n v="3419"/>
    <n v="2444"/>
    <n v="57"/>
    <x v="0"/>
    <x v="0"/>
    <n v="6"/>
    <s v="Yes"/>
    <n v="5961.11"/>
    <x v="0"/>
    <x v="2"/>
    <x v="0"/>
    <s v="Bad Employee"/>
    <b v="0"/>
    <b v="0"/>
    <s v="Bad Employee"/>
    <x v="2"/>
    <x v="0"/>
    <n v="7"/>
    <n v="2018"/>
    <s v="Hybrid"/>
    <n v="194"/>
    <x v="12"/>
  </r>
  <r>
    <x v="219"/>
    <x v="0"/>
    <s v="Johnson"/>
    <x v="5"/>
    <x v="162"/>
    <s v="michaeljohnson@gmail.com"/>
    <x v="218"/>
    <s v="extremely low"/>
    <x v="218"/>
    <n v="2009"/>
    <x v="7"/>
    <n v="3"/>
    <d v="2026-03-19T00:00:00"/>
    <n v="6164"/>
    <n v="6164"/>
    <n v="4404"/>
    <n v="26"/>
    <x v="1"/>
    <x v="0"/>
    <n v="6"/>
    <s v="No"/>
    <n v="4930.0600000000004"/>
    <x v="3"/>
    <x v="2"/>
    <x v="22"/>
    <s v="Bad Employee"/>
    <b v="0"/>
    <b v="1"/>
    <s v="Good employee"/>
    <x v="0"/>
    <x v="0"/>
    <n v="4"/>
    <n v="2011"/>
    <s v="Fully Remote"/>
    <n v="15"/>
    <x v="32"/>
  </r>
  <r>
    <x v="220"/>
    <x v="3"/>
    <s v="Davis"/>
    <x v="3"/>
    <x v="163"/>
    <s v="alexdavis@gmail.com"/>
    <x v="219"/>
    <s v="Medium"/>
    <x v="219"/>
    <n v="2008"/>
    <x v="8"/>
    <n v="9"/>
    <d v="2026-03-19T00:00:00"/>
    <n v="6584"/>
    <n v="6584"/>
    <n v="4704"/>
    <n v="41"/>
    <x v="0"/>
    <x v="0"/>
    <n v="3"/>
    <s v="Yes"/>
    <n v="6647.86"/>
    <x v="3"/>
    <x v="0"/>
    <x v="15"/>
    <s v="Bad Employee"/>
    <b v="0"/>
    <b v="0"/>
    <s v="Bad Employee"/>
    <x v="0"/>
    <x v="0"/>
    <n v="12"/>
    <n v="2018"/>
    <s v="Hybrid"/>
    <n v="27"/>
    <x v="22"/>
  </r>
  <r>
    <x v="221"/>
    <x v="3"/>
    <s v="Smith"/>
    <x v="0"/>
    <x v="56"/>
    <s v="alexsmith@gmail.com"/>
    <x v="220"/>
    <s v="extremely low"/>
    <x v="220"/>
    <n v="2012"/>
    <x v="0"/>
    <n v="17"/>
    <d v="2026-03-19T00:00:00"/>
    <n v="4931"/>
    <n v="4931"/>
    <n v="3524"/>
    <n v="41"/>
    <x v="0"/>
    <x v="1"/>
    <n v="1"/>
    <s v="Yes"/>
    <n v="4929.3599999999997"/>
    <x v="0"/>
    <x v="1"/>
    <x v="13"/>
    <s v="Bad Employee"/>
    <b v="0"/>
    <b v="1"/>
    <s v="Good employee"/>
    <x v="2"/>
    <x v="5"/>
    <n v="9"/>
    <n v="2013"/>
    <s v="Hybrid"/>
    <n v="123"/>
    <x v="0"/>
  </r>
  <r>
    <x v="222"/>
    <x v="6"/>
    <s v="Brown"/>
    <x v="1"/>
    <x v="63"/>
    <s v="katiebrown@gmail.com"/>
    <x v="221"/>
    <s v="High"/>
    <x v="221"/>
    <n v="2003"/>
    <x v="4"/>
    <n v="23"/>
    <d v="2026-03-19T00:00:00"/>
    <n v="8425"/>
    <n v="8425"/>
    <n v="6019"/>
    <n v="26"/>
    <x v="1"/>
    <x v="0"/>
    <n v="7"/>
    <s v="No"/>
    <n v="6620.9"/>
    <x v="0"/>
    <x v="3"/>
    <x v="22"/>
    <s v="Good Employee"/>
    <b v="1"/>
    <b v="1"/>
    <s v="Good employee"/>
    <x v="2"/>
    <x v="0"/>
    <n v="5"/>
    <n v="2012"/>
    <s v="Fully Remote"/>
    <n v="30"/>
    <x v="39"/>
  </r>
  <r>
    <x v="223"/>
    <x v="1"/>
    <s v="Williams"/>
    <x v="0"/>
    <x v="16"/>
    <s v="emilywilliams@gmail.com"/>
    <x v="222"/>
    <s v="Medium"/>
    <x v="88"/>
    <n v="2000"/>
    <x v="8"/>
    <n v="3"/>
    <d v="2026-03-19T00:00:00"/>
    <n v="9512"/>
    <n v="9512"/>
    <n v="6795"/>
    <n v="31"/>
    <x v="0"/>
    <x v="1"/>
    <n v="5"/>
    <s v="Yes"/>
    <n v="3420.34"/>
    <x v="3"/>
    <x v="3"/>
    <x v="23"/>
    <s v="Bad Employee"/>
    <b v="0"/>
    <b v="0"/>
    <s v="Bad Employee"/>
    <x v="2"/>
    <x v="0"/>
    <n v="0"/>
    <n v="2010"/>
    <s v="On-Site"/>
    <n v="67"/>
    <x v="8"/>
  </r>
  <r>
    <x v="224"/>
    <x v="5"/>
    <s v="Smith"/>
    <x v="5"/>
    <x v="80"/>
    <s v="janesmith@gmail.com"/>
    <x v="223"/>
    <s v="extremely low"/>
    <x v="222"/>
    <n v="2013"/>
    <x v="2"/>
    <n v="10"/>
    <d v="2026-03-19T00:00:00"/>
    <n v="4635"/>
    <n v="4635"/>
    <n v="3312"/>
    <n v="37"/>
    <x v="0"/>
    <x v="0"/>
    <n v="5"/>
    <s v="No"/>
    <n v="8465.7199999999993"/>
    <x v="3"/>
    <x v="1"/>
    <x v="9"/>
    <s v="Bad Employee"/>
    <b v="0"/>
    <b v="0"/>
    <s v="Bad Employee"/>
    <x v="2"/>
    <x v="4"/>
    <n v="10"/>
    <n v="2010"/>
    <s v="On-Site"/>
    <n v="178"/>
    <x v="40"/>
  </r>
  <r>
    <x v="225"/>
    <x v="5"/>
    <s v="Wilson"/>
    <x v="5"/>
    <x v="164"/>
    <s v="janewilson@gmail.com"/>
    <x v="224"/>
    <s v="low"/>
    <x v="223"/>
    <n v="2008"/>
    <x v="6"/>
    <n v="19"/>
    <d v="2026-03-19T00:00:00"/>
    <n v="6421"/>
    <n v="6421"/>
    <n v="4588"/>
    <n v="46"/>
    <x v="0"/>
    <x v="1"/>
    <n v="8"/>
    <s v="No"/>
    <n v="7168.22"/>
    <x v="1"/>
    <x v="1"/>
    <x v="29"/>
    <s v="Bad Employee"/>
    <b v="0"/>
    <b v="1"/>
    <s v="Good employee"/>
    <x v="2"/>
    <x v="4"/>
    <n v="19"/>
    <n v="2017"/>
    <s v="Fully Remote"/>
    <n v="73"/>
    <x v="30"/>
  </r>
  <r>
    <x v="226"/>
    <x v="2"/>
    <s v="Johnson"/>
    <x v="0"/>
    <x v="165"/>
    <s v="chrisjohnson@gmail.com"/>
    <x v="225"/>
    <s v="High"/>
    <x v="224"/>
    <n v="2002"/>
    <x v="5"/>
    <n v="5"/>
    <d v="2026-03-19T00:00:00"/>
    <n v="8566"/>
    <n v="8566"/>
    <n v="6119"/>
    <n v="46"/>
    <x v="0"/>
    <x v="0"/>
    <n v="5"/>
    <s v="Yes"/>
    <n v="3634.77"/>
    <x v="3"/>
    <x v="1"/>
    <x v="15"/>
    <s v="Bad Employee"/>
    <b v="0"/>
    <b v="0"/>
    <s v="Bad Employee"/>
    <x v="0"/>
    <x v="0"/>
    <n v="8"/>
    <n v="2011"/>
    <s v="Fully Remote"/>
    <n v="94"/>
    <x v="25"/>
  </r>
  <r>
    <x v="227"/>
    <x v="6"/>
    <s v="Wilson"/>
    <x v="1"/>
    <x v="166"/>
    <s v="katiewilson@gmail.com"/>
    <x v="226"/>
    <s v="High"/>
    <x v="225"/>
    <n v="2016"/>
    <x v="3"/>
    <n v="4"/>
    <d v="2026-03-19T00:00:00"/>
    <n v="3636"/>
    <n v="3636"/>
    <n v="2599"/>
    <n v="51"/>
    <x v="0"/>
    <x v="0"/>
    <n v="5"/>
    <s v="Yes"/>
    <n v="8391.33"/>
    <x v="1"/>
    <x v="2"/>
    <x v="24"/>
    <s v="Bad Employee"/>
    <b v="0"/>
    <b v="1"/>
    <s v="Good employee"/>
    <x v="0"/>
    <x v="0"/>
    <n v="15"/>
    <n v="2010"/>
    <s v="On-Site"/>
    <n v="138"/>
    <x v="36"/>
  </r>
  <r>
    <x v="228"/>
    <x v="7"/>
    <s v="Wilson"/>
    <x v="0"/>
    <x v="167"/>
    <s v="johnwilson@gmail.com"/>
    <x v="227"/>
    <s v="Medium"/>
    <x v="226"/>
    <n v="2005"/>
    <x v="2"/>
    <n v="24"/>
    <d v="2026-03-19T00:00:00"/>
    <n v="7543"/>
    <n v="7543"/>
    <n v="5389"/>
    <n v="35"/>
    <x v="0"/>
    <x v="1"/>
    <n v="1"/>
    <s v="No"/>
    <n v="5129.75"/>
    <x v="1"/>
    <x v="4"/>
    <x v="20"/>
    <s v="Bad Employee"/>
    <b v="0"/>
    <b v="0"/>
    <s v="Bad Employee"/>
    <x v="2"/>
    <x v="4"/>
    <n v="14"/>
    <n v="2011"/>
    <s v="Hybrid"/>
    <n v="55"/>
    <x v="12"/>
  </r>
  <r>
    <x v="229"/>
    <x v="2"/>
    <s v="Davis"/>
    <x v="4"/>
    <x v="21"/>
    <s v="chrisdavis@gmail.com"/>
    <x v="228"/>
    <s v="Medium"/>
    <x v="227"/>
    <n v="2003"/>
    <x v="6"/>
    <n v="15"/>
    <d v="2026-03-19T00:00:00"/>
    <n v="8252"/>
    <n v="8252"/>
    <n v="5895"/>
    <n v="43"/>
    <x v="0"/>
    <x v="0"/>
    <n v="2"/>
    <s v="Yes"/>
    <n v="2159.0700000000002"/>
    <x v="2"/>
    <x v="0"/>
    <x v="30"/>
    <s v="Bad Employee"/>
    <b v="0"/>
    <b v="0"/>
    <s v="Bad Employee"/>
    <x v="2"/>
    <x v="5"/>
    <n v="4"/>
    <n v="2012"/>
    <s v="On-Site"/>
    <n v="47"/>
    <x v="4"/>
  </r>
  <r>
    <x v="230"/>
    <x v="6"/>
    <s v="Davis"/>
    <x v="2"/>
    <x v="25"/>
    <s v="katiedavis@gmail.com"/>
    <x v="229"/>
    <s v="High"/>
    <x v="228"/>
    <n v="2005"/>
    <x v="0"/>
    <n v="12"/>
    <d v="2026-03-19T00:00:00"/>
    <n v="7493"/>
    <n v="7493"/>
    <n v="5354"/>
    <n v="64"/>
    <x v="0"/>
    <x v="0"/>
    <n v="5"/>
    <s v="No"/>
    <n v="1238.27"/>
    <x v="3"/>
    <x v="2"/>
    <x v="34"/>
    <s v="Bad Employee"/>
    <b v="0"/>
    <b v="1"/>
    <s v="Good employee"/>
    <x v="0"/>
    <x v="4"/>
    <n v="14"/>
    <n v="2013"/>
    <s v="Hybrid"/>
    <n v="174"/>
    <x v="23"/>
  </r>
  <r>
    <x v="231"/>
    <x v="1"/>
    <s v="Williams"/>
    <x v="3"/>
    <x v="168"/>
    <s v="emilywilliams@gmail.com"/>
    <x v="230"/>
    <s v="extremely low"/>
    <x v="229"/>
    <n v="2002"/>
    <x v="11"/>
    <n v="21"/>
    <d v="2026-03-19T00:00:00"/>
    <n v="8823"/>
    <n v="8823"/>
    <n v="6304"/>
    <n v="49"/>
    <x v="0"/>
    <x v="1"/>
    <n v="7"/>
    <s v="No"/>
    <n v="7146.25"/>
    <x v="1"/>
    <x v="3"/>
    <x v="21"/>
    <s v="Bad Employee"/>
    <b v="0"/>
    <b v="1"/>
    <s v="Good employee"/>
    <x v="2"/>
    <x v="4"/>
    <n v="0"/>
    <n v="2022"/>
    <s v="Fully Remote"/>
    <n v="145"/>
    <x v="11"/>
  </r>
  <r>
    <x v="232"/>
    <x v="1"/>
    <s v="Davis"/>
    <x v="4"/>
    <x v="105"/>
    <s v="emilydavis@gmail.com"/>
    <x v="231"/>
    <s v="Medium"/>
    <x v="230"/>
    <n v="2011"/>
    <x v="7"/>
    <n v="7"/>
    <d v="2026-03-19T00:00:00"/>
    <n v="5430"/>
    <n v="5430"/>
    <n v="3879"/>
    <n v="51"/>
    <x v="0"/>
    <x v="0"/>
    <n v="3"/>
    <s v="Yes"/>
    <n v="8718.65"/>
    <x v="2"/>
    <x v="0"/>
    <x v="1"/>
    <s v="Bad Employee"/>
    <b v="0"/>
    <b v="1"/>
    <s v="Good employee"/>
    <x v="0"/>
    <x v="4"/>
    <n v="14"/>
    <n v="2020"/>
    <s v="Fully Remote"/>
    <n v="29"/>
    <x v="40"/>
  </r>
  <r>
    <x v="233"/>
    <x v="1"/>
    <s v="Davis"/>
    <x v="2"/>
    <x v="104"/>
    <s v="emilydavis@gmail.com"/>
    <x v="232"/>
    <s v="low"/>
    <x v="231"/>
    <n v="2001"/>
    <x v="5"/>
    <n v="19"/>
    <d v="2026-03-19T00:00:00"/>
    <n v="8917"/>
    <n v="8917"/>
    <n v="6370"/>
    <n v="40"/>
    <x v="0"/>
    <x v="0"/>
    <n v="1"/>
    <s v="No"/>
    <n v="8170.7"/>
    <x v="2"/>
    <x v="1"/>
    <x v="26"/>
    <s v="Bad Employee"/>
    <b v="0"/>
    <b v="0"/>
    <s v="Bad Employee"/>
    <x v="0"/>
    <x v="4"/>
    <n v="3"/>
    <n v="2018"/>
    <s v="Fully Remote"/>
    <n v="134"/>
    <x v="15"/>
  </r>
  <r>
    <x v="234"/>
    <x v="1"/>
    <s v="Smith"/>
    <x v="3"/>
    <x v="61"/>
    <s v="emilysmith@gmail.com"/>
    <x v="233"/>
    <s v="extremely low"/>
    <x v="232"/>
    <n v="2004"/>
    <x v="2"/>
    <n v="18"/>
    <d v="2026-03-19T00:00:00"/>
    <n v="7914"/>
    <n v="7914"/>
    <n v="5654"/>
    <n v="59"/>
    <x v="0"/>
    <x v="0"/>
    <n v="2"/>
    <s v="No"/>
    <n v="6728.68"/>
    <x v="3"/>
    <x v="3"/>
    <x v="23"/>
    <s v="Bad Employee"/>
    <b v="0"/>
    <b v="0"/>
    <s v="Bad Employee"/>
    <x v="0"/>
    <x v="3"/>
    <n v="15"/>
    <n v="2016"/>
    <s v="On-Site"/>
    <n v="18"/>
    <x v="10"/>
  </r>
  <r>
    <x v="235"/>
    <x v="1"/>
    <s v="Brown"/>
    <x v="3"/>
    <x v="127"/>
    <s v="emilybrown@gmail.com"/>
    <x v="234"/>
    <s v="High"/>
    <x v="233"/>
    <n v="2001"/>
    <x v="10"/>
    <n v="1"/>
    <d v="2026-03-19T00:00:00"/>
    <n v="8874"/>
    <n v="8874"/>
    <n v="6339"/>
    <n v="63"/>
    <x v="0"/>
    <x v="0"/>
    <n v="3"/>
    <s v="Yes"/>
    <n v="1843.06"/>
    <x v="3"/>
    <x v="1"/>
    <x v="17"/>
    <s v="Bad Employee"/>
    <b v="0"/>
    <b v="0"/>
    <s v="Bad Employee"/>
    <x v="0"/>
    <x v="2"/>
    <n v="6"/>
    <n v="2021"/>
    <s v="Fully Remote"/>
    <n v="149"/>
    <x v="39"/>
  </r>
  <r>
    <x v="236"/>
    <x v="6"/>
    <s v="Williams"/>
    <x v="3"/>
    <x v="97"/>
    <s v="katiewilliams@gmail.com"/>
    <x v="235"/>
    <s v="High"/>
    <x v="234"/>
    <n v="2002"/>
    <x v="10"/>
    <n v="16"/>
    <d v="2026-03-19T00:00:00"/>
    <n v="8494"/>
    <n v="8494"/>
    <n v="6069"/>
    <n v="41"/>
    <x v="0"/>
    <x v="1"/>
    <n v="9"/>
    <s v="Yes"/>
    <n v="1393.42"/>
    <x v="2"/>
    <x v="1"/>
    <x v="3"/>
    <s v="Good Employee"/>
    <b v="1"/>
    <b v="1"/>
    <s v="Good employee"/>
    <x v="1"/>
    <x v="5"/>
    <n v="7"/>
    <n v="2014"/>
    <s v="On-Site"/>
    <n v="109"/>
    <x v="15"/>
  </r>
  <r>
    <x v="237"/>
    <x v="6"/>
    <s v="Smith"/>
    <x v="5"/>
    <x v="169"/>
    <s v="katiesmith@gmail.com"/>
    <x v="236"/>
    <s v="Medium"/>
    <x v="235"/>
    <n v="2005"/>
    <x v="1"/>
    <n v="26"/>
    <d v="2026-03-19T00:00:00"/>
    <n v="7418"/>
    <n v="7418"/>
    <n v="5299"/>
    <n v="56"/>
    <x v="0"/>
    <x v="1"/>
    <n v="8"/>
    <s v="No"/>
    <n v="3777.78"/>
    <x v="1"/>
    <x v="1"/>
    <x v="23"/>
    <s v="Bad Employee"/>
    <b v="0"/>
    <b v="1"/>
    <s v="Good employee"/>
    <x v="2"/>
    <x v="1"/>
    <n v="1"/>
    <n v="2014"/>
    <s v="Hybrid"/>
    <n v="108"/>
    <x v="26"/>
  </r>
  <r>
    <x v="238"/>
    <x v="3"/>
    <s v="Brown"/>
    <x v="3"/>
    <x v="38"/>
    <s v="alexbrown@gmail.com"/>
    <x v="237"/>
    <s v="Medium"/>
    <x v="236"/>
    <n v="2004"/>
    <x v="8"/>
    <n v="20"/>
    <d v="2026-03-19T00:00:00"/>
    <n v="8034"/>
    <n v="8034"/>
    <n v="5739"/>
    <n v="43"/>
    <x v="0"/>
    <x v="0"/>
    <n v="4"/>
    <s v="Yes"/>
    <n v="8621.65"/>
    <x v="3"/>
    <x v="0"/>
    <x v="10"/>
    <s v="Bad Employee"/>
    <b v="0"/>
    <b v="0"/>
    <s v="Bad Employee"/>
    <x v="2"/>
    <x v="5"/>
    <n v="11"/>
    <n v="2023"/>
    <s v="Hybrid"/>
    <n v="172"/>
    <x v="27"/>
  </r>
  <r>
    <x v="239"/>
    <x v="4"/>
    <s v="Wilson"/>
    <x v="1"/>
    <x v="17"/>
    <s v="sarahwilson@gmail.com"/>
    <x v="133"/>
    <s v="High"/>
    <x v="237"/>
    <n v="2008"/>
    <x v="3"/>
    <n v="20"/>
    <d v="2026-03-19T00:00:00"/>
    <n v="6542"/>
    <n v="6542"/>
    <n v="4674"/>
    <n v="36"/>
    <x v="0"/>
    <x v="1"/>
    <n v="8"/>
    <s v="No"/>
    <n v="9636.49"/>
    <x v="2"/>
    <x v="3"/>
    <x v="0"/>
    <s v="Bad Employee"/>
    <b v="0"/>
    <b v="1"/>
    <s v="Good employee"/>
    <x v="2"/>
    <x v="0"/>
    <n v="1"/>
    <n v="2015"/>
    <s v="Hybrid"/>
    <n v="43"/>
    <x v="22"/>
  </r>
  <r>
    <x v="240"/>
    <x v="5"/>
    <s v="Smith"/>
    <x v="0"/>
    <x v="170"/>
    <s v="janesmith@gmail.com"/>
    <x v="238"/>
    <s v="High"/>
    <x v="238"/>
    <n v="2016"/>
    <x v="1"/>
    <n v="19"/>
    <d v="2026-03-19T00:00:00"/>
    <n v="3407"/>
    <n v="3407"/>
    <n v="2434"/>
    <n v="32"/>
    <x v="0"/>
    <x v="0"/>
    <n v="9"/>
    <s v="Yes"/>
    <n v="2792.93"/>
    <x v="2"/>
    <x v="3"/>
    <x v="17"/>
    <s v="Bad Employee"/>
    <b v="0"/>
    <b v="1"/>
    <s v="Good employee"/>
    <x v="0"/>
    <x v="3"/>
    <n v="13"/>
    <n v="2010"/>
    <s v="Fully Remote"/>
    <n v="157"/>
    <x v="9"/>
  </r>
  <r>
    <x v="241"/>
    <x v="0"/>
    <s v="Miller"/>
    <x v="1"/>
    <x v="171"/>
    <s v="michaelmiller@gmail.com"/>
    <x v="239"/>
    <s v="High"/>
    <x v="239"/>
    <n v="2017"/>
    <x v="9"/>
    <n v="4"/>
    <d v="2026-03-19T00:00:00"/>
    <n v="3210"/>
    <n v="3210"/>
    <n v="2294"/>
    <n v="55"/>
    <x v="0"/>
    <x v="1"/>
    <n v="3"/>
    <s v="No"/>
    <n v="7739.91"/>
    <x v="1"/>
    <x v="1"/>
    <x v="25"/>
    <s v="Bad Employee"/>
    <b v="0"/>
    <b v="0"/>
    <s v="Bad Employee"/>
    <x v="0"/>
    <x v="0"/>
    <n v="18"/>
    <n v="2015"/>
    <s v="Hybrid"/>
    <n v="52"/>
    <x v="1"/>
  </r>
  <r>
    <x v="242"/>
    <x v="1"/>
    <s v="Smith"/>
    <x v="0"/>
    <x v="172"/>
    <s v="emilysmith@gmail.com"/>
    <x v="240"/>
    <s v="low"/>
    <x v="240"/>
    <n v="2005"/>
    <x v="9"/>
    <n v="6"/>
    <d v="2026-03-19T00:00:00"/>
    <n v="7591"/>
    <n v="7591"/>
    <n v="5424"/>
    <n v="45"/>
    <x v="0"/>
    <x v="0"/>
    <n v="6"/>
    <s v="Yes"/>
    <n v="5951.76"/>
    <x v="0"/>
    <x v="2"/>
    <x v="38"/>
    <s v="Bad Employee"/>
    <b v="0"/>
    <b v="0"/>
    <s v="Bad Employee"/>
    <x v="0"/>
    <x v="5"/>
    <n v="19"/>
    <n v="2022"/>
    <s v="Fully Remote"/>
    <n v="119"/>
    <x v="34"/>
  </r>
  <r>
    <x v="243"/>
    <x v="7"/>
    <s v="Davis"/>
    <x v="4"/>
    <x v="74"/>
    <s v="johndavis@gmail.com"/>
    <x v="241"/>
    <s v="Medium"/>
    <x v="241"/>
    <n v="2000"/>
    <x v="1"/>
    <n v="10"/>
    <d v="2026-03-19T00:00:00"/>
    <n v="9260"/>
    <n v="9260"/>
    <n v="6615"/>
    <n v="27"/>
    <x v="1"/>
    <x v="0"/>
    <n v="8"/>
    <s v="Yes"/>
    <n v="802.17"/>
    <x v="1"/>
    <x v="4"/>
    <x v="9"/>
    <s v="Bad Employee"/>
    <b v="0"/>
    <b v="1"/>
    <s v="Good employee"/>
    <x v="2"/>
    <x v="5"/>
    <n v="5"/>
    <n v="2022"/>
    <s v="On-Site"/>
    <n v="53"/>
    <x v="4"/>
  </r>
  <r>
    <x v="244"/>
    <x v="0"/>
    <s v="Brown"/>
    <x v="4"/>
    <x v="118"/>
    <s v="michaelbrown@gmail.com"/>
    <x v="242"/>
    <s v="High"/>
    <x v="242"/>
    <n v="2017"/>
    <x v="6"/>
    <n v="16"/>
    <d v="2026-03-19T00:00:00"/>
    <n v="3137"/>
    <n v="3137"/>
    <n v="2242"/>
    <n v="38"/>
    <x v="0"/>
    <x v="1"/>
    <n v="7"/>
    <s v="Yes"/>
    <n v="5657.71"/>
    <x v="2"/>
    <x v="2"/>
    <x v="2"/>
    <s v="Bad Employee"/>
    <b v="0"/>
    <b v="1"/>
    <s v="Good employee"/>
    <x v="0"/>
    <x v="1"/>
    <n v="18"/>
    <n v="2020"/>
    <s v="Fully Remote"/>
    <n v="165"/>
    <x v="6"/>
  </r>
  <r>
    <x v="245"/>
    <x v="6"/>
    <s v="Williams"/>
    <x v="0"/>
    <x v="173"/>
    <s v="katiewilliams@gmail.com"/>
    <x v="243"/>
    <s v="High"/>
    <x v="243"/>
    <n v="2008"/>
    <x v="9"/>
    <n v="8"/>
    <d v="2026-03-19T00:00:00"/>
    <n v="6493"/>
    <n v="6493"/>
    <n v="4639"/>
    <n v="49"/>
    <x v="0"/>
    <x v="0"/>
    <n v="9"/>
    <s v="Yes"/>
    <n v="8156.43"/>
    <x v="1"/>
    <x v="0"/>
    <x v="14"/>
    <s v="Bad Employee"/>
    <b v="0"/>
    <b v="1"/>
    <s v="Good employee"/>
    <x v="1"/>
    <x v="1"/>
    <n v="16"/>
    <n v="2015"/>
    <s v="Hybrid"/>
    <n v="31"/>
    <x v="36"/>
  </r>
  <r>
    <x v="246"/>
    <x v="7"/>
    <s v="Williams"/>
    <x v="1"/>
    <x v="174"/>
    <s v="johnwilliams@gmail.com"/>
    <x v="244"/>
    <s v="extremely low"/>
    <x v="244"/>
    <n v="2015"/>
    <x v="1"/>
    <n v="14"/>
    <d v="2026-03-19T00:00:00"/>
    <n v="3778"/>
    <n v="3778"/>
    <n v="2699"/>
    <n v="52"/>
    <x v="0"/>
    <x v="0"/>
    <n v="7"/>
    <s v="Yes"/>
    <n v="3123.17"/>
    <x v="3"/>
    <x v="4"/>
    <x v="14"/>
    <s v="Bad Employee"/>
    <b v="0"/>
    <b v="1"/>
    <s v="Good employee"/>
    <x v="2"/>
    <x v="0"/>
    <n v="2"/>
    <n v="2023"/>
    <s v="Fully Remote"/>
    <n v="49"/>
    <x v="0"/>
  </r>
  <r>
    <x v="247"/>
    <x v="7"/>
    <s v="Brown"/>
    <x v="0"/>
    <x v="175"/>
    <s v="johnbrown@gmail.com"/>
    <x v="245"/>
    <s v="Medium"/>
    <x v="245"/>
    <n v="2019"/>
    <x v="6"/>
    <n v="12"/>
    <d v="2026-03-19T00:00:00"/>
    <n v="2411"/>
    <n v="2411"/>
    <n v="1724"/>
    <n v="57"/>
    <x v="0"/>
    <x v="0"/>
    <n v="1"/>
    <s v="No"/>
    <n v="9024.94"/>
    <x v="2"/>
    <x v="2"/>
    <x v="25"/>
    <s v="Bad Employee"/>
    <b v="0"/>
    <b v="0"/>
    <s v="Bad Employee"/>
    <x v="1"/>
    <x v="2"/>
    <n v="19"/>
    <n v="2020"/>
    <s v="Fully Remote"/>
    <n v="35"/>
    <x v="2"/>
  </r>
  <r>
    <x v="248"/>
    <x v="7"/>
    <s v="Davis"/>
    <x v="3"/>
    <x v="176"/>
    <s v="johndavis@gmail.com"/>
    <x v="246"/>
    <s v="Medium"/>
    <x v="246"/>
    <n v="2013"/>
    <x v="10"/>
    <n v="31"/>
    <d v="2026-03-19T00:00:00"/>
    <n v="4461"/>
    <n v="4461"/>
    <n v="3188"/>
    <n v="30"/>
    <x v="1"/>
    <x v="0"/>
    <n v="9"/>
    <s v="No"/>
    <n v="2744.47"/>
    <x v="1"/>
    <x v="3"/>
    <x v="7"/>
    <s v="Good Employee"/>
    <b v="1"/>
    <b v="1"/>
    <s v="Good employee"/>
    <x v="1"/>
    <x v="0"/>
    <n v="9"/>
    <n v="2014"/>
    <s v="On-Site"/>
    <n v="67"/>
    <x v="0"/>
  </r>
  <r>
    <x v="249"/>
    <x v="3"/>
    <s v="Johnson"/>
    <x v="5"/>
    <x v="39"/>
    <s v="alexjohnson@gmail.com"/>
    <x v="247"/>
    <s v="Medium"/>
    <x v="247"/>
    <n v="2012"/>
    <x v="10"/>
    <n v="16"/>
    <d v="2026-03-19T00:00:00"/>
    <n v="4841"/>
    <n v="4841"/>
    <n v="3459"/>
    <n v="31"/>
    <x v="0"/>
    <x v="1"/>
    <n v="5"/>
    <s v="Yes"/>
    <n v="1226.49"/>
    <x v="1"/>
    <x v="2"/>
    <x v="7"/>
    <s v="Bad Employee"/>
    <b v="0"/>
    <b v="1"/>
    <s v="Good employee"/>
    <x v="2"/>
    <x v="2"/>
    <n v="12"/>
    <n v="2019"/>
    <s v="Fully Remote"/>
    <n v="116"/>
    <x v="3"/>
  </r>
  <r>
    <x v="250"/>
    <x v="6"/>
    <s v="Smith"/>
    <x v="4"/>
    <x v="177"/>
    <s v="katiesmith@gmail.com"/>
    <x v="248"/>
    <s v="Medium"/>
    <x v="248"/>
    <n v="2006"/>
    <x v="7"/>
    <n v="3"/>
    <d v="2026-03-19T00:00:00"/>
    <n v="7260"/>
    <n v="7260"/>
    <n v="5187"/>
    <n v="42"/>
    <x v="0"/>
    <x v="1"/>
    <n v="6"/>
    <s v="No"/>
    <n v="2019.42"/>
    <x v="1"/>
    <x v="1"/>
    <x v="35"/>
    <s v="Bad Employee"/>
    <b v="0"/>
    <b v="1"/>
    <s v="Good employee"/>
    <x v="1"/>
    <x v="2"/>
    <n v="19"/>
    <n v="2018"/>
    <s v="Hybrid"/>
    <n v="170"/>
    <x v="20"/>
  </r>
  <r>
    <x v="251"/>
    <x v="7"/>
    <s v="Davis"/>
    <x v="5"/>
    <x v="178"/>
    <s v="johndavis@gmail.com"/>
    <x v="249"/>
    <s v="High"/>
    <x v="249"/>
    <n v="2005"/>
    <x v="1"/>
    <n v="5"/>
    <d v="2026-03-19T00:00:00"/>
    <n v="7439"/>
    <n v="7439"/>
    <n v="5314"/>
    <n v="55"/>
    <x v="0"/>
    <x v="1"/>
    <n v="2"/>
    <s v="Yes"/>
    <n v="8451.5300000000007"/>
    <x v="1"/>
    <x v="0"/>
    <x v="2"/>
    <s v="Bad Employee"/>
    <b v="0"/>
    <b v="0"/>
    <s v="Bad Employee"/>
    <x v="1"/>
    <x v="4"/>
    <n v="17"/>
    <n v="2019"/>
    <s v="Fully Remote"/>
    <n v="112"/>
    <x v="15"/>
  </r>
  <r>
    <x v="252"/>
    <x v="1"/>
    <s v="Miller"/>
    <x v="3"/>
    <x v="68"/>
    <s v="emilymiller@gmail.com"/>
    <x v="250"/>
    <s v="extremely low"/>
    <x v="250"/>
    <n v="2018"/>
    <x v="11"/>
    <n v="24"/>
    <d v="2026-03-19T00:00:00"/>
    <n v="2976"/>
    <n v="2976"/>
    <n v="2127"/>
    <n v="52"/>
    <x v="0"/>
    <x v="1"/>
    <n v="2"/>
    <s v="No"/>
    <n v="4464.41"/>
    <x v="2"/>
    <x v="2"/>
    <x v="32"/>
    <s v="Bad Employee"/>
    <b v="0"/>
    <b v="1"/>
    <s v="Good employee"/>
    <x v="0"/>
    <x v="5"/>
    <n v="18"/>
    <n v="2019"/>
    <s v="Fully Remote"/>
    <n v="172"/>
    <x v="32"/>
  </r>
  <r>
    <x v="253"/>
    <x v="2"/>
    <s v="Wilson"/>
    <x v="3"/>
    <x v="179"/>
    <s v="chriswilson@gmail.com"/>
    <x v="251"/>
    <s v="High"/>
    <x v="251"/>
    <n v="2004"/>
    <x v="2"/>
    <n v="7"/>
    <d v="2026-03-19T00:00:00"/>
    <n v="7925"/>
    <n v="7925"/>
    <n v="5662"/>
    <n v="50"/>
    <x v="0"/>
    <x v="0"/>
    <n v="4"/>
    <s v="No"/>
    <n v="8070.98"/>
    <x v="1"/>
    <x v="2"/>
    <x v="13"/>
    <s v="Bad Employee"/>
    <b v="0"/>
    <b v="1"/>
    <s v="Good employee"/>
    <x v="1"/>
    <x v="4"/>
    <n v="16"/>
    <n v="2014"/>
    <s v="Hybrid"/>
    <n v="190"/>
    <x v="40"/>
  </r>
  <r>
    <x v="254"/>
    <x v="7"/>
    <s v="Brown"/>
    <x v="4"/>
    <x v="153"/>
    <s v="johnbrown@gmail.com"/>
    <x v="252"/>
    <s v="High"/>
    <x v="252"/>
    <n v="2008"/>
    <x v="5"/>
    <n v="24"/>
    <d v="2026-03-19T00:00:00"/>
    <n v="6355"/>
    <n v="6355"/>
    <n v="4540"/>
    <n v="64"/>
    <x v="0"/>
    <x v="0"/>
    <n v="4"/>
    <s v="No"/>
    <n v="5546.71"/>
    <x v="3"/>
    <x v="4"/>
    <x v="23"/>
    <s v="Bad Employee"/>
    <b v="0"/>
    <b v="0"/>
    <s v="Bad Employee"/>
    <x v="0"/>
    <x v="5"/>
    <n v="7"/>
    <n v="2018"/>
    <s v="Fully Remote"/>
    <n v="69"/>
    <x v="18"/>
  </r>
  <r>
    <x v="255"/>
    <x v="3"/>
    <s v="Smith"/>
    <x v="4"/>
    <x v="180"/>
    <s v="alexsmith@gmail.com"/>
    <x v="253"/>
    <s v="low"/>
    <x v="253"/>
    <n v="2018"/>
    <x v="1"/>
    <n v="22"/>
    <d v="2026-03-19T00:00:00"/>
    <n v="2674"/>
    <n v="2674"/>
    <n v="1911"/>
    <n v="64"/>
    <x v="0"/>
    <x v="0"/>
    <n v="5"/>
    <s v="Yes"/>
    <n v="5065.3100000000004"/>
    <x v="0"/>
    <x v="1"/>
    <x v="4"/>
    <s v="Bad Employee"/>
    <b v="0"/>
    <b v="0"/>
    <s v="Bad Employee"/>
    <x v="1"/>
    <x v="4"/>
    <n v="17"/>
    <n v="2019"/>
    <s v="On-Site"/>
    <n v="15"/>
    <x v="2"/>
  </r>
  <r>
    <x v="256"/>
    <x v="0"/>
    <s v="Williams"/>
    <x v="3"/>
    <x v="181"/>
    <s v="michaelwilliams@gmail.com"/>
    <x v="254"/>
    <s v="High"/>
    <x v="254"/>
    <n v="2010"/>
    <x v="7"/>
    <n v="28"/>
    <d v="2026-03-19T00:00:00"/>
    <n v="5774"/>
    <n v="5774"/>
    <n v="4125"/>
    <n v="32"/>
    <x v="0"/>
    <x v="0"/>
    <n v="7"/>
    <s v="Yes"/>
    <n v="8165.67"/>
    <x v="0"/>
    <x v="4"/>
    <x v="33"/>
    <s v="Bad Employee"/>
    <b v="0"/>
    <b v="1"/>
    <s v="Good employee"/>
    <x v="2"/>
    <x v="2"/>
    <n v="6"/>
    <n v="2016"/>
    <s v="Hybrid"/>
    <n v="147"/>
    <x v="15"/>
  </r>
  <r>
    <x v="257"/>
    <x v="6"/>
    <s v="Wilson"/>
    <x v="2"/>
    <x v="94"/>
    <s v="katiewilson@gmail.com"/>
    <x v="255"/>
    <s v="High"/>
    <x v="255"/>
    <n v="2006"/>
    <x v="5"/>
    <n v="14"/>
    <d v="2026-03-19T00:00:00"/>
    <n v="7096"/>
    <n v="7096"/>
    <n v="5069"/>
    <n v="54"/>
    <x v="0"/>
    <x v="1"/>
    <n v="1"/>
    <s v="No"/>
    <n v="4523.13"/>
    <x v="0"/>
    <x v="0"/>
    <x v="17"/>
    <s v="Bad Employee"/>
    <b v="0"/>
    <b v="0"/>
    <s v="Bad Employee"/>
    <x v="2"/>
    <x v="4"/>
    <n v="10"/>
    <n v="2012"/>
    <s v="Hybrid"/>
    <n v="101"/>
    <x v="4"/>
  </r>
  <r>
    <x v="258"/>
    <x v="4"/>
    <s v="Johnson"/>
    <x v="5"/>
    <x v="182"/>
    <s v="sarahjohnson@gmail.com"/>
    <x v="256"/>
    <s v="low"/>
    <x v="256"/>
    <n v="2011"/>
    <x v="4"/>
    <n v="19"/>
    <d v="2026-03-19T00:00:00"/>
    <n v="5507"/>
    <n v="5507"/>
    <n v="3934"/>
    <n v="22"/>
    <x v="1"/>
    <x v="1"/>
    <n v="4"/>
    <s v="No"/>
    <n v="8119.31"/>
    <x v="3"/>
    <x v="0"/>
    <x v="17"/>
    <s v="Bad Employee"/>
    <b v="0"/>
    <b v="0"/>
    <s v="Bad Employee"/>
    <x v="2"/>
    <x v="3"/>
    <n v="2"/>
    <n v="2020"/>
    <s v="Fully Remote"/>
    <n v="189"/>
    <x v="11"/>
  </r>
  <r>
    <x v="259"/>
    <x v="3"/>
    <s v="Miller"/>
    <x v="5"/>
    <x v="183"/>
    <s v="alexmiller@gmail.com"/>
    <x v="257"/>
    <s v="High"/>
    <x v="257"/>
    <n v="2004"/>
    <x v="1"/>
    <n v="10"/>
    <d v="2026-03-19T00:00:00"/>
    <n v="7799"/>
    <n v="7799"/>
    <n v="5572"/>
    <n v="42"/>
    <x v="0"/>
    <x v="1"/>
    <n v="9"/>
    <s v="No"/>
    <n v="1456.29"/>
    <x v="0"/>
    <x v="1"/>
    <x v="21"/>
    <s v="Bad Employee"/>
    <b v="0"/>
    <b v="1"/>
    <s v="Good employee"/>
    <x v="2"/>
    <x v="4"/>
    <n v="1"/>
    <n v="2018"/>
    <s v="On-Site"/>
    <n v="116"/>
    <x v="16"/>
  </r>
  <r>
    <x v="260"/>
    <x v="7"/>
    <s v="Williams"/>
    <x v="2"/>
    <x v="184"/>
    <s v="johnwilliams@gmail.com"/>
    <x v="258"/>
    <s v="low"/>
    <x v="258"/>
    <n v="2005"/>
    <x v="7"/>
    <n v="20"/>
    <d v="2026-03-19T00:00:00"/>
    <n v="7608"/>
    <n v="7608"/>
    <n v="5435"/>
    <n v="44"/>
    <x v="0"/>
    <x v="0"/>
    <n v="8"/>
    <s v="No"/>
    <n v="6544.95"/>
    <x v="2"/>
    <x v="4"/>
    <x v="34"/>
    <s v="Good Employee"/>
    <b v="1"/>
    <b v="1"/>
    <s v="Good employee"/>
    <x v="0"/>
    <x v="1"/>
    <n v="18"/>
    <n v="2019"/>
    <s v="On-Site"/>
    <n v="157"/>
    <x v="16"/>
  </r>
  <r>
    <x v="261"/>
    <x v="6"/>
    <s v="Brown"/>
    <x v="1"/>
    <x v="63"/>
    <s v="katiebrown@gmail.com"/>
    <x v="259"/>
    <s v="High"/>
    <x v="259"/>
    <n v="2019"/>
    <x v="3"/>
    <n v="25"/>
    <d v="2026-03-19T00:00:00"/>
    <n v="2520"/>
    <n v="2520"/>
    <n v="1801"/>
    <n v="30"/>
    <x v="1"/>
    <x v="0"/>
    <n v="3"/>
    <s v="Yes"/>
    <n v="7174.58"/>
    <x v="2"/>
    <x v="1"/>
    <x v="26"/>
    <s v="Bad Employee"/>
    <b v="0"/>
    <b v="0"/>
    <s v="Bad Employee"/>
    <x v="1"/>
    <x v="1"/>
    <n v="10"/>
    <n v="2016"/>
    <s v="Hybrid"/>
    <n v="171"/>
    <x v="2"/>
  </r>
  <r>
    <x v="262"/>
    <x v="2"/>
    <s v="Smith"/>
    <x v="5"/>
    <x v="66"/>
    <s v="chrissmith@gmail.com"/>
    <x v="260"/>
    <s v="High"/>
    <x v="260"/>
    <n v="2016"/>
    <x v="6"/>
    <n v="3"/>
    <d v="2026-03-19T00:00:00"/>
    <n v="3515"/>
    <n v="3515"/>
    <n v="2512"/>
    <n v="22"/>
    <x v="1"/>
    <x v="0"/>
    <n v="6"/>
    <s v="Yes"/>
    <n v="9041.43"/>
    <x v="3"/>
    <x v="4"/>
    <x v="5"/>
    <s v="Bad Employee"/>
    <b v="0"/>
    <b v="1"/>
    <s v="Good employee"/>
    <x v="1"/>
    <x v="4"/>
    <n v="7"/>
    <n v="2013"/>
    <s v="Hybrid"/>
    <n v="37"/>
    <x v="38"/>
  </r>
  <r>
    <x v="263"/>
    <x v="7"/>
    <s v="Brown"/>
    <x v="0"/>
    <x v="175"/>
    <s v="johnbrown@gmail.com"/>
    <x v="261"/>
    <s v="High"/>
    <x v="261"/>
    <n v="2004"/>
    <x v="1"/>
    <n v="2"/>
    <d v="2026-03-19T00:00:00"/>
    <n v="7807"/>
    <n v="7807"/>
    <n v="5578"/>
    <n v="42"/>
    <x v="0"/>
    <x v="0"/>
    <n v="9"/>
    <s v="No"/>
    <n v="2631.08"/>
    <x v="3"/>
    <x v="3"/>
    <x v="37"/>
    <s v="Good Employee"/>
    <b v="1"/>
    <b v="1"/>
    <s v="Good employee"/>
    <x v="2"/>
    <x v="4"/>
    <n v="10"/>
    <n v="2023"/>
    <s v="Fully Remote"/>
    <n v="33"/>
    <x v="36"/>
  </r>
  <r>
    <x v="264"/>
    <x v="3"/>
    <s v="Wilson"/>
    <x v="3"/>
    <x v="185"/>
    <s v="alexwilson@gmail.com"/>
    <x v="262"/>
    <s v="Medium"/>
    <x v="262"/>
    <n v="2010"/>
    <x v="9"/>
    <n v="12"/>
    <d v="2026-03-19T00:00:00"/>
    <n v="5759"/>
    <n v="5759"/>
    <n v="4114"/>
    <n v="43"/>
    <x v="0"/>
    <x v="1"/>
    <n v="8"/>
    <s v="Yes"/>
    <n v="6240.09"/>
    <x v="2"/>
    <x v="1"/>
    <x v="27"/>
    <s v="Good Employee"/>
    <b v="1"/>
    <b v="1"/>
    <s v="Good employee"/>
    <x v="0"/>
    <x v="3"/>
    <n v="1"/>
    <n v="2021"/>
    <s v="Hybrid"/>
    <n v="190"/>
    <x v="39"/>
  </r>
  <r>
    <x v="265"/>
    <x v="5"/>
    <s v="Smith"/>
    <x v="3"/>
    <x v="186"/>
    <s v="janesmith@gmail.com"/>
    <x v="263"/>
    <s v="Medium"/>
    <x v="115"/>
    <n v="2000"/>
    <x v="6"/>
    <n v="29"/>
    <d v="2026-03-19T00:00:00"/>
    <n v="9333"/>
    <n v="9333"/>
    <n v="6668"/>
    <n v="25"/>
    <x v="1"/>
    <x v="1"/>
    <n v="7"/>
    <s v="No"/>
    <n v="4615.9399999999996"/>
    <x v="3"/>
    <x v="0"/>
    <x v="34"/>
    <s v="Good Employee"/>
    <b v="1"/>
    <b v="1"/>
    <s v="Good employee"/>
    <x v="0"/>
    <x v="5"/>
    <n v="11"/>
    <n v="2018"/>
    <s v="On-Site"/>
    <n v="15"/>
    <x v="38"/>
  </r>
  <r>
    <x v="266"/>
    <x v="1"/>
    <s v="Davis"/>
    <x v="2"/>
    <x v="104"/>
    <s v="emilydavis@gmail.com"/>
    <x v="264"/>
    <s v="High"/>
    <x v="263"/>
    <n v="2013"/>
    <x v="4"/>
    <n v="18"/>
    <d v="2026-03-19T00:00:00"/>
    <n v="4777"/>
    <n v="4777"/>
    <n v="3414"/>
    <n v="22"/>
    <x v="1"/>
    <x v="1"/>
    <n v="7"/>
    <s v="Yes"/>
    <n v="4136.33"/>
    <x v="3"/>
    <x v="4"/>
    <x v="34"/>
    <s v="Good Employee"/>
    <b v="1"/>
    <b v="1"/>
    <s v="Good employee"/>
    <x v="2"/>
    <x v="4"/>
    <n v="8"/>
    <n v="2015"/>
    <s v="Fully Remote"/>
    <n v="145"/>
    <x v="31"/>
  </r>
  <r>
    <x v="267"/>
    <x v="4"/>
    <s v="Johnson"/>
    <x v="5"/>
    <x v="182"/>
    <s v="sarahjohnson@gmail.com"/>
    <x v="265"/>
    <s v="extremely low"/>
    <x v="264"/>
    <n v="2008"/>
    <x v="11"/>
    <n v="28"/>
    <d v="2026-03-19T00:00:00"/>
    <n v="6625"/>
    <n v="6625"/>
    <n v="4734"/>
    <n v="31"/>
    <x v="0"/>
    <x v="0"/>
    <n v="1"/>
    <s v="No"/>
    <n v="1513.78"/>
    <x v="2"/>
    <x v="3"/>
    <x v="23"/>
    <s v="Bad Employee"/>
    <b v="0"/>
    <b v="0"/>
    <s v="Bad Employee"/>
    <x v="1"/>
    <x v="5"/>
    <n v="5"/>
    <n v="2018"/>
    <s v="Fully Remote"/>
    <n v="73"/>
    <x v="2"/>
  </r>
  <r>
    <x v="268"/>
    <x v="0"/>
    <s v="Davis"/>
    <x v="1"/>
    <x v="187"/>
    <s v="michaeldavis@gmail.com"/>
    <x v="266"/>
    <s v="Medium"/>
    <x v="265"/>
    <n v="2013"/>
    <x v="8"/>
    <n v="29"/>
    <d v="2026-03-19T00:00:00"/>
    <n v="4738"/>
    <n v="4738"/>
    <n v="3385"/>
    <n v="36"/>
    <x v="0"/>
    <x v="1"/>
    <n v="5"/>
    <s v="Yes"/>
    <n v="1775.22"/>
    <x v="2"/>
    <x v="0"/>
    <x v="37"/>
    <s v="Bad Employee"/>
    <b v="0"/>
    <b v="1"/>
    <s v="Good employee"/>
    <x v="2"/>
    <x v="1"/>
    <n v="11"/>
    <n v="2013"/>
    <s v="On-Site"/>
    <n v="25"/>
    <x v="32"/>
  </r>
  <r>
    <x v="269"/>
    <x v="3"/>
    <s v="Davis"/>
    <x v="5"/>
    <x v="188"/>
    <s v="alexdavis@gmail.com"/>
    <x v="267"/>
    <s v="Medium"/>
    <x v="266"/>
    <n v="2016"/>
    <x v="10"/>
    <n v="31"/>
    <d v="2026-03-19T00:00:00"/>
    <n v="3365"/>
    <n v="3365"/>
    <n v="2404"/>
    <n v="57"/>
    <x v="0"/>
    <x v="0"/>
    <n v="7"/>
    <s v="No"/>
    <n v="8451.39"/>
    <x v="1"/>
    <x v="4"/>
    <x v="16"/>
    <s v="Good Employee"/>
    <b v="1"/>
    <b v="1"/>
    <s v="Good employee"/>
    <x v="1"/>
    <x v="0"/>
    <n v="17"/>
    <n v="2019"/>
    <s v="On-Site"/>
    <n v="7"/>
    <x v="24"/>
  </r>
  <r>
    <x v="270"/>
    <x v="6"/>
    <s v="Brown"/>
    <x v="3"/>
    <x v="189"/>
    <s v="katiebrown@gmail.com"/>
    <x v="268"/>
    <s v="Medium"/>
    <x v="267"/>
    <n v="2019"/>
    <x v="9"/>
    <n v="25"/>
    <d v="2026-03-19T00:00:00"/>
    <n v="2459"/>
    <n v="2459"/>
    <n v="1758"/>
    <n v="50"/>
    <x v="0"/>
    <x v="1"/>
    <n v="2"/>
    <s v="Yes"/>
    <n v="7622.66"/>
    <x v="1"/>
    <x v="3"/>
    <x v="14"/>
    <s v="Bad Employee"/>
    <b v="0"/>
    <b v="0"/>
    <s v="Bad Employee"/>
    <x v="2"/>
    <x v="2"/>
    <n v="4"/>
    <n v="2011"/>
    <s v="Hybrid"/>
    <n v="158"/>
    <x v="33"/>
  </r>
  <r>
    <x v="271"/>
    <x v="4"/>
    <s v="Wilson"/>
    <x v="4"/>
    <x v="99"/>
    <s v="sarahwilson@gmail.com"/>
    <x v="269"/>
    <s v="High"/>
    <x v="268"/>
    <n v="2017"/>
    <x v="1"/>
    <n v="8"/>
    <d v="2026-03-19T00:00:00"/>
    <n v="3053"/>
    <n v="3053"/>
    <n v="2182"/>
    <n v="26"/>
    <x v="1"/>
    <x v="1"/>
    <n v="6"/>
    <s v="No"/>
    <n v="4132.24"/>
    <x v="0"/>
    <x v="0"/>
    <x v="11"/>
    <s v="Bad Employee"/>
    <b v="0"/>
    <b v="0"/>
    <s v="Bad Employee"/>
    <x v="1"/>
    <x v="0"/>
    <n v="16"/>
    <n v="2022"/>
    <s v="On-Site"/>
    <n v="165"/>
    <x v="3"/>
  </r>
  <r>
    <x v="272"/>
    <x v="4"/>
    <s v="Johnson"/>
    <x v="0"/>
    <x v="190"/>
    <s v="sarahjohnson@gmail.com"/>
    <x v="270"/>
    <s v="Medium"/>
    <x v="269"/>
    <n v="2017"/>
    <x v="1"/>
    <n v="18"/>
    <d v="2026-03-19T00:00:00"/>
    <n v="3043"/>
    <n v="3043"/>
    <n v="2174"/>
    <n v="50"/>
    <x v="0"/>
    <x v="0"/>
    <n v="2"/>
    <s v="Yes"/>
    <n v="8370.6200000000008"/>
    <x v="3"/>
    <x v="0"/>
    <x v="24"/>
    <s v="Bad Employee"/>
    <b v="0"/>
    <b v="1"/>
    <s v="Good employee"/>
    <x v="0"/>
    <x v="3"/>
    <n v="15"/>
    <n v="2023"/>
    <s v="Fully Remote"/>
    <n v="98"/>
    <x v="0"/>
  </r>
  <r>
    <x v="273"/>
    <x v="4"/>
    <s v="Smith"/>
    <x v="2"/>
    <x v="14"/>
    <s v="sarahsmith@gmail.com"/>
    <x v="271"/>
    <s v="low"/>
    <x v="270"/>
    <n v="2016"/>
    <x v="8"/>
    <n v="7"/>
    <d v="2026-03-19T00:00:00"/>
    <n v="3664"/>
    <n v="3664"/>
    <n v="2619"/>
    <n v="48"/>
    <x v="0"/>
    <x v="0"/>
    <n v="3"/>
    <s v="No"/>
    <n v="1267.28"/>
    <x v="2"/>
    <x v="3"/>
    <x v="31"/>
    <s v="Bad Employee"/>
    <b v="0"/>
    <b v="1"/>
    <s v="Good employee"/>
    <x v="2"/>
    <x v="3"/>
    <n v="11"/>
    <n v="2018"/>
    <s v="Fully Remote"/>
    <n v="26"/>
    <x v="38"/>
  </r>
  <r>
    <x v="274"/>
    <x v="7"/>
    <s v="Smith"/>
    <x v="4"/>
    <x v="146"/>
    <s v="johnsmith@gmail.com"/>
    <x v="272"/>
    <s v="Medium"/>
    <x v="271"/>
    <n v="2013"/>
    <x v="7"/>
    <n v="8"/>
    <d v="2026-03-19T00:00:00"/>
    <n v="4698"/>
    <n v="4698"/>
    <n v="3357"/>
    <n v="46"/>
    <x v="0"/>
    <x v="0"/>
    <n v="1"/>
    <s v="No"/>
    <n v="6435.35"/>
    <x v="0"/>
    <x v="0"/>
    <x v="3"/>
    <s v="Bad Employee"/>
    <b v="0"/>
    <b v="1"/>
    <s v="Good employee"/>
    <x v="1"/>
    <x v="5"/>
    <n v="1"/>
    <n v="2019"/>
    <s v="On-Site"/>
    <n v="66"/>
    <x v="7"/>
  </r>
  <r>
    <x v="275"/>
    <x v="1"/>
    <s v="Miller"/>
    <x v="1"/>
    <x v="51"/>
    <s v="emilymiller@gmail.com"/>
    <x v="273"/>
    <s v="low"/>
    <x v="201"/>
    <n v="2006"/>
    <x v="8"/>
    <n v="6"/>
    <d v="2026-03-19T00:00:00"/>
    <n v="7318"/>
    <n v="7318"/>
    <n v="5229"/>
    <n v="37"/>
    <x v="0"/>
    <x v="1"/>
    <n v="3"/>
    <s v="Yes"/>
    <n v="8747.67"/>
    <x v="1"/>
    <x v="4"/>
    <x v="7"/>
    <s v="Bad Employee"/>
    <b v="0"/>
    <b v="1"/>
    <s v="Good employee"/>
    <x v="1"/>
    <x v="5"/>
    <n v="15"/>
    <n v="2021"/>
    <s v="Hybrid"/>
    <n v="9"/>
    <x v="30"/>
  </r>
  <r>
    <x v="276"/>
    <x v="7"/>
    <s v="Williams"/>
    <x v="4"/>
    <x v="191"/>
    <s v="johnwilliams@gmail.com"/>
    <x v="274"/>
    <s v="Medium"/>
    <x v="272"/>
    <n v="2011"/>
    <x v="3"/>
    <n v="4"/>
    <d v="2026-03-19T00:00:00"/>
    <n v="5463"/>
    <n v="5463"/>
    <n v="3904"/>
    <n v="37"/>
    <x v="0"/>
    <x v="1"/>
    <n v="7"/>
    <s v="Yes"/>
    <n v="8469.2099999999991"/>
    <x v="3"/>
    <x v="4"/>
    <x v="1"/>
    <s v="Good Employee"/>
    <b v="1"/>
    <b v="1"/>
    <s v="Good employee"/>
    <x v="1"/>
    <x v="4"/>
    <n v="0"/>
    <n v="2023"/>
    <s v="Fully Remote"/>
    <n v="151"/>
    <x v="2"/>
  </r>
  <r>
    <x v="277"/>
    <x v="6"/>
    <s v="Miller"/>
    <x v="4"/>
    <x v="192"/>
    <s v="katiemiller@gmail.com"/>
    <x v="275"/>
    <s v="Medium"/>
    <x v="273"/>
    <n v="2009"/>
    <x v="8"/>
    <n v="22"/>
    <d v="2026-03-19T00:00:00"/>
    <n v="6206"/>
    <n v="6206"/>
    <n v="4434"/>
    <n v="57"/>
    <x v="0"/>
    <x v="1"/>
    <n v="5"/>
    <s v="Yes"/>
    <n v="4041.44"/>
    <x v="0"/>
    <x v="0"/>
    <x v="12"/>
    <s v="Bad Employee"/>
    <b v="0"/>
    <b v="1"/>
    <s v="Good employee"/>
    <x v="1"/>
    <x v="0"/>
    <n v="19"/>
    <n v="2013"/>
    <s v="Hybrid"/>
    <n v="13"/>
    <x v="15"/>
  </r>
  <r>
    <x v="278"/>
    <x v="7"/>
    <s v="Miller"/>
    <x v="1"/>
    <x v="193"/>
    <s v="johnmiller@gmail.com"/>
    <x v="276"/>
    <s v="low"/>
    <x v="274"/>
    <n v="2013"/>
    <x v="1"/>
    <n v="29"/>
    <d v="2026-03-19T00:00:00"/>
    <n v="4493"/>
    <n v="4493"/>
    <n v="3210"/>
    <n v="46"/>
    <x v="0"/>
    <x v="1"/>
    <n v="4"/>
    <s v="No"/>
    <n v="7579.72"/>
    <x v="3"/>
    <x v="2"/>
    <x v="38"/>
    <s v="Bad Employee"/>
    <b v="0"/>
    <b v="0"/>
    <s v="Bad Employee"/>
    <x v="0"/>
    <x v="5"/>
    <n v="1"/>
    <n v="2020"/>
    <s v="On-Site"/>
    <n v="62"/>
    <x v="20"/>
  </r>
  <r>
    <x v="279"/>
    <x v="5"/>
    <s v="Smith"/>
    <x v="4"/>
    <x v="148"/>
    <s v="janesmith@gmail.com"/>
    <x v="277"/>
    <s v="Medium"/>
    <x v="275"/>
    <n v="2001"/>
    <x v="11"/>
    <n v="1"/>
    <d v="2026-03-19T00:00:00"/>
    <n v="9208"/>
    <n v="9208"/>
    <n v="6579"/>
    <n v="62"/>
    <x v="0"/>
    <x v="0"/>
    <n v="8"/>
    <s v="No"/>
    <n v="4560.95"/>
    <x v="0"/>
    <x v="3"/>
    <x v="5"/>
    <s v="Good Employee"/>
    <b v="1"/>
    <b v="1"/>
    <s v="Good employee"/>
    <x v="1"/>
    <x v="1"/>
    <n v="12"/>
    <n v="2011"/>
    <s v="Hybrid"/>
    <n v="28"/>
    <x v="0"/>
  </r>
  <r>
    <x v="280"/>
    <x v="1"/>
    <s v="Brown"/>
    <x v="2"/>
    <x v="154"/>
    <s v="emilybrown@gmail.com"/>
    <x v="278"/>
    <s v="High"/>
    <x v="276"/>
    <n v="2007"/>
    <x v="0"/>
    <n v="28"/>
    <d v="2026-03-19T00:00:00"/>
    <n v="6747"/>
    <n v="6747"/>
    <n v="4820"/>
    <n v="22"/>
    <x v="1"/>
    <x v="1"/>
    <n v="8"/>
    <s v="No"/>
    <n v="8481.31"/>
    <x v="3"/>
    <x v="2"/>
    <x v="22"/>
    <s v="Good Employee"/>
    <b v="1"/>
    <b v="1"/>
    <s v="Good employee"/>
    <x v="0"/>
    <x v="5"/>
    <n v="15"/>
    <n v="2016"/>
    <s v="Fully Remote"/>
    <n v="171"/>
    <x v="26"/>
  </r>
  <r>
    <x v="281"/>
    <x v="1"/>
    <s v="Davis"/>
    <x v="3"/>
    <x v="78"/>
    <s v="emilydavis@gmail.com"/>
    <x v="279"/>
    <s v="Medium"/>
    <x v="277"/>
    <n v="2003"/>
    <x v="9"/>
    <n v="6"/>
    <d v="2026-03-19T00:00:00"/>
    <n v="8322"/>
    <n v="8322"/>
    <n v="5945"/>
    <n v="26"/>
    <x v="1"/>
    <x v="0"/>
    <n v="1"/>
    <s v="Yes"/>
    <n v="5542.24"/>
    <x v="3"/>
    <x v="4"/>
    <x v="28"/>
    <s v="Bad Employee"/>
    <b v="0"/>
    <b v="1"/>
    <s v="Good employee"/>
    <x v="1"/>
    <x v="1"/>
    <n v="0"/>
    <n v="2016"/>
    <s v="On-Site"/>
    <n v="65"/>
    <x v="40"/>
  </r>
  <r>
    <x v="282"/>
    <x v="6"/>
    <s v="Wilson"/>
    <x v="5"/>
    <x v="194"/>
    <s v="katiewilson@gmail.com"/>
    <x v="280"/>
    <s v="low"/>
    <x v="278"/>
    <n v="2006"/>
    <x v="5"/>
    <n v="23"/>
    <d v="2026-03-19T00:00:00"/>
    <n v="7087"/>
    <n v="7087"/>
    <n v="5064"/>
    <n v="62"/>
    <x v="0"/>
    <x v="1"/>
    <n v="9"/>
    <s v="No"/>
    <n v="7766.14"/>
    <x v="2"/>
    <x v="0"/>
    <x v="15"/>
    <s v="Bad Employee"/>
    <b v="0"/>
    <b v="1"/>
    <s v="Good employee"/>
    <x v="0"/>
    <x v="5"/>
    <n v="18"/>
    <n v="2014"/>
    <s v="Fully Remote"/>
    <n v="131"/>
    <x v="2"/>
  </r>
  <r>
    <x v="283"/>
    <x v="0"/>
    <s v="Davis"/>
    <x v="4"/>
    <x v="144"/>
    <s v="michaeldavis@gmail.com"/>
    <x v="281"/>
    <s v="Medium"/>
    <x v="279"/>
    <n v="2013"/>
    <x v="4"/>
    <n v="6"/>
    <d v="2026-03-19T00:00:00"/>
    <n v="4789"/>
    <n v="4789"/>
    <n v="3422"/>
    <n v="41"/>
    <x v="0"/>
    <x v="0"/>
    <n v="9"/>
    <s v="Yes"/>
    <n v="1246.43"/>
    <x v="3"/>
    <x v="1"/>
    <x v="30"/>
    <s v="Bad Employee"/>
    <b v="0"/>
    <b v="1"/>
    <s v="Good employee"/>
    <x v="0"/>
    <x v="2"/>
    <n v="3"/>
    <n v="2014"/>
    <s v="Fully Remote"/>
    <n v="52"/>
    <x v="1"/>
  </r>
  <r>
    <x v="284"/>
    <x v="5"/>
    <s v="Davis"/>
    <x v="2"/>
    <x v="22"/>
    <s v="janedavis@gmail.com"/>
    <x v="282"/>
    <s v="low"/>
    <x v="280"/>
    <n v="2009"/>
    <x v="1"/>
    <n v="12"/>
    <d v="2026-03-19T00:00:00"/>
    <n v="5971"/>
    <n v="5971"/>
    <n v="4266"/>
    <n v="26"/>
    <x v="1"/>
    <x v="0"/>
    <n v="2"/>
    <s v="No"/>
    <n v="6105.25"/>
    <x v="1"/>
    <x v="1"/>
    <x v="6"/>
    <s v="Bad Employee"/>
    <b v="0"/>
    <b v="0"/>
    <s v="Bad Employee"/>
    <x v="1"/>
    <x v="5"/>
    <n v="19"/>
    <n v="2017"/>
    <s v="On-Site"/>
    <n v="182"/>
    <x v="30"/>
  </r>
  <r>
    <x v="285"/>
    <x v="3"/>
    <s v="Johnson"/>
    <x v="5"/>
    <x v="39"/>
    <s v="alexjohnson@gmail.com"/>
    <x v="283"/>
    <s v="extremely low"/>
    <x v="281"/>
    <n v="2009"/>
    <x v="6"/>
    <n v="22"/>
    <d v="2026-03-19T00:00:00"/>
    <n v="6053"/>
    <n v="6053"/>
    <n v="4324"/>
    <n v="57"/>
    <x v="0"/>
    <x v="1"/>
    <n v="2"/>
    <s v="No"/>
    <n v="5727.7"/>
    <x v="2"/>
    <x v="2"/>
    <x v="3"/>
    <s v="Bad Employee"/>
    <b v="0"/>
    <b v="1"/>
    <s v="Good employee"/>
    <x v="0"/>
    <x v="2"/>
    <n v="2"/>
    <n v="2015"/>
    <s v="Hybrid"/>
    <n v="66"/>
    <x v="14"/>
  </r>
  <r>
    <x v="286"/>
    <x v="7"/>
    <s v="Smith"/>
    <x v="5"/>
    <x v="195"/>
    <s v="johnsmith@gmail.com"/>
    <x v="284"/>
    <s v="Medium"/>
    <x v="207"/>
    <n v="2014"/>
    <x v="4"/>
    <n v="11"/>
    <d v="2026-03-19T00:00:00"/>
    <n v="4419"/>
    <n v="4419"/>
    <n v="3158"/>
    <n v="50"/>
    <x v="0"/>
    <x v="1"/>
    <n v="8"/>
    <s v="No"/>
    <n v="6294.78"/>
    <x v="3"/>
    <x v="2"/>
    <x v="12"/>
    <s v="Good Employee"/>
    <b v="1"/>
    <b v="1"/>
    <s v="Good employee"/>
    <x v="2"/>
    <x v="3"/>
    <n v="1"/>
    <n v="2010"/>
    <s v="On-Site"/>
    <n v="185"/>
    <x v="0"/>
  </r>
  <r>
    <x v="287"/>
    <x v="2"/>
    <s v="Wilson"/>
    <x v="4"/>
    <x v="196"/>
    <s v="chriswilson@gmail.com"/>
    <x v="285"/>
    <s v="Medium"/>
    <x v="282"/>
    <n v="2013"/>
    <x v="2"/>
    <n v="13"/>
    <d v="2026-03-19T00:00:00"/>
    <n v="4632"/>
    <n v="4632"/>
    <n v="3309"/>
    <n v="55"/>
    <x v="0"/>
    <x v="0"/>
    <n v="6"/>
    <s v="Yes"/>
    <n v="7108.6"/>
    <x v="1"/>
    <x v="2"/>
    <x v="23"/>
    <s v="Bad Employee"/>
    <b v="0"/>
    <b v="0"/>
    <s v="Bad Employee"/>
    <x v="1"/>
    <x v="4"/>
    <n v="11"/>
    <n v="2020"/>
    <s v="Fully Remote"/>
    <n v="153"/>
    <x v="27"/>
  </r>
  <r>
    <x v="288"/>
    <x v="7"/>
    <s v="Brown"/>
    <x v="2"/>
    <x v="55"/>
    <s v="johnbrown@gmail.com"/>
    <x v="286"/>
    <s v="Medium"/>
    <x v="283"/>
    <n v="2012"/>
    <x v="7"/>
    <n v="14"/>
    <d v="2026-03-19T00:00:00"/>
    <n v="5057"/>
    <n v="5057"/>
    <n v="3614"/>
    <n v="39"/>
    <x v="0"/>
    <x v="1"/>
    <n v="3"/>
    <s v="No"/>
    <n v="9222.0400000000009"/>
    <x v="1"/>
    <x v="4"/>
    <x v="28"/>
    <s v="Bad Employee"/>
    <b v="0"/>
    <b v="1"/>
    <s v="Good employee"/>
    <x v="2"/>
    <x v="0"/>
    <n v="12"/>
    <n v="2023"/>
    <s v="Fully Remote"/>
    <n v="42"/>
    <x v="0"/>
  </r>
  <r>
    <x v="289"/>
    <x v="4"/>
    <s v="Johnson"/>
    <x v="3"/>
    <x v="91"/>
    <s v="sarahjohnson@gmail.com"/>
    <x v="287"/>
    <s v="Medium"/>
    <x v="284"/>
    <n v="2004"/>
    <x v="2"/>
    <n v="1"/>
    <d v="2026-03-19T00:00:00"/>
    <n v="7931"/>
    <n v="7931"/>
    <n v="5666"/>
    <n v="23"/>
    <x v="1"/>
    <x v="0"/>
    <n v="2"/>
    <s v="No"/>
    <n v="7963.98"/>
    <x v="0"/>
    <x v="4"/>
    <x v="24"/>
    <s v="Bad Employee"/>
    <b v="0"/>
    <b v="1"/>
    <s v="Good employee"/>
    <x v="0"/>
    <x v="5"/>
    <n v="17"/>
    <n v="2021"/>
    <s v="Fully Remote"/>
    <n v="122"/>
    <x v="3"/>
  </r>
  <r>
    <x v="290"/>
    <x v="7"/>
    <s v="Williams"/>
    <x v="4"/>
    <x v="191"/>
    <s v="johnwilliams@gmail.com"/>
    <x v="288"/>
    <s v="extremely low"/>
    <x v="285"/>
    <n v="2003"/>
    <x v="3"/>
    <n v="27"/>
    <d v="2026-03-19T00:00:00"/>
    <n v="8362"/>
    <n v="8362"/>
    <n v="5974"/>
    <n v="37"/>
    <x v="0"/>
    <x v="1"/>
    <n v="5"/>
    <s v="Yes"/>
    <n v="2586.56"/>
    <x v="2"/>
    <x v="0"/>
    <x v="7"/>
    <s v="Bad Employee"/>
    <b v="0"/>
    <b v="1"/>
    <s v="Good employee"/>
    <x v="0"/>
    <x v="2"/>
    <n v="4"/>
    <n v="2013"/>
    <s v="On-Site"/>
    <n v="63"/>
    <x v="32"/>
  </r>
  <r>
    <x v="291"/>
    <x v="3"/>
    <s v="Brown"/>
    <x v="1"/>
    <x v="145"/>
    <s v="alexbrown@gmail.com"/>
    <x v="289"/>
    <s v="low"/>
    <x v="286"/>
    <n v="2012"/>
    <x v="1"/>
    <n v="16"/>
    <d v="2026-03-19T00:00:00"/>
    <n v="4871"/>
    <n v="4871"/>
    <n v="3480"/>
    <n v="50"/>
    <x v="0"/>
    <x v="1"/>
    <n v="8"/>
    <s v="No"/>
    <n v="8346.01"/>
    <x v="2"/>
    <x v="4"/>
    <x v="13"/>
    <s v="Good Employee"/>
    <b v="1"/>
    <b v="1"/>
    <s v="Good employee"/>
    <x v="2"/>
    <x v="5"/>
    <n v="11"/>
    <n v="2010"/>
    <s v="On-Site"/>
    <n v="101"/>
    <x v="23"/>
  </r>
  <r>
    <x v="292"/>
    <x v="7"/>
    <s v="Miller"/>
    <x v="5"/>
    <x v="197"/>
    <s v="johnmiller@gmail.com"/>
    <x v="290"/>
    <s v="low"/>
    <x v="287"/>
    <n v="2014"/>
    <x v="1"/>
    <n v="17"/>
    <d v="2026-03-19T00:00:00"/>
    <n v="4140"/>
    <n v="4140"/>
    <n v="2959"/>
    <n v="54"/>
    <x v="0"/>
    <x v="1"/>
    <n v="6"/>
    <s v="Yes"/>
    <n v="1659.76"/>
    <x v="0"/>
    <x v="0"/>
    <x v="2"/>
    <s v="Bad Employee"/>
    <b v="0"/>
    <b v="0"/>
    <s v="Bad Employee"/>
    <x v="1"/>
    <x v="5"/>
    <n v="18"/>
    <n v="2014"/>
    <s v="On-Site"/>
    <n v="175"/>
    <x v="2"/>
  </r>
  <r>
    <x v="293"/>
    <x v="5"/>
    <s v="Brown"/>
    <x v="4"/>
    <x v="60"/>
    <s v="janebrown@gmail.com"/>
    <x v="291"/>
    <s v="High"/>
    <x v="288"/>
    <n v="2000"/>
    <x v="11"/>
    <n v="20"/>
    <d v="2026-03-19T00:00:00"/>
    <n v="9555"/>
    <n v="9555"/>
    <n v="6826"/>
    <n v="37"/>
    <x v="0"/>
    <x v="1"/>
    <n v="3"/>
    <s v="No"/>
    <n v="6410.89"/>
    <x v="0"/>
    <x v="0"/>
    <x v="31"/>
    <s v="Bad Employee"/>
    <b v="0"/>
    <b v="1"/>
    <s v="Good employee"/>
    <x v="2"/>
    <x v="2"/>
    <n v="0"/>
    <n v="2014"/>
    <s v="On-Site"/>
    <n v="21"/>
    <x v="7"/>
  </r>
  <r>
    <x v="294"/>
    <x v="5"/>
    <s v="Brown"/>
    <x v="5"/>
    <x v="198"/>
    <s v="janebrown@gmail.com"/>
    <x v="292"/>
    <s v="low"/>
    <x v="289"/>
    <n v="2001"/>
    <x v="1"/>
    <n v="6"/>
    <d v="2026-03-19T00:00:00"/>
    <n v="8899"/>
    <n v="8899"/>
    <n v="6358"/>
    <n v="56"/>
    <x v="0"/>
    <x v="1"/>
    <n v="9"/>
    <s v="No"/>
    <n v="8886.16"/>
    <x v="0"/>
    <x v="2"/>
    <x v="21"/>
    <s v="Bad Employee"/>
    <b v="0"/>
    <b v="1"/>
    <s v="Good employee"/>
    <x v="0"/>
    <x v="5"/>
    <n v="8"/>
    <n v="2013"/>
    <s v="Hybrid"/>
    <n v="73"/>
    <x v="39"/>
  </r>
  <r>
    <x v="295"/>
    <x v="1"/>
    <s v="Davis"/>
    <x v="2"/>
    <x v="104"/>
    <s v="emilydavis@gmail.com"/>
    <x v="293"/>
    <s v="High"/>
    <x v="290"/>
    <n v="2012"/>
    <x v="3"/>
    <n v="4"/>
    <d v="2026-03-19T00:00:00"/>
    <n v="5097"/>
    <n v="5097"/>
    <n v="3642"/>
    <n v="64"/>
    <x v="0"/>
    <x v="0"/>
    <n v="8"/>
    <s v="Yes"/>
    <n v="1460.66"/>
    <x v="2"/>
    <x v="1"/>
    <x v="27"/>
    <s v="Good Employee"/>
    <b v="1"/>
    <b v="1"/>
    <s v="Good employee"/>
    <x v="1"/>
    <x v="0"/>
    <n v="0"/>
    <n v="2018"/>
    <s v="Fully Remote"/>
    <n v="176"/>
    <x v="35"/>
  </r>
  <r>
    <x v="296"/>
    <x v="6"/>
    <s v="Brown"/>
    <x v="0"/>
    <x v="199"/>
    <s v="katiebrown@gmail.com"/>
    <x v="294"/>
    <s v="extremely low"/>
    <x v="291"/>
    <n v="2001"/>
    <x v="6"/>
    <n v="31"/>
    <d v="2026-03-19T00:00:00"/>
    <n v="8966"/>
    <n v="8966"/>
    <n v="6405"/>
    <n v="63"/>
    <x v="0"/>
    <x v="1"/>
    <n v="6"/>
    <s v="No"/>
    <n v="8572.08"/>
    <x v="1"/>
    <x v="2"/>
    <x v="9"/>
    <s v="Bad Employee"/>
    <b v="0"/>
    <b v="0"/>
    <s v="Bad Employee"/>
    <x v="2"/>
    <x v="1"/>
    <n v="17"/>
    <n v="2017"/>
    <s v="Hybrid"/>
    <n v="195"/>
    <x v="21"/>
  </r>
  <r>
    <x v="297"/>
    <x v="0"/>
    <s v="Miller"/>
    <x v="4"/>
    <x v="200"/>
    <s v="michaelmiller@gmail.com"/>
    <x v="295"/>
    <s v="High"/>
    <x v="292"/>
    <n v="2017"/>
    <x v="8"/>
    <n v="18"/>
    <d v="2026-03-19T00:00:00"/>
    <n v="3288"/>
    <n v="3288"/>
    <n v="2349"/>
    <n v="38"/>
    <x v="0"/>
    <x v="0"/>
    <n v="1"/>
    <s v="Yes"/>
    <n v="8086.9"/>
    <x v="1"/>
    <x v="4"/>
    <x v="37"/>
    <s v="Bad Employee"/>
    <b v="0"/>
    <b v="1"/>
    <s v="Good employee"/>
    <x v="2"/>
    <x v="1"/>
    <n v="2"/>
    <n v="2023"/>
    <s v="Fully Remote"/>
    <n v="27"/>
    <x v="15"/>
  </r>
  <r>
    <x v="298"/>
    <x v="2"/>
    <s v="Miller"/>
    <x v="3"/>
    <x v="201"/>
    <s v="chrismiller@gmail.com"/>
    <x v="296"/>
    <s v="High"/>
    <x v="293"/>
    <n v="2000"/>
    <x v="8"/>
    <n v="2"/>
    <d v="2026-03-19T00:00:00"/>
    <n v="9513"/>
    <n v="9513"/>
    <n v="6796"/>
    <n v="25"/>
    <x v="1"/>
    <x v="0"/>
    <n v="2"/>
    <s v="Yes"/>
    <n v="5285.87"/>
    <x v="3"/>
    <x v="3"/>
    <x v="27"/>
    <s v="Bad Employee"/>
    <b v="0"/>
    <b v="1"/>
    <s v="Good employee"/>
    <x v="1"/>
    <x v="1"/>
    <n v="5"/>
    <n v="2019"/>
    <s v="Fully Remote"/>
    <n v="107"/>
    <x v="29"/>
  </r>
  <r>
    <x v="299"/>
    <x v="4"/>
    <s v="Smith"/>
    <x v="4"/>
    <x v="202"/>
    <s v="sarahsmith@gmail.com"/>
    <x v="297"/>
    <s v="low"/>
    <x v="294"/>
    <n v="2003"/>
    <x v="9"/>
    <n v="19"/>
    <d v="2026-03-19T00:00:00"/>
    <n v="8309"/>
    <n v="8309"/>
    <n v="5936"/>
    <n v="25"/>
    <x v="1"/>
    <x v="0"/>
    <n v="4"/>
    <s v="No"/>
    <n v="3434.53"/>
    <x v="2"/>
    <x v="4"/>
    <x v="1"/>
    <s v="Bad Employee"/>
    <b v="0"/>
    <b v="1"/>
    <s v="Good employee"/>
    <x v="2"/>
    <x v="1"/>
    <n v="3"/>
    <n v="2023"/>
    <s v="Hybrid"/>
    <n v="158"/>
    <x v="32"/>
  </r>
  <r>
    <x v="300"/>
    <x v="7"/>
    <s v="Brown"/>
    <x v="5"/>
    <x v="203"/>
    <s v="johnbrown@gmail.com"/>
    <x v="298"/>
    <s v="low"/>
    <x v="295"/>
    <n v="2006"/>
    <x v="3"/>
    <n v="4"/>
    <d v="2026-03-19T00:00:00"/>
    <n v="7289"/>
    <n v="7289"/>
    <n v="5208"/>
    <n v="46"/>
    <x v="0"/>
    <x v="1"/>
    <n v="2"/>
    <s v="No"/>
    <n v="4351.66"/>
    <x v="2"/>
    <x v="1"/>
    <x v="30"/>
    <s v="Bad Employee"/>
    <b v="0"/>
    <b v="0"/>
    <s v="Bad Employee"/>
    <x v="1"/>
    <x v="3"/>
    <n v="11"/>
    <n v="2012"/>
    <s v="On-Site"/>
    <n v="98"/>
    <x v="40"/>
  </r>
  <r>
    <x v="301"/>
    <x v="7"/>
    <s v="Davis"/>
    <x v="2"/>
    <x v="58"/>
    <s v="johndavis@gmail.com"/>
    <x v="299"/>
    <s v="Medium"/>
    <x v="296"/>
    <n v="2003"/>
    <x v="4"/>
    <n v="28"/>
    <d v="2026-03-19T00:00:00"/>
    <n v="8420"/>
    <n v="8420"/>
    <n v="6015"/>
    <n v="54"/>
    <x v="0"/>
    <x v="0"/>
    <n v="3"/>
    <s v="No"/>
    <n v="9702.25"/>
    <x v="0"/>
    <x v="4"/>
    <x v="25"/>
    <s v="Bad Employee"/>
    <b v="0"/>
    <b v="0"/>
    <s v="Bad Employee"/>
    <x v="1"/>
    <x v="4"/>
    <n v="11"/>
    <n v="2014"/>
    <s v="Fully Remote"/>
    <n v="180"/>
    <x v="8"/>
  </r>
  <r>
    <x v="302"/>
    <x v="3"/>
    <s v="Brown"/>
    <x v="1"/>
    <x v="145"/>
    <s v="alexbrown@gmail.com"/>
    <x v="300"/>
    <s v="extremely low"/>
    <x v="297"/>
    <n v="2004"/>
    <x v="9"/>
    <n v="16"/>
    <d v="2026-03-19T00:00:00"/>
    <n v="7946"/>
    <n v="7946"/>
    <n v="5677"/>
    <n v="35"/>
    <x v="0"/>
    <x v="0"/>
    <n v="8"/>
    <s v="No"/>
    <n v="2416.13"/>
    <x v="2"/>
    <x v="1"/>
    <x v="30"/>
    <s v="Bad Employee"/>
    <b v="0"/>
    <b v="1"/>
    <s v="Good employee"/>
    <x v="2"/>
    <x v="5"/>
    <n v="4"/>
    <n v="2015"/>
    <s v="On-Site"/>
    <n v="179"/>
    <x v="13"/>
  </r>
  <r>
    <x v="303"/>
    <x v="6"/>
    <s v="Williams"/>
    <x v="3"/>
    <x v="97"/>
    <s v="katiewilliams@gmail.com"/>
    <x v="301"/>
    <s v="High"/>
    <x v="298"/>
    <n v="2004"/>
    <x v="9"/>
    <n v="14"/>
    <d v="2026-03-19T00:00:00"/>
    <n v="7948"/>
    <n v="7948"/>
    <n v="5679"/>
    <n v="45"/>
    <x v="0"/>
    <x v="0"/>
    <n v="9"/>
    <s v="No"/>
    <n v="6006.24"/>
    <x v="2"/>
    <x v="3"/>
    <x v="5"/>
    <s v="Good Employee"/>
    <b v="1"/>
    <b v="1"/>
    <s v="Good employee"/>
    <x v="1"/>
    <x v="2"/>
    <n v="12"/>
    <n v="2014"/>
    <s v="Hybrid"/>
    <n v="50"/>
    <x v="2"/>
  </r>
  <r>
    <x v="304"/>
    <x v="5"/>
    <s v="Williams"/>
    <x v="2"/>
    <x v="41"/>
    <s v="janewilliams@gmail.com"/>
    <x v="302"/>
    <s v="Medium"/>
    <x v="299"/>
    <n v="2010"/>
    <x v="8"/>
    <n v="5"/>
    <d v="2026-03-19T00:00:00"/>
    <n v="5858"/>
    <n v="5858"/>
    <n v="4185"/>
    <n v="32"/>
    <x v="0"/>
    <x v="0"/>
    <n v="6"/>
    <s v="Yes"/>
    <n v="1290.79"/>
    <x v="1"/>
    <x v="3"/>
    <x v="32"/>
    <s v="Bad Employee"/>
    <b v="0"/>
    <b v="1"/>
    <s v="Good employee"/>
    <x v="1"/>
    <x v="0"/>
    <n v="11"/>
    <n v="2017"/>
    <s v="Fully Remote"/>
    <n v="33"/>
    <x v="19"/>
  </r>
  <r>
    <x v="305"/>
    <x v="2"/>
    <s v="Davis"/>
    <x v="4"/>
    <x v="21"/>
    <s v="chrisdavis@gmail.com"/>
    <x v="303"/>
    <s v="low"/>
    <x v="300"/>
    <n v="2014"/>
    <x v="7"/>
    <n v="9"/>
    <d v="2026-03-19T00:00:00"/>
    <n v="4332"/>
    <n v="4332"/>
    <n v="3095"/>
    <n v="46"/>
    <x v="0"/>
    <x v="0"/>
    <n v="4"/>
    <s v="Yes"/>
    <n v="2569.98"/>
    <x v="2"/>
    <x v="0"/>
    <x v="38"/>
    <s v="Bad Employee"/>
    <b v="0"/>
    <b v="0"/>
    <s v="Bad Employee"/>
    <x v="0"/>
    <x v="5"/>
    <n v="3"/>
    <n v="2014"/>
    <s v="On-Site"/>
    <n v="38"/>
    <x v="24"/>
  </r>
  <r>
    <x v="306"/>
    <x v="1"/>
    <s v="Smith"/>
    <x v="1"/>
    <x v="149"/>
    <s v="emilysmith@gmail.com"/>
    <x v="304"/>
    <s v="Medium"/>
    <x v="301"/>
    <n v="2015"/>
    <x v="8"/>
    <n v="22"/>
    <d v="2026-03-19T00:00:00"/>
    <n v="4015"/>
    <n v="4015"/>
    <n v="2869"/>
    <n v="49"/>
    <x v="0"/>
    <x v="0"/>
    <n v="2"/>
    <s v="Yes"/>
    <n v="7751.51"/>
    <x v="1"/>
    <x v="4"/>
    <x v="10"/>
    <s v="Bad Employee"/>
    <b v="0"/>
    <b v="0"/>
    <s v="Bad Employee"/>
    <x v="0"/>
    <x v="3"/>
    <n v="5"/>
    <n v="2017"/>
    <s v="Hybrid"/>
    <n v="14"/>
    <x v="37"/>
  </r>
  <r>
    <x v="307"/>
    <x v="5"/>
    <s v="Smith"/>
    <x v="2"/>
    <x v="204"/>
    <s v="janesmith@gmail.com"/>
    <x v="305"/>
    <s v="High"/>
    <x v="302"/>
    <n v="2013"/>
    <x v="5"/>
    <n v="1"/>
    <d v="2026-03-19T00:00:00"/>
    <n v="4552"/>
    <n v="4552"/>
    <n v="3253"/>
    <n v="28"/>
    <x v="1"/>
    <x v="1"/>
    <n v="7"/>
    <s v="Yes"/>
    <n v="3374.69"/>
    <x v="1"/>
    <x v="0"/>
    <x v="9"/>
    <s v="Bad Employee"/>
    <b v="0"/>
    <b v="1"/>
    <s v="Good employee"/>
    <x v="0"/>
    <x v="3"/>
    <n v="18"/>
    <n v="2019"/>
    <s v="Fully Remote"/>
    <n v="24"/>
    <x v="20"/>
  </r>
  <r>
    <x v="308"/>
    <x v="4"/>
    <s v="Miller"/>
    <x v="0"/>
    <x v="18"/>
    <s v="sarahmiller@gmail.com"/>
    <x v="306"/>
    <s v="Medium"/>
    <x v="303"/>
    <n v="2017"/>
    <x v="5"/>
    <n v="3"/>
    <d v="2026-03-19T00:00:00"/>
    <n v="3089"/>
    <n v="3089"/>
    <n v="2208"/>
    <n v="57"/>
    <x v="0"/>
    <x v="0"/>
    <n v="7"/>
    <s v="Yes"/>
    <n v="9864.7800000000007"/>
    <x v="2"/>
    <x v="2"/>
    <x v="4"/>
    <s v="Bad Employee"/>
    <b v="0"/>
    <b v="1"/>
    <s v="Good employee"/>
    <x v="2"/>
    <x v="2"/>
    <n v="5"/>
    <n v="2019"/>
    <s v="Hybrid"/>
    <n v="38"/>
    <x v="6"/>
  </r>
  <r>
    <x v="309"/>
    <x v="6"/>
    <s v="Miller"/>
    <x v="3"/>
    <x v="205"/>
    <s v="katiemiller@gmail.com"/>
    <x v="307"/>
    <s v="High"/>
    <x v="304"/>
    <n v="2003"/>
    <x v="10"/>
    <n v="13"/>
    <d v="2026-03-19T00:00:00"/>
    <n v="8132"/>
    <n v="8132"/>
    <n v="5809"/>
    <n v="31"/>
    <x v="0"/>
    <x v="0"/>
    <n v="9"/>
    <s v="No"/>
    <n v="5257.76"/>
    <x v="1"/>
    <x v="2"/>
    <x v="10"/>
    <s v="Bad Employee"/>
    <b v="0"/>
    <b v="1"/>
    <s v="Good employee"/>
    <x v="2"/>
    <x v="5"/>
    <n v="5"/>
    <n v="2023"/>
    <s v="On-Site"/>
    <n v="105"/>
    <x v="32"/>
  </r>
  <r>
    <x v="310"/>
    <x v="4"/>
    <s v="Johnson"/>
    <x v="5"/>
    <x v="182"/>
    <s v="sarahjohnson@gmail.com"/>
    <x v="308"/>
    <s v="low"/>
    <x v="305"/>
    <n v="2004"/>
    <x v="2"/>
    <n v="11"/>
    <d v="2026-03-19T00:00:00"/>
    <n v="7921"/>
    <n v="7921"/>
    <n v="5659"/>
    <n v="57"/>
    <x v="0"/>
    <x v="1"/>
    <n v="5"/>
    <s v="Yes"/>
    <n v="5407.12"/>
    <x v="0"/>
    <x v="2"/>
    <x v="13"/>
    <s v="Bad Employee"/>
    <b v="0"/>
    <b v="1"/>
    <s v="Good employee"/>
    <x v="2"/>
    <x v="1"/>
    <n v="10"/>
    <n v="2012"/>
    <s v="Fully Remote"/>
    <n v="145"/>
    <x v="28"/>
  </r>
  <r>
    <x v="311"/>
    <x v="0"/>
    <s v="Davis"/>
    <x v="2"/>
    <x v="206"/>
    <s v="michaeldavis@gmail.com"/>
    <x v="309"/>
    <s v="low"/>
    <x v="306"/>
    <n v="2006"/>
    <x v="1"/>
    <n v="7"/>
    <d v="2026-03-19T00:00:00"/>
    <n v="7072"/>
    <n v="7072"/>
    <n v="5053"/>
    <n v="52"/>
    <x v="0"/>
    <x v="0"/>
    <n v="4"/>
    <s v="Yes"/>
    <n v="844.99"/>
    <x v="1"/>
    <x v="2"/>
    <x v="24"/>
    <s v="Bad Employee"/>
    <b v="0"/>
    <b v="1"/>
    <s v="Good employee"/>
    <x v="2"/>
    <x v="5"/>
    <n v="13"/>
    <n v="2014"/>
    <s v="Fully Remote"/>
    <n v="91"/>
    <x v="5"/>
  </r>
  <r>
    <x v="312"/>
    <x v="1"/>
    <s v="Brown"/>
    <x v="2"/>
    <x v="154"/>
    <s v="emilybrown@gmail.com"/>
    <x v="310"/>
    <s v="extremely low"/>
    <x v="307"/>
    <n v="2008"/>
    <x v="10"/>
    <n v="13"/>
    <d v="2026-03-19T00:00:00"/>
    <n v="6305"/>
    <n v="6305"/>
    <n v="4504"/>
    <n v="40"/>
    <x v="0"/>
    <x v="1"/>
    <n v="6"/>
    <s v="No"/>
    <n v="9587"/>
    <x v="2"/>
    <x v="2"/>
    <x v="2"/>
    <s v="Bad Employee"/>
    <b v="0"/>
    <b v="0"/>
    <s v="Bad Employee"/>
    <x v="1"/>
    <x v="5"/>
    <n v="2"/>
    <n v="2013"/>
    <s v="Fully Remote"/>
    <n v="142"/>
    <x v="20"/>
  </r>
  <r>
    <x v="313"/>
    <x v="0"/>
    <s v="Wilson"/>
    <x v="0"/>
    <x v="207"/>
    <s v="michaelwilson@gmail.com"/>
    <x v="311"/>
    <s v="High"/>
    <x v="308"/>
    <n v="2000"/>
    <x v="5"/>
    <n v="8"/>
    <d v="2026-03-19T00:00:00"/>
    <n v="9293"/>
    <n v="9293"/>
    <n v="6639"/>
    <n v="39"/>
    <x v="0"/>
    <x v="1"/>
    <n v="2"/>
    <s v="No"/>
    <n v="2155.2199999999998"/>
    <x v="0"/>
    <x v="4"/>
    <x v="30"/>
    <s v="Bad Employee"/>
    <b v="0"/>
    <b v="0"/>
    <s v="Bad Employee"/>
    <x v="1"/>
    <x v="3"/>
    <n v="7"/>
    <n v="2022"/>
    <s v="Hybrid"/>
    <n v="49"/>
    <x v="36"/>
  </r>
  <r>
    <x v="314"/>
    <x v="3"/>
    <s v="Davis"/>
    <x v="4"/>
    <x v="208"/>
    <s v="alexdavis@gmail.com"/>
    <x v="312"/>
    <s v="High"/>
    <x v="309"/>
    <n v="2013"/>
    <x v="6"/>
    <n v="21"/>
    <d v="2026-03-19T00:00:00"/>
    <n v="4593"/>
    <n v="4593"/>
    <n v="3282"/>
    <n v="27"/>
    <x v="1"/>
    <x v="0"/>
    <n v="2"/>
    <s v="No"/>
    <n v="5614.24"/>
    <x v="0"/>
    <x v="0"/>
    <x v="18"/>
    <s v="Bad Employee"/>
    <b v="0"/>
    <b v="0"/>
    <s v="Bad Employee"/>
    <x v="0"/>
    <x v="5"/>
    <n v="3"/>
    <n v="2020"/>
    <s v="Hybrid"/>
    <n v="132"/>
    <x v="31"/>
  </r>
  <r>
    <x v="315"/>
    <x v="4"/>
    <s v="Johnson"/>
    <x v="3"/>
    <x v="91"/>
    <s v="sarahjohnson@gmail.com"/>
    <x v="313"/>
    <s v="Medium"/>
    <x v="310"/>
    <n v="2002"/>
    <x v="5"/>
    <n v="21"/>
    <d v="2026-03-19T00:00:00"/>
    <n v="8550"/>
    <n v="8550"/>
    <n v="6109"/>
    <n v="49"/>
    <x v="0"/>
    <x v="0"/>
    <n v="9"/>
    <s v="No"/>
    <n v="4258.91"/>
    <x v="2"/>
    <x v="0"/>
    <x v="2"/>
    <s v="Bad Employee"/>
    <b v="0"/>
    <b v="1"/>
    <s v="Good employee"/>
    <x v="1"/>
    <x v="1"/>
    <n v="15"/>
    <n v="2015"/>
    <s v="Hybrid"/>
    <n v="93"/>
    <x v="31"/>
  </r>
  <r>
    <x v="316"/>
    <x v="3"/>
    <s v="Miller"/>
    <x v="3"/>
    <x v="140"/>
    <s v="alexmiller@gmail.com"/>
    <x v="314"/>
    <s v="High"/>
    <x v="311"/>
    <n v="2013"/>
    <x v="8"/>
    <n v="11"/>
    <d v="2026-03-19T00:00:00"/>
    <n v="4756"/>
    <n v="4756"/>
    <n v="3399"/>
    <n v="28"/>
    <x v="1"/>
    <x v="1"/>
    <n v="7"/>
    <s v="Yes"/>
    <n v="4448.05"/>
    <x v="3"/>
    <x v="1"/>
    <x v="30"/>
    <s v="Bad Employee"/>
    <b v="0"/>
    <b v="1"/>
    <s v="Good employee"/>
    <x v="2"/>
    <x v="5"/>
    <n v="17"/>
    <n v="2012"/>
    <s v="Hybrid"/>
    <n v="86"/>
    <x v="33"/>
  </r>
  <r>
    <x v="317"/>
    <x v="7"/>
    <s v="Davis"/>
    <x v="5"/>
    <x v="178"/>
    <s v="johndavis@gmail.com"/>
    <x v="315"/>
    <s v="Medium"/>
    <x v="312"/>
    <n v="2016"/>
    <x v="4"/>
    <n v="20"/>
    <d v="2026-03-19T00:00:00"/>
    <n v="3680"/>
    <n v="3680"/>
    <n v="2629"/>
    <n v="59"/>
    <x v="0"/>
    <x v="1"/>
    <n v="7"/>
    <s v="No"/>
    <n v="6611.35"/>
    <x v="1"/>
    <x v="2"/>
    <x v="35"/>
    <s v="Good Employee"/>
    <b v="1"/>
    <b v="1"/>
    <s v="Good employee"/>
    <x v="1"/>
    <x v="5"/>
    <n v="6"/>
    <n v="2021"/>
    <s v="On-Site"/>
    <n v="123"/>
    <x v="16"/>
  </r>
  <r>
    <x v="318"/>
    <x v="0"/>
    <s v="Davis"/>
    <x v="2"/>
    <x v="206"/>
    <s v="michaeldavis@gmail.com"/>
    <x v="316"/>
    <s v="extremely low"/>
    <x v="313"/>
    <n v="2009"/>
    <x v="3"/>
    <n v="26"/>
    <d v="2026-03-19T00:00:00"/>
    <n v="6171"/>
    <n v="6171"/>
    <n v="4409"/>
    <n v="33"/>
    <x v="0"/>
    <x v="1"/>
    <n v="5"/>
    <s v="Yes"/>
    <n v="6789.84"/>
    <x v="1"/>
    <x v="3"/>
    <x v="11"/>
    <s v="Bad Employee"/>
    <b v="0"/>
    <b v="0"/>
    <s v="Bad Employee"/>
    <x v="0"/>
    <x v="5"/>
    <n v="10"/>
    <n v="2019"/>
    <s v="Hybrid"/>
    <n v="96"/>
    <x v="19"/>
  </r>
  <r>
    <x v="319"/>
    <x v="6"/>
    <s v="Miller"/>
    <x v="1"/>
    <x v="143"/>
    <s v="katiemiller@gmail.com"/>
    <x v="317"/>
    <s v="High"/>
    <x v="314"/>
    <n v="2003"/>
    <x v="7"/>
    <n v="20"/>
    <d v="2026-03-19T00:00:00"/>
    <n v="8339"/>
    <n v="8339"/>
    <n v="5958"/>
    <n v="62"/>
    <x v="0"/>
    <x v="1"/>
    <n v="7"/>
    <s v="No"/>
    <n v="1965.74"/>
    <x v="3"/>
    <x v="1"/>
    <x v="4"/>
    <s v="Bad Employee"/>
    <b v="0"/>
    <b v="1"/>
    <s v="Good employee"/>
    <x v="2"/>
    <x v="1"/>
    <n v="7"/>
    <n v="2013"/>
    <s v="Hybrid"/>
    <n v="140"/>
    <x v="25"/>
  </r>
  <r>
    <x v="320"/>
    <x v="4"/>
    <s v="Johnson"/>
    <x v="2"/>
    <x v="209"/>
    <s v="sarahjohnson@gmail.com"/>
    <x v="318"/>
    <s v="High"/>
    <x v="315"/>
    <n v="2011"/>
    <x v="9"/>
    <n v="14"/>
    <d v="2026-03-19T00:00:00"/>
    <n v="5392"/>
    <n v="5392"/>
    <n v="3853"/>
    <n v="55"/>
    <x v="0"/>
    <x v="0"/>
    <n v="9"/>
    <s v="No"/>
    <n v="5246.07"/>
    <x v="0"/>
    <x v="1"/>
    <x v="6"/>
    <s v="Bad Employee"/>
    <b v="0"/>
    <b v="1"/>
    <s v="Good employee"/>
    <x v="1"/>
    <x v="1"/>
    <n v="19"/>
    <n v="2020"/>
    <s v="Hybrid"/>
    <n v="9"/>
    <x v="22"/>
  </r>
  <r>
    <x v="321"/>
    <x v="2"/>
    <s v="Miller"/>
    <x v="5"/>
    <x v="159"/>
    <s v="chrismiller@gmail.com"/>
    <x v="319"/>
    <s v="Medium"/>
    <x v="316"/>
    <n v="2013"/>
    <x v="11"/>
    <n v="12"/>
    <d v="2026-03-19T00:00:00"/>
    <n v="4814"/>
    <n v="4814"/>
    <n v="3439"/>
    <n v="46"/>
    <x v="0"/>
    <x v="1"/>
    <n v="5"/>
    <s v="Yes"/>
    <n v="8009.54"/>
    <x v="3"/>
    <x v="4"/>
    <x v="20"/>
    <s v="Bad Employee"/>
    <b v="0"/>
    <b v="0"/>
    <s v="Bad Employee"/>
    <x v="0"/>
    <x v="2"/>
    <n v="5"/>
    <n v="2013"/>
    <s v="On-Site"/>
    <n v="24"/>
    <x v="38"/>
  </r>
  <r>
    <x v="322"/>
    <x v="1"/>
    <s v="Smith"/>
    <x v="2"/>
    <x v="160"/>
    <s v="emilysmith@gmail.com"/>
    <x v="320"/>
    <s v="Medium"/>
    <x v="317"/>
    <n v="2013"/>
    <x v="2"/>
    <n v="28"/>
    <d v="2026-03-19T00:00:00"/>
    <n v="4617"/>
    <n v="4617"/>
    <n v="3299"/>
    <n v="38"/>
    <x v="0"/>
    <x v="1"/>
    <n v="9"/>
    <s v="Yes"/>
    <n v="4711.22"/>
    <x v="2"/>
    <x v="1"/>
    <x v="20"/>
    <s v="Bad Employee"/>
    <b v="0"/>
    <b v="1"/>
    <s v="Good employee"/>
    <x v="1"/>
    <x v="3"/>
    <n v="15"/>
    <n v="2014"/>
    <s v="On-Site"/>
    <n v="125"/>
    <x v="30"/>
  </r>
  <r>
    <x v="323"/>
    <x v="5"/>
    <s v="Brown"/>
    <x v="0"/>
    <x v="210"/>
    <s v="janebrown@gmail.com"/>
    <x v="321"/>
    <s v="Medium"/>
    <x v="318"/>
    <n v="2015"/>
    <x v="10"/>
    <n v="6"/>
    <d v="2026-03-19T00:00:00"/>
    <n v="3756"/>
    <n v="3756"/>
    <n v="2684"/>
    <n v="54"/>
    <x v="0"/>
    <x v="1"/>
    <n v="1"/>
    <s v="No"/>
    <n v="2075.14"/>
    <x v="3"/>
    <x v="3"/>
    <x v="27"/>
    <s v="Bad Employee"/>
    <b v="0"/>
    <b v="1"/>
    <s v="Good employee"/>
    <x v="0"/>
    <x v="4"/>
    <n v="4"/>
    <n v="2020"/>
    <s v="Fully Remote"/>
    <n v="176"/>
    <x v="23"/>
  </r>
  <r>
    <x v="324"/>
    <x v="6"/>
    <s v="Miller"/>
    <x v="2"/>
    <x v="211"/>
    <s v="katiemiller@gmail.com"/>
    <x v="322"/>
    <s v="High"/>
    <x v="319"/>
    <n v="2016"/>
    <x v="10"/>
    <n v="26"/>
    <d v="2026-03-19T00:00:00"/>
    <n v="3370"/>
    <n v="3370"/>
    <n v="2409"/>
    <n v="44"/>
    <x v="0"/>
    <x v="0"/>
    <n v="3"/>
    <s v="Yes"/>
    <n v="3475.56"/>
    <x v="0"/>
    <x v="0"/>
    <x v="17"/>
    <s v="Bad Employee"/>
    <b v="0"/>
    <b v="0"/>
    <s v="Bad Employee"/>
    <x v="0"/>
    <x v="2"/>
    <n v="5"/>
    <n v="2015"/>
    <s v="Hybrid"/>
    <n v="62"/>
    <x v="9"/>
  </r>
  <r>
    <x v="325"/>
    <x v="6"/>
    <s v="Johnson"/>
    <x v="2"/>
    <x v="212"/>
    <s v="katiejohnson@gmail.com"/>
    <x v="323"/>
    <s v="extremely low"/>
    <x v="320"/>
    <n v="2019"/>
    <x v="11"/>
    <n v="1"/>
    <d v="2026-03-19T00:00:00"/>
    <n v="2634"/>
    <n v="2634"/>
    <n v="1883"/>
    <n v="30"/>
    <x v="1"/>
    <x v="1"/>
    <n v="7"/>
    <s v="No"/>
    <n v="2517.61"/>
    <x v="2"/>
    <x v="1"/>
    <x v="8"/>
    <s v="Good Employee"/>
    <b v="1"/>
    <b v="1"/>
    <s v="Good employee"/>
    <x v="0"/>
    <x v="1"/>
    <n v="5"/>
    <n v="2011"/>
    <s v="Fully Remote"/>
    <n v="152"/>
    <x v="11"/>
  </r>
  <r>
    <x v="326"/>
    <x v="3"/>
    <s v="Williams"/>
    <x v="1"/>
    <x v="19"/>
    <s v="alexwilliams@gmail.com"/>
    <x v="324"/>
    <s v="Medium"/>
    <x v="321"/>
    <n v="2017"/>
    <x v="11"/>
    <n v="29"/>
    <d v="2026-03-19T00:00:00"/>
    <n v="3336"/>
    <n v="3336"/>
    <n v="2384"/>
    <n v="27"/>
    <x v="1"/>
    <x v="1"/>
    <n v="4"/>
    <s v="No"/>
    <n v="1695.27"/>
    <x v="2"/>
    <x v="4"/>
    <x v="9"/>
    <s v="Bad Employee"/>
    <b v="0"/>
    <b v="0"/>
    <s v="Bad Employee"/>
    <x v="2"/>
    <x v="5"/>
    <n v="1"/>
    <n v="2019"/>
    <s v="Fully Remote"/>
    <n v="93"/>
    <x v="27"/>
  </r>
  <r>
    <x v="327"/>
    <x v="0"/>
    <s v="Smith"/>
    <x v="0"/>
    <x v="152"/>
    <s v="michaelsmith@gmail.com"/>
    <x v="325"/>
    <s v="High"/>
    <x v="322"/>
    <n v="2002"/>
    <x v="4"/>
    <n v="24"/>
    <d v="2026-03-19T00:00:00"/>
    <n v="8789"/>
    <n v="8789"/>
    <n v="6279"/>
    <n v="23"/>
    <x v="1"/>
    <x v="0"/>
    <n v="2"/>
    <s v="Yes"/>
    <n v="4087.02"/>
    <x v="2"/>
    <x v="2"/>
    <x v="8"/>
    <s v="Bad Employee"/>
    <b v="0"/>
    <b v="1"/>
    <s v="Good employee"/>
    <x v="1"/>
    <x v="4"/>
    <n v="6"/>
    <n v="2021"/>
    <s v="On-Site"/>
    <n v="104"/>
    <x v="17"/>
  </r>
  <r>
    <x v="328"/>
    <x v="4"/>
    <s v="Williams"/>
    <x v="0"/>
    <x v="71"/>
    <s v="sarahwilliams@gmail.com"/>
    <x v="326"/>
    <s v="low"/>
    <x v="323"/>
    <n v="2015"/>
    <x v="2"/>
    <n v="13"/>
    <d v="2026-03-19T00:00:00"/>
    <n v="3902"/>
    <n v="3902"/>
    <n v="2789"/>
    <n v="59"/>
    <x v="0"/>
    <x v="0"/>
    <n v="3"/>
    <s v="Yes"/>
    <n v="5638.89"/>
    <x v="1"/>
    <x v="3"/>
    <x v="9"/>
    <s v="Bad Employee"/>
    <b v="0"/>
    <b v="0"/>
    <s v="Bad Employee"/>
    <x v="1"/>
    <x v="0"/>
    <n v="8"/>
    <n v="2017"/>
    <s v="On-Site"/>
    <n v="119"/>
    <x v="1"/>
  </r>
  <r>
    <x v="329"/>
    <x v="4"/>
    <s v="Wilson"/>
    <x v="2"/>
    <x v="133"/>
    <s v="sarahwilson@gmail.com"/>
    <x v="327"/>
    <s v="extremely low"/>
    <x v="324"/>
    <n v="2009"/>
    <x v="11"/>
    <n v="30"/>
    <d v="2026-03-19T00:00:00"/>
    <n v="6257"/>
    <n v="6257"/>
    <n v="4470"/>
    <n v="30"/>
    <x v="1"/>
    <x v="1"/>
    <n v="7"/>
    <s v="Yes"/>
    <n v="1191.1400000000001"/>
    <x v="1"/>
    <x v="2"/>
    <x v="36"/>
    <s v="Good Employee"/>
    <b v="1"/>
    <b v="1"/>
    <s v="Good employee"/>
    <x v="2"/>
    <x v="4"/>
    <n v="14"/>
    <n v="2013"/>
    <s v="Fully Remote"/>
    <n v="78"/>
    <x v="7"/>
  </r>
  <r>
    <x v="330"/>
    <x v="7"/>
    <s v="Miller"/>
    <x v="3"/>
    <x v="36"/>
    <s v="johnmiller@gmail.com"/>
    <x v="328"/>
    <s v="High"/>
    <x v="325"/>
    <n v="2004"/>
    <x v="2"/>
    <n v="25"/>
    <d v="2026-03-19T00:00:00"/>
    <n v="7907"/>
    <n v="7907"/>
    <n v="5649"/>
    <n v="24"/>
    <x v="1"/>
    <x v="1"/>
    <n v="8"/>
    <s v="No"/>
    <n v="6236.32"/>
    <x v="2"/>
    <x v="1"/>
    <x v="2"/>
    <s v="Bad Employee"/>
    <b v="0"/>
    <b v="1"/>
    <s v="Good employee"/>
    <x v="2"/>
    <x v="2"/>
    <n v="13"/>
    <n v="2016"/>
    <s v="Fully Remote"/>
    <n v="172"/>
    <x v="21"/>
  </r>
  <r>
    <x v="331"/>
    <x v="7"/>
    <s v="Smith"/>
    <x v="1"/>
    <x v="137"/>
    <s v="johnsmith@gmail.com"/>
    <x v="329"/>
    <s v="Medium"/>
    <x v="326"/>
    <n v="2008"/>
    <x v="8"/>
    <n v="27"/>
    <d v="2026-03-19T00:00:00"/>
    <n v="6566"/>
    <n v="6566"/>
    <n v="4691"/>
    <n v="37"/>
    <x v="0"/>
    <x v="1"/>
    <n v="9"/>
    <s v="Yes"/>
    <n v="9933.73"/>
    <x v="3"/>
    <x v="0"/>
    <x v="31"/>
    <s v="Good Employee"/>
    <b v="1"/>
    <b v="1"/>
    <s v="Good employee"/>
    <x v="1"/>
    <x v="3"/>
    <n v="12"/>
    <n v="2016"/>
    <s v="Hybrid"/>
    <n v="20"/>
    <x v="10"/>
  </r>
  <r>
    <x v="332"/>
    <x v="1"/>
    <s v="Brown"/>
    <x v="2"/>
    <x v="154"/>
    <s v="emilybrown@gmail.com"/>
    <x v="330"/>
    <s v="High"/>
    <x v="327"/>
    <n v="2017"/>
    <x v="6"/>
    <n v="19"/>
    <d v="2026-03-19T00:00:00"/>
    <n v="3134"/>
    <n v="3134"/>
    <n v="2239"/>
    <n v="46"/>
    <x v="0"/>
    <x v="0"/>
    <n v="6"/>
    <s v="Yes"/>
    <n v="9659.19"/>
    <x v="1"/>
    <x v="4"/>
    <x v="4"/>
    <s v="Bad Employee"/>
    <b v="0"/>
    <b v="0"/>
    <s v="Bad Employee"/>
    <x v="2"/>
    <x v="2"/>
    <n v="4"/>
    <n v="2021"/>
    <s v="On-Site"/>
    <n v="8"/>
    <x v="30"/>
  </r>
  <r>
    <x v="333"/>
    <x v="3"/>
    <s v="Miller"/>
    <x v="2"/>
    <x v="121"/>
    <s v="alexmiller@gmail.com"/>
    <x v="331"/>
    <s v="High"/>
    <x v="328"/>
    <n v="2008"/>
    <x v="0"/>
    <n v="29"/>
    <d v="2026-03-19T00:00:00"/>
    <n v="6380"/>
    <n v="6380"/>
    <n v="4559"/>
    <n v="45"/>
    <x v="0"/>
    <x v="0"/>
    <n v="9"/>
    <s v="No"/>
    <n v="8377.15"/>
    <x v="0"/>
    <x v="3"/>
    <x v="18"/>
    <s v="Bad Employee"/>
    <b v="0"/>
    <b v="1"/>
    <s v="Good employee"/>
    <x v="2"/>
    <x v="3"/>
    <n v="16"/>
    <n v="2023"/>
    <s v="On-Site"/>
    <n v="14"/>
    <x v="30"/>
  </r>
  <r>
    <x v="334"/>
    <x v="6"/>
    <s v="Brown"/>
    <x v="5"/>
    <x v="73"/>
    <s v="katiebrown@gmail.com"/>
    <x v="332"/>
    <s v="Medium"/>
    <x v="329"/>
    <n v="2013"/>
    <x v="4"/>
    <n v="10"/>
    <d v="2026-03-19T00:00:00"/>
    <n v="4785"/>
    <n v="4785"/>
    <n v="3419"/>
    <n v="50"/>
    <x v="0"/>
    <x v="1"/>
    <n v="4"/>
    <s v="Yes"/>
    <n v="3030.24"/>
    <x v="1"/>
    <x v="0"/>
    <x v="37"/>
    <s v="Bad Employee"/>
    <b v="0"/>
    <b v="1"/>
    <s v="Good employee"/>
    <x v="1"/>
    <x v="3"/>
    <n v="4"/>
    <n v="2022"/>
    <s v="Fully Remote"/>
    <n v="183"/>
    <x v="1"/>
  </r>
  <r>
    <x v="335"/>
    <x v="4"/>
    <s v="Davis"/>
    <x v="5"/>
    <x v="77"/>
    <s v="sarahdavis@gmail.com"/>
    <x v="333"/>
    <s v="Medium"/>
    <x v="330"/>
    <n v="2010"/>
    <x v="7"/>
    <n v="3"/>
    <d v="2026-03-19T00:00:00"/>
    <n v="5799"/>
    <n v="5799"/>
    <n v="4144"/>
    <n v="61"/>
    <x v="0"/>
    <x v="1"/>
    <n v="5"/>
    <s v="Yes"/>
    <n v="712.87"/>
    <x v="3"/>
    <x v="3"/>
    <x v="31"/>
    <s v="Bad Employee"/>
    <b v="0"/>
    <b v="1"/>
    <s v="Good employee"/>
    <x v="0"/>
    <x v="1"/>
    <n v="2"/>
    <n v="2019"/>
    <s v="On-Site"/>
    <n v="52"/>
    <x v="7"/>
  </r>
  <r>
    <x v="336"/>
    <x v="2"/>
    <s v="Williams"/>
    <x v="3"/>
    <x v="213"/>
    <s v="chriswilliams@gmail.com"/>
    <x v="334"/>
    <s v="extremely low"/>
    <x v="170"/>
    <n v="2006"/>
    <x v="0"/>
    <n v="12"/>
    <d v="2026-03-19T00:00:00"/>
    <n v="7128"/>
    <n v="7128"/>
    <n v="5093"/>
    <n v="47"/>
    <x v="0"/>
    <x v="1"/>
    <n v="1"/>
    <s v="Yes"/>
    <n v="8418.65"/>
    <x v="1"/>
    <x v="4"/>
    <x v="4"/>
    <s v="Bad Employee"/>
    <b v="0"/>
    <b v="0"/>
    <s v="Bad Employee"/>
    <x v="2"/>
    <x v="3"/>
    <n v="8"/>
    <n v="2020"/>
    <s v="Fully Remote"/>
    <n v="24"/>
    <x v="5"/>
  </r>
  <r>
    <x v="337"/>
    <x v="3"/>
    <s v="Smith"/>
    <x v="1"/>
    <x v="136"/>
    <s v="alexsmith@gmail.com"/>
    <x v="335"/>
    <s v="Medium"/>
    <x v="331"/>
    <n v="2010"/>
    <x v="7"/>
    <n v="18"/>
    <d v="2026-03-19T00:00:00"/>
    <n v="5784"/>
    <n v="5784"/>
    <n v="4133"/>
    <n v="59"/>
    <x v="0"/>
    <x v="0"/>
    <n v="9"/>
    <s v="Yes"/>
    <n v="1029.3399999999999"/>
    <x v="3"/>
    <x v="4"/>
    <x v="21"/>
    <s v="Bad Employee"/>
    <b v="0"/>
    <b v="1"/>
    <s v="Good employee"/>
    <x v="1"/>
    <x v="0"/>
    <n v="8"/>
    <n v="2020"/>
    <s v="Fully Remote"/>
    <n v="36"/>
    <x v="34"/>
  </r>
  <r>
    <x v="338"/>
    <x v="1"/>
    <s v="Brown"/>
    <x v="4"/>
    <x v="214"/>
    <s v="emilybrown@gmail.com"/>
    <x v="336"/>
    <s v="High"/>
    <x v="332"/>
    <n v="2019"/>
    <x v="7"/>
    <n v="30"/>
    <d v="2026-03-19T00:00:00"/>
    <n v="2485"/>
    <n v="2485"/>
    <n v="1776"/>
    <n v="56"/>
    <x v="0"/>
    <x v="1"/>
    <n v="9"/>
    <s v="No"/>
    <n v="2453.4699999999998"/>
    <x v="3"/>
    <x v="1"/>
    <x v="27"/>
    <s v="Good Employee"/>
    <b v="1"/>
    <b v="1"/>
    <s v="Good employee"/>
    <x v="1"/>
    <x v="4"/>
    <n v="3"/>
    <n v="2011"/>
    <s v="On-Site"/>
    <n v="198"/>
    <x v="31"/>
  </r>
  <r>
    <x v="339"/>
    <x v="1"/>
    <s v="Johnson"/>
    <x v="5"/>
    <x v="116"/>
    <s v="emilyjohnson@gmail.com"/>
    <x v="337"/>
    <s v="Medium"/>
    <x v="333"/>
    <n v="2014"/>
    <x v="6"/>
    <n v="25"/>
    <d v="2026-03-19T00:00:00"/>
    <n v="4224"/>
    <n v="4224"/>
    <n v="3019"/>
    <n v="44"/>
    <x v="0"/>
    <x v="1"/>
    <n v="9"/>
    <s v="Yes"/>
    <n v="5672.31"/>
    <x v="1"/>
    <x v="3"/>
    <x v="12"/>
    <s v="Good Employee"/>
    <b v="1"/>
    <b v="1"/>
    <s v="Good employee"/>
    <x v="1"/>
    <x v="2"/>
    <n v="19"/>
    <n v="2023"/>
    <s v="Hybrid"/>
    <n v="64"/>
    <x v="25"/>
  </r>
  <r>
    <x v="340"/>
    <x v="3"/>
    <s v="Brown"/>
    <x v="4"/>
    <x v="4"/>
    <s v="alexbrown@gmail.com"/>
    <x v="338"/>
    <s v="extremely low"/>
    <x v="334"/>
    <n v="2001"/>
    <x v="9"/>
    <n v="17"/>
    <d v="2026-03-19T00:00:00"/>
    <n v="9041"/>
    <n v="9041"/>
    <n v="6459"/>
    <n v="25"/>
    <x v="1"/>
    <x v="0"/>
    <n v="3"/>
    <s v="No"/>
    <n v="2194.59"/>
    <x v="3"/>
    <x v="1"/>
    <x v="30"/>
    <s v="Bad Employee"/>
    <b v="0"/>
    <b v="0"/>
    <s v="Bad Employee"/>
    <x v="2"/>
    <x v="2"/>
    <n v="10"/>
    <n v="2016"/>
    <s v="On-Site"/>
    <n v="15"/>
    <x v="17"/>
  </r>
  <r>
    <x v="341"/>
    <x v="1"/>
    <s v="Johnson"/>
    <x v="0"/>
    <x v="86"/>
    <s v="emilyjohnson@gmail.com"/>
    <x v="339"/>
    <s v="High"/>
    <x v="335"/>
    <n v="2001"/>
    <x v="4"/>
    <n v="5"/>
    <d v="2026-03-19T00:00:00"/>
    <n v="9173"/>
    <n v="9173"/>
    <n v="6554"/>
    <n v="63"/>
    <x v="0"/>
    <x v="1"/>
    <n v="8"/>
    <s v="No"/>
    <n v="8420.99"/>
    <x v="3"/>
    <x v="3"/>
    <x v="1"/>
    <s v="Good Employee"/>
    <b v="1"/>
    <b v="1"/>
    <s v="Good employee"/>
    <x v="0"/>
    <x v="3"/>
    <n v="16"/>
    <n v="2021"/>
    <s v="Fully Remote"/>
    <n v="24"/>
    <x v="25"/>
  </r>
  <r>
    <x v="342"/>
    <x v="3"/>
    <s v="Miller"/>
    <x v="5"/>
    <x v="183"/>
    <s v="alexmiller@gmail.com"/>
    <x v="340"/>
    <s v="extremely low"/>
    <x v="336"/>
    <n v="2010"/>
    <x v="11"/>
    <n v="11"/>
    <d v="2026-03-19T00:00:00"/>
    <n v="5911"/>
    <n v="5911"/>
    <n v="4224"/>
    <n v="35"/>
    <x v="0"/>
    <x v="0"/>
    <n v="3"/>
    <s v="Yes"/>
    <n v="7883.02"/>
    <x v="0"/>
    <x v="3"/>
    <x v="0"/>
    <s v="Bad Employee"/>
    <b v="0"/>
    <b v="0"/>
    <s v="Bad Employee"/>
    <x v="0"/>
    <x v="1"/>
    <n v="13"/>
    <n v="2010"/>
    <s v="Fully Remote"/>
    <n v="27"/>
    <x v="16"/>
  </r>
  <r>
    <x v="343"/>
    <x v="5"/>
    <s v="Smith"/>
    <x v="5"/>
    <x v="80"/>
    <s v="janesmith@gmail.com"/>
    <x v="341"/>
    <s v="High"/>
    <x v="337"/>
    <n v="2000"/>
    <x v="7"/>
    <n v="9"/>
    <d v="2026-03-19T00:00:00"/>
    <n v="9445"/>
    <n v="9445"/>
    <n v="6748"/>
    <n v="60"/>
    <x v="0"/>
    <x v="0"/>
    <n v="6"/>
    <s v="No"/>
    <n v="7679.81"/>
    <x v="2"/>
    <x v="2"/>
    <x v="0"/>
    <s v="Bad Employee"/>
    <b v="0"/>
    <b v="0"/>
    <s v="Bad Employee"/>
    <x v="1"/>
    <x v="0"/>
    <n v="9"/>
    <n v="2021"/>
    <s v="Hybrid"/>
    <n v="131"/>
    <x v="31"/>
  </r>
  <r>
    <x v="344"/>
    <x v="3"/>
    <s v="Brown"/>
    <x v="1"/>
    <x v="145"/>
    <s v="alexbrown@gmail.com"/>
    <x v="342"/>
    <s v="High"/>
    <x v="338"/>
    <n v="2006"/>
    <x v="7"/>
    <n v="28"/>
    <d v="2026-03-19T00:00:00"/>
    <n v="7235"/>
    <n v="7235"/>
    <n v="5169"/>
    <n v="28"/>
    <x v="1"/>
    <x v="1"/>
    <n v="5"/>
    <s v="Yes"/>
    <n v="8253.2099999999991"/>
    <x v="2"/>
    <x v="1"/>
    <x v="34"/>
    <s v="Bad Employee"/>
    <b v="0"/>
    <b v="1"/>
    <s v="Good employee"/>
    <x v="2"/>
    <x v="0"/>
    <n v="4"/>
    <n v="2023"/>
    <s v="Fully Remote"/>
    <n v="81"/>
    <x v="34"/>
  </r>
  <r>
    <x v="345"/>
    <x v="0"/>
    <s v="Wilson"/>
    <x v="3"/>
    <x v="3"/>
    <s v="michaelwilson@gmail.com"/>
    <x v="343"/>
    <s v="High"/>
    <x v="339"/>
    <n v="2011"/>
    <x v="10"/>
    <n v="20"/>
    <d v="2026-03-19T00:00:00"/>
    <n v="5203"/>
    <n v="5203"/>
    <n v="3718"/>
    <n v="29"/>
    <x v="1"/>
    <x v="0"/>
    <n v="8"/>
    <s v="No"/>
    <n v="2587.17"/>
    <x v="1"/>
    <x v="3"/>
    <x v="36"/>
    <s v="Good Employee"/>
    <b v="1"/>
    <b v="1"/>
    <s v="Good employee"/>
    <x v="2"/>
    <x v="5"/>
    <n v="16"/>
    <n v="2011"/>
    <s v="Hybrid"/>
    <n v="39"/>
    <x v="20"/>
  </r>
  <r>
    <x v="346"/>
    <x v="3"/>
    <s v="Brown"/>
    <x v="4"/>
    <x v="4"/>
    <s v="alexbrown@gmail.com"/>
    <x v="344"/>
    <s v="High"/>
    <x v="340"/>
    <n v="2008"/>
    <x v="4"/>
    <n v="7"/>
    <d v="2026-03-19T00:00:00"/>
    <n v="6615"/>
    <n v="6615"/>
    <n v="4726"/>
    <n v="63"/>
    <x v="0"/>
    <x v="0"/>
    <n v="3"/>
    <s v="Yes"/>
    <n v="7424.48"/>
    <x v="3"/>
    <x v="3"/>
    <x v="19"/>
    <s v="Bad Employee"/>
    <b v="0"/>
    <b v="1"/>
    <s v="Good employee"/>
    <x v="0"/>
    <x v="0"/>
    <n v="15"/>
    <n v="2014"/>
    <s v="On-Site"/>
    <n v="149"/>
    <x v="24"/>
  </r>
  <r>
    <x v="347"/>
    <x v="1"/>
    <s v="Wilson"/>
    <x v="5"/>
    <x v="88"/>
    <s v="emilywilson@gmail.com"/>
    <x v="345"/>
    <s v="extremely low"/>
    <x v="341"/>
    <n v="2005"/>
    <x v="4"/>
    <n v="1"/>
    <d v="2026-03-19T00:00:00"/>
    <n v="7716"/>
    <n v="7716"/>
    <n v="5513"/>
    <n v="40"/>
    <x v="0"/>
    <x v="1"/>
    <n v="1"/>
    <s v="No"/>
    <n v="3875.17"/>
    <x v="1"/>
    <x v="4"/>
    <x v="6"/>
    <s v="Bad Employee"/>
    <b v="0"/>
    <b v="0"/>
    <s v="Bad Employee"/>
    <x v="0"/>
    <x v="3"/>
    <n v="0"/>
    <n v="2017"/>
    <s v="Hybrid"/>
    <n v="14"/>
    <x v="35"/>
  </r>
  <r>
    <x v="348"/>
    <x v="4"/>
    <s v="Smith"/>
    <x v="5"/>
    <x v="215"/>
    <s v="sarahsmith@gmail.com"/>
    <x v="346"/>
    <s v="Medium"/>
    <x v="342"/>
    <n v="2008"/>
    <x v="4"/>
    <n v="21"/>
    <d v="2026-03-19T00:00:00"/>
    <n v="6601"/>
    <n v="6601"/>
    <n v="4716"/>
    <n v="23"/>
    <x v="1"/>
    <x v="0"/>
    <n v="9"/>
    <s v="No"/>
    <n v="6835.03"/>
    <x v="1"/>
    <x v="2"/>
    <x v="37"/>
    <s v="Good Employee"/>
    <b v="1"/>
    <b v="1"/>
    <s v="Good employee"/>
    <x v="2"/>
    <x v="3"/>
    <n v="9"/>
    <n v="2021"/>
    <s v="Fully Remote"/>
    <n v="42"/>
    <x v="2"/>
  </r>
  <r>
    <x v="349"/>
    <x v="0"/>
    <s v="Brown"/>
    <x v="1"/>
    <x v="69"/>
    <s v="michaelbrown@gmail.com"/>
    <x v="347"/>
    <s v="High"/>
    <x v="343"/>
    <n v="2011"/>
    <x v="7"/>
    <n v="13"/>
    <d v="2026-03-19T00:00:00"/>
    <n v="5424"/>
    <n v="5424"/>
    <n v="3875"/>
    <n v="22"/>
    <x v="1"/>
    <x v="0"/>
    <n v="9"/>
    <s v="No"/>
    <n v="1659.21"/>
    <x v="2"/>
    <x v="4"/>
    <x v="3"/>
    <s v="Good Employee"/>
    <b v="1"/>
    <b v="1"/>
    <s v="Good employee"/>
    <x v="0"/>
    <x v="4"/>
    <n v="11"/>
    <n v="2016"/>
    <s v="Fully Remote"/>
    <n v="87"/>
    <x v="12"/>
  </r>
  <r>
    <x v="350"/>
    <x v="1"/>
    <s v="Johnson"/>
    <x v="1"/>
    <x v="216"/>
    <s v="emilyjohnson@gmail.com"/>
    <x v="348"/>
    <s v="High"/>
    <x v="344"/>
    <n v="2009"/>
    <x v="10"/>
    <n v="28"/>
    <d v="2026-03-19T00:00:00"/>
    <n v="5925"/>
    <n v="5925"/>
    <n v="4234"/>
    <n v="63"/>
    <x v="0"/>
    <x v="1"/>
    <n v="3"/>
    <s v="No"/>
    <n v="7203.07"/>
    <x v="3"/>
    <x v="1"/>
    <x v="5"/>
    <s v="Bad Employee"/>
    <b v="0"/>
    <b v="1"/>
    <s v="Good employee"/>
    <x v="1"/>
    <x v="3"/>
    <n v="17"/>
    <n v="2012"/>
    <s v="Hybrid"/>
    <n v="36"/>
    <x v="21"/>
  </r>
  <r>
    <x v="351"/>
    <x v="7"/>
    <s v="Brown"/>
    <x v="3"/>
    <x v="217"/>
    <s v="johnbrown@gmail.com"/>
    <x v="349"/>
    <s v="High"/>
    <x v="345"/>
    <n v="2007"/>
    <x v="6"/>
    <n v="18"/>
    <d v="2026-03-19T00:00:00"/>
    <n v="6788"/>
    <n v="6788"/>
    <n v="4849"/>
    <n v="59"/>
    <x v="0"/>
    <x v="1"/>
    <n v="2"/>
    <s v="No"/>
    <n v="9735.02"/>
    <x v="1"/>
    <x v="1"/>
    <x v="0"/>
    <s v="Bad Employee"/>
    <b v="0"/>
    <b v="0"/>
    <s v="Bad Employee"/>
    <x v="0"/>
    <x v="4"/>
    <n v="0"/>
    <n v="2022"/>
    <s v="On-Site"/>
    <n v="58"/>
    <x v="12"/>
  </r>
  <r>
    <x v="352"/>
    <x v="7"/>
    <s v="Williams"/>
    <x v="4"/>
    <x v="191"/>
    <s v="johnwilliams@gmail.com"/>
    <x v="350"/>
    <s v="extremely low"/>
    <x v="346"/>
    <n v="2008"/>
    <x v="9"/>
    <n v="24"/>
    <d v="2026-03-19T00:00:00"/>
    <n v="6477"/>
    <n v="6477"/>
    <n v="4628"/>
    <n v="34"/>
    <x v="0"/>
    <x v="1"/>
    <n v="4"/>
    <s v="No"/>
    <n v="914.2"/>
    <x v="1"/>
    <x v="3"/>
    <x v="7"/>
    <s v="Bad Employee"/>
    <b v="0"/>
    <b v="1"/>
    <s v="Good employee"/>
    <x v="2"/>
    <x v="0"/>
    <n v="11"/>
    <n v="2019"/>
    <s v="Hybrid"/>
    <n v="61"/>
    <x v="7"/>
  </r>
  <r>
    <x v="353"/>
    <x v="4"/>
    <s v="Miller"/>
    <x v="0"/>
    <x v="18"/>
    <s v="sarahmiller@gmail.com"/>
    <x v="351"/>
    <s v="low"/>
    <x v="347"/>
    <n v="2009"/>
    <x v="6"/>
    <n v="13"/>
    <d v="2026-03-19T00:00:00"/>
    <n v="6062"/>
    <n v="6062"/>
    <n v="4331"/>
    <n v="63"/>
    <x v="0"/>
    <x v="1"/>
    <n v="8"/>
    <s v="Yes"/>
    <n v="1391.37"/>
    <x v="2"/>
    <x v="0"/>
    <x v="21"/>
    <s v="Bad Employee"/>
    <b v="0"/>
    <b v="1"/>
    <s v="Good employee"/>
    <x v="1"/>
    <x v="5"/>
    <n v="19"/>
    <n v="2018"/>
    <s v="Fully Remote"/>
    <n v="111"/>
    <x v="28"/>
  </r>
  <r>
    <x v="354"/>
    <x v="4"/>
    <s v="Davis"/>
    <x v="3"/>
    <x v="218"/>
    <s v="sarahdavis@gmail.com"/>
    <x v="352"/>
    <s v="Medium"/>
    <x v="348"/>
    <n v="2013"/>
    <x v="3"/>
    <n v="22"/>
    <d v="2026-03-19T00:00:00"/>
    <n v="4714"/>
    <n v="4714"/>
    <n v="3369"/>
    <n v="45"/>
    <x v="0"/>
    <x v="1"/>
    <n v="6"/>
    <s v="No"/>
    <n v="1674.55"/>
    <x v="2"/>
    <x v="4"/>
    <x v="5"/>
    <s v="Bad Employee"/>
    <b v="0"/>
    <b v="1"/>
    <s v="Good employee"/>
    <x v="2"/>
    <x v="1"/>
    <n v="5"/>
    <n v="2021"/>
    <s v="On-Site"/>
    <n v="29"/>
    <x v="19"/>
  </r>
  <r>
    <x v="355"/>
    <x v="0"/>
    <s v="Johnson"/>
    <x v="0"/>
    <x v="130"/>
    <s v="michaeljohnson@gmail.com"/>
    <x v="353"/>
    <s v="Medium"/>
    <x v="349"/>
    <n v="2003"/>
    <x v="7"/>
    <n v="5"/>
    <d v="2026-03-19T00:00:00"/>
    <n v="8354"/>
    <n v="8354"/>
    <n v="5969"/>
    <n v="53"/>
    <x v="0"/>
    <x v="0"/>
    <n v="1"/>
    <s v="Yes"/>
    <n v="4590.3599999999997"/>
    <x v="2"/>
    <x v="1"/>
    <x v="33"/>
    <s v="Bad Employee"/>
    <b v="0"/>
    <b v="0"/>
    <s v="Bad Employee"/>
    <x v="0"/>
    <x v="2"/>
    <n v="7"/>
    <n v="2022"/>
    <s v="Hybrid"/>
    <n v="146"/>
    <x v="40"/>
  </r>
  <r>
    <x v="356"/>
    <x v="5"/>
    <s v="Williams"/>
    <x v="2"/>
    <x v="41"/>
    <s v="janewilliams@gmail.com"/>
    <x v="354"/>
    <s v="High"/>
    <x v="350"/>
    <n v="2001"/>
    <x v="5"/>
    <n v="3"/>
    <d v="2026-03-19T00:00:00"/>
    <n v="8933"/>
    <n v="8933"/>
    <n v="6382"/>
    <n v="51"/>
    <x v="0"/>
    <x v="0"/>
    <n v="8"/>
    <s v="No"/>
    <n v="3262.41"/>
    <x v="1"/>
    <x v="3"/>
    <x v="3"/>
    <s v="Good Employee"/>
    <b v="1"/>
    <b v="1"/>
    <s v="Good employee"/>
    <x v="0"/>
    <x v="3"/>
    <n v="13"/>
    <n v="2014"/>
    <s v="Hybrid"/>
    <n v="49"/>
    <x v="38"/>
  </r>
  <r>
    <x v="357"/>
    <x v="4"/>
    <s v="Wilson"/>
    <x v="5"/>
    <x v="5"/>
    <s v="sarahwilson@gmail.com"/>
    <x v="355"/>
    <s v="High"/>
    <x v="351"/>
    <n v="2009"/>
    <x v="11"/>
    <n v="27"/>
    <d v="2026-03-19T00:00:00"/>
    <n v="6260"/>
    <n v="6260"/>
    <n v="4473"/>
    <n v="27"/>
    <x v="1"/>
    <x v="0"/>
    <n v="5"/>
    <s v="Yes"/>
    <n v="8165.74"/>
    <x v="3"/>
    <x v="3"/>
    <x v="31"/>
    <s v="Bad Employee"/>
    <b v="0"/>
    <b v="1"/>
    <s v="Good employee"/>
    <x v="1"/>
    <x v="0"/>
    <n v="4"/>
    <n v="2012"/>
    <s v="Hybrid"/>
    <n v="176"/>
    <x v="29"/>
  </r>
  <r>
    <x v="358"/>
    <x v="7"/>
    <s v="Miller"/>
    <x v="4"/>
    <x v="219"/>
    <s v="johnmiller@gmail.com"/>
    <x v="356"/>
    <s v="Medium"/>
    <x v="352"/>
    <n v="2016"/>
    <x v="3"/>
    <n v="9"/>
    <d v="2026-03-19T00:00:00"/>
    <n v="3631"/>
    <n v="3631"/>
    <n v="2594"/>
    <n v="59"/>
    <x v="0"/>
    <x v="0"/>
    <n v="6"/>
    <s v="No"/>
    <n v="5000.9799999999996"/>
    <x v="2"/>
    <x v="4"/>
    <x v="12"/>
    <s v="Bad Employee"/>
    <b v="0"/>
    <b v="1"/>
    <s v="Good employee"/>
    <x v="1"/>
    <x v="3"/>
    <n v="3"/>
    <n v="2016"/>
    <s v="Fully Remote"/>
    <n v="122"/>
    <x v="18"/>
  </r>
  <r>
    <x v="359"/>
    <x v="3"/>
    <s v="Smith"/>
    <x v="3"/>
    <x v="12"/>
    <s v="alexsmith@gmail.com"/>
    <x v="357"/>
    <s v="extremely low"/>
    <x v="353"/>
    <n v="2001"/>
    <x v="10"/>
    <n v="24"/>
    <d v="2026-03-19T00:00:00"/>
    <n v="8851"/>
    <n v="8851"/>
    <n v="6324"/>
    <n v="54"/>
    <x v="0"/>
    <x v="0"/>
    <n v="5"/>
    <s v="No"/>
    <n v="5103.1000000000004"/>
    <x v="2"/>
    <x v="3"/>
    <x v="25"/>
    <s v="Bad Employee"/>
    <b v="0"/>
    <b v="0"/>
    <s v="Bad Employee"/>
    <x v="1"/>
    <x v="4"/>
    <n v="15"/>
    <n v="2013"/>
    <s v="Fully Remote"/>
    <n v="42"/>
    <x v="4"/>
  </r>
  <r>
    <x v="360"/>
    <x v="1"/>
    <s v="Johnson"/>
    <x v="5"/>
    <x v="116"/>
    <s v="emilyjohnson@gmail.com"/>
    <x v="358"/>
    <s v="Medium"/>
    <x v="354"/>
    <n v="2014"/>
    <x v="2"/>
    <n v="15"/>
    <d v="2026-03-19T00:00:00"/>
    <n v="4265"/>
    <n v="4265"/>
    <n v="3048"/>
    <n v="44"/>
    <x v="0"/>
    <x v="1"/>
    <n v="5"/>
    <s v="No"/>
    <n v="7311.86"/>
    <x v="3"/>
    <x v="2"/>
    <x v="37"/>
    <s v="Bad Employee"/>
    <b v="0"/>
    <b v="1"/>
    <s v="Good employee"/>
    <x v="1"/>
    <x v="0"/>
    <n v="5"/>
    <n v="2010"/>
    <s v="Fully Remote"/>
    <n v="129"/>
    <x v="31"/>
  </r>
  <r>
    <x v="361"/>
    <x v="7"/>
    <s v="Davis"/>
    <x v="4"/>
    <x v="74"/>
    <s v="johndavis@gmail.com"/>
    <x v="359"/>
    <s v="extremely low"/>
    <x v="355"/>
    <n v="2013"/>
    <x v="7"/>
    <n v="29"/>
    <d v="2026-03-19T00:00:00"/>
    <n v="4677"/>
    <n v="4677"/>
    <n v="3342"/>
    <n v="31"/>
    <x v="0"/>
    <x v="1"/>
    <n v="3"/>
    <s v="No"/>
    <n v="3938.71"/>
    <x v="1"/>
    <x v="0"/>
    <x v="6"/>
    <s v="Bad Employee"/>
    <b v="0"/>
    <b v="0"/>
    <s v="Bad Employee"/>
    <x v="0"/>
    <x v="2"/>
    <n v="2"/>
    <n v="2014"/>
    <s v="On-Site"/>
    <n v="40"/>
    <x v="33"/>
  </r>
  <r>
    <x v="362"/>
    <x v="7"/>
    <s v="Miller"/>
    <x v="4"/>
    <x v="219"/>
    <s v="johnmiller@gmail.com"/>
    <x v="360"/>
    <s v="High"/>
    <x v="356"/>
    <n v="2002"/>
    <x v="11"/>
    <n v="7"/>
    <d v="2026-03-19T00:00:00"/>
    <n v="8837"/>
    <n v="8837"/>
    <n v="6314"/>
    <n v="36"/>
    <x v="0"/>
    <x v="1"/>
    <n v="4"/>
    <s v="No"/>
    <n v="3855.47"/>
    <x v="1"/>
    <x v="4"/>
    <x v="8"/>
    <s v="Bad Employee"/>
    <b v="0"/>
    <b v="1"/>
    <s v="Good employee"/>
    <x v="2"/>
    <x v="4"/>
    <n v="3"/>
    <n v="2020"/>
    <s v="On-Site"/>
    <n v="92"/>
    <x v="21"/>
  </r>
  <r>
    <x v="363"/>
    <x v="5"/>
    <s v="Wilson"/>
    <x v="4"/>
    <x v="128"/>
    <s v="janewilson@gmail.com"/>
    <x v="361"/>
    <s v="low"/>
    <x v="357"/>
    <n v="2013"/>
    <x v="3"/>
    <n v="15"/>
    <d v="2026-03-19T00:00:00"/>
    <n v="4721"/>
    <n v="4721"/>
    <n v="3374"/>
    <n v="44"/>
    <x v="0"/>
    <x v="1"/>
    <n v="5"/>
    <s v="No"/>
    <n v="7690.8"/>
    <x v="3"/>
    <x v="4"/>
    <x v="24"/>
    <s v="Bad Employee"/>
    <b v="0"/>
    <b v="1"/>
    <s v="Good employee"/>
    <x v="0"/>
    <x v="0"/>
    <n v="7"/>
    <n v="2017"/>
    <s v="On-Site"/>
    <n v="128"/>
    <x v="22"/>
  </r>
  <r>
    <x v="364"/>
    <x v="0"/>
    <s v="Davis"/>
    <x v="5"/>
    <x v="59"/>
    <s v="michaeldavis@gmail.com"/>
    <x v="362"/>
    <s v="extremely low"/>
    <x v="358"/>
    <n v="2015"/>
    <x v="2"/>
    <n v="28"/>
    <d v="2026-03-19T00:00:00"/>
    <n v="3887"/>
    <n v="3887"/>
    <n v="2778"/>
    <n v="57"/>
    <x v="0"/>
    <x v="0"/>
    <n v="2"/>
    <s v="No"/>
    <n v="7910.4"/>
    <x v="2"/>
    <x v="4"/>
    <x v="36"/>
    <s v="Bad Employee"/>
    <b v="0"/>
    <b v="1"/>
    <s v="Good employee"/>
    <x v="0"/>
    <x v="1"/>
    <n v="13"/>
    <n v="2021"/>
    <s v="Fully Remote"/>
    <n v="171"/>
    <x v="11"/>
  </r>
  <r>
    <x v="365"/>
    <x v="0"/>
    <s v="Smith"/>
    <x v="3"/>
    <x v="40"/>
    <s v="michaelsmith@gmail.com"/>
    <x v="363"/>
    <s v="High"/>
    <x v="359"/>
    <n v="2018"/>
    <x v="7"/>
    <n v="16"/>
    <d v="2026-03-19T00:00:00"/>
    <n v="2864"/>
    <n v="2864"/>
    <n v="2047"/>
    <n v="22"/>
    <x v="1"/>
    <x v="1"/>
    <n v="6"/>
    <s v="No"/>
    <n v="636.79"/>
    <x v="0"/>
    <x v="3"/>
    <x v="7"/>
    <s v="Bad Employee"/>
    <b v="0"/>
    <b v="1"/>
    <s v="Good employee"/>
    <x v="1"/>
    <x v="1"/>
    <n v="6"/>
    <n v="2013"/>
    <s v="On-Site"/>
    <n v="171"/>
    <x v="5"/>
  </r>
  <r>
    <x v="366"/>
    <x v="6"/>
    <s v="Smith"/>
    <x v="1"/>
    <x v="220"/>
    <s v="katiesmith@gmail.com"/>
    <x v="364"/>
    <s v="Medium"/>
    <x v="360"/>
    <n v="2003"/>
    <x v="2"/>
    <n v="23"/>
    <d v="2026-03-19T00:00:00"/>
    <n v="8275"/>
    <n v="8275"/>
    <n v="5912"/>
    <n v="29"/>
    <x v="1"/>
    <x v="1"/>
    <n v="2"/>
    <s v="Yes"/>
    <n v="1866.01"/>
    <x v="3"/>
    <x v="3"/>
    <x v="33"/>
    <s v="Bad Employee"/>
    <b v="0"/>
    <b v="0"/>
    <s v="Bad Employee"/>
    <x v="1"/>
    <x v="2"/>
    <n v="3"/>
    <n v="2016"/>
    <s v="On-Site"/>
    <n v="17"/>
    <x v="10"/>
  </r>
  <r>
    <x v="367"/>
    <x v="5"/>
    <s v="Wilson"/>
    <x v="5"/>
    <x v="164"/>
    <s v="janewilson@gmail.com"/>
    <x v="365"/>
    <s v="High"/>
    <x v="361"/>
    <n v="2016"/>
    <x v="3"/>
    <n v="3"/>
    <d v="2026-03-19T00:00:00"/>
    <n v="3637"/>
    <n v="3637"/>
    <n v="2599"/>
    <n v="24"/>
    <x v="1"/>
    <x v="0"/>
    <n v="4"/>
    <s v="Yes"/>
    <n v="2524.4299999999998"/>
    <x v="0"/>
    <x v="4"/>
    <x v="31"/>
    <s v="Bad Employee"/>
    <b v="0"/>
    <b v="1"/>
    <s v="Good employee"/>
    <x v="2"/>
    <x v="1"/>
    <n v="18"/>
    <n v="2017"/>
    <s v="Hybrid"/>
    <n v="198"/>
    <x v="7"/>
  </r>
  <r>
    <x v="368"/>
    <x v="3"/>
    <s v="Johnson"/>
    <x v="4"/>
    <x v="120"/>
    <s v="alexjohnson@gmail.com"/>
    <x v="366"/>
    <s v="extremely low"/>
    <x v="362"/>
    <n v="2009"/>
    <x v="2"/>
    <n v="12"/>
    <d v="2026-03-19T00:00:00"/>
    <n v="6094"/>
    <n v="6094"/>
    <n v="4354"/>
    <n v="35"/>
    <x v="0"/>
    <x v="0"/>
    <n v="1"/>
    <s v="No"/>
    <n v="3840.2"/>
    <x v="1"/>
    <x v="4"/>
    <x v="36"/>
    <s v="Bad Employee"/>
    <b v="0"/>
    <b v="1"/>
    <s v="Good employee"/>
    <x v="2"/>
    <x v="4"/>
    <n v="10"/>
    <n v="2018"/>
    <s v="Fully Remote"/>
    <n v="166"/>
    <x v="2"/>
  </r>
  <r>
    <x v="369"/>
    <x v="0"/>
    <s v="Wilson"/>
    <x v="3"/>
    <x v="3"/>
    <s v="michaelwilson@gmail.com"/>
    <x v="367"/>
    <s v="Medium"/>
    <x v="363"/>
    <n v="2000"/>
    <x v="10"/>
    <n v="5"/>
    <d v="2026-03-19T00:00:00"/>
    <n v="9235"/>
    <n v="9235"/>
    <n v="6598"/>
    <n v="38"/>
    <x v="0"/>
    <x v="1"/>
    <n v="4"/>
    <s v="Yes"/>
    <n v="3268.76"/>
    <x v="1"/>
    <x v="2"/>
    <x v="3"/>
    <s v="Bad Employee"/>
    <b v="0"/>
    <b v="1"/>
    <s v="Good employee"/>
    <x v="0"/>
    <x v="2"/>
    <n v="14"/>
    <n v="2020"/>
    <s v="Hybrid"/>
    <n v="128"/>
    <x v="14"/>
  </r>
  <r>
    <x v="370"/>
    <x v="1"/>
    <s v="Brown"/>
    <x v="2"/>
    <x v="154"/>
    <s v="emilybrown@gmail.com"/>
    <x v="368"/>
    <s v="Medium"/>
    <x v="364"/>
    <n v="2000"/>
    <x v="9"/>
    <n v="1"/>
    <d v="2026-03-19T00:00:00"/>
    <n v="9422"/>
    <n v="9422"/>
    <n v="6731"/>
    <n v="55"/>
    <x v="0"/>
    <x v="0"/>
    <n v="7"/>
    <s v="No"/>
    <n v="6850.94"/>
    <x v="0"/>
    <x v="1"/>
    <x v="2"/>
    <s v="Bad Employee"/>
    <b v="0"/>
    <b v="1"/>
    <s v="Good employee"/>
    <x v="2"/>
    <x v="0"/>
    <n v="15"/>
    <n v="2018"/>
    <s v="Fully Remote"/>
    <n v="19"/>
    <x v="20"/>
  </r>
  <r>
    <x v="371"/>
    <x v="4"/>
    <s v="Smith"/>
    <x v="0"/>
    <x v="135"/>
    <s v="sarahsmith@gmail.com"/>
    <x v="369"/>
    <s v="High"/>
    <x v="365"/>
    <n v="2015"/>
    <x v="2"/>
    <n v="25"/>
    <d v="2026-03-19T00:00:00"/>
    <n v="3890"/>
    <n v="3890"/>
    <n v="2779"/>
    <n v="27"/>
    <x v="1"/>
    <x v="0"/>
    <n v="8"/>
    <s v="Yes"/>
    <n v="8367.2800000000007"/>
    <x v="2"/>
    <x v="2"/>
    <x v="27"/>
    <s v="Good Employee"/>
    <b v="1"/>
    <b v="1"/>
    <s v="Good employee"/>
    <x v="1"/>
    <x v="4"/>
    <n v="5"/>
    <n v="2014"/>
    <s v="Fully Remote"/>
    <n v="62"/>
    <x v="29"/>
  </r>
  <r>
    <x v="372"/>
    <x v="5"/>
    <s v="Miller"/>
    <x v="4"/>
    <x v="124"/>
    <s v="janemiller@gmail.com"/>
    <x v="370"/>
    <s v="High"/>
    <x v="366"/>
    <n v="2003"/>
    <x v="1"/>
    <n v="22"/>
    <d v="2026-03-19T00:00:00"/>
    <n v="8153"/>
    <n v="8153"/>
    <n v="5824"/>
    <n v="26"/>
    <x v="1"/>
    <x v="1"/>
    <n v="2"/>
    <s v="No"/>
    <n v="2324.83"/>
    <x v="0"/>
    <x v="4"/>
    <x v="18"/>
    <s v="Bad Employee"/>
    <b v="0"/>
    <b v="0"/>
    <s v="Bad Employee"/>
    <x v="1"/>
    <x v="1"/>
    <n v="11"/>
    <n v="2015"/>
    <s v="On-Site"/>
    <n v="116"/>
    <x v="38"/>
  </r>
  <r>
    <x v="373"/>
    <x v="4"/>
    <s v="Brown"/>
    <x v="2"/>
    <x v="221"/>
    <s v="sarahbrown@gmail.com"/>
    <x v="371"/>
    <s v="High"/>
    <x v="367"/>
    <n v="2015"/>
    <x v="8"/>
    <n v="26"/>
    <d v="2026-03-19T00:00:00"/>
    <n v="4011"/>
    <n v="4011"/>
    <n v="2866"/>
    <n v="62"/>
    <x v="0"/>
    <x v="0"/>
    <n v="3"/>
    <s v="Yes"/>
    <n v="5848.31"/>
    <x v="2"/>
    <x v="3"/>
    <x v="10"/>
    <s v="Bad Employee"/>
    <b v="0"/>
    <b v="0"/>
    <s v="Bad Employee"/>
    <x v="1"/>
    <x v="5"/>
    <n v="7"/>
    <n v="2016"/>
    <s v="Hybrid"/>
    <n v="63"/>
    <x v="8"/>
  </r>
  <r>
    <x v="374"/>
    <x v="7"/>
    <s v="Williams"/>
    <x v="1"/>
    <x v="174"/>
    <s v="johnwilliams@gmail.com"/>
    <x v="372"/>
    <s v="High"/>
    <x v="368"/>
    <n v="2008"/>
    <x v="7"/>
    <n v="9"/>
    <d v="2026-03-19T00:00:00"/>
    <n v="6523"/>
    <n v="6523"/>
    <n v="4660"/>
    <n v="61"/>
    <x v="0"/>
    <x v="1"/>
    <n v="1"/>
    <s v="Yes"/>
    <n v="3994.25"/>
    <x v="3"/>
    <x v="3"/>
    <x v="6"/>
    <s v="Bad Employee"/>
    <b v="0"/>
    <b v="0"/>
    <s v="Bad Employee"/>
    <x v="0"/>
    <x v="3"/>
    <n v="9"/>
    <n v="2019"/>
    <s v="Hybrid"/>
    <n v="198"/>
    <x v="4"/>
  </r>
  <r>
    <x v="375"/>
    <x v="1"/>
    <s v="Davis"/>
    <x v="4"/>
    <x v="105"/>
    <s v="emilydavis@gmail.com"/>
    <x v="373"/>
    <s v="High"/>
    <x v="369"/>
    <n v="2001"/>
    <x v="8"/>
    <n v="2"/>
    <d v="2026-03-19T00:00:00"/>
    <n v="9148"/>
    <n v="9148"/>
    <n v="6535"/>
    <n v="50"/>
    <x v="0"/>
    <x v="0"/>
    <n v="7"/>
    <s v="No"/>
    <n v="5304.89"/>
    <x v="1"/>
    <x v="4"/>
    <x v="36"/>
    <s v="Good Employee"/>
    <b v="1"/>
    <b v="1"/>
    <s v="Good employee"/>
    <x v="2"/>
    <x v="1"/>
    <n v="10"/>
    <n v="2011"/>
    <s v="On-Site"/>
    <n v="56"/>
    <x v="25"/>
  </r>
  <r>
    <x v="376"/>
    <x v="1"/>
    <s v="Brown"/>
    <x v="2"/>
    <x v="154"/>
    <s v="emilybrown@gmail.com"/>
    <x v="374"/>
    <s v="High"/>
    <x v="370"/>
    <n v="2019"/>
    <x v="2"/>
    <n v="26"/>
    <d v="2026-03-19T00:00:00"/>
    <n v="2428"/>
    <n v="2428"/>
    <n v="1735"/>
    <n v="56"/>
    <x v="0"/>
    <x v="0"/>
    <n v="4"/>
    <s v="Yes"/>
    <n v="6397.2"/>
    <x v="1"/>
    <x v="1"/>
    <x v="3"/>
    <s v="Bad Employee"/>
    <b v="0"/>
    <b v="1"/>
    <s v="Good employee"/>
    <x v="1"/>
    <x v="5"/>
    <n v="8"/>
    <n v="2018"/>
    <s v="Hybrid"/>
    <n v="73"/>
    <x v="18"/>
  </r>
  <r>
    <x v="377"/>
    <x v="7"/>
    <s v="Davis"/>
    <x v="4"/>
    <x v="74"/>
    <s v="johndavis@gmail.com"/>
    <x v="375"/>
    <s v="High"/>
    <x v="371"/>
    <n v="2009"/>
    <x v="0"/>
    <n v="28"/>
    <d v="2026-03-19T00:00:00"/>
    <n v="6016"/>
    <n v="6016"/>
    <n v="4299"/>
    <n v="39"/>
    <x v="0"/>
    <x v="0"/>
    <n v="8"/>
    <s v="No"/>
    <n v="8989.2000000000007"/>
    <x v="0"/>
    <x v="0"/>
    <x v="38"/>
    <s v="Bad Employee"/>
    <b v="0"/>
    <b v="1"/>
    <s v="Good employee"/>
    <x v="0"/>
    <x v="2"/>
    <n v="16"/>
    <n v="2010"/>
    <s v="Hybrid"/>
    <n v="107"/>
    <x v="29"/>
  </r>
  <r>
    <x v="378"/>
    <x v="5"/>
    <s v="Wilson"/>
    <x v="5"/>
    <x v="164"/>
    <s v="janewilson@gmail.com"/>
    <x v="376"/>
    <s v="High"/>
    <x v="372"/>
    <n v="2017"/>
    <x v="7"/>
    <n v="18"/>
    <d v="2026-03-19T00:00:00"/>
    <n v="3227"/>
    <n v="3227"/>
    <n v="2306"/>
    <n v="61"/>
    <x v="0"/>
    <x v="0"/>
    <n v="5"/>
    <s v="No"/>
    <n v="2326.7800000000002"/>
    <x v="3"/>
    <x v="0"/>
    <x v="1"/>
    <s v="Bad Employee"/>
    <b v="0"/>
    <b v="1"/>
    <s v="Good employee"/>
    <x v="0"/>
    <x v="0"/>
    <n v="13"/>
    <n v="2023"/>
    <s v="Fully Remote"/>
    <n v="9"/>
    <x v="25"/>
  </r>
  <r>
    <x v="379"/>
    <x v="7"/>
    <s v="Brown"/>
    <x v="3"/>
    <x v="217"/>
    <s v="johnbrown@gmail.com"/>
    <x v="377"/>
    <s v="Medium"/>
    <x v="373"/>
    <n v="2003"/>
    <x v="4"/>
    <n v="9"/>
    <d v="2026-03-19T00:00:00"/>
    <n v="8439"/>
    <n v="8439"/>
    <n v="6029"/>
    <n v="51"/>
    <x v="0"/>
    <x v="1"/>
    <n v="9"/>
    <s v="Yes"/>
    <n v="1326.56"/>
    <x v="0"/>
    <x v="2"/>
    <x v="36"/>
    <s v="Good Employee"/>
    <b v="1"/>
    <b v="1"/>
    <s v="Good employee"/>
    <x v="0"/>
    <x v="3"/>
    <n v="2"/>
    <n v="2015"/>
    <s v="Hybrid"/>
    <n v="47"/>
    <x v="0"/>
  </r>
  <r>
    <x v="380"/>
    <x v="4"/>
    <s v="Wilson"/>
    <x v="2"/>
    <x v="133"/>
    <s v="sarahwilson@gmail.com"/>
    <x v="378"/>
    <s v="High"/>
    <x v="374"/>
    <n v="2006"/>
    <x v="9"/>
    <n v="30"/>
    <d v="2026-03-19T00:00:00"/>
    <n v="7202"/>
    <n v="7202"/>
    <n v="5145"/>
    <n v="36"/>
    <x v="0"/>
    <x v="0"/>
    <n v="6"/>
    <s v="No"/>
    <n v="6458.51"/>
    <x v="0"/>
    <x v="1"/>
    <x v="18"/>
    <s v="Bad Employee"/>
    <b v="0"/>
    <b v="0"/>
    <s v="Bad Employee"/>
    <x v="2"/>
    <x v="0"/>
    <n v="8"/>
    <n v="2015"/>
    <s v="Hybrid"/>
    <n v="12"/>
    <x v="34"/>
  </r>
  <r>
    <x v="381"/>
    <x v="6"/>
    <s v="Williams"/>
    <x v="3"/>
    <x v="97"/>
    <s v="katiewilliams@gmail.com"/>
    <x v="379"/>
    <s v="High"/>
    <x v="375"/>
    <n v="2009"/>
    <x v="4"/>
    <n v="11"/>
    <d v="2026-03-19T00:00:00"/>
    <n v="6245"/>
    <n v="6245"/>
    <n v="4462"/>
    <n v="36"/>
    <x v="0"/>
    <x v="1"/>
    <n v="2"/>
    <s v="Yes"/>
    <n v="4244.24"/>
    <x v="0"/>
    <x v="0"/>
    <x v="3"/>
    <s v="Bad Employee"/>
    <b v="0"/>
    <b v="1"/>
    <s v="Good employee"/>
    <x v="2"/>
    <x v="2"/>
    <n v="19"/>
    <n v="2023"/>
    <s v="Fully Remote"/>
    <n v="82"/>
    <x v="1"/>
  </r>
  <r>
    <x v="382"/>
    <x v="1"/>
    <s v="Smith"/>
    <x v="5"/>
    <x v="43"/>
    <s v="emilysmith@gmail.com"/>
    <x v="380"/>
    <s v="Medium"/>
    <x v="376"/>
    <n v="2002"/>
    <x v="6"/>
    <n v="7"/>
    <d v="2026-03-19T00:00:00"/>
    <n v="8625"/>
    <n v="8625"/>
    <n v="6162"/>
    <n v="37"/>
    <x v="0"/>
    <x v="1"/>
    <n v="1"/>
    <s v="Yes"/>
    <n v="2047.58"/>
    <x v="2"/>
    <x v="1"/>
    <x v="4"/>
    <s v="Bad Employee"/>
    <b v="0"/>
    <b v="0"/>
    <s v="Bad Employee"/>
    <x v="2"/>
    <x v="0"/>
    <n v="17"/>
    <n v="2016"/>
    <s v="On-Site"/>
    <n v="97"/>
    <x v="7"/>
  </r>
  <r>
    <x v="383"/>
    <x v="2"/>
    <s v="Williams"/>
    <x v="5"/>
    <x v="222"/>
    <s v="chriswilliams@gmail.com"/>
    <x v="381"/>
    <s v="High"/>
    <x v="377"/>
    <n v="2019"/>
    <x v="9"/>
    <n v="4"/>
    <d v="2026-03-19T00:00:00"/>
    <n v="2480"/>
    <n v="2480"/>
    <n v="1773"/>
    <n v="54"/>
    <x v="0"/>
    <x v="0"/>
    <n v="1"/>
    <s v="Yes"/>
    <n v="1612.33"/>
    <x v="1"/>
    <x v="3"/>
    <x v="19"/>
    <s v="Bad Employee"/>
    <b v="0"/>
    <b v="1"/>
    <s v="Good employee"/>
    <x v="0"/>
    <x v="4"/>
    <n v="16"/>
    <n v="2011"/>
    <s v="Fully Remote"/>
    <n v="67"/>
    <x v="29"/>
  </r>
  <r>
    <x v="384"/>
    <x v="2"/>
    <s v="Smith"/>
    <x v="3"/>
    <x v="102"/>
    <s v="chrissmith@gmail.com"/>
    <x v="382"/>
    <s v="High"/>
    <x v="378"/>
    <n v="2003"/>
    <x v="5"/>
    <n v="5"/>
    <d v="2026-03-19T00:00:00"/>
    <n v="8201"/>
    <n v="8201"/>
    <n v="5859"/>
    <n v="31"/>
    <x v="0"/>
    <x v="0"/>
    <n v="9"/>
    <s v="Yes"/>
    <n v="5809.64"/>
    <x v="1"/>
    <x v="3"/>
    <x v="16"/>
    <s v="Good Employee"/>
    <b v="1"/>
    <b v="1"/>
    <s v="Good employee"/>
    <x v="0"/>
    <x v="4"/>
    <n v="4"/>
    <n v="2022"/>
    <s v="On-Site"/>
    <n v="167"/>
    <x v="37"/>
  </r>
  <r>
    <x v="385"/>
    <x v="4"/>
    <s v="Wilson"/>
    <x v="2"/>
    <x v="133"/>
    <s v="sarahwilson@gmail.com"/>
    <x v="383"/>
    <s v="Medium"/>
    <x v="379"/>
    <n v="2016"/>
    <x v="5"/>
    <n v="9"/>
    <d v="2026-03-19T00:00:00"/>
    <n v="3448"/>
    <n v="3448"/>
    <n v="2464"/>
    <n v="40"/>
    <x v="0"/>
    <x v="1"/>
    <n v="1"/>
    <s v="Yes"/>
    <n v="3354.47"/>
    <x v="0"/>
    <x v="1"/>
    <x v="36"/>
    <s v="Bad Employee"/>
    <b v="0"/>
    <b v="1"/>
    <s v="Good employee"/>
    <x v="2"/>
    <x v="1"/>
    <n v="19"/>
    <n v="2015"/>
    <s v="On-Site"/>
    <n v="36"/>
    <x v="16"/>
  </r>
  <r>
    <x v="386"/>
    <x v="3"/>
    <s v="Smith"/>
    <x v="3"/>
    <x v="12"/>
    <s v="alexsmith@gmail.com"/>
    <x v="384"/>
    <s v="High"/>
    <x v="380"/>
    <n v="2019"/>
    <x v="7"/>
    <n v="23"/>
    <d v="2026-03-19T00:00:00"/>
    <n v="2492"/>
    <n v="2492"/>
    <n v="1781"/>
    <n v="58"/>
    <x v="0"/>
    <x v="0"/>
    <n v="3"/>
    <s v="Yes"/>
    <n v="9975.5499999999993"/>
    <x v="2"/>
    <x v="4"/>
    <x v="8"/>
    <s v="Bad Employee"/>
    <b v="0"/>
    <b v="1"/>
    <s v="Good employee"/>
    <x v="1"/>
    <x v="1"/>
    <n v="5"/>
    <n v="2015"/>
    <s v="Fully Remote"/>
    <n v="101"/>
    <x v="20"/>
  </r>
  <r>
    <x v="387"/>
    <x v="0"/>
    <s v="Davis"/>
    <x v="3"/>
    <x v="223"/>
    <s v="michaeldavis@gmail.com"/>
    <x v="385"/>
    <s v="extremely low"/>
    <x v="381"/>
    <n v="2002"/>
    <x v="6"/>
    <n v="14"/>
    <d v="2026-03-19T00:00:00"/>
    <n v="8618"/>
    <n v="8618"/>
    <n v="6157"/>
    <n v="24"/>
    <x v="1"/>
    <x v="0"/>
    <n v="2"/>
    <s v="No"/>
    <n v="4356.0600000000004"/>
    <x v="1"/>
    <x v="0"/>
    <x v="23"/>
    <s v="Bad Employee"/>
    <b v="0"/>
    <b v="0"/>
    <s v="Bad Employee"/>
    <x v="2"/>
    <x v="1"/>
    <n v="2"/>
    <n v="2018"/>
    <s v="Fully Remote"/>
    <n v="122"/>
    <x v="30"/>
  </r>
  <r>
    <x v="388"/>
    <x v="7"/>
    <s v="Miller"/>
    <x v="0"/>
    <x v="30"/>
    <s v="johnmiller@gmail.com"/>
    <x v="386"/>
    <s v="Medium"/>
    <x v="382"/>
    <n v="2004"/>
    <x v="6"/>
    <n v="28"/>
    <d v="2026-03-19T00:00:00"/>
    <n v="7873"/>
    <n v="7873"/>
    <n v="5624"/>
    <n v="57"/>
    <x v="0"/>
    <x v="1"/>
    <n v="4"/>
    <s v="Yes"/>
    <n v="2516.7199999999998"/>
    <x v="2"/>
    <x v="0"/>
    <x v="25"/>
    <s v="Bad Employee"/>
    <b v="0"/>
    <b v="0"/>
    <s v="Bad Employee"/>
    <x v="0"/>
    <x v="1"/>
    <n v="15"/>
    <n v="2023"/>
    <s v="On-Site"/>
    <n v="28"/>
    <x v="20"/>
  </r>
  <r>
    <x v="389"/>
    <x v="7"/>
    <s v="Williams"/>
    <x v="2"/>
    <x v="184"/>
    <s v="johnwilliams@gmail.com"/>
    <x v="387"/>
    <s v="High"/>
    <x v="383"/>
    <n v="2008"/>
    <x v="11"/>
    <n v="20"/>
    <d v="2026-03-19T00:00:00"/>
    <n v="6633"/>
    <n v="6633"/>
    <n v="4739"/>
    <n v="25"/>
    <x v="1"/>
    <x v="0"/>
    <n v="1"/>
    <s v="Yes"/>
    <n v="6474.07"/>
    <x v="3"/>
    <x v="3"/>
    <x v="21"/>
    <s v="Bad Employee"/>
    <b v="0"/>
    <b v="0"/>
    <s v="Bad Employee"/>
    <x v="0"/>
    <x v="2"/>
    <n v="14"/>
    <n v="2017"/>
    <s v="Fully Remote"/>
    <n v="54"/>
    <x v="3"/>
  </r>
  <r>
    <x v="390"/>
    <x v="3"/>
    <s v="Brown"/>
    <x v="0"/>
    <x v="224"/>
    <s v="alexbrown@gmail.com"/>
    <x v="388"/>
    <s v="Medium"/>
    <x v="384"/>
    <n v="2006"/>
    <x v="5"/>
    <n v="18"/>
    <d v="2026-03-19T00:00:00"/>
    <n v="7092"/>
    <n v="7092"/>
    <n v="5067"/>
    <n v="32"/>
    <x v="0"/>
    <x v="1"/>
    <n v="1"/>
    <s v="Yes"/>
    <n v="2820.42"/>
    <x v="2"/>
    <x v="2"/>
    <x v="10"/>
    <s v="Bad Employee"/>
    <b v="0"/>
    <b v="0"/>
    <s v="Bad Employee"/>
    <x v="0"/>
    <x v="0"/>
    <n v="7"/>
    <n v="2014"/>
    <s v="Fully Remote"/>
    <n v="122"/>
    <x v="11"/>
  </r>
  <r>
    <x v="391"/>
    <x v="3"/>
    <s v="Williams"/>
    <x v="4"/>
    <x v="225"/>
    <s v="alexwilliams@gmail.com"/>
    <x v="389"/>
    <s v="extremely low"/>
    <x v="385"/>
    <n v="2003"/>
    <x v="2"/>
    <n v="27"/>
    <d v="2026-03-19T00:00:00"/>
    <n v="8271"/>
    <n v="8271"/>
    <n v="5909"/>
    <n v="62"/>
    <x v="0"/>
    <x v="0"/>
    <n v="4"/>
    <s v="No"/>
    <n v="5193.82"/>
    <x v="2"/>
    <x v="0"/>
    <x v="29"/>
    <s v="Bad Employee"/>
    <b v="0"/>
    <b v="0"/>
    <s v="Bad Employee"/>
    <x v="0"/>
    <x v="1"/>
    <n v="8"/>
    <n v="2016"/>
    <s v="Hybrid"/>
    <n v="191"/>
    <x v="32"/>
  </r>
  <r>
    <x v="392"/>
    <x v="4"/>
    <s v="Davis"/>
    <x v="3"/>
    <x v="218"/>
    <s v="sarahdavis@gmail.com"/>
    <x v="390"/>
    <s v="High"/>
    <x v="386"/>
    <n v="2001"/>
    <x v="11"/>
    <n v="5"/>
    <d v="2026-03-19T00:00:00"/>
    <n v="9204"/>
    <n v="9204"/>
    <n v="6575"/>
    <n v="54"/>
    <x v="0"/>
    <x v="0"/>
    <n v="4"/>
    <s v="No"/>
    <n v="5084.47"/>
    <x v="3"/>
    <x v="3"/>
    <x v="1"/>
    <s v="Bad Employee"/>
    <b v="0"/>
    <b v="1"/>
    <s v="Good employee"/>
    <x v="0"/>
    <x v="2"/>
    <n v="3"/>
    <n v="2016"/>
    <s v="Fully Remote"/>
    <n v="197"/>
    <x v="30"/>
  </r>
  <r>
    <x v="393"/>
    <x v="4"/>
    <s v="Smith"/>
    <x v="4"/>
    <x v="202"/>
    <s v="sarahsmith@gmail.com"/>
    <x v="391"/>
    <s v="High"/>
    <x v="387"/>
    <n v="2008"/>
    <x v="4"/>
    <n v="28"/>
    <d v="2026-03-19T00:00:00"/>
    <n v="6594"/>
    <n v="6594"/>
    <n v="4711"/>
    <n v="49"/>
    <x v="0"/>
    <x v="0"/>
    <n v="7"/>
    <s v="No"/>
    <n v="4808.8"/>
    <x v="1"/>
    <x v="3"/>
    <x v="20"/>
    <s v="Bad Employee"/>
    <b v="0"/>
    <b v="1"/>
    <s v="Good employee"/>
    <x v="0"/>
    <x v="3"/>
    <n v="12"/>
    <n v="2014"/>
    <s v="Fully Remote"/>
    <n v="132"/>
    <x v="38"/>
  </r>
  <r>
    <x v="394"/>
    <x v="3"/>
    <s v="Davis"/>
    <x v="2"/>
    <x v="226"/>
    <s v="alexdavis@gmail.com"/>
    <x v="392"/>
    <s v="High"/>
    <x v="388"/>
    <n v="2006"/>
    <x v="3"/>
    <n v="15"/>
    <d v="2026-03-19T00:00:00"/>
    <n v="7278"/>
    <n v="7278"/>
    <n v="5199"/>
    <n v="53"/>
    <x v="0"/>
    <x v="0"/>
    <n v="8"/>
    <s v="Yes"/>
    <n v="8062.81"/>
    <x v="1"/>
    <x v="1"/>
    <x v="35"/>
    <s v="Good Employee"/>
    <b v="1"/>
    <b v="1"/>
    <s v="Good employee"/>
    <x v="2"/>
    <x v="1"/>
    <n v="2"/>
    <n v="2016"/>
    <s v="Hybrid"/>
    <n v="116"/>
    <x v="18"/>
  </r>
  <r>
    <x v="395"/>
    <x v="1"/>
    <s v="Johnson"/>
    <x v="3"/>
    <x v="227"/>
    <s v="emilyjohnson@gmail.com"/>
    <x v="393"/>
    <s v="High"/>
    <x v="389"/>
    <n v="2019"/>
    <x v="3"/>
    <n v="5"/>
    <d v="2026-03-19T00:00:00"/>
    <n v="2540"/>
    <n v="2540"/>
    <n v="1815"/>
    <n v="37"/>
    <x v="0"/>
    <x v="0"/>
    <n v="8"/>
    <s v="Yes"/>
    <n v="2557.8200000000002"/>
    <x v="2"/>
    <x v="1"/>
    <x v="32"/>
    <s v="Good Employee"/>
    <b v="1"/>
    <b v="1"/>
    <s v="Good employee"/>
    <x v="0"/>
    <x v="0"/>
    <n v="6"/>
    <n v="2012"/>
    <s v="On-Site"/>
    <n v="42"/>
    <x v="29"/>
  </r>
  <r>
    <x v="396"/>
    <x v="4"/>
    <s v="Johnson"/>
    <x v="4"/>
    <x v="156"/>
    <s v="sarahjohnson@gmail.com"/>
    <x v="394"/>
    <s v="High"/>
    <x v="390"/>
    <n v="2017"/>
    <x v="3"/>
    <n v="25"/>
    <d v="2026-03-19T00:00:00"/>
    <n v="3250"/>
    <n v="3250"/>
    <n v="2323"/>
    <n v="30"/>
    <x v="1"/>
    <x v="0"/>
    <n v="8"/>
    <s v="Yes"/>
    <n v="9090.92"/>
    <x v="2"/>
    <x v="1"/>
    <x v="38"/>
    <s v="Bad Employee"/>
    <b v="0"/>
    <b v="1"/>
    <s v="Good employee"/>
    <x v="0"/>
    <x v="4"/>
    <n v="15"/>
    <n v="2016"/>
    <s v="On-Site"/>
    <n v="170"/>
    <x v="3"/>
  </r>
  <r>
    <x v="397"/>
    <x v="6"/>
    <s v="Brown"/>
    <x v="1"/>
    <x v="63"/>
    <s v="katiebrown@gmail.com"/>
    <x v="395"/>
    <s v="Medium"/>
    <x v="391"/>
    <n v="2013"/>
    <x v="4"/>
    <n v="19"/>
    <d v="2026-03-19T00:00:00"/>
    <n v="4776"/>
    <n v="4776"/>
    <n v="3413"/>
    <n v="32"/>
    <x v="0"/>
    <x v="1"/>
    <n v="9"/>
    <s v="No"/>
    <n v="8017.73"/>
    <x v="3"/>
    <x v="2"/>
    <x v="17"/>
    <s v="Bad Employee"/>
    <b v="0"/>
    <b v="1"/>
    <s v="Good employee"/>
    <x v="0"/>
    <x v="5"/>
    <n v="16"/>
    <n v="2022"/>
    <s v="Fully Remote"/>
    <n v="153"/>
    <x v="38"/>
  </r>
  <r>
    <x v="398"/>
    <x v="4"/>
    <s v="Davis"/>
    <x v="5"/>
    <x v="77"/>
    <s v="sarahdavis@gmail.com"/>
    <x v="396"/>
    <s v="High"/>
    <x v="392"/>
    <n v="2019"/>
    <x v="2"/>
    <n v="22"/>
    <d v="2026-03-19T00:00:00"/>
    <n v="2432"/>
    <n v="2432"/>
    <n v="1739"/>
    <n v="27"/>
    <x v="1"/>
    <x v="1"/>
    <n v="1"/>
    <s v="No"/>
    <n v="3664.66"/>
    <x v="3"/>
    <x v="0"/>
    <x v="0"/>
    <s v="Bad Employee"/>
    <b v="0"/>
    <b v="0"/>
    <s v="Bad Employee"/>
    <x v="0"/>
    <x v="4"/>
    <n v="16"/>
    <n v="2015"/>
    <s v="Fully Remote"/>
    <n v="155"/>
    <x v="30"/>
  </r>
  <r>
    <x v="399"/>
    <x v="7"/>
    <s v="Wilson"/>
    <x v="3"/>
    <x v="113"/>
    <s v="johnwilson@gmail.com"/>
    <x v="397"/>
    <s v="low"/>
    <x v="393"/>
    <n v="2015"/>
    <x v="5"/>
    <n v="19"/>
    <d v="2026-03-19T00:00:00"/>
    <n v="3804"/>
    <n v="3804"/>
    <n v="2719"/>
    <n v="48"/>
    <x v="0"/>
    <x v="0"/>
    <n v="9"/>
    <s v="No"/>
    <n v="2215.7199999999998"/>
    <x v="1"/>
    <x v="2"/>
    <x v="23"/>
    <s v="Bad Employee"/>
    <b v="0"/>
    <b v="1"/>
    <s v="Good employee"/>
    <x v="0"/>
    <x v="0"/>
    <n v="18"/>
    <n v="2021"/>
    <s v="On-Site"/>
    <n v="178"/>
    <x v="33"/>
  </r>
  <r>
    <x v="400"/>
    <x v="4"/>
    <s v="Brown"/>
    <x v="5"/>
    <x v="228"/>
    <s v="sarahbrown@gmail.com"/>
    <x v="398"/>
    <s v="High"/>
    <x v="394"/>
    <n v="2005"/>
    <x v="5"/>
    <n v="26"/>
    <d v="2026-03-19T00:00:00"/>
    <n v="7449"/>
    <n v="7449"/>
    <n v="5322"/>
    <n v="33"/>
    <x v="0"/>
    <x v="0"/>
    <n v="8"/>
    <s v="Yes"/>
    <n v="3155.58"/>
    <x v="1"/>
    <x v="2"/>
    <x v="36"/>
    <s v="Good Employee"/>
    <b v="1"/>
    <b v="1"/>
    <s v="Good employee"/>
    <x v="1"/>
    <x v="0"/>
    <n v="19"/>
    <n v="2015"/>
    <s v="Fully Remote"/>
    <n v="162"/>
    <x v="30"/>
  </r>
  <r>
    <x v="401"/>
    <x v="1"/>
    <s v="Wilson"/>
    <x v="0"/>
    <x v="229"/>
    <s v="emilywilson@gmail.com"/>
    <x v="399"/>
    <s v="low"/>
    <x v="395"/>
    <n v="2008"/>
    <x v="4"/>
    <n v="14"/>
    <d v="2026-03-19T00:00:00"/>
    <n v="6608"/>
    <n v="6608"/>
    <n v="4721"/>
    <n v="43"/>
    <x v="0"/>
    <x v="1"/>
    <n v="1"/>
    <s v="Yes"/>
    <n v="3660.04"/>
    <x v="3"/>
    <x v="1"/>
    <x v="30"/>
    <s v="Bad Employee"/>
    <b v="0"/>
    <b v="0"/>
    <s v="Bad Employee"/>
    <x v="2"/>
    <x v="0"/>
    <n v="16"/>
    <n v="2011"/>
    <s v="On-Site"/>
    <n v="172"/>
    <x v="35"/>
  </r>
  <r>
    <x v="402"/>
    <x v="3"/>
    <s v="Brown"/>
    <x v="4"/>
    <x v="4"/>
    <s v="alexbrown@gmail.com"/>
    <x v="400"/>
    <s v="High"/>
    <x v="396"/>
    <n v="2019"/>
    <x v="8"/>
    <n v="30"/>
    <d v="2026-03-19T00:00:00"/>
    <n v="2546"/>
    <n v="2546"/>
    <n v="1819"/>
    <n v="61"/>
    <x v="0"/>
    <x v="1"/>
    <n v="7"/>
    <s v="No"/>
    <n v="5790.87"/>
    <x v="2"/>
    <x v="3"/>
    <x v="32"/>
    <s v="Good Employee"/>
    <b v="1"/>
    <b v="1"/>
    <s v="Good employee"/>
    <x v="2"/>
    <x v="0"/>
    <n v="1"/>
    <n v="2011"/>
    <s v="On-Site"/>
    <n v="86"/>
    <x v="22"/>
  </r>
  <r>
    <x v="403"/>
    <x v="7"/>
    <s v="Johnson"/>
    <x v="0"/>
    <x v="230"/>
    <s v="johnjohnson@gmail.com"/>
    <x v="401"/>
    <s v="extremely low"/>
    <x v="397"/>
    <n v="2017"/>
    <x v="0"/>
    <n v="27"/>
    <d v="2026-03-19T00:00:00"/>
    <n v="3095"/>
    <n v="3095"/>
    <n v="2212"/>
    <n v="58"/>
    <x v="0"/>
    <x v="1"/>
    <n v="9"/>
    <s v="Yes"/>
    <n v="940.5"/>
    <x v="3"/>
    <x v="4"/>
    <x v="4"/>
    <s v="Bad Employee"/>
    <b v="0"/>
    <b v="1"/>
    <s v="Good employee"/>
    <x v="1"/>
    <x v="1"/>
    <n v="4"/>
    <n v="2016"/>
    <s v="Hybrid"/>
    <n v="74"/>
    <x v="22"/>
  </r>
  <r>
    <x v="404"/>
    <x v="4"/>
    <s v="Brown"/>
    <x v="3"/>
    <x v="231"/>
    <s v="sarahbrown@gmail.com"/>
    <x v="402"/>
    <s v="Medium"/>
    <x v="398"/>
    <n v="2011"/>
    <x v="7"/>
    <n v="8"/>
    <d v="2026-03-19T00:00:00"/>
    <n v="5429"/>
    <n v="5429"/>
    <n v="3879"/>
    <n v="42"/>
    <x v="0"/>
    <x v="0"/>
    <n v="4"/>
    <s v="No"/>
    <n v="9186.41"/>
    <x v="1"/>
    <x v="3"/>
    <x v="32"/>
    <s v="Bad Employee"/>
    <b v="0"/>
    <b v="1"/>
    <s v="Good employee"/>
    <x v="1"/>
    <x v="3"/>
    <n v="15"/>
    <n v="2010"/>
    <s v="Hybrid"/>
    <n v="73"/>
    <x v="2"/>
  </r>
  <r>
    <x v="405"/>
    <x v="1"/>
    <s v="Johnson"/>
    <x v="5"/>
    <x v="116"/>
    <s v="emilyjohnson@gmail.com"/>
    <x v="403"/>
    <s v="High"/>
    <x v="399"/>
    <n v="2017"/>
    <x v="11"/>
    <n v="19"/>
    <d v="2026-03-19T00:00:00"/>
    <n v="3346"/>
    <n v="3346"/>
    <n v="2391"/>
    <n v="54"/>
    <x v="0"/>
    <x v="0"/>
    <n v="9"/>
    <s v="No"/>
    <n v="1437.41"/>
    <x v="2"/>
    <x v="3"/>
    <x v="5"/>
    <s v="Good Employee"/>
    <b v="1"/>
    <b v="1"/>
    <s v="Good employee"/>
    <x v="0"/>
    <x v="5"/>
    <n v="10"/>
    <n v="2018"/>
    <s v="Fully Remote"/>
    <n v="174"/>
    <x v="5"/>
  </r>
  <r>
    <x v="406"/>
    <x v="6"/>
    <s v="Smith"/>
    <x v="5"/>
    <x v="169"/>
    <s v="katiesmith@gmail.com"/>
    <x v="404"/>
    <s v="Medium"/>
    <x v="400"/>
    <n v="2007"/>
    <x v="2"/>
    <n v="5"/>
    <d v="2026-03-19T00:00:00"/>
    <n v="6832"/>
    <n v="6832"/>
    <n v="4881"/>
    <n v="38"/>
    <x v="0"/>
    <x v="0"/>
    <n v="1"/>
    <s v="No"/>
    <n v="3153.1"/>
    <x v="0"/>
    <x v="3"/>
    <x v="33"/>
    <s v="Bad Employee"/>
    <b v="0"/>
    <b v="0"/>
    <s v="Bad Employee"/>
    <x v="2"/>
    <x v="1"/>
    <n v="5"/>
    <n v="2012"/>
    <s v="Fully Remote"/>
    <n v="150"/>
    <x v="35"/>
  </r>
  <r>
    <x v="407"/>
    <x v="4"/>
    <s v="Wilson"/>
    <x v="4"/>
    <x v="99"/>
    <s v="sarahwilson@gmail.com"/>
    <x v="405"/>
    <s v="High"/>
    <x v="401"/>
    <n v="2016"/>
    <x v="5"/>
    <n v="30"/>
    <d v="2026-03-19T00:00:00"/>
    <n v="3427"/>
    <n v="3427"/>
    <n v="2449"/>
    <n v="50"/>
    <x v="0"/>
    <x v="1"/>
    <n v="9"/>
    <s v="Yes"/>
    <n v="1538.23"/>
    <x v="0"/>
    <x v="3"/>
    <x v="16"/>
    <s v="Good Employee"/>
    <b v="1"/>
    <b v="1"/>
    <s v="Good employee"/>
    <x v="2"/>
    <x v="4"/>
    <n v="10"/>
    <n v="2015"/>
    <s v="On-Site"/>
    <n v="191"/>
    <x v="34"/>
  </r>
  <r>
    <x v="408"/>
    <x v="1"/>
    <s v="Davis"/>
    <x v="3"/>
    <x v="78"/>
    <s v="emilydavis@gmail.com"/>
    <x v="406"/>
    <s v="High"/>
    <x v="402"/>
    <n v="2013"/>
    <x v="10"/>
    <n v="6"/>
    <d v="2026-03-19T00:00:00"/>
    <n v="4486"/>
    <n v="4486"/>
    <n v="3205"/>
    <n v="61"/>
    <x v="0"/>
    <x v="1"/>
    <n v="6"/>
    <s v="No"/>
    <n v="2938.39"/>
    <x v="3"/>
    <x v="2"/>
    <x v="2"/>
    <s v="Bad Employee"/>
    <b v="0"/>
    <b v="0"/>
    <s v="Bad Employee"/>
    <x v="1"/>
    <x v="3"/>
    <n v="0"/>
    <n v="2012"/>
    <s v="Fully Remote"/>
    <n v="17"/>
    <x v="31"/>
  </r>
  <r>
    <x v="409"/>
    <x v="6"/>
    <s v="Brown"/>
    <x v="1"/>
    <x v="63"/>
    <s v="katiebrown@gmail.com"/>
    <x v="407"/>
    <s v="High"/>
    <x v="403"/>
    <n v="2011"/>
    <x v="11"/>
    <n v="4"/>
    <d v="2026-03-19T00:00:00"/>
    <n v="5553"/>
    <n v="5553"/>
    <n v="3968"/>
    <n v="31"/>
    <x v="0"/>
    <x v="0"/>
    <n v="4"/>
    <s v="No"/>
    <n v="8457.9"/>
    <x v="1"/>
    <x v="1"/>
    <x v="19"/>
    <s v="Bad Employee"/>
    <b v="0"/>
    <b v="1"/>
    <s v="Good employee"/>
    <x v="2"/>
    <x v="2"/>
    <n v="18"/>
    <n v="2021"/>
    <s v="Hybrid"/>
    <n v="123"/>
    <x v="37"/>
  </r>
  <r>
    <x v="410"/>
    <x v="3"/>
    <s v="Johnson"/>
    <x v="1"/>
    <x v="138"/>
    <s v="alexjohnson@gmail.com"/>
    <x v="408"/>
    <s v="extremely low"/>
    <x v="200"/>
    <n v="2006"/>
    <x v="9"/>
    <n v="22"/>
    <d v="2026-03-19T00:00:00"/>
    <n v="7210"/>
    <n v="7210"/>
    <n v="5151"/>
    <n v="39"/>
    <x v="0"/>
    <x v="1"/>
    <n v="5"/>
    <s v="Yes"/>
    <n v="6344.17"/>
    <x v="2"/>
    <x v="1"/>
    <x v="2"/>
    <s v="Bad Employee"/>
    <b v="0"/>
    <b v="0"/>
    <s v="Bad Employee"/>
    <x v="2"/>
    <x v="0"/>
    <n v="2"/>
    <n v="2018"/>
    <s v="On-Site"/>
    <n v="106"/>
    <x v="33"/>
  </r>
  <r>
    <x v="411"/>
    <x v="4"/>
    <s v="Williams"/>
    <x v="4"/>
    <x v="232"/>
    <s v="sarahwilliams@gmail.com"/>
    <x v="409"/>
    <s v="High"/>
    <x v="404"/>
    <n v="2014"/>
    <x v="3"/>
    <n v="27"/>
    <d v="2026-03-19T00:00:00"/>
    <n v="4344"/>
    <n v="4344"/>
    <n v="3104"/>
    <n v="34"/>
    <x v="0"/>
    <x v="0"/>
    <n v="7"/>
    <s v="Yes"/>
    <n v="2659.57"/>
    <x v="0"/>
    <x v="3"/>
    <x v="30"/>
    <s v="Bad Employee"/>
    <b v="0"/>
    <b v="1"/>
    <s v="Good employee"/>
    <x v="0"/>
    <x v="4"/>
    <n v="7"/>
    <n v="2019"/>
    <s v="On-Site"/>
    <n v="25"/>
    <x v="4"/>
  </r>
  <r>
    <x v="412"/>
    <x v="6"/>
    <s v="Wilson"/>
    <x v="3"/>
    <x v="89"/>
    <s v="katiewilson@gmail.com"/>
    <x v="410"/>
    <s v="Medium"/>
    <x v="405"/>
    <n v="2014"/>
    <x v="10"/>
    <n v="6"/>
    <d v="2026-03-19T00:00:00"/>
    <n v="4121"/>
    <n v="4121"/>
    <n v="2944"/>
    <n v="48"/>
    <x v="0"/>
    <x v="0"/>
    <n v="4"/>
    <s v="No"/>
    <n v="8781.7099999999991"/>
    <x v="2"/>
    <x v="4"/>
    <x v="37"/>
    <s v="Bad Employee"/>
    <b v="0"/>
    <b v="1"/>
    <s v="Good employee"/>
    <x v="0"/>
    <x v="2"/>
    <n v="17"/>
    <n v="2021"/>
    <s v="Fully Remote"/>
    <n v="81"/>
    <x v="30"/>
  </r>
  <r>
    <x v="413"/>
    <x v="7"/>
    <s v="Brown"/>
    <x v="4"/>
    <x v="153"/>
    <s v="johnbrown@gmail.com"/>
    <x v="411"/>
    <s v="low"/>
    <x v="406"/>
    <n v="2016"/>
    <x v="7"/>
    <n v="6"/>
    <d v="2026-03-19T00:00:00"/>
    <n v="3604"/>
    <n v="3604"/>
    <n v="2575"/>
    <n v="31"/>
    <x v="0"/>
    <x v="1"/>
    <n v="8"/>
    <s v="Yes"/>
    <n v="8106.76"/>
    <x v="2"/>
    <x v="0"/>
    <x v="32"/>
    <s v="Good Employee"/>
    <b v="1"/>
    <b v="1"/>
    <s v="Good employee"/>
    <x v="0"/>
    <x v="5"/>
    <n v="12"/>
    <n v="2016"/>
    <s v="On-Site"/>
    <n v="86"/>
    <x v="28"/>
  </r>
  <r>
    <x v="414"/>
    <x v="3"/>
    <s v="Miller"/>
    <x v="3"/>
    <x v="140"/>
    <s v="alexmiller@gmail.com"/>
    <x v="412"/>
    <s v="High"/>
    <x v="407"/>
    <n v="2002"/>
    <x v="4"/>
    <n v="1"/>
    <d v="2026-03-19T00:00:00"/>
    <n v="8812"/>
    <n v="8812"/>
    <n v="6295"/>
    <n v="53"/>
    <x v="0"/>
    <x v="0"/>
    <n v="3"/>
    <s v="Yes"/>
    <n v="7659.67"/>
    <x v="2"/>
    <x v="3"/>
    <x v="4"/>
    <s v="Bad Employee"/>
    <b v="0"/>
    <b v="0"/>
    <s v="Bad Employee"/>
    <x v="2"/>
    <x v="4"/>
    <n v="0"/>
    <n v="2010"/>
    <s v="On-Site"/>
    <n v="81"/>
    <x v="20"/>
  </r>
  <r>
    <x v="415"/>
    <x v="7"/>
    <s v="Smith"/>
    <x v="0"/>
    <x v="111"/>
    <s v="johnsmith@gmail.com"/>
    <x v="413"/>
    <s v="extremely low"/>
    <x v="408"/>
    <n v="2018"/>
    <x v="9"/>
    <n v="30"/>
    <d v="2026-03-19T00:00:00"/>
    <n v="2819"/>
    <n v="2819"/>
    <n v="2014"/>
    <n v="62"/>
    <x v="0"/>
    <x v="1"/>
    <n v="2"/>
    <s v="Yes"/>
    <n v="8552.51"/>
    <x v="2"/>
    <x v="3"/>
    <x v="23"/>
    <s v="Bad Employee"/>
    <b v="0"/>
    <b v="0"/>
    <s v="Bad Employee"/>
    <x v="2"/>
    <x v="3"/>
    <n v="19"/>
    <n v="2013"/>
    <s v="On-Site"/>
    <n v="193"/>
    <x v="37"/>
  </r>
  <r>
    <x v="416"/>
    <x v="2"/>
    <s v="Smith"/>
    <x v="4"/>
    <x v="107"/>
    <s v="chrissmith@gmail.com"/>
    <x v="414"/>
    <s v="Medium"/>
    <x v="409"/>
    <n v="2011"/>
    <x v="4"/>
    <n v="14"/>
    <d v="2026-03-19T00:00:00"/>
    <n v="5512"/>
    <n v="5512"/>
    <n v="3939"/>
    <n v="24"/>
    <x v="1"/>
    <x v="1"/>
    <n v="1"/>
    <s v="Yes"/>
    <n v="6386.67"/>
    <x v="3"/>
    <x v="4"/>
    <x v="22"/>
    <s v="Bad Employee"/>
    <b v="0"/>
    <b v="1"/>
    <s v="Good employee"/>
    <x v="0"/>
    <x v="1"/>
    <n v="16"/>
    <n v="2023"/>
    <s v="Hybrid"/>
    <n v="103"/>
    <x v="39"/>
  </r>
  <r>
    <x v="417"/>
    <x v="5"/>
    <s v="Williams"/>
    <x v="3"/>
    <x v="233"/>
    <s v="janewilliams@gmail.com"/>
    <x v="415"/>
    <s v="High"/>
    <x v="410"/>
    <n v="2002"/>
    <x v="5"/>
    <n v="1"/>
    <d v="2026-03-19T00:00:00"/>
    <n v="8570"/>
    <n v="8570"/>
    <n v="6123"/>
    <n v="43"/>
    <x v="0"/>
    <x v="0"/>
    <n v="6"/>
    <s v="No"/>
    <n v="5263.65"/>
    <x v="2"/>
    <x v="2"/>
    <x v="10"/>
    <s v="Bad Employee"/>
    <b v="0"/>
    <b v="0"/>
    <s v="Bad Employee"/>
    <x v="0"/>
    <x v="2"/>
    <n v="4"/>
    <n v="2014"/>
    <s v="On-Site"/>
    <n v="170"/>
    <x v="9"/>
  </r>
  <r>
    <x v="418"/>
    <x v="4"/>
    <s v="Johnson"/>
    <x v="1"/>
    <x v="28"/>
    <s v="sarahjohnson@gmail.com"/>
    <x v="416"/>
    <s v="extremely low"/>
    <x v="411"/>
    <n v="2019"/>
    <x v="3"/>
    <n v="28"/>
    <d v="2026-03-19T00:00:00"/>
    <n v="2517"/>
    <n v="2517"/>
    <n v="1799"/>
    <n v="48"/>
    <x v="0"/>
    <x v="0"/>
    <n v="2"/>
    <s v="Yes"/>
    <n v="4052.38"/>
    <x v="0"/>
    <x v="3"/>
    <x v="32"/>
    <s v="Bad Employee"/>
    <b v="0"/>
    <b v="1"/>
    <s v="Good employee"/>
    <x v="2"/>
    <x v="4"/>
    <n v="11"/>
    <n v="2016"/>
    <s v="Hybrid"/>
    <n v="172"/>
    <x v="17"/>
  </r>
  <r>
    <x v="419"/>
    <x v="6"/>
    <s v="Brown"/>
    <x v="3"/>
    <x v="189"/>
    <s v="katiebrown@gmail.com"/>
    <x v="417"/>
    <s v="High"/>
    <x v="412"/>
    <n v="2010"/>
    <x v="3"/>
    <n v="13"/>
    <d v="2026-03-19T00:00:00"/>
    <n v="5819"/>
    <n v="5819"/>
    <n v="4158"/>
    <n v="24"/>
    <x v="1"/>
    <x v="1"/>
    <n v="8"/>
    <s v="No"/>
    <n v="2625.76"/>
    <x v="0"/>
    <x v="4"/>
    <x v="29"/>
    <s v="Bad Employee"/>
    <b v="0"/>
    <b v="1"/>
    <s v="Good employee"/>
    <x v="2"/>
    <x v="1"/>
    <n v="10"/>
    <n v="2016"/>
    <s v="On-Site"/>
    <n v="159"/>
    <x v="1"/>
  </r>
  <r>
    <x v="420"/>
    <x v="5"/>
    <s v="Wilson"/>
    <x v="3"/>
    <x v="234"/>
    <s v="janewilson@gmail.com"/>
    <x v="418"/>
    <s v="Medium"/>
    <x v="413"/>
    <n v="2007"/>
    <x v="5"/>
    <n v="17"/>
    <d v="2026-03-19T00:00:00"/>
    <n v="6728"/>
    <n v="6728"/>
    <n v="4807"/>
    <n v="54"/>
    <x v="0"/>
    <x v="0"/>
    <n v="4"/>
    <s v="Yes"/>
    <n v="5795.41"/>
    <x v="3"/>
    <x v="2"/>
    <x v="18"/>
    <s v="Bad Employee"/>
    <b v="0"/>
    <b v="0"/>
    <s v="Bad Employee"/>
    <x v="1"/>
    <x v="1"/>
    <n v="17"/>
    <n v="2014"/>
    <s v="Fully Remote"/>
    <n v="190"/>
    <x v="22"/>
  </r>
  <r>
    <x v="421"/>
    <x v="5"/>
    <s v="Johnson"/>
    <x v="4"/>
    <x v="235"/>
    <s v="janejohnson@gmail.com"/>
    <x v="419"/>
    <s v="low"/>
    <x v="414"/>
    <n v="2017"/>
    <x v="4"/>
    <n v="22"/>
    <d v="2026-03-19T00:00:00"/>
    <n v="3312"/>
    <n v="3312"/>
    <n v="2367"/>
    <n v="23"/>
    <x v="1"/>
    <x v="1"/>
    <n v="9"/>
    <s v="Yes"/>
    <n v="8950.18"/>
    <x v="0"/>
    <x v="2"/>
    <x v="37"/>
    <s v="Good Employee"/>
    <b v="1"/>
    <b v="1"/>
    <s v="Good employee"/>
    <x v="0"/>
    <x v="1"/>
    <n v="7"/>
    <n v="2021"/>
    <s v="Fully Remote"/>
    <n v="198"/>
    <x v="6"/>
  </r>
  <r>
    <x v="422"/>
    <x v="6"/>
    <s v="Smith"/>
    <x v="0"/>
    <x v="236"/>
    <s v="katiesmith@gmail.com"/>
    <x v="420"/>
    <s v="extremely low"/>
    <x v="415"/>
    <n v="2000"/>
    <x v="10"/>
    <n v="15"/>
    <d v="2026-03-19T00:00:00"/>
    <n v="9225"/>
    <n v="9225"/>
    <n v="6590"/>
    <n v="32"/>
    <x v="0"/>
    <x v="0"/>
    <n v="4"/>
    <s v="No"/>
    <n v="6142.83"/>
    <x v="2"/>
    <x v="3"/>
    <x v="11"/>
    <s v="Bad Employee"/>
    <b v="0"/>
    <b v="0"/>
    <s v="Bad Employee"/>
    <x v="0"/>
    <x v="3"/>
    <n v="12"/>
    <n v="2010"/>
    <s v="On-Site"/>
    <n v="47"/>
    <x v="21"/>
  </r>
  <r>
    <x v="423"/>
    <x v="3"/>
    <s v="Johnson"/>
    <x v="0"/>
    <x v="237"/>
    <s v="alexjohnson@gmail.com"/>
    <x v="421"/>
    <s v="Medium"/>
    <x v="416"/>
    <n v="2008"/>
    <x v="4"/>
    <n v="12"/>
    <d v="2026-03-19T00:00:00"/>
    <n v="6610"/>
    <n v="6610"/>
    <n v="4723"/>
    <n v="31"/>
    <x v="0"/>
    <x v="1"/>
    <n v="4"/>
    <s v="Yes"/>
    <n v="9236.27"/>
    <x v="0"/>
    <x v="2"/>
    <x v="3"/>
    <s v="Bad Employee"/>
    <b v="0"/>
    <b v="1"/>
    <s v="Good employee"/>
    <x v="0"/>
    <x v="0"/>
    <n v="1"/>
    <n v="2014"/>
    <s v="Fully Remote"/>
    <n v="126"/>
    <x v="21"/>
  </r>
  <r>
    <x v="424"/>
    <x v="4"/>
    <s v="Smith"/>
    <x v="0"/>
    <x v="135"/>
    <s v="sarahsmith@gmail.com"/>
    <x v="422"/>
    <s v="low"/>
    <x v="417"/>
    <n v="2001"/>
    <x v="1"/>
    <n v="17"/>
    <d v="2026-03-19T00:00:00"/>
    <n v="8888"/>
    <n v="8888"/>
    <n v="6349"/>
    <n v="60"/>
    <x v="0"/>
    <x v="1"/>
    <n v="8"/>
    <s v="Yes"/>
    <n v="3890.72"/>
    <x v="1"/>
    <x v="3"/>
    <x v="16"/>
    <s v="Good Employee"/>
    <b v="1"/>
    <b v="1"/>
    <s v="Good employee"/>
    <x v="2"/>
    <x v="4"/>
    <n v="15"/>
    <n v="2014"/>
    <s v="Hybrid"/>
    <n v="128"/>
    <x v="30"/>
  </r>
  <r>
    <x v="425"/>
    <x v="2"/>
    <s v="Johnson"/>
    <x v="0"/>
    <x v="165"/>
    <s v="chrisjohnson@gmail.com"/>
    <x v="423"/>
    <s v="High"/>
    <x v="418"/>
    <n v="2012"/>
    <x v="0"/>
    <n v="11"/>
    <d v="2026-03-19T00:00:00"/>
    <n v="4937"/>
    <n v="4937"/>
    <n v="3528"/>
    <n v="54"/>
    <x v="0"/>
    <x v="0"/>
    <n v="8"/>
    <s v="No"/>
    <n v="7103.81"/>
    <x v="2"/>
    <x v="3"/>
    <x v="33"/>
    <s v="Bad Employee"/>
    <b v="0"/>
    <b v="1"/>
    <s v="Good employee"/>
    <x v="2"/>
    <x v="1"/>
    <n v="11"/>
    <n v="2013"/>
    <s v="On-Site"/>
    <n v="24"/>
    <x v="17"/>
  </r>
  <r>
    <x v="426"/>
    <x v="7"/>
    <s v="Williams"/>
    <x v="2"/>
    <x v="184"/>
    <s v="johnwilliams@gmail.com"/>
    <x v="424"/>
    <s v="Medium"/>
    <x v="419"/>
    <n v="2008"/>
    <x v="2"/>
    <n v="23"/>
    <d v="2026-03-19T00:00:00"/>
    <n v="6448"/>
    <n v="6448"/>
    <n v="4607"/>
    <n v="28"/>
    <x v="1"/>
    <x v="0"/>
    <n v="5"/>
    <s v="No"/>
    <n v="6662.32"/>
    <x v="3"/>
    <x v="1"/>
    <x v="11"/>
    <s v="Bad Employee"/>
    <b v="0"/>
    <b v="0"/>
    <s v="Bad Employee"/>
    <x v="1"/>
    <x v="0"/>
    <n v="7"/>
    <n v="2022"/>
    <s v="Hybrid"/>
    <n v="167"/>
    <x v="39"/>
  </r>
  <r>
    <x v="427"/>
    <x v="1"/>
    <s v="Davis"/>
    <x v="4"/>
    <x v="105"/>
    <s v="emilydavis@gmail.com"/>
    <x v="425"/>
    <s v="High"/>
    <x v="420"/>
    <n v="2012"/>
    <x v="8"/>
    <n v="14"/>
    <d v="2026-03-19T00:00:00"/>
    <n v="5118"/>
    <n v="5118"/>
    <n v="3657"/>
    <n v="36"/>
    <x v="0"/>
    <x v="1"/>
    <n v="3"/>
    <s v="No"/>
    <n v="6869.12"/>
    <x v="1"/>
    <x v="0"/>
    <x v="18"/>
    <s v="Bad Employee"/>
    <b v="0"/>
    <b v="0"/>
    <s v="Bad Employee"/>
    <x v="1"/>
    <x v="1"/>
    <n v="3"/>
    <n v="2015"/>
    <s v="On-Site"/>
    <n v="59"/>
    <x v="9"/>
  </r>
  <r>
    <x v="428"/>
    <x v="7"/>
    <s v="Williams"/>
    <x v="5"/>
    <x v="238"/>
    <s v="johnwilliams@gmail.com"/>
    <x v="426"/>
    <s v="Medium"/>
    <x v="421"/>
    <n v="2007"/>
    <x v="2"/>
    <n v="18"/>
    <d v="2026-03-19T00:00:00"/>
    <n v="6819"/>
    <n v="6819"/>
    <n v="4872"/>
    <n v="47"/>
    <x v="0"/>
    <x v="1"/>
    <n v="2"/>
    <s v="Yes"/>
    <n v="6627.9"/>
    <x v="0"/>
    <x v="0"/>
    <x v="2"/>
    <s v="Bad Employee"/>
    <b v="0"/>
    <b v="0"/>
    <s v="Bad Employee"/>
    <x v="0"/>
    <x v="2"/>
    <n v="13"/>
    <n v="2017"/>
    <s v="Hybrid"/>
    <n v="78"/>
    <x v="18"/>
  </r>
  <r>
    <x v="429"/>
    <x v="1"/>
    <s v="Williams"/>
    <x v="4"/>
    <x v="31"/>
    <s v="emilywilliams@gmail.com"/>
    <x v="427"/>
    <s v="High"/>
    <x v="422"/>
    <n v="2009"/>
    <x v="6"/>
    <n v="25"/>
    <d v="2026-03-19T00:00:00"/>
    <n v="6050"/>
    <n v="6050"/>
    <n v="4323"/>
    <n v="32"/>
    <x v="0"/>
    <x v="1"/>
    <n v="9"/>
    <s v="Yes"/>
    <n v="2605.7199999999998"/>
    <x v="1"/>
    <x v="1"/>
    <x v="21"/>
    <s v="Bad Employee"/>
    <b v="0"/>
    <b v="1"/>
    <s v="Good employee"/>
    <x v="1"/>
    <x v="2"/>
    <n v="8"/>
    <n v="2019"/>
    <s v="Fully Remote"/>
    <n v="76"/>
    <x v="20"/>
  </r>
  <r>
    <x v="430"/>
    <x v="7"/>
    <s v="Davis"/>
    <x v="2"/>
    <x v="58"/>
    <s v="johndavis@gmail.com"/>
    <x v="428"/>
    <s v="Medium"/>
    <x v="423"/>
    <n v="2009"/>
    <x v="10"/>
    <n v="3"/>
    <d v="2026-03-19T00:00:00"/>
    <n v="5950"/>
    <n v="5950"/>
    <n v="4251"/>
    <n v="59"/>
    <x v="0"/>
    <x v="1"/>
    <n v="9"/>
    <s v="Yes"/>
    <n v="1864.11"/>
    <x v="0"/>
    <x v="3"/>
    <x v="25"/>
    <s v="Bad Employee"/>
    <b v="0"/>
    <b v="1"/>
    <s v="Good employee"/>
    <x v="2"/>
    <x v="2"/>
    <n v="10"/>
    <n v="2014"/>
    <s v="Hybrid"/>
    <n v="172"/>
    <x v="22"/>
  </r>
  <r>
    <x v="431"/>
    <x v="6"/>
    <s v="Davis"/>
    <x v="0"/>
    <x v="239"/>
    <s v="katiedavis@gmail.com"/>
    <x v="429"/>
    <s v="Medium"/>
    <x v="424"/>
    <n v="2007"/>
    <x v="9"/>
    <n v="25"/>
    <d v="2026-03-19T00:00:00"/>
    <n v="6842"/>
    <n v="6842"/>
    <n v="4889"/>
    <n v="48"/>
    <x v="0"/>
    <x v="0"/>
    <n v="5"/>
    <s v="No"/>
    <n v="9796.9699999999993"/>
    <x v="0"/>
    <x v="4"/>
    <x v="7"/>
    <s v="Bad Employee"/>
    <b v="0"/>
    <b v="1"/>
    <s v="Good employee"/>
    <x v="1"/>
    <x v="0"/>
    <n v="15"/>
    <n v="2023"/>
    <s v="Hybrid"/>
    <n v="50"/>
    <x v="26"/>
  </r>
  <r>
    <x v="432"/>
    <x v="2"/>
    <s v="Brown"/>
    <x v="2"/>
    <x v="155"/>
    <s v="chrisbrown@gmail.com"/>
    <x v="430"/>
    <s v="Medium"/>
    <x v="425"/>
    <n v="2017"/>
    <x v="0"/>
    <n v="21"/>
    <d v="2026-03-19T00:00:00"/>
    <n v="3101"/>
    <n v="3101"/>
    <n v="2216"/>
    <n v="60"/>
    <x v="0"/>
    <x v="0"/>
    <n v="8"/>
    <s v="Yes"/>
    <n v="930.3"/>
    <x v="0"/>
    <x v="2"/>
    <x v="18"/>
    <s v="Bad Employee"/>
    <b v="0"/>
    <b v="1"/>
    <s v="Good employee"/>
    <x v="1"/>
    <x v="0"/>
    <n v="5"/>
    <n v="2017"/>
    <s v="Fully Remote"/>
    <n v="83"/>
    <x v="6"/>
  </r>
  <r>
    <x v="433"/>
    <x v="4"/>
    <s v="Wilson"/>
    <x v="1"/>
    <x v="17"/>
    <s v="sarahwilson@gmail.com"/>
    <x v="431"/>
    <s v="Medium"/>
    <x v="426"/>
    <n v="2017"/>
    <x v="9"/>
    <n v="2"/>
    <d v="2026-03-19T00:00:00"/>
    <n v="3212"/>
    <n v="3212"/>
    <n v="2295"/>
    <n v="28"/>
    <x v="1"/>
    <x v="0"/>
    <n v="7"/>
    <s v="No"/>
    <n v="4943.5"/>
    <x v="3"/>
    <x v="1"/>
    <x v="37"/>
    <s v="Good Employee"/>
    <b v="1"/>
    <b v="1"/>
    <s v="Good employee"/>
    <x v="2"/>
    <x v="1"/>
    <n v="11"/>
    <n v="2021"/>
    <s v="Fully Remote"/>
    <n v="174"/>
    <x v="32"/>
  </r>
  <r>
    <x v="434"/>
    <x v="1"/>
    <s v="Wilson"/>
    <x v="1"/>
    <x v="1"/>
    <s v="emilywilson@gmail.com"/>
    <x v="432"/>
    <s v="High"/>
    <x v="427"/>
    <n v="2017"/>
    <x v="7"/>
    <n v="22"/>
    <d v="2026-03-19T00:00:00"/>
    <n v="3223"/>
    <n v="3223"/>
    <n v="2304"/>
    <n v="22"/>
    <x v="1"/>
    <x v="1"/>
    <n v="3"/>
    <s v="No"/>
    <n v="4538.26"/>
    <x v="1"/>
    <x v="1"/>
    <x v="3"/>
    <s v="Bad Employee"/>
    <b v="0"/>
    <b v="1"/>
    <s v="Good employee"/>
    <x v="0"/>
    <x v="3"/>
    <n v="18"/>
    <n v="2014"/>
    <s v="On-Site"/>
    <n v="150"/>
    <x v="8"/>
  </r>
  <r>
    <x v="435"/>
    <x v="4"/>
    <s v="Brown"/>
    <x v="4"/>
    <x v="240"/>
    <s v="sarahbrown@gmail.com"/>
    <x v="433"/>
    <s v="High"/>
    <x v="428"/>
    <n v="2004"/>
    <x v="6"/>
    <n v="20"/>
    <d v="2026-03-19T00:00:00"/>
    <n v="7881"/>
    <n v="7881"/>
    <n v="5630"/>
    <n v="31"/>
    <x v="0"/>
    <x v="0"/>
    <n v="5"/>
    <s v="No"/>
    <n v="3920.18"/>
    <x v="3"/>
    <x v="1"/>
    <x v="32"/>
    <s v="Bad Employee"/>
    <b v="0"/>
    <b v="1"/>
    <s v="Good employee"/>
    <x v="0"/>
    <x v="4"/>
    <n v="15"/>
    <n v="2022"/>
    <s v="On-Site"/>
    <n v="19"/>
    <x v="15"/>
  </r>
  <r>
    <x v="436"/>
    <x v="4"/>
    <s v="Williams"/>
    <x v="4"/>
    <x v="232"/>
    <s v="sarahwilliams@gmail.com"/>
    <x v="434"/>
    <s v="extremely low"/>
    <x v="429"/>
    <n v="2007"/>
    <x v="10"/>
    <n v="2"/>
    <d v="2026-03-19T00:00:00"/>
    <n v="6682"/>
    <n v="6682"/>
    <n v="4774"/>
    <n v="42"/>
    <x v="0"/>
    <x v="1"/>
    <n v="9"/>
    <s v="No"/>
    <n v="7928.85"/>
    <x v="0"/>
    <x v="1"/>
    <x v="1"/>
    <s v="Good Employee"/>
    <b v="1"/>
    <b v="1"/>
    <s v="Good employee"/>
    <x v="1"/>
    <x v="3"/>
    <n v="12"/>
    <n v="2012"/>
    <s v="Hybrid"/>
    <n v="103"/>
    <x v="23"/>
  </r>
  <r>
    <x v="437"/>
    <x v="4"/>
    <s v="Williams"/>
    <x v="5"/>
    <x v="93"/>
    <s v="sarahwilliams@gmail.com"/>
    <x v="435"/>
    <s v="Medium"/>
    <x v="430"/>
    <n v="2010"/>
    <x v="9"/>
    <n v="8"/>
    <d v="2026-03-19T00:00:00"/>
    <n v="5763"/>
    <n v="5763"/>
    <n v="4118"/>
    <n v="36"/>
    <x v="0"/>
    <x v="1"/>
    <n v="4"/>
    <s v="No"/>
    <n v="7580.83"/>
    <x v="2"/>
    <x v="0"/>
    <x v="25"/>
    <s v="Bad Employee"/>
    <b v="0"/>
    <b v="0"/>
    <s v="Bad Employee"/>
    <x v="2"/>
    <x v="0"/>
    <n v="3"/>
    <n v="2017"/>
    <s v="On-Site"/>
    <n v="70"/>
    <x v="3"/>
  </r>
  <r>
    <x v="438"/>
    <x v="0"/>
    <s v="Smith"/>
    <x v="5"/>
    <x v="108"/>
    <s v="michaelsmith@gmail.com"/>
    <x v="436"/>
    <s v="Medium"/>
    <x v="431"/>
    <n v="2011"/>
    <x v="9"/>
    <n v="12"/>
    <d v="2026-03-19T00:00:00"/>
    <n v="5394"/>
    <n v="5394"/>
    <n v="3854"/>
    <n v="51"/>
    <x v="0"/>
    <x v="0"/>
    <n v="3"/>
    <s v="Yes"/>
    <n v="9099.64"/>
    <x v="2"/>
    <x v="3"/>
    <x v="29"/>
    <s v="Bad Employee"/>
    <b v="0"/>
    <b v="0"/>
    <s v="Bad Employee"/>
    <x v="2"/>
    <x v="4"/>
    <n v="11"/>
    <n v="2021"/>
    <s v="Hybrid"/>
    <n v="145"/>
    <x v="6"/>
  </r>
  <r>
    <x v="439"/>
    <x v="3"/>
    <s v="Smith"/>
    <x v="1"/>
    <x v="136"/>
    <s v="alexsmith@gmail.com"/>
    <x v="437"/>
    <s v="low"/>
    <x v="432"/>
    <n v="2001"/>
    <x v="1"/>
    <n v="15"/>
    <d v="2026-03-19T00:00:00"/>
    <n v="8890"/>
    <n v="8890"/>
    <n v="6351"/>
    <n v="51"/>
    <x v="0"/>
    <x v="0"/>
    <n v="7"/>
    <s v="No"/>
    <n v="4257.13"/>
    <x v="3"/>
    <x v="1"/>
    <x v="28"/>
    <s v="Good Employee"/>
    <b v="1"/>
    <b v="1"/>
    <s v="Good employee"/>
    <x v="1"/>
    <x v="2"/>
    <n v="3"/>
    <n v="2013"/>
    <s v="On-Site"/>
    <n v="113"/>
    <x v="24"/>
  </r>
  <r>
    <x v="440"/>
    <x v="7"/>
    <s v="Wilson"/>
    <x v="0"/>
    <x v="167"/>
    <s v="johnwilson@gmail.com"/>
    <x v="438"/>
    <s v="High"/>
    <x v="433"/>
    <n v="2011"/>
    <x v="1"/>
    <n v="19"/>
    <d v="2026-03-19T00:00:00"/>
    <n v="5234"/>
    <n v="5234"/>
    <n v="3739"/>
    <n v="29"/>
    <x v="1"/>
    <x v="1"/>
    <n v="8"/>
    <s v="No"/>
    <n v="5859.71"/>
    <x v="2"/>
    <x v="1"/>
    <x v="28"/>
    <s v="Good Employee"/>
    <b v="1"/>
    <b v="1"/>
    <s v="Good employee"/>
    <x v="0"/>
    <x v="3"/>
    <n v="16"/>
    <n v="2023"/>
    <s v="Fully Remote"/>
    <n v="61"/>
    <x v="36"/>
  </r>
  <r>
    <x v="441"/>
    <x v="4"/>
    <s v="Brown"/>
    <x v="2"/>
    <x v="221"/>
    <s v="sarahbrown@gmail.com"/>
    <x v="439"/>
    <s v="extremely low"/>
    <x v="434"/>
    <n v="2007"/>
    <x v="10"/>
    <n v="29"/>
    <d v="2026-03-19T00:00:00"/>
    <n v="6655"/>
    <n v="6655"/>
    <n v="4754"/>
    <n v="45"/>
    <x v="0"/>
    <x v="1"/>
    <n v="5"/>
    <s v="No"/>
    <n v="8976.92"/>
    <x v="1"/>
    <x v="1"/>
    <x v="26"/>
    <s v="Bad Employee"/>
    <b v="0"/>
    <b v="0"/>
    <s v="Bad Employee"/>
    <x v="0"/>
    <x v="3"/>
    <n v="13"/>
    <n v="2012"/>
    <s v="Fully Remote"/>
    <n v="141"/>
    <x v="12"/>
  </r>
  <r>
    <x v="442"/>
    <x v="7"/>
    <s v="Miller"/>
    <x v="5"/>
    <x v="197"/>
    <s v="johnmiller@gmail.com"/>
    <x v="440"/>
    <s v="low"/>
    <x v="435"/>
    <n v="2019"/>
    <x v="6"/>
    <n v="15"/>
    <d v="2026-03-19T00:00:00"/>
    <n v="2408"/>
    <n v="2408"/>
    <n v="1721"/>
    <n v="40"/>
    <x v="0"/>
    <x v="0"/>
    <n v="8"/>
    <s v="No"/>
    <n v="9941.56"/>
    <x v="2"/>
    <x v="4"/>
    <x v="7"/>
    <s v="Good Employee"/>
    <b v="1"/>
    <b v="1"/>
    <s v="Good employee"/>
    <x v="0"/>
    <x v="3"/>
    <n v="16"/>
    <n v="2012"/>
    <s v="Fully Remote"/>
    <n v="125"/>
    <x v="30"/>
  </r>
  <r>
    <x v="443"/>
    <x v="4"/>
    <s v="Miller"/>
    <x v="3"/>
    <x v="98"/>
    <s v="sarahmiller@gmail.com"/>
    <x v="441"/>
    <s v="Medium"/>
    <x v="436"/>
    <n v="2010"/>
    <x v="3"/>
    <n v="14"/>
    <d v="2026-03-19T00:00:00"/>
    <n v="5818"/>
    <n v="5818"/>
    <n v="4157"/>
    <n v="24"/>
    <x v="1"/>
    <x v="1"/>
    <n v="5"/>
    <s v="Yes"/>
    <n v="9708.2999999999993"/>
    <x v="2"/>
    <x v="4"/>
    <x v="38"/>
    <s v="Bad Employee"/>
    <b v="0"/>
    <b v="0"/>
    <s v="Bad Employee"/>
    <x v="2"/>
    <x v="0"/>
    <n v="0"/>
    <n v="2015"/>
    <s v="Fully Remote"/>
    <n v="103"/>
    <x v="10"/>
  </r>
  <r>
    <x v="444"/>
    <x v="1"/>
    <s v="Brown"/>
    <x v="5"/>
    <x v="134"/>
    <s v="emilybrown@gmail.com"/>
    <x v="442"/>
    <s v="Medium"/>
    <x v="437"/>
    <n v="2014"/>
    <x v="10"/>
    <n v="7"/>
    <d v="2026-03-19T00:00:00"/>
    <n v="4120"/>
    <n v="4120"/>
    <n v="2944"/>
    <n v="36"/>
    <x v="0"/>
    <x v="0"/>
    <n v="9"/>
    <s v="Yes"/>
    <n v="7319.52"/>
    <x v="0"/>
    <x v="2"/>
    <x v="6"/>
    <s v="Bad Employee"/>
    <b v="0"/>
    <b v="1"/>
    <s v="Good employee"/>
    <x v="2"/>
    <x v="4"/>
    <n v="19"/>
    <n v="2017"/>
    <s v="Hybrid"/>
    <n v="70"/>
    <x v="37"/>
  </r>
  <r>
    <x v="445"/>
    <x v="3"/>
    <s v="Smith"/>
    <x v="0"/>
    <x v="56"/>
    <s v="alexsmith@gmail.com"/>
    <x v="443"/>
    <s v="low"/>
    <x v="438"/>
    <n v="2008"/>
    <x v="10"/>
    <n v="27"/>
    <d v="2026-03-19T00:00:00"/>
    <n v="6291"/>
    <n v="6291"/>
    <n v="4494"/>
    <n v="57"/>
    <x v="0"/>
    <x v="0"/>
    <n v="7"/>
    <s v="Yes"/>
    <n v="1860.66"/>
    <x v="1"/>
    <x v="3"/>
    <x v="38"/>
    <s v="Bad Employee"/>
    <b v="0"/>
    <b v="1"/>
    <s v="Good employee"/>
    <x v="2"/>
    <x v="2"/>
    <n v="0"/>
    <n v="2019"/>
    <s v="Fully Remote"/>
    <n v="148"/>
    <x v="0"/>
  </r>
  <r>
    <x v="446"/>
    <x v="3"/>
    <s v="Wilson"/>
    <x v="0"/>
    <x v="241"/>
    <s v="alexwilson@gmail.com"/>
    <x v="444"/>
    <s v="Medium"/>
    <x v="439"/>
    <n v="2012"/>
    <x v="1"/>
    <n v="4"/>
    <d v="2026-03-19T00:00:00"/>
    <n v="4883"/>
    <n v="4883"/>
    <n v="3489"/>
    <n v="27"/>
    <x v="1"/>
    <x v="1"/>
    <n v="5"/>
    <s v="No"/>
    <n v="720.27"/>
    <x v="1"/>
    <x v="1"/>
    <x v="1"/>
    <s v="Bad Employee"/>
    <b v="0"/>
    <b v="1"/>
    <s v="Good employee"/>
    <x v="0"/>
    <x v="0"/>
    <n v="1"/>
    <n v="2014"/>
    <s v="Fully Remote"/>
    <n v="114"/>
    <x v="2"/>
  </r>
  <r>
    <x v="447"/>
    <x v="6"/>
    <s v="Wilson"/>
    <x v="4"/>
    <x v="26"/>
    <s v="katiewilson@gmail.com"/>
    <x v="445"/>
    <s v="High"/>
    <x v="440"/>
    <n v="2018"/>
    <x v="0"/>
    <n v="11"/>
    <d v="2026-03-19T00:00:00"/>
    <n v="2746"/>
    <n v="2746"/>
    <n v="1963"/>
    <n v="63"/>
    <x v="0"/>
    <x v="1"/>
    <n v="9"/>
    <s v="Yes"/>
    <n v="8339.57"/>
    <x v="2"/>
    <x v="2"/>
    <x v="24"/>
    <s v="Good Employee"/>
    <b v="1"/>
    <b v="1"/>
    <s v="Good employee"/>
    <x v="1"/>
    <x v="2"/>
    <n v="16"/>
    <n v="2010"/>
    <s v="Fully Remote"/>
    <n v="134"/>
    <x v="2"/>
  </r>
  <r>
    <x v="448"/>
    <x v="0"/>
    <s v="Smith"/>
    <x v="2"/>
    <x v="101"/>
    <s v="michaelsmith@gmail.com"/>
    <x v="446"/>
    <s v="low"/>
    <x v="441"/>
    <n v="2011"/>
    <x v="11"/>
    <n v="9"/>
    <d v="2026-03-19T00:00:00"/>
    <n v="5548"/>
    <n v="5548"/>
    <n v="3964"/>
    <n v="39"/>
    <x v="0"/>
    <x v="1"/>
    <n v="5"/>
    <s v="Yes"/>
    <n v="8488.9500000000007"/>
    <x v="0"/>
    <x v="2"/>
    <x v="0"/>
    <s v="Bad Employee"/>
    <b v="0"/>
    <b v="0"/>
    <s v="Bad Employee"/>
    <x v="2"/>
    <x v="5"/>
    <n v="0"/>
    <n v="2010"/>
    <s v="Fully Remote"/>
    <n v="148"/>
    <x v="0"/>
  </r>
  <r>
    <x v="449"/>
    <x v="6"/>
    <s v="Miller"/>
    <x v="0"/>
    <x v="242"/>
    <s v="katiemiller@gmail.com"/>
    <x v="447"/>
    <s v="Medium"/>
    <x v="442"/>
    <n v="2003"/>
    <x v="8"/>
    <n v="2"/>
    <d v="2026-03-19T00:00:00"/>
    <n v="8418"/>
    <n v="8418"/>
    <n v="6014"/>
    <n v="59"/>
    <x v="0"/>
    <x v="1"/>
    <n v="8"/>
    <s v="No"/>
    <n v="7590.43"/>
    <x v="2"/>
    <x v="3"/>
    <x v="11"/>
    <s v="Bad Employee"/>
    <b v="0"/>
    <b v="1"/>
    <s v="Good employee"/>
    <x v="2"/>
    <x v="5"/>
    <n v="11"/>
    <n v="2012"/>
    <s v="On-Site"/>
    <n v="76"/>
    <x v="9"/>
  </r>
  <r>
    <x v="450"/>
    <x v="6"/>
    <s v="Johnson"/>
    <x v="5"/>
    <x v="79"/>
    <s v="katiejohnson@gmail.com"/>
    <x v="448"/>
    <s v="High"/>
    <x v="443"/>
    <n v="2008"/>
    <x v="7"/>
    <n v="19"/>
    <d v="2026-03-19T00:00:00"/>
    <n v="6513"/>
    <n v="6513"/>
    <n v="4654"/>
    <n v="40"/>
    <x v="0"/>
    <x v="1"/>
    <n v="4"/>
    <s v="No"/>
    <n v="3159.27"/>
    <x v="2"/>
    <x v="4"/>
    <x v="18"/>
    <s v="Bad Employee"/>
    <b v="0"/>
    <b v="0"/>
    <s v="Bad Employee"/>
    <x v="1"/>
    <x v="2"/>
    <n v="12"/>
    <n v="2021"/>
    <s v="Hybrid"/>
    <n v="5"/>
    <x v="7"/>
  </r>
  <r>
    <x v="451"/>
    <x v="6"/>
    <s v="Johnson"/>
    <x v="5"/>
    <x v="79"/>
    <s v="katiejohnson@gmail.com"/>
    <x v="449"/>
    <s v="extremely low"/>
    <x v="444"/>
    <n v="2019"/>
    <x v="6"/>
    <n v="6"/>
    <d v="2026-03-19T00:00:00"/>
    <n v="2417"/>
    <n v="2417"/>
    <n v="1728"/>
    <n v="51"/>
    <x v="0"/>
    <x v="0"/>
    <n v="9"/>
    <s v="No"/>
    <n v="6578.27"/>
    <x v="3"/>
    <x v="3"/>
    <x v="36"/>
    <s v="Good Employee"/>
    <b v="1"/>
    <b v="1"/>
    <s v="Good employee"/>
    <x v="0"/>
    <x v="5"/>
    <n v="13"/>
    <n v="2021"/>
    <s v="Hybrid"/>
    <n v="109"/>
    <x v="14"/>
  </r>
  <r>
    <x v="452"/>
    <x v="6"/>
    <s v="Smith"/>
    <x v="1"/>
    <x v="220"/>
    <s v="katiesmith@gmail.com"/>
    <x v="450"/>
    <s v="Medium"/>
    <x v="445"/>
    <n v="2016"/>
    <x v="8"/>
    <n v="16"/>
    <d v="2026-03-19T00:00:00"/>
    <n v="3655"/>
    <n v="3655"/>
    <n v="2612"/>
    <n v="34"/>
    <x v="0"/>
    <x v="0"/>
    <n v="6"/>
    <s v="No"/>
    <n v="3504.36"/>
    <x v="0"/>
    <x v="2"/>
    <x v="14"/>
    <s v="Bad Employee"/>
    <b v="0"/>
    <b v="0"/>
    <s v="Bad Employee"/>
    <x v="2"/>
    <x v="4"/>
    <n v="9"/>
    <n v="2015"/>
    <s v="On-Site"/>
    <n v="158"/>
    <x v="23"/>
  </r>
  <r>
    <x v="453"/>
    <x v="6"/>
    <s v="Johnson"/>
    <x v="0"/>
    <x v="132"/>
    <s v="katiejohnson@gmail.com"/>
    <x v="451"/>
    <s v="extremely low"/>
    <x v="446"/>
    <n v="2016"/>
    <x v="4"/>
    <n v="19"/>
    <d v="2026-03-19T00:00:00"/>
    <n v="3681"/>
    <n v="3681"/>
    <n v="2630"/>
    <n v="60"/>
    <x v="0"/>
    <x v="0"/>
    <n v="6"/>
    <s v="No"/>
    <n v="4781.16"/>
    <x v="3"/>
    <x v="3"/>
    <x v="24"/>
    <s v="Bad Employee"/>
    <b v="0"/>
    <b v="1"/>
    <s v="Good employee"/>
    <x v="0"/>
    <x v="4"/>
    <n v="11"/>
    <n v="2011"/>
    <s v="On-Site"/>
    <n v="176"/>
    <x v="5"/>
  </r>
  <r>
    <x v="454"/>
    <x v="2"/>
    <s v="Davis"/>
    <x v="3"/>
    <x v="158"/>
    <s v="chrisdavis@gmail.com"/>
    <x v="452"/>
    <s v="High"/>
    <x v="447"/>
    <n v="2012"/>
    <x v="8"/>
    <n v="3"/>
    <d v="2026-03-19T00:00:00"/>
    <n v="5129"/>
    <n v="5129"/>
    <n v="3664"/>
    <n v="33"/>
    <x v="0"/>
    <x v="0"/>
    <n v="3"/>
    <s v="Yes"/>
    <n v="4133.13"/>
    <x v="2"/>
    <x v="4"/>
    <x v="11"/>
    <s v="Bad Employee"/>
    <b v="0"/>
    <b v="0"/>
    <s v="Bad Employee"/>
    <x v="2"/>
    <x v="0"/>
    <n v="17"/>
    <n v="2010"/>
    <s v="Hybrid"/>
    <n v="137"/>
    <x v="0"/>
  </r>
  <r>
    <x v="455"/>
    <x v="3"/>
    <s v="Brown"/>
    <x v="4"/>
    <x v="4"/>
    <s v="alexbrown@gmail.com"/>
    <x v="453"/>
    <s v="extremely low"/>
    <x v="448"/>
    <n v="2006"/>
    <x v="7"/>
    <n v="18"/>
    <d v="2026-03-19T00:00:00"/>
    <n v="7245"/>
    <n v="7245"/>
    <n v="5176"/>
    <n v="55"/>
    <x v="0"/>
    <x v="1"/>
    <n v="3"/>
    <s v="Yes"/>
    <n v="9179.58"/>
    <x v="2"/>
    <x v="2"/>
    <x v="14"/>
    <s v="Bad Employee"/>
    <b v="0"/>
    <b v="0"/>
    <s v="Bad Employee"/>
    <x v="2"/>
    <x v="2"/>
    <n v="6"/>
    <n v="2016"/>
    <s v="Hybrid"/>
    <n v="25"/>
    <x v="1"/>
  </r>
  <r>
    <x v="456"/>
    <x v="6"/>
    <s v="Brown"/>
    <x v="2"/>
    <x v="243"/>
    <s v="katiebrown@gmail.com"/>
    <x v="454"/>
    <s v="High"/>
    <x v="449"/>
    <n v="2017"/>
    <x v="6"/>
    <n v="15"/>
    <d v="2026-03-19T00:00:00"/>
    <n v="3138"/>
    <n v="3138"/>
    <n v="2243"/>
    <n v="33"/>
    <x v="0"/>
    <x v="0"/>
    <n v="4"/>
    <s v="Yes"/>
    <n v="2724.49"/>
    <x v="0"/>
    <x v="3"/>
    <x v="20"/>
    <s v="Bad Employee"/>
    <b v="0"/>
    <b v="0"/>
    <s v="Bad Employee"/>
    <x v="1"/>
    <x v="0"/>
    <n v="18"/>
    <n v="2023"/>
    <s v="On-Site"/>
    <n v="39"/>
    <x v="25"/>
  </r>
  <r>
    <x v="457"/>
    <x v="4"/>
    <s v="Smith"/>
    <x v="3"/>
    <x v="54"/>
    <s v="sarahsmith@gmail.com"/>
    <x v="455"/>
    <s v="High"/>
    <x v="450"/>
    <n v="2003"/>
    <x v="2"/>
    <n v="16"/>
    <d v="2026-03-19T00:00:00"/>
    <n v="8282"/>
    <n v="8282"/>
    <n v="5917"/>
    <n v="45"/>
    <x v="0"/>
    <x v="1"/>
    <n v="1"/>
    <s v="Yes"/>
    <n v="5987.3"/>
    <x v="1"/>
    <x v="1"/>
    <x v="21"/>
    <s v="Bad Employee"/>
    <b v="0"/>
    <b v="0"/>
    <s v="Bad Employee"/>
    <x v="1"/>
    <x v="4"/>
    <n v="14"/>
    <n v="2023"/>
    <s v="Fully Remote"/>
    <n v="108"/>
    <x v="0"/>
  </r>
  <r>
    <x v="458"/>
    <x v="3"/>
    <s v="Williams"/>
    <x v="4"/>
    <x v="225"/>
    <s v="alexwilliams@gmail.com"/>
    <x v="456"/>
    <s v="High"/>
    <x v="451"/>
    <n v="2005"/>
    <x v="4"/>
    <n v="27"/>
    <d v="2026-03-19T00:00:00"/>
    <n v="7690"/>
    <n v="7690"/>
    <n v="5494"/>
    <n v="25"/>
    <x v="1"/>
    <x v="1"/>
    <n v="6"/>
    <s v="Yes"/>
    <n v="3929.32"/>
    <x v="2"/>
    <x v="1"/>
    <x v="12"/>
    <s v="Bad Employee"/>
    <b v="0"/>
    <b v="1"/>
    <s v="Good employee"/>
    <x v="1"/>
    <x v="4"/>
    <n v="6"/>
    <n v="2021"/>
    <s v="Hybrid"/>
    <n v="58"/>
    <x v="6"/>
  </r>
  <r>
    <x v="459"/>
    <x v="3"/>
    <s v="Miller"/>
    <x v="5"/>
    <x v="183"/>
    <s v="alexmiller@gmail.com"/>
    <x v="457"/>
    <s v="High"/>
    <x v="452"/>
    <n v="2004"/>
    <x v="3"/>
    <n v="9"/>
    <d v="2026-03-19T00:00:00"/>
    <n v="8014"/>
    <n v="8014"/>
    <n v="5725"/>
    <n v="57"/>
    <x v="0"/>
    <x v="1"/>
    <n v="1"/>
    <s v="No"/>
    <n v="6799.18"/>
    <x v="2"/>
    <x v="3"/>
    <x v="24"/>
    <s v="Bad Employee"/>
    <b v="0"/>
    <b v="1"/>
    <s v="Good employee"/>
    <x v="1"/>
    <x v="4"/>
    <n v="13"/>
    <n v="2011"/>
    <s v="On-Site"/>
    <n v="128"/>
    <x v="6"/>
  </r>
  <r>
    <x v="460"/>
    <x v="5"/>
    <s v="Smith"/>
    <x v="3"/>
    <x v="186"/>
    <s v="janesmith@gmail.com"/>
    <x v="458"/>
    <s v="High"/>
    <x v="453"/>
    <n v="2002"/>
    <x v="0"/>
    <n v="10"/>
    <d v="2026-03-19T00:00:00"/>
    <n v="8591"/>
    <n v="8591"/>
    <n v="6138"/>
    <n v="35"/>
    <x v="0"/>
    <x v="1"/>
    <n v="4"/>
    <s v="Yes"/>
    <n v="5863.35"/>
    <x v="3"/>
    <x v="3"/>
    <x v="7"/>
    <s v="Bad Employee"/>
    <b v="0"/>
    <b v="1"/>
    <s v="Good employee"/>
    <x v="0"/>
    <x v="3"/>
    <n v="8"/>
    <n v="2017"/>
    <s v="Fully Remote"/>
    <n v="182"/>
    <x v="9"/>
  </r>
  <r>
    <x v="461"/>
    <x v="2"/>
    <s v="Johnson"/>
    <x v="4"/>
    <x v="161"/>
    <s v="chrisjohnson@gmail.com"/>
    <x v="459"/>
    <s v="Medium"/>
    <x v="454"/>
    <n v="2005"/>
    <x v="6"/>
    <n v="29"/>
    <d v="2026-03-19T00:00:00"/>
    <n v="7507"/>
    <n v="7507"/>
    <n v="5364"/>
    <n v="38"/>
    <x v="0"/>
    <x v="1"/>
    <n v="7"/>
    <s v="Yes"/>
    <n v="9277.7900000000009"/>
    <x v="3"/>
    <x v="4"/>
    <x v="27"/>
    <s v="Good Employee"/>
    <b v="1"/>
    <b v="1"/>
    <s v="Good employee"/>
    <x v="0"/>
    <x v="5"/>
    <n v="4"/>
    <n v="2011"/>
    <s v="Fully Remote"/>
    <n v="112"/>
    <x v="3"/>
  </r>
  <r>
    <x v="462"/>
    <x v="6"/>
    <s v="Miller"/>
    <x v="5"/>
    <x v="33"/>
    <s v="katiemiller@gmail.com"/>
    <x v="460"/>
    <s v="extremely low"/>
    <x v="455"/>
    <n v="2018"/>
    <x v="1"/>
    <n v="24"/>
    <d v="2026-03-19T00:00:00"/>
    <n v="2672"/>
    <n v="2672"/>
    <n v="1909"/>
    <n v="24"/>
    <x v="1"/>
    <x v="0"/>
    <n v="6"/>
    <s v="Yes"/>
    <n v="1465.32"/>
    <x v="0"/>
    <x v="2"/>
    <x v="11"/>
    <s v="Bad Employee"/>
    <b v="0"/>
    <b v="0"/>
    <s v="Bad Employee"/>
    <x v="0"/>
    <x v="0"/>
    <n v="0"/>
    <n v="2020"/>
    <s v="On-Site"/>
    <n v="48"/>
    <x v="7"/>
  </r>
  <r>
    <x v="463"/>
    <x v="7"/>
    <s v="Williams"/>
    <x v="5"/>
    <x v="238"/>
    <s v="johnwilliams@gmail.com"/>
    <x v="461"/>
    <s v="Medium"/>
    <x v="456"/>
    <n v="2005"/>
    <x v="4"/>
    <n v="6"/>
    <d v="2026-03-19T00:00:00"/>
    <n v="7711"/>
    <n v="7711"/>
    <n v="5509"/>
    <n v="59"/>
    <x v="0"/>
    <x v="1"/>
    <n v="8"/>
    <s v="Yes"/>
    <n v="2596.09"/>
    <x v="3"/>
    <x v="3"/>
    <x v="7"/>
    <s v="Good Employee"/>
    <b v="1"/>
    <b v="1"/>
    <s v="Good employee"/>
    <x v="1"/>
    <x v="0"/>
    <n v="15"/>
    <n v="2010"/>
    <s v="Hybrid"/>
    <n v="89"/>
    <x v="7"/>
  </r>
  <r>
    <x v="464"/>
    <x v="1"/>
    <s v="Johnson"/>
    <x v="5"/>
    <x v="116"/>
    <s v="emilyjohnson@gmail.com"/>
    <x v="462"/>
    <s v="High"/>
    <x v="457"/>
    <n v="2005"/>
    <x v="9"/>
    <n v="2"/>
    <d v="2026-03-19T00:00:00"/>
    <n v="7595"/>
    <n v="7595"/>
    <n v="5426"/>
    <n v="44"/>
    <x v="0"/>
    <x v="1"/>
    <n v="4"/>
    <s v="Yes"/>
    <n v="7780.31"/>
    <x v="1"/>
    <x v="2"/>
    <x v="33"/>
    <s v="Bad Employee"/>
    <b v="0"/>
    <b v="0"/>
    <s v="Bad Employee"/>
    <x v="2"/>
    <x v="4"/>
    <n v="4"/>
    <n v="2019"/>
    <s v="Hybrid"/>
    <n v="8"/>
    <x v="4"/>
  </r>
  <r>
    <x v="465"/>
    <x v="0"/>
    <s v="Wilson"/>
    <x v="5"/>
    <x v="52"/>
    <s v="michaelwilson@gmail.com"/>
    <x v="463"/>
    <s v="Medium"/>
    <x v="458"/>
    <n v="2004"/>
    <x v="5"/>
    <n v="2"/>
    <d v="2026-03-19T00:00:00"/>
    <n v="7838"/>
    <n v="7838"/>
    <n v="5599"/>
    <n v="34"/>
    <x v="0"/>
    <x v="0"/>
    <n v="9"/>
    <s v="No"/>
    <n v="4003.47"/>
    <x v="2"/>
    <x v="1"/>
    <x v="9"/>
    <s v="Bad Employee"/>
    <b v="0"/>
    <b v="1"/>
    <s v="Good employee"/>
    <x v="0"/>
    <x v="3"/>
    <n v="7"/>
    <n v="2011"/>
    <s v="Fully Remote"/>
    <n v="127"/>
    <x v="1"/>
  </r>
  <r>
    <x v="466"/>
    <x v="4"/>
    <s v="Davis"/>
    <x v="5"/>
    <x v="77"/>
    <s v="sarahdavis@gmail.com"/>
    <x v="464"/>
    <s v="High"/>
    <x v="459"/>
    <n v="2006"/>
    <x v="0"/>
    <n v="18"/>
    <d v="2026-03-19T00:00:00"/>
    <n v="7122"/>
    <n v="7122"/>
    <n v="5089"/>
    <n v="30"/>
    <x v="1"/>
    <x v="0"/>
    <n v="8"/>
    <s v="No"/>
    <n v="2074.9499999999998"/>
    <x v="3"/>
    <x v="2"/>
    <x v="7"/>
    <s v="Good Employee"/>
    <b v="1"/>
    <b v="1"/>
    <s v="Good employee"/>
    <x v="1"/>
    <x v="0"/>
    <n v="18"/>
    <n v="2011"/>
    <s v="On-Site"/>
    <n v="46"/>
    <x v="5"/>
  </r>
  <r>
    <x v="467"/>
    <x v="7"/>
    <s v="Johnson"/>
    <x v="1"/>
    <x v="244"/>
    <s v="johnjohnson@gmail.com"/>
    <x v="465"/>
    <s v="extremely low"/>
    <x v="460"/>
    <n v="2014"/>
    <x v="7"/>
    <n v="1"/>
    <d v="2026-03-19T00:00:00"/>
    <n v="4340"/>
    <n v="4340"/>
    <n v="3101"/>
    <n v="42"/>
    <x v="0"/>
    <x v="0"/>
    <n v="5"/>
    <s v="Yes"/>
    <n v="5281.55"/>
    <x v="1"/>
    <x v="0"/>
    <x v="28"/>
    <s v="Bad Employee"/>
    <b v="0"/>
    <b v="1"/>
    <s v="Good employee"/>
    <x v="1"/>
    <x v="1"/>
    <n v="19"/>
    <n v="2016"/>
    <s v="Fully Remote"/>
    <n v="173"/>
    <x v="21"/>
  </r>
  <r>
    <x v="468"/>
    <x v="2"/>
    <s v="Davis"/>
    <x v="3"/>
    <x v="158"/>
    <s v="chrisdavis@gmail.com"/>
    <x v="466"/>
    <s v="High"/>
    <x v="461"/>
    <n v="2005"/>
    <x v="3"/>
    <n v="2"/>
    <d v="2026-03-19T00:00:00"/>
    <n v="7656"/>
    <n v="7656"/>
    <n v="5469"/>
    <n v="62"/>
    <x v="0"/>
    <x v="1"/>
    <n v="6"/>
    <s v="No"/>
    <n v="6695.35"/>
    <x v="2"/>
    <x v="4"/>
    <x v="15"/>
    <s v="Bad Employee"/>
    <b v="0"/>
    <b v="0"/>
    <s v="Bad Employee"/>
    <x v="1"/>
    <x v="0"/>
    <n v="11"/>
    <n v="2010"/>
    <s v="Fully Remote"/>
    <n v="168"/>
    <x v="11"/>
  </r>
  <r>
    <x v="469"/>
    <x v="1"/>
    <s v="Miller"/>
    <x v="4"/>
    <x v="70"/>
    <s v="emilymiller@gmail.com"/>
    <x v="467"/>
    <s v="High"/>
    <x v="233"/>
    <n v="2001"/>
    <x v="10"/>
    <n v="1"/>
    <d v="2026-03-19T00:00:00"/>
    <n v="8874"/>
    <n v="8874"/>
    <n v="6339"/>
    <n v="29"/>
    <x v="1"/>
    <x v="1"/>
    <n v="5"/>
    <s v="Yes"/>
    <n v="925.85"/>
    <x v="2"/>
    <x v="4"/>
    <x v="3"/>
    <s v="Bad Employee"/>
    <b v="0"/>
    <b v="1"/>
    <s v="Good employee"/>
    <x v="0"/>
    <x v="3"/>
    <n v="7"/>
    <n v="2012"/>
    <s v="Fully Remote"/>
    <n v="28"/>
    <x v="13"/>
  </r>
  <r>
    <x v="470"/>
    <x v="2"/>
    <s v="Davis"/>
    <x v="1"/>
    <x v="245"/>
    <s v="chrisdavis@gmail.com"/>
    <x v="468"/>
    <s v="extremely low"/>
    <x v="462"/>
    <n v="2019"/>
    <x v="2"/>
    <n v="3"/>
    <d v="2026-03-19T00:00:00"/>
    <n v="2451"/>
    <n v="2451"/>
    <n v="1752"/>
    <n v="38"/>
    <x v="0"/>
    <x v="1"/>
    <n v="6"/>
    <s v="Yes"/>
    <n v="3270.41"/>
    <x v="1"/>
    <x v="2"/>
    <x v="31"/>
    <s v="Bad Employee"/>
    <b v="0"/>
    <b v="1"/>
    <s v="Good employee"/>
    <x v="2"/>
    <x v="4"/>
    <n v="7"/>
    <n v="2014"/>
    <s v="On-Site"/>
    <n v="137"/>
    <x v="28"/>
  </r>
  <r>
    <x v="471"/>
    <x v="4"/>
    <s v="Miller"/>
    <x v="1"/>
    <x v="42"/>
    <s v="sarahmiller@gmail.com"/>
    <x v="469"/>
    <s v="low"/>
    <x v="463"/>
    <n v="2011"/>
    <x v="11"/>
    <n v="29"/>
    <d v="2026-03-19T00:00:00"/>
    <n v="5528"/>
    <n v="5528"/>
    <n v="3949"/>
    <n v="37"/>
    <x v="0"/>
    <x v="1"/>
    <n v="1"/>
    <s v="No"/>
    <n v="8189.51"/>
    <x v="2"/>
    <x v="4"/>
    <x v="3"/>
    <s v="Bad Employee"/>
    <b v="0"/>
    <b v="1"/>
    <s v="Good employee"/>
    <x v="0"/>
    <x v="3"/>
    <n v="5"/>
    <n v="2021"/>
    <s v="Hybrid"/>
    <n v="189"/>
    <x v="14"/>
  </r>
  <r>
    <x v="472"/>
    <x v="3"/>
    <s v="Miller"/>
    <x v="0"/>
    <x v="246"/>
    <s v="alexmiller@gmail.com"/>
    <x v="470"/>
    <s v="High"/>
    <x v="464"/>
    <n v="2005"/>
    <x v="0"/>
    <n v="4"/>
    <d v="2026-03-19T00:00:00"/>
    <n v="7501"/>
    <n v="7501"/>
    <n v="5359"/>
    <n v="37"/>
    <x v="0"/>
    <x v="0"/>
    <n v="4"/>
    <s v="No"/>
    <n v="5442.32"/>
    <x v="1"/>
    <x v="2"/>
    <x v="2"/>
    <s v="Bad Employee"/>
    <b v="0"/>
    <b v="0"/>
    <s v="Bad Employee"/>
    <x v="1"/>
    <x v="5"/>
    <n v="19"/>
    <n v="2016"/>
    <s v="Fully Remote"/>
    <n v="71"/>
    <x v="3"/>
  </r>
  <r>
    <x v="473"/>
    <x v="1"/>
    <s v="Miller"/>
    <x v="0"/>
    <x v="29"/>
    <s v="emilymiller@gmail.com"/>
    <x v="471"/>
    <s v="extremely low"/>
    <x v="465"/>
    <n v="2012"/>
    <x v="5"/>
    <n v="5"/>
    <d v="2026-03-19T00:00:00"/>
    <n v="4913"/>
    <n v="4913"/>
    <n v="3510"/>
    <n v="49"/>
    <x v="0"/>
    <x v="0"/>
    <n v="9"/>
    <s v="No"/>
    <n v="836.1"/>
    <x v="1"/>
    <x v="2"/>
    <x v="22"/>
    <s v="Good Employee"/>
    <b v="1"/>
    <b v="1"/>
    <s v="Good employee"/>
    <x v="1"/>
    <x v="0"/>
    <n v="8"/>
    <n v="2023"/>
    <s v="Hybrid"/>
    <n v="15"/>
    <x v="34"/>
  </r>
  <r>
    <x v="474"/>
    <x v="3"/>
    <s v="Miller"/>
    <x v="0"/>
    <x v="246"/>
    <s v="alexmiller@gmail.com"/>
    <x v="472"/>
    <s v="High"/>
    <x v="466"/>
    <n v="2010"/>
    <x v="3"/>
    <n v="11"/>
    <d v="2026-03-19T00:00:00"/>
    <n v="5821"/>
    <n v="5821"/>
    <n v="4159"/>
    <n v="37"/>
    <x v="0"/>
    <x v="0"/>
    <n v="4"/>
    <s v="Yes"/>
    <n v="3178.53"/>
    <x v="3"/>
    <x v="1"/>
    <x v="13"/>
    <s v="Bad Employee"/>
    <b v="0"/>
    <b v="1"/>
    <s v="Good employee"/>
    <x v="1"/>
    <x v="5"/>
    <n v="1"/>
    <n v="2015"/>
    <s v="Hybrid"/>
    <n v="177"/>
    <x v="23"/>
  </r>
  <r>
    <x v="475"/>
    <x v="4"/>
    <s v="Miller"/>
    <x v="2"/>
    <x v="114"/>
    <s v="sarahmiller@gmail.com"/>
    <x v="473"/>
    <s v="High"/>
    <x v="467"/>
    <n v="2001"/>
    <x v="11"/>
    <n v="29"/>
    <d v="2026-03-19T00:00:00"/>
    <n v="9180"/>
    <n v="9180"/>
    <n v="6559"/>
    <n v="35"/>
    <x v="0"/>
    <x v="0"/>
    <n v="2"/>
    <s v="Yes"/>
    <n v="6571.84"/>
    <x v="0"/>
    <x v="2"/>
    <x v="34"/>
    <s v="Bad Employee"/>
    <b v="0"/>
    <b v="1"/>
    <s v="Good employee"/>
    <x v="0"/>
    <x v="0"/>
    <n v="17"/>
    <n v="2017"/>
    <s v="On-Site"/>
    <n v="100"/>
    <x v="11"/>
  </r>
  <r>
    <x v="476"/>
    <x v="7"/>
    <s v="Johnson"/>
    <x v="0"/>
    <x v="230"/>
    <s v="johnjohnson@gmail.com"/>
    <x v="474"/>
    <s v="Medium"/>
    <x v="468"/>
    <n v="2005"/>
    <x v="7"/>
    <n v="10"/>
    <d v="2026-03-19T00:00:00"/>
    <n v="7618"/>
    <n v="7618"/>
    <n v="5443"/>
    <n v="59"/>
    <x v="0"/>
    <x v="0"/>
    <n v="6"/>
    <s v="Yes"/>
    <n v="2393.91"/>
    <x v="1"/>
    <x v="4"/>
    <x v="23"/>
    <s v="Bad Employee"/>
    <b v="0"/>
    <b v="0"/>
    <s v="Bad Employee"/>
    <x v="2"/>
    <x v="5"/>
    <n v="0"/>
    <n v="2010"/>
    <s v="Hybrid"/>
    <n v="26"/>
    <x v="18"/>
  </r>
  <r>
    <x v="477"/>
    <x v="4"/>
    <s v="Miller"/>
    <x v="4"/>
    <x v="247"/>
    <s v="sarahmiller@gmail.com"/>
    <x v="475"/>
    <s v="High"/>
    <x v="469"/>
    <n v="2008"/>
    <x v="7"/>
    <n v="6"/>
    <d v="2026-03-19T00:00:00"/>
    <n v="6526"/>
    <n v="6526"/>
    <n v="4663"/>
    <n v="41"/>
    <x v="0"/>
    <x v="0"/>
    <n v="2"/>
    <s v="No"/>
    <n v="8360.2199999999993"/>
    <x v="3"/>
    <x v="0"/>
    <x v="33"/>
    <s v="Bad Employee"/>
    <b v="0"/>
    <b v="0"/>
    <s v="Bad Employee"/>
    <x v="0"/>
    <x v="0"/>
    <n v="10"/>
    <n v="2016"/>
    <s v="Hybrid"/>
    <n v="143"/>
    <x v="8"/>
  </r>
  <r>
    <x v="478"/>
    <x v="7"/>
    <s v="Johnson"/>
    <x v="1"/>
    <x v="244"/>
    <s v="johnjohnson@gmail.com"/>
    <x v="476"/>
    <s v="Medium"/>
    <x v="470"/>
    <n v="2009"/>
    <x v="9"/>
    <n v="14"/>
    <d v="2026-03-19T00:00:00"/>
    <n v="6122"/>
    <n v="6122"/>
    <n v="4374"/>
    <n v="62"/>
    <x v="0"/>
    <x v="1"/>
    <n v="3"/>
    <s v="No"/>
    <n v="6927.47"/>
    <x v="2"/>
    <x v="3"/>
    <x v="27"/>
    <s v="Bad Employee"/>
    <b v="0"/>
    <b v="1"/>
    <s v="Good employee"/>
    <x v="1"/>
    <x v="1"/>
    <n v="14"/>
    <n v="2018"/>
    <s v="Fully Remote"/>
    <n v="170"/>
    <x v="18"/>
  </r>
  <r>
    <x v="479"/>
    <x v="1"/>
    <s v="Miller"/>
    <x v="4"/>
    <x v="70"/>
    <s v="emilymiller@gmail.com"/>
    <x v="477"/>
    <s v="Medium"/>
    <x v="471"/>
    <n v="2001"/>
    <x v="9"/>
    <n v="6"/>
    <d v="2026-03-19T00:00:00"/>
    <n v="9052"/>
    <n v="9052"/>
    <n v="6467"/>
    <n v="55"/>
    <x v="0"/>
    <x v="1"/>
    <n v="7"/>
    <s v="Yes"/>
    <n v="4978.1000000000004"/>
    <x v="3"/>
    <x v="4"/>
    <x v="37"/>
    <s v="Good Employee"/>
    <b v="1"/>
    <b v="1"/>
    <s v="Good employee"/>
    <x v="1"/>
    <x v="4"/>
    <n v="11"/>
    <n v="2016"/>
    <s v="On-Site"/>
    <n v="191"/>
    <x v="34"/>
  </r>
  <r>
    <x v="480"/>
    <x v="1"/>
    <s v="Davis"/>
    <x v="3"/>
    <x v="78"/>
    <s v="emilydavis@gmail.com"/>
    <x v="478"/>
    <s v="High"/>
    <x v="472"/>
    <n v="2004"/>
    <x v="3"/>
    <n v="11"/>
    <d v="2026-03-19T00:00:00"/>
    <n v="8012"/>
    <n v="8012"/>
    <n v="5724"/>
    <n v="50"/>
    <x v="0"/>
    <x v="0"/>
    <n v="4"/>
    <s v="No"/>
    <n v="9198.43"/>
    <x v="1"/>
    <x v="0"/>
    <x v="6"/>
    <s v="Bad Employee"/>
    <b v="0"/>
    <b v="0"/>
    <s v="Bad Employee"/>
    <x v="1"/>
    <x v="1"/>
    <n v="2"/>
    <n v="2015"/>
    <s v="On-Site"/>
    <n v="90"/>
    <x v="3"/>
  </r>
  <r>
    <x v="481"/>
    <x v="6"/>
    <s v="Wilson"/>
    <x v="0"/>
    <x v="248"/>
    <s v="katiewilson@gmail.com"/>
    <x v="479"/>
    <s v="Medium"/>
    <x v="473"/>
    <n v="2007"/>
    <x v="10"/>
    <n v="19"/>
    <d v="2026-03-19T00:00:00"/>
    <n v="6665"/>
    <n v="6665"/>
    <n v="4762"/>
    <n v="24"/>
    <x v="1"/>
    <x v="0"/>
    <n v="1"/>
    <s v="No"/>
    <n v="4222.1099999999997"/>
    <x v="3"/>
    <x v="4"/>
    <x v="38"/>
    <s v="Bad Employee"/>
    <b v="0"/>
    <b v="0"/>
    <s v="Bad Employee"/>
    <x v="0"/>
    <x v="2"/>
    <n v="18"/>
    <n v="2018"/>
    <s v="Fully Remote"/>
    <n v="136"/>
    <x v="14"/>
  </r>
  <r>
    <x v="482"/>
    <x v="2"/>
    <s v="Miller"/>
    <x v="2"/>
    <x v="249"/>
    <s v="chrismiller@gmail.com"/>
    <x v="480"/>
    <s v="Medium"/>
    <x v="474"/>
    <n v="2014"/>
    <x v="8"/>
    <n v="30"/>
    <d v="2026-03-19T00:00:00"/>
    <n v="4372"/>
    <n v="4372"/>
    <n v="3124"/>
    <n v="31"/>
    <x v="0"/>
    <x v="0"/>
    <n v="9"/>
    <s v="Yes"/>
    <n v="2733.2"/>
    <x v="0"/>
    <x v="0"/>
    <x v="8"/>
    <s v="Good Employee"/>
    <b v="1"/>
    <b v="1"/>
    <s v="Good employee"/>
    <x v="0"/>
    <x v="3"/>
    <n v="19"/>
    <n v="2022"/>
    <s v="Fully Remote"/>
    <n v="199"/>
    <x v="5"/>
  </r>
  <r>
    <x v="483"/>
    <x v="6"/>
    <s v="Williams"/>
    <x v="3"/>
    <x v="97"/>
    <s v="katiewilliams@gmail.com"/>
    <x v="481"/>
    <s v="extremely low"/>
    <x v="475"/>
    <n v="2007"/>
    <x v="5"/>
    <n v="20"/>
    <d v="2026-03-19T00:00:00"/>
    <n v="6725"/>
    <n v="6725"/>
    <n v="4804"/>
    <n v="41"/>
    <x v="0"/>
    <x v="0"/>
    <n v="6"/>
    <s v="No"/>
    <n v="6783.33"/>
    <x v="2"/>
    <x v="4"/>
    <x v="21"/>
    <s v="Bad Employee"/>
    <b v="0"/>
    <b v="0"/>
    <s v="Bad Employee"/>
    <x v="0"/>
    <x v="0"/>
    <n v="18"/>
    <n v="2013"/>
    <s v="Hybrid"/>
    <n v="142"/>
    <x v="20"/>
  </r>
  <r>
    <x v="484"/>
    <x v="2"/>
    <s v="Miller"/>
    <x v="2"/>
    <x v="249"/>
    <s v="chrismiller@gmail.com"/>
    <x v="482"/>
    <s v="High"/>
    <x v="476"/>
    <n v="2001"/>
    <x v="2"/>
    <n v="3"/>
    <d v="2026-03-19T00:00:00"/>
    <n v="9025"/>
    <n v="9025"/>
    <n v="6448"/>
    <n v="23"/>
    <x v="1"/>
    <x v="1"/>
    <n v="9"/>
    <s v="No"/>
    <n v="5946.3"/>
    <x v="3"/>
    <x v="3"/>
    <x v="29"/>
    <s v="Bad Employee"/>
    <b v="0"/>
    <b v="1"/>
    <s v="Good employee"/>
    <x v="1"/>
    <x v="3"/>
    <n v="9"/>
    <n v="2021"/>
    <s v="Hybrid"/>
    <n v="23"/>
    <x v="3"/>
  </r>
  <r>
    <x v="485"/>
    <x v="6"/>
    <s v="Miller"/>
    <x v="3"/>
    <x v="205"/>
    <s v="katiemiller@gmail.com"/>
    <x v="483"/>
    <s v="extremely low"/>
    <x v="477"/>
    <n v="2004"/>
    <x v="11"/>
    <n v="8"/>
    <d v="2026-03-19T00:00:00"/>
    <n v="8106"/>
    <n v="8106"/>
    <n v="5791"/>
    <n v="48"/>
    <x v="0"/>
    <x v="1"/>
    <n v="3"/>
    <s v="Yes"/>
    <n v="3684.86"/>
    <x v="2"/>
    <x v="1"/>
    <x v="23"/>
    <s v="Bad Employee"/>
    <b v="0"/>
    <b v="0"/>
    <s v="Bad Employee"/>
    <x v="0"/>
    <x v="0"/>
    <n v="15"/>
    <n v="2019"/>
    <s v="On-Site"/>
    <n v="86"/>
    <x v="36"/>
  </r>
  <r>
    <x v="486"/>
    <x v="3"/>
    <s v="Davis"/>
    <x v="1"/>
    <x v="122"/>
    <s v="alexdavis@gmail.com"/>
    <x v="484"/>
    <s v="High"/>
    <x v="478"/>
    <n v="2017"/>
    <x v="11"/>
    <n v="21"/>
    <d v="2026-03-19T00:00:00"/>
    <n v="3344"/>
    <n v="3344"/>
    <n v="2389"/>
    <n v="53"/>
    <x v="0"/>
    <x v="1"/>
    <n v="5"/>
    <s v="Yes"/>
    <n v="3764.81"/>
    <x v="1"/>
    <x v="1"/>
    <x v="1"/>
    <s v="Bad Employee"/>
    <b v="0"/>
    <b v="1"/>
    <s v="Good employee"/>
    <x v="2"/>
    <x v="2"/>
    <n v="5"/>
    <n v="2015"/>
    <s v="On-Site"/>
    <n v="160"/>
    <x v="19"/>
  </r>
  <r>
    <x v="487"/>
    <x v="1"/>
    <s v="Brown"/>
    <x v="4"/>
    <x v="214"/>
    <s v="emilybrown@gmail.com"/>
    <x v="485"/>
    <s v="Medium"/>
    <x v="479"/>
    <n v="2002"/>
    <x v="3"/>
    <n v="12"/>
    <d v="2026-03-19T00:00:00"/>
    <n v="8742"/>
    <n v="8742"/>
    <n v="6245"/>
    <n v="31"/>
    <x v="0"/>
    <x v="0"/>
    <n v="9"/>
    <s v="Yes"/>
    <n v="4283"/>
    <x v="0"/>
    <x v="3"/>
    <x v="15"/>
    <s v="Bad Employee"/>
    <b v="0"/>
    <b v="1"/>
    <s v="Good employee"/>
    <x v="2"/>
    <x v="4"/>
    <n v="8"/>
    <n v="2015"/>
    <s v="Hybrid"/>
    <n v="99"/>
    <x v="16"/>
  </r>
  <r>
    <x v="488"/>
    <x v="7"/>
    <s v="Davis"/>
    <x v="5"/>
    <x v="178"/>
    <s v="johndavis@gmail.com"/>
    <x v="486"/>
    <s v="High"/>
    <x v="480"/>
    <n v="2012"/>
    <x v="3"/>
    <n v="9"/>
    <d v="2026-03-19T00:00:00"/>
    <n v="5092"/>
    <n v="5092"/>
    <n v="3639"/>
    <n v="61"/>
    <x v="0"/>
    <x v="0"/>
    <n v="6"/>
    <s v="No"/>
    <n v="3265.82"/>
    <x v="0"/>
    <x v="4"/>
    <x v="16"/>
    <s v="Bad Employee"/>
    <b v="0"/>
    <b v="1"/>
    <s v="Good employee"/>
    <x v="2"/>
    <x v="4"/>
    <n v="7"/>
    <n v="2023"/>
    <s v="Fully Remote"/>
    <n v="21"/>
    <x v="17"/>
  </r>
  <r>
    <x v="489"/>
    <x v="2"/>
    <s v="Williams"/>
    <x v="4"/>
    <x v="150"/>
    <s v="chriswilliams@gmail.com"/>
    <x v="487"/>
    <s v="High"/>
    <x v="481"/>
    <n v="2013"/>
    <x v="1"/>
    <n v="6"/>
    <d v="2026-03-19T00:00:00"/>
    <n v="4516"/>
    <n v="4516"/>
    <n v="3227"/>
    <n v="38"/>
    <x v="0"/>
    <x v="0"/>
    <n v="2"/>
    <s v="Yes"/>
    <n v="7247.29"/>
    <x v="3"/>
    <x v="0"/>
    <x v="35"/>
    <s v="Bad Employee"/>
    <b v="0"/>
    <b v="1"/>
    <s v="Good employee"/>
    <x v="0"/>
    <x v="3"/>
    <n v="15"/>
    <n v="2019"/>
    <s v="On-Site"/>
    <n v="28"/>
    <x v="0"/>
  </r>
  <r>
    <x v="490"/>
    <x v="4"/>
    <s v="Brown"/>
    <x v="0"/>
    <x v="117"/>
    <s v="sarahbrown@gmail.com"/>
    <x v="488"/>
    <s v="Medium"/>
    <x v="482"/>
    <n v="2018"/>
    <x v="6"/>
    <n v="25"/>
    <d v="2026-03-19T00:00:00"/>
    <n v="2763"/>
    <n v="2763"/>
    <n v="1974"/>
    <n v="54"/>
    <x v="0"/>
    <x v="1"/>
    <n v="1"/>
    <s v="No"/>
    <n v="6687.9"/>
    <x v="2"/>
    <x v="2"/>
    <x v="19"/>
    <s v="Bad Employee"/>
    <b v="0"/>
    <b v="1"/>
    <s v="Good employee"/>
    <x v="1"/>
    <x v="1"/>
    <n v="7"/>
    <n v="2023"/>
    <s v="Fully Remote"/>
    <n v="133"/>
    <x v="15"/>
  </r>
  <r>
    <x v="491"/>
    <x v="2"/>
    <s v="Smith"/>
    <x v="5"/>
    <x v="66"/>
    <s v="chrissmith@gmail.com"/>
    <x v="489"/>
    <s v="High"/>
    <x v="366"/>
    <n v="2003"/>
    <x v="1"/>
    <n v="22"/>
    <d v="2026-03-19T00:00:00"/>
    <n v="8153"/>
    <n v="8153"/>
    <n v="5824"/>
    <n v="27"/>
    <x v="1"/>
    <x v="1"/>
    <n v="9"/>
    <s v="Yes"/>
    <n v="4687.3900000000003"/>
    <x v="2"/>
    <x v="4"/>
    <x v="14"/>
    <s v="Bad Employee"/>
    <b v="0"/>
    <b v="1"/>
    <s v="Good employee"/>
    <x v="1"/>
    <x v="2"/>
    <n v="17"/>
    <n v="2012"/>
    <s v="Hybrid"/>
    <n v="9"/>
    <x v="35"/>
  </r>
  <r>
    <x v="492"/>
    <x v="7"/>
    <s v="Smith"/>
    <x v="2"/>
    <x v="250"/>
    <s v="johnsmith@gmail.com"/>
    <x v="490"/>
    <s v="High"/>
    <x v="483"/>
    <n v="2000"/>
    <x v="5"/>
    <n v="12"/>
    <d v="2026-03-19T00:00:00"/>
    <n v="9289"/>
    <n v="9289"/>
    <n v="6636"/>
    <n v="60"/>
    <x v="0"/>
    <x v="1"/>
    <n v="1"/>
    <s v="Yes"/>
    <n v="4279.62"/>
    <x v="3"/>
    <x v="3"/>
    <x v="37"/>
    <s v="Bad Employee"/>
    <b v="0"/>
    <b v="1"/>
    <s v="Good employee"/>
    <x v="1"/>
    <x v="3"/>
    <n v="4"/>
    <n v="2016"/>
    <s v="On-Site"/>
    <n v="164"/>
    <x v="10"/>
  </r>
  <r>
    <x v="493"/>
    <x v="6"/>
    <s v="Williams"/>
    <x v="1"/>
    <x v="20"/>
    <s v="katiewilliams@gmail.com"/>
    <x v="491"/>
    <s v="Medium"/>
    <x v="484"/>
    <n v="2007"/>
    <x v="2"/>
    <n v="8"/>
    <d v="2026-03-19T00:00:00"/>
    <n v="6829"/>
    <n v="6829"/>
    <n v="4879"/>
    <n v="39"/>
    <x v="0"/>
    <x v="0"/>
    <n v="5"/>
    <s v="Yes"/>
    <n v="3967.99"/>
    <x v="3"/>
    <x v="1"/>
    <x v="19"/>
    <s v="Bad Employee"/>
    <b v="0"/>
    <b v="1"/>
    <s v="Good employee"/>
    <x v="1"/>
    <x v="4"/>
    <n v="19"/>
    <n v="2010"/>
    <s v="On-Site"/>
    <n v="57"/>
    <x v="30"/>
  </r>
  <r>
    <x v="494"/>
    <x v="2"/>
    <s v="Davis"/>
    <x v="1"/>
    <x v="245"/>
    <s v="chrisdavis@gmail.com"/>
    <x v="492"/>
    <s v="Medium"/>
    <x v="82"/>
    <n v="2010"/>
    <x v="3"/>
    <n v="23"/>
    <d v="2026-03-19T00:00:00"/>
    <n v="5809"/>
    <n v="5809"/>
    <n v="4150"/>
    <n v="30"/>
    <x v="1"/>
    <x v="1"/>
    <n v="1"/>
    <s v="No"/>
    <n v="3192.95"/>
    <x v="3"/>
    <x v="1"/>
    <x v="18"/>
    <s v="Bad Employee"/>
    <b v="0"/>
    <b v="0"/>
    <s v="Bad Employee"/>
    <x v="1"/>
    <x v="5"/>
    <n v="11"/>
    <n v="2020"/>
    <s v="Hybrid"/>
    <n v="85"/>
    <x v="13"/>
  </r>
  <r>
    <x v="495"/>
    <x v="0"/>
    <s v="Johnson"/>
    <x v="2"/>
    <x v="139"/>
    <s v="michaeljohnson@gmail.com"/>
    <x v="493"/>
    <s v="High"/>
    <x v="485"/>
    <n v="2019"/>
    <x v="9"/>
    <n v="18"/>
    <d v="2026-03-19T00:00:00"/>
    <n v="2466"/>
    <n v="2466"/>
    <n v="1763"/>
    <n v="29"/>
    <x v="1"/>
    <x v="1"/>
    <n v="5"/>
    <s v="Yes"/>
    <n v="1314.12"/>
    <x v="3"/>
    <x v="4"/>
    <x v="32"/>
    <s v="Bad Employee"/>
    <b v="0"/>
    <b v="1"/>
    <s v="Good employee"/>
    <x v="0"/>
    <x v="3"/>
    <n v="5"/>
    <n v="2017"/>
    <s v="Hybrid"/>
    <n v="189"/>
    <x v="39"/>
  </r>
  <r>
    <x v="496"/>
    <x v="3"/>
    <s v="Williams"/>
    <x v="0"/>
    <x v="251"/>
    <s v="alexwilliams@gmail.com"/>
    <x v="494"/>
    <s v="Medium"/>
    <x v="486"/>
    <n v="2012"/>
    <x v="8"/>
    <n v="22"/>
    <d v="2026-03-19T00:00:00"/>
    <n v="5110"/>
    <n v="5110"/>
    <n v="3651"/>
    <n v="46"/>
    <x v="0"/>
    <x v="0"/>
    <n v="5"/>
    <s v="Yes"/>
    <n v="3047.94"/>
    <x v="0"/>
    <x v="0"/>
    <x v="14"/>
    <s v="Bad Employee"/>
    <b v="0"/>
    <b v="0"/>
    <s v="Bad Employee"/>
    <x v="2"/>
    <x v="0"/>
    <n v="1"/>
    <n v="2017"/>
    <s v="Fully Remote"/>
    <n v="175"/>
    <x v="17"/>
  </r>
  <r>
    <x v="497"/>
    <x v="1"/>
    <s v="Wilson"/>
    <x v="2"/>
    <x v="252"/>
    <s v="emilywilson@gmail.com"/>
    <x v="495"/>
    <s v="extremely low"/>
    <x v="487"/>
    <n v="2018"/>
    <x v="6"/>
    <n v="12"/>
    <d v="2026-03-19T00:00:00"/>
    <n v="2776"/>
    <n v="2776"/>
    <n v="1984"/>
    <n v="52"/>
    <x v="0"/>
    <x v="1"/>
    <n v="7"/>
    <s v="No"/>
    <n v="3551.41"/>
    <x v="3"/>
    <x v="3"/>
    <x v="9"/>
    <s v="Bad Employee"/>
    <b v="0"/>
    <b v="1"/>
    <s v="Good employee"/>
    <x v="0"/>
    <x v="4"/>
    <n v="3"/>
    <n v="2017"/>
    <s v="Fully Remote"/>
    <n v="90"/>
    <x v="19"/>
  </r>
  <r>
    <x v="498"/>
    <x v="7"/>
    <s v="Brown"/>
    <x v="3"/>
    <x v="217"/>
    <s v="johnbrown@gmail.com"/>
    <x v="496"/>
    <s v="High"/>
    <x v="488"/>
    <n v="2003"/>
    <x v="10"/>
    <n v="16"/>
    <d v="2026-03-19T00:00:00"/>
    <n v="8129"/>
    <n v="8129"/>
    <n v="5808"/>
    <n v="63"/>
    <x v="0"/>
    <x v="0"/>
    <n v="7"/>
    <s v="No"/>
    <n v="5703"/>
    <x v="2"/>
    <x v="3"/>
    <x v="34"/>
    <s v="Good Employee"/>
    <b v="1"/>
    <b v="1"/>
    <s v="Good employee"/>
    <x v="1"/>
    <x v="0"/>
    <n v="15"/>
    <n v="2018"/>
    <s v="Hybrid"/>
    <n v="107"/>
    <x v="30"/>
  </r>
  <r>
    <x v="499"/>
    <x v="1"/>
    <s v="Brown"/>
    <x v="0"/>
    <x v="253"/>
    <s v="emilybrown@gmail.com"/>
    <x v="497"/>
    <s v="Medium"/>
    <x v="489"/>
    <n v="2015"/>
    <x v="10"/>
    <n v="25"/>
    <d v="2026-03-19T00:00:00"/>
    <n v="3737"/>
    <n v="3737"/>
    <n v="2670"/>
    <n v="25"/>
    <x v="1"/>
    <x v="0"/>
    <n v="1"/>
    <s v="Yes"/>
    <n v="7850.99"/>
    <x v="1"/>
    <x v="0"/>
    <x v="38"/>
    <s v="Bad Employee"/>
    <b v="0"/>
    <b v="0"/>
    <s v="Bad Employee"/>
    <x v="0"/>
    <x v="2"/>
    <n v="13"/>
    <n v="2013"/>
    <s v="Hybrid"/>
    <n v="171"/>
    <x v="21"/>
  </r>
  <r>
    <x v="500"/>
    <x v="0"/>
    <s v="Miller"/>
    <x v="5"/>
    <x v="254"/>
    <s v="michaelmiller@gmail.com"/>
    <x v="498"/>
    <s v="High"/>
    <x v="490"/>
    <n v="2018"/>
    <x v="6"/>
    <n v="11"/>
    <d v="2026-03-19T00:00:00"/>
    <n v="2777"/>
    <n v="2777"/>
    <n v="1984"/>
    <n v="41"/>
    <x v="0"/>
    <x v="0"/>
    <n v="9"/>
    <s v="Yes"/>
    <n v="4259.17"/>
    <x v="2"/>
    <x v="0"/>
    <x v="35"/>
    <s v="Good Employee"/>
    <b v="1"/>
    <b v="1"/>
    <s v="Good employee"/>
    <x v="0"/>
    <x v="1"/>
    <n v="16"/>
    <n v="2015"/>
    <s v="Hybrid"/>
    <n v="166"/>
    <x v="19"/>
  </r>
  <r>
    <x v="501"/>
    <x v="2"/>
    <s v="Smith"/>
    <x v="2"/>
    <x v="142"/>
    <s v="chrissmith@gmail.com"/>
    <x v="243"/>
    <s v="High"/>
    <x v="491"/>
    <n v="2018"/>
    <x v="0"/>
    <n v="23"/>
    <d v="2026-03-19T00:00:00"/>
    <n v="2734"/>
    <n v="2734"/>
    <n v="1954"/>
    <n v="49"/>
    <x v="0"/>
    <x v="1"/>
    <n v="1"/>
    <s v="Yes"/>
    <n v="9475.19"/>
    <x v="3"/>
    <x v="4"/>
    <x v="31"/>
    <s v="Bad Employee"/>
    <b v="0"/>
    <b v="1"/>
    <s v="Good employee"/>
    <x v="0"/>
    <x v="1"/>
    <n v="18"/>
    <n v="2020"/>
    <s v="On-Site"/>
    <n v="84"/>
    <x v="22"/>
  </r>
  <r>
    <x v="502"/>
    <x v="2"/>
    <s v="Brown"/>
    <x v="0"/>
    <x v="255"/>
    <s v="chrisbrown@gmail.com"/>
    <x v="499"/>
    <s v="extremely low"/>
    <x v="492"/>
    <n v="2004"/>
    <x v="11"/>
    <n v="6"/>
    <d v="2026-03-19T00:00:00"/>
    <n v="8108"/>
    <n v="8108"/>
    <n v="5793"/>
    <n v="61"/>
    <x v="0"/>
    <x v="1"/>
    <n v="5"/>
    <s v="No"/>
    <n v="8359.82"/>
    <x v="0"/>
    <x v="4"/>
    <x v="8"/>
    <s v="Bad Employee"/>
    <b v="0"/>
    <b v="1"/>
    <s v="Good employee"/>
    <x v="1"/>
    <x v="4"/>
    <n v="3"/>
    <n v="2021"/>
    <s v="Hybrid"/>
    <n v="9"/>
    <x v="15"/>
  </r>
  <r>
    <x v="503"/>
    <x v="4"/>
    <s v="Williams"/>
    <x v="5"/>
    <x v="93"/>
    <s v="sarahwilliams@gmail.com"/>
    <x v="500"/>
    <s v="High"/>
    <x v="493"/>
    <n v="2004"/>
    <x v="1"/>
    <n v="11"/>
    <d v="2026-03-19T00:00:00"/>
    <n v="7798"/>
    <n v="7798"/>
    <n v="5571"/>
    <n v="22"/>
    <x v="1"/>
    <x v="0"/>
    <n v="7"/>
    <s v="No"/>
    <n v="9855.6200000000008"/>
    <x v="3"/>
    <x v="1"/>
    <x v="5"/>
    <s v="Good Employee"/>
    <b v="1"/>
    <b v="1"/>
    <s v="Good employee"/>
    <x v="1"/>
    <x v="4"/>
    <n v="17"/>
    <n v="2016"/>
    <s v="On-Site"/>
    <n v="22"/>
    <x v="18"/>
  </r>
  <r>
    <x v="504"/>
    <x v="0"/>
    <s v="Brown"/>
    <x v="2"/>
    <x v="256"/>
    <s v="michaelbrown@gmail.com"/>
    <x v="501"/>
    <s v="High"/>
    <x v="494"/>
    <n v="2015"/>
    <x v="9"/>
    <n v="10"/>
    <d v="2026-03-19T00:00:00"/>
    <n v="3935"/>
    <n v="3935"/>
    <n v="2812"/>
    <n v="61"/>
    <x v="0"/>
    <x v="1"/>
    <n v="8"/>
    <s v="Yes"/>
    <n v="8823.93"/>
    <x v="1"/>
    <x v="1"/>
    <x v="27"/>
    <s v="Good Employee"/>
    <b v="1"/>
    <b v="1"/>
    <s v="Good employee"/>
    <x v="1"/>
    <x v="1"/>
    <n v="11"/>
    <n v="2011"/>
    <s v="Hybrid"/>
    <n v="136"/>
    <x v="17"/>
  </r>
  <r>
    <x v="505"/>
    <x v="7"/>
    <s v="Williams"/>
    <x v="1"/>
    <x v="174"/>
    <s v="johnwilliams@gmail.com"/>
    <x v="502"/>
    <s v="Medium"/>
    <x v="495"/>
    <n v="2019"/>
    <x v="6"/>
    <n v="16"/>
    <d v="2026-03-19T00:00:00"/>
    <n v="2407"/>
    <n v="2407"/>
    <n v="1720"/>
    <n v="44"/>
    <x v="0"/>
    <x v="0"/>
    <n v="2"/>
    <s v="Yes"/>
    <n v="6358.9"/>
    <x v="3"/>
    <x v="0"/>
    <x v="11"/>
    <s v="Bad Employee"/>
    <b v="0"/>
    <b v="0"/>
    <s v="Bad Employee"/>
    <x v="0"/>
    <x v="3"/>
    <n v="1"/>
    <n v="2015"/>
    <s v="On-Site"/>
    <n v="113"/>
    <x v="33"/>
  </r>
  <r>
    <x v="506"/>
    <x v="4"/>
    <s v="Johnson"/>
    <x v="2"/>
    <x v="209"/>
    <s v="sarahjohnson@gmail.com"/>
    <x v="503"/>
    <s v="High"/>
    <x v="496"/>
    <n v="2010"/>
    <x v="11"/>
    <n v="3"/>
    <d v="2026-03-19T00:00:00"/>
    <n v="5919"/>
    <n v="5919"/>
    <n v="4229"/>
    <n v="34"/>
    <x v="0"/>
    <x v="1"/>
    <n v="1"/>
    <s v="Yes"/>
    <n v="6185.55"/>
    <x v="1"/>
    <x v="2"/>
    <x v="11"/>
    <s v="Bad Employee"/>
    <b v="0"/>
    <b v="0"/>
    <s v="Bad Employee"/>
    <x v="0"/>
    <x v="1"/>
    <n v="5"/>
    <n v="2017"/>
    <s v="Fully Remote"/>
    <n v="95"/>
    <x v="32"/>
  </r>
  <r>
    <x v="507"/>
    <x v="3"/>
    <s v="Miller"/>
    <x v="4"/>
    <x v="257"/>
    <s v="alexmiller@gmail.com"/>
    <x v="504"/>
    <s v="Medium"/>
    <x v="497"/>
    <n v="2002"/>
    <x v="2"/>
    <n v="3"/>
    <d v="2026-03-19T00:00:00"/>
    <n v="8660"/>
    <n v="8660"/>
    <n v="6187"/>
    <n v="37"/>
    <x v="0"/>
    <x v="0"/>
    <n v="4"/>
    <s v="Yes"/>
    <n v="1730.5"/>
    <x v="3"/>
    <x v="2"/>
    <x v="23"/>
    <s v="Bad Employee"/>
    <b v="0"/>
    <b v="0"/>
    <s v="Bad Employee"/>
    <x v="2"/>
    <x v="1"/>
    <n v="5"/>
    <n v="2013"/>
    <s v="Fully Remote"/>
    <n v="74"/>
    <x v="4"/>
  </r>
  <r>
    <x v="508"/>
    <x v="4"/>
    <s v="Smith"/>
    <x v="2"/>
    <x v="14"/>
    <s v="sarahsmith@gmail.com"/>
    <x v="505"/>
    <s v="Medium"/>
    <x v="498"/>
    <n v="2000"/>
    <x v="5"/>
    <n v="14"/>
    <d v="2026-03-19T00:00:00"/>
    <n v="9287"/>
    <n v="9287"/>
    <n v="6634"/>
    <n v="47"/>
    <x v="0"/>
    <x v="0"/>
    <n v="4"/>
    <s v="No"/>
    <n v="7362.79"/>
    <x v="0"/>
    <x v="2"/>
    <x v="33"/>
    <s v="Bad Employee"/>
    <b v="0"/>
    <b v="0"/>
    <s v="Bad Employee"/>
    <x v="2"/>
    <x v="3"/>
    <n v="2"/>
    <n v="2014"/>
    <s v="On-Site"/>
    <n v="143"/>
    <x v="15"/>
  </r>
  <r>
    <x v="509"/>
    <x v="5"/>
    <s v="Brown"/>
    <x v="4"/>
    <x v="60"/>
    <s v="janebrown@gmail.com"/>
    <x v="506"/>
    <s v="low"/>
    <x v="499"/>
    <n v="2011"/>
    <x v="9"/>
    <n v="22"/>
    <d v="2026-03-19T00:00:00"/>
    <n v="5384"/>
    <n v="5384"/>
    <n v="3847"/>
    <n v="52"/>
    <x v="0"/>
    <x v="1"/>
    <n v="6"/>
    <s v="No"/>
    <n v="6201.97"/>
    <x v="2"/>
    <x v="3"/>
    <x v="35"/>
    <s v="Bad Employee"/>
    <b v="0"/>
    <b v="1"/>
    <s v="Good employee"/>
    <x v="1"/>
    <x v="0"/>
    <n v="7"/>
    <n v="2017"/>
    <s v="Fully Remote"/>
    <n v="179"/>
    <x v="8"/>
  </r>
  <r>
    <x v="510"/>
    <x v="7"/>
    <s v="Williams"/>
    <x v="5"/>
    <x v="238"/>
    <s v="johnwilliams@gmail.com"/>
    <x v="507"/>
    <s v="High"/>
    <x v="500"/>
    <n v="2018"/>
    <x v="6"/>
    <n v="26"/>
    <d v="2026-03-19T00:00:00"/>
    <n v="2762"/>
    <n v="2762"/>
    <n v="1974"/>
    <n v="22"/>
    <x v="1"/>
    <x v="0"/>
    <n v="1"/>
    <s v="No"/>
    <n v="5315.85"/>
    <x v="1"/>
    <x v="4"/>
    <x v="32"/>
    <s v="Bad Employee"/>
    <b v="0"/>
    <b v="1"/>
    <s v="Good employee"/>
    <x v="2"/>
    <x v="3"/>
    <n v="11"/>
    <n v="2012"/>
    <s v="Fully Remote"/>
    <n v="85"/>
    <x v="13"/>
  </r>
  <r>
    <x v="511"/>
    <x v="5"/>
    <s v="Davis"/>
    <x v="2"/>
    <x v="22"/>
    <s v="janedavis@gmail.com"/>
    <x v="508"/>
    <s v="Medium"/>
    <x v="501"/>
    <n v="2005"/>
    <x v="0"/>
    <n v="19"/>
    <d v="2026-03-19T00:00:00"/>
    <n v="7486"/>
    <n v="7486"/>
    <n v="5349"/>
    <n v="38"/>
    <x v="0"/>
    <x v="0"/>
    <n v="1"/>
    <s v="Yes"/>
    <n v="7086.23"/>
    <x v="2"/>
    <x v="0"/>
    <x v="22"/>
    <s v="Bad Employee"/>
    <b v="0"/>
    <b v="1"/>
    <s v="Good employee"/>
    <x v="1"/>
    <x v="5"/>
    <n v="2"/>
    <n v="2015"/>
    <s v="On-Site"/>
    <n v="35"/>
    <x v="25"/>
  </r>
  <r>
    <x v="512"/>
    <x v="0"/>
    <s v="Smith"/>
    <x v="5"/>
    <x v="108"/>
    <s v="michaelsmith@gmail.com"/>
    <x v="509"/>
    <s v="Medium"/>
    <x v="502"/>
    <n v="2012"/>
    <x v="4"/>
    <n v="13"/>
    <d v="2026-03-19T00:00:00"/>
    <n v="5148"/>
    <n v="5148"/>
    <n v="3679"/>
    <n v="37"/>
    <x v="0"/>
    <x v="0"/>
    <n v="3"/>
    <s v="Yes"/>
    <n v="4718.45"/>
    <x v="3"/>
    <x v="1"/>
    <x v="3"/>
    <s v="Bad Employee"/>
    <b v="0"/>
    <b v="1"/>
    <s v="Good employee"/>
    <x v="1"/>
    <x v="4"/>
    <n v="1"/>
    <n v="2023"/>
    <s v="Hybrid"/>
    <n v="17"/>
    <x v="20"/>
  </r>
  <r>
    <x v="513"/>
    <x v="6"/>
    <s v="Johnson"/>
    <x v="5"/>
    <x v="79"/>
    <s v="katiejohnson@gmail.com"/>
    <x v="510"/>
    <s v="Medium"/>
    <x v="503"/>
    <n v="2016"/>
    <x v="8"/>
    <n v="29"/>
    <d v="2026-03-19T00:00:00"/>
    <n v="3642"/>
    <n v="3642"/>
    <n v="2603"/>
    <n v="58"/>
    <x v="0"/>
    <x v="0"/>
    <n v="5"/>
    <s v="No"/>
    <n v="5476.67"/>
    <x v="2"/>
    <x v="2"/>
    <x v="6"/>
    <s v="Bad Employee"/>
    <b v="0"/>
    <b v="0"/>
    <s v="Bad Employee"/>
    <x v="0"/>
    <x v="1"/>
    <n v="0"/>
    <n v="2010"/>
    <s v="Hybrid"/>
    <n v="27"/>
    <x v="7"/>
  </r>
  <r>
    <x v="514"/>
    <x v="5"/>
    <s v="Williams"/>
    <x v="0"/>
    <x v="32"/>
    <s v="janewilliams@gmail.com"/>
    <x v="511"/>
    <s v="Medium"/>
    <x v="504"/>
    <n v="2004"/>
    <x v="10"/>
    <n v="9"/>
    <d v="2026-03-19T00:00:00"/>
    <n v="7770"/>
    <n v="7770"/>
    <n v="5551"/>
    <n v="31"/>
    <x v="0"/>
    <x v="0"/>
    <n v="6"/>
    <s v="Yes"/>
    <n v="4284.3500000000004"/>
    <x v="0"/>
    <x v="1"/>
    <x v="19"/>
    <s v="Bad Employee"/>
    <b v="0"/>
    <b v="1"/>
    <s v="Good employee"/>
    <x v="2"/>
    <x v="2"/>
    <n v="17"/>
    <n v="2013"/>
    <s v="On-Site"/>
    <n v="69"/>
    <x v="37"/>
  </r>
  <r>
    <x v="515"/>
    <x v="3"/>
    <s v="Wilson"/>
    <x v="5"/>
    <x v="50"/>
    <s v="alexwilson@gmail.com"/>
    <x v="512"/>
    <s v="Medium"/>
    <x v="505"/>
    <n v="2003"/>
    <x v="8"/>
    <n v="24"/>
    <d v="2026-03-19T00:00:00"/>
    <n v="8396"/>
    <n v="8396"/>
    <n v="5999"/>
    <n v="59"/>
    <x v="0"/>
    <x v="1"/>
    <n v="5"/>
    <s v="No"/>
    <n v="7315.02"/>
    <x v="0"/>
    <x v="4"/>
    <x v="10"/>
    <s v="Bad Employee"/>
    <b v="0"/>
    <b v="0"/>
    <s v="Bad Employee"/>
    <x v="1"/>
    <x v="4"/>
    <n v="17"/>
    <n v="2023"/>
    <s v="Fully Remote"/>
    <n v="34"/>
    <x v="3"/>
  </r>
  <r>
    <x v="516"/>
    <x v="4"/>
    <s v="Wilson"/>
    <x v="5"/>
    <x v="5"/>
    <s v="sarahwilson@gmail.com"/>
    <x v="513"/>
    <s v="Medium"/>
    <x v="106"/>
    <n v="2006"/>
    <x v="10"/>
    <n v="26"/>
    <d v="2026-03-19T00:00:00"/>
    <n v="7023"/>
    <n v="7023"/>
    <n v="5018"/>
    <n v="52"/>
    <x v="0"/>
    <x v="1"/>
    <n v="5"/>
    <s v="Yes"/>
    <n v="8827.7999999999993"/>
    <x v="2"/>
    <x v="0"/>
    <x v="14"/>
    <s v="Bad Employee"/>
    <b v="0"/>
    <b v="0"/>
    <s v="Bad Employee"/>
    <x v="1"/>
    <x v="1"/>
    <n v="7"/>
    <n v="2015"/>
    <s v="Hybrid"/>
    <n v="163"/>
    <x v="37"/>
  </r>
  <r>
    <x v="517"/>
    <x v="6"/>
    <s v="Miller"/>
    <x v="2"/>
    <x v="211"/>
    <s v="katiemiller@gmail.com"/>
    <x v="514"/>
    <s v="High"/>
    <x v="506"/>
    <n v="2011"/>
    <x v="10"/>
    <n v="19"/>
    <d v="2026-03-19T00:00:00"/>
    <n v="5204"/>
    <n v="5204"/>
    <n v="3719"/>
    <n v="31"/>
    <x v="0"/>
    <x v="0"/>
    <n v="9"/>
    <s v="Yes"/>
    <n v="8488.0300000000007"/>
    <x v="2"/>
    <x v="2"/>
    <x v="17"/>
    <s v="Bad Employee"/>
    <b v="0"/>
    <b v="1"/>
    <s v="Good employee"/>
    <x v="2"/>
    <x v="0"/>
    <n v="13"/>
    <n v="2012"/>
    <s v="Hybrid"/>
    <n v="51"/>
    <x v="7"/>
  </r>
  <r>
    <x v="518"/>
    <x v="4"/>
    <s v="Miller"/>
    <x v="2"/>
    <x v="114"/>
    <s v="sarahmiller@gmail.com"/>
    <x v="515"/>
    <s v="Medium"/>
    <x v="507"/>
    <n v="2004"/>
    <x v="7"/>
    <n v="7"/>
    <d v="2026-03-19T00:00:00"/>
    <n v="7986"/>
    <n v="7986"/>
    <n v="5705"/>
    <n v="55"/>
    <x v="0"/>
    <x v="1"/>
    <n v="2"/>
    <s v="Yes"/>
    <n v="7967.24"/>
    <x v="0"/>
    <x v="2"/>
    <x v="27"/>
    <s v="Bad Employee"/>
    <b v="0"/>
    <b v="1"/>
    <s v="Good employee"/>
    <x v="2"/>
    <x v="1"/>
    <n v="12"/>
    <n v="2010"/>
    <s v="Fully Remote"/>
    <n v="148"/>
    <x v="23"/>
  </r>
  <r>
    <x v="519"/>
    <x v="5"/>
    <s v="Johnson"/>
    <x v="1"/>
    <x v="87"/>
    <s v="janejohnson@gmail.com"/>
    <x v="516"/>
    <s v="extremely low"/>
    <x v="508"/>
    <n v="2017"/>
    <x v="3"/>
    <n v="23"/>
    <d v="2026-03-19T00:00:00"/>
    <n v="3252"/>
    <n v="3252"/>
    <n v="2324"/>
    <n v="27"/>
    <x v="1"/>
    <x v="0"/>
    <n v="1"/>
    <s v="No"/>
    <n v="630.98"/>
    <x v="1"/>
    <x v="0"/>
    <x v="27"/>
    <s v="Bad Employee"/>
    <b v="0"/>
    <b v="1"/>
    <s v="Good employee"/>
    <x v="2"/>
    <x v="3"/>
    <n v="14"/>
    <n v="2015"/>
    <s v="On-Site"/>
    <n v="175"/>
    <x v="6"/>
  </r>
  <r>
    <x v="520"/>
    <x v="4"/>
    <s v="Johnson"/>
    <x v="0"/>
    <x v="190"/>
    <s v="sarahjohnson@gmail.com"/>
    <x v="517"/>
    <s v="extremely low"/>
    <x v="468"/>
    <n v="2005"/>
    <x v="7"/>
    <n v="10"/>
    <d v="2026-03-19T00:00:00"/>
    <n v="7618"/>
    <n v="7618"/>
    <n v="5443"/>
    <n v="49"/>
    <x v="0"/>
    <x v="0"/>
    <n v="6"/>
    <s v="Yes"/>
    <n v="9162.86"/>
    <x v="1"/>
    <x v="1"/>
    <x v="32"/>
    <s v="Bad Employee"/>
    <b v="0"/>
    <b v="1"/>
    <s v="Good employee"/>
    <x v="2"/>
    <x v="4"/>
    <n v="14"/>
    <n v="2023"/>
    <s v="On-Site"/>
    <n v="135"/>
    <x v="31"/>
  </r>
  <r>
    <x v="521"/>
    <x v="0"/>
    <s v="Miller"/>
    <x v="5"/>
    <x v="254"/>
    <s v="michaelmiller@gmail.com"/>
    <x v="518"/>
    <s v="High"/>
    <x v="257"/>
    <n v="2004"/>
    <x v="1"/>
    <n v="10"/>
    <d v="2026-03-19T00:00:00"/>
    <n v="7799"/>
    <n v="7799"/>
    <n v="5572"/>
    <n v="49"/>
    <x v="0"/>
    <x v="0"/>
    <n v="9"/>
    <s v="Yes"/>
    <n v="3111.32"/>
    <x v="0"/>
    <x v="4"/>
    <x v="16"/>
    <s v="Good Employee"/>
    <b v="1"/>
    <b v="1"/>
    <s v="Good employee"/>
    <x v="2"/>
    <x v="3"/>
    <n v="12"/>
    <n v="2012"/>
    <s v="Hybrid"/>
    <n v="16"/>
    <x v="9"/>
  </r>
  <r>
    <x v="522"/>
    <x v="6"/>
    <s v="Brown"/>
    <x v="0"/>
    <x v="199"/>
    <s v="katiebrown@gmail.com"/>
    <x v="519"/>
    <s v="High"/>
    <x v="509"/>
    <n v="2017"/>
    <x v="8"/>
    <n v="12"/>
    <d v="2026-03-19T00:00:00"/>
    <n v="3294"/>
    <n v="3294"/>
    <n v="2354"/>
    <n v="34"/>
    <x v="0"/>
    <x v="0"/>
    <n v="7"/>
    <s v="No"/>
    <n v="8935.75"/>
    <x v="0"/>
    <x v="4"/>
    <x v="16"/>
    <s v="Good Employee"/>
    <b v="1"/>
    <b v="1"/>
    <s v="Good employee"/>
    <x v="2"/>
    <x v="1"/>
    <n v="3"/>
    <n v="2017"/>
    <s v="On-Site"/>
    <n v="143"/>
    <x v="22"/>
  </r>
  <r>
    <x v="523"/>
    <x v="0"/>
    <s v="Brown"/>
    <x v="4"/>
    <x v="118"/>
    <s v="michaelbrown@gmail.com"/>
    <x v="520"/>
    <s v="low"/>
    <x v="510"/>
    <n v="2013"/>
    <x v="3"/>
    <n v="24"/>
    <d v="2026-03-19T00:00:00"/>
    <n v="4712"/>
    <n v="4712"/>
    <n v="3367"/>
    <n v="62"/>
    <x v="0"/>
    <x v="0"/>
    <n v="8"/>
    <s v="Yes"/>
    <n v="2371.1999999999998"/>
    <x v="1"/>
    <x v="4"/>
    <x v="0"/>
    <s v="Bad Employee"/>
    <b v="0"/>
    <b v="1"/>
    <s v="Good employee"/>
    <x v="2"/>
    <x v="0"/>
    <n v="3"/>
    <n v="2016"/>
    <s v="Fully Remote"/>
    <n v="20"/>
    <x v="11"/>
  </r>
  <r>
    <x v="524"/>
    <x v="5"/>
    <s v="Williams"/>
    <x v="5"/>
    <x v="258"/>
    <s v="janewilliams@gmail.com"/>
    <x v="521"/>
    <s v="High"/>
    <x v="0"/>
    <n v="2002"/>
    <x v="0"/>
    <n v="14"/>
    <d v="2026-03-19T00:00:00"/>
    <n v="8587"/>
    <n v="8587"/>
    <n v="6134"/>
    <n v="33"/>
    <x v="0"/>
    <x v="1"/>
    <n v="5"/>
    <s v="Yes"/>
    <n v="4676.63"/>
    <x v="2"/>
    <x v="1"/>
    <x v="1"/>
    <s v="Bad Employee"/>
    <b v="0"/>
    <b v="1"/>
    <s v="Good employee"/>
    <x v="1"/>
    <x v="3"/>
    <n v="4"/>
    <n v="2020"/>
    <s v="On-Site"/>
    <n v="161"/>
    <x v="34"/>
  </r>
  <r>
    <x v="525"/>
    <x v="0"/>
    <s v="Davis"/>
    <x v="0"/>
    <x v="11"/>
    <s v="michaeldavis@gmail.com"/>
    <x v="522"/>
    <s v="low"/>
    <x v="511"/>
    <n v="2016"/>
    <x v="11"/>
    <n v="12"/>
    <d v="2026-03-19T00:00:00"/>
    <n v="3719"/>
    <n v="3719"/>
    <n v="2658"/>
    <n v="61"/>
    <x v="0"/>
    <x v="1"/>
    <n v="4"/>
    <s v="No"/>
    <n v="7619.29"/>
    <x v="2"/>
    <x v="1"/>
    <x v="16"/>
    <s v="Bad Employee"/>
    <b v="0"/>
    <b v="1"/>
    <s v="Good employee"/>
    <x v="0"/>
    <x v="2"/>
    <n v="2"/>
    <n v="2016"/>
    <s v="On-Site"/>
    <n v="121"/>
    <x v="33"/>
  </r>
  <r>
    <x v="526"/>
    <x v="3"/>
    <s v="Williams"/>
    <x v="1"/>
    <x v="19"/>
    <s v="alexwilliams@gmail.com"/>
    <x v="523"/>
    <s v="Medium"/>
    <x v="512"/>
    <n v="2003"/>
    <x v="3"/>
    <n v="18"/>
    <d v="2026-03-19T00:00:00"/>
    <n v="8371"/>
    <n v="8371"/>
    <n v="5980"/>
    <n v="23"/>
    <x v="1"/>
    <x v="1"/>
    <n v="6"/>
    <s v="Yes"/>
    <n v="6582.65"/>
    <x v="3"/>
    <x v="2"/>
    <x v="1"/>
    <s v="Bad Employee"/>
    <b v="0"/>
    <b v="1"/>
    <s v="Good employee"/>
    <x v="1"/>
    <x v="1"/>
    <n v="11"/>
    <n v="2022"/>
    <s v="On-Site"/>
    <n v="153"/>
    <x v="39"/>
  </r>
  <r>
    <x v="527"/>
    <x v="5"/>
    <s v="Davis"/>
    <x v="1"/>
    <x v="259"/>
    <s v="janedavis@gmail.com"/>
    <x v="524"/>
    <s v="low"/>
    <x v="513"/>
    <n v="2009"/>
    <x v="4"/>
    <n v="12"/>
    <d v="2026-03-19T00:00:00"/>
    <n v="6244"/>
    <n v="6244"/>
    <n v="4461"/>
    <n v="29"/>
    <x v="1"/>
    <x v="1"/>
    <n v="3"/>
    <s v="No"/>
    <n v="4451.26"/>
    <x v="1"/>
    <x v="1"/>
    <x v="13"/>
    <s v="Bad Employee"/>
    <b v="0"/>
    <b v="1"/>
    <s v="Good employee"/>
    <x v="1"/>
    <x v="0"/>
    <n v="19"/>
    <n v="2021"/>
    <s v="On-Site"/>
    <n v="113"/>
    <x v="10"/>
  </r>
  <r>
    <x v="528"/>
    <x v="5"/>
    <s v="Johnson"/>
    <x v="5"/>
    <x v="76"/>
    <s v="janejohnson@gmail.com"/>
    <x v="525"/>
    <s v="Medium"/>
    <x v="514"/>
    <n v="2017"/>
    <x v="9"/>
    <n v="26"/>
    <d v="2026-03-19T00:00:00"/>
    <n v="3188"/>
    <n v="3188"/>
    <n v="2279"/>
    <n v="63"/>
    <x v="0"/>
    <x v="1"/>
    <n v="1"/>
    <s v="Yes"/>
    <n v="6946.93"/>
    <x v="0"/>
    <x v="3"/>
    <x v="10"/>
    <s v="Bad Employee"/>
    <b v="0"/>
    <b v="0"/>
    <s v="Bad Employee"/>
    <x v="0"/>
    <x v="4"/>
    <n v="11"/>
    <n v="2017"/>
    <s v="Fully Remote"/>
    <n v="62"/>
    <x v="21"/>
  </r>
  <r>
    <x v="529"/>
    <x v="5"/>
    <s v="Smith"/>
    <x v="4"/>
    <x v="148"/>
    <s v="janesmith@gmail.com"/>
    <x v="526"/>
    <s v="Medium"/>
    <x v="515"/>
    <n v="2003"/>
    <x v="11"/>
    <n v="24"/>
    <d v="2026-03-19T00:00:00"/>
    <n v="8455"/>
    <n v="8455"/>
    <n v="6040"/>
    <n v="30"/>
    <x v="1"/>
    <x v="1"/>
    <n v="4"/>
    <s v="Yes"/>
    <n v="5715.02"/>
    <x v="3"/>
    <x v="0"/>
    <x v="30"/>
    <s v="Bad Employee"/>
    <b v="0"/>
    <b v="0"/>
    <s v="Bad Employee"/>
    <x v="0"/>
    <x v="4"/>
    <n v="19"/>
    <n v="2016"/>
    <s v="On-Site"/>
    <n v="175"/>
    <x v="33"/>
  </r>
  <r>
    <x v="530"/>
    <x v="7"/>
    <s v="Williams"/>
    <x v="1"/>
    <x v="174"/>
    <s v="johnwilliams@gmail.com"/>
    <x v="527"/>
    <s v="High"/>
    <x v="516"/>
    <n v="2000"/>
    <x v="2"/>
    <n v="15"/>
    <d v="2026-03-19T00:00:00"/>
    <n v="9378"/>
    <n v="9378"/>
    <n v="6699"/>
    <n v="29"/>
    <x v="1"/>
    <x v="0"/>
    <n v="9"/>
    <s v="No"/>
    <n v="3119.49"/>
    <x v="2"/>
    <x v="1"/>
    <x v="35"/>
    <s v="Good Employee"/>
    <b v="1"/>
    <b v="1"/>
    <s v="Good employee"/>
    <x v="0"/>
    <x v="2"/>
    <n v="6"/>
    <n v="2014"/>
    <s v="Hybrid"/>
    <n v="9"/>
    <x v="38"/>
  </r>
  <r>
    <x v="531"/>
    <x v="4"/>
    <s v="Williams"/>
    <x v="1"/>
    <x v="260"/>
    <s v="sarahwilliams@gmail.com"/>
    <x v="528"/>
    <s v="Medium"/>
    <x v="517"/>
    <n v="2010"/>
    <x v="1"/>
    <n v="19"/>
    <d v="2026-03-19T00:00:00"/>
    <n v="5599"/>
    <n v="5599"/>
    <n v="4000"/>
    <n v="24"/>
    <x v="1"/>
    <x v="1"/>
    <n v="4"/>
    <s v="Yes"/>
    <n v="6640.13"/>
    <x v="1"/>
    <x v="4"/>
    <x v="9"/>
    <s v="Bad Employee"/>
    <b v="0"/>
    <b v="0"/>
    <s v="Bad Employee"/>
    <x v="2"/>
    <x v="5"/>
    <n v="6"/>
    <n v="2019"/>
    <s v="On-Site"/>
    <n v="184"/>
    <x v="20"/>
  </r>
  <r>
    <x v="532"/>
    <x v="7"/>
    <s v="Davis"/>
    <x v="4"/>
    <x v="74"/>
    <s v="johndavis@gmail.com"/>
    <x v="529"/>
    <s v="High"/>
    <x v="518"/>
    <n v="2001"/>
    <x v="9"/>
    <n v="9"/>
    <d v="2026-03-19T00:00:00"/>
    <n v="9049"/>
    <n v="9049"/>
    <n v="6464"/>
    <n v="30"/>
    <x v="1"/>
    <x v="0"/>
    <n v="1"/>
    <s v="No"/>
    <n v="2440.35"/>
    <x v="3"/>
    <x v="1"/>
    <x v="38"/>
    <s v="Bad Employee"/>
    <b v="0"/>
    <b v="0"/>
    <s v="Bad Employee"/>
    <x v="2"/>
    <x v="3"/>
    <n v="0"/>
    <n v="2017"/>
    <s v="Hybrid"/>
    <n v="145"/>
    <x v="2"/>
  </r>
  <r>
    <x v="533"/>
    <x v="7"/>
    <s v="Johnson"/>
    <x v="0"/>
    <x v="230"/>
    <s v="johnjohnson@gmail.com"/>
    <x v="530"/>
    <s v="High"/>
    <x v="519"/>
    <n v="2012"/>
    <x v="10"/>
    <n v="10"/>
    <d v="2026-03-19T00:00:00"/>
    <n v="4847"/>
    <n v="4847"/>
    <n v="3464"/>
    <n v="34"/>
    <x v="0"/>
    <x v="0"/>
    <n v="4"/>
    <s v="Yes"/>
    <n v="7092.89"/>
    <x v="2"/>
    <x v="2"/>
    <x v="11"/>
    <s v="Bad Employee"/>
    <b v="0"/>
    <b v="0"/>
    <s v="Bad Employee"/>
    <x v="2"/>
    <x v="1"/>
    <n v="11"/>
    <n v="2023"/>
    <s v="Fully Remote"/>
    <n v="85"/>
    <x v="25"/>
  </r>
  <r>
    <x v="534"/>
    <x v="3"/>
    <s v="Johnson"/>
    <x v="1"/>
    <x v="138"/>
    <s v="alexjohnson@gmail.com"/>
    <x v="531"/>
    <s v="High"/>
    <x v="520"/>
    <n v="2003"/>
    <x v="1"/>
    <n v="11"/>
    <d v="2026-03-19T00:00:00"/>
    <n v="8164"/>
    <n v="8164"/>
    <n v="5833"/>
    <n v="30"/>
    <x v="1"/>
    <x v="1"/>
    <n v="7"/>
    <s v="No"/>
    <n v="529.54999999999995"/>
    <x v="0"/>
    <x v="0"/>
    <x v="34"/>
    <s v="Good Employee"/>
    <b v="1"/>
    <b v="1"/>
    <s v="Good employee"/>
    <x v="1"/>
    <x v="4"/>
    <n v="2"/>
    <n v="2017"/>
    <s v="On-Site"/>
    <n v="144"/>
    <x v="32"/>
  </r>
  <r>
    <x v="535"/>
    <x v="6"/>
    <s v="Wilson"/>
    <x v="2"/>
    <x v="94"/>
    <s v="katiewilson@gmail.com"/>
    <x v="532"/>
    <s v="low"/>
    <x v="521"/>
    <n v="2012"/>
    <x v="3"/>
    <n v="30"/>
    <d v="2026-03-19T00:00:00"/>
    <n v="5071"/>
    <n v="5071"/>
    <n v="3624"/>
    <n v="52"/>
    <x v="0"/>
    <x v="1"/>
    <n v="3"/>
    <s v="Yes"/>
    <n v="5713.34"/>
    <x v="2"/>
    <x v="0"/>
    <x v="4"/>
    <s v="Bad Employee"/>
    <b v="0"/>
    <b v="0"/>
    <s v="Bad Employee"/>
    <x v="0"/>
    <x v="1"/>
    <n v="14"/>
    <n v="2020"/>
    <s v="Hybrid"/>
    <n v="5"/>
    <x v="15"/>
  </r>
  <r>
    <x v="536"/>
    <x v="4"/>
    <s v="Davis"/>
    <x v="3"/>
    <x v="218"/>
    <s v="sarahdavis@gmail.com"/>
    <x v="533"/>
    <s v="High"/>
    <x v="450"/>
    <n v="2003"/>
    <x v="2"/>
    <n v="16"/>
    <d v="2026-03-19T00:00:00"/>
    <n v="8282"/>
    <n v="8282"/>
    <n v="5917"/>
    <n v="46"/>
    <x v="0"/>
    <x v="0"/>
    <n v="6"/>
    <s v="Yes"/>
    <n v="4310.1400000000003"/>
    <x v="2"/>
    <x v="4"/>
    <x v="35"/>
    <s v="Bad Employee"/>
    <b v="0"/>
    <b v="1"/>
    <s v="Good employee"/>
    <x v="0"/>
    <x v="2"/>
    <n v="8"/>
    <n v="2017"/>
    <s v="On-Site"/>
    <n v="12"/>
    <x v="34"/>
  </r>
  <r>
    <x v="537"/>
    <x v="0"/>
    <s v="Johnson"/>
    <x v="3"/>
    <x v="48"/>
    <s v="michaeljohnson@gmail.com"/>
    <x v="534"/>
    <s v="extremely low"/>
    <x v="522"/>
    <n v="2003"/>
    <x v="3"/>
    <n v="9"/>
    <d v="2026-03-19T00:00:00"/>
    <n v="8380"/>
    <n v="8380"/>
    <n v="5987"/>
    <n v="29"/>
    <x v="1"/>
    <x v="0"/>
    <n v="1"/>
    <s v="Yes"/>
    <n v="3379.49"/>
    <x v="1"/>
    <x v="0"/>
    <x v="6"/>
    <s v="Bad Employee"/>
    <b v="0"/>
    <b v="0"/>
    <s v="Bad Employee"/>
    <x v="1"/>
    <x v="3"/>
    <n v="19"/>
    <n v="2021"/>
    <s v="On-Site"/>
    <n v="148"/>
    <x v="2"/>
  </r>
  <r>
    <x v="538"/>
    <x v="2"/>
    <s v="Miller"/>
    <x v="1"/>
    <x v="109"/>
    <s v="chrismiller@gmail.com"/>
    <x v="535"/>
    <s v="High"/>
    <x v="523"/>
    <n v="2005"/>
    <x v="7"/>
    <n v="2"/>
    <d v="2026-03-19T00:00:00"/>
    <n v="7626"/>
    <n v="7626"/>
    <n v="5449"/>
    <n v="52"/>
    <x v="0"/>
    <x v="0"/>
    <n v="4"/>
    <s v="Yes"/>
    <n v="5399.23"/>
    <x v="0"/>
    <x v="3"/>
    <x v="16"/>
    <s v="Bad Employee"/>
    <b v="0"/>
    <b v="1"/>
    <s v="Good employee"/>
    <x v="2"/>
    <x v="0"/>
    <n v="8"/>
    <n v="2019"/>
    <s v="Hybrid"/>
    <n v="147"/>
    <x v="26"/>
  </r>
  <r>
    <x v="539"/>
    <x v="5"/>
    <s v="Brown"/>
    <x v="0"/>
    <x v="210"/>
    <s v="janebrown@gmail.com"/>
    <x v="536"/>
    <s v="Medium"/>
    <x v="496"/>
    <n v="2010"/>
    <x v="11"/>
    <n v="3"/>
    <d v="2026-03-19T00:00:00"/>
    <n v="5919"/>
    <n v="5919"/>
    <n v="4229"/>
    <n v="52"/>
    <x v="0"/>
    <x v="0"/>
    <n v="3"/>
    <s v="Yes"/>
    <n v="6630.46"/>
    <x v="1"/>
    <x v="0"/>
    <x v="36"/>
    <s v="Bad Employee"/>
    <b v="0"/>
    <b v="1"/>
    <s v="Good employee"/>
    <x v="0"/>
    <x v="1"/>
    <n v="13"/>
    <n v="2015"/>
    <s v="Fully Remote"/>
    <n v="23"/>
    <x v="38"/>
  </r>
  <r>
    <x v="540"/>
    <x v="0"/>
    <s v="Wilson"/>
    <x v="0"/>
    <x v="207"/>
    <s v="michaelwilson@gmail.com"/>
    <x v="537"/>
    <s v="Medium"/>
    <x v="524"/>
    <n v="2013"/>
    <x v="4"/>
    <n v="7"/>
    <d v="2026-03-19T00:00:00"/>
    <n v="4788"/>
    <n v="4788"/>
    <n v="3421"/>
    <n v="38"/>
    <x v="0"/>
    <x v="0"/>
    <n v="1"/>
    <s v="No"/>
    <n v="9670.4699999999993"/>
    <x v="0"/>
    <x v="4"/>
    <x v="37"/>
    <s v="Bad Employee"/>
    <b v="0"/>
    <b v="1"/>
    <s v="Good employee"/>
    <x v="1"/>
    <x v="2"/>
    <n v="2"/>
    <n v="2011"/>
    <s v="Fully Remote"/>
    <n v="157"/>
    <x v="37"/>
  </r>
  <r>
    <x v="541"/>
    <x v="5"/>
    <s v="Miller"/>
    <x v="5"/>
    <x v="103"/>
    <s v="janemiller@gmail.com"/>
    <x v="538"/>
    <s v="High"/>
    <x v="525"/>
    <n v="2006"/>
    <x v="11"/>
    <n v="26"/>
    <d v="2026-03-19T00:00:00"/>
    <n v="7357"/>
    <n v="7357"/>
    <n v="5256"/>
    <n v="40"/>
    <x v="0"/>
    <x v="1"/>
    <n v="3"/>
    <s v="Yes"/>
    <n v="8414.11"/>
    <x v="3"/>
    <x v="0"/>
    <x v="11"/>
    <s v="Bad Employee"/>
    <b v="0"/>
    <b v="0"/>
    <s v="Bad Employee"/>
    <x v="2"/>
    <x v="0"/>
    <n v="7"/>
    <n v="2017"/>
    <s v="Fully Remote"/>
    <n v="35"/>
    <x v="6"/>
  </r>
  <r>
    <x v="542"/>
    <x v="3"/>
    <s v="Smith"/>
    <x v="2"/>
    <x v="13"/>
    <s v="alexsmith@gmail.com"/>
    <x v="539"/>
    <s v="High"/>
    <x v="526"/>
    <n v="2011"/>
    <x v="6"/>
    <n v="25"/>
    <d v="2026-03-19T00:00:00"/>
    <n v="5320"/>
    <n v="5320"/>
    <n v="3801"/>
    <n v="24"/>
    <x v="1"/>
    <x v="1"/>
    <n v="4"/>
    <s v="No"/>
    <n v="7312.92"/>
    <x v="2"/>
    <x v="1"/>
    <x v="12"/>
    <s v="Bad Employee"/>
    <b v="0"/>
    <b v="1"/>
    <s v="Good employee"/>
    <x v="1"/>
    <x v="0"/>
    <n v="5"/>
    <n v="2022"/>
    <s v="Fully Remote"/>
    <n v="134"/>
    <x v="40"/>
  </r>
  <r>
    <x v="543"/>
    <x v="5"/>
    <s v="Williams"/>
    <x v="0"/>
    <x v="32"/>
    <s v="janewilliams@gmail.com"/>
    <x v="540"/>
    <s v="extremely low"/>
    <x v="527"/>
    <n v="2009"/>
    <x v="5"/>
    <n v="20"/>
    <d v="2026-03-19T00:00:00"/>
    <n v="5994"/>
    <n v="5994"/>
    <n v="4283"/>
    <n v="51"/>
    <x v="0"/>
    <x v="0"/>
    <n v="5"/>
    <s v="No"/>
    <n v="5050.1899999999996"/>
    <x v="1"/>
    <x v="2"/>
    <x v="20"/>
    <s v="Bad Employee"/>
    <b v="0"/>
    <b v="0"/>
    <s v="Bad Employee"/>
    <x v="2"/>
    <x v="0"/>
    <n v="11"/>
    <n v="2019"/>
    <s v="Fully Remote"/>
    <n v="125"/>
    <x v="24"/>
  </r>
  <r>
    <x v="544"/>
    <x v="7"/>
    <s v="Wilson"/>
    <x v="4"/>
    <x v="261"/>
    <s v="johnwilson@gmail.com"/>
    <x v="541"/>
    <s v="High"/>
    <x v="528"/>
    <n v="2018"/>
    <x v="11"/>
    <n v="16"/>
    <d v="2026-03-19T00:00:00"/>
    <n v="2984"/>
    <n v="2984"/>
    <n v="2133"/>
    <n v="31"/>
    <x v="0"/>
    <x v="0"/>
    <n v="6"/>
    <s v="Yes"/>
    <n v="4225.37"/>
    <x v="0"/>
    <x v="1"/>
    <x v="12"/>
    <s v="Bad Employee"/>
    <b v="0"/>
    <b v="1"/>
    <s v="Good employee"/>
    <x v="1"/>
    <x v="3"/>
    <n v="1"/>
    <n v="2010"/>
    <s v="Fully Remote"/>
    <n v="63"/>
    <x v="1"/>
  </r>
  <r>
    <x v="545"/>
    <x v="4"/>
    <s v="Smith"/>
    <x v="2"/>
    <x v="14"/>
    <s v="sarahsmith@gmail.com"/>
    <x v="542"/>
    <s v="Medium"/>
    <x v="529"/>
    <n v="2015"/>
    <x v="1"/>
    <n v="3"/>
    <d v="2026-03-19T00:00:00"/>
    <n v="3789"/>
    <n v="3789"/>
    <n v="2708"/>
    <n v="50"/>
    <x v="0"/>
    <x v="0"/>
    <n v="2"/>
    <s v="Yes"/>
    <n v="809.03"/>
    <x v="1"/>
    <x v="3"/>
    <x v="9"/>
    <s v="Bad Employee"/>
    <b v="0"/>
    <b v="0"/>
    <s v="Bad Employee"/>
    <x v="2"/>
    <x v="5"/>
    <n v="2"/>
    <n v="2018"/>
    <s v="On-Site"/>
    <n v="35"/>
    <x v="35"/>
  </r>
  <r>
    <x v="546"/>
    <x v="2"/>
    <s v="Williams"/>
    <x v="3"/>
    <x v="213"/>
    <s v="chriswilliams@gmail.com"/>
    <x v="66"/>
    <s v="Medium"/>
    <x v="530"/>
    <n v="2016"/>
    <x v="2"/>
    <n v="8"/>
    <d v="2026-03-19T00:00:00"/>
    <n v="3541"/>
    <n v="3541"/>
    <n v="2530"/>
    <n v="61"/>
    <x v="0"/>
    <x v="0"/>
    <n v="2"/>
    <s v="Yes"/>
    <n v="3911.42"/>
    <x v="2"/>
    <x v="3"/>
    <x v="31"/>
    <s v="Bad Employee"/>
    <b v="0"/>
    <b v="1"/>
    <s v="Good employee"/>
    <x v="1"/>
    <x v="1"/>
    <n v="13"/>
    <n v="2018"/>
    <s v="On-Site"/>
    <n v="144"/>
    <x v="0"/>
  </r>
  <r>
    <x v="547"/>
    <x v="1"/>
    <s v="Brown"/>
    <x v="2"/>
    <x v="154"/>
    <s v="emilybrown@gmail.com"/>
    <x v="543"/>
    <s v="High"/>
    <x v="531"/>
    <n v="2002"/>
    <x v="5"/>
    <n v="14"/>
    <d v="2026-03-19T00:00:00"/>
    <n v="8557"/>
    <n v="8557"/>
    <n v="6114"/>
    <n v="39"/>
    <x v="0"/>
    <x v="0"/>
    <n v="6"/>
    <s v="No"/>
    <n v="8559.58"/>
    <x v="2"/>
    <x v="2"/>
    <x v="30"/>
    <s v="Bad Employee"/>
    <b v="0"/>
    <b v="0"/>
    <s v="Bad Employee"/>
    <x v="1"/>
    <x v="0"/>
    <n v="16"/>
    <n v="2015"/>
    <s v="Hybrid"/>
    <n v="149"/>
    <x v="2"/>
  </r>
  <r>
    <x v="548"/>
    <x v="5"/>
    <s v="Johnson"/>
    <x v="4"/>
    <x v="235"/>
    <s v="janejohnson@gmail.com"/>
    <x v="544"/>
    <s v="High"/>
    <x v="223"/>
    <n v="2008"/>
    <x v="6"/>
    <n v="19"/>
    <d v="2026-03-19T00:00:00"/>
    <n v="6421"/>
    <n v="6421"/>
    <n v="4588"/>
    <n v="33"/>
    <x v="0"/>
    <x v="0"/>
    <n v="5"/>
    <s v="Yes"/>
    <n v="4148.2299999999996"/>
    <x v="3"/>
    <x v="2"/>
    <x v="22"/>
    <s v="Bad Employee"/>
    <b v="0"/>
    <b v="1"/>
    <s v="Good employee"/>
    <x v="1"/>
    <x v="4"/>
    <n v="2"/>
    <n v="2019"/>
    <s v="Fully Remote"/>
    <n v="33"/>
    <x v="11"/>
  </r>
  <r>
    <x v="549"/>
    <x v="0"/>
    <s v="Miller"/>
    <x v="1"/>
    <x v="171"/>
    <s v="michaelmiller@gmail.com"/>
    <x v="545"/>
    <s v="Medium"/>
    <x v="119"/>
    <n v="2014"/>
    <x v="8"/>
    <n v="4"/>
    <d v="2026-03-19T00:00:00"/>
    <n v="4398"/>
    <n v="4398"/>
    <n v="3143"/>
    <n v="44"/>
    <x v="0"/>
    <x v="0"/>
    <n v="1"/>
    <s v="Yes"/>
    <n v="4885.0600000000004"/>
    <x v="0"/>
    <x v="2"/>
    <x v="25"/>
    <s v="Bad Employee"/>
    <b v="0"/>
    <b v="0"/>
    <s v="Bad Employee"/>
    <x v="1"/>
    <x v="3"/>
    <n v="3"/>
    <n v="2015"/>
    <s v="Fully Remote"/>
    <n v="168"/>
    <x v="14"/>
  </r>
  <r>
    <x v="550"/>
    <x v="7"/>
    <s v="Davis"/>
    <x v="4"/>
    <x v="74"/>
    <s v="johndavis@gmail.com"/>
    <x v="546"/>
    <s v="extremely low"/>
    <x v="532"/>
    <n v="2009"/>
    <x v="5"/>
    <n v="30"/>
    <d v="2026-03-19T00:00:00"/>
    <n v="5984"/>
    <n v="5984"/>
    <n v="4275"/>
    <n v="32"/>
    <x v="0"/>
    <x v="0"/>
    <n v="3"/>
    <s v="Yes"/>
    <n v="3082.43"/>
    <x v="0"/>
    <x v="2"/>
    <x v="23"/>
    <s v="Bad Employee"/>
    <b v="0"/>
    <b v="0"/>
    <s v="Bad Employee"/>
    <x v="0"/>
    <x v="3"/>
    <n v="14"/>
    <n v="2015"/>
    <s v="Fully Remote"/>
    <n v="108"/>
    <x v="34"/>
  </r>
  <r>
    <x v="551"/>
    <x v="1"/>
    <s v="Miller"/>
    <x v="4"/>
    <x v="70"/>
    <s v="emilymiller@gmail.com"/>
    <x v="547"/>
    <s v="High"/>
    <x v="533"/>
    <n v="2011"/>
    <x v="2"/>
    <n v="9"/>
    <d v="2026-03-19T00:00:00"/>
    <n v="5367"/>
    <n v="5367"/>
    <n v="3834"/>
    <n v="30"/>
    <x v="1"/>
    <x v="1"/>
    <n v="5"/>
    <s v="Yes"/>
    <n v="3104.26"/>
    <x v="3"/>
    <x v="0"/>
    <x v="37"/>
    <s v="Bad Employee"/>
    <b v="0"/>
    <b v="1"/>
    <s v="Good employee"/>
    <x v="0"/>
    <x v="0"/>
    <n v="6"/>
    <n v="2020"/>
    <s v="Hybrid"/>
    <n v="67"/>
    <x v="13"/>
  </r>
  <r>
    <x v="552"/>
    <x v="2"/>
    <s v="Brown"/>
    <x v="1"/>
    <x v="262"/>
    <s v="chrisbrown@gmail.com"/>
    <x v="548"/>
    <s v="High"/>
    <x v="534"/>
    <n v="2011"/>
    <x v="4"/>
    <n v="21"/>
    <d v="2026-03-19T00:00:00"/>
    <n v="5505"/>
    <n v="5505"/>
    <n v="3934"/>
    <n v="45"/>
    <x v="0"/>
    <x v="0"/>
    <n v="2"/>
    <s v="Yes"/>
    <n v="1087.78"/>
    <x v="3"/>
    <x v="1"/>
    <x v="3"/>
    <s v="Bad Employee"/>
    <b v="0"/>
    <b v="1"/>
    <s v="Good employee"/>
    <x v="0"/>
    <x v="4"/>
    <n v="18"/>
    <n v="2013"/>
    <s v="On-Site"/>
    <n v="19"/>
    <x v="0"/>
  </r>
  <r>
    <x v="553"/>
    <x v="1"/>
    <s v="Smith"/>
    <x v="1"/>
    <x v="149"/>
    <s v="emilysmith@gmail.com"/>
    <x v="549"/>
    <s v="Medium"/>
    <x v="199"/>
    <n v="2000"/>
    <x v="4"/>
    <n v="17"/>
    <d v="2026-03-19T00:00:00"/>
    <n v="9527"/>
    <n v="9527"/>
    <n v="6806"/>
    <n v="46"/>
    <x v="0"/>
    <x v="0"/>
    <n v="1"/>
    <s v="Yes"/>
    <n v="6331.14"/>
    <x v="0"/>
    <x v="3"/>
    <x v="7"/>
    <s v="Bad Employee"/>
    <b v="0"/>
    <b v="1"/>
    <s v="Good employee"/>
    <x v="0"/>
    <x v="2"/>
    <n v="13"/>
    <n v="2010"/>
    <s v="On-Site"/>
    <n v="34"/>
    <x v="1"/>
  </r>
  <r>
    <x v="554"/>
    <x v="7"/>
    <s v="Davis"/>
    <x v="1"/>
    <x v="37"/>
    <s v="johndavis@gmail.com"/>
    <x v="550"/>
    <s v="High"/>
    <x v="336"/>
    <n v="2010"/>
    <x v="11"/>
    <n v="11"/>
    <d v="2026-03-19T00:00:00"/>
    <n v="5911"/>
    <n v="5911"/>
    <n v="4224"/>
    <n v="46"/>
    <x v="0"/>
    <x v="1"/>
    <n v="9"/>
    <s v="No"/>
    <n v="4756.66"/>
    <x v="0"/>
    <x v="0"/>
    <x v="21"/>
    <s v="Bad Employee"/>
    <b v="0"/>
    <b v="1"/>
    <s v="Good employee"/>
    <x v="1"/>
    <x v="3"/>
    <n v="15"/>
    <n v="2010"/>
    <s v="Fully Remote"/>
    <n v="183"/>
    <x v="22"/>
  </r>
  <r>
    <x v="555"/>
    <x v="4"/>
    <s v="Johnson"/>
    <x v="1"/>
    <x v="28"/>
    <s v="sarahjohnson@gmail.com"/>
    <x v="551"/>
    <s v="Medium"/>
    <x v="535"/>
    <n v="2016"/>
    <x v="9"/>
    <n v="11"/>
    <d v="2026-03-19T00:00:00"/>
    <n v="3568"/>
    <n v="3568"/>
    <n v="2549"/>
    <n v="30"/>
    <x v="1"/>
    <x v="0"/>
    <n v="5"/>
    <s v="Yes"/>
    <n v="6256.63"/>
    <x v="1"/>
    <x v="2"/>
    <x v="31"/>
    <s v="Bad Employee"/>
    <b v="0"/>
    <b v="1"/>
    <s v="Good employee"/>
    <x v="0"/>
    <x v="0"/>
    <n v="12"/>
    <n v="2010"/>
    <s v="On-Site"/>
    <n v="15"/>
    <x v="22"/>
  </r>
  <r>
    <x v="556"/>
    <x v="4"/>
    <s v="Brown"/>
    <x v="1"/>
    <x v="263"/>
    <s v="sarahbrown@gmail.com"/>
    <x v="552"/>
    <s v="Medium"/>
    <x v="536"/>
    <n v="2012"/>
    <x v="8"/>
    <n v="29"/>
    <d v="2026-03-19T00:00:00"/>
    <n v="5103"/>
    <n v="5103"/>
    <n v="3646"/>
    <n v="33"/>
    <x v="0"/>
    <x v="0"/>
    <n v="2"/>
    <s v="No"/>
    <n v="5695.43"/>
    <x v="0"/>
    <x v="4"/>
    <x v="16"/>
    <s v="Bad Employee"/>
    <b v="0"/>
    <b v="1"/>
    <s v="Good employee"/>
    <x v="0"/>
    <x v="1"/>
    <n v="19"/>
    <n v="2014"/>
    <s v="On-Site"/>
    <n v="189"/>
    <x v="29"/>
  </r>
  <r>
    <x v="557"/>
    <x v="6"/>
    <s v="Davis"/>
    <x v="4"/>
    <x v="264"/>
    <s v="katiedavis@gmail.com"/>
    <x v="553"/>
    <s v="High"/>
    <x v="537"/>
    <n v="2002"/>
    <x v="3"/>
    <n v="7"/>
    <d v="2026-03-19T00:00:00"/>
    <n v="8747"/>
    <n v="8747"/>
    <n v="6249"/>
    <n v="32"/>
    <x v="0"/>
    <x v="0"/>
    <n v="4"/>
    <s v="No"/>
    <n v="8089.02"/>
    <x v="1"/>
    <x v="4"/>
    <x v="33"/>
    <s v="Bad Employee"/>
    <b v="0"/>
    <b v="0"/>
    <s v="Bad Employee"/>
    <x v="1"/>
    <x v="0"/>
    <n v="16"/>
    <n v="2022"/>
    <s v="On-Site"/>
    <n v="17"/>
    <x v="31"/>
  </r>
  <r>
    <x v="558"/>
    <x v="4"/>
    <s v="Brown"/>
    <x v="5"/>
    <x v="228"/>
    <s v="sarahbrown@gmail.com"/>
    <x v="554"/>
    <s v="Medium"/>
    <x v="538"/>
    <n v="2016"/>
    <x v="1"/>
    <n v="28"/>
    <d v="2026-03-19T00:00:00"/>
    <n v="3398"/>
    <n v="3398"/>
    <n v="2429"/>
    <n v="59"/>
    <x v="0"/>
    <x v="0"/>
    <n v="3"/>
    <s v="Yes"/>
    <n v="7634.61"/>
    <x v="1"/>
    <x v="1"/>
    <x v="13"/>
    <s v="Bad Employee"/>
    <b v="0"/>
    <b v="1"/>
    <s v="Good employee"/>
    <x v="0"/>
    <x v="1"/>
    <n v="16"/>
    <n v="2016"/>
    <s v="Fully Remote"/>
    <n v="59"/>
    <x v="28"/>
  </r>
  <r>
    <x v="559"/>
    <x v="6"/>
    <s v="Brown"/>
    <x v="5"/>
    <x v="73"/>
    <s v="katiebrown@gmail.com"/>
    <x v="218"/>
    <s v="extremely low"/>
    <x v="539"/>
    <n v="2018"/>
    <x v="8"/>
    <n v="14"/>
    <d v="2026-03-19T00:00:00"/>
    <n v="2927"/>
    <n v="2927"/>
    <n v="2092"/>
    <n v="49"/>
    <x v="0"/>
    <x v="1"/>
    <n v="7"/>
    <s v="Yes"/>
    <n v="7828.81"/>
    <x v="1"/>
    <x v="3"/>
    <x v="17"/>
    <s v="Bad Employee"/>
    <b v="0"/>
    <b v="1"/>
    <s v="Good employee"/>
    <x v="0"/>
    <x v="1"/>
    <n v="9"/>
    <n v="2010"/>
    <s v="On-Site"/>
    <n v="67"/>
    <x v="7"/>
  </r>
  <r>
    <x v="560"/>
    <x v="1"/>
    <s v="Johnson"/>
    <x v="0"/>
    <x v="86"/>
    <s v="emilyjohnson@gmail.com"/>
    <x v="555"/>
    <s v="High"/>
    <x v="540"/>
    <n v="2012"/>
    <x v="10"/>
    <n v="5"/>
    <d v="2026-03-19T00:00:00"/>
    <n v="4852"/>
    <n v="4852"/>
    <n v="3467"/>
    <n v="29"/>
    <x v="1"/>
    <x v="0"/>
    <n v="1"/>
    <s v="No"/>
    <n v="5242.7700000000004"/>
    <x v="1"/>
    <x v="3"/>
    <x v="24"/>
    <s v="Bad Employee"/>
    <b v="0"/>
    <b v="1"/>
    <s v="Good employee"/>
    <x v="2"/>
    <x v="5"/>
    <n v="6"/>
    <n v="2010"/>
    <s v="On-Site"/>
    <n v="134"/>
    <x v="32"/>
  </r>
  <r>
    <x v="561"/>
    <x v="3"/>
    <s v="Wilson"/>
    <x v="5"/>
    <x v="50"/>
    <s v="alexwilson@gmail.com"/>
    <x v="556"/>
    <s v="High"/>
    <x v="541"/>
    <n v="2016"/>
    <x v="9"/>
    <n v="20"/>
    <d v="2026-03-19T00:00:00"/>
    <n v="3559"/>
    <n v="3559"/>
    <n v="2544"/>
    <n v="31"/>
    <x v="0"/>
    <x v="0"/>
    <n v="4"/>
    <s v="Yes"/>
    <n v="3861.87"/>
    <x v="2"/>
    <x v="1"/>
    <x v="4"/>
    <s v="Bad Employee"/>
    <b v="0"/>
    <b v="0"/>
    <s v="Bad Employee"/>
    <x v="0"/>
    <x v="5"/>
    <n v="19"/>
    <n v="2023"/>
    <s v="Hybrid"/>
    <n v="188"/>
    <x v="23"/>
  </r>
  <r>
    <x v="562"/>
    <x v="0"/>
    <s v="Williams"/>
    <x v="3"/>
    <x v="181"/>
    <s v="michaelwilliams@gmail.com"/>
    <x v="557"/>
    <s v="High"/>
    <x v="542"/>
    <n v="2014"/>
    <x v="11"/>
    <n v="9"/>
    <d v="2026-03-19T00:00:00"/>
    <n v="4452"/>
    <n v="4452"/>
    <n v="3181"/>
    <n v="46"/>
    <x v="0"/>
    <x v="0"/>
    <n v="7"/>
    <s v="Yes"/>
    <n v="9367.65"/>
    <x v="3"/>
    <x v="2"/>
    <x v="13"/>
    <s v="Good Employee"/>
    <b v="1"/>
    <b v="1"/>
    <s v="Good employee"/>
    <x v="2"/>
    <x v="2"/>
    <n v="16"/>
    <n v="2022"/>
    <s v="Fully Remote"/>
    <n v="11"/>
    <x v="15"/>
  </r>
  <r>
    <x v="563"/>
    <x v="0"/>
    <s v="Davis"/>
    <x v="5"/>
    <x v="59"/>
    <s v="michaeldavis@gmail.com"/>
    <x v="558"/>
    <s v="High"/>
    <x v="543"/>
    <n v="2016"/>
    <x v="7"/>
    <n v="23"/>
    <d v="2026-03-19T00:00:00"/>
    <n v="3587"/>
    <n v="3587"/>
    <n v="2564"/>
    <n v="57"/>
    <x v="0"/>
    <x v="1"/>
    <n v="5"/>
    <s v="Yes"/>
    <n v="1015.56"/>
    <x v="3"/>
    <x v="2"/>
    <x v="32"/>
    <s v="Bad Employee"/>
    <b v="0"/>
    <b v="1"/>
    <s v="Good employee"/>
    <x v="0"/>
    <x v="2"/>
    <n v="11"/>
    <n v="2021"/>
    <s v="On-Site"/>
    <n v="175"/>
    <x v="5"/>
  </r>
  <r>
    <x v="564"/>
    <x v="1"/>
    <s v="Johnson"/>
    <x v="4"/>
    <x v="265"/>
    <s v="emilyjohnson@gmail.com"/>
    <x v="559"/>
    <s v="Medium"/>
    <x v="544"/>
    <n v="2005"/>
    <x v="0"/>
    <n v="20"/>
    <d v="2026-03-19T00:00:00"/>
    <n v="7485"/>
    <n v="7485"/>
    <n v="5348"/>
    <n v="64"/>
    <x v="0"/>
    <x v="0"/>
    <n v="4"/>
    <s v="Yes"/>
    <n v="1949.9"/>
    <x v="0"/>
    <x v="3"/>
    <x v="26"/>
    <s v="Bad Employee"/>
    <b v="0"/>
    <b v="0"/>
    <s v="Bad Employee"/>
    <x v="1"/>
    <x v="1"/>
    <n v="10"/>
    <n v="2020"/>
    <s v="Fully Remote"/>
    <n v="163"/>
    <x v="2"/>
  </r>
  <r>
    <x v="565"/>
    <x v="5"/>
    <s v="Brown"/>
    <x v="1"/>
    <x v="266"/>
    <s v="janebrown@gmail.com"/>
    <x v="560"/>
    <s v="Medium"/>
    <x v="545"/>
    <n v="2005"/>
    <x v="6"/>
    <n v="18"/>
    <d v="2026-03-19T00:00:00"/>
    <n v="7518"/>
    <n v="7518"/>
    <n v="5371"/>
    <n v="30"/>
    <x v="1"/>
    <x v="0"/>
    <n v="4"/>
    <s v="No"/>
    <n v="4486.1899999999996"/>
    <x v="3"/>
    <x v="3"/>
    <x v="11"/>
    <s v="Bad Employee"/>
    <b v="0"/>
    <b v="0"/>
    <s v="Bad Employee"/>
    <x v="0"/>
    <x v="2"/>
    <n v="9"/>
    <n v="2021"/>
    <s v="On-Site"/>
    <n v="193"/>
    <x v="14"/>
  </r>
  <r>
    <x v="566"/>
    <x v="5"/>
    <s v="Johnson"/>
    <x v="1"/>
    <x v="87"/>
    <s v="janejohnson@gmail.com"/>
    <x v="561"/>
    <s v="low"/>
    <x v="546"/>
    <n v="2019"/>
    <x v="2"/>
    <n v="23"/>
    <d v="2026-03-19T00:00:00"/>
    <n v="2431"/>
    <n v="2431"/>
    <n v="1738"/>
    <n v="62"/>
    <x v="0"/>
    <x v="1"/>
    <n v="2"/>
    <s v="No"/>
    <n v="6332.6"/>
    <x v="3"/>
    <x v="3"/>
    <x v="17"/>
    <s v="Bad Employee"/>
    <b v="0"/>
    <b v="0"/>
    <s v="Bad Employee"/>
    <x v="1"/>
    <x v="2"/>
    <n v="7"/>
    <n v="2015"/>
    <s v="Fully Remote"/>
    <n v="154"/>
    <x v="18"/>
  </r>
  <r>
    <x v="567"/>
    <x v="4"/>
    <s v="Wilson"/>
    <x v="4"/>
    <x v="99"/>
    <s v="sarahwilson@gmail.com"/>
    <x v="562"/>
    <s v="Medium"/>
    <x v="547"/>
    <n v="2002"/>
    <x v="8"/>
    <n v="29"/>
    <d v="2026-03-19T00:00:00"/>
    <n v="8756"/>
    <n v="8756"/>
    <n v="6255"/>
    <n v="29"/>
    <x v="1"/>
    <x v="1"/>
    <n v="8"/>
    <s v="No"/>
    <n v="577.9"/>
    <x v="2"/>
    <x v="2"/>
    <x v="5"/>
    <s v="Good Employee"/>
    <b v="1"/>
    <b v="1"/>
    <s v="Good employee"/>
    <x v="0"/>
    <x v="0"/>
    <n v="14"/>
    <n v="2020"/>
    <s v="On-Site"/>
    <n v="194"/>
    <x v="10"/>
  </r>
  <r>
    <x v="568"/>
    <x v="0"/>
    <s v="Williams"/>
    <x v="3"/>
    <x v="181"/>
    <s v="michaelwilliams@gmail.com"/>
    <x v="563"/>
    <s v="Medium"/>
    <x v="548"/>
    <n v="2013"/>
    <x v="11"/>
    <n v="4"/>
    <d v="2026-03-19T00:00:00"/>
    <n v="4822"/>
    <n v="4822"/>
    <n v="3445"/>
    <n v="24"/>
    <x v="1"/>
    <x v="1"/>
    <n v="4"/>
    <s v="Yes"/>
    <n v="7333.57"/>
    <x v="1"/>
    <x v="4"/>
    <x v="7"/>
    <s v="Bad Employee"/>
    <b v="0"/>
    <b v="1"/>
    <s v="Good employee"/>
    <x v="0"/>
    <x v="0"/>
    <n v="17"/>
    <n v="2011"/>
    <s v="On-Site"/>
    <n v="32"/>
    <x v="4"/>
  </r>
  <r>
    <x v="569"/>
    <x v="0"/>
    <s v="Miller"/>
    <x v="5"/>
    <x v="254"/>
    <s v="michaelmiller@gmail.com"/>
    <x v="564"/>
    <s v="High"/>
    <x v="549"/>
    <n v="2010"/>
    <x v="1"/>
    <n v="28"/>
    <d v="2026-03-19T00:00:00"/>
    <n v="5590"/>
    <n v="5590"/>
    <n v="3994"/>
    <n v="39"/>
    <x v="0"/>
    <x v="1"/>
    <n v="2"/>
    <s v="No"/>
    <n v="5807.9"/>
    <x v="1"/>
    <x v="1"/>
    <x v="19"/>
    <s v="Bad Employee"/>
    <b v="0"/>
    <b v="1"/>
    <s v="Good employee"/>
    <x v="1"/>
    <x v="0"/>
    <n v="12"/>
    <n v="2011"/>
    <s v="Hybrid"/>
    <n v="29"/>
    <x v="28"/>
  </r>
  <r>
    <x v="570"/>
    <x v="6"/>
    <s v="Davis"/>
    <x v="4"/>
    <x v="264"/>
    <s v="katiedavis@gmail.com"/>
    <x v="565"/>
    <s v="High"/>
    <x v="550"/>
    <n v="2010"/>
    <x v="11"/>
    <n v="28"/>
    <d v="2026-03-19T00:00:00"/>
    <n v="5894"/>
    <n v="5894"/>
    <n v="4211"/>
    <n v="56"/>
    <x v="0"/>
    <x v="0"/>
    <n v="9"/>
    <s v="No"/>
    <n v="5104.68"/>
    <x v="1"/>
    <x v="1"/>
    <x v="25"/>
    <s v="Bad Employee"/>
    <b v="0"/>
    <b v="1"/>
    <s v="Good employee"/>
    <x v="1"/>
    <x v="4"/>
    <n v="15"/>
    <n v="2021"/>
    <s v="Fully Remote"/>
    <n v="197"/>
    <x v="39"/>
  </r>
  <r>
    <x v="571"/>
    <x v="3"/>
    <s v="Williams"/>
    <x v="0"/>
    <x v="251"/>
    <s v="alexwilliams@gmail.com"/>
    <x v="566"/>
    <s v="extremely low"/>
    <x v="551"/>
    <n v="2004"/>
    <x v="10"/>
    <n v="16"/>
    <d v="2026-03-19T00:00:00"/>
    <n v="7763"/>
    <n v="7763"/>
    <n v="5546"/>
    <n v="38"/>
    <x v="0"/>
    <x v="1"/>
    <n v="7"/>
    <s v="No"/>
    <n v="4523.2"/>
    <x v="3"/>
    <x v="0"/>
    <x v="19"/>
    <s v="Good Employee"/>
    <b v="1"/>
    <b v="1"/>
    <s v="Good employee"/>
    <x v="1"/>
    <x v="1"/>
    <n v="12"/>
    <n v="2022"/>
    <s v="On-Site"/>
    <n v="164"/>
    <x v="10"/>
  </r>
  <r>
    <x v="572"/>
    <x v="7"/>
    <s v="Smith"/>
    <x v="1"/>
    <x v="137"/>
    <s v="johnsmith@gmail.com"/>
    <x v="567"/>
    <s v="low"/>
    <x v="552"/>
    <n v="2013"/>
    <x v="7"/>
    <n v="17"/>
    <d v="2026-03-19T00:00:00"/>
    <n v="4689"/>
    <n v="4689"/>
    <n v="3350"/>
    <n v="57"/>
    <x v="0"/>
    <x v="1"/>
    <n v="3"/>
    <s v="Yes"/>
    <n v="5435.13"/>
    <x v="3"/>
    <x v="0"/>
    <x v="3"/>
    <s v="Bad Employee"/>
    <b v="0"/>
    <b v="1"/>
    <s v="Good employee"/>
    <x v="1"/>
    <x v="2"/>
    <n v="3"/>
    <n v="2016"/>
    <s v="Hybrid"/>
    <n v="180"/>
    <x v="6"/>
  </r>
  <r>
    <x v="573"/>
    <x v="5"/>
    <s v="Davis"/>
    <x v="2"/>
    <x v="22"/>
    <s v="janedavis@gmail.com"/>
    <x v="568"/>
    <s v="High"/>
    <x v="553"/>
    <n v="2015"/>
    <x v="8"/>
    <n v="18"/>
    <d v="2026-03-19T00:00:00"/>
    <n v="4019"/>
    <n v="4019"/>
    <n v="2872"/>
    <n v="49"/>
    <x v="0"/>
    <x v="1"/>
    <n v="7"/>
    <s v="Yes"/>
    <n v="2036.96"/>
    <x v="0"/>
    <x v="4"/>
    <x v="35"/>
    <s v="Good Employee"/>
    <b v="1"/>
    <b v="1"/>
    <s v="Good employee"/>
    <x v="2"/>
    <x v="4"/>
    <n v="10"/>
    <n v="2018"/>
    <s v="Hybrid"/>
    <n v="84"/>
    <x v="25"/>
  </r>
  <r>
    <x v="574"/>
    <x v="0"/>
    <s v="Williams"/>
    <x v="0"/>
    <x v="0"/>
    <s v="michaelwilliams@gmail.com"/>
    <x v="569"/>
    <s v="High"/>
    <x v="554"/>
    <n v="2019"/>
    <x v="0"/>
    <n v="12"/>
    <d v="2026-03-19T00:00:00"/>
    <n v="2380"/>
    <n v="2380"/>
    <n v="1701"/>
    <n v="36"/>
    <x v="0"/>
    <x v="0"/>
    <n v="1"/>
    <s v="Yes"/>
    <n v="1532.76"/>
    <x v="2"/>
    <x v="3"/>
    <x v="1"/>
    <s v="Bad Employee"/>
    <b v="0"/>
    <b v="1"/>
    <s v="Good employee"/>
    <x v="2"/>
    <x v="3"/>
    <n v="18"/>
    <n v="2017"/>
    <s v="Fully Remote"/>
    <n v="28"/>
    <x v="14"/>
  </r>
  <r>
    <x v="575"/>
    <x v="6"/>
    <s v="Brown"/>
    <x v="3"/>
    <x v="189"/>
    <s v="katiebrown@gmail.com"/>
    <x v="570"/>
    <s v="extremely low"/>
    <x v="555"/>
    <n v="2008"/>
    <x v="2"/>
    <n v="11"/>
    <d v="2026-03-19T00:00:00"/>
    <n v="6460"/>
    <n v="6460"/>
    <n v="4615"/>
    <n v="40"/>
    <x v="0"/>
    <x v="1"/>
    <n v="1"/>
    <s v="Yes"/>
    <n v="3251.56"/>
    <x v="2"/>
    <x v="4"/>
    <x v="21"/>
    <s v="Bad Employee"/>
    <b v="0"/>
    <b v="0"/>
    <s v="Bad Employee"/>
    <x v="1"/>
    <x v="1"/>
    <n v="7"/>
    <n v="2011"/>
    <s v="Fully Remote"/>
    <n v="85"/>
    <x v="37"/>
  </r>
  <r>
    <x v="576"/>
    <x v="2"/>
    <s v="Davis"/>
    <x v="0"/>
    <x v="267"/>
    <s v="chrisdavis@gmail.com"/>
    <x v="571"/>
    <s v="low"/>
    <x v="556"/>
    <n v="2014"/>
    <x v="7"/>
    <n v="17"/>
    <d v="2026-03-19T00:00:00"/>
    <n v="4324"/>
    <n v="4324"/>
    <n v="3089"/>
    <n v="43"/>
    <x v="0"/>
    <x v="0"/>
    <n v="4"/>
    <s v="Yes"/>
    <n v="7240.3"/>
    <x v="0"/>
    <x v="0"/>
    <x v="9"/>
    <s v="Bad Employee"/>
    <b v="0"/>
    <b v="0"/>
    <s v="Bad Employee"/>
    <x v="2"/>
    <x v="3"/>
    <n v="9"/>
    <n v="2023"/>
    <s v="Hybrid"/>
    <n v="129"/>
    <x v="39"/>
  </r>
  <r>
    <x v="577"/>
    <x v="6"/>
    <s v="Davis"/>
    <x v="4"/>
    <x v="264"/>
    <s v="katiedavis@gmail.com"/>
    <x v="572"/>
    <s v="High"/>
    <x v="557"/>
    <n v="2004"/>
    <x v="9"/>
    <n v="17"/>
    <d v="2026-03-19T00:00:00"/>
    <n v="7945"/>
    <n v="7945"/>
    <n v="5676"/>
    <n v="27"/>
    <x v="1"/>
    <x v="0"/>
    <n v="4"/>
    <s v="No"/>
    <n v="6088.73"/>
    <x v="0"/>
    <x v="0"/>
    <x v="18"/>
    <s v="Bad Employee"/>
    <b v="0"/>
    <b v="0"/>
    <s v="Bad Employee"/>
    <x v="0"/>
    <x v="0"/>
    <n v="11"/>
    <n v="2016"/>
    <s v="Fully Remote"/>
    <n v="174"/>
    <x v="0"/>
  </r>
  <r>
    <x v="578"/>
    <x v="5"/>
    <s v="Johnson"/>
    <x v="5"/>
    <x v="76"/>
    <s v="janejohnson@gmail.com"/>
    <x v="573"/>
    <s v="extremely low"/>
    <x v="558"/>
    <n v="2004"/>
    <x v="8"/>
    <n v="23"/>
    <d v="2026-03-19T00:00:00"/>
    <n v="8031"/>
    <n v="8031"/>
    <n v="5738"/>
    <n v="28"/>
    <x v="1"/>
    <x v="1"/>
    <n v="4"/>
    <s v="No"/>
    <n v="5061.17"/>
    <x v="0"/>
    <x v="1"/>
    <x v="2"/>
    <s v="Bad Employee"/>
    <b v="0"/>
    <b v="0"/>
    <s v="Bad Employee"/>
    <x v="0"/>
    <x v="3"/>
    <n v="19"/>
    <n v="2014"/>
    <s v="Fully Remote"/>
    <n v="74"/>
    <x v="4"/>
  </r>
  <r>
    <x v="579"/>
    <x v="5"/>
    <s v="Brown"/>
    <x v="1"/>
    <x v="266"/>
    <s v="janebrown@gmail.com"/>
    <x v="574"/>
    <s v="Medium"/>
    <x v="559"/>
    <n v="2018"/>
    <x v="9"/>
    <n v="16"/>
    <d v="2026-03-19T00:00:00"/>
    <n v="2833"/>
    <n v="2833"/>
    <n v="2024"/>
    <n v="30"/>
    <x v="1"/>
    <x v="0"/>
    <n v="9"/>
    <s v="Yes"/>
    <n v="5929.45"/>
    <x v="1"/>
    <x v="4"/>
    <x v="8"/>
    <s v="Good Employee"/>
    <b v="1"/>
    <b v="1"/>
    <s v="Good employee"/>
    <x v="0"/>
    <x v="0"/>
    <n v="10"/>
    <n v="2022"/>
    <s v="Fully Remote"/>
    <n v="82"/>
    <x v="22"/>
  </r>
  <r>
    <x v="580"/>
    <x v="6"/>
    <s v="Smith"/>
    <x v="3"/>
    <x v="49"/>
    <s v="katiesmith@gmail.com"/>
    <x v="575"/>
    <s v="extremely low"/>
    <x v="560"/>
    <n v="2009"/>
    <x v="5"/>
    <n v="19"/>
    <d v="2026-03-19T00:00:00"/>
    <n v="5995"/>
    <n v="5995"/>
    <n v="4284"/>
    <n v="41"/>
    <x v="0"/>
    <x v="1"/>
    <n v="6"/>
    <s v="Yes"/>
    <n v="5812.95"/>
    <x v="1"/>
    <x v="2"/>
    <x v="32"/>
    <s v="Bad Employee"/>
    <b v="0"/>
    <b v="1"/>
    <s v="Good employee"/>
    <x v="2"/>
    <x v="1"/>
    <n v="19"/>
    <n v="2020"/>
    <s v="On-Site"/>
    <n v="94"/>
    <x v="30"/>
  </r>
  <r>
    <x v="581"/>
    <x v="7"/>
    <s v="Miller"/>
    <x v="3"/>
    <x v="36"/>
    <s v="johnmiller@gmail.com"/>
    <x v="576"/>
    <s v="extremely low"/>
    <x v="561"/>
    <n v="2015"/>
    <x v="5"/>
    <n v="18"/>
    <d v="2026-03-19T00:00:00"/>
    <n v="3805"/>
    <n v="3805"/>
    <n v="2719"/>
    <n v="58"/>
    <x v="0"/>
    <x v="1"/>
    <n v="3"/>
    <s v="No"/>
    <n v="3416.9"/>
    <x v="1"/>
    <x v="0"/>
    <x v="26"/>
    <s v="Bad Employee"/>
    <b v="0"/>
    <b v="0"/>
    <s v="Bad Employee"/>
    <x v="2"/>
    <x v="1"/>
    <n v="3"/>
    <n v="2019"/>
    <s v="Fully Remote"/>
    <n v="128"/>
    <x v="8"/>
  </r>
  <r>
    <x v="582"/>
    <x v="1"/>
    <s v="Wilson"/>
    <x v="2"/>
    <x v="252"/>
    <s v="emilywilson@gmail.com"/>
    <x v="577"/>
    <s v="High"/>
    <x v="562"/>
    <n v="2005"/>
    <x v="8"/>
    <n v="19"/>
    <d v="2026-03-19T00:00:00"/>
    <n v="7670"/>
    <n v="7670"/>
    <n v="5479"/>
    <n v="32"/>
    <x v="0"/>
    <x v="0"/>
    <n v="6"/>
    <s v="No"/>
    <n v="1425.83"/>
    <x v="1"/>
    <x v="1"/>
    <x v="4"/>
    <s v="Bad Employee"/>
    <b v="0"/>
    <b v="0"/>
    <s v="Bad Employee"/>
    <x v="0"/>
    <x v="2"/>
    <n v="18"/>
    <n v="2021"/>
    <s v="Fully Remote"/>
    <n v="96"/>
    <x v="35"/>
  </r>
  <r>
    <x v="583"/>
    <x v="5"/>
    <s v="Williams"/>
    <x v="0"/>
    <x v="32"/>
    <s v="janewilliams@gmail.com"/>
    <x v="578"/>
    <s v="High"/>
    <x v="563"/>
    <n v="2003"/>
    <x v="10"/>
    <n v="7"/>
    <d v="2026-03-19T00:00:00"/>
    <n v="8138"/>
    <n v="8138"/>
    <n v="5814"/>
    <n v="23"/>
    <x v="1"/>
    <x v="0"/>
    <n v="2"/>
    <s v="Yes"/>
    <n v="9019.43"/>
    <x v="0"/>
    <x v="3"/>
    <x v="33"/>
    <s v="Bad Employee"/>
    <b v="0"/>
    <b v="0"/>
    <s v="Bad Employee"/>
    <x v="1"/>
    <x v="4"/>
    <n v="19"/>
    <n v="2023"/>
    <s v="Hybrid"/>
    <n v="115"/>
    <x v="12"/>
  </r>
  <r>
    <x v="584"/>
    <x v="6"/>
    <s v="Johnson"/>
    <x v="2"/>
    <x v="212"/>
    <s v="katiejohnson@gmail.com"/>
    <x v="579"/>
    <s v="low"/>
    <x v="564"/>
    <n v="2013"/>
    <x v="5"/>
    <n v="10"/>
    <d v="2026-03-19T00:00:00"/>
    <n v="4543"/>
    <n v="4543"/>
    <n v="3246"/>
    <n v="43"/>
    <x v="0"/>
    <x v="0"/>
    <n v="2"/>
    <s v="Yes"/>
    <n v="6199.16"/>
    <x v="0"/>
    <x v="4"/>
    <x v="29"/>
    <s v="Bad Employee"/>
    <b v="0"/>
    <b v="0"/>
    <s v="Bad Employee"/>
    <x v="0"/>
    <x v="0"/>
    <n v="9"/>
    <n v="2022"/>
    <s v="Hybrid"/>
    <n v="168"/>
    <x v="31"/>
  </r>
  <r>
    <x v="585"/>
    <x v="0"/>
    <s v="Williams"/>
    <x v="5"/>
    <x v="268"/>
    <s v="michaelwilliams@gmail.com"/>
    <x v="580"/>
    <s v="High"/>
    <x v="324"/>
    <n v="2009"/>
    <x v="11"/>
    <n v="30"/>
    <d v="2026-03-19T00:00:00"/>
    <n v="6257"/>
    <n v="6257"/>
    <n v="4470"/>
    <n v="57"/>
    <x v="0"/>
    <x v="0"/>
    <n v="7"/>
    <s v="Yes"/>
    <n v="7128.61"/>
    <x v="0"/>
    <x v="0"/>
    <x v="38"/>
    <s v="Bad Employee"/>
    <b v="0"/>
    <b v="1"/>
    <s v="Good employee"/>
    <x v="2"/>
    <x v="5"/>
    <n v="14"/>
    <n v="2013"/>
    <s v="Hybrid"/>
    <n v="163"/>
    <x v="20"/>
  </r>
  <r>
    <x v="586"/>
    <x v="6"/>
    <s v="Smith"/>
    <x v="5"/>
    <x v="169"/>
    <s v="katiesmith@gmail.com"/>
    <x v="581"/>
    <s v="High"/>
    <x v="565"/>
    <n v="2009"/>
    <x v="6"/>
    <n v="21"/>
    <d v="2026-03-19T00:00:00"/>
    <n v="6054"/>
    <n v="6054"/>
    <n v="4325"/>
    <n v="26"/>
    <x v="1"/>
    <x v="1"/>
    <n v="3"/>
    <s v="No"/>
    <n v="4907.97"/>
    <x v="1"/>
    <x v="2"/>
    <x v="34"/>
    <s v="Bad Employee"/>
    <b v="0"/>
    <b v="1"/>
    <s v="Good employee"/>
    <x v="0"/>
    <x v="5"/>
    <n v="12"/>
    <n v="2021"/>
    <s v="Fully Remote"/>
    <n v="132"/>
    <x v="21"/>
  </r>
  <r>
    <x v="587"/>
    <x v="3"/>
    <s v="Smith"/>
    <x v="2"/>
    <x v="13"/>
    <s v="alexsmith@gmail.com"/>
    <x v="582"/>
    <s v="Medium"/>
    <x v="566"/>
    <n v="2008"/>
    <x v="7"/>
    <n v="17"/>
    <d v="2026-03-19T00:00:00"/>
    <n v="6515"/>
    <n v="6515"/>
    <n v="4654"/>
    <n v="28"/>
    <x v="1"/>
    <x v="0"/>
    <n v="7"/>
    <s v="No"/>
    <n v="7686.57"/>
    <x v="1"/>
    <x v="0"/>
    <x v="0"/>
    <s v="Bad Employee"/>
    <b v="0"/>
    <b v="1"/>
    <s v="Good employee"/>
    <x v="0"/>
    <x v="2"/>
    <n v="12"/>
    <n v="2023"/>
    <s v="Fully Remote"/>
    <n v="159"/>
    <x v="40"/>
  </r>
  <r>
    <x v="588"/>
    <x v="1"/>
    <s v="Davis"/>
    <x v="1"/>
    <x v="75"/>
    <s v="emilydavis@gmail.com"/>
    <x v="583"/>
    <s v="High"/>
    <x v="567"/>
    <n v="2011"/>
    <x v="3"/>
    <n v="9"/>
    <d v="2026-03-19T00:00:00"/>
    <n v="5458"/>
    <n v="5458"/>
    <n v="3899"/>
    <n v="27"/>
    <x v="1"/>
    <x v="0"/>
    <n v="3"/>
    <s v="Yes"/>
    <n v="6052.72"/>
    <x v="3"/>
    <x v="2"/>
    <x v="27"/>
    <s v="Bad Employee"/>
    <b v="0"/>
    <b v="1"/>
    <s v="Good employee"/>
    <x v="2"/>
    <x v="4"/>
    <n v="17"/>
    <n v="2019"/>
    <s v="Hybrid"/>
    <n v="198"/>
    <x v="40"/>
  </r>
  <r>
    <x v="589"/>
    <x v="2"/>
    <s v="Wilson"/>
    <x v="5"/>
    <x v="269"/>
    <s v="chriswilson@gmail.com"/>
    <x v="584"/>
    <s v="extremely low"/>
    <x v="568"/>
    <n v="2002"/>
    <x v="0"/>
    <n v="25"/>
    <d v="2026-03-19T00:00:00"/>
    <n v="8576"/>
    <n v="8576"/>
    <n v="6127"/>
    <n v="43"/>
    <x v="0"/>
    <x v="0"/>
    <n v="2"/>
    <s v="Yes"/>
    <n v="1011.11"/>
    <x v="0"/>
    <x v="4"/>
    <x v="11"/>
    <s v="Bad Employee"/>
    <b v="0"/>
    <b v="0"/>
    <s v="Bad Employee"/>
    <x v="2"/>
    <x v="0"/>
    <n v="6"/>
    <n v="2023"/>
    <s v="Hybrid"/>
    <n v="177"/>
    <x v="13"/>
  </r>
  <r>
    <x v="590"/>
    <x v="7"/>
    <s v="Smith"/>
    <x v="2"/>
    <x v="250"/>
    <s v="johnsmith@gmail.com"/>
    <x v="585"/>
    <s v="low"/>
    <x v="569"/>
    <n v="2003"/>
    <x v="10"/>
    <n v="2"/>
    <d v="2026-03-19T00:00:00"/>
    <n v="8143"/>
    <n v="8143"/>
    <n v="5818"/>
    <n v="31"/>
    <x v="0"/>
    <x v="0"/>
    <n v="4"/>
    <s v="No"/>
    <n v="8955.92"/>
    <x v="2"/>
    <x v="2"/>
    <x v="8"/>
    <s v="Bad Employee"/>
    <b v="0"/>
    <b v="1"/>
    <s v="Good employee"/>
    <x v="2"/>
    <x v="2"/>
    <n v="13"/>
    <n v="2013"/>
    <s v="On-Site"/>
    <n v="48"/>
    <x v="5"/>
  </r>
  <r>
    <x v="591"/>
    <x v="4"/>
    <s v="Williams"/>
    <x v="0"/>
    <x v="71"/>
    <s v="sarahwilliams@gmail.com"/>
    <x v="586"/>
    <s v="High"/>
    <x v="570"/>
    <n v="2012"/>
    <x v="9"/>
    <n v="18"/>
    <d v="2026-03-19T00:00:00"/>
    <n v="5022"/>
    <n v="5022"/>
    <n v="3589"/>
    <n v="61"/>
    <x v="0"/>
    <x v="1"/>
    <n v="4"/>
    <s v="No"/>
    <n v="3402.59"/>
    <x v="2"/>
    <x v="2"/>
    <x v="18"/>
    <s v="Bad Employee"/>
    <b v="0"/>
    <b v="0"/>
    <s v="Bad Employee"/>
    <x v="2"/>
    <x v="4"/>
    <n v="4"/>
    <n v="2013"/>
    <s v="On-Site"/>
    <n v="61"/>
    <x v="17"/>
  </r>
  <r>
    <x v="592"/>
    <x v="2"/>
    <s v="Brown"/>
    <x v="2"/>
    <x v="155"/>
    <s v="chrisbrown@gmail.com"/>
    <x v="587"/>
    <s v="High"/>
    <x v="367"/>
    <n v="2015"/>
    <x v="8"/>
    <n v="26"/>
    <d v="2026-03-19T00:00:00"/>
    <n v="4011"/>
    <n v="4011"/>
    <n v="2866"/>
    <n v="41"/>
    <x v="0"/>
    <x v="1"/>
    <n v="3"/>
    <s v="No"/>
    <n v="1809.96"/>
    <x v="3"/>
    <x v="1"/>
    <x v="10"/>
    <s v="Bad Employee"/>
    <b v="0"/>
    <b v="0"/>
    <s v="Bad Employee"/>
    <x v="0"/>
    <x v="5"/>
    <n v="8"/>
    <n v="2018"/>
    <s v="On-Site"/>
    <n v="25"/>
    <x v="15"/>
  </r>
  <r>
    <x v="593"/>
    <x v="1"/>
    <s v="Brown"/>
    <x v="2"/>
    <x v="154"/>
    <s v="emilybrown@gmail.com"/>
    <x v="588"/>
    <s v="extremely low"/>
    <x v="571"/>
    <n v="2016"/>
    <x v="5"/>
    <n v="6"/>
    <d v="2026-03-19T00:00:00"/>
    <n v="3451"/>
    <n v="3451"/>
    <n v="2466"/>
    <n v="49"/>
    <x v="0"/>
    <x v="0"/>
    <n v="9"/>
    <s v="Yes"/>
    <n v="1336.39"/>
    <x v="1"/>
    <x v="4"/>
    <x v="2"/>
    <s v="Bad Employee"/>
    <b v="0"/>
    <b v="1"/>
    <s v="Good employee"/>
    <x v="2"/>
    <x v="0"/>
    <n v="16"/>
    <n v="2016"/>
    <s v="Fully Remote"/>
    <n v="59"/>
    <x v="31"/>
  </r>
  <r>
    <x v="594"/>
    <x v="1"/>
    <s v="Davis"/>
    <x v="4"/>
    <x v="105"/>
    <s v="emilydavis@gmail.com"/>
    <x v="589"/>
    <s v="extremely low"/>
    <x v="443"/>
    <n v="2008"/>
    <x v="7"/>
    <n v="19"/>
    <d v="2026-03-19T00:00:00"/>
    <n v="6513"/>
    <n v="6513"/>
    <n v="4654"/>
    <n v="44"/>
    <x v="0"/>
    <x v="0"/>
    <n v="6"/>
    <s v="Yes"/>
    <n v="7344.18"/>
    <x v="0"/>
    <x v="0"/>
    <x v="35"/>
    <s v="Bad Employee"/>
    <b v="0"/>
    <b v="1"/>
    <s v="Good employee"/>
    <x v="1"/>
    <x v="4"/>
    <n v="4"/>
    <n v="2016"/>
    <s v="Fully Remote"/>
    <n v="113"/>
    <x v="19"/>
  </r>
  <r>
    <x v="595"/>
    <x v="1"/>
    <s v="Miller"/>
    <x v="5"/>
    <x v="96"/>
    <s v="emilymiller@gmail.com"/>
    <x v="590"/>
    <s v="extremely low"/>
    <x v="572"/>
    <n v="2000"/>
    <x v="0"/>
    <n v="21"/>
    <d v="2026-03-19T00:00:00"/>
    <n v="9310"/>
    <n v="9310"/>
    <n v="6651"/>
    <n v="56"/>
    <x v="0"/>
    <x v="1"/>
    <n v="5"/>
    <s v="Yes"/>
    <n v="7187.7"/>
    <x v="1"/>
    <x v="3"/>
    <x v="9"/>
    <s v="Bad Employee"/>
    <b v="0"/>
    <b v="0"/>
    <s v="Bad Employee"/>
    <x v="2"/>
    <x v="3"/>
    <n v="15"/>
    <n v="2023"/>
    <s v="Hybrid"/>
    <n v="147"/>
    <x v="35"/>
  </r>
  <r>
    <x v="596"/>
    <x v="2"/>
    <s v="Williams"/>
    <x v="1"/>
    <x v="270"/>
    <s v="chriswilliams@gmail.com"/>
    <x v="591"/>
    <s v="High"/>
    <x v="573"/>
    <n v="2010"/>
    <x v="8"/>
    <n v="20"/>
    <d v="2026-03-19T00:00:00"/>
    <n v="5843"/>
    <n v="5843"/>
    <n v="4174"/>
    <n v="22"/>
    <x v="1"/>
    <x v="1"/>
    <n v="6"/>
    <s v="Yes"/>
    <n v="7151.54"/>
    <x v="1"/>
    <x v="4"/>
    <x v="12"/>
    <s v="Bad Employee"/>
    <b v="0"/>
    <b v="1"/>
    <s v="Good employee"/>
    <x v="2"/>
    <x v="0"/>
    <n v="8"/>
    <n v="2013"/>
    <s v="On-Site"/>
    <n v="166"/>
    <x v="18"/>
  </r>
  <r>
    <x v="597"/>
    <x v="0"/>
    <s v="Williams"/>
    <x v="1"/>
    <x v="271"/>
    <s v="michaelwilliams@gmail.com"/>
    <x v="592"/>
    <s v="High"/>
    <x v="574"/>
    <n v="2017"/>
    <x v="3"/>
    <n v="28"/>
    <d v="2026-03-19T00:00:00"/>
    <n v="3247"/>
    <n v="3247"/>
    <n v="2320"/>
    <n v="50"/>
    <x v="0"/>
    <x v="1"/>
    <n v="8"/>
    <s v="No"/>
    <n v="9199.65"/>
    <x v="2"/>
    <x v="4"/>
    <x v="14"/>
    <s v="Bad Employee"/>
    <b v="0"/>
    <b v="1"/>
    <s v="Good employee"/>
    <x v="0"/>
    <x v="3"/>
    <n v="16"/>
    <n v="2018"/>
    <s v="Fully Remote"/>
    <n v="108"/>
    <x v="28"/>
  </r>
  <r>
    <x v="598"/>
    <x v="1"/>
    <s v="Smith"/>
    <x v="4"/>
    <x v="272"/>
    <s v="emilysmith@gmail.com"/>
    <x v="593"/>
    <s v="low"/>
    <x v="575"/>
    <n v="2006"/>
    <x v="8"/>
    <n v="24"/>
    <d v="2026-03-19T00:00:00"/>
    <n v="7300"/>
    <n v="7300"/>
    <n v="5215"/>
    <n v="30"/>
    <x v="1"/>
    <x v="1"/>
    <n v="5"/>
    <s v="No"/>
    <n v="3814.96"/>
    <x v="2"/>
    <x v="3"/>
    <x v="15"/>
    <s v="Bad Employee"/>
    <b v="0"/>
    <b v="0"/>
    <s v="Bad Employee"/>
    <x v="1"/>
    <x v="1"/>
    <n v="17"/>
    <n v="2017"/>
    <s v="On-Site"/>
    <n v="135"/>
    <x v="20"/>
  </r>
  <r>
    <x v="599"/>
    <x v="6"/>
    <s v="Wilson"/>
    <x v="3"/>
    <x v="89"/>
    <s v="katiewilson@gmail.com"/>
    <x v="594"/>
    <s v="High"/>
    <x v="576"/>
    <n v="2010"/>
    <x v="6"/>
    <n v="11"/>
    <d v="2026-03-19T00:00:00"/>
    <n v="5699"/>
    <n v="5699"/>
    <n v="4072"/>
    <n v="30"/>
    <x v="1"/>
    <x v="0"/>
    <n v="4"/>
    <s v="Yes"/>
    <n v="5830.76"/>
    <x v="0"/>
    <x v="0"/>
    <x v="23"/>
    <s v="Bad Employee"/>
    <b v="0"/>
    <b v="0"/>
    <s v="Bad Employee"/>
    <x v="1"/>
    <x v="1"/>
    <n v="2"/>
    <n v="2019"/>
    <s v="On-Site"/>
    <n v="133"/>
    <x v="37"/>
  </r>
  <r>
    <x v="600"/>
    <x v="2"/>
    <s v="Williams"/>
    <x v="1"/>
    <x v="270"/>
    <s v="chriswilliams@gmail.com"/>
    <x v="595"/>
    <s v="Medium"/>
    <x v="324"/>
    <n v="2009"/>
    <x v="11"/>
    <n v="30"/>
    <d v="2026-03-19T00:00:00"/>
    <n v="6257"/>
    <n v="6257"/>
    <n v="4470"/>
    <n v="43"/>
    <x v="0"/>
    <x v="0"/>
    <n v="7"/>
    <s v="Yes"/>
    <n v="6385.21"/>
    <x v="0"/>
    <x v="1"/>
    <x v="9"/>
    <s v="Bad Employee"/>
    <b v="0"/>
    <b v="1"/>
    <s v="Good employee"/>
    <x v="1"/>
    <x v="1"/>
    <n v="4"/>
    <n v="2013"/>
    <s v="Fully Remote"/>
    <n v="28"/>
    <x v="14"/>
  </r>
  <r>
    <x v="601"/>
    <x v="4"/>
    <s v="Johnson"/>
    <x v="2"/>
    <x v="209"/>
    <s v="sarahjohnson@gmail.com"/>
    <x v="596"/>
    <s v="extremely low"/>
    <x v="577"/>
    <n v="2005"/>
    <x v="6"/>
    <n v="8"/>
    <d v="2026-03-19T00:00:00"/>
    <n v="7528"/>
    <n v="7528"/>
    <n v="5379"/>
    <n v="23"/>
    <x v="1"/>
    <x v="1"/>
    <n v="5"/>
    <s v="Yes"/>
    <n v="9805.08"/>
    <x v="1"/>
    <x v="0"/>
    <x v="11"/>
    <s v="Bad Employee"/>
    <b v="0"/>
    <b v="0"/>
    <s v="Bad Employee"/>
    <x v="2"/>
    <x v="2"/>
    <n v="16"/>
    <n v="2022"/>
    <s v="On-Site"/>
    <n v="175"/>
    <x v="29"/>
  </r>
  <r>
    <x v="602"/>
    <x v="1"/>
    <s v="Miller"/>
    <x v="4"/>
    <x v="70"/>
    <s v="emilymiller@gmail.com"/>
    <x v="597"/>
    <s v="extremely low"/>
    <x v="578"/>
    <n v="2008"/>
    <x v="6"/>
    <n v="10"/>
    <d v="2026-03-19T00:00:00"/>
    <n v="6430"/>
    <n v="6430"/>
    <n v="4594"/>
    <n v="37"/>
    <x v="0"/>
    <x v="1"/>
    <n v="4"/>
    <s v="Yes"/>
    <n v="3467.29"/>
    <x v="1"/>
    <x v="3"/>
    <x v="4"/>
    <s v="Bad Employee"/>
    <b v="0"/>
    <b v="0"/>
    <s v="Bad Employee"/>
    <x v="0"/>
    <x v="4"/>
    <n v="19"/>
    <n v="2015"/>
    <s v="Hybrid"/>
    <n v="31"/>
    <x v="23"/>
  </r>
  <r>
    <x v="603"/>
    <x v="6"/>
    <s v="Smith"/>
    <x v="0"/>
    <x v="236"/>
    <s v="katiesmith@gmail.com"/>
    <x v="598"/>
    <s v="High"/>
    <x v="579"/>
    <n v="2008"/>
    <x v="5"/>
    <n v="26"/>
    <d v="2026-03-19T00:00:00"/>
    <n v="6353"/>
    <n v="6353"/>
    <n v="4539"/>
    <n v="61"/>
    <x v="0"/>
    <x v="0"/>
    <n v="5"/>
    <s v="Yes"/>
    <n v="9585.15"/>
    <x v="3"/>
    <x v="0"/>
    <x v="7"/>
    <s v="Bad Employee"/>
    <b v="0"/>
    <b v="1"/>
    <s v="Good employee"/>
    <x v="0"/>
    <x v="1"/>
    <n v="3"/>
    <n v="2013"/>
    <s v="Hybrid"/>
    <n v="141"/>
    <x v="21"/>
  </r>
  <r>
    <x v="604"/>
    <x v="0"/>
    <s v="Johnson"/>
    <x v="5"/>
    <x v="162"/>
    <s v="michaeljohnson@gmail.com"/>
    <x v="599"/>
    <s v="extremely low"/>
    <x v="580"/>
    <n v="2008"/>
    <x v="6"/>
    <n v="6"/>
    <d v="2026-03-19T00:00:00"/>
    <n v="6434"/>
    <n v="6434"/>
    <n v="4597"/>
    <n v="27"/>
    <x v="1"/>
    <x v="0"/>
    <n v="4"/>
    <s v="Yes"/>
    <n v="1912.98"/>
    <x v="1"/>
    <x v="4"/>
    <x v="24"/>
    <s v="Bad Employee"/>
    <b v="0"/>
    <b v="1"/>
    <s v="Good employee"/>
    <x v="2"/>
    <x v="4"/>
    <n v="3"/>
    <n v="2010"/>
    <s v="Fully Remote"/>
    <n v="92"/>
    <x v="9"/>
  </r>
  <r>
    <x v="605"/>
    <x v="3"/>
    <s v="Davis"/>
    <x v="5"/>
    <x v="188"/>
    <s v="alexdavis@gmail.com"/>
    <x v="600"/>
    <s v="Medium"/>
    <x v="581"/>
    <n v="2013"/>
    <x v="1"/>
    <n v="12"/>
    <d v="2026-03-19T00:00:00"/>
    <n v="4510"/>
    <n v="4510"/>
    <n v="3223"/>
    <n v="34"/>
    <x v="0"/>
    <x v="1"/>
    <n v="8"/>
    <s v="Yes"/>
    <n v="7758.01"/>
    <x v="3"/>
    <x v="1"/>
    <x v="28"/>
    <s v="Good Employee"/>
    <b v="1"/>
    <b v="1"/>
    <s v="Good employee"/>
    <x v="1"/>
    <x v="4"/>
    <n v="6"/>
    <n v="2014"/>
    <s v="On-Site"/>
    <n v="149"/>
    <x v="25"/>
  </r>
  <r>
    <x v="606"/>
    <x v="0"/>
    <s v="Brown"/>
    <x v="5"/>
    <x v="90"/>
    <s v="michaelbrown@gmail.com"/>
    <x v="601"/>
    <s v="High"/>
    <x v="582"/>
    <n v="2013"/>
    <x v="9"/>
    <n v="1"/>
    <d v="2026-03-19T00:00:00"/>
    <n v="4674"/>
    <n v="4674"/>
    <n v="3339"/>
    <n v="54"/>
    <x v="0"/>
    <x v="0"/>
    <n v="8"/>
    <s v="Yes"/>
    <n v="6512.42"/>
    <x v="1"/>
    <x v="2"/>
    <x v="35"/>
    <s v="Good Employee"/>
    <b v="1"/>
    <b v="1"/>
    <s v="Good employee"/>
    <x v="1"/>
    <x v="4"/>
    <n v="7"/>
    <n v="2019"/>
    <s v="Hybrid"/>
    <n v="96"/>
    <x v="4"/>
  </r>
  <r>
    <x v="607"/>
    <x v="4"/>
    <s v="Davis"/>
    <x v="2"/>
    <x v="273"/>
    <s v="sarahdavis@gmail.com"/>
    <x v="602"/>
    <s v="Medium"/>
    <x v="583"/>
    <n v="2003"/>
    <x v="9"/>
    <n v="7"/>
    <d v="2026-03-19T00:00:00"/>
    <n v="8321"/>
    <n v="8321"/>
    <n v="5944"/>
    <n v="40"/>
    <x v="0"/>
    <x v="1"/>
    <n v="1"/>
    <s v="Yes"/>
    <n v="8260.51"/>
    <x v="1"/>
    <x v="0"/>
    <x v="0"/>
    <s v="Bad Employee"/>
    <b v="0"/>
    <b v="0"/>
    <s v="Bad Employee"/>
    <x v="0"/>
    <x v="0"/>
    <n v="1"/>
    <n v="2023"/>
    <s v="On-Site"/>
    <n v="43"/>
    <x v="13"/>
  </r>
  <r>
    <x v="608"/>
    <x v="1"/>
    <s v="Brown"/>
    <x v="0"/>
    <x v="253"/>
    <s v="emilybrown@gmail.com"/>
    <x v="603"/>
    <s v="extremely low"/>
    <x v="584"/>
    <n v="2001"/>
    <x v="10"/>
    <n v="23"/>
    <d v="2026-03-19T00:00:00"/>
    <n v="8852"/>
    <n v="8852"/>
    <n v="6324"/>
    <n v="36"/>
    <x v="0"/>
    <x v="0"/>
    <n v="3"/>
    <s v="Yes"/>
    <n v="772.51"/>
    <x v="1"/>
    <x v="2"/>
    <x v="37"/>
    <s v="Bad Employee"/>
    <b v="0"/>
    <b v="1"/>
    <s v="Good employee"/>
    <x v="2"/>
    <x v="3"/>
    <n v="9"/>
    <n v="2020"/>
    <s v="Hybrid"/>
    <n v="59"/>
    <x v="9"/>
  </r>
  <r>
    <x v="609"/>
    <x v="4"/>
    <s v="Davis"/>
    <x v="4"/>
    <x v="274"/>
    <s v="sarahdavis@gmail.com"/>
    <x v="604"/>
    <s v="low"/>
    <x v="585"/>
    <n v="2014"/>
    <x v="8"/>
    <n v="19"/>
    <d v="2026-03-19T00:00:00"/>
    <n v="4383"/>
    <n v="4383"/>
    <n v="3132"/>
    <n v="54"/>
    <x v="0"/>
    <x v="0"/>
    <n v="4"/>
    <s v="No"/>
    <n v="1242.24"/>
    <x v="0"/>
    <x v="1"/>
    <x v="1"/>
    <s v="Bad Employee"/>
    <b v="0"/>
    <b v="1"/>
    <s v="Good employee"/>
    <x v="1"/>
    <x v="3"/>
    <n v="4"/>
    <n v="2012"/>
    <s v="Hybrid"/>
    <n v="129"/>
    <x v="12"/>
  </r>
  <r>
    <x v="610"/>
    <x v="2"/>
    <s v="Williams"/>
    <x v="4"/>
    <x v="150"/>
    <s v="chriswilliams@gmail.com"/>
    <x v="605"/>
    <s v="High"/>
    <x v="586"/>
    <n v="2013"/>
    <x v="10"/>
    <n v="15"/>
    <d v="2026-03-19T00:00:00"/>
    <n v="4477"/>
    <n v="4477"/>
    <n v="3199"/>
    <n v="31"/>
    <x v="0"/>
    <x v="1"/>
    <n v="2"/>
    <s v="No"/>
    <n v="1162.1099999999999"/>
    <x v="0"/>
    <x v="2"/>
    <x v="8"/>
    <s v="Bad Employee"/>
    <b v="0"/>
    <b v="1"/>
    <s v="Good employee"/>
    <x v="2"/>
    <x v="2"/>
    <n v="16"/>
    <n v="2010"/>
    <s v="On-Site"/>
    <n v="49"/>
    <x v="5"/>
  </r>
  <r>
    <x v="611"/>
    <x v="5"/>
    <s v="Johnson"/>
    <x v="5"/>
    <x v="76"/>
    <s v="janejohnson@gmail.com"/>
    <x v="606"/>
    <s v="low"/>
    <x v="587"/>
    <n v="2019"/>
    <x v="8"/>
    <n v="20"/>
    <d v="2026-03-19T00:00:00"/>
    <n v="2556"/>
    <n v="2556"/>
    <n v="1827"/>
    <n v="22"/>
    <x v="1"/>
    <x v="0"/>
    <n v="5"/>
    <s v="No"/>
    <n v="6133.11"/>
    <x v="0"/>
    <x v="0"/>
    <x v="6"/>
    <s v="Bad Employee"/>
    <b v="0"/>
    <b v="0"/>
    <s v="Bad Employee"/>
    <x v="0"/>
    <x v="1"/>
    <n v="6"/>
    <n v="2011"/>
    <s v="Fully Remote"/>
    <n v="160"/>
    <x v="32"/>
  </r>
  <r>
    <x v="612"/>
    <x v="1"/>
    <s v="Brown"/>
    <x v="0"/>
    <x v="253"/>
    <s v="emilybrown@gmail.com"/>
    <x v="607"/>
    <s v="High"/>
    <x v="588"/>
    <n v="2000"/>
    <x v="8"/>
    <n v="24"/>
    <d v="2026-03-19T00:00:00"/>
    <n v="9491"/>
    <n v="9491"/>
    <n v="6780"/>
    <n v="33"/>
    <x v="0"/>
    <x v="1"/>
    <n v="8"/>
    <s v="No"/>
    <n v="6227.89"/>
    <x v="3"/>
    <x v="3"/>
    <x v="19"/>
    <s v="Good Employee"/>
    <b v="1"/>
    <b v="1"/>
    <s v="Good employee"/>
    <x v="2"/>
    <x v="2"/>
    <n v="1"/>
    <n v="2011"/>
    <s v="Fully Remote"/>
    <n v="188"/>
    <x v="12"/>
  </r>
  <r>
    <x v="613"/>
    <x v="5"/>
    <s v="Smith"/>
    <x v="0"/>
    <x v="170"/>
    <s v="janesmith@gmail.com"/>
    <x v="608"/>
    <s v="extremely low"/>
    <x v="589"/>
    <n v="2013"/>
    <x v="8"/>
    <n v="28"/>
    <d v="2026-03-19T00:00:00"/>
    <n v="4739"/>
    <n v="4739"/>
    <n v="3386"/>
    <n v="64"/>
    <x v="0"/>
    <x v="0"/>
    <n v="2"/>
    <s v="Yes"/>
    <n v="9108"/>
    <x v="3"/>
    <x v="4"/>
    <x v="16"/>
    <s v="Bad Employee"/>
    <b v="0"/>
    <b v="1"/>
    <s v="Good employee"/>
    <x v="2"/>
    <x v="4"/>
    <n v="5"/>
    <n v="2017"/>
    <s v="Fully Remote"/>
    <n v="105"/>
    <x v="8"/>
  </r>
  <r>
    <x v="614"/>
    <x v="6"/>
    <s v="Johnson"/>
    <x v="0"/>
    <x v="132"/>
    <s v="katiejohnson@gmail.com"/>
    <x v="609"/>
    <s v="Medium"/>
    <x v="590"/>
    <n v="2009"/>
    <x v="8"/>
    <n v="24"/>
    <d v="2026-03-19T00:00:00"/>
    <n v="6204"/>
    <n v="6204"/>
    <n v="4433"/>
    <n v="50"/>
    <x v="0"/>
    <x v="1"/>
    <n v="9"/>
    <s v="No"/>
    <n v="4942.2299999999996"/>
    <x v="0"/>
    <x v="4"/>
    <x v="5"/>
    <s v="Good Employee"/>
    <b v="1"/>
    <b v="1"/>
    <s v="Good employee"/>
    <x v="2"/>
    <x v="5"/>
    <n v="9"/>
    <n v="2013"/>
    <s v="On-Site"/>
    <n v="161"/>
    <x v="8"/>
  </r>
  <r>
    <x v="615"/>
    <x v="3"/>
    <s v="Smith"/>
    <x v="1"/>
    <x v="136"/>
    <s v="alexsmith@gmail.com"/>
    <x v="610"/>
    <s v="High"/>
    <x v="591"/>
    <n v="2010"/>
    <x v="9"/>
    <n v="16"/>
    <d v="2026-03-19T00:00:00"/>
    <n v="5755"/>
    <n v="5755"/>
    <n v="4112"/>
    <n v="38"/>
    <x v="0"/>
    <x v="1"/>
    <n v="7"/>
    <s v="No"/>
    <n v="1146.47"/>
    <x v="3"/>
    <x v="2"/>
    <x v="25"/>
    <s v="Bad Employee"/>
    <b v="0"/>
    <b v="1"/>
    <s v="Good employee"/>
    <x v="2"/>
    <x v="5"/>
    <n v="8"/>
    <n v="2012"/>
    <s v="On-Site"/>
    <n v="33"/>
    <x v="24"/>
  </r>
  <r>
    <x v="616"/>
    <x v="7"/>
    <s v="Johnson"/>
    <x v="1"/>
    <x v="244"/>
    <s v="johnjohnson@gmail.com"/>
    <x v="611"/>
    <s v="High"/>
    <x v="592"/>
    <n v="2009"/>
    <x v="8"/>
    <n v="18"/>
    <d v="2026-03-19T00:00:00"/>
    <n v="6210"/>
    <n v="6210"/>
    <n v="4437"/>
    <n v="25"/>
    <x v="1"/>
    <x v="1"/>
    <n v="6"/>
    <s v="No"/>
    <n v="2490.5300000000002"/>
    <x v="0"/>
    <x v="4"/>
    <x v="24"/>
    <s v="Bad Employee"/>
    <b v="0"/>
    <b v="1"/>
    <s v="Good employee"/>
    <x v="1"/>
    <x v="4"/>
    <n v="4"/>
    <n v="2013"/>
    <s v="On-Site"/>
    <n v="73"/>
    <x v="4"/>
  </r>
  <r>
    <x v="617"/>
    <x v="4"/>
    <s v="Johnson"/>
    <x v="5"/>
    <x v="182"/>
    <s v="sarahjohnson@gmail.com"/>
    <x v="612"/>
    <s v="High"/>
    <x v="593"/>
    <n v="2004"/>
    <x v="5"/>
    <n v="23"/>
    <d v="2026-03-19T00:00:00"/>
    <n v="7817"/>
    <n v="7817"/>
    <n v="5584"/>
    <n v="50"/>
    <x v="0"/>
    <x v="0"/>
    <n v="8"/>
    <s v="No"/>
    <n v="576.69000000000005"/>
    <x v="2"/>
    <x v="4"/>
    <x v="2"/>
    <s v="Bad Employee"/>
    <b v="0"/>
    <b v="1"/>
    <s v="Good employee"/>
    <x v="0"/>
    <x v="1"/>
    <n v="2"/>
    <n v="2019"/>
    <s v="Fully Remote"/>
    <n v="15"/>
    <x v="32"/>
  </r>
  <r>
    <x v="618"/>
    <x v="0"/>
    <s v="Davis"/>
    <x v="0"/>
    <x v="11"/>
    <s v="michaeldavis@gmail.com"/>
    <x v="613"/>
    <s v="High"/>
    <x v="594"/>
    <n v="2016"/>
    <x v="0"/>
    <n v="2"/>
    <d v="2026-03-19T00:00:00"/>
    <n v="3485"/>
    <n v="3485"/>
    <n v="2490"/>
    <n v="28"/>
    <x v="1"/>
    <x v="1"/>
    <n v="2"/>
    <s v="No"/>
    <n v="7878.79"/>
    <x v="0"/>
    <x v="3"/>
    <x v="30"/>
    <s v="Bad Employee"/>
    <b v="0"/>
    <b v="0"/>
    <s v="Bad Employee"/>
    <x v="1"/>
    <x v="3"/>
    <n v="10"/>
    <n v="2010"/>
    <s v="On-Site"/>
    <n v="134"/>
    <x v="4"/>
  </r>
  <r>
    <x v="619"/>
    <x v="3"/>
    <s v="Brown"/>
    <x v="3"/>
    <x v="38"/>
    <s v="alexbrown@gmail.com"/>
    <x v="614"/>
    <s v="High"/>
    <x v="595"/>
    <n v="2011"/>
    <x v="5"/>
    <n v="28"/>
    <d v="2026-03-19T00:00:00"/>
    <n v="5256"/>
    <n v="5256"/>
    <n v="3755"/>
    <n v="34"/>
    <x v="0"/>
    <x v="1"/>
    <n v="5"/>
    <s v="Yes"/>
    <n v="8248.19"/>
    <x v="2"/>
    <x v="2"/>
    <x v="19"/>
    <s v="Bad Employee"/>
    <b v="0"/>
    <b v="1"/>
    <s v="Good employee"/>
    <x v="1"/>
    <x v="2"/>
    <n v="9"/>
    <n v="2010"/>
    <s v="Fully Remote"/>
    <n v="142"/>
    <x v="28"/>
  </r>
  <r>
    <x v="620"/>
    <x v="1"/>
    <s v="Brown"/>
    <x v="0"/>
    <x v="253"/>
    <s v="emilybrown@gmail.com"/>
    <x v="615"/>
    <s v="Medium"/>
    <x v="596"/>
    <n v="2018"/>
    <x v="10"/>
    <n v="28"/>
    <d v="2026-03-19T00:00:00"/>
    <n v="2638"/>
    <n v="2638"/>
    <n v="1885"/>
    <n v="26"/>
    <x v="1"/>
    <x v="0"/>
    <n v="4"/>
    <s v="No"/>
    <n v="9980.43"/>
    <x v="1"/>
    <x v="3"/>
    <x v="15"/>
    <s v="Bad Employee"/>
    <b v="0"/>
    <b v="0"/>
    <s v="Bad Employee"/>
    <x v="1"/>
    <x v="0"/>
    <n v="15"/>
    <n v="2014"/>
    <s v="Hybrid"/>
    <n v="107"/>
    <x v="27"/>
  </r>
  <r>
    <x v="621"/>
    <x v="5"/>
    <s v="Wilson"/>
    <x v="4"/>
    <x v="128"/>
    <s v="janewilson@gmail.com"/>
    <x v="616"/>
    <s v="low"/>
    <x v="597"/>
    <n v="2007"/>
    <x v="6"/>
    <n v="12"/>
    <d v="2026-03-19T00:00:00"/>
    <n v="6794"/>
    <n v="6794"/>
    <n v="4854"/>
    <n v="27"/>
    <x v="1"/>
    <x v="0"/>
    <n v="8"/>
    <s v="No"/>
    <n v="4415.8500000000004"/>
    <x v="3"/>
    <x v="3"/>
    <x v="14"/>
    <s v="Bad Employee"/>
    <b v="0"/>
    <b v="1"/>
    <s v="Good employee"/>
    <x v="1"/>
    <x v="5"/>
    <n v="19"/>
    <n v="2016"/>
    <s v="Fully Remote"/>
    <n v="112"/>
    <x v="23"/>
  </r>
  <r>
    <x v="622"/>
    <x v="0"/>
    <s v="Johnson"/>
    <x v="4"/>
    <x v="275"/>
    <s v="michaeljohnson@gmail.com"/>
    <x v="617"/>
    <s v="Medium"/>
    <x v="598"/>
    <n v="2008"/>
    <x v="10"/>
    <n v="31"/>
    <d v="2026-03-19T00:00:00"/>
    <n v="6287"/>
    <n v="6287"/>
    <n v="4492"/>
    <n v="55"/>
    <x v="0"/>
    <x v="1"/>
    <n v="1"/>
    <s v="Yes"/>
    <n v="683.33"/>
    <x v="3"/>
    <x v="1"/>
    <x v="26"/>
    <s v="Bad Employee"/>
    <b v="0"/>
    <b v="0"/>
    <s v="Bad Employee"/>
    <x v="0"/>
    <x v="2"/>
    <n v="18"/>
    <n v="2018"/>
    <s v="Fully Remote"/>
    <n v="123"/>
    <x v="17"/>
  </r>
  <r>
    <x v="623"/>
    <x v="5"/>
    <s v="Williams"/>
    <x v="5"/>
    <x v="258"/>
    <s v="janewilliams@gmail.com"/>
    <x v="618"/>
    <s v="extremely low"/>
    <x v="459"/>
    <n v="2006"/>
    <x v="0"/>
    <n v="18"/>
    <d v="2026-03-19T00:00:00"/>
    <n v="7122"/>
    <n v="7122"/>
    <n v="5089"/>
    <n v="28"/>
    <x v="1"/>
    <x v="1"/>
    <n v="3"/>
    <s v="No"/>
    <n v="2729.93"/>
    <x v="0"/>
    <x v="2"/>
    <x v="27"/>
    <s v="Bad Employee"/>
    <b v="0"/>
    <b v="1"/>
    <s v="Good employee"/>
    <x v="0"/>
    <x v="5"/>
    <n v="0"/>
    <n v="2016"/>
    <s v="Fully Remote"/>
    <n v="159"/>
    <x v="28"/>
  </r>
  <r>
    <x v="624"/>
    <x v="2"/>
    <s v="Williams"/>
    <x v="3"/>
    <x v="213"/>
    <s v="chriswilliams@gmail.com"/>
    <x v="619"/>
    <s v="extremely low"/>
    <x v="599"/>
    <n v="2014"/>
    <x v="9"/>
    <n v="24"/>
    <d v="2026-03-19T00:00:00"/>
    <n v="4286"/>
    <n v="4286"/>
    <n v="3063"/>
    <n v="49"/>
    <x v="0"/>
    <x v="0"/>
    <n v="8"/>
    <s v="Yes"/>
    <n v="6083.8"/>
    <x v="1"/>
    <x v="3"/>
    <x v="16"/>
    <s v="Good Employee"/>
    <b v="1"/>
    <b v="1"/>
    <s v="Good employee"/>
    <x v="1"/>
    <x v="3"/>
    <n v="10"/>
    <n v="2020"/>
    <s v="On-Site"/>
    <n v="91"/>
    <x v="30"/>
  </r>
  <r>
    <x v="625"/>
    <x v="5"/>
    <s v="Smith"/>
    <x v="0"/>
    <x v="170"/>
    <s v="janesmith@gmail.com"/>
    <x v="620"/>
    <s v="High"/>
    <x v="600"/>
    <n v="2000"/>
    <x v="1"/>
    <n v="24"/>
    <d v="2026-03-19T00:00:00"/>
    <n v="9246"/>
    <n v="9246"/>
    <n v="6605"/>
    <n v="31"/>
    <x v="0"/>
    <x v="0"/>
    <n v="5"/>
    <s v="No"/>
    <n v="9638.4599999999991"/>
    <x v="1"/>
    <x v="0"/>
    <x v="26"/>
    <s v="Bad Employee"/>
    <b v="0"/>
    <b v="0"/>
    <s v="Bad Employee"/>
    <x v="2"/>
    <x v="3"/>
    <n v="14"/>
    <n v="2014"/>
    <s v="Fully Remote"/>
    <n v="116"/>
    <x v="26"/>
  </r>
  <r>
    <x v="626"/>
    <x v="2"/>
    <s v="Smith"/>
    <x v="3"/>
    <x v="102"/>
    <s v="chrissmith@gmail.com"/>
    <x v="621"/>
    <s v="Medium"/>
    <x v="601"/>
    <n v="2001"/>
    <x v="8"/>
    <n v="1"/>
    <d v="2026-03-19T00:00:00"/>
    <n v="9149"/>
    <n v="9149"/>
    <n v="6536"/>
    <n v="25"/>
    <x v="1"/>
    <x v="0"/>
    <n v="4"/>
    <s v="Yes"/>
    <n v="1484"/>
    <x v="1"/>
    <x v="4"/>
    <x v="21"/>
    <s v="Bad Employee"/>
    <b v="0"/>
    <b v="0"/>
    <s v="Bad Employee"/>
    <x v="2"/>
    <x v="4"/>
    <n v="6"/>
    <n v="2012"/>
    <s v="Hybrid"/>
    <n v="167"/>
    <x v="11"/>
  </r>
  <r>
    <x v="627"/>
    <x v="6"/>
    <s v="Davis"/>
    <x v="5"/>
    <x v="276"/>
    <s v="katiedavis@gmail.com"/>
    <x v="622"/>
    <s v="low"/>
    <x v="602"/>
    <n v="2015"/>
    <x v="2"/>
    <n v="14"/>
    <d v="2026-03-19T00:00:00"/>
    <n v="3901"/>
    <n v="3901"/>
    <n v="2788"/>
    <n v="24"/>
    <x v="1"/>
    <x v="1"/>
    <n v="6"/>
    <s v="Yes"/>
    <n v="1654.94"/>
    <x v="1"/>
    <x v="2"/>
    <x v="31"/>
    <s v="Bad Employee"/>
    <b v="0"/>
    <b v="1"/>
    <s v="Good employee"/>
    <x v="2"/>
    <x v="4"/>
    <n v="7"/>
    <n v="2017"/>
    <s v="Hybrid"/>
    <n v="182"/>
    <x v="12"/>
  </r>
  <r>
    <x v="628"/>
    <x v="0"/>
    <s v="Johnson"/>
    <x v="4"/>
    <x v="275"/>
    <s v="michaeljohnson@gmail.com"/>
    <x v="623"/>
    <s v="Medium"/>
    <x v="603"/>
    <n v="2002"/>
    <x v="4"/>
    <n v="8"/>
    <d v="2026-03-19T00:00:00"/>
    <n v="8805"/>
    <n v="8805"/>
    <n v="6290"/>
    <n v="46"/>
    <x v="0"/>
    <x v="0"/>
    <n v="5"/>
    <s v="Yes"/>
    <n v="7166.71"/>
    <x v="3"/>
    <x v="1"/>
    <x v="13"/>
    <s v="Bad Employee"/>
    <b v="0"/>
    <b v="1"/>
    <s v="Good employee"/>
    <x v="2"/>
    <x v="5"/>
    <n v="15"/>
    <n v="2021"/>
    <s v="Hybrid"/>
    <n v="78"/>
    <x v="12"/>
  </r>
  <r>
    <x v="629"/>
    <x v="0"/>
    <s v="Smith"/>
    <x v="4"/>
    <x v="277"/>
    <s v="michaelsmith@gmail.com"/>
    <x v="624"/>
    <s v="Medium"/>
    <x v="604"/>
    <n v="2014"/>
    <x v="2"/>
    <n v="21"/>
    <d v="2026-03-19T00:00:00"/>
    <n v="4259"/>
    <n v="4259"/>
    <n v="3044"/>
    <n v="44"/>
    <x v="0"/>
    <x v="1"/>
    <n v="3"/>
    <s v="No"/>
    <n v="6838.47"/>
    <x v="0"/>
    <x v="3"/>
    <x v="15"/>
    <s v="Bad Employee"/>
    <b v="0"/>
    <b v="0"/>
    <s v="Bad Employee"/>
    <x v="2"/>
    <x v="5"/>
    <n v="17"/>
    <n v="2016"/>
    <s v="Hybrid"/>
    <n v="6"/>
    <x v="2"/>
  </r>
  <r>
    <x v="630"/>
    <x v="7"/>
    <s v="Smith"/>
    <x v="1"/>
    <x v="137"/>
    <s v="johnsmith@gmail.com"/>
    <x v="625"/>
    <s v="High"/>
    <x v="517"/>
    <n v="2010"/>
    <x v="1"/>
    <n v="19"/>
    <d v="2026-03-19T00:00:00"/>
    <n v="5599"/>
    <n v="5599"/>
    <n v="4000"/>
    <n v="48"/>
    <x v="0"/>
    <x v="1"/>
    <n v="5"/>
    <s v="No"/>
    <n v="2879.81"/>
    <x v="0"/>
    <x v="0"/>
    <x v="23"/>
    <s v="Bad Employee"/>
    <b v="0"/>
    <b v="0"/>
    <s v="Bad Employee"/>
    <x v="0"/>
    <x v="2"/>
    <n v="10"/>
    <n v="2013"/>
    <s v="Hybrid"/>
    <n v="21"/>
    <x v="3"/>
  </r>
  <r>
    <x v="631"/>
    <x v="1"/>
    <s v="Miller"/>
    <x v="5"/>
    <x v="96"/>
    <s v="emilymiller@gmail.com"/>
    <x v="626"/>
    <s v="High"/>
    <x v="605"/>
    <n v="2001"/>
    <x v="6"/>
    <n v="30"/>
    <d v="2026-03-19T00:00:00"/>
    <n v="8967"/>
    <n v="8967"/>
    <n v="6406"/>
    <n v="35"/>
    <x v="0"/>
    <x v="1"/>
    <n v="4"/>
    <s v="Yes"/>
    <n v="8224.8799999999992"/>
    <x v="2"/>
    <x v="4"/>
    <x v="29"/>
    <s v="Bad Employee"/>
    <b v="0"/>
    <b v="0"/>
    <s v="Bad Employee"/>
    <x v="2"/>
    <x v="4"/>
    <n v="0"/>
    <n v="2010"/>
    <s v="Hybrid"/>
    <n v="99"/>
    <x v="7"/>
  </r>
  <r>
    <x v="632"/>
    <x v="2"/>
    <s v="Johnson"/>
    <x v="5"/>
    <x v="82"/>
    <s v="chrisjohnson@gmail.com"/>
    <x v="627"/>
    <s v="High"/>
    <x v="606"/>
    <n v="2005"/>
    <x v="11"/>
    <n v="26"/>
    <d v="2026-03-19T00:00:00"/>
    <n v="7722"/>
    <n v="7722"/>
    <n v="5517"/>
    <n v="59"/>
    <x v="0"/>
    <x v="0"/>
    <n v="1"/>
    <s v="Yes"/>
    <n v="1723.4"/>
    <x v="3"/>
    <x v="4"/>
    <x v="22"/>
    <s v="Bad Employee"/>
    <b v="0"/>
    <b v="1"/>
    <s v="Good employee"/>
    <x v="0"/>
    <x v="3"/>
    <n v="15"/>
    <n v="2022"/>
    <s v="Fully Remote"/>
    <n v="84"/>
    <x v="4"/>
  </r>
  <r>
    <x v="633"/>
    <x v="7"/>
    <s v="Davis"/>
    <x v="0"/>
    <x v="278"/>
    <s v="johndavis@gmail.com"/>
    <x v="628"/>
    <s v="High"/>
    <x v="607"/>
    <n v="2018"/>
    <x v="3"/>
    <n v="5"/>
    <d v="2026-03-19T00:00:00"/>
    <n v="2905"/>
    <n v="2905"/>
    <n v="2076"/>
    <n v="53"/>
    <x v="0"/>
    <x v="0"/>
    <n v="1"/>
    <s v="Yes"/>
    <n v="9294.5499999999993"/>
    <x v="2"/>
    <x v="0"/>
    <x v="24"/>
    <s v="Bad Employee"/>
    <b v="0"/>
    <b v="1"/>
    <s v="Good employee"/>
    <x v="2"/>
    <x v="1"/>
    <n v="3"/>
    <n v="2012"/>
    <s v="On-Site"/>
    <n v="28"/>
    <x v="4"/>
  </r>
  <r>
    <x v="634"/>
    <x v="5"/>
    <s v="Smith"/>
    <x v="0"/>
    <x v="170"/>
    <s v="janesmith@gmail.com"/>
    <x v="629"/>
    <s v="High"/>
    <x v="608"/>
    <n v="2007"/>
    <x v="3"/>
    <n v="26"/>
    <d v="2026-03-19T00:00:00"/>
    <n v="6902"/>
    <n v="6902"/>
    <n v="4931"/>
    <n v="44"/>
    <x v="0"/>
    <x v="0"/>
    <n v="7"/>
    <s v="Yes"/>
    <n v="2409.8000000000002"/>
    <x v="1"/>
    <x v="2"/>
    <x v="10"/>
    <s v="Bad Employee"/>
    <b v="0"/>
    <b v="1"/>
    <s v="Good employee"/>
    <x v="2"/>
    <x v="2"/>
    <n v="5"/>
    <n v="2020"/>
    <s v="On-Site"/>
    <n v="61"/>
    <x v="14"/>
  </r>
  <r>
    <x v="635"/>
    <x v="5"/>
    <s v="Davis"/>
    <x v="1"/>
    <x v="259"/>
    <s v="janedavis@gmail.com"/>
    <x v="630"/>
    <s v="High"/>
    <x v="609"/>
    <n v="2005"/>
    <x v="5"/>
    <n v="25"/>
    <d v="2026-03-19T00:00:00"/>
    <n v="7450"/>
    <n v="7450"/>
    <n v="5323"/>
    <n v="61"/>
    <x v="0"/>
    <x v="1"/>
    <n v="4"/>
    <s v="Yes"/>
    <n v="1272.8499999999999"/>
    <x v="0"/>
    <x v="4"/>
    <x v="18"/>
    <s v="Bad Employee"/>
    <b v="0"/>
    <b v="0"/>
    <s v="Bad Employee"/>
    <x v="1"/>
    <x v="2"/>
    <n v="10"/>
    <n v="2017"/>
    <s v="Hybrid"/>
    <n v="75"/>
    <x v="39"/>
  </r>
  <r>
    <x v="636"/>
    <x v="7"/>
    <s v="Brown"/>
    <x v="2"/>
    <x v="55"/>
    <s v="johnbrown@gmail.com"/>
    <x v="631"/>
    <s v="High"/>
    <x v="610"/>
    <n v="2016"/>
    <x v="5"/>
    <n v="25"/>
    <d v="2026-03-19T00:00:00"/>
    <n v="3432"/>
    <n v="3432"/>
    <n v="2453"/>
    <n v="58"/>
    <x v="0"/>
    <x v="1"/>
    <n v="1"/>
    <s v="Yes"/>
    <n v="3725.46"/>
    <x v="2"/>
    <x v="4"/>
    <x v="18"/>
    <s v="Bad Employee"/>
    <b v="0"/>
    <b v="0"/>
    <s v="Bad Employee"/>
    <x v="1"/>
    <x v="0"/>
    <n v="5"/>
    <n v="2011"/>
    <s v="Fully Remote"/>
    <n v="87"/>
    <x v="35"/>
  </r>
  <r>
    <x v="637"/>
    <x v="0"/>
    <s v="Davis"/>
    <x v="3"/>
    <x v="223"/>
    <s v="michaeldavis@gmail.com"/>
    <x v="632"/>
    <s v="High"/>
    <x v="611"/>
    <n v="2003"/>
    <x v="2"/>
    <n v="24"/>
    <d v="2026-03-19T00:00:00"/>
    <n v="8274"/>
    <n v="8274"/>
    <n v="5911"/>
    <n v="24"/>
    <x v="1"/>
    <x v="0"/>
    <n v="6"/>
    <s v="Yes"/>
    <n v="2284.4899999999998"/>
    <x v="3"/>
    <x v="4"/>
    <x v="14"/>
    <s v="Bad Employee"/>
    <b v="0"/>
    <b v="0"/>
    <s v="Bad Employee"/>
    <x v="1"/>
    <x v="1"/>
    <n v="9"/>
    <n v="2018"/>
    <s v="Hybrid"/>
    <n v="148"/>
    <x v="4"/>
  </r>
  <r>
    <x v="638"/>
    <x v="5"/>
    <s v="Williams"/>
    <x v="2"/>
    <x v="41"/>
    <s v="janewilliams@gmail.com"/>
    <x v="633"/>
    <s v="High"/>
    <x v="612"/>
    <n v="2013"/>
    <x v="0"/>
    <n v="24"/>
    <d v="2026-03-19T00:00:00"/>
    <n v="4559"/>
    <n v="4559"/>
    <n v="3258"/>
    <n v="56"/>
    <x v="0"/>
    <x v="0"/>
    <n v="1"/>
    <s v="Yes"/>
    <n v="5505.94"/>
    <x v="0"/>
    <x v="3"/>
    <x v="35"/>
    <s v="Bad Employee"/>
    <b v="0"/>
    <b v="1"/>
    <s v="Good employee"/>
    <x v="0"/>
    <x v="3"/>
    <n v="5"/>
    <n v="2023"/>
    <s v="Hybrid"/>
    <n v="101"/>
    <x v="0"/>
  </r>
  <r>
    <x v="639"/>
    <x v="4"/>
    <s v="Williams"/>
    <x v="2"/>
    <x v="279"/>
    <s v="sarahwilliams@gmail.com"/>
    <x v="634"/>
    <s v="High"/>
    <x v="332"/>
    <n v="2019"/>
    <x v="7"/>
    <n v="30"/>
    <d v="2026-03-19T00:00:00"/>
    <n v="2485"/>
    <n v="2485"/>
    <n v="1776"/>
    <n v="34"/>
    <x v="0"/>
    <x v="1"/>
    <n v="8"/>
    <s v="Yes"/>
    <n v="7025.04"/>
    <x v="3"/>
    <x v="3"/>
    <x v="32"/>
    <s v="Good Employee"/>
    <b v="1"/>
    <b v="1"/>
    <s v="Good employee"/>
    <x v="0"/>
    <x v="2"/>
    <n v="9"/>
    <n v="2013"/>
    <s v="Hybrid"/>
    <n v="40"/>
    <x v="28"/>
  </r>
  <r>
    <x v="640"/>
    <x v="6"/>
    <s v="Davis"/>
    <x v="5"/>
    <x v="276"/>
    <s v="katiedavis@gmail.com"/>
    <x v="635"/>
    <s v="Medium"/>
    <x v="613"/>
    <n v="2001"/>
    <x v="3"/>
    <n v="10"/>
    <d v="2026-03-19T00:00:00"/>
    <n v="9109"/>
    <n v="9109"/>
    <n v="6508"/>
    <n v="55"/>
    <x v="0"/>
    <x v="1"/>
    <n v="9"/>
    <s v="Yes"/>
    <n v="5163.75"/>
    <x v="0"/>
    <x v="4"/>
    <x v="5"/>
    <s v="Good Employee"/>
    <b v="1"/>
    <b v="1"/>
    <s v="Good employee"/>
    <x v="1"/>
    <x v="1"/>
    <n v="4"/>
    <n v="2023"/>
    <s v="Hybrid"/>
    <n v="49"/>
    <x v="11"/>
  </r>
  <r>
    <x v="641"/>
    <x v="6"/>
    <s v="Williams"/>
    <x v="3"/>
    <x v="97"/>
    <s v="katiewilliams@gmail.com"/>
    <x v="636"/>
    <s v="low"/>
    <x v="614"/>
    <n v="2005"/>
    <x v="7"/>
    <n v="18"/>
    <d v="2026-03-19T00:00:00"/>
    <n v="7610"/>
    <n v="7610"/>
    <n v="5437"/>
    <n v="45"/>
    <x v="0"/>
    <x v="1"/>
    <n v="3"/>
    <s v="No"/>
    <n v="6775.77"/>
    <x v="3"/>
    <x v="1"/>
    <x v="13"/>
    <s v="Bad Employee"/>
    <b v="0"/>
    <b v="1"/>
    <s v="Good employee"/>
    <x v="1"/>
    <x v="0"/>
    <n v="8"/>
    <n v="2016"/>
    <s v="On-Site"/>
    <n v="14"/>
    <x v="30"/>
  </r>
  <r>
    <x v="642"/>
    <x v="4"/>
    <s v="Brown"/>
    <x v="5"/>
    <x v="228"/>
    <s v="sarahbrown@gmail.com"/>
    <x v="637"/>
    <s v="Medium"/>
    <x v="615"/>
    <n v="2015"/>
    <x v="8"/>
    <n v="30"/>
    <d v="2026-03-19T00:00:00"/>
    <n v="4007"/>
    <n v="4007"/>
    <n v="2864"/>
    <n v="22"/>
    <x v="1"/>
    <x v="1"/>
    <n v="7"/>
    <s v="Yes"/>
    <n v="3966.74"/>
    <x v="3"/>
    <x v="4"/>
    <x v="13"/>
    <s v="Good Employee"/>
    <b v="1"/>
    <b v="1"/>
    <s v="Good employee"/>
    <x v="2"/>
    <x v="1"/>
    <n v="6"/>
    <n v="2019"/>
    <s v="On-Site"/>
    <n v="67"/>
    <x v="6"/>
  </r>
  <r>
    <x v="643"/>
    <x v="7"/>
    <s v="Johnson"/>
    <x v="3"/>
    <x v="280"/>
    <s v="johnjohnson@gmail.com"/>
    <x v="638"/>
    <s v="High"/>
    <x v="616"/>
    <n v="2005"/>
    <x v="3"/>
    <n v="29"/>
    <d v="2026-03-19T00:00:00"/>
    <n v="7629"/>
    <n v="7629"/>
    <n v="5450"/>
    <n v="33"/>
    <x v="0"/>
    <x v="0"/>
    <n v="5"/>
    <s v="No"/>
    <n v="765.26"/>
    <x v="0"/>
    <x v="2"/>
    <x v="18"/>
    <s v="Bad Employee"/>
    <b v="0"/>
    <b v="0"/>
    <s v="Bad Employee"/>
    <x v="0"/>
    <x v="4"/>
    <n v="16"/>
    <n v="2021"/>
    <s v="Fully Remote"/>
    <n v="47"/>
    <x v="9"/>
  </r>
  <r>
    <x v="644"/>
    <x v="4"/>
    <s v="Williams"/>
    <x v="4"/>
    <x v="232"/>
    <s v="sarahwilliams@gmail.com"/>
    <x v="639"/>
    <s v="High"/>
    <x v="617"/>
    <n v="2014"/>
    <x v="9"/>
    <n v="15"/>
    <d v="2026-03-19T00:00:00"/>
    <n v="4295"/>
    <n v="4295"/>
    <n v="3069"/>
    <n v="29"/>
    <x v="1"/>
    <x v="1"/>
    <n v="3"/>
    <s v="Yes"/>
    <n v="9753.61"/>
    <x v="3"/>
    <x v="1"/>
    <x v="0"/>
    <s v="Bad Employee"/>
    <b v="0"/>
    <b v="0"/>
    <s v="Bad Employee"/>
    <x v="2"/>
    <x v="3"/>
    <n v="11"/>
    <n v="2016"/>
    <s v="Fully Remote"/>
    <n v="55"/>
    <x v="32"/>
  </r>
  <r>
    <x v="645"/>
    <x v="2"/>
    <s v="Williams"/>
    <x v="5"/>
    <x v="222"/>
    <s v="chriswilliams@gmail.com"/>
    <x v="640"/>
    <s v="extremely low"/>
    <x v="618"/>
    <n v="2006"/>
    <x v="10"/>
    <n v="14"/>
    <d v="2026-03-19T00:00:00"/>
    <n v="7035"/>
    <n v="7035"/>
    <n v="5026"/>
    <n v="40"/>
    <x v="0"/>
    <x v="1"/>
    <n v="5"/>
    <s v="No"/>
    <n v="8284.43"/>
    <x v="3"/>
    <x v="2"/>
    <x v="31"/>
    <s v="Bad Employee"/>
    <b v="0"/>
    <b v="1"/>
    <s v="Good employee"/>
    <x v="2"/>
    <x v="4"/>
    <n v="10"/>
    <n v="2021"/>
    <s v="Hybrid"/>
    <n v="111"/>
    <x v="17"/>
  </r>
  <r>
    <x v="646"/>
    <x v="2"/>
    <s v="Davis"/>
    <x v="5"/>
    <x v="6"/>
    <s v="chrisdavis@gmail.com"/>
    <x v="641"/>
    <s v="High"/>
    <x v="619"/>
    <n v="2006"/>
    <x v="9"/>
    <n v="18"/>
    <d v="2026-03-19T00:00:00"/>
    <n v="7214"/>
    <n v="7214"/>
    <n v="5154"/>
    <n v="30"/>
    <x v="1"/>
    <x v="0"/>
    <n v="7"/>
    <s v="Yes"/>
    <n v="1197.48"/>
    <x v="1"/>
    <x v="0"/>
    <x v="30"/>
    <s v="Bad Employee"/>
    <b v="0"/>
    <b v="1"/>
    <s v="Good employee"/>
    <x v="1"/>
    <x v="0"/>
    <n v="5"/>
    <n v="2017"/>
    <s v="On-Site"/>
    <n v="7"/>
    <x v="19"/>
  </r>
  <r>
    <x v="647"/>
    <x v="7"/>
    <s v="Brown"/>
    <x v="5"/>
    <x v="203"/>
    <s v="johnbrown@gmail.com"/>
    <x v="642"/>
    <s v="Medium"/>
    <x v="620"/>
    <n v="2015"/>
    <x v="0"/>
    <n v="29"/>
    <d v="2026-03-19T00:00:00"/>
    <n v="3824"/>
    <n v="3824"/>
    <n v="2733"/>
    <n v="49"/>
    <x v="0"/>
    <x v="0"/>
    <n v="7"/>
    <s v="No"/>
    <n v="4767.18"/>
    <x v="0"/>
    <x v="0"/>
    <x v="2"/>
    <s v="Bad Employee"/>
    <b v="0"/>
    <b v="1"/>
    <s v="Good employee"/>
    <x v="2"/>
    <x v="3"/>
    <n v="10"/>
    <n v="2016"/>
    <s v="Hybrid"/>
    <n v="198"/>
    <x v="20"/>
  </r>
  <r>
    <x v="648"/>
    <x v="4"/>
    <s v="Wilson"/>
    <x v="1"/>
    <x v="17"/>
    <s v="sarahwilson@gmail.com"/>
    <x v="643"/>
    <s v="High"/>
    <x v="621"/>
    <n v="2005"/>
    <x v="6"/>
    <n v="1"/>
    <d v="2026-03-19T00:00:00"/>
    <n v="7535"/>
    <n v="7535"/>
    <n v="5384"/>
    <n v="35"/>
    <x v="0"/>
    <x v="0"/>
    <n v="9"/>
    <s v="Yes"/>
    <n v="6532.68"/>
    <x v="2"/>
    <x v="3"/>
    <x v="1"/>
    <s v="Good Employee"/>
    <b v="1"/>
    <b v="1"/>
    <s v="Good employee"/>
    <x v="2"/>
    <x v="5"/>
    <n v="10"/>
    <n v="2020"/>
    <s v="On-Site"/>
    <n v="167"/>
    <x v="32"/>
  </r>
  <r>
    <x v="649"/>
    <x v="2"/>
    <s v="Wilson"/>
    <x v="5"/>
    <x v="269"/>
    <s v="chriswilson@gmail.com"/>
    <x v="644"/>
    <s v="Medium"/>
    <x v="622"/>
    <n v="2003"/>
    <x v="8"/>
    <n v="30"/>
    <d v="2026-03-19T00:00:00"/>
    <n v="8390"/>
    <n v="8390"/>
    <n v="5994"/>
    <n v="48"/>
    <x v="0"/>
    <x v="0"/>
    <n v="8"/>
    <s v="Yes"/>
    <n v="2310.65"/>
    <x v="0"/>
    <x v="3"/>
    <x v="10"/>
    <s v="Bad Employee"/>
    <b v="0"/>
    <b v="1"/>
    <s v="Good employee"/>
    <x v="1"/>
    <x v="5"/>
    <n v="13"/>
    <n v="2013"/>
    <s v="On-Site"/>
    <n v="73"/>
    <x v="3"/>
  </r>
  <r>
    <x v="650"/>
    <x v="0"/>
    <s v="Wilson"/>
    <x v="0"/>
    <x v="207"/>
    <s v="michaelwilson@gmail.com"/>
    <x v="645"/>
    <s v="High"/>
    <x v="623"/>
    <n v="2017"/>
    <x v="6"/>
    <n v="30"/>
    <d v="2026-03-19T00:00:00"/>
    <n v="3123"/>
    <n v="3123"/>
    <n v="2232"/>
    <n v="39"/>
    <x v="0"/>
    <x v="1"/>
    <n v="4"/>
    <s v="Yes"/>
    <n v="5990.89"/>
    <x v="0"/>
    <x v="3"/>
    <x v="15"/>
    <s v="Bad Employee"/>
    <b v="0"/>
    <b v="0"/>
    <s v="Bad Employee"/>
    <x v="1"/>
    <x v="5"/>
    <n v="15"/>
    <n v="2022"/>
    <s v="Fully Remote"/>
    <n v="83"/>
    <x v="33"/>
  </r>
  <r>
    <x v="651"/>
    <x v="4"/>
    <s v="Wilson"/>
    <x v="0"/>
    <x v="44"/>
    <s v="sarahwilson@gmail.com"/>
    <x v="646"/>
    <s v="Medium"/>
    <x v="624"/>
    <n v="2010"/>
    <x v="5"/>
    <n v="9"/>
    <d v="2026-03-19T00:00:00"/>
    <n v="5640"/>
    <n v="5640"/>
    <n v="4029"/>
    <n v="63"/>
    <x v="0"/>
    <x v="1"/>
    <n v="5"/>
    <s v="No"/>
    <n v="5569.66"/>
    <x v="1"/>
    <x v="0"/>
    <x v="25"/>
    <s v="Bad Employee"/>
    <b v="0"/>
    <b v="0"/>
    <s v="Bad Employee"/>
    <x v="2"/>
    <x v="1"/>
    <n v="1"/>
    <n v="2021"/>
    <s v="Fully Remote"/>
    <n v="40"/>
    <x v="17"/>
  </r>
  <r>
    <x v="652"/>
    <x v="0"/>
    <s v="Johnson"/>
    <x v="3"/>
    <x v="48"/>
    <s v="michaeljohnson@gmail.com"/>
    <x v="647"/>
    <s v="Medium"/>
    <x v="625"/>
    <n v="2008"/>
    <x v="5"/>
    <n v="22"/>
    <d v="2026-03-19T00:00:00"/>
    <n v="6357"/>
    <n v="6357"/>
    <n v="4542"/>
    <n v="62"/>
    <x v="0"/>
    <x v="1"/>
    <n v="5"/>
    <s v="Yes"/>
    <n v="2478.52"/>
    <x v="2"/>
    <x v="2"/>
    <x v="37"/>
    <s v="Bad Employee"/>
    <b v="0"/>
    <b v="1"/>
    <s v="Good employee"/>
    <x v="2"/>
    <x v="2"/>
    <n v="1"/>
    <n v="2016"/>
    <s v="On-Site"/>
    <n v="53"/>
    <x v="40"/>
  </r>
  <r>
    <x v="653"/>
    <x v="2"/>
    <s v="Davis"/>
    <x v="4"/>
    <x v="21"/>
    <s v="chrisdavis@gmail.com"/>
    <x v="648"/>
    <s v="High"/>
    <x v="626"/>
    <n v="2015"/>
    <x v="1"/>
    <n v="12"/>
    <d v="2026-03-19T00:00:00"/>
    <n v="3780"/>
    <n v="3780"/>
    <n v="2701"/>
    <n v="27"/>
    <x v="1"/>
    <x v="1"/>
    <n v="2"/>
    <s v="Yes"/>
    <n v="1841.5"/>
    <x v="2"/>
    <x v="1"/>
    <x v="22"/>
    <s v="Bad Employee"/>
    <b v="0"/>
    <b v="1"/>
    <s v="Good employee"/>
    <x v="2"/>
    <x v="1"/>
    <n v="4"/>
    <n v="2014"/>
    <s v="Fully Remote"/>
    <n v="5"/>
    <x v="35"/>
  </r>
  <r>
    <x v="654"/>
    <x v="6"/>
    <s v="Davis"/>
    <x v="1"/>
    <x v="281"/>
    <s v="katiedavis@gmail.com"/>
    <x v="649"/>
    <s v="extremely low"/>
    <x v="627"/>
    <n v="2018"/>
    <x v="0"/>
    <n v="17"/>
    <d v="2026-03-19T00:00:00"/>
    <n v="2740"/>
    <n v="2740"/>
    <n v="1959"/>
    <n v="54"/>
    <x v="0"/>
    <x v="1"/>
    <n v="7"/>
    <s v="Yes"/>
    <n v="7710.14"/>
    <x v="2"/>
    <x v="3"/>
    <x v="33"/>
    <s v="Bad Employee"/>
    <b v="0"/>
    <b v="1"/>
    <s v="Good employee"/>
    <x v="0"/>
    <x v="1"/>
    <n v="13"/>
    <n v="2021"/>
    <s v="Hybrid"/>
    <n v="174"/>
    <x v="0"/>
  </r>
  <r>
    <x v="655"/>
    <x v="2"/>
    <s v="Miller"/>
    <x v="3"/>
    <x v="201"/>
    <s v="chrismiller@gmail.com"/>
    <x v="650"/>
    <s v="Medium"/>
    <x v="628"/>
    <n v="2017"/>
    <x v="11"/>
    <n v="23"/>
    <d v="2026-03-19T00:00:00"/>
    <n v="3342"/>
    <n v="3342"/>
    <n v="2389"/>
    <n v="58"/>
    <x v="0"/>
    <x v="0"/>
    <n v="7"/>
    <s v="No"/>
    <n v="3564.57"/>
    <x v="3"/>
    <x v="0"/>
    <x v="6"/>
    <s v="Bad Employee"/>
    <b v="0"/>
    <b v="1"/>
    <s v="Good employee"/>
    <x v="2"/>
    <x v="1"/>
    <n v="9"/>
    <n v="2019"/>
    <s v="On-Site"/>
    <n v="173"/>
    <x v="3"/>
  </r>
  <r>
    <x v="656"/>
    <x v="0"/>
    <s v="Brown"/>
    <x v="0"/>
    <x v="83"/>
    <s v="michaelbrown@gmail.com"/>
    <x v="651"/>
    <s v="High"/>
    <x v="629"/>
    <n v="2007"/>
    <x v="6"/>
    <n v="14"/>
    <d v="2026-03-19T00:00:00"/>
    <n v="6792"/>
    <n v="6792"/>
    <n v="4853"/>
    <n v="63"/>
    <x v="0"/>
    <x v="0"/>
    <n v="9"/>
    <s v="No"/>
    <n v="2818.39"/>
    <x v="3"/>
    <x v="3"/>
    <x v="32"/>
    <s v="Good Employee"/>
    <b v="1"/>
    <b v="1"/>
    <s v="Good employee"/>
    <x v="1"/>
    <x v="1"/>
    <n v="9"/>
    <n v="2016"/>
    <s v="On-Site"/>
    <n v="77"/>
    <x v="20"/>
  </r>
  <r>
    <x v="657"/>
    <x v="3"/>
    <s v="Wilson"/>
    <x v="1"/>
    <x v="282"/>
    <s v="alexwilson@gmail.com"/>
    <x v="652"/>
    <s v="High"/>
    <x v="630"/>
    <n v="2002"/>
    <x v="4"/>
    <n v="16"/>
    <d v="2026-03-19T00:00:00"/>
    <n v="8797"/>
    <n v="8797"/>
    <n v="6284"/>
    <n v="46"/>
    <x v="0"/>
    <x v="1"/>
    <n v="9"/>
    <s v="Yes"/>
    <n v="7509.84"/>
    <x v="3"/>
    <x v="4"/>
    <x v="1"/>
    <s v="Good Employee"/>
    <b v="1"/>
    <b v="1"/>
    <s v="Good employee"/>
    <x v="2"/>
    <x v="5"/>
    <n v="17"/>
    <n v="2012"/>
    <s v="On-Site"/>
    <n v="189"/>
    <x v="13"/>
  </r>
  <r>
    <x v="658"/>
    <x v="1"/>
    <s v="Johnson"/>
    <x v="1"/>
    <x v="216"/>
    <s v="emilyjohnson@gmail.com"/>
    <x v="653"/>
    <s v="Medium"/>
    <x v="631"/>
    <n v="2018"/>
    <x v="1"/>
    <n v="16"/>
    <d v="2026-03-19T00:00:00"/>
    <n v="2680"/>
    <n v="2680"/>
    <n v="1915"/>
    <n v="34"/>
    <x v="0"/>
    <x v="0"/>
    <n v="4"/>
    <s v="Yes"/>
    <n v="7492.65"/>
    <x v="2"/>
    <x v="1"/>
    <x v="31"/>
    <s v="Bad Employee"/>
    <b v="0"/>
    <b v="1"/>
    <s v="Good employee"/>
    <x v="0"/>
    <x v="2"/>
    <n v="19"/>
    <n v="2019"/>
    <s v="Hybrid"/>
    <n v="120"/>
    <x v="30"/>
  </r>
  <r>
    <x v="659"/>
    <x v="5"/>
    <s v="Brown"/>
    <x v="4"/>
    <x v="60"/>
    <s v="janebrown@gmail.com"/>
    <x v="654"/>
    <s v="High"/>
    <x v="632"/>
    <n v="2009"/>
    <x v="3"/>
    <n v="2"/>
    <d v="2026-03-19T00:00:00"/>
    <n v="6195"/>
    <n v="6195"/>
    <n v="4426"/>
    <n v="44"/>
    <x v="0"/>
    <x v="1"/>
    <n v="5"/>
    <s v="No"/>
    <n v="3125.82"/>
    <x v="0"/>
    <x v="2"/>
    <x v="2"/>
    <s v="Bad Employee"/>
    <b v="0"/>
    <b v="0"/>
    <s v="Bad Employee"/>
    <x v="2"/>
    <x v="2"/>
    <n v="8"/>
    <n v="2020"/>
    <s v="On-Site"/>
    <n v="152"/>
    <x v="35"/>
  </r>
  <r>
    <x v="660"/>
    <x v="4"/>
    <s v="Wilson"/>
    <x v="1"/>
    <x v="17"/>
    <s v="sarahwilson@gmail.com"/>
    <x v="655"/>
    <s v="High"/>
    <x v="633"/>
    <n v="2006"/>
    <x v="6"/>
    <n v="15"/>
    <d v="2026-03-19T00:00:00"/>
    <n v="7156"/>
    <n v="7156"/>
    <n v="5113"/>
    <n v="57"/>
    <x v="0"/>
    <x v="1"/>
    <n v="7"/>
    <s v="No"/>
    <n v="8789.4"/>
    <x v="0"/>
    <x v="3"/>
    <x v="4"/>
    <s v="Bad Employee"/>
    <b v="0"/>
    <b v="1"/>
    <s v="Good employee"/>
    <x v="0"/>
    <x v="0"/>
    <n v="3"/>
    <n v="2016"/>
    <s v="Fully Remote"/>
    <n v="18"/>
    <x v="30"/>
  </r>
  <r>
    <x v="661"/>
    <x v="3"/>
    <s v="Johnson"/>
    <x v="5"/>
    <x v="39"/>
    <s v="alexjohnson@gmail.com"/>
    <x v="656"/>
    <s v="High"/>
    <x v="634"/>
    <n v="2018"/>
    <x v="11"/>
    <n v="20"/>
    <d v="2026-03-19T00:00:00"/>
    <n v="2980"/>
    <n v="2980"/>
    <n v="2129"/>
    <n v="54"/>
    <x v="0"/>
    <x v="1"/>
    <n v="7"/>
    <s v="Yes"/>
    <n v="7038.38"/>
    <x v="2"/>
    <x v="4"/>
    <x v="35"/>
    <s v="Good Employee"/>
    <b v="1"/>
    <b v="1"/>
    <s v="Good employee"/>
    <x v="0"/>
    <x v="5"/>
    <n v="16"/>
    <n v="2016"/>
    <s v="Hybrid"/>
    <n v="126"/>
    <x v="28"/>
  </r>
  <r>
    <x v="662"/>
    <x v="2"/>
    <s v="Brown"/>
    <x v="1"/>
    <x v="262"/>
    <s v="chrisbrown@gmail.com"/>
    <x v="657"/>
    <s v="Medium"/>
    <x v="635"/>
    <n v="2011"/>
    <x v="8"/>
    <n v="1"/>
    <d v="2026-03-19T00:00:00"/>
    <n v="5497"/>
    <n v="5497"/>
    <n v="3928"/>
    <n v="42"/>
    <x v="0"/>
    <x v="1"/>
    <n v="8"/>
    <s v="Yes"/>
    <n v="3784.76"/>
    <x v="2"/>
    <x v="4"/>
    <x v="34"/>
    <s v="Good Employee"/>
    <b v="1"/>
    <b v="1"/>
    <s v="Good employee"/>
    <x v="1"/>
    <x v="3"/>
    <n v="1"/>
    <n v="2011"/>
    <s v="On-Site"/>
    <n v="97"/>
    <x v="2"/>
  </r>
  <r>
    <x v="663"/>
    <x v="6"/>
    <s v="Davis"/>
    <x v="4"/>
    <x v="264"/>
    <s v="katiedavis@gmail.com"/>
    <x v="658"/>
    <s v="extremely low"/>
    <x v="636"/>
    <n v="2011"/>
    <x v="0"/>
    <n v="2"/>
    <d v="2026-03-19T00:00:00"/>
    <n v="5312"/>
    <n v="5312"/>
    <n v="3795"/>
    <n v="55"/>
    <x v="0"/>
    <x v="1"/>
    <n v="8"/>
    <s v="Yes"/>
    <n v="4561.1499999999996"/>
    <x v="1"/>
    <x v="1"/>
    <x v="7"/>
    <s v="Good Employee"/>
    <b v="1"/>
    <b v="1"/>
    <s v="Good employee"/>
    <x v="2"/>
    <x v="1"/>
    <n v="13"/>
    <n v="2017"/>
    <s v="Hybrid"/>
    <n v="184"/>
    <x v="32"/>
  </r>
  <r>
    <x v="664"/>
    <x v="7"/>
    <s v="Davis"/>
    <x v="3"/>
    <x v="176"/>
    <s v="johndavis@gmail.com"/>
    <x v="659"/>
    <s v="High"/>
    <x v="637"/>
    <n v="2006"/>
    <x v="0"/>
    <n v="5"/>
    <d v="2026-03-19T00:00:00"/>
    <n v="7135"/>
    <n v="7135"/>
    <n v="5098"/>
    <n v="57"/>
    <x v="0"/>
    <x v="0"/>
    <n v="2"/>
    <s v="No"/>
    <n v="7403.74"/>
    <x v="3"/>
    <x v="0"/>
    <x v="32"/>
    <s v="Bad Employee"/>
    <b v="0"/>
    <b v="1"/>
    <s v="Good employee"/>
    <x v="0"/>
    <x v="2"/>
    <n v="0"/>
    <n v="2016"/>
    <s v="Hybrid"/>
    <n v="58"/>
    <x v="37"/>
  </r>
  <r>
    <x v="665"/>
    <x v="2"/>
    <s v="Smith"/>
    <x v="4"/>
    <x v="107"/>
    <s v="chrissmith@gmail.com"/>
    <x v="660"/>
    <s v="High"/>
    <x v="638"/>
    <n v="2013"/>
    <x v="8"/>
    <n v="24"/>
    <d v="2026-03-19T00:00:00"/>
    <n v="4743"/>
    <n v="4743"/>
    <n v="3389"/>
    <n v="38"/>
    <x v="0"/>
    <x v="0"/>
    <n v="9"/>
    <s v="No"/>
    <n v="2510.0500000000002"/>
    <x v="3"/>
    <x v="0"/>
    <x v="31"/>
    <s v="Good Employee"/>
    <b v="1"/>
    <b v="1"/>
    <s v="Good employee"/>
    <x v="2"/>
    <x v="0"/>
    <n v="6"/>
    <n v="2018"/>
    <s v="Fully Remote"/>
    <n v="53"/>
    <x v="28"/>
  </r>
  <r>
    <x v="666"/>
    <x v="6"/>
    <s v="Williams"/>
    <x v="4"/>
    <x v="283"/>
    <s v="katiewilliams@gmail.com"/>
    <x v="661"/>
    <s v="High"/>
    <x v="639"/>
    <n v="2018"/>
    <x v="8"/>
    <n v="1"/>
    <d v="2026-03-19T00:00:00"/>
    <n v="2940"/>
    <n v="2940"/>
    <n v="2101"/>
    <n v="31"/>
    <x v="0"/>
    <x v="1"/>
    <n v="4"/>
    <s v="Yes"/>
    <n v="4953.2299999999996"/>
    <x v="3"/>
    <x v="3"/>
    <x v="33"/>
    <s v="Bad Employee"/>
    <b v="0"/>
    <b v="0"/>
    <s v="Bad Employee"/>
    <x v="0"/>
    <x v="2"/>
    <n v="3"/>
    <n v="2021"/>
    <s v="Fully Remote"/>
    <n v="34"/>
    <x v="16"/>
  </r>
  <r>
    <x v="667"/>
    <x v="1"/>
    <s v="Wilson"/>
    <x v="0"/>
    <x v="229"/>
    <s v="emilywilson@gmail.com"/>
    <x v="662"/>
    <s v="High"/>
    <x v="640"/>
    <n v="2013"/>
    <x v="0"/>
    <n v="29"/>
    <d v="2026-03-19T00:00:00"/>
    <n v="4554"/>
    <n v="4554"/>
    <n v="3254"/>
    <n v="44"/>
    <x v="0"/>
    <x v="1"/>
    <n v="1"/>
    <s v="No"/>
    <n v="6708.8"/>
    <x v="1"/>
    <x v="3"/>
    <x v="20"/>
    <s v="Bad Employee"/>
    <b v="0"/>
    <b v="0"/>
    <s v="Bad Employee"/>
    <x v="1"/>
    <x v="3"/>
    <n v="8"/>
    <n v="2013"/>
    <s v="Fully Remote"/>
    <n v="135"/>
    <x v="4"/>
  </r>
  <r>
    <x v="668"/>
    <x v="2"/>
    <s v="Miller"/>
    <x v="5"/>
    <x v="159"/>
    <s v="chrismiller@gmail.com"/>
    <x v="663"/>
    <s v="Medium"/>
    <x v="641"/>
    <n v="2014"/>
    <x v="9"/>
    <n v="5"/>
    <d v="2026-03-19T00:00:00"/>
    <n v="4305"/>
    <n v="4305"/>
    <n v="3076"/>
    <n v="23"/>
    <x v="1"/>
    <x v="0"/>
    <n v="1"/>
    <s v="No"/>
    <n v="5625.24"/>
    <x v="1"/>
    <x v="0"/>
    <x v="18"/>
    <s v="Bad Employee"/>
    <b v="0"/>
    <b v="0"/>
    <s v="Bad Employee"/>
    <x v="1"/>
    <x v="3"/>
    <n v="2"/>
    <n v="2018"/>
    <s v="On-Site"/>
    <n v="16"/>
    <x v="30"/>
  </r>
  <r>
    <x v="669"/>
    <x v="0"/>
    <s v="Brown"/>
    <x v="0"/>
    <x v="83"/>
    <s v="michaelbrown@gmail.com"/>
    <x v="664"/>
    <s v="High"/>
    <x v="642"/>
    <n v="2015"/>
    <x v="3"/>
    <n v="19"/>
    <d v="2026-03-19T00:00:00"/>
    <n v="3987"/>
    <n v="3987"/>
    <n v="2849"/>
    <n v="56"/>
    <x v="0"/>
    <x v="1"/>
    <n v="5"/>
    <s v="Yes"/>
    <n v="6279.12"/>
    <x v="1"/>
    <x v="2"/>
    <x v="35"/>
    <s v="Bad Employee"/>
    <b v="0"/>
    <b v="1"/>
    <s v="Good employee"/>
    <x v="2"/>
    <x v="5"/>
    <n v="4"/>
    <n v="2010"/>
    <s v="On-Site"/>
    <n v="115"/>
    <x v="37"/>
  </r>
  <r>
    <x v="670"/>
    <x v="7"/>
    <s v="Miller"/>
    <x v="3"/>
    <x v="36"/>
    <s v="johnmiller@gmail.com"/>
    <x v="665"/>
    <s v="High"/>
    <x v="643"/>
    <n v="2005"/>
    <x v="9"/>
    <n v="12"/>
    <d v="2026-03-19T00:00:00"/>
    <n v="7585"/>
    <n v="7585"/>
    <n v="5419"/>
    <n v="35"/>
    <x v="0"/>
    <x v="1"/>
    <n v="7"/>
    <s v="Yes"/>
    <n v="5689.02"/>
    <x v="2"/>
    <x v="2"/>
    <x v="6"/>
    <s v="Bad Employee"/>
    <b v="0"/>
    <b v="1"/>
    <s v="Good employee"/>
    <x v="2"/>
    <x v="2"/>
    <n v="9"/>
    <n v="2014"/>
    <s v="Fully Remote"/>
    <n v="163"/>
    <x v="31"/>
  </r>
  <r>
    <x v="671"/>
    <x v="6"/>
    <s v="Smith"/>
    <x v="2"/>
    <x v="284"/>
    <s v="katiesmith@gmail.com"/>
    <x v="666"/>
    <s v="High"/>
    <x v="644"/>
    <n v="2002"/>
    <x v="10"/>
    <n v="2"/>
    <d v="2026-03-19T00:00:00"/>
    <n v="8508"/>
    <n v="8508"/>
    <n v="6079"/>
    <n v="62"/>
    <x v="0"/>
    <x v="1"/>
    <n v="5"/>
    <s v="Yes"/>
    <n v="2392.66"/>
    <x v="1"/>
    <x v="4"/>
    <x v="13"/>
    <s v="Bad Employee"/>
    <b v="0"/>
    <b v="1"/>
    <s v="Good employee"/>
    <x v="2"/>
    <x v="3"/>
    <n v="9"/>
    <n v="2019"/>
    <s v="Fully Remote"/>
    <n v="169"/>
    <x v="30"/>
  </r>
  <r>
    <x v="672"/>
    <x v="6"/>
    <s v="Williams"/>
    <x v="3"/>
    <x v="97"/>
    <s v="katiewilliams@gmail.com"/>
    <x v="667"/>
    <s v="extremely low"/>
    <x v="645"/>
    <n v="2002"/>
    <x v="6"/>
    <n v="2"/>
    <d v="2026-03-19T00:00:00"/>
    <n v="8630"/>
    <n v="8630"/>
    <n v="6165"/>
    <n v="23"/>
    <x v="1"/>
    <x v="0"/>
    <n v="3"/>
    <s v="No"/>
    <n v="4396.95"/>
    <x v="0"/>
    <x v="1"/>
    <x v="8"/>
    <s v="Bad Employee"/>
    <b v="0"/>
    <b v="1"/>
    <s v="Good employee"/>
    <x v="2"/>
    <x v="4"/>
    <n v="3"/>
    <n v="2016"/>
    <s v="On-Site"/>
    <n v="159"/>
    <x v="0"/>
  </r>
  <r>
    <x v="673"/>
    <x v="6"/>
    <s v="Brown"/>
    <x v="5"/>
    <x v="73"/>
    <s v="katiebrown@gmail.com"/>
    <x v="668"/>
    <s v="High"/>
    <x v="646"/>
    <n v="2000"/>
    <x v="11"/>
    <n v="29"/>
    <d v="2026-03-19T00:00:00"/>
    <n v="9546"/>
    <n v="9546"/>
    <n v="6819"/>
    <n v="40"/>
    <x v="0"/>
    <x v="1"/>
    <n v="7"/>
    <s v="No"/>
    <n v="5553.86"/>
    <x v="2"/>
    <x v="2"/>
    <x v="26"/>
    <s v="Bad Employee"/>
    <b v="0"/>
    <b v="1"/>
    <s v="Good employee"/>
    <x v="2"/>
    <x v="3"/>
    <n v="16"/>
    <n v="2013"/>
    <s v="Fully Remote"/>
    <n v="120"/>
    <x v="0"/>
  </r>
  <r>
    <x v="674"/>
    <x v="1"/>
    <s v="Johnson"/>
    <x v="1"/>
    <x v="216"/>
    <s v="emilyjohnson@gmail.com"/>
    <x v="669"/>
    <s v="High"/>
    <x v="647"/>
    <n v="2005"/>
    <x v="8"/>
    <n v="12"/>
    <d v="2026-03-19T00:00:00"/>
    <n v="7677"/>
    <n v="7677"/>
    <n v="5484"/>
    <n v="37"/>
    <x v="0"/>
    <x v="1"/>
    <n v="1"/>
    <s v="Yes"/>
    <n v="7910.6"/>
    <x v="2"/>
    <x v="3"/>
    <x v="32"/>
    <s v="Bad Employee"/>
    <b v="0"/>
    <b v="1"/>
    <s v="Good employee"/>
    <x v="0"/>
    <x v="3"/>
    <n v="16"/>
    <n v="2022"/>
    <s v="Hybrid"/>
    <n v="156"/>
    <x v="32"/>
  </r>
  <r>
    <x v="675"/>
    <x v="2"/>
    <s v="Wilson"/>
    <x v="4"/>
    <x v="196"/>
    <s v="chriswilson@gmail.com"/>
    <x v="670"/>
    <s v="low"/>
    <x v="648"/>
    <n v="2015"/>
    <x v="0"/>
    <n v="30"/>
    <d v="2026-03-19T00:00:00"/>
    <n v="3823"/>
    <n v="3823"/>
    <n v="2732"/>
    <n v="64"/>
    <x v="0"/>
    <x v="0"/>
    <n v="1"/>
    <s v="No"/>
    <n v="6712.09"/>
    <x v="3"/>
    <x v="2"/>
    <x v="3"/>
    <s v="Bad Employee"/>
    <b v="0"/>
    <b v="1"/>
    <s v="Good employee"/>
    <x v="2"/>
    <x v="2"/>
    <n v="18"/>
    <n v="2016"/>
    <s v="Hybrid"/>
    <n v="116"/>
    <x v="17"/>
  </r>
  <r>
    <x v="676"/>
    <x v="1"/>
    <s v="Williams"/>
    <x v="2"/>
    <x v="285"/>
    <s v="emilywilliams@gmail.com"/>
    <x v="671"/>
    <s v="Medium"/>
    <x v="649"/>
    <n v="2016"/>
    <x v="7"/>
    <n v="4"/>
    <d v="2026-03-19T00:00:00"/>
    <n v="3606"/>
    <n v="3606"/>
    <n v="2577"/>
    <n v="46"/>
    <x v="0"/>
    <x v="1"/>
    <n v="2"/>
    <s v="No"/>
    <n v="4552.6099999999997"/>
    <x v="3"/>
    <x v="1"/>
    <x v="0"/>
    <s v="Bad Employee"/>
    <b v="0"/>
    <b v="0"/>
    <s v="Bad Employee"/>
    <x v="0"/>
    <x v="1"/>
    <n v="5"/>
    <n v="2023"/>
    <s v="Hybrid"/>
    <n v="173"/>
    <x v="36"/>
  </r>
  <r>
    <x v="677"/>
    <x v="4"/>
    <s v="Davis"/>
    <x v="5"/>
    <x v="77"/>
    <s v="sarahdavis@gmail.com"/>
    <x v="672"/>
    <s v="extremely low"/>
    <x v="650"/>
    <n v="2014"/>
    <x v="4"/>
    <n v="6"/>
    <d v="2026-03-19T00:00:00"/>
    <n v="4424"/>
    <n v="4424"/>
    <n v="3161"/>
    <n v="22"/>
    <x v="1"/>
    <x v="1"/>
    <n v="1"/>
    <s v="No"/>
    <n v="9756.7999999999993"/>
    <x v="1"/>
    <x v="3"/>
    <x v="9"/>
    <s v="Bad Employee"/>
    <b v="0"/>
    <b v="0"/>
    <s v="Bad Employee"/>
    <x v="0"/>
    <x v="3"/>
    <n v="0"/>
    <n v="2021"/>
    <s v="On-Site"/>
    <n v="108"/>
    <x v="37"/>
  </r>
  <r>
    <x v="678"/>
    <x v="5"/>
    <s v="Smith"/>
    <x v="0"/>
    <x v="170"/>
    <s v="janesmith@gmail.com"/>
    <x v="673"/>
    <s v="High"/>
    <x v="651"/>
    <n v="2018"/>
    <x v="0"/>
    <n v="19"/>
    <d v="2026-03-19T00:00:00"/>
    <n v="2738"/>
    <n v="2738"/>
    <n v="1957"/>
    <n v="23"/>
    <x v="1"/>
    <x v="0"/>
    <n v="9"/>
    <s v="No"/>
    <n v="1524.06"/>
    <x v="0"/>
    <x v="1"/>
    <x v="27"/>
    <s v="Good Employee"/>
    <b v="1"/>
    <b v="1"/>
    <s v="Good employee"/>
    <x v="0"/>
    <x v="0"/>
    <n v="13"/>
    <n v="2018"/>
    <s v="Fully Remote"/>
    <n v="196"/>
    <x v="28"/>
  </r>
  <r>
    <x v="679"/>
    <x v="5"/>
    <s v="Williams"/>
    <x v="4"/>
    <x v="147"/>
    <s v="janewilliams@gmail.com"/>
    <x v="674"/>
    <s v="low"/>
    <x v="652"/>
    <n v="2004"/>
    <x v="6"/>
    <n v="24"/>
    <d v="2026-03-19T00:00:00"/>
    <n v="7877"/>
    <n v="7877"/>
    <n v="5628"/>
    <n v="48"/>
    <x v="0"/>
    <x v="0"/>
    <n v="4"/>
    <s v="Yes"/>
    <n v="2464.65"/>
    <x v="2"/>
    <x v="0"/>
    <x v="17"/>
    <s v="Bad Employee"/>
    <b v="0"/>
    <b v="0"/>
    <s v="Bad Employee"/>
    <x v="2"/>
    <x v="1"/>
    <n v="12"/>
    <n v="2022"/>
    <s v="Hybrid"/>
    <n v="15"/>
    <x v="16"/>
  </r>
  <r>
    <x v="680"/>
    <x v="4"/>
    <s v="Wilson"/>
    <x v="3"/>
    <x v="23"/>
    <s v="sarahwilson@gmail.com"/>
    <x v="675"/>
    <s v="Medium"/>
    <x v="653"/>
    <n v="2017"/>
    <x v="8"/>
    <n v="3"/>
    <d v="2026-03-19T00:00:00"/>
    <n v="3303"/>
    <n v="3303"/>
    <n v="2360"/>
    <n v="23"/>
    <x v="1"/>
    <x v="1"/>
    <n v="7"/>
    <s v="No"/>
    <n v="3742.47"/>
    <x v="2"/>
    <x v="1"/>
    <x v="12"/>
    <s v="Good Employee"/>
    <b v="1"/>
    <b v="1"/>
    <s v="Good employee"/>
    <x v="1"/>
    <x v="3"/>
    <n v="2"/>
    <n v="2023"/>
    <s v="On-Site"/>
    <n v="95"/>
    <x v="37"/>
  </r>
  <r>
    <x v="681"/>
    <x v="2"/>
    <s v="Williams"/>
    <x v="0"/>
    <x v="7"/>
    <s v="chriswilliams@gmail.com"/>
    <x v="676"/>
    <s v="Medium"/>
    <x v="654"/>
    <n v="2007"/>
    <x v="0"/>
    <n v="15"/>
    <d v="2026-03-19T00:00:00"/>
    <n v="6760"/>
    <n v="6760"/>
    <n v="4829"/>
    <n v="51"/>
    <x v="0"/>
    <x v="0"/>
    <n v="5"/>
    <s v="Yes"/>
    <n v="2671.43"/>
    <x v="2"/>
    <x v="1"/>
    <x v="21"/>
    <s v="Bad Employee"/>
    <b v="0"/>
    <b v="0"/>
    <s v="Bad Employee"/>
    <x v="1"/>
    <x v="4"/>
    <n v="1"/>
    <n v="2014"/>
    <s v="Fully Remote"/>
    <n v="77"/>
    <x v="12"/>
  </r>
  <r>
    <x v="682"/>
    <x v="0"/>
    <s v="Wilson"/>
    <x v="5"/>
    <x v="52"/>
    <s v="michaelwilson@gmail.com"/>
    <x v="677"/>
    <s v="Medium"/>
    <x v="655"/>
    <n v="2009"/>
    <x v="8"/>
    <n v="19"/>
    <d v="2026-03-19T00:00:00"/>
    <n v="6209"/>
    <n v="6209"/>
    <n v="4436"/>
    <n v="31"/>
    <x v="0"/>
    <x v="1"/>
    <n v="7"/>
    <s v="No"/>
    <n v="6441.7"/>
    <x v="3"/>
    <x v="1"/>
    <x v="25"/>
    <s v="Bad Employee"/>
    <b v="0"/>
    <b v="1"/>
    <s v="Good employee"/>
    <x v="2"/>
    <x v="3"/>
    <n v="6"/>
    <n v="2014"/>
    <s v="Fully Remote"/>
    <n v="20"/>
    <x v="34"/>
  </r>
  <r>
    <x v="683"/>
    <x v="1"/>
    <s v="Davis"/>
    <x v="5"/>
    <x v="286"/>
    <s v="emilydavis@gmail.com"/>
    <x v="678"/>
    <s v="Medium"/>
    <x v="656"/>
    <n v="2006"/>
    <x v="5"/>
    <n v="24"/>
    <d v="2026-03-19T00:00:00"/>
    <n v="7086"/>
    <n v="7086"/>
    <n v="5063"/>
    <n v="40"/>
    <x v="0"/>
    <x v="1"/>
    <n v="7"/>
    <s v="Yes"/>
    <n v="875.73"/>
    <x v="3"/>
    <x v="3"/>
    <x v="1"/>
    <s v="Good Employee"/>
    <b v="1"/>
    <b v="1"/>
    <s v="Good employee"/>
    <x v="2"/>
    <x v="5"/>
    <n v="11"/>
    <n v="2011"/>
    <s v="Hybrid"/>
    <n v="18"/>
    <x v="22"/>
  </r>
  <r>
    <x v="684"/>
    <x v="7"/>
    <s v="Brown"/>
    <x v="3"/>
    <x v="217"/>
    <s v="johnbrown@gmail.com"/>
    <x v="679"/>
    <s v="Medium"/>
    <x v="657"/>
    <n v="2019"/>
    <x v="8"/>
    <n v="14"/>
    <d v="2026-03-19T00:00:00"/>
    <n v="2562"/>
    <n v="2562"/>
    <n v="1831"/>
    <n v="63"/>
    <x v="0"/>
    <x v="0"/>
    <n v="1"/>
    <s v="No"/>
    <n v="2185.65"/>
    <x v="0"/>
    <x v="1"/>
    <x v="8"/>
    <s v="Bad Employee"/>
    <b v="0"/>
    <b v="1"/>
    <s v="Good employee"/>
    <x v="2"/>
    <x v="2"/>
    <n v="1"/>
    <n v="2023"/>
    <s v="Fully Remote"/>
    <n v="179"/>
    <x v="10"/>
  </r>
  <r>
    <x v="685"/>
    <x v="6"/>
    <s v="Johnson"/>
    <x v="2"/>
    <x v="212"/>
    <s v="katiejohnson@gmail.com"/>
    <x v="680"/>
    <s v="High"/>
    <x v="658"/>
    <n v="2015"/>
    <x v="11"/>
    <n v="29"/>
    <d v="2026-03-19T00:00:00"/>
    <n v="4067"/>
    <n v="4067"/>
    <n v="2906"/>
    <n v="37"/>
    <x v="0"/>
    <x v="1"/>
    <n v="1"/>
    <s v="Yes"/>
    <n v="3286.8"/>
    <x v="3"/>
    <x v="1"/>
    <x v="23"/>
    <s v="Bad Employee"/>
    <b v="0"/>
    <b v="0"/>
    <s v="Bad Employee"/>
    <x v="0"/>
    <x v="4"/>
    <n v="10"/>
    <n v="2014"/>
    <s v="Fully Remote"/>
    <n v="162"/>
    <x v="1"/>
  </r>
  <r>
    <x v="686"/>
    <x v="6"/>
    <s v="Davis"/>
    <x v="3"/>
    <x v="287"/>
    <s v="katiedavis@gmail.com"/>
    <x v="681"/>
    <s v="High"/>
    <x v="76"/>
    <n v="2016"/>
    <x v="4"/>
    <n v="11"/>
    <d v="2026-03-19T00:00:00"/>
    <n v="3689"/>
    <n v="3689"/>
    <n v="2636"/>
    <n v="34"/>
    <x v="0"/>
    <x v="0"/>
    <n v="3"/>
    <s v="Yes"/>
    <n v="6991.78"/>
    <x v="0"/>
    <x v="4"/>
    <x v="28"/>
    <s v="Bad Employee"/>
    <b v="0"/>
    <b v="1"/>
    <s v="Good employee"/>
    <x v="1"/>
    <x v="0"/>
    <n v="15"/>
    <n v="2017"/>
    <s v="Hybrid"/>
    <n v="114"/>
    <x v="15"/>
  </r>
  <r>
    <x v="687"/>
    <x v="2"/>
    <s v="Johnson"/>
    <x v="1"/>
    <x v="288"/>
    <s v="chrisjohnson@gmail.com"/>
    <x v="682"/>
    <s v="High"/>
    <x v="659"/>
    <n v="2004"/>
    <x v="2"/>
    <n v="23"/>
    <d v="2026-03-19T00:00:00"/>
    <n v="7909"/>
    <n v="7909"/>
    <n v="5650"/>
    <n v="29"/>
    <x v="1"/>
    <x v="0"/>
    <n v="2"/>
    <s v="No"/>
    <n v="8820.7199999999993"/>
    <x v="3"/>
    <x v="3"/>
    <x v="19"/>
    <s v="Bad Employee"/>
    <b v="0"/>
    <b v="1"/>
    <s v="Good employee"/>
    <x v="1"/>
    <x v="3"/>
    <n v="4"/>
    <n v="2013"/>
    <s v="Hybrid"/>
    <n v="156"/>
    <x v="16"/>
  </r>
  <r>
    <x v="688"/>
    <x v="0"/>
    <s v="Brown"/>
    <x v="0"/>
    <x v="83"/>
    <s v="michaelbrown@gmail.com"/>
    <x v="683"/>
    <s v="Medium"/>
    <x v="660"/>
    <n v="2012"/>
    <x v="6"/>
    <n v="24"/>
    <d v="2026-03-19T00:00:00"/>
    <n v="4955"/>
    <n v="4955"/>
    <n v="3540"/>
    <n v="52"/>
    <x v="0"/>
    <x v="0"/>
    <n v="7"/>
    <s v="No"/>
    <n v="8085.67"/>
    <x v="0"/>
    <x v="1"/>
    <x v="20"/>
    <s v="Bad Employee"/>
    <b v="0"/>
    <b v="1"/>
    <s v="Good employee"/>
    <x v="1"/>
    <x v="3"/>
    <n v="16"/>
    <n v="2011"/>
    <s v="Fully Remote"/>
    <n v="145"/>
    <x v="37"/>
  </r>
  <r>
    <x v="689"/>
    <x v="5"/>
    <s v="Williams"/>
    <x v="2"/>
    <x v="41"/>
    <s v="janewilliams@gmail.com"/>
    <x v="684"/>
    <s v="low"/>
    <x v="661"/>
    <n v="2004"/>
    <x v="3"/>
    <n v="19"/>
    <d v="2026-03-19T00:00:00"/>
    <n v="8004"/>
    <n v="8004"/>
    <n v="5719"/>
    <n v="46"/>
    <x v="0"/>
    <x v="1"/>
    <n v="3"/>
    <s v="Yes"/>
    <n v="2229.77"/>
    <x v="3"/>
    <x v="2"/>
    <x v="16"/>
    <s v="Bad Employee"/>
    <b v="0"/>
    <b v="1"/>
    <s v="Good employee"/>
    <x v="1"/>
    <x v="0"/>
    <n v="2"/>
    <n v="2017"/>
    <s v="On-Site"/>
    <n v="123"/>
    <x v="8"/>
  </r>
  <r>
    <x v="690"/>
    <x v="5"/>
    <s v="Johnson"/>
    <x v="4"/>
    <x v="235"/>
    <s v="janejohnson@gmail.com"/>
    <x v="685"/>
    <s v="High"/>
    <x v="662"/>
    <n v="2004"/>
    <x v="0"/>
    <n v="29"/>
    <d v="2026-03-19T00:00:00"/>
    <n v="7841"/>
    <n v="7841"/>
    <n v="5602"/>
    <n v="60"/>
    <x v="0"/>
    <x v="0"/>
    <n v="7"/>
    <s v="No"/>
    <n v="5871.35"/>
    <x v="3"/>
    <x v="1"/>
    <x v="11"/>
    <s v="Bad Employee"/>
    <b v="0"/>
    <b v="1"/>
    <s v="Good employee"/>
    <x v="0"/>
    <x v="3"/>
    <n v="13"/>
    <n v="2013"/>
    <s v="On-Site"/>
    <n v="130"/>
    <x v="37"/>
  </r>
  <r>
    <x v="691"/>
    <x v="6"/>
    <s v="Smith"/>
    <x v="1"/>
    <x v="220"/>
    <s v="katiesmith@gmail.com"/>
    <x v="686"/>
    <s v="extremely low"/>
    <x v="663"/>
    <n v="2002"/>
    <x v="11"/>
    <n v="29"/>
    <d v="2026-03-19T00:00:00"/>
    <n v="8815"/>
    <n v="8815"/>
    <n v="6298"/>
    <n v="42"/>
    <x v="0"/>
    <x v="1"/>
    <n v="9"/>
    <s v="Yes"/>
    <n v="785.22"/>
    <x v="1"/>
    <x v="2"/>
    <x v="16"/>
    <s v="Good Employee"/>
    <b v="1"/>
    <b v="1"/>
    <s v="Good employee"/>
    <x v="2"/>
    <x v="5"/>
    <n v="15"/>
    <n v="2023"/>
    <s v="Hybrid"/>
    <n v="13"/>
    <x v="24"/>
  </r>
  <r>
    <x v="692"/>
    <x v="2"/>
    <s v="Smith"/>
    <x v="2"/>
    <x v="142"/>
    <s v="chrissmith@gmail.com"/>
    <x v="687"/>
    <s v="High"/>
    <x v="664"/>
    <n v="2005"/>
    <x v="1"/>
    <n v="27"/>
    <d v="2026-03-19T00:00:00"/>
    <n v="7417"/>
    <n v="7417"/>
    <n v="5299"/>
    <n v="59"/>
    <x v="0"/>
    <x v="0"/>
    <n v="1"/>
    <s v="Yes"/>
    <n v="3450.1"/>
    <x v="1"/>
    <x v="0"/>
    <x v="15"/>
    <s v="Bad Employee"/>
    <b v="0"/>
    <b v="0"/>
    <s v="Bad Employee"/>
    <x v="0"/>
    <x v="1"/>
    <n v="16"/>
    <n v="2022"/>
    <s v="Fully Remote"/>
    <n v="181"/>
    <x v="0"/>
  </r>
  <r>
    <x v="693"/>
    <x v="1"/>
    <s v="Wilson"/>
    <x v="0"/>
    <x v="229"/>
    <s v="emilywilson@gmail.com"/>
    <x v="688"/>
    <s v="Medium"/>
    <x v="665"/>
    <n v="2003"/>
    <x v="0"/>
    <n v="13"/>
    <d v="2026-03-19T00:00:00"/>
    <n v="8223"/>
    <n v="8223"/>
    <n v="5874"/>
    <n v="62"/>
    <x v="0"/>
    <x v="0"/>
    <n v="3"/>
    <s v="Yes"/>
    <n v="8156.85"/>
    <x v="1"/>
    <x v="0"/>
    <x v="6"/>
    <s v="Bad Employee"/>
    <b v="0"/>
    <b v="0"/>
    <s v="Bad Employee"/>
    <x v="2"/>
    <x v="1"/>
    <n v="18"/>
    <n v="2014"/>
    <s v="Hybrid"/>
    <n v="158"/>
    <x v="23"/>
  </r>
  <r>
    <x v="694"/>
    <x v="5"/>
    <s v="Davis"/>
    <x v="5"/>
    <x v="289"/>
    <s v="janedavis@gmail.com"/>
    <x v="689"/>
    <s v="High"/>
    <x v="666"/>
    <n v="2009"/>
    <x v="2"/>
    <n v="8"/>
    <d v="2026-03-19T00:00:00"/>
    <n v="6098"/>
    <n v="6098"/>
    <n v="4357"/>
    <n v="50"/>
    <x v="0"/>
    <x v="1"/>
    <n v="6"/>
    <s v="Yes"/>
    <n v="4838.32"/>
    <x v="0"/>
    <x v="3"/>
    <x v="12"/>
    <s v="Bad Employee"/>
    <b v="0"/>
    <b v="1"/>
    <s v="Good employee"/>
    <x v="2"/>
    <x v="4"/>
    <n v="3"/>
    <n v="2023"/>
    <s v="On-Site"/>
    <n v="53"/>
    <x v="36"/>
  </r>
  <r>
    <x v="695"/>
    <x v="1"/>
    <s v="Brown"/>
    <x v="4"/>
    <x v="214"/>
    <s v="emilybrown@gmail.com"/>
    <x v="690"/>
    <s v="extremely low"/>
    <x v="667"/>
    <n v="2003"/>
    <x v="9"/>
    <n v="22"/>
    <d v="2026-03-19T00:00:00"/>
    <n v="8306"/>
    <n v="8306"/>
    <n v="5934"/>
    <n v="27"/>
    <x v="1"/>
    <x v="1"/>
    <n v="9"/>
    <s v="No"/>
    <n v="1924.44"/>
    <x v="0"/>
    <x v="3"/>
    <x v="20"/>
    <s v="Bad Employee"/>
    <b v="0"/>
    <b v="1"/>
    <s v="Good employee"/>
    <x v="1"/>
    <x v="3"/>
    <n v="19"/>
    <n v="2021"/>
    <s v="On-Site"/>
    <n v="46"/>
    <x v="6"/>
  </r>
  <r>
    <x v="696"/>
    <x v="0"/>
    <s v="Wilson"/>
    <x v="3"/>
    <x v="3"/>
    <s v="michaelwilson@gmail.com"/>
    <x v="691"/>
    <s v="High"/>
    <x v="668"/>
    <n v="2004"/>
    <x v="1"/>
    <n v="20"/>
    <d v="2026-03-19T00:00:00"/>
    <n v="7789"/>
    <n v="7789"/>
    <n v="5564"/>
    <n v="39"/>
    <x v="0"/>
    <x v="0"/>
    <n v="5"/>
    <s v="No"/>
    <n v="4666.26"/>
    <x v="0"/>
    <x v="0"/>
    <x v="5"/>
    <s v="Bad Employee"/>
    <b v="0"/>
    <b v="1"/>
    <s v="Good employee"/>
    <x v="1"/>
    <x v="0"/>
    <n v="19"/>
    <n v="2016"/>
    <s v="Fully Remote"/>
    <n v="177"/>
    <x v="5"/>
  </r>
  <r>
    <x v="697"/>
    <x v="5"/>
    <s v="Davis"/>
    <x v="0"/>
    <x v="290"/>
    <s v="janedavis@gmail.com"/>
    <x v="692"/>
    <s v="Medium"/>
    <x v="669"/>
    <n v="2010"/>
    <x v="5"/>
    <n v="24"/>
    <d v="2026-03-19T00:00:00"/>
    <n v="5625"/>
    <n v="5625"/>
    <n v="4019"/>
    <n v="56"/>
    <x v="0"/>
    <x v="1"/>
    <n v="3"/>
    <s v="No"/>
    <n v="2381.31"/>
    <x v="0"/>
    <x v="3"/>
    <x v="10"/>
    <s v="Bad Employee"/>
    <b v="0"/>
    <b v="0"/>
    <s v="Bad Employee"/>
    <x v="2"/>
    <x v="0"/>
    <n v="8"/>
    <n v="2020"/>
    <s v="Hybrid"/>
    <n v="118"/>
    <x v="8"/>
  </r>
  <r>
    <x v="698"/>
    <x v="5"/>
    <s v="Davis"/>
    <x v="1"/>
    <x v="259"/>
    <s v="janedavis@gmail.com"/>
    <x v="693"/>
    <s v="low"/>
    <x v="670"/>
    <n v="2016"/>
    <x v="3"/>
    <n v="14"/>
    <d v="2026-03-19T00:00:00"/>
    <n v="3626"/>
    <n v="3626"/>
    <n v="2591"/>
    <n v="48"/>
    <x v="0"/>
    <x v="1"/>
    <n v="8"/>
    <s v="No"/>
    <n v="4235.32"/>
    <x v="1"/>
    <x v="2"/>
    <x v="16"/>
    <s v="Good Employee"/>
    <b v="1"/>
    <b v="1"/>
    <s v="Good employee"/>
    <x v="2"/>
    <x v="4"/>
    <n v="10"/>
    <n v="2014"/>
    <s v="Hybrid"/>
    <n v="81"/>
    <x v="19"/>
  </r>
  <r>
    <x v="699"/>
    <x v="3"/>
    <s v="Wilson"/>
    <x v="1"/>
    <x v="282"/>
    <s v="alexwilson@gmail.com"/>
    <x v="694"/>
    <s v="High"/>
    <x v="671"/>
    <n v="2017"/>
    <x v="3"/>
    <n v="7"/>
    <d v="2026-03-19T00:00:00"/>
    <n v="3268"/>
    <n v="3268"/>
    <n v="2335"/>
    <n v="26"/>
    <x v="1"/>
    <x v="0"/>
    <n v="5"/>
    <s v="No"/>
    <n v="5134.42"/>
    <x v="2"/>
    <x v="2"/>
    <x v="19"/>
    <s v="Bad Employee"/>
    <b v="0"/>
    <b v="1"/>
    <s v="Good employee"/>
    <x v="1"/>
    <x v="5"/>
    <n v="4"/>
    <n v="2022"/>
    <s v="On-Site"/>
    <n v="153"/>
    <x v="11"/>
  </r>
  <r>
    <x v="700"/>
    <x v="5"/>
    <s v="Miller"/>
    <x v="5"/>
    <x v="103"/>
    <s v="janemiller@gmail.com"/>
    <x v="695"/>
    <s v="Medium"/>
    <x v="672"/>
    <n v="2007"/>
    <x v="4"/>
    <n v="20"/>
    <d v="2026-03-19T00:00:00"/>
    <n v="6967"/>
    <n v="6967"/>
    <n v="4978"/>
    <n v="28"/>
    <x v="1"/>
    <x v="0"/>
    <n v="6"/>
    <s v="Yes"/>
    <n v="3820.8"/>
    <x v="3"/>
    <x v="4"/>
    <x v="17"/>
    <s v="Bad Employee"/>
    <b v="0"/>
    <b v="0"/>
    <s v="Bad Employee"/>
    <x v="1"/>
    <x v="4"/>
    <n v="10"/>
    <n v="2019"/>
    <s v="Hybrid"/>
    <n v="161"/>
    <x v="30"/>
  </r>
  <r>
    <x v="701"/>
    <x v="4"/>
    <s v="Davis"/>
    <x v="5"/>
    <x v="77"/>
    <s v="sarahdavis@gmail.com"/>
    <x v="696"/>
    <s v="High"/>
    <x v="673"/>
    <n v="2001"/>
    <x v="4"/>
    <n v="2"/>
    <d v="2026-03-19T00:00:00"/>
    <n v="9176"/>
    <n v="9176"/>
    <n v="6555"/>
    <n v="31"/>
    <x v="0"/>
    <x v="1"/>
    <n v="2"/>
    <s v="No"/>
    <n v="9401.2099999999991"/>
    <x v="3"/>
    <x v="3"/>
    <x v="13"/>
    <s v="Bad Employee"/>
    <b v="0"/>
    <b v="1"/>
    <s v="Good employee"/>
    <x v="1"/>
    <x v="3"/>
    <n v="12"/>
    <n v="2013"/>
    <s v="Hybrid"/>
    <n v="96"/>
    <x v="15"/>
  </r>
  <r>
    <x v="702"/>
    <x v="7"/>
    <s v="Miller"/>
    <x v="4"/>
    <x v="219"/>
    <s v="johnmiller@gmail.com"/>
    <x v="697"/>
    <s v="High"/>
    <x v="674"/>
    <n v="2007"/>
    <x v="8"/>
    <n v="15"/>
    <d v="2026-03-19T00:00:00"/>
    <n v="6944"/>
    <n v="6944"/>
    <n v="4961"/>
    <n v="31"/>
    <x v="0"/>
    <x v="0"/>
    <n v="4"/>
    <s v="No"/>
    <n v="5844.04"/>
    <x v="0"/>
    <x v="3"/>
    <x v="25"/>
    <s v="Bad Employee"/>
    <b v="0"/>
    <b v="0"/>
    <s v="Bad Employee"/>
    <x v="1"/>
    <x v="1"/>
    <n v="1"/>
    <n v="2016"/>
    <s v="Hybrid"/>
    <n v="156"/>
    <x v="7"/>
  </r>
  <r>
    <x v="703"/>
    <x v="4"/>
    <s v="Smith"/>
    <x v="3"/>
    <x v="54"/>
    <s v="sarahsmith@gmail.com"/>
    <x v="698"/>
    <s v="extremely low"/>
    <x v="170"/>
    <n v="2006"/>
    <x v="0"/>
    <n v="12"/>
    <d v="2026-03-19T00:00:00"/>
    <n v="7128"/>
    <n v="7128"/>
    <n v="5093"/>
    <n v="49"/>
    <x v="0"/>
    <x v="0"/>
    <n v="1"/>
    <s v="No"/>
    <n v="8507.48"/>
    <x v="1"/>
    <x v="4"/>
    <x v="35"/>
    <s v="Bad Employee"/>
    <b v="0"/>
    <b v="1"/>
    <s v="Good employee"/>
    <x v="1"/>
    <x v="5"/>
    <n v="1"/>
    <n v="2022"/>
    <s v="Fully Remote"/>
    <n v="124"/>
    <x v="4"/>
  </r>
  <r>
    <x v="704"/>
    <x v="2"/>
    <s v="Smith"/>
    <x v="4"/>
    <x v="107"/>
    <s v="chrissmith@gmail.com"/>
    <x v="699"/>
    <s v="Medium"/>
    <x v="675"/>
    <n v="2004"/>
    <x v="2"/>
    <n v="27"/>
    <d v="2026-03-19T00:00:00"/>
    <n v="7905"/>
    <n v="7905"/>
    <n v="5648"/>
    <n v="57"/>
    <x v="0"/>
    <x v="0"/>
    <n v="4"/>
    <s v="Yes"/>
    <n v="7726.92"/>
    <x v="2"/>
    <x v="1"/>
    <x v="19"/>
    <s v="Bad Employee"/>
    <b v="0"/>
    <b v="1"/>
    <s v="Good employee"/>
    <x v="0"/>
    <x v="5"/>
    <n v="9"/>
    <n v="2013"/>
    <s v="On-Site"/>
    <n v="174"/>
    <x v="9"/>
  </r>
  <r>
    <x v="705"/>
    <x v="2"/>
    <s v="Davis"/>
    <x v="5"/>
    <x v="6"/>
    <s v="chrisdavis@gmail.com"/>
    <x v="700"/>
    <s v="High"/>
    <x v="676"/>
    <n v="2000"/>
    <x v="6"/>
    <n v="26"/>
    <d v="2026-03-19T00:00:00"/>
    <n v="9336"/>
    <n v="9336"/>
    <n v="6669"/>
    <n v="31"/>
    <x v="0"/>
    <x v="1"/>
    <n v="1"/>
    <s v="No"/>
    <n v="6781.08"/>
    <x v="1"/>
    <x v="2"/>
    <x v="9"/>
    <s v="Bad Employee"/>
    <b v="0"/>
    <b v="0"/>
    <s v="Bad Employee"/>
    <x v="0"/>
    <x v="0"/>
    <n v="12"/>
    <n v="2019"/>
    <s v="Hybrid"/>
    <n v="88"/>
    <x v="31"/>
  </r>
  <r>
    <x v="706"/>
    <x v="1"/>
    <s v="Smith"/>
    <x v="5"/>
    <x v="43"/>
    <s v="emilysmith@gmail.com"/>
    <x v="701"/>
    <s v="Medium"/>
    <x v="677"/>
    <n v="2009"/>
    <x v="0"/>
    <n v="6"/>
    <d v="2026-03-19T00:00:00"/>
    <n v="6038"/>
    <n v="6038"/>
    <n v="4314"/>
    <n v="56"/>
    <x v="0"/>
    <x v="1"/>
    <n v="4"/>
    <s v="No"/>
    <n v="5220.4399999999996"/>
    <x v="3"/>
    <x v="1"/>
    <x v="37"/>
    <s v="Bad Employee"/>
    <b v="0"/>
    <b v="1"/>
    <s v="Good employee"/>
    <x v="0"/>
    <x v="5"/>
    <n v="4"/>
    <n v="2021"/>
    <s v="Fully Remote"/>
    <n v="107"/>
    <x v="25"/>
  </r>
  <r>
    <x v="707"/>
    <x v="4"/>
    <s v="Brown"/>
    <x v="1"/>
    <x v="263"/>
    <s v="sarahbrown@gmail.com"/>
    <x v="241"/>
    <s v="Medium"/>
    <x v="678"/>
    <n v="2015"/>
    <x v="6"/>
    <n v="9"/>
    <d v="2026-03-19T00:00:00"/>
    <n v="3875"/>
    <n v="3875"/>
    <n v="2769"/>
    <n v="56"/>
    <x v="0"/>
    <x v="1"/>
    <n v="2"/>
    <s v="No"/>
    <n v="520.65"/>
    <x v="0"/>
    <x v="4"/>
    <x v="5"/>
    <s v="Bad Employee"/>
    <b v="0"/>
    <b v="1"/>
    <s v="Good employee"/>
    <x v="1"/>
    <x v="3"/>
    <n v="10"/>
    <n v="2013"/>
    <s v="Hybrid"/>
    <n v="75"/>
    <x v="33"/>
  </r>
  <r>
    <x v="708"/>
    <x v="4"/>
    <s v="Miller"/>
    <x v="5"/>
    <x v="291"/>
    <s v="sarahmiller@gmail.com"/>
    <x v="702"/>
    <s v="High"/>
    <x v="679"/>
    <n v="2010"/>
    <x v="2"/>
    <n v="28"/>
    <d v="2026-03-19T00:00:00"/>
    <n v="5713"/>
    <n v="5713"/>
    <n v="4082"/>
    <n v="58"/>
    <x v="0"/>
    <x v="0"/>
    <n v="6"/>
    <s v="No"/>
    <n v="6327.94"/>
    <x v="0"/>
    <x v="3"/>
    <x v="18"/>
    <s v="Bad Employee"/>
    <b v="0"/>
    <b v="0"/>
    <s v="Bad Employee"/>
    <x v="2"/>
    <x v="3"/>
    <n v="14"/>
    <n v="2011"/>
    <s v="Hybrid"/>
    <n v="173"/>
    <x v="19"/>
  </r>
  <r>
    <x v="709"/>
    <x v="4"/>
    <s v="Miller"/>
    <x v="2"/>
    <x v="114"/>
    <s v="sarahmiller@gmail.com"/>
    <x v="703"/>
    <s v="High"/>
    <x v="680"/>
    <n v="2008"/>
    <x v="9"/>
    <n v="30"/>
    <d v="2026-03-19T00:00:00"/>
    <n v="6471"/>
    <n v="6471"/>
    <n v="4624"/>
    <n v="41"/>
    <x v="0"/>
    <x v="1"/>
    <n v="6"/>
    <s v="No"/>
    <n v="3881.6"/>
    <x v="1"/>
    <x v="1"/>
    <x v="0"/>
    <s v="Bad Employee"/>
    <b v="0"/>
    <b v="0"/>
    <s v="Bad Employee"/>
    <x v="2"/>
    <x v="3"/>
    <n v="4"/>
    <n v="2014"/>
    <s v="On-Site"/>
    <n v="52"/>
    <x v="21"/>
  </r>
  <r>
    <x v="710"/>
    <x v="0"/>
    <s v="Davis"/>
    <x v="0"/>
    <x v="11"/>
    <s v="michaeldavis@gmail.com"/>
    <x v="704"/>
    <s v="High"/>
    <x v="681"/>
    <n v="2003"/>
    <x v="4"/>
    <n v="20"/>
    <d v="2026-03-19T00:00:00"/>
    <n v="8428"/>
    <n v="8428"/>
    <n v="6021"/>
    <n v="34"/>
    <x v="0"/>
    <x v="0"/>
    <n v="8"/>
    <s v="Yes"/>
    <n v="1618.74"/>
    <x v="0"/>
    <x v="3"/>
    <x v="13"/>
    <s v="Good Employee"/>
    <b v="1"/>
    <b v="1"/>
    <s v="Good employee"/>
    <x v="1"/>
    <x v="1"/>
    <n v="19"/>
    <n v="2017"/>
    <s v="Fully Remote"/>
    <n v="83"/>
    <x v="2"/>
  </r>
  <r>
    <x v="711"/>
    <x v="5"/>
    <s v="Smith"/>
    <x v="5"/>
    <x v="80"/>
    <s v="janesmith@gmail.com"/>
    <x v="705"/>
    <s v="low"/>
    <x v="682"/>
    <n v="2004"/>
    <x v="3"/>
    <n v="6"/>
    <d v="2026-03-19T00:00:00"/>
    <n v="8017"/>
    <n v="8017"/>
    <n v="5728"/>
    <n v="32"/>
    <x v="0"/>
    <x v="0"/>
    <n v="9"/>
    <s v="No"/>
    <n v="4723.95"/>
    <x v="2"/>
    <x v="4"/>
    <x v="19"/>
    <s v="Good Employee"/>
    <b v="1"/>
    <b v="1"/>
    <s v="Good employee"/>
    <x v="0"/>
    <x v="2"/>
    <n v="4"/>
    <n v="2013"/>
    <s v="Hybrid"/>
    <n v="81"/>
    <x v="5"/>
  </r>
  <r>
    <x v="712"/>
    <x v="7"/>
    <s v="Johnson"/>
    <x v="4"/>
    <x v="115"/>
    <s v="johnjohnson@gmail.com"/>
    <x v="706"/>
    <s v="High"/>
    <x v="683"/>
    <n v="2010"/>
    <x v="8"/>
    <n v="27"/>
    <d v="2026-03-19T00:00:00"/>
    <n v="5836"/>
    <n v="5836"/>
    <n v="4169"/>
    <n v="40"/>
    <x v="0"/>
    <x v="0"/>
    <n v="8"/>
    <s v="No"/>
    <n v="7487.76"/>
    <x v="3"/>
    <x v="0"/>
    <x v="20"/>
    <s v="Bad Employee"/>
    <b v="0"/>
    <b v="1"/>
    <s v="Good employee"/>
    <x v="2"/>
    <x v="5"/>
    <n v="6"/>
    <n v="2020"/>
    <s v="On-Site"/>
    <n v="47"/>
    <x v="14"/>
  </r>
  <r>
    <x v="713"/>
    <x v="1"/>
    <s v="Wilson"/>
    <x v="3"/>
    <x v="81"/>
    <s v="emilywilson@gmail.com"/>
    <x v="707"/>
    <s v="Medium"/>
    <x v="664"/>
    <n v="2005"/>
    <x v="1"/>
    <n v="27"/>
    <d v="2026-03-19T00:00:00"/>
    <n v="7417"/>
    <n v="7417"/>
    <n v="5299"/>
    <n v="49"/>
    <x v="0"/>
    <x v="0"/>
    <n v="1"/>
    <s v="No"/>
    <n v="9635.94"/>
    <x v="2"/>
    <x v="3"/>
    <x v="14"/>
    <s v="Bad Employee"/>
    <b v="0"/>
    <b v="0"/>
    <s v="Bad Employee"/>
    <x v="1"/>
    <x v="5"/>
    <n v="9"/>
    <n v="2022"/>
    <s v="Fully Remote"/>
    <n v="12"/>
    <x v="10"/>
  </r>
  <r>
    <x v="714"/>
    <x v="4"/>
    <s v="Wilson"/>
    <x v="3"/>
    <x v="23"/>
    <s v="sarahwilson@gmail.com"/>
    <x v="708"/>
    <s v="low"/>
    <x v="684"/>
    <n v="2014"/>
    <x v="5"/>
    <n v="4"/>
    <d v="2026-03-19T00:00:00"/>
    <n v="4184"/>
    <n v="4184"/>
    <n v="2989"/>
    <n v="59"/>
    <x v="0"/>
    <x v="1"/>
    <n v="3"/>
    <s v="Yes"/>
    <n v="4054"/>
    <x v="1"/>
    <x v="1"/>
    <x v="19"/>
    <s v="Bad Employee"/>
    <b v="0"/>
    <b v="1"/>
    <s v="Good employee"/>
    <x v="0"/>
    <x v="3"/>
    <n v="1"/>
    <n v="2011"/>
    <s v="Hybrid"/>
    <n v="67"/>
    <x v="34"/>
  </r>
  <r>
    <x v="715"/>
    <x v="4"/>
    <s v="Miller"/>
    <x v="3"/>
    <x v="98"/>
    <s v="sarahmiller@gmail.com"/>
    <x v="709"/>
    <s v="Medium"/>
    <x v="685"/>
    <n v="2009"/>
    <x v="9"/>
    <n v="13"/>
    <d v="2026-03-19T00:00:00"/>
    <n v="6123"/>
    <n v="6123"/>
    <n v="4374"/>
    <n v="25"/>
    <x v="1"/>
    <x v="0"/>
    <n v="6"/>
    <s v="No"/>
    <n v="5655.87"/>
    <x v="3"/>
    <x v="1"/>
    <x v="31"/>
    <s v="Bad Employee"/>
    <b v="0"/>
    <b v="1"/>
    <s v="Good employee"/>
    <x v="0"/>
    <x v="0"/>
    <n v="0"/>
    <n v="2018"/>
    <s v="On-Site"/>
    <n v="124"/>
    <x v="16"/>
  </r>
  <r>
    <x v="716"/>
    <x v="3"/>
    <s v="Davis"/>
    <x v="2"/>
    <x v="226"/>
    <s v="alexdavis@gmail.com"/>
    <x v="710"/>
    <s v="High"/>
    <x v="686"/>
    <n v="2000"/>
    <x v="5"/>
    <n v="26"/>
    <d v="2026-03-19T00:00:00"/>
    <n v="9275"/>
    <n v="9275"/>
    <n v="6626"/>
    <n v="58"/>
    <x v="0"/>
    <x v="0"/>
    <n v="1"/>
    <s v="No"/>
    <n v="8586.82"/>
    <x v="2"/>
    <x v="4"/>
    <x v="25"/>
    <s v="Bad Employee"/>
    <b v="0"/>
    <b v="0"/>
    <s v="Bad Employee"/>
    <x v="0"/>
    <x v="1"/>
    <n v="19"/>
    <n v="2015"/>
    <s v="Hybrid"/>
    <n v="67"/>
    <x v="34"/>
  </r>
  <r>
    <x v="717"/>
    <x v="1"/>
    <s v="Davis"/>
    <x v="4"/>
    <x v="105"/>
    <s v="emilydavis@gmail.com"/>
    <x v="711"/>
    <s v="extremely low"/>
    <x v="687"/>
    <n v="2010"/>
    <x v="4"/>
    <n v="15"/>
    <d v="2026-03-19T00:00:00"/>
    <n v="5876"/>
    <n v="5876"/>
    <n v="4199"/>
    <n v="40"/>
    <x v="0"/>
    <x v="1"/>
    <n v="8"/>
    <s v="Yes"/>
    <n v="3672.99"/>
    <x v="2"/>
    <x v="1"/>
    <x v="17"/>
    <s v="Bad Employee"/>
    <b v="0"/>
    <b v="1"/>
    <s v="Good employee"/>
    <x v="0"/>
    <x v="5"/>
    <n v="0"/>
    <n v="2012"/>
    <s v="Hybrid"/>
    <n v="10"/>
    <x v="22"/>
  </r>
  <r>
    <x v="718"/>
    <x v="4"/>
    <s v="Brown"/>
    <x v="2"/>
    <x v="221"/>
    <s v="sarahbrown@gmail.com"/>
    <x v="712"/>
    <s v="High"/>
    <x v="688"/>
    <n v="2011"/>
    <x v="4"/>
    <n v="5"/>
    <d v="2026-03-19T00:00:00"/>
    <n v="5521"/>
    <n v="5521"/>
    <n v="3944"/>
    <n v="58"/>
    <x v="0"/>
    <x v="0"/>
    <n v="6"/>
    <s v="No"/>
    <n v="1851.44"/>
    <x v="2"/>
    <x v="2"/>
    <x v="8"/>
    <s v="Bad Employee"/>
    <b v="0"/>
    <b v="1"/>
    <s v="Good employee"/>
    <x v="0"/>
    <x v="2"/>
    <n v="3"/>
    <n v="2022"/>
    <s v="Fully Remote"/>
    <n v="78"/>
    <x v="9"/>
  </r>
  <r>
    <x v="719"/>
    <x v="1"/>
    <s v="Williams"/>
    <x v="5"/>
    <x v="292"/>
    <s v="emilywilliams@gmail.com"/>
    <x v="713"/>
    <s v="Medium"/>
    <x v="689"/>
    <n v="2019"/>
    <x v="2"/>
    <n v="25"/>
    <d v="2026-03-19T00:00:00"/>
    <n v="2429"/>
    <n v="2429"/>
    <n v="1736"/>
    <n v="35"/>
    <x v="0"/>
    <x v="1"/>
    <n v="1"/>
    <s v="Yes"/>
    <n v="3177.88"/>
    <x v="3"/>
    <x v="3"/>
    <x v="14"/>
    <s v="Bad Employee"/>
    <b v="0"/>
    <b v="0"/>
    <s v="Bad Employee"/>
    <x v="0"/>
    <x v="5"/>
    <n v="14"/>
    <n v="2023"/>
    <s v="On-Site"/>
    <n v="56"/>
    <x v="5"/>
  </r>
  <r>
    <x v="720"/>
    <x v="5"/>
    <s v="Williams"/>
    <x v="0"/>
    <x v="32"/>
    <s v="janewilliams@gmail.com"/>
    <x v="714"/>
    <s v="Medium"/>
    <x v="690"/>
    <n v="2016"/>
    <x v="11"/>
    <n v="18"/>
    <d v="2026-03-19T00:00:00"/>
    <n v="3713"/>
    <n v="3713"/>
    <n v="2654"/>
    <n v="52"/>
    <x v="0"/>
    <x v="1"/>
    <n v="2"/>
    <s v="No"/>
    <n v="9041.67"/>
    <x v="3"/>
    <x v="2"/>
    <x v="4"/>
    <s v="Bad Employee"/>
    <b v="0"/>
    <b v="0"/>
    <s v="Bad Employee"/>
    <x v="0"/>
    <x v="4"/>
    <n v="14"/>
    <n v="2019"/>
    <s v="Fully Remote"/>
    <n v="25"/>
    <x v="17"/>
  </r>
  <r>
    <x v="721"/>
    <x v="3"/>
    <s v="Miller"/>
    <x v="3"/>
    <x v="140"/>
    <s v="alexmiller@gmail.com"/>
    <x v="715"/>
    <s v="Medium"/>
    <x v="691"/>
    <n v="2013"/>
    <x v="3"/>
    <n v="21"/>
    <d v="2026-03-19T00:00:00"/>
    <n v="4715"/>
    <n v="4715"/>
    <n v="3369"/>
    <n v="49"/>
    <x v="0"/>
    <x v="1"/>
    <n v="6"/>
    <s v="Yes"/>
    <n v="2014.23"/>
    <x v="0"/>
    <x v="4"/>
    <x v="29"/>
    <s v="Bad Employee"/>
    <b v="0"/>
    <b v="0"/>
    <s v="Bad Employee"/>
    <x v="0"/>
    <x v="2"/>
    <n v="5"/>
    <n v="2020"/>
    <s v="Hybrid"/>
    <n v="146"/>
    <x v="1"/>
  </r>
  <r>
    <x v="722"/>
    <x v="1"/>
    <s v="Wilson"/>
    <x v="4"/>
    <x v="293"/>
    <s v="emilywilson@gmail.com"/>
    <x v="716"/>
    <s v="Medium"/>
    <x v="692"/>
    <n v="2000"/>
    <x v="0"/>
    <n v="5"/>
    <d v="2026-03-19T00:00:00"/>
    <n v="9326"/>
    <n v="9326"/>
    <n v="6663"/>
    <n v="57"/>
    <x v="0"/>
    <x v="0"/>
    <n v="8"/>
    <s v="Yes"/>
    <n v="3627.6"/>
    <x v="1"/>
    <x v="2"/>
    <x v="21"/>
    <s v="Bad Employee"/>
    <b v="0"/>
    <b v="1"/>
    <s v="Good employee"/>
    <x v="0"/>
    <x v="0"/>
    <n v="5"/>
    <n v="2014"/>
    <s v="On-Site"/>
    <n v="120"/>
    <x v="35"/>
  </r>
  <r>
    <x v="723"/>
    <x v="7"/>
    <s v="Brown"/>
    <x v="3"/>
    <x v="217"/>
    <s v="johnbrown@gmail.com"/>
    <x v="717"/>
    <s v="High"/>
    <x v="693"/>
    <n v="2007"/>
    <x v="11"/>
    <n v="12"/>
    <d v="2026-03-19T00:00:00"/>
    <n v="7006"/>
    <n v="7006"/>
    <n v="5005"/>
    <n v="59"/>
    <x v="0"/>
    <x v="1"/>
    <n v="5"/>
    <s v="Yes"/>
    <n v="4914.08"/>
    <x v="0"/>
    <x v="2"/>
    <x v="1"/>
    <s v="Bad Employee"/>
    <b v="0"/>
    <b v="1"/>
    <s v="Good employee"/>
    <x v="0"/>
    <x v="2"/>
    <n v="0"/>
    <n v="2015"/>
    <s v="Hybrid"/>
    <n v="62"/>
    <x v="24"/>
  </r>
  <r>
    <x v="724"/>
    <x v="7"/>
    <s v="Brown"/>
    <x v="2"/>
    <x v="55"/>
    <s v="johnbrown@gmail.com"/>
    <x v="718"/>
    <s v="Medium"/>
    <x v="694"/>
    <n v="2011"/>
    <x v="3"/>
    <n v="22"/>
    <d v="2026-03-19T00:00:00"/>
    <n v="5445"/>
    <n v="5445"/>
    <n v="3890"/>
    <n v="40"/>
    <x v="0"/>
    <x v="0"/>
    <n v="1"/>
    <s v="Yes"/>
    <n v="8547.58"/>
    <x v="1"/>
    <x v="3"/>
    <x v="0"/>
    <s v="Bad Employee"/>
    <b v="0"/>
    <b v="0"/>
    <s v="Bad Employee"/>
    <x v="1"/>
    <x v="2"/>
    <n v="6"/>
    <n v="2018"/>
    <s v="Hybrid"/>
    <n v="157"/>
    <x v="6"/>
  </r>
  <r>
    <x v="725"/>
    <x v="2"/>
    <s v="Brown"/>
    <x v="1"/>
    <x v="262"/>
    <s v="chrisbrown@gmail.com"/>
    <x v="719"/>
    <s v="High"/>
    <x v="695"/>
    <n v="2011"/>
    <x v="1"/>
    <n v="2"/>
    <d v="2026-03-19T00:00:00"/>
    <n v="5251"/>
    <n v="5251"/>
    <n v="3752"/>
    <n v="63"/>
    <x v="0"/>
    <x v="1"/>
    <n v="2"/>
    <s v="No"/>
    <n v="9408.2800000000007"/>
    <x v="3"/>
    <x v="3"/>
    <x v="27"/>
    <s v="Bad Employee"/>
    <b v="0"/>
    <b v="1"/>
    <s v="Good employee"/>
    <x v="2"/>
    <x v="5"/>
    <n v="4"/>
    <n v="2014"/>
    <s v="Hybrid"/>
    <n v="60"/>
    <x v="29"/>
  </r>
  <r>
    <x v="726"/>
    <x v="3"/>
    <s v="Miller"/>
    <x v="5"/>
    <x v="183"/>
    <s v="alexmiller@gmail.com"/>
    <x v="720"/>
    <s v="High"/>
    <x v="696"/>
    <n v="2012"/>
    <x v="5"/>
    <n v="24"/>
    <d v="2026-03-19T00:00:00"/>
    <n v="4894"/>
    <n v="4894"/>
    <n v="3497"/>
    <n v="22"/>
    <x v="1"/>
    <x v="1"/>
    <n v="4"/>
    <s v="Yes"/>
    <n v="4545.2"/>
    <x v="2"/>
    <x v="0"/>
    <x v="14"/>
    <s v="Bad Employee"/>
    <b v="0"/>
    <b v="0"/>
    <s v="Bad Employee"/>
    <x v="1"/>
    <x v="2"/>
    <n v="16"/>
    <n v="2018"/>
    <s v="On-Site"/>
    <n v="87"/>
    <x v="11"/>
  </r>
  <r>
    <x v="727"/>
    <x v="3"/>
    <s v="Williams"/>
    <x v="0"/>
    <x v="251"/>
    <s v="alexwilliams@gmail.com"/>
    <x v="721"/>
    <s v="High"/>
    <x v="697"/>
    <n v="2019"/>
    <x v="9"/>
    <n v="11"/>
    <d v="2026-03-19T00:00:00"/>
    <n v="2473"/>
    <n v="2473"/>
    <n v="1768"/>
    <n v="44"/>
    <x v="0"/>
    <x v="1"/>
    <n v="4"/>
    <s v="Yes"/>
    <n v="9353.56"/>
    <x v="0"/>
    <x v="2"/>
    <x v="19"/>
    <s v="Bad Employee"/>
    <b v="0"/>
    <b v="1"/>
    <s v="Good employee"/>
    <x v="2"/>
    <x v="3"/>
    <n v="6"/>
    <n v="2010"/>
    <s v="Hybrid"/>
    <n v="13"/>
    <x v="36"/>
  </r>
  <r>
    <x v="728"/>
    <x v="2"/>
    <s v="Wilson"/>
    <x v="5"/>
    <x v="269"/>
    <s v="chriswilson@gmail.com"/>
    <x v="722"/>
    <s v="High"/>
    <x v="698"/>
    <n v="2007"/>
    <x v="5"/>
    <n v="31"/>
    <d v="2026-03-19T00:00:00"/>
    <n v="6714"/>
    <n v="6714"/>
    <n v="4797"/>
    <n v="49"/>
    <x v="0"/>
    <x v="1"/>
    <n v="7"/>
    <s v="No"/>
    <n v="2033.86"/>
    <x v="3"/>
    <x v="3"/>
    <x v="34"/>
    <s v="Good Employee"/>
    <b v="1"/>
    <b v="1"/>
    <s v="Good employee"/>
    <x v="1"/>
    <x v="1"/>
    <n v="3"/>
    <n v="2021"/>
    <s v="On-Site"/>
    <n v="168"/>
    <x v="29"/>
  </r>
  <r>
    <x v="729"/>
    <x v="1"/>
    <s v="Brown"/>
    <x v="1"/>
    <x v="294"/>
    <s v="emilybrown@gmail.com"/>
    <x v="723"/>
    <s v="Medium"/>
    <x v="353"/>
    <n v="2001"/>
    <x v="10"/>
    <n v="24"/>
    <d v="2026-03-19T00:00:00"/>
    <n v="8851"/>
    <n v="8851"/>
    <n v="6324"/>
    <n v="25"/>
    <x v="1"/>
    <x v="0"/>
    <n v="2"/>
    <s v="No"/>
    <n v="1990.1"/>
    <x v="3"/>
    <x v="2"/>
    <x v="0"/>
    <s v="Bad Employee"/>
    <b v="0"/>
    <b v="0"/>
    <s v="Bad Employee"/>
    <x v="2"/>
    <x v="2"/>
    <n v="2"/>
    <n v="2019"/>
    <s v="Hybrid"/>
    <n v="189"/>
    <x v="18"/>
  </r>
  <r>
    <x v="730"/>
    <x v="3"/>
    <s v="Wilson"/>
    <x v="0"/>
    <x v="241"/>
    <s v="alexwilson@gmail.com"/>
    <x v="724"/>
    <s v="Medium"/>
    <x v="699"/>
    <n v="2018"/>
    <x v="9"/>
    <n v="2"/>
    <d v="2026-03-19T00:00:00"/>
    <n v="2847"/>
    <n v="2847"/>
    <n v="2034"/>
    <n v="62"/>
    <x v="0"/>
    <x v="0"/>
    <n v="7"/>
    <s v="Yes"/>
    <n v="9517.8799999999992"/>
    <x v="3"/>
    <x v="2"/>
    <x v="14"/>
    <s v="Bad Employee"/>
    <b v="0"/>
    <b v="1"/>
    <s v="Good employee"/>
    <x v="2"/>
    <x v="5"/>
    <n v="11"/>
    <n v="2013"/>
    <s v="Fully Remote"/>
    <n v="137"/>
    <x v="8"/>
  </r>
  <r>
    <x v="731"/>
    <x v="7"/>
    <s v="Smith"/>
    <x v="1"/>
    <x v="137"/>
    <s v="johnsmith@gmail.com"/>
    <x v="725"/>
    <s v="low"/>
    <x v="700"/>
    <n v="2001"/>
    <x v="2"/>
    <n v="23"/>
    <d v="2026-03-19T00:00:00"/>
    <n v="9005"/>
    <n v="9005"/>
    <n v="6434"/>
    <n v="39"/>
    <x v="0"/>
    <x v="1"/>
    <n v="7"/>
    <s v="Yes"/>
    <n v="5341.96"/>
    <x v="0"/>
    <x v="4"/>
    <x v="13"/>
    <s v="Good Employee"/>
    <b v="1"/>
    <b v="1"/>
    <s v="Good employee"/>
    <x v="2"/>
    <x v="3"/>
    <n v="14"/>
    <n v="2010"/>
    <s v="On-Site"/>
    <n v="85"/>
    <x v="7"/>
  </r>
  <r>
    <x v="732"/>
    <x v="7"/>
    <s v="Davis"/>
    <x v="5"/>
    <x v="178"/>
    <s v="johndavis@gmail.com"/>
    <x v="726"/>
    <s v="Medium"/>
    <x v="701"/>
    <n v="2000"/>
    <x v="6"/>
    <n v="7"/>
    <d v="2026-03-19T00:00:00"/>
    <n v="9355"/>
    <n v="9355"/>
    <n v="6684"/>
    <n v="60"/>
    <x v="0"/>
    <x v="1"/>
    <n v="7"/>
    <s v="No"/>
    <n v="2266.12"/>
    <x v="3"/>
    <x v="4"/>
    <x v="28"/>
    <s v="Good Employee"/>
    <b v="1"/>
    <b v="1"/>
    <s v="Good employee"/>
    <x v="1"/>
    <x v="0"/>
    <n v="19"/>
    <n v="2011"/>
    <s v="Hybrid"/>
    <n v="98"/>
    <x v="8"/>
  </r>
  <r>
    <x v="733"/>
    <x v="4"/>
    <s v="Davis"/>
    <x v="2"/>
    <x v="273"/>
    <s v="sarahdavis@gmail.com"/>
    <x v="727"/>
    <s v="High"/>
    <x v="702"/>
    <n v="2003"/>
    <x v="5"/>
    <n v="26"/>
    <d v="2026-03-19T00:00:00"/>
    <n v="8180"/>
    <n v="8180"/>
    <n v="5844"/>
    <n v="46"/>
    <x v="0"/>
    <x v="1"/>
    <n v="3"/>
    <s v="Yes"/>
    <n v="5135.91"/>
    <x v="1"/>
    <x v="2"/>
    <x v="37"/>
    <s v="Bad Employee"/>
    <b v="0"/>
    <b v="1"/>
    <s v="Good employee"/>
    <x v="2"/>
    <x v="4"/>
    <n v="8"/>
    <n v="2011"/>
    <s v="Fully Remote"/>
    <n v="139"/>
    <x v="16"/>
  </r>
  <r>
    <x v="734"/>
    <x v="5"/>
    <s v="Wilson"/>
    <x v="5"/>
    <x v="164"/>
    <s v="janewilson@gmail.com"/>
    <x v="728"/>
    <s v="High"/>
    <x v="703"/>
    <n v="2007"/>
    <x v="5"/>
    <n v="5"/>
    <d v="2026-03-19T00:00:00"/>
    <n v="6740"/>
    <n v="6740"/>
    <n v="4815"/>
    <n v="39"/>
    <x v="0"/>
    <x v="0"/>
    <n v="6"/>
    <s v="No"/>
    <n v="7940.51"/>
    <x v="1"/>
    <x v="4"/>
    <x v="34"/>
    <s v="Bad Employee"/>
    <b v="0"/>
    <b v="1"/>
    <s v="Good employee"/>
    <x v="0"/>
    <x v="2"/>
    <n v="11"/>
    <n v="2019"/>
    <s v="On-Site"/>
    <n v="138"/>
    <x v="7"/>
  </r>
  <r>
    <x v="735"/>
    <x v="3"/>
    <s v="Johnson"/>
    <x v="5"/>
    <x v="39"/>
    <s v="alexjohnson@gmail.com"/>
    <x v="729"/>
    <s v="High"/>
    <x v="704"/>
    <n v="2018"/>
    <x v="3"/>
    <n v="7"/>
    <d v="2026-03-19T00:00:00"/>
    <n v="2903"/>
    <n v="2903"/>
    <n v="2074"/>
    <n v="27"/>
    <x v="1"/>
    <x v="1"/>
    <n v="6"/>
    <s v="No"/>
    <n v="8355.74"/>
    <x v="2"/>
    <x v="3"/>
    <x v="22"/>
    <s v="Bad Employee"/>
    <b v="0"/>
    <b v="1"/>
    <s v="Good employee"/>
    <x v="2"/>
    <x v="3"/>
    <n v="4"/>
    <n v="2020"/>
    <s v="Fully Remote"/>
    <n v="56"/>
    <x v="37"/>
  </r>
  <r>
    <x v="736"/>
    <x v="1"/>
    <s v="Johnson"/>
    <x v="5"/>
    <x v="116"/>
    <s v="emilyjohnson@gmail.com"/>
    <x v="730"/>
    <s v="low"/>
    <x v="705"/>
    <n v="2005"/>
    <x v="5"/>
    <n v="23"/>
    <d v="2026-03-19T00:00:00"/>
    <n v="7452"/>
    <n v="7452"/>
    <n v="5324"/>
    <n v="40"/>
    <x v="0"/>
    <x v="1"/>
    <n v="4"/>
    <s v="Yes"/>
    <n v="8707.7099999999991"/>
    <x v="0"/>
    <x v="2"/>
    <x v="8"/>
    <s v="Bad Employee"/>
    <b v="0"/>
    <b v="1"/>
    <s v="Good employee"/>
    <x v="1"/>
    <x v="3"/>
    <n v="7"/>
    <n v="2014"/>
    <s v="Hybrid"/>
    <n v="110"/>
    <x v="1"/>
  </r>
  <r>
    <x v="737"/>
    <x v="2"/>
    <s v="Miller"/>
    <x v="4"/>
    <x v="295"/>
    <s v="chrismiller@gmail.com"/>
    <x v="731"/>
    <s v="Medium"/>
    <x v="706"/>
    <n v="2015"/>
    <x v="0"/>
    <n v="16"/>
    <d v="2026-03-19T00:00:00"/>
    <n v="3837"/>
    <n v="3837"/>
    <n v="2742"/>
    <n v="33"/>
    <x v="0"/>
    <x v="0"/>
    <n v="1"/>
    <s v="No"/>
    <n v="5910.92"/>
    <x v="0"/>
    <x v="4"/>
    <x v="18"/>
    <s v="Bad Employee"/>
    <b v="0"/>
    <b v="0"/>
    <s v="Bad Employee"/>
    <x v="1"/>
    <x v="0"/>
    <n v="14"/>
    <n v="2010"/>
    <s v="Fully Remote"/>
    <n v="59"/>
    <x v="14"/>
  </r>
  <r>
    <x v="738"/>
    <x v="2"/>
    <s v="Miller"/>
    <x v="1"/>
    <x v="109"/>
    <s v="chrismiller@gmail.com"/>
    <x v="732"/>
    <s v="High"/>
    <x v="707"/>
    <n v="2011"/>
    <x v="6"/>
    <n v="2"/>
    <d v="2026-03-19T00:00:00"/>
    <n v="5343"/>
    <n v="5343"/>
    <n v="3818"/>
    <n v="46"/>
    <x v="0"/>
    <x v="1"/>
    <n v="9"/>
    <s v="No"/>
    <n v="8735.99"/>
    <x v="0"/>
    <x v="3"/>
    <x v="32"/>
    <s v="Good Employee"/>
    <b v="1"/>
    <b v="1"/>
    <s v="Good employee"/>
    <x v="0"/>
    <x v="0"/>
    <n v="6"/>
    <n v="2019"/>
    <s v="Hybrid"/>
    <n v="18"/>
    <x v="40"/>
  </r>
  <r>
    <x v="739"/>
    <x v="1"/>
    <s v="Davis"/>
    <x v="1"/>
    <x v="75"/>
    <s v="emilydavis@gmail.com"/>
    <x v="733"/>
    <s v="low"/>
    <x v="708"/>
    <n v="2010"/>
    <x v="10"/>
    <n v="14"/>
    <d v="2026-03-19T00:00:00"/>
    <n v="5574"/>
    <n v="5574"/>
    <n v="3983"/>
    <n v="56"/>
    <x v="0"/>
    <x v="1"/>
    <n v="2"/>
    <s v="Yes"/>
    <n v="5345.29"/>
    <x v="0"/>
    <x v="2"/>
    <x v="18"/>
    <s v="Bad Employee"/>
    <b v="0"/>
    <b v="0"/>
    <s v="Bad Employee"/>
    <x v="2"/>
    <x v="4"/>
    <n v="18"/>
    <n v="2023"/>
    <s v="Hybrid"/>
    <n v="133"/>
    <x v="29"/>
  </r>
  <r>
    <x v="740"/>
    <x v="0"/>
    <s v="Smith"/>
    <x v="3"/>
    <x v="40"/>
    <s v="michaelsmith@gmail.com"/>
    <x v="734"/>
    <s v="High"/>
    <x v="709"/>
    <n v="2017"/>
    <x v="11"/>
    <n v="8"/>
    <d v="2026-03-19T00:00:00"/>
    <n v="3357"/>
    <n v="3357"/>
    <n v="2399"/>
    <n v="22"/>
    <x v="1"/>
    <x v="1"/>
    <n v="9"/>
    <s v="No"/>
    <n v="6267.07"/>
    <x v="0"/>
    <x v="2"/>
    <x v="9"/>
    <s v="Bad Employee"/>
    <b v="0"/>
    <b v="1"/>
    <s v="Good employee"/>
    <x v="1"/>
    <x v="4"/>
    <n v="12"/>
    <n v="2012"/>
    <s v="On-Site"/>
    <n v="169"/>
    <x v="32"/>
  </r>
  <r>
    <x v="741"/>
    <x v="6"/>
    <s v="Williams"/>
    <x v="1"/>
    <x v="20"/>
    <s v="katiewilliams@gmail.com"/>
    <x v="735"/>
    <s v="High"/>
    <x v="710"/>
    <n v="2011"/>
    <x v="1"/>
    <n v="28"/>
    <d v="2026-03-19T00:00:00"/>
    <n v="5225"/>
    <n v="5225"/>
    <n v="3734"/>
    <n v="26"/>
    <x v="1"/>
    <x v="1"/>
    <n v="8"/>
    <s v="No"/>
    <n v="7707.84"/>
    <x v="3"/>
    <x v="4"/>
    <x v="12"/>
    <s v="Good Employee"/>
    <b v="1"/>
    <b v="1"/>
    <s v="Good employee"/>
    <x v="2"/>
    <x v="5"/>
    <n v="0"/>
    <n v="2020"/>
    <s v="Hybrid"/>
    <n v="53"/>
    <x v="1"/>
  </r>
  <r>
    <x v="742"/>
    <x v="5"/>
    <s v="Williams"/>
    <x v="3"/>
    <x v="233"/>
    <s v="janewilliams@gmail.com"/>
    <x v="736"/>
    <s v="Medium"/>
    <x v="711"/>
    <n v="2008"/>
    <x v="9"/>
    <n v="16"/>
    <d v="2026-03-19T00:00:00"/>
    <n v="6485"/>
    <n v="6485"/>
    <n v="4634"/>
    <n v="22"/>
    <x v="1"/>
    <x v="0"/>
    <n v="1"/>
    <s v="Yes"/>
    <n v="4541.6400000000003"/>
    <x v="3"/>
    <x v="3"/>
    <x v="10"/>
    <s v="Bad Employee"/>
    <b v="0"/>
    <b v="0"/>
    <s v="Bad Employee"/>
    <x v="0"/>
    <x v="4"/>
    <n v="10"/>
    <n v="2015"/>
    <s v="Hybrid"/>
    <n v="144"/>
    <x v="1"/>
  </r>
  <r>
    <x v="743"/>
    <x v="2"/>
    <s v="Miller"/>
    <x v="4"/>
    <x v="295"/>
    <s v="chrismiller@gmail.com"/>
    <x v="737"/>
    <s v="High"/>
    <x v="712"/>
    <n v="2016"/>
    <x v="2"/>
    <n v="25"/>
    <d v="2026-03-19T00:00:00"/>
    <n v="3524"/>
    <n v="3524"/>
    <n v="2519"/>
    <n v="29"/>
    <x v="1"/>
    <x v="0"/>
    <n v="7"/>
    <s v="No"/>
    <n v="1199.02"/>
    <x v="1"/>
    <x v="2"/>
    <x v="26"/>
    <s v="Bad Employee"/>
    <b v="0"/>
    <b v="1"/>
    <s v="Good employee"/>
    <x v="0"/>
    <x v="4"/>
    <n v="12"/>
    <n v="2010"/>
    <s v="On-Site"/>
    <n v="137"/>
    <x v="25"/>
  </r>
  <r>
    <x v="744"/>
    <x v="3"/>
    <s v="Smith"/>
    <x v="2"/>
    <x v="13"/>
    <s v="alexsmith@gmail.com"/>
    <x v="738"/>
    <s v="High"/>
    <x v="713"/>
    <n v="2019"/>
    <x v="6"/>
    <n v="14"/>
    <d v="2026-03-19T00:00:00"/>
    <n v="2409"/>
    <n v="2409"/>
    <n v="1722"/>
    <n v="60"/>
    <x v="0"/>
    <x v="0"/>
    <n v="3"/>
    <s v="No"/>
    <n v="3826.58"/>
    <x v="0"/>
    <x v="2"/>
    <x v="15"/>
    <s v="Bad Employee"/>
    <b v="0"/>
    <b v="0"/>
    <s v="Bad Employee"/>
    <x v="1"/>
    <x v="3"/>
    <n v="1"/>
    <n v="2021"/>
    <s v="On-Site"/>
    <n v="74"/>
    <x v="6"/>
  </r>
  <r>
    <x v="745"/>
    <x v="5"/>
    <s v="Miller"/>
    <x v="3"/>
    <x v="296"/>
    <s v="janemiller@gmail.com"/>
    <x v="739"/>
    <s v="High"/>
    <x v="714"/>
    <n v="2019"/>
    <x v="0"/>
    <n v="28"/>
    <d v="2026-03-19T00:00:00"/>
    <n v="2364"/>
    <n v="2364"/>
    <n v="1689"/>
    <n v="64"/>
    <x v="0"/>
    <x v="1"/>
    <n v="9"/>
    <s v="Yes"/>
    <n v="6427.47"/>
    <x v="0"/>
    <x v="0"/>
    <x v="15"/>
    <s v="Bad Employee"/>
    <b v="0"/>
    <b v="1"/>
    <s v="Good employee"/>
    <x v="2"/>
    <x v="2"/>
    <n v="18"/>
    <n v="2020"/>
    <s v="Hybrid"/>
    <n v="120"/>
    <x v="39"/>
  </r>
  <r>
    <x v="746"/>
    <x v="3"/>
    <s v="Williams"/>
    <x v="5"/>
    <x v="151"/>
    <s v="alexwilliams@gmail.com"/>
    <x v="740"/>
    <s v="low"/>
    <x v="715"/>
    <n v="2000"/>
    <x v="4"/>
    <n v="19"/>
    <d v="2026-03-19T00:00:00"/>
    <n v="9525"/>
    <n v="9525"/>
    <n v="6804"/>
    <n v="39"/>
    <x v="0"/>
    <x v="1"/>
    <n v="5"/>
    <s v="No"/>
    <n v="2327.16"/>
    <x v="0"/>
    <x v="2"/>
    <x v="16"/>
    <s v="Bad Employee"/>
    <b v="0"/>
    <b v="1"/>
    <s v="Good employee"/>
    <x v="0"/>
    <x v="2"/>
    <n v="10"/>
    <n v="2010"/>
    <s v="Hybrid"/>
    <n v="123"/>
    <x v="12"/>
  </r>
  <r>
    <x v="747"/>
    <x v="0"/>
    <s v="Wilson"/>
    <x v="2"/>
    <x v="8"/>
    <s v="michaelwilson@gmail.com"/>
    <x v="741"/>
    <s v="Medium"/>
    <x v="716"/>
    <n v="2001"/>
    <x v="7"/>
    <n v="29"/>
    <d v="2026-03-19T00:00:00"/>
    <n v="9060"/>
    <n v="9060"/>
    <n v="6473"/>
    <n v="30"/>
    <x v="1"/>
    <x v="0"/>
    <n v="3"/>
    <s v="No"/>
    <n v="1909.66"/>
    <x v="1"/>
    <x v="0"/>
    <x v="1"/>
    <s v="Bad Employee"/>
    <b v="0"/>
    <b v="1"/>
    <s v="Good employee"/>
    <x v="0"/>
    <x v="1"/>
    <n v="0"/>
    <n v="2012"/>
    <s v="On-Site"/>
    <n v="143"/>
    <x v="13"/>
  </r>
  <r>
    <x v="748"/>
    <x v="7"/>
    <s v="Miller"/>
    <x v="4"/>
    <x v="219"/>
    <s v="johnmiller@gmail.com"/>
    <x v="448"/>
    <s v="High"/>
    <x v="717"/>
    <n v="2007"/>
    <x v="6"/>
    <n v="23"/>
    <d v="2026-03-19T00:00:00"/>
    <n v="6783"/>
    <n v="6783"/>
    <n v="4846"/>
    <n v="26"/>
    <x v="1"/>
    <x v="1"/>
    <n v="8"/>
    <s v="No"/>
    <n v="3284.27"/>
    <x v="0"/>
    <x v="0"/>
    <x v="31"/>
    <s v="Good Employee"/>
    <b v="1"/>
    <b v="1"/>
    <s v="Good employee"/>
    <x v="1"/>
    <x v="4"/>
    <n v="0"/>
    <n v="2018"/>
    <s v="On-Site"/>
    <n v="185"/>
    <x v="30"/>
  </r>
  <r>
    <x v="749"/>
    <x v="5"/>
    <s v="Brown"/>
    <x v="1"/>
    <x v="266"/>
    <s v="janebrown@gmail.com"/>
    <x v="742"/>
    <s v="extremely low"/>
    <x v="718"/>
    <n v="2007"/>
    <x v="6"/>
    <n v="10"/>
    <d v="2026-03-19T00:00:00"/>
    <n v="6796"/>
    <n v="6796"/>
    <n v="4855"/>
    <n v="25"/>
    <x v="1"/>
    <x v="1"/>
    <n v="3"/>
    <s v="No"/>
    <n v="805.06"/>
    <x v="0"/>
    <x v="3"/>
    <x v="23"/>
    <s v="Bad Employee"/>
    <b v="0"/>
    <b v="0"/>
    <s v="Bad Employee"/>
    <x v="0"/>
    <x v="1"/>
    <n v="7"/>
    <n v="2011"/>
    <s v="Fully Remote"/>
    <n v="187"/>
    <x v="40"/>
  </r>
  <r>
    <x v="750"/>
    <x v="4"/>
    <s v="Wilson"/>
    <x v="3"/>
    <x v="23"/>
    <s v="sarahwilson@gmail.com"/>
    <x v="743"/>
    <s v="Medium"/>
    <x v="719"/>
    <n v="2007"/>
    <x v="8"/>
    <n v="3"/>
    <d v="2026-03-19T00:00:00"/>
    <n v="6956"/>
    <n v="6956"/>
    <n v="4969"/>
    <n v="50"/>
    <x v="0"/>
    <x v="0"/>
    <n v="7"/>
    <s v="Yes"/>
    <n v="7562.52"/>
    <x v="3"/>
    <x v="1"/>
    <x v="14"/>
    <s v="Bad Employee"/>
    <b v="0"/>
    <b v="1"/>
    <s v="Good employee"/>
    <x v="1"/>
    <x v="1"/>
    <n v="12"/>
    <n v="2021"/>
    <s v="Fully Remote"/>
    <n v="83"/>
    <x v="3"/>
  </r>
  <r>
    <x v="751"/>
    <x v="2"/>
    <s v="Miller"/>
    <x v="5"/>
    <x v="159"/>
    <s v="chrismiller@gmail.com"/>
    <x v="744"/>
    <s v="High"/>
    <x v="720"/>
    <n v="2005"/>
    <x v="11"/>
    <n v="11"/>
    <d v="2026-03-19T00:00:00"/>
    <n v="7737"/>
    <n v="7737"/>
    <n v="5528"/>
    <n v="22"/>
    <x v="1"/>
    <x v="0"/>
    <n v="7"/>
    <s v="No"/>
    <n v="2957.8"/>
    <x v="1"/>
    <x v="0"/>
    <x v="27"/>
    <s v="Good Employee"/>
    <b v="1"/>
    <b v="1"/>
    <s v="Good employee"/>
    <x v="0"/>
    <x v="5"/>
    <n v="7"/>
    <n v="2015"/>
    <s v="Fully Remote"/>
    <n v="54"/>
    <x v="7"/>
  </r>
  <r>
    <x v="752"/>
    <x v="5"/>
    <s v="Davis"/>
    <x v="0"/>
    <x v="290"/>
    <s v="janedavis@gmail.com"/>
    <x v="745"/>
    <s v="High"/>
    <x v="721"/>
    <n v="2012"/>
    <x v="5"/>
    <n v="15"/>
    <d v="2026-03-19T00:00:00"/>
    <n v="4903"/>
    <n v="4903"/>
    <n v="3504"/>
    <n v="51"/>
    <x v="0"/>
    <x v="1"/>
    <n v="7"/>
    <s v="Yes"/>
    <n v="1680.26"/>
    <x v="3"/>
    <x v="3"/>
    <x v="4"/>
    <s v="Bad Employee"/>
    <b v="0"/>
    <b v="1"/>
    <s v="Good employee"/>
    <x v="0"/>
    <x v="5"/>
    <n v="1"/>
    <n v="2012"/>
    <s v="On-Site"/>
    <n v="185"/>
    <x v="31"/>
  </r>
  <r>
    <x v="753"/>
    <x v="5"/>
    <s v="Miller"/>
    <x v="0"/>
    <x v="297"/>
    <s v="janemiller@gmail.com"/>
    <x v="746"/>
    <s v="High"/>
    <x v="722"/>
    <n v="2003"/>
    <x v="8"/>
    <n v="11"/>
    <d v="2026-03-19T00:00:00"/>
    <n v="8409"/>
    <n v="8409"/>
    <n v="6008"/>
    <n v="22"/>
    <x v="1"/>
    <x v="0"/>
    <n v="1"/>
    <s v="No"/>
    <n v="7141.73"/>
    <x v="2"/>
    <x v="4"/>
    <x v="35"/>
    <s v="Bad Employee"/>
    <b v="0"/>
    <b v="1"/>
    <s v="Good employee"/>
    <x v="1"/>
    <x v="2"/>
    <n v="7"/>
    <n v="2015"/>
    <s v="On-Site"/>
    <n v="129"/>
    <x v="33"/>
  </r>
  <r>
    <x v="754"/>
    <x v="5"/>
    <s v="Davis"/>
    <x v="2"/>
    <x v="22"/>
    <s v="janedavis@gmail.com"/>
    <x v="747"/>
    <s v="High"/>
    <x v="723"/>
    <n v="2013"/>
    <x v="0"/>
    <n v="7"/>
    <d v="2026-03-19T00:00:00"/>
    <n v="4576"/>
    <n v="4576"/>
    <n v="3269"/>
    <n v="24"/>
    <x v="1"/>
    <x v="1"/>
    <n v="5"/>
    <s v="Yes"/>
    <n v="8507.82"/>
    <x v="0"/>
    <x v="0"/>
    <x v="38"/>
    <s v="Bad Employee"/>
    <b v="0"/>
    <b v="0"/>
    <s v="Bad Employee"/>
    <x v="1"/>
    <x v="0"/>
    <n v="13"/>
    <n v="2020"/>
    <s v="On-Site"/>
    <n v="59"/>
    <x v="17"/>
  </r>
  <r>
    <x v="755"/>
    <x v="6"/>
    <s v="Smith"/>
    <x v="1"/>
    <x v="220"/>
    <s v="katiesmith@gmail.com"/>
    <x v="748"/>
    <s v="Medium"/>
    <x v="724"/>
    <n v="2006"/>
    <x v="4"/>
    <n v="27"/>
    <d v="2026-03-19T00:00:00"/>
    <n v="7325"/>
    <n v="7325"/>
    <n v="5234"/>
    <n v="43"/>
    <x v="0"/>
    <x v="0"/>
    <n v="1"/>
    <s v="No"/>
    <n v="688.82"/>
    <x v="2"/>
    <x v="1"/>
    <x v="34"/>
    <s v="Bad Employee"/>
    <b v="0"/>
    <b v="1"/>
    <s v="Good employee"/>
    <x v="2"/>
    <x v="3"/>
    <n v="1"/>
    <n v="2020"/>
    <s v="Fully Remote"/>
    <n v="96"/>
    <x v="18"/>
  </r>
  <r>
    <x v="756"/>
    <x v="5"/>
    <s v="Williams"/>
    <x v="0"/>
    <x v="32"/>
    <s v="janewilliams@gmail.com"/>
    <x v="749"/>
    <s v="High"/>
    <x v="725"/>
    <n v="2017"/>
    <x v="7"/>
    <n v="21"/>
    <d v="2026-03-19T00:00:00"/>
    <n v="3224"/>
    <n v="3224"/>
    <n v="2304"/>
    <n v="29"/>
    <x v="1"/>
    <x v="0"/>
    <n v="7"/>
    <s v="Yes"/>
    <n v="2719.2"/>
    <x v="0"/>
    <x v="4"/>
    <x v="12"/>
    <s v="Good Employee"/>
    <b v="1"/>
    <b v="1"/>
    <s v="Good employee"/>
    <x v="0"/>
    <x v="4"/>
    <n v="12"/>
    <n v="2016"/>
    <s v="Hybrid"/>
    <n v="7"/>
    <x v="15"/>
  </r>
  <r>
    <x v="757"/>
    <x v="3"/>
    <s v="Wilson"/>
    <x v="2"/>
    <x v="298"/>
    <s v="alexwilson@gmail.com"/>
    <x v="750"/>
    <s v="extremely low"/>
    <x v="726"/>
    <n v="2001"/>
    <x v="4"/>
    <n v="18"/>
    <d v="2026-03-19T00:00:00"/>
    <n v="9160"/>
    <n v="9160"/>
    <n v="6544"/>
    <n v="39"/>
    <x v="0"/>
    <x v="1"/>
    <n v="8"/>
    <s v="Yes"/>
    <n v="9479.7099999999991"/>
    <x v="2"/>
    <x v="0"/>
    <x v="20"/>
    <s v="Bad Employee"/>
    <b v="0"/>
    <b v="1"/>
    <s v="Good employee"/>
    <x v="2"/>
    <x v="3"/>
    <n v="4"/>
    <n v="2022"/>
    <s v="Hybrid"/>
    <n v="124"/>
    <x v="37"/>
  </r>
  <r>
    <x v="758"/>
    <x v="7"/>
    <s v="Wilson"/>
    <x v="4"/>
    <x v="261"/>
    <s v="johnwilson@gmail.com"/>
    <x v="751"/>
    <s v="High"/>
    <x v="727"/>
    <n v="2006"/>
    <x v="8"/>
    <n v="18"/>
    <d v="2026-03-19T00:00:00"/>
    <n v="7306"/>
    <n v="7306"/>
    <n v="5219"/>
    <n v="46"/>
    <x v="0"/>
    <x v="1"/>
    <n v="7"/>
    <s v="No"/>
    <n v="4159.91"/>
    <x v="3"/>
    <x v="0"/>
    <x v="9"/>
    <s v="Bad Employee"/>
    <b v="0"/>
    <b v="1"/>
    <s v="Good employee"/>
    <x v="2"/>
    <x v="4"/>
    <n v="0"/>
    <n v="2022"/>
    <s v="Hybrid"/>
    <n v="148"/>
    <x v="2"/>
  </r>
  <r>
    <x v="759"/>
    <x v="0"/>
    <s v="Johnson"/>
    <x v="2"/>
    <x v="139"/>
    <s v="michaeljohnson@gmail.com"/>
    <x v="33"/>
    <s v="Medium"/>
    <x v="728"/>
    <n v="2018"/>
    <x v="1"/>
    <n v="23"/>
    <d v="2026-03-19T00:00:00"/>
    <n v="2673"/>
    <n v="2673"/>
    <n v="1910"/>
    <n v="41"/>
    <x v="0"/>
    <x v="0"/>
    <n v="1"/>
    <s v="No"/>
    <n v="9416.6200000000008"/>
    <x v="1"/>
    <x v="1"/>
    <x v="28"/>
    <s v="Bad Employee"/>
    <b v="0"/>
    <b v="1"/>
    <s v="Good employee"/>
    <x v="1"/>
    <x v="4"/>
    <n v="8"/>
    <n v="2016"/>
    <s v="On-Site"/>
    <n v="177"/>
    <x v="37"/>
  </r>
  <r>
    <x v="760"/>
    <x v="1"/>
    <s v="Johnson"/>
    <x v="2"/>
    <x v="35"/>
    <s v="emilyjohnson@gmail.com"/>
    <x v="752"/>
    <s v="Medium"/>
    <x v="729"/>
    <n v="2003"/>
    <x v="11"/>
    <n v="9"/>
    <d v="2026-03-19T00:00:00"/>
    <n v="8470"/>
    <n v="8470"/>
    <n v="6051"/>
    <n v="52"/>
    <x v="0"/>
    <x v="1"/>
    <n v="3"/>
    <s v="Yes"/>
    <n v="3105.02"/>
    <x v="2"/>
    <x v="2"/>
    <x v="27"/>
    <s v="Bad Employee"/>
    <b v="0"/>
    <b v="1"/>
    <s v="Good employee"/>
    <x v="0"/>
    <x v="1"/>
    <n v="19"/>
    <n v="2023"/>
    <s v="Hybrid"/>
    <n v="85"/>
    <x v="35"/>
  </r>
  <r>
    <x v="761"/>
    <x v="5"/>
    <s v="Williams"/>
    <x v="2"/>
    <x v="41"/>
    <s v="janewilliams@gmail.com"/>
    <x v="753"/>
    <s v="High"/>
    <x v="730"/>
    <n v="2013"/>
    <x v="3"/>
    <n v="20"/>
    <d v="2026-03-19T00:00:00"/>
    <n v="4716"/>
    <n v="4716"/>
    <n v="3369"/>
    <n v="51"/>
    <x v="0"/>
    <x v="1"/>
    <n v="3"/>
    <s v="Yes"/>
    <n v="2571.64"/>
    <x v="3"/>
    <x v="1"/>
    <x v="22"/>
    <s v="Bad Employee"/>
    <b v="0"/>
    <b v="1"/>
    <s v="Good employee"/>
    <x v="1"/>
    <x v="2"/>
    <n v="9"/>
    <n v="2011"/>
    <s v="Hybrid"/>
    <n v="168"/>
    <x v="30"/>
  </r>
  <r>
    <x v="762"/>
    <x v="2"/>
    <s v="Johnson"/>
    <x v="5"/>
    <x v="82"/>
    <s v="chrisjohnson@gmail.com"/>
    <x v="754"/>
    <s v="low"/>
    <x v="731"/>
    <n v="2012"/>
    <x v="5"/>
    <n v="2"/>
    <d v="2026-03-19T00:00:00"/>
    <n v="4916"/>
    <n v="4916"/>
    <n v="3513"/>
    <n v="37"/>
    <x v="0"/>
    <x v="1"/>
    <n v="7"/>
    <s v="Yes"/>
    <n v="2534.0300000000002"/>
    <x v="2"/>
    <x v="3"/>
    <x v="21"/>
    <s v="Bad Employee"/>
    <b v="0"/>
    <b v="1"/>
    <s v="Good employee"/>
    <x v="0"/>
    <x v="3"/>
    <n v="10"/>
    <n v="2012"/>
    <s v="On-Site"/>
    <n v="23"/>
    <x v="8"/>
  </r>
  <r>
    <x v="763"/>
    <x v="5"/>
    <s v="Wilson"/>
    <x v="2"/>
    <x v="100"/>
    <s v="janewilson@gmail.com"/>
    <x v="755"/>
    <s v="High"/>
    <x v="732"/>
    <n v="2009"/>
    <x v="8"/>
    <n v="10"/>
    <d v="2026-03-19T00:00:00"/>
    <n v="6218"/>
    <n v="6218"/>
    <n v="4443"/>
    <n v="23"/>
    <x v="1"/>
    <x v="0"/>
    <n v="4"/>
    <s v="Yes"/>
    <n v="1309.67"/>
    <x v="2"/>
    <x v="3"/>
    <x v="5"/>
    <s v="Bad Employee"/>
    <b v="0"/>
    <b v="1"/>
    <s v="Good employee"/>
    <x v="1"/>
    <x v="3"/>
    <n v="17"/>
    <n v="2013"/>
    <s v="On-Site"/>
    <n v="136"/>
    <x v="32"/>
  </r>
  <r>
    <x v="764"/>
    <x v="2"/>
    <s v="Miller"/>
    <x v="3"/>
    <x v="201"/>
    <s v="chrismiller@gmail.com"/>
    <x v="756"/>
    <s v="High"/>
    <x v="733"/>
    <n v="2006"/>
    <x v="6"/>
    <n v="13"/>
    <d v="2026-03-19T00:00:00"/>
    <n v="7158"/>
    <n v="7158"/>
    <n v="5114"/>
    <n v="38"/>
    <x v="0"/>
    <x v="1"/>
    <n v="3"/>
    <s v="Yes"/>
    <n v="9016.11"/>
    <x v="1"/>
    <x v="1"/>
    <x v="35"/>
    <s v="Bad Employee"/>
    <b v="0"/>
    <b v="1"/>
    <s v="Good employee"/>
    <x v="0"/>
    <x v="0"/>
    <n v="16"/>
    <n v="2017"/>
    <s v="On-Site"/>
    <n v="63"/>
    <x v="12"/>
  </r>
  <r>
    <x v="765"/>
    <x v="3"/>
    <s v="Smith"/>
    <x v="2"/>
    <x v="13"/>
    <s v="alexsmith@gmail.com"/>
    <x v="757"/>
    <s v="Medium"/>
    <x v="734"/>
    <n v="2015"/>
    <x v="7"/>
    <n v="13"/>
    <d v="2026-03-19T00:00:00"/>
    <n v="3963"/>
    <n v="3963"/>
    <n v="2832"/>
    <n v="31"/>
    <x v="0"/>
    <x v="1"/>
    <n v="6"/>
    <s v="Yes"/>
    <n v="9808.43"/>
    <x v="3"/>
    <x v="1"/>
    <x v="0"/>
    <s v="Bad Employee"/>
    <b v="0"/>
    <b v="0"/>
    <s v="Bad Employee"/>
    <x v="2"/>
    <x v="0"/>
    <n v="5"/>
    <n v="2014"/>
    <s v="On-Site"/>
    <n v="93"/>
    <x v="14"/>
  </r>
  <r>
    <x v="766"/>
    <x v="2"/>
    <s v="Smith"/>
    <x v="5"/>
    <x v="66"/>
    <s v="chrissmith@gmail.com"/>
    <x v="758"/>
    <s v="Medium"/>
    <x v="735"/>
    <n v="2005"/>
    <x v="3"/>
    <n v="18"/>
    <d v="2026-03-19T00:00:00"/>
    <n v="7640"/>
    <n v="7640"/>
    <n v="5459"/>
    <n v="28"/>
    <x v="1"/>
    <x v="0"/>
    <n v="6"/>
    <s v="No"/>
    <n v="9567.83"/>
    <x v="1"/>
    <x v="1"/>
    <x v="33"/>
    <s v="Bad Employee"/>
    <b v="0"/>
    <b v="0"/>
    <s v="Bad Employee"/>
    <x v="0"/>
    <x v="3"/>
    <n v="10"/>
    <n v="2010"/>
    <s v="On-Site"/>
    <n v="144"/>
    <x v="29"/>
  </r>
  <r>
    <x v="767"/>
    <x v="4"/>
    <s v="Williams"/>
    <x v="5"/>
    <x v="93"/>
    <s v="sarahwilliams@gmail.com"/>
    <x v="759"/>
    <s v="Medium"/>
    <x v="736"/>
    <n v="2019"/>
    <x v="3"/>
    <n v="10"/>
    <d v="2026-03-19T00:00:00"/>
    <n v="2535"/>
    <n v="2535"/>
    <n v="1812"/>
    <n v="63"/>
    <x v="0"/>
    <x v="0"/>
    <n v="5"/>
    <s v="No"/>
    <n v="8594.27"/>
    <x v="0"/>
    <x v="1"/>
    <x v="37"/>
    <s v="Bad Employee"/>
    <b v="0"/>
    <b v="1"/>
    <s v="Good employee"/>
    <x v="0"/>
    <x v="0"/>
    <n v="3"/>
    <n v="2018"/>
    <s v="Fully Remote"/>
    <n v="67"/>
    <x v="16"/>
  </r>
  <r>
    <x v="768"/>
    <x v="1"/>
    <s v="Johnson"/>
    <x v="4"/>
    <x v="265"/>
    <s v="emilyjohnson@gmail.com"/>
    <x v="760"/>
    <s v="High"/>
    <x v="737"/>
    <n v="2014"/>
    <x v="10"/>
    <n v="18"/>
    <d v="2026-03-19T00:00:00"/>
    <n v="4109"/>
    <n v="4109"/>
    <n v="2936"/>
    <n v="30"/>
    <x v="1"/>
    <x v="0"/>
    <n v="6"/>
    <s v="Yes"/>
    <n v="8545.44"/>
    <x v="1"/>
    <x v="1"/>
    <x v="21"/>
    <s v="Bad Employee"/>
    <b v="0"/>
    <b v="0"/>
    <s v="Bad Employee"/>
    <x v="1"/>
    <x v="0"/>
    <n v="0"/>
    <n v="2010"/>
    <s v="On-Site"/>
    <n v="188"/>
    <x v="1"/>
  </r>
  <r>
    <x v="769"/>
    <x v="7"/>
    <s v="Miller"/>
    <x v="1"/>
    <x v="193"/>
    <s v="johnmiller@gmail.com"/>
    <x v="761"/>
    <s v="Medium"/>
    <x v="738"/>
    <n v="2000"/>
    <x v="2"/>
    <n v="22"/>
    <d v="2026-03-19T00:00:00"/>
    <n v="9371"/>
    <n v="9371"/>
    <n v="6694"/>
    <n v="38"/>
    <x v="0"/>
    <x v="0"/>
    <n v="3"/>
    <s v="Yes"/>
    <n v="6780.31"/>
    <x v="1"/>
    <x v="0"/>
    <x v="9"/>
    <s v="Bad Employee"/>
    <b v="0"/>
    <b v="0"/>
    <s v="Bad Employee"/>
    <x v="0"/>
    <x v="4"/>
    <n v="0"/>
    <n v="2011"/>
    <s v="Hybrid"/>
    <n v="31"/>
    <x v="37"/>
  </r>
  <r>
    <x v="770"/>
    <x v="2"/>
    <s v="Smith"/>
    <x v="0"/>
    <x v="15"/>
    <s v="chrissmith@gmail.com"/>
    <x v="762"/>
    <s v="Medium"/>
    <x v="739"/>
    <n v="2019"/>
    <x v="0"/>
    <n v="10"/>
    <d v="2026-03-19T00:00:00"/>
    <n v="2382"/>
    <n v="2382"/>
    <n v="1703"/>
    <n v="30"/>
    <x v="1"/>
    <x v="1"/>
    <n v="5"/>
    <s v="No"/>
    <n v="8349.0300000000007"/>
    <x v="2"/>
    <x v="4"/>
    <x v="38"/>
    <s v="Bad Employee"/>
    <b v="0"/>
    <b v="0"/>
    <s v="Bad Employee"/>
    <x v="0"/>
    <x v="2"/>
    <n v="17"/>
    <n v="2016"/>
    <s v="Hybrid"/>
    <n v="129"/>
    <x v="25"/>
  </r>
  <r>
    <x v="771"/>
    <x v="2"/>
    <s v="Smith"/>
    <x v="0"/>
    <x v="15"/>
    <s v="chrissmith@gmail.com"/>
    <x v="763"/>
    <s v="Medium"/>
    <x v="740"/>
    <n v="2019"/>
    <x v="9"/>
    <n v="10"/>
    <d v="2026-03-19T00:00:00"/>
    <n v="2474"/>
    <n v="2474"/>
    <n v="1769"/>
    <n v="30"/>
    <x v="1"/>
    <x v="1"/>
    <n v="9"/>
    <s v="Yes"/>
    <n v="2479.25"/>
    <x v="2"/>
    <x v="3"/>
    <x v="10"/>
    <s v="Bad Employee"/>
    <b v="0"/>
    <b v="1"/>
    <s v="Good employee"/>
    <x v="0"/>
    <x v="4"/>
    <n v="4"/>
    <n v="2020"/>
    <s v="Fully Remote"/>
    <n v="156"/>
    <x v="19"/>
  </r>
  <r>
    <x v="772"/>
    <x v="7"/>
    <s v="Brown"/>
    <x v="2"/>
    <x v="55"/>
    <s v="johnbrown@gmail.com"/>
    <x v="764"/>
    <s v="High"/>
    <x v="323"/>
    <n v="2015"/>
    <x v="2"/>
    <n v="13"/>
    <d v="2026-03-19T00:00:00"/>
    <n v="3902"/>
    <n v="3902"/>
    <n v="2789"/>
    <n v="58"/>
    <x v="0"/>
    <x v="0"/>
    <n v="4"/>
    <s v="Yes"/>
    <n v="4185.17"/>
    <x v="2"/>
    <x v="3"/>
    <x v="11"/>
    <s v="Bad Employee"/>
    <b v="0"/>
    <b v="0"/>
    <s v="Bad Employee"/>
    <x v="0"/>
    <x v="1"/>
    <n v="15"/>
    <n v="2012"/>
    <s v="On-Site"/>
    <n v="158"/>
    <x v="22"/>
  </r>
  <r>
    <x v="773"/>
    <x v="1"/>
    <s v="Brown"/>
    <x v="4"/>
    <x v="214"/>
    <s v="emilybrown@gmail.com"/>
    <x v="765"/>
    <s v="Medium"/>
    <x v="741"/>
    <n v="2000"/>
    <x v="8"/>
    <n v="9"/>
    <d v="2026-03-19T00:00:00"/>
    <n v="9506"/>
    <n v="9506"/>
    <n v="6791"/>
    <n v="45"/>
    <x v="0"/>
    <x v="0"/>
    <n v="2"/>
    <s v="No"/>
    <n v="6587.94"/>
    <x v="3"/>
    <x v="4"/>
    <x v="18"/>
    <s v="Bad Employee"/>
    <b v="0"/>
    <b v="0"/>
    <s v="Bad Employee"/>
    <x v="2"/>
    <x v="0"/>
    <n v="1"/>
    <n v="2015"/>
    <s v="Hybrid"/>
    <n v="26"/>
    <x v="15"/>
  </r>
  <r>
    <x v="774"/>
    <x v="5"/>
    <s v="Wilson"/>
    <x v="2"/>
    <x v="100"/>
    <s v="janewilson@gmail.com"/>
    <x v="766"/>
    <s v="Medium"/>
    <x v="742"/>
    <n v="2001"/>
    <x v="7"/>
    <n v="30"/>
    <d v="2026-03-19T00:00:00"/>
    <n v="9059"/>
    <n v="9059"/>
    <n v="6472"/>
    <n v="60"/>
    <x v="0"/>
    <x v="1"/>
    <n v="5"/>
    <s v="No"/>
    <n v="8810.33"/>
    <x v="1"/>
    <x v="1"/>
    <x v="26"/>
    <s v="Bad Employee"/>
    <b v="0"/>
    <b v="0"/>
    <s v="Bad Employee"/>
    <x v="1"/>
    <x v="4"/>
    <n v="8"/>
    <n v="2017"/>
    <s v="Hybrid"/>
    <n v="74"/>
    <x v="18"/>
  </r>
  <r>
    <x v="775"/>
    <x v="2"/>
    <s v="Smith"/>
    <x v="0"/>
    <x v="15"/>
    <s v="chrissmith@gmail.com"/>
    <x v="767"/>
    <s v="Medium"/>
    <x v="743"/>
    <n v="2009"/>
    <x v="5"/>
    <n v="3"/>
    <d v="2026-03-19T00:00:00"/>
    <n v="6011"/>
    <n v="6011"/>
    <n v="4294"/>
    <n v="32"/>
    <x v="0"/>
    <x v="1"/>
    <n v="3"/>
    <s v="Yes"/>
    <n v="6774.46"/>
    <x v="0"/>
    <x v="4"/>
    <x v="5"/>
    <s v="Bad Employee"/>
    <b v="0"/>
    <b v="1"/>
    <s v="Good employee"/>
    <x v="0"/>
    <x v="4"/>
    <n v="1"/>
    <n v="2014"/>
    <s v="On-Site"/>
    <n v="23"/>
    <x v="4"/>
  </r>
  <r>
    <x v="776"/>
    <x v="7"/>
    <s v="Williams"/>
    <x v="5"/>
    <x v="238"/>
    <s v="johnwilliams@gmail.com"/>
    <x v="768"/>
    <s v="High"/>
    <x v="744"/>
    <n v="2017"/>
    <x v="9"/>
    <n v="23"/>
    <d v="2026-03-19T00:00:00"/>
    <n v="3191"/>
    <n v="3191"/>
    <n v="2280"/>
    <n v="29"/>
    <x v="1"/>
    <x v="0"/>
    <n v="3"/>
    <s v="No"/>
    <n v="8470.7099999999991"/>
    <x v="2"/>
    <x v="1"/>
    <x v="5"/>
    <s v="Bad Employee"/>
    <b v="0"/>
    <b v="1"/>
    <s v="Good employee"/>
    <x v="1"/>
    <x v="5"/>
    <n v="4"/>
    <n v="2010"/>
    <s v="Fully Remote"/>
    <n v="105"/>
    <x v="26"/>
  </r>
  <r>
    <x v="777"/>
    <x v="4"/>
    <s v="Davis"/>
    <x v="1"/>
    <x v="299"/>
    <s v="sarahdavis@gmail.com"/>
    <x v="769"/>
    <s v="High"/>
    <x v="420"/>
    <n v="2012"/>
    <x v="8"/>
    <n v="14"/>
    <d v="2026-03-19T00:00:00"/>
    <n v="5118"/>
    <n v="5118"/>
    <n v="3657"/>
    <n v="46"/>
    <x v="0"/>
    <x v="1"/>
    <n v="4"/>
    <s v="Yes"/>
    <n v="5002.5200000000004"/>
    <x v="0"/>
    <x v="3"/>
    <x v="32"/>
    <s v="Bad Employee"/>
    <b v="0"/>
    <b v="1"/>
    <s v="Good employee"/>
    <x v="2"/>
    <x v="4"/>
    <n v="19"/>
    <n v="2019"/>
    <s v="On-Site"/>
    <n v="166"/>
    <x v="2"/>
  </r>
  <r>
    <x v="778"/>
    <x v="4"/>
    <s v="Davis"/>
    <x v="4"/>
    <x v="274"/>
    <s v="sarahdavis@gmail.com"/>
    <x v="770"/>
    <s v="extremely low"/>
    <x v="745"/>
    <n v="2004"/>
    <x v="11"/>
    <n v="4"/>
    <d v="2026-03-19T00:00:00"/>
    <n v="8110"/>
    <n v="8110"/>
    <n v="5794"/>
    <n v="23"/>
    <x v="1"/>
    <x v="1"/>
    <n v="4"/>
    <s v="No"/>
    <n v="7314.39"/>
    <x v="1"/>
    <x v="2"/>
    <x v="16"/>
    <s v="Bad Employee"/>
    <b v="0"/>
    <b v="1"/>
    <s v="Good employee"/>
    <x v="2"/>
    <x v="4"/>
    <n v="16"/>
    <n v="2023"/>
    <s v="On-Site"/>
    <n v="143"/>
    <x v="2"/>
  </r>
  <r>
    <x v="779"/>
    <x v="3"/>
    <s v="Miller"/>
    <x v="5"/>
    <x v="183"/>
    <s v="alexmiller@gmail.com"/>
    <x v="771"/>
    <s v="Medium"/>
    <x v="650"/>
    <n v="2014"/>
    <x v="4"/>
    <n v="6"/>
    <d v="2026-03-19T00:00:00"/>
    <n v="4424"/>
    <n v="4424"/>
    <n v="3161"/>
    <n v="31"/>
    <x v="0"/>
    <x v="0"/>
    <n v="5"/>
    <s v="Yes"/>
    <n v="9809.82"/>
    <x v="1"/>
    <x v="3"/>
    <x v="11"/>
    <s v="Bad Employee"/>
    <b v="0"/>
    <b v="0"/>
    <s v="Bad Employee"/>
    <x v="0"/>
    <x v="2"/>
    <n v="18"/>
    <n v="2021"/>
    <s v="On-Site"/>
    <n v="124"/>
    <x v="9"/>
  </r>
  <r>
    <x v="780"/>
    <x v="7"/>
    <s v="Smith"/>
    <x v="1"/>
    <x v="137"/>
    <s v="johnsmith@gmail.com"/>
    <x v="772"/>
    <s v="High"/>
    <x v="746"/>
    <n v="2016"/>
    <x v="9"/>
    <n v="23"/>
    <d v="2026-03-19T00:00:00"/>
    <n v="3556"/>
    <n v="3556"/>
    <n v="2541"/>
    <n v="45"/>
    <x v="0"/>
    <x v="0"/>
    <n v="7"/>
    <s v="Yes"/>
    <n v="1958.14"/>
    <x v="1"/>
    <x v="3"/>
    <x v="17"/>
    <s v="Bad Employee"/>
    <b v="0"/>
    <b v="1"/>
    <s v="Good employee"/>
    <x v="1"/>
    <x v="3"/>
    <n v="9"/>
    <n v="2012"/>
    <s v="On-Site"/>
    <n v="92"/>
    <x v="13"/>
  </r>
  <r>
    <x v="781"/>
    <x v="3"/>
    <s v="Smith"/>
    <x v="4"/>
    <x v="180"/>
    <s v="alexsmith@gmail.com"/>
    <x v="773"/>
    <s v="extremely low"/>
    <x v="747"/>
    <n v="2004"/>
    <x v="2"/>
    <n v="10"/>
    <d v="2026-03-19T00:00:00"/>
    <n v="7922"/>
    <n v="7922"/>
    <n v="5659"/>
    <n v="37"/>
    <x v="0"/>
    <x v="0"/>
    <n v="4"/>
    <s v="Yes"/>
    <n v="9305.75"/>
    <x v="0"/>
    <x v="2"/>
    <x v="6"/>
    <s v="Bad Employee"/>
    <b v="0"/>
    <b v="0"/>
    <s v="Bad Employee"/>
    <x v="1"/>
    <x v="5"/>
    <n v="7"/>
    <n v="2020"/>
    <s v="On-Site"/>
    <n v="177"/>
    <x v="2"/>
  </r>
  <r>
    <x v="782"/>
    <x v="4"/>
    <s v="Wilson"/>
    <x v="4"/>
    <x v="99"/>
    <s v="sarahwilson@gmail.com"/>
    <x v="774"/>
    <s v="extremely low"/>
    <x v="748"/>
    <n v="2001"/>
    <x v="10"/>
    <n v="7"/>
    <d v="2026-03-19T00:00:00"/>
    <n v="8868"/>
    <n v="8868"/>
    <n v="6335"/>
    <n v="40"/>
    <x v="0"/>
    <x v="0"/>
    <n v="7"/>
    <s v="Yes"/>
    <n v="5462.46"/>
    <x v="0"/>
    <x v="4"/>
    <x v="8"/>
    <s v="Good Employee"/>
    <b v="1"/>
    <b v="1"/>
    <s v="Good employee"/>
    <x v="1"/>
    <x v="5"/>
    <n v="19"/>
    <n v="2011"/>
    <s v="Fully Remote"/>
    <n v="41"/>
    <x v="20"/>
  </r>
  <r>
    <x v="783"/>
    <x v="1"/>
    <s v="Smith"/>
    <x v="0"/>
    <x v="172"/>
    <s v="emilysmith@gmail.com"/>
    <x v="775"/>
    <s v="High"/>
    <x v="749"/>
    <n v="2004"/>
    <x v="9"/>
    <n v="13"/>
    <d v="2026-03-19T00:00:00"/>
    <n v="7949"/>
    <n v="7949"/>
    <n v="5679"/>
    <n v="52"/>
    <x v="0"/>
    <x v="1"/>
    <n v="9"/>
    <s v="No"/>
    <n v="6610.57"/>
    <x v="0"/>
    <x v="0"/>
    <x v="33"/>
    <s v="Bad Employee"/>
    <b v="0"/>
    <b v="1"/>
    <s v="Good employee"/>
    <x v="2"/>
    <x v="5"/>
    <n v="10"/>
    <n v="2015"/>
    <s v="Hybrid"/>
    <n v="155"/>
    <x v="40"/>
  </r>
  <r>
    <x v="784"/>
    <x v="5"/>
    <s v="Williams"/>
    <x v="5"/>
    <x v="258"/>
    <s v="janewilliams@gmail.com"/>
    <x v="776"/>
    <s v="High"/>
    <x v="750"/>
    <n v="2018"/>
    <x v="0"/>
    <n v="16"/>
    <d v="2026-03-19T00:00:00"/>
    <n v="2741"/>
    <n v="2741"/>
    <n v="1959"/>
    <n v="32"/>
    <x v="0"/>
    <x v="0"/>
    <n v="3"/>
    <s v="No"/>
    <n v="8839.76"/>
    <x v="1"/>
    <x v="1"/>
    <x v="38"/>
    <s v="Bad Employee"/>
    <b v="0"/>
    <b v="0"/>
    <s v="Bad Employee"/>
    <x v="2"/>
    <x v="1"/>
    <n v="12"/>
    <n v="2023"/>
    <s v="On-Site"/>
    <n v="172"/>
    <x v="37"/>
  </r>
  <r>
    <x v="785"/>
    <x v="7"/>
    <s v="Brown"/>
    <x v="4"/>
    <x v="153"/>
    <s v="johnbrown@gmail.com"/>
    <x v="777"/>
    <s v="Medium"/>
    <x v="548"/>
    <n v="2013"/>
    <x v="11"/>
    <n v="4"/>
    <d v="2026-03-19T00:00:00"/>
    <n v="4822"/>
    <n v="4822"/>
    <n v="3445"/>
    <n v="27"/>
    <x v="1"/>
    <x v="1"/>
    <n v="5"/>
    <s v="No"/>
    <n v="4391.71"/>
    <x v="1"/>
    <x v="1"/>
    <x v="4"/>
    <s v="Bad Employee"/>
    <b v="0"/>
    <b v="0"/>
    <s v="Bad Employee"/>
    <x v="0"/>
    <x v="5"/>
    <n v="12"/>
    <n v="2014"/>
    <s v="Hybrid"/>
    <n v="175"/>
    <x v="2"/>
  </r>
  <r>
    <x v="786"/>
    <x v="0"/>
    <s v="Smith"/>
    <x v="3"/>
    <x v="40"/>
    <s v="michaelsmith@gmail.com"/>
    <x v="778"/>
    <s v="low"/>
    <x v="751"/>
    <n v="2010"/>
    <x v="7"/>
    <n v="13"/>
    <d v="2026-03-19T00:00:00"/>
    <n v="5789"/>
    <n v="5789"/>
    <n v="4136"/>
    <n v="27"/>
    <x v="1"/>
    <x v="1"/>
    <n v="4"/>
    <s v="Yes"/>
    <n v="4477.58"/>
    <x v="2"/>
    <x v="3"/>
    <x v="31"/>
    <s v="Bad Employee"/>
    <b v="0"/>
    <b v="1"/>
    <s v="Good employee"/>
    <x v="1"/>
    <x v="2"/>
    <n v="8"/>
    <n v="2016"/>
    <s v="Hybrid"/>
    <n v="8"/>
    <x v="33"/>
  </r>
  <r>
    <x v="787"/>
    <x v="4"/>
    <s v="Smith"/>
    <x v="4"/>
    <x v="202"/>
    <s v="sarahsmith@gmail.com"/>
    <x v="779"/>
    <s v="High"/>
    <x v="752"/>
    <n v="2003"/>
    <x v="0"/>
    <n v="7"/>
    <d v="2026-03-19T00:00:00"/>
    <n v="8229"/>
    <n v="8229"/>
    <n v="5879"/>
    <n v="53"/>
    <x v="0"/>
    <x v="1"/>
    <n v="9"/>
    <s v="No"/>
    <n v="5508.23"/>
    <x v="3"/>
    <x v="2"/>
    <x v="33"/>
    <s v="Bad Employee"/>
    <b v="0"/>
    <b v="1"/>
    <s v="Good employee"/>
    <x v="1"/>
    <x v="3"/>
    <n v="4"/>
    <n v="2011"/>
    <s v="On-Site"/>
    <n v="86"/>
    <x v="38"/>
  </r>
  <r>
    <x v="788"/>
    <x v="4"/>
    <s v="Wilson"/>
    <x v="1"/>
    <x v="17"/>
    <s v="sarahwilson@gmail.com"/>
    <x v="780"/>
    <s v="High"/>
    <x v="753"/>
    <n v="2000"/>
    <x v="10"/>
    <n v="9"/>
    <d v="2026-03-19T00:00:00"/>
    <n v="9231"/>
    <n v="9231"/>
    <n v="6594"/>
    <n v="60"/>
    <x v="0"/>
    <x v="0"/>
    <n v="5"/>
    <s v="Yes"/>
    <n v="681.47"/>
    <x v="0"/>
    <x v="3"/>
    <x v="33"/>
    <s v="Bad Employee"/>
    <b v="0"/>
    <b v="0"/>
    <s v="Bad Employee"/>
    <x v="2"/>
    <x v="1"/>
    <n v="17"/>
    <n v="2023"/>
    <s v="Hybrid"/>
    <n v="19"/>
    <x v="3"/>
  </r>
  <r>
    <x v="789"/>
    <x v="0"/>
    <s v="Johnson"/>
    <x v="0"/>
    <x v="130"/>
    <s v="michaeljohnson@gmail.com"/>
    <x v="781"/>
    <s v="High"/>
    <x v="754"/>
    <n v="2010"/>
    <x v="7"/>
    <n v="14"/>
    <d v="2026-03-19T00:00:00"/>
    <n v="5788"/>
    <n v="5788"/>
    <n v="4135"/>
    <n v="34"/>
    <x v="0"/>
    <x v="1"/>
    <n v="2"/>
    <s v="Yes"/>
    <n v="5218.33"/>
    <x v="3"/>
    <x v="3"/>
    <x v="38"/>
    <s v="Bad Employee"/>
    <b v="0"/>
    <b v="0"/>
    <s v="Bad Employee"/>
    <x v="0"/>
    <x v="2"/>
    <n v="7"/>
    <n v="2022"/>
    <s v="On-Site"/>
    <n v="155"/>
    <x v="12"/>
  </r>
  <r>
    <x v="790"/>
    <x v="6"/>
    <s v="Wilson"/>
    <x v="2"/>
    <x v="94"/>
    <s v="katiewilson@gmail.com"/>
    <x v="782"/>
    <s v="Medium"/>
    <x v="755"/>
    <n v="2001"/>
    <x v="9"/>
    <n v="19"/>
    <d v="2026-03-19T00:00:00"/>
    <n v="9039"/>
    <n v="9039"/>
    <n v="6458"/>
    <n v="24"/>
    <x v="1"/>
    <x v="0"/>
    <n v="1"/>
    <s v="No"/>
    <n v="3265.33"/>
    <x v="0"/>
    <x v="4"/>
    <x v="7"/>
    <s v="Bad Employee"/>
    <b v="0"/>
    <b v="1"/>
    <s v="Good employee"/>
    <x v="0"/>
    <x v="5"/>
    <n v="19"/>
    <n v="2015"/>
    <s v="On-Site"/>
    <n v="144"/>
    <x v="22"/>
  </r>
  <r>
    <x v="791"/>
    <x v="4"/>
    <s v="Wilson"/>
    <x v="0"/>
    <x v="44"/>
    <s v="sarahwilson@gmail.com"/>
    <x v="783"/>
    <s v="High"/>
    <x v="756"/>
    <n v="2000"/>
    <x v="10"/>
    <n v="20"/>
    <d v="2026-03-19T00:00:00"/>
    <n v="9220"/>
    <n v="9220"/>
    <n v="6587"/>
    <n v="62"/>
    <x v="0"/>
    <x v="0"/>
    <n v="7"/>
    <s v="No"/>
    <n v="9315.56"/>
    <x v="0"/>
    <x v="1"/>
    <x v="28"/>
    <s v="Good Employee"/>
    <b v="1"/>
    <b v="1"/>
    <s v="Good employee"/>
    <x v="0"/>
    <x v="3"/>
    <n v="13"/>
    <n v="2020"/>
    <s v="On-Site"/>
    <n v="72"/>
    <x v="6"/>
  </r>
  <r>
    <x v="792"/>
    <x v="2"/>
    <s v="Williams"/>
    <x v="2"/>
    <x v="300"/>
    <s v="chriswilliams@gmail.com"/>
    <x v="784"/>
    <s v="High"/>
    <x v="757"/>
    <n v="2009"/>
    <x v="0"/>
    <n v="12"/>
    <d v="2026-03-19T00:00:00"/>
    <n v="6032"/>
    <n v="6032"/>
    <n v="4309"/>
    <n v="56"/>
    <x v="0"/>
    <x v="0"/>
    <n v="1"/>
    <s v="Yes"/>
    <n v="1333.49"/>
    <x v="3"/>
    <x v="0"/>
    <x v="6"/>
    <s v="Bad Employee"/>
    <b v="0"/>
    <b v="0"/>
    <s v="Bad Employee"/>
    <x v="2"/>
    <x v="2"/>
    <n v="1"/>
    <n v="2014"/>
    <s v="Fully Remote"/>
    <n v="72"/>
    <x v="16"/>
  </r>
  <r>
    <x v="793"/>
    <x v="1"/>
    <s v="Miller"/>
    <x v="5"/>
    <x v="96"/>
    <s v="emilymiller@gmail.com"/>
    <x v="785"/>
    <s v="High"/>
    <x v="758"/>
    <n v="2013"/>
    <x v="5"/>
    <n v="2"/>
    <d v="2026-03-19T00:00:00"/>
    <n v="4551"/>
    <n v="4551"/>
    <n v="3252"/>
    <n v="59"/>
    <x v="0"/>
    <x v="1"/>
    <n v="8"/>
    <s v="Yes"/>
    <n v="4863.54"/>
    <x v="3"/>
    <x v="2"/>
    <x v="20"/>
    <s v="Bad Employee"/>
    <b v="0"/>
    <b v="1"/>
    <s v="Good employee"/>
    <x v="1"/>
    <x v="3"/>
    <n v="15"/>
    <n v="2015"/>
    <s v="On-Site"/>
    <n v="184"/>
    <x v="24"/>
  </r>
  <r>
    <x v="794"/>
    <x v="7"/>
    <s v="Smith"/>
    <x v="5"/>
    <x v="195"/>
    <s v="johnsmith@gmail.com"/>
    <x v="786"/>
    <s v="low"/>
    <x v="759"/>
    <n v="2002"/>
    <x v="0"/>
    <n v="9"/>
    <d v="2026-03-19T00:00:00"/>
    <n v="8592"/>
    <n v="8592"/>
    <n v="6139"/>
    <n v="38"/>
    <x v="0"/>
    <x v="0"/>
    <n v="9"/>
    <s v="No"/>
    <n v="9500.9500000000007"/>
    <x v="0"/>
    <x v="0"/>
    <x v="18"/>
    <s v="Bad Employee"/>
    <b v="0"/>
    <b v="1"/>
    <s v="Good employee"/>
    <x v="0"/>
    <x v="1"/>
    <n v="0"/>
    <n v="2014"/>
    <s v="On-Site"/>
    <n v="173"/>
    <x v="23"/>
  </r>
  <r>
    <x v="795"/>
    <x v="0"/>
    <s v="Wilson"/>
    <x v="4"/>
    <x v="92"/>
    <s v="michaelwilson@gmail.com"/>
    <x v="787"/>
    <s v="High"/>
    <x v="760"/>
    <n v="2016"/>
    <x v="0"/>
    <n v="26"/>
    <d v="2026-03-19T00:00:00"/>
    <n v="3461"/>
    <n v="3461"/>
    <n v="2474"/>
    <n v="24"/>
    <x v="1"/>
    <x v="0"/>
    <n v="7"/>
    <s v="No"/>
    <n v="9059.83"/>
    <x v="1"/>
    <x v="2"/>
    <x v="20"/>
    <s v="Bad Employee"/>
    <b v="0"/>
    <b v="1"/>
    <s v="Good employee"/>
    <x v="0"/>
    <x v="2"/>
    <n v="12"/>
    <n v="2016"/>
    <s v="Hybrid"/>
    <n v="109"/>
    <x v="5"/>
  </r>
  <r>
    <x v="796"/>
    <x v="2"/>
    <s v="Wilson"/>
    <x v="3"/>
    <x v="179"/>
    <s v="chriswilson@gmail.com"/>
    <x v="788"/>
    <s v="High"/>
    <x v="761"/>
    <n v="2017"/>
    <x v="4"/>
    <n v="8"/>
    <d v="2026-03-19T00:00:00"/>
    <n v="3326"/>
    <n v="3326"/>
    <n v="2377"/>
    <n v="55"/>
    <x v="0"/>
    <x v="1"/>
    <n v="9"/>
    <s v="No"/>
    <n v="7162.81"/>
    <x v="2"/>
    <x v="1"/>
    <x v="1"/>
    <s v="Good Employee"/>
    <b v="1"/>
    <b v="1"/>
    <s v="Good employee"/>
    <x v="1"/>
    <x v="3"/>
    <n v="17"/>
    <n v="2014"/>
    <s v="Fully Remote"/>
    <n v="63"/>
    <x v="35"/>
  </r>
  <r>
    <x v="797"/>
    <x v="0"/>
    <s v="Johnson"/>
    <x v="5"/>
    <x v="162"/>
    <s v="michaeljohnson@gmail.com"/>
    <x v="789"/>
    <s v="High"/>
    <x v="752"/>
    <n v="2003"/>
    <x v="0"/>
    <n v="7"/>
    <d v="2026-03-19T00:00:00"/>
    <n v="8229"/>
    <n v="8229"/>
    <n v="5879"/>
    <n v="33"/>
    <x v="0"/>
    <x v="0"/>
    <n v="6"/>
    <s v="No"/>
    <n v="6098.93"/>
    <x v="0"/>
    <x v="4"/>
    <x v="1"/>
    <s v="Bad Employee"/>
    <b v="0"/>
    <b v="1"/>
    <s v="Good employee"/>
    <x v="0"/>
    <x v="2"/>
    <n v="0"/>
    <n v="2023"/>
    <s v="Hybrid"/>
    <n v="62"/>
    <x v="14"/>
  </r>
  <r>
    <x v="798"/>
    <x v="7"/>
    <s v="Wilson"/>
    <x v="4"/>
    <x v="261"/>
    <s v="johnwilson@gmail.com"/>
    <x v="790"/>
    <s v="High"/>
    <x v="762"/>
    <n v="2015"/>
    <x v="6"/>
    <n v="1"/>
    <d v="2026-03-19T00:00:00"/>
    <n v="3883"/>
    <n v="3883"/>
    <n v="2774"/>
    <n v="45"/>
    <x v="0"/>
    <x v="1"/>
    <n v="7"/>
    <s v="No"/>
    <n v="3166.94"/>
    <x v="2"/>
    <x v="0"/>
    <x v="37"/>
    <s v="Good Employee"/>
    <b v="1"/>
    <b v="1"/>
    <s v="Good employee"/>
    <x v="2"/>
    <x v="5"/>
    <n v="6"/>
    <n v="2022"/>
    <s v="Hybrid"/>
    <n v="124"/>
    <x v="36"/>
  </r>
  <r>
    <x v="799"/>
    <x v="3"/>
    <s v="Davis"/>
    <x v="0"/>
    <x v="301"/>
    <s v="alexdavis@gmail.com"/>
    <x v="791"/>
    <s v="High"/>
    <x v="763"/>
    <n v="2016"/>
    <x v="9"/>
    <n v="7"/>
    <d v="2026-03-19T00:00:00"/>
    <n v="3572"/>
    <n v="3572"/>
    <n v="2553"/>
    <n v="27"/>
    <x v="1"/>
    <x v="1"/>
    <n v="3"/>
    <s v="Yes"/>
    <n v="3986.09"/>
    <x v="1"/>
    <x v="2"/>
    <x v="25"/>
    <s v="Bad Employee"/>
    <b v="0"/>
    <b v="0"/>
    <s v="Bad Employee"/>
    <x v="0"/>
    <x v="5"/>
    <n v="3"/>
    <n v="2016"/>
    <s v="On-Site"/>
    <n v="191"/>
    <x v="38"/>
  </r>
  <r>
    <x v="800"/>
    <x v="7"/>
    <s v="Miller"/>
    <x v="5"/>
    <x v="197"/>
    <s v="johnmiller@gmail.com"/>
    <x v="792"/>
    <s v="High"/>
    <x v="764"/>
    <n v="2008"/>
    <x v="8"/>
    <n v="28"/>
    <d v="2026-03-19T00:00:00"/>
    <n v="6565"/>
    <n v="6565"/>
    <n v="4690"/>
    <n v="63"/>
    <x v="0"/>
    <x v="0"/>
    <n v="9"/>
    <s v="Yes"/>
    <n v="1356.28"/>
    <x v="1"/>
    <x v="3"/>
    <x v="4"/>
    <s v="Bad Employee"/>
    <b v="0"/>
    <b v="1"/>
    <s v="Good employee"/>
    <x v="1"/>
    <x v="5"/>
    <n v="9"/>
    <n v="2010"/>
    <s v="Fully Remote"/>
    <n v="155"/>
    <x v="37"/>
  </r>
  <r>
    <x v="801"/>
    <x v="6"/>
    <s v="Smith"/>
    <x v="0"/>
    <x v="236"/>
    <s v="katiesmith@gmail.com"/>
    <x v="793"/>
    <s v="Medium"/>
    <x v="765"/>
    <n v="2001"/>
    <x v="9"/>
    <n v="10"/>
    <d v="2026-03-19T00:00:00"/>
    <n v="9048"/>
    <n v="9048"/>
    <n v="6464"/>
    <n v="32"/>
    <x v="0"/>
    <x v="0"/>
    <n v="3"/>
    <s v="Yes"/>
    <n v="7968.03"/>
    <x v="2"/>
    <x v="1"/>
    <x v="38"/>
    <s v="Bad Employee"/>
    <b v="0"/>
    <b v="0"/>
    <s v="Bad Employee"/>
    <x v="2"/>
    <x v="1"/>
    <n v="7"/>
    <n v="2018"/>
    <s v="Fully Remote"/>
    <n v="133"/>
    <x v="31"/>
  </r>
  <r>
    <x v="802"/>
    <x v="7"/>
    <s v="Smith"/>
    <x v="0"/>
    <x v="111"/>
    <s v="johnsmith@gmail.com"/>
    <x v="794"/>
    <s v="Medium"/>
    <x v="539"/>
    <n v="2018"/>
    <x v="8"/>
    <n v="14"/>
    <d v="2026-03-19T00:00:00"/>
    <n v="2927"/>
    <n v="2927"/>
    <n v="2092"/>
    <n v="48"/>
    <x v="0"/>
    <x v="0"/>
    <n v="6"/>
    <s v="No"/>
    <n v="3576.76"/>
    <x v="0"/>
    <x v="4"/>
    <x v="32"/>
    <s v="Bad Employee"/>
    <b v="0"/>
    <b v="1"/>
    <s v="Good employee"/>
    <x v="0"/>
    <x v="2"/>
    <n v="2"/>
    <n v="2015"/>
    <s v="On-Site"/>
    <n v="60"/>
    <x v="23"/>
  </r>
  <r>
    <x v="803"/>
    <x v="7"/>
    <s v="Johnson"/>
    <x v="3"/>
    <x v="280"/>
    <s v="johnjohnson@gmail.com"/>
    <x v="795"/>
    <s v="High"/>
    <x v="766"/>
    <n v="2019"/>
    <x v="1"/>
    <n v="9"/>
    <d v="2026-03-19T00:00:00"/>
    <n v="2322"/>
    <n v="2322"/>
    <n v="1659"/>
    <n v="45"/>
    <x v="0"/>
    <x v="0"/>
    <n v="4"/>
    <s v="Yes"/>
    <n v="6843.93"/>
    <x v="2"/>
    <x v="3"/>
    <x v="29"/>
    <s v="Bad Employee"/>
    <b v="0"/>
    <b v="0"/>
    <s v="Bad Employee"/>
    <x v="1"/>
    <x v="3"/>
    <n v="6"/>
    <n v="2018"/>
    <s v="Fully Remote"/>
    <n v="8"/>
    <x v="4"/>
  </r>
  <r>
    <x v="804"/>
    <x v="6"/>
    <s v="Williams"/>
    <x v="5"/>
    <x v="46"/>
    <s v="katiewilliams@gmail.com"/>
    <x v="796"/>
    <s v="Medium"/>
    <x v="767"/>
    <n v="2002"/>
    <x v="2"/>
    <n v="19"/>
    <d v="2026-03-19T00:00:00"/>
    <n v="8644"/>
    <n v="8644"/>
    <n v="6175"/>
    <n v="39"/>
    <x v="0"/>
    <x v="1"/>
    <n v="9"/>
    <s v="No"/>
    <n v="3897.15"/>
    <x v="0"/>
    <x v="4"/>
    <x v="7"/>
    <s v="Good Employee"/>
    <b v="1"/>
    <b v="1"/>
    <s v="Good employee"/>
    <x v="1"/>
    <x v="3"/>
    <n v="15"/>
    <n v="2010"/>
    <s v="On-Site"/>
    <n v="33"/>
    <x v="7"/>
  </r>
  <r>
    <x v="805"/>
    <x v="1"/>
    <s v="Smith"/>
    <x v="0"/>
    <x v="172"/>
    <s v="emilysmith@gmail.com"/>
    <x v="797"/>
    <s v="High"/>
    <x v="768"/>
    <n v="2007"/>
    <x v="2"/>
    <n v="19"/>
    <d v="2026-03-19T00:00:00"/>
    <n v="6818"/>
    <n v="6818"/>
    <n v="4871"/>
    <n v="48"/>
    <x v="0"/>
    <x v="0"/>
    <n v="1"/>
    <s v="No"/>
    <n v="4911.1400000000003"/>
    <x v="3"/>
    <x v="2"/>
    <x v="29"/>
    <s v="Bad Employee"/>
    <b v="0"/>
    <b v="0"/>
    <s v="Bad Employee"/>
    <x v="1"/>
    <x v="0"/>
    <n v="19"/>
    <n v="2011"/>
    <s v="Fully Remote"/>
    <n v="21"/>
    <x v="12"/>
  </r>
  <r>
    <x v="806"/>
    <x v="4"/>
    <s v="Davis"/>
    <x v="3"/>
    <x v="218"/>
    <s v="sarahdavis@gmail.com"/>
    <x v="798"/>
    <s v="High"/>
    <x v="769"/>
    <n v="2006"/>
    <x v="3"/>
    <n v="1"/>
    <d v="2026-03-19T00:00:00"/>
    <n v="7292"/>
    <n v="7292"/>
    <n v="5209"/>
    <n v="62"/>
    <x v="0"/>
    <x v="0"/>
    <n v="9"/>
    <s v="No"/>
    <n v="5772.52"/>
    <x v="0"/>
    <x v="3"/>
    <x v="34"/>
    <s v="Good Employee"/>
    <b v="1"/>
    <b v="1"/>
    <s v="Good employee"/>
    <x v="1"/>
    <x v="4"/>
    <n v="9"/>
    <n v="2016"/>
    <s v="Fully Remote"/>
    <n v="181"/>
    <x v="37"/>
  </r>
  <r>
    <x v="807"/>
    <x v="7"/>
    <s v="Smith"/>
    <x v="3"/>
    <x v="302"/>
    <s v="johnsmith@gmail.com"/>
    <x v="799"/>
    <s v="High"/>
    <x v="35"/>
    <n v="2005"/>
    <x v="3"/>
    <n v="30"/>
    <d v="2026-03-19T00:00:00"/>
    <n v="7628"/>
    <n v="7628"/>
    <n v="5449"/>
    <n v="42"/>
    <x v="0"/>
    <x v="1"/>
    <n v="4"/>
    <s v="Yes"/>
    <n v="8117.6"/>
    <x v="3"/>
    <x v="4"/>
    <x v="13"/>
    <s v="Bad Employee"/>
    <b v="0"/>
    <b v="1"/>
    <s v="Good employee"/>
    <x v="0"/>
    <x v="5"/>
    <n v="12"/>
    <n v="2013"/>
    <s v="On-Site"/>
    <n v="55"/>
    <x v="16"/>
  </r>
  <r>
    <x v="808"/>
    <x v="6"/>
    <s v="Davis"/>
    <x v="5"/>
    <x v="276"/>
    <s v="katiedavis@gmail.com"/>
    <x v="800"/>
    <s v="High"/>
    <x v="23"/>
    <n v="2010"/>
    <x v="5"/>
    <n v="2"/>
    <d v="2026-03-19T00:00:00"/>
    <n v="5647"/>
    <n v="5647"/>
    <n v="4034"/>
    <n v="55"/>
    <x v="0"/>
    <x v="0"/>
    <n v="5"/>
    <s v="Yes"/>
    <n v="2505.9899999999998"/>
    <x v="3"/>
    <x v="1"/>
    <x v="37"/>
    <s v="Bad Employee"/>
    <b v="0"/>
    <b v="1"/>
    <s v="Good employee"/>
    <x v="0"/>
    <x v="5"/>
    <n v="0"/>
    <n v="2023"/>
    <s v="Fully Remote"/>
    <n v="181"/>
    <x v="19"/>
  </r>
  <r>
    <x v="809"/>
    <x v="2"/>
    <s v="Miller"/>
    <x v="3"/>
    <x v="201"/>
    <s v="chrismiller@gmail.com"/>
    <x v="801"/>
    <s v="Medium"/>
    <x v="770"/>
    <n v="2014"/>
    <x v="0"/>
    <n v="26"/>
    <d v="2026-03-19T00:00:00"/>
    <n v="4192"/>
    <n v="4192"/>
    <n v="2995"/>
    <n v="54"/>
    <x v="0"/>
    <x v="0"/>
    <n v="1"/>
    <s v="Yes"/>
    <n v="4288.2700000000004"/>
    <x v="2"/>
    <x v="0"/>
    <x v="20"/>
    <s v="Bad Employee"/>
    <b v="0"/>
    <b v="0"/>
    <s v="Bad Employee"/>
    <x v="2"/>
    <x v="5"/>
    <n v="6"/>
    <n v="2022"/>
    <s v="Fully Remote"/>
    <n v="28"/>
    <x v="6"/>
  </r>
  <r>
    <x v="810"/>
    <x v="3"/>
    <s v="Miller"/>
    <x v="5"/>
    <x v="183"/>
    <s v="alexmiller@gmail.com"/>
    <x v="802"/>
    <s v="low"/>
    <x v="771"/>
    <n v="2019"/>
    <x v="6"/>
    <n v="22"/>
    <d v="2026-03-19T00:00:00"/>
    <n v="2401"/>
    <n v="2401"/>
    <n v="1716"/>
    <n v="39"/>
    <x v="0"/>
    <x v="0"/>
    <n v="1"/>
    <s v="Yes"/>
    <n v="1735.77"/>
    <x v="3"/>
    <x v="0"/>
    <x v="4"/>
    <s v="Bad Employee"/>
    <b v="0"/>
    <b v="0"/>
    <s v="Bad Employee"/>
    <x v="2"/>
    <x v="0"/>
    <n v="9"/>
    <n v="2019"/>
    <s v="Fully Remote"/>
    <n v="48"/>
    <x v="14"/>
  </r>
  <r>
    <x v="811"/>
    <x v="3"/>
    <s v="Brown"/>
    <x v="5"/>
    <x v="10"/>
    <s v="alexbrown@gmail.com"/>
    <x v="803"/>
    <s v="High"/>
    <x v="772"/>
    <n v="2006"/>
    <x v="10"/>
    <n v="16"/>
    <d v="2026-03-19T00:00:00"/>
    <n v="7033"/>
    <n v="7033"/>
    <n v="5024"/>
    <n v="24"/>
    <x v="1"/>
    <x v="0"/>
    <n v="6"/>
    <s v="No"/>
    <n v="1219.72"/>
    <x v="2"/>
    <x v="3"/>
    <x v="12"/>
    <s v="Bad Employee"/>
    <b v="0"/>
    <b v="1"/>
    <s v="Good employee"/>
    <x v="1"/>
    <x v="0"/>
    <n v="11"/>
    <n v="2023"/>
    <s v="Hybrid"/>
    <n v="120"/>
    <x v="17"/>
  </r>
  <r>
    <x v="812"/>
    <x v="7"/>
    <s v="Brown"/>
    <x v="2"/>
    <x v="55"/>
    <s v="johnbrown@gmail.com"/>
    <x v="804"/>
    <s v="Medium"/>
    <x v="149"/>
    <n v="2005"/>
    <x v="8"/>
    <n v="31"/>
    <d v="2026-03-19T00:00:00"/>
    <n v="7658"/>
    <n v="7658"/>
    <n v="5471"/>
    <n v="45"/>
    <x v="0"/>
    <x v="0"/>
    <n v="1"/>
    <s v="No"/>
    <n v="6244.41"/>
    <x v="2"/>
    <x v="1"/>
    <x v="1"/>
    <s v="Bad Employee"/>
    <b v="0"/>
    <b v="1"/>
    <s v="Good employee"/>
    <x v="1"/>
    <x v="0"/>
    <n v="13"/>
    <n v="2010"/>
    <s v="On-Site"/>
    <n v="173"/>
    <x v="5"/>
  </r>
  <r>
    <x v="813"/>
    <x v="1"/>
    <s v="Davis"/>
    <x v="0"/>
    <x v="126"/>
    <s v="emilydavis@gmail.com"/>
    <x v="805"/>
    <s v="Medium"/>
    <x v="773"/>
    <n v="2009"/>
    <x v="8"/>
    <n v="14"/>
    <d v="2026-03-19T00:00:00"/>
    <n v="6214"/>
    <n v="6214"/>
    <n v="4439"/>
    <n v="22"/>
    <x v="1"/>
    <x v="1"/>
    <n v="2"/>
    <s v="Yes"/>
    <n v="2296.36"/>
    <x v="1"/>
    <x v="1"/>
    <x v="1"/>
    <s v="Bad Employee"/>
    <b v="0"/>
    <b v="1"/>
    <s v="Good employee"/>
    <x v="2"/>
    <x v="5"/>
    <n v="10"/>
    <n v="2014"/>
    <s v="Hybrid"/>
    <n v="61"/>
    <x v="6"/>
  </r>
  <r>
    <x v="814"/>
    <x v="1"/>
    <s v="Williams"/>
    <x v="1"/>
    <x v="53"/>
    <s v="emilywilliams@gmail.com"/>
    <x v="806"/>
    <s v="High"/>
    <x v="774"/>
    <n v="2004"/>
    <x v="7"/>
    <n v="12"/>
    <d v="2026-03-19T00:00:00"/>
    <n v="7981"/>
    <n v="7981"/>
    <n v="5702"/>
    <n v="27"/>
    <x v="1"/>
    <x v="0"/>
    <n v="3"/>
    <s v="Yes"/>
    <n v="1068.0899999999999"/>
    <x v="2"/>
    <x v="4"/>
    <x v="20"/>
    <s v="Bad Employee"/>
    <b v="0"/>
    <b v="0"/>
    <s v="Bad Employee"/>
    <x v="0"/>
    <x v="3"/>
    <n v="16"/>
    <n v="2013"/>
    <s v="Fully Remote"/>
    <n v="188"/>
    <x v="5"/>
  </r>
  <r>
    <x v="815"/>
    <x v="2"/>
    <s v="Smith"/>
    <x v="5"/>
    <x v="66"/>
    <s v="chrissmith@gmail.com"/>
    <x v="807"/>
    <s v="extremely low"/>
    <x v="775"/>
    <n v="2008"/>
    <x v="11"/>
    <n v="4"/>
    <d v="2026-03-19T00:00:00"/>
    <n v="6649"/>
    <n v="6649"/>
    <n v="4750"/>
    <n v="40"/>
    <x v="0"/>
    <x v="1"/>
    <n v="7"/>
    <s v="No"/>
    <n v="9022.43"/>
    <x v="1"/>
    <x v="3"/>
    <x v="27"/>
    <s v="Good Employee"/>
    <b v="1"/>
    <b v="1"/>
    <s v="Good employee"/>
    <x v="0"/>
    <x v="5"/>
    <n v="8"/>
    <n v="2015"/>
    <s v="Fully Remote"/>
    <n v="36"/>
    <x v="4"/>
  </r>
  <r>
    <x v="816"/>
    <x v="7"/>
    <s v="Wilson"/>
    <x v="0"/>
    <x v="167"/>
    <s v="johnwilson@gmail.com"/>
    <x v="808"/>
    <s v="High"/>
    <x v="776"/>
    <n v="2009"/>
    <x v="10"/>
    <n v="4"/>
    <d v="2026-03-19T00:00:00"/>
    <n v="5949"/>
    <n v="5949"/>
    <n v="4250"/>
    <n v="43"/>
    <x v="0"/>
    <x v="1"/>
    <n v="2"/>
    <s v="Yes"/>
    <n v="5575.99"/>
    <x v="1"/>
    <x v="1"/>
    <x v="19"/>
    <s v="Bad Employee"/>
    <b v="0"/>
    <b v="1"/>
    <s v="Good employee"/>
    <x v="0"/>
    <x v="0"/>
    <n v="7"/>
    <n v="2022"/>
    <s v="Hybrid"/>
    <n v="163"/>
    <x v="4"/>
  </r>
  <r>
    <x v="817"/>
    <x v="3"/>
    <s v="Smith"/>
    <x v="3"/>
    <x v="12"/>
    <s v="alexsmith@gmail.com"/>
    <x v="809"/>
    <s v="extremely low"/>
    <x v="777"/>
    <n v="2014"/>
    <x v="10"/>
    <n v="22"/>
    <d v="2026-03-19T00:00:00"/>
    <n v="4105"/>
    <n v="4105"/>
    <n v="2934"/>
    <n v="64"/>
    <x v="0"/>
    <x v="1"/>
    <n v="5"/>
    <s v="Yes"/>
    <n v="1778.97"/>
    <x v="2"/>
    <x v="4"/>
    <x v="26"/>
    <s v="Bad Employee"/>
    <b v="0"/>
    <b v="0"/>
    <s v="Bad Employee"/>
    <x v="1"/>
    <x v="0"/>
    <n v="9"/>
    <n v="2016"/>
    <s v="Fully Remote"/>
    <n v="148"/>
    <x v="6"/>
  </r>
  <r>
    <x v="818"/>
    <x v="1"/>
    <s v="Brown"/>
    <x v="4"/>
    <x v="214"/>
    <s v="emilybrown@gmail.com"/>
    <x v="810"/>
    <s v="extremely low"/>
    <x v="778"/>
    <n v="2003"/>
    <x v="7"/>
    <n v="8"/>
    <d v="2026-03-19T00:00:00"/>
    <n v="8351"/>
    <n v="8351"/>
    <n v="5966"/>
    <n v="29"/>
    <x v="1"/>
    <x v="1"/>
    <n v="9"/>
    <s v="No"/>
    <n v="1007.55"/>
    <x v="0"/>
    <x v="1"/>
    <x v="12"/>
    <s v="Good Employee"/>
    <b v="1"/>
    <b v="1"/>
    <s v="Good employee"/>
    <x v="2"/>
    <x v="4"/>
    <n v="3"/>
    <n v="2020"/>
    <s v="Fully Remote"/>
    <n v="164"/>
    <x v="20"/>
  </r>
  <r>
    <x v="819"/>
    <x v="7"/>
    <s v="Wilson"/>
    <x v="5"/>
    <x v="110"/>
    <s v="johnwilson@gmail.com"/>
    <x v="811"/>
    <s v="High"/>
    <x v="779"/>
    <n v="2005"/>
    <x v="7"/>
    <n v="13"/>
    <d v="2026-03-19T00:00:00"/>
    <n v="7615"/>
    <n v="7615"/>
    <n v="5440"/>
    <n v="26"/>
    <x v="1"/>
    <x v="0"/>
    <n v="8"/>
    <s v="Yes"/>
    <n v="1638.67"/>
    <x v="0"/>
    <x v="3"/>
    <x v="21"/>
    <s v="Bad Employee"/>
    <b v="0"/>
    <b v="1"/>
    <s v="Good employee"/>
    <x v="2"/>
    <x v="2"/>
    <n v="4"/>
    <n v="2012"/>
    <s v="On-Site"/>
    <n v="112"/>
    <x v="19"/>
  </r>
  <r>
    <x v="820"/>
    <x v="0"/>
    <s v="Davis"/>
    <x v="3"/>
    <x v="223"/>
    <s v="michaeldavis@gmail.com"/>
    <x v="812"/>
    <s v="High"/>
    <x v="780"/>
    <n v="2019"/>
    <x v="9"/>
    <n v="20"/>
    <d v="2026-03-19T00:00:00"/>
    <n v="2464"/>
    <n v="2464"/>
    <n v="1761"/>
    <n v="30"/>
    <x v="1"/>
    <x v="0"/>
    <n v="8"/>
    <s v="Yes"/>
    <n v="4977.7"/>
    <x v="2"/>
    <x v="1"/>
    <x v="35"/>
    <s v="Good Employee"/>
    <b v="1"/>
    <b v="1"/>
    <s v="Good employee"/>
    <x v="2"/>
    <x v="4"/>
    <n v="17"/>
    <n v="2015"/>
    <s v="Fully Remote"/>
    <n v="46"/>
    <x v="3"/>
  </r>
  <r>
    <x v="821"/>
    <x v="1"/>
    <s v="Wilson"/>
    <x v="3"/>
    <x v="81"/>
    <s v="emilywilson@gmail.com"/>
    <x v="813"/>
    <s v="low"/>
    <x v="781"/>
    <n v="2002"/>
    <x v="6"/>
    <n v="23"/>
    <d v="2026-03-19T00:00:00"/>
    <n v="8609"/>
    <n v="8609"/>
    <n v="6150"/>
    <n v="42"/>
    <x v="0"/>
    <x v="1"/>
    <n v="2"/>
    <s v="Yes"/>
    <n v="6850.42"/>
    <x v="3"/>
    <x v="1"/>
    <x v="22"/>
    <s v="Bad Employee"/>
    <b v="0"/>
    <b v="1"/>
    <s v="Good employee"/>
    <x v="0"/>
    <x v="4"/>
    <n v="5"/>
    <n v="2011"/>
    <s v="On-Site"/>
    <n v="126"/>
    <x v="33"/>
  </r>
  <r>
    <x v="822"/>
    <x v="6"/>
    <s v="Smith"/>
    <x v="3"/>
    <x v="49"/>
    <s v="katiesmith@gmail.com"/>
    <x v="814"/>
    <s v="low"/>
    <x v="782"/>
    <n v="2013"/>
    <x v="1"/>
    <n v="7"/>
    <d v="2026-03-19T00:00:00"/>
    <n v="4515"/>
    <n v="4515"/>
    <n v="3226"/>
    <n v="49"/>
    <x v="0"/>
    <x v="0"/>
    <n v="1"/>
    <s v="No"/>
    <n v="6592.16"/>
    <x v="2"/>
    <x v="1"/>
    <x v="26"/>
    <s v="Bad Employee"/>
    <b v="0"/>
    <b v="0"/>
    <s v="Bad Employee"/>
    <x v="2"/>
    <x v="5"/>
    <n v="9"/>
    <n v="2021"/>
    <s v="On-Site"/>
    <n v="38"/>
    <x v="28"/>
  </r>
  <r>
    <x v="823"/>
    <x v="0"/>
    <s v="Smith"/>
    <x v="3"/>
    <x v="40"/>
    <s v="michaelsmith@gmail.com"/>
    <x v="815"/>
    <s v="High"/>
    <x v="783"/>
    <n v="2013"/>
    <x v="0"/>
    <n v="1"/>
    <d v="2026-03-19T00:00:00"/>
    <n v="4582"/>
    <n v="4582"/>
    <n v="3274"/>
    <n v="25"/>
    <x v="1"/>
    <x v="0"/>
    <n v="9"/>
    <s v="Yes"/>
    <n v="1872.02"/>
    <x v="3"/>
    <x v="0"/>
    <x v="13"/>
    <s v="Good Employee"/>
    <b v="1"/>
    <b v="1"/>
    <s v="Good employee"/>
    <x v="2"/>
    <x v="2"/>
    <n v="17"/>
    <n v="2019"/>
    <s v="Hybrid"/>
    <n v="169"/>
    <x v="17"/>
  </r>
  <r>
    <x v="824"/>
    <x v="4"/>
    <s v="Williams"/>
    <x v="3"/>
    <x v="303"/>
    <s v="sarahwilliams@gmail.com"/>
    <x v="816"/>
    <s v="High"/>
    <x v="437"/>
    <n v="2014"/>
    <x v="10"/>
    <n v="7"/>
    <d v="2026-03-19T00:00:00"/>
    <n v="4120"/>
    <n v="4120"/>
    <n v="2944"/>
    <n v="45"/>
    <x v="0"/>
    <x v="1"/>
    <n v="4"/>
    <s v="Yes"/>
    <n v="6518.15"/>
    <x v="0"/>
    <x v="2"/>
    <x v="21"/>
    <s v="Bad Employee"/>
    <b v="0"/>
    <b v="0"/>
    <s v="Bad Employee"/>
    <x v="0"/>
    <x v="2"/>
    <n v="10"/>
    <n v="2022"/>
    <s v="Hybrid"/>
    <n v="148"/>
    <x v="26"/>
  </r>
  <r>
    <x v="825"/>
    <x v="1"/>
    <s v="Johnson"/>
    <x v="5"/>
    <x v="116"/>
    <s v="emilyjohnson@gmail.com"/>
    <x v="817"/>
    <s v="extremely low"/>
    <x v="784"/>
    <n v="2010"/>
    <x v="11"/>
    <n v="26"/>
    <d v="2026-03-19T00:00:00"/>
    <n v="5896"/>
    <n v="5896"/>
    <n v="4213"/>
    <n v="29"/>
    <x v="1"/>
    <x v="0"/>
    <n v="9"/>
    <s v="No"/>
    <n v="4346.22"/>
    <x v="3"/>
    <x v="3"/>
    <x v="12"/>
    <s v="Good Employee"/>
    <b v="1"/>
    <b v="1"/>
    <s v="Good employee"/>
    <x v="1"/>
    <x v="5"/>
    <n v="4"/>
    <n v="2013"/>
    <s v="Fully Remote"/>
    <n v="89"/>
    <x v="4"/>
  </r>
  <r>
    <x v="826"/>
    <x v="3"/>
    <s v="Wilson"/>
    <x v="1"/>
    <x v="282"/>
    <s v="alexwilson@gmail.com"/>
    <x v="818"/>
    <s v="High"/>
    <x v="785"/>
    <n v="2011"/>
    <x v="5"/>
    <n v="22"/>
    <d v="2026-03-19T00:00:00"/>
    <n v="5262"/>
    <n v="5262"/>
    <n v="3759"/>
    <n v="38"/>
    <x v="0"/>
    <x v="1"/>
    <n v="7"/>
    <s v="No"/>
    <n v="4915.07"/>
    <x v="2"/>
    <x v="0"/>
    <x v="28"/>
    <s v="Good Employee"/>
    <b v="1"/>
    <b v="1"/>
    <s v="Good employee"/>
    <x v="1"/>
    <x v="3"/>
    <n v="2"/>
    <n v="2023"/>
    <s v="Hybrid"/>
    <n v="145"/>
    <x v="34"/>
  </r>
  <r>
    <x v="827"/>
    <x v="5"/>
    <s v="Brown"/>
    <x v="2"/>
    <x v="304"/>
    <s v="janebrown@gmail.com"/>
    <x v="819"/>
    <s v="Medium"/>
    <x v="786"/>
    <n v="2001"/>
    <x v="0"/>
    <n v="14"/>
    <d v="2026-03-19T00:00:00"/>
    <n v="8952"/>
    <n v="8952"/>
    <n v="6395"/>
    <n v="55"/>
    <x v="0"/>
    <x v="1"/>
    <n v="6"/>
    <s v="No"/>
    <n v="8113.59"/>
    <x v="3"/>
    <x v="2"/>
    <x v="27"/>
    <s v="Bad Employee"/>
    <b v="0"/>
    <b v="1"/>
    <s v="Good employee"/>
    <x v="0"/>
    <x v="1"/>
    <n v="17"/>
    <n v="2019"/>
    <s v="On-Site"/>
    <n v="126"/>
    <x v="2"/>
  </r>
  <r>
    <x v="828"/>
    <x v="0"/>
    <s v="Brown"/>
    <x v="3"/>
    <x v="305"/>
    <s v="michaelbrown@gmail.com"/>
    <x v="820"/>
    <s v="low"/>
    <x v="787"/>
    <n v="2012"/>
    <x v="8"/>
    <n v="6"/>
    <d v="2026-03-19T00:00:00"/>
    <n v="5126"/>
    <n v="5126"/>
    <n v="3663"/>
    <n v="41"/>
    <x v="0"/>
    <x v="0"/>
    <n v="9"/>
    <s v="No"/>
    <n v="3658.74"/>
    <x v="1"/>
    <x v="1"/>
    <x v="21"/>
    <s v="Bad Employee"/>
    <b v="0"/>
    <b v="1"/>
    <s v="Good employee"/>
    <x v="2"/>
    <x v="5"/>
    <n v="3"/>
    <n v="2022"/>
    <s v="Hybrid"/>
    <n v="124"/>
    <x v="18"/>
  </r>
  <r>
    <x v="829"/>
    <x v="4"/>
    <s v="Johnson"/>
    <x v="3"/>
    <x v="91"/>
    <s v="sarahjohnson@gmail.com"/>
    <x v="821"/>
    <s v="High"/>
    <x v="788"/>
    <n v="2013"/>
    <x v="4"/>
    <n v="8"/>
    <d v="2026-03-19T00:00:00"/>
    <n v="4787"/>
    <n v="4787"/>
    <n v="3420"/>
    <n v="37"/>
    <x v="0"/>
    <x v="0"/>
    <n v="4"/>
    <s v="No"/>
    <n v="1896.49"/>
    <x v="1"/>
    <x v="1"/>
    <x v="33"/>
    <s v="Bad Employee"/>
    <b v="0"/>
    <b v="0"/>
    <s v="Bad Employee"/>
    <x v="1"/>
    <x v="3"/>
    <n v="7"/>
    <n v="2018"/>
    <s v="On-Site"/>
    <n v="86"/>
    <x v="15"/>
  </r>
  <r>
    <x v="830"/>
    <x v="2"/>
    <s v="Smith"/>
    <x v="2"/>
    <x v="142"/>
    <s v="chrissmith@gmail.com"/>
    <x v="822"/>
    <s v="High"/>
    <x v="789"/>
    <n v="2018"/>
    <x v="0"/>
    <n v="1"/>
    <d v="2026-03-19T00:00:00"/>
    <n v="2756"/>
    <n v="2756"/>
    <n v="1969"/>
    <n v="31"/>
    <x v="0"/>
    <x v="0"/>
    <n v="1"/>
    <s v="No"/>
    <n v="8797.7999999999993"/>
    <x v="2"/>
    <x v="0"/>
    <x v="31"/>
    <s v="Bad Employee"/>
    <b v="0"/>
    <b v="1"/>
    <s v="Good employee"/>
    <x v="1"/>
    <x v="3"/>
    <n v="16"/>
    <n v="2022"/>
    <s v="Hybrid"/>
    <n v="198"/>
    <x v="14"/>
  </r>
  <r>
    <x v="831"/>
    <x v="2"/>
    <s v="Williams"/>
    <x v="5"/>
    <x v="222"/>
    <s v="chriswilliams@gmail.com"/>
    <x v="823"/>
    <s v="low"/>
    <x v="790"/>
    <n v="2012"/>
    <x v="10"/>
    <n v="9"/>
    <d v="2026-03-19T00:00:00"/>
    <n v="4848"/>
    <n v="4848"/>
    <n v="3464"/>
    <n v="55"/>
    <x v="0"/>
    <x v="1"/>
    <n v="5"/>
    <s v="No"/>
    <n v="2515.2399999999998"/>
    <x v="2"/>
    <x v="4"/>
    <x v="27"/>
    <s v="Bad Employee"/>
    <b v="0"/>
    <b v="1"/>
    <s v="Good employee"/>
    <x v="1"/>
    <x v="2"/>
    <n v="9"/>
    <n v="2016"/>
    <s v="Fully Remote"/>
    <n v="124"/>
    <x v="2"/>
  </r>
  <r>
    <x v="832"/>
    <x v="3"/>
    <s v="Williams"/>
    <x v="0"/>
    <x v="251"/>
    <s v="alexwilliams@gmail.com"/>
    <x v="824"/>
    <s v="High"/>
    <x v="374"/>
    <n v="2006"/>
    <x v="9"/>
    <n v="30"/>
    <d v="2026-03-19T00:00:00"/>
    <n v="7202"/>
    <n v="7202"/>
    <n v="5145"/>
    <n v="64"/>
    <x v="0"/>
    <x v="1"/>
    <n v="6"/>
    <s v="Yes"/>
    <n v="3293.28"/>
    <x v="2"/>
    <x v="3"/>
    <x v="24"/>
    <s v="Bad Employee"/>
    <b v="0"/>
    <b v="1"/>
    <s v="Good employee"/>
    <x v="0"/>
    <x v="5"/>
    <n v="18"/>
    <n v="2011"/>
    <s v="Hybrid"/>
    <n v="165"/>
    <x v="9"/>
  </r>
  <r>
    <x v="833"/>
    <x v="1"/>
    <s v="Brown"/>
    <x v="4"/>
    <x v="214"/>
    <s v="emilybrown@gmail.com"/>
    <x v="825"/>
    <s v="extremely low"/>
    <x v="791"/>
    <n v="2008"/>
    <x v="11"/>
    <n v="27"/>
    <d v="2026-03-19T00:00:00"/>
    <n v="6626"/>
    <n v="6626"/>
    <n v="4734"/>
    <n v="31"/>
    <x v="0"/>
    <x v="0"/>
    <n v="6"/>
    <s v="No"/>
    <n v="7212.61"/>
    <x v="0"/>
    <x v="2"/>
    <x v="34"/>
    <s v="Bad Employee"/>
    <b v="0"/>
    <b v="1"/>
    <s v="Good employee"/>
    <x v="1"/>
    <x v="5"/>
    <n v="0"/>
    <n v="2015"/>
    <s v="Fully Remote"/>
    <n v="109"/>
    <x v="13"/>
  </r>
  <r>
    <x v="834"/>
    <x v="7"/>
    <s v="Williams"/>
    <x v="4"/>
    <x v="191"/>
    <s v="johnwilliams@gmail.com"/>
    <x v="826"/>
    <s v="low"/>
    <x v="792"/>
    <n v="2009"/>
    <x v="11"/>
    <n v="12"/>
    <d v="2026-03-19T00:00:00"/>
    <n v="6275"/>
    <n v="6275"/>
    <n v="4484"/>
    <n v="51"/>
    <x v="0"/>
    <x v="1"/>
    <n v="1"/>
    <s v="No"/>
    <n v="6993.73"/>
    <x v="0"/>
    <x v="1"/>
    <x v="37"/>
    <s v="Bad Employee"/>
    <b v="0"/>
    <b v="1"/>
    <s v="Good employee"/>
    <x v="2"/>
    <x v="2"/>
    <n v="1"/>
    <n v="2023"/>
    <s v="Hybrid"/>
    <n v="86"/>
    <x v="23"/>
  </r>
  <r>
    <x v="835"/>
    <x v="1"/>
    <s v="Miller"/>
    <x v="0"/>
    <x v="29"/>
    <s v="emilymiller@gmail.com"/>
    <x v="827"/>
    <s v="High"/>
    <x v="793"/>
    <n v="2003"/>
    <x v="8"/>
    <n v="14"/>
    <d v="2026-03-19T00:00:00"/>
    <n v="8406"/>
    <n v="8406"/>
    <n v="6005"/>
    <n v="51"/>
    <x v="0"/>
    <x v="0"/>
    <n v="7"/>
    <s v="No"/>
    <n v="8103.8"/>
    <x v="0"/>
    <x v="3"/>
    <x v="25"/>
    <s v="Bad Employee"/>
    <b v="0"/>
    <b v="1"/>
    <s v="Good employee"/>
    <x v="0"/>
    <x v="4"/>
    <n v="10"/>
    <n v="2013"/>
    <s v="On-Site"/>
    <n v="96"/>
    <x v="22"/>
  </r>
  <r>
    <x v="836"/>
    <x v="3"/>
    <s v="Johnson"/>
    <x v="5"/>
    <x v="39"/>
    <s v="alexjohnson@gmail.com"/>
    <x v="828"/>
    <s v="High"/>
    <x v="623"/>
    <n v="2017"/>
    <x v="6"/>
    <n v="30"/>
    <d v="2026-03-19T00:00:00"/>
    <n v="3123"/>
    <n v="3123"/>
    <n v="2232"/>
    <n v="46"/>
    <x v="0"/>
    <x v="0"/>
    <n v="8"/>
    <s v="Yes"/>
    <n v="2246.73"/>
    <x v="1"/>
    <x v="1"/>
    <x v="0"/>
    <s v="Bad Employee"/>
    <b v="0"/>
    <b v="1"/>
    <s v="Good employee"/>
    <x v="0"/>
    <x v="5"/>
    <n v="14"/>
    <n v="2017"/>
    <s v="Hybrid"/>
    <n v="167"/>
    <x v="40"/>
  </r>
  <r>
    <x v="837"/>
    <x v="2"/>
    <s v="Smith"/>
    <x v="4"/>
    <x v="107"/>
    <s v="chrissmith@gmail.com"/>
    <x v="829"/>
    <s v="Medium"/>
    <x v="794"/>
    <n v="2013"/>
    <x v="11"/>
    <n v="1"/>
    <d v="2026-03-19T00:00:00"/>
    <n v="4825"/>
    <n v="4825"/>
    <n v="3448"/>
    <n v="64"/>
    <x v="0"/>
    <x v="0"/>
    <n v="5"/>
    <s v="Yes"/>
    <n v="3846.66"/>
    <x v="3"/>
    <x v="1"/>
    <x v="18"/>
    <s v="Bad Employee"/>
    <b v="0"/>
    <b v="0"/>
    <s v="Bad Employee"/>
    <x v="1"/>
    <x v="1"/>
    <n v="0"/>
    <n v="2021"/>
    <s v="Hybrid"/>
    <n v="169"/>
    <x v="37"/>
  </r>
  <r>
    <x v="838"/>
    <x v="1"/>
    <s v="Miller"/>
    <x v="2"/>
    <x v="24"/>
    <s v="emilymiller@gmail.com"/>
    <x v="830"/>
    <s v="Medium"/>
    <x v="795"/>
    <n v="2017"/>
    <x v="6"/>
    <n v="7"/>
    <d v="2026-03-19T00:00:00"/>
    <n v="3146"/>
    <n v="3146"/>
    <n v="2249"/>
    <n v="62"/>
    <x v="0"/>
    <x v="0"/>
    <n v="2"/>
    <s v="No"/>
    <n v="1695.89"/>
    <x v="1"/>
    <x v="1"/>
    <x v="0"/>
    <s v="Bad Employee"/>
    <b v="0"/>
    <b v="0"/>
    <s v="Bad Employee"/>
    <x v="2"/>
    <x v="1"/>
    <n v="8"/>
    <n v="2017"/>
    <s v="On-Site"/>
    <n v="44"/>
    <x v="11"/>
  </r>
  <r>
    <x v="839"/>
    <x v="2"/>
    <s v="Johnson"/>
    <x v="0"/>
    <x v="165"/>
    <s v="chrisjohnson@gmail.com"/>
    <x v="831"/>
    <s v="High"/>
    <x v="796"/>
    <n v="2001"/>
    <x v="11"/>
    <n v="26"/>
    <d v="2026-03-19T00:00:00"/>
    <n v="9183"/>
    <n v="9183"/>
    <n v="6560"/>
    <n v="28"/>
    <x v="1"/>
    <x v="1"/>
    <n v="2"/>
    <s v="No"/>
    <n v="5639.87"/>
    <x v="3"/>
    <x v="3"/>
    <x v="8"/>
    <s v="Bad Employee"/>
    <b v="0"/>
    <b v="1"/>
    <s v="Good employee"/>
    <x v="0"/>
    <x v="0"/>
    <n v="7"/>
    <n v="2010"/>
    <s v="On-Site"/>
    <n v="140"/>
    <x v="17"/>
  </r>
  <r>
    <x v="840"/>
    <x v="0"/>
    <s v="Davis"/>
    <x v="1"/>
    <x v="187"/>
    <s v="michaeldavis@gmail.com"/>
    <x v="832"/>
    <s v="low"/>
    <x v="797"/>
    <n v="2010"/>
    <x v="9"/>
    <n v="6"/>
    <d v="2026-03-19T00:00:00"/>
    <n v="5765"/>
    <n v="5765"/>
    <n v="4119"/>
    <n v="41"/>
    <x v="0"/>
    <x v="0"/>
    <n v="5"/>
    <s v="No"/>
    <n v="3279.42"/>
    <x v="3"/>
    <x v="0"/>
    <x v="19"/>
    <s v="Bad Employee"/>
    <b v="0"/>
    <b v="1"/>
    <s v="Good employee"/>
    <x v="1"/>
    <x v="0"/>
    <n v="0"/>
    <n v="2017"/>
    <s v="Hybrid"/>
    <n v="58"/>
    <x v="10"/>
  </r>
  <r>
    <x v="841"/>
    <x v="4"/>
    <s v="Wilson"/>
    <x v="5"/>
    <x v="5"/>
    <s v="sarahwilson@gmail.com"/>
    <x v="833"/>
    <s v="High"/>
    <x v="798"/>
    <n v="2006"/>
    <x v="6"/>
    <n v="4"/>
    <d v="2026-03-19T00:00:00"/>
    <n v="7167"/>
    <n v="7167"/>
    <n v="5120"/>
    <n v="38"/>
    <x v="0"/>
    <x v="1"/>
    <n v="7"/>
    <s v="Yes"/>
    <n v="7044.89"/>
    <x v="2"/>
    <x v="3"/>
    <x v="8"/>
    <s v="Good Employee"/>
    <b v="1"/>
    <b v="1"/>
    <s v="Good employee"/>
    <x v="2"/>
    <x v="5"/>
    <n v="9"/>
    <n v="2019"/>
    <s v="On-Site"/>
    <n v="93"/>
    <x v="3"/>
  </r>
  <r>
    <x v="842"/>
    <x v="7"/>
    <s v="Brown"/>
    <x v="0"/>
    <x v="175"/>
    <s v="johnbrown@gmail.com"/>
    <x v="834"/>
    <s v="High"/>
    <x v="799"/>
    <n v="2013"/>
    <x v="3"/>
    <n v="26"/>
    <d v="2026-03-19T00:00:00"/>
    <n v="4710"/>
    <n v="4710"/>
    <n v="3365"/>
    <n v="24"/>
    <x v="1"/>
    <x v="1"/>
    <n v="7"/>
    <s v="No"/>
    <n v="503.27"/>
    <x v="2"/>
    <x v="3"/>
    <x v="3"/>
    <s v="Good Employee"/>
    <b v="1"/>
    <b v="1"/>
    <s v="Good employee"/>
    <x v="2"/>
    <x v="3"/>
    <n v="16"/>
    <n v="2016"/>
    <s v="On-Site"/>
    <n v="139"/>
    <x v="1"/>
  </r>
  <r>
    <x v="843"/>
    <x v="0"/>
    <s v="Williams"/>
    <x v="4"/>
    <x v="45"/>
    <s v="michaelwilliams@gmail.com"/>
    <x v="835"/>
    <s v="High"/>
    <x v="800"/>
    <n v="2013"/>
    <x v="7"/>
    <n v="24"/>
    <d v="2026-03-19T00:00:00"/>
    <n v="4682"/>
    <n v="4682"/>
    <n v="3345"/>
    <n v="61"/>
    <x v="0"/>
    <x v="1"/>
    <n v="4"/>
    <s v="Yes"/>
    <n v="1066.99"/>
    <x v="0"/>
    <x v="4"/>
    <x v="12"/>
    <s v="Bad Employee"/>
    <b v="0"/>
    <b v="1"/>
    <s v="Good employee"/>
    <x v="0"/>
    <x v="1"/>
    <n v="17"/>
    <n v="2023"/>
    <s v="Hybrid"/>
    <n v="6"/>
    <x v="27"/>
  </r>
  <r>
    <x v="844"/>
    <x v="2"/>
    <s v="Davis"/>
    <x v="5"/>
    <x v="6"/>
    <s v="chrisdavis@gmail.com"/>
    <x v="836"/>
    <s v="extremely low"/>
    <x v="801"/>
    <n v="2013"/>
    <x v="5"/>
    <n v="6"/>
    <d v="2026-03-19T00:00:00"/>
    <n v="4547"/>
    <n v="4547"/>
    <n v="3249"/>
    <n v="57"/>
    <x v="0"/>
    <x v="1"/>
    <n v="3"/>
    <s v="Yes"/>
    <n v="4609.32"/>
    <x v="2"/>
    <x v="4"/>
    <x v="35"/>
    <s v="Bad Employee"/>
    <b v="0"/>
    <b v="1"/>
    <s v="Good employee"/>
    <x v="1"/>
    <x v="1"/>
    <n v="15"/>
    <n v="2023"/>
    <s v="Fully Remote"/>
    <n v="101"/>
    <x v="31"/>
  </r>
  <r>
    <x v="845"/>
    <x v="2"/>
    <s v="Williams"/>
    <x v="2"/>
    <x v="300"/>
    <s v="chriswilliams@gmail.com"/>
    <x v="837"/>
    <s v="High"/>
    <x v="802"/>
    <n v="2016"/>
    <x v="6"/>
    <n v="10"/>
    <d v="2026-03-19T00:00:00"/>
    <n v="3508"/>
    <n v="3508"/>
    <n v="2507"/>
    <n v="47"/>
    <x v="0"/>
    <x v="1"/>
    <n v="9"/>
    <s v="No"/>
    <n v="9602.75"/>
    <x v="1"/>
    <x v="0"/>
    <x v="14"/>
    <s v="Bad Employee"/>
    <b v="0"/>
    <b v="1"/>
    <s v="Good employee"/>
    <x v="2"/>
    <x v="2"/>
    <n v="1"/>
    <n v="2010"/>
    <s v="Hybrid"/>
    <n v="60"/>
    <x v="5"/>
  </r>
  <r>
    <x v="846"/>
    <x v="5"/>
    <s v="Miller"/>
    <x v="5"/>
    <x v="103"/>
    <s v="janemiller@gmail.com"/>
    <x v="838"/>
    <s v="Medium"/>
    <x v="803"/>
    <n v="2011"/>
    <x v="6"/>
    <n v="31"/>
    <d v="2026-03-19T00:00:00"/>
    <n v="5314"/>
    <n v="5314"/>
    <n v="3797"/>
    <n v="31"/>
    <x v="0"/>
    <x v="1"/>
    <n v="7"/>
    <s v="Yes"/>
    <n v="8963.09"/>
    <x v="1"/>
    <x v="4"/>
    <x v="35"/>
    <s v="Good Employee"/>
    <b v="1"/>
    <b v="1"/>
    <s v="Good employee"/>
    <x v="0"/>
    <x v="1"/>
    <n v="16"/>
    <n v="2012"/>
    <s v="Hybrid"/>
    <n v="108"/>
    <x v="20"/>
  </r>
  <r>
    <x v="847"/>
    <x v="5"/>
    <s v="Smith"/>
    <x v="5"/>
    <x v="80"/>
    <s v="janesmith@gmail.com"/>
    <x v="839"/>
    <s v="High"/>
    <x v="804"/>
    <n v="2013"/>
    <x v="8"/>
    <n v="21"/>
    <d v="2026-03-19T00:00:00"/>
    <n v="4746"/>
    <n v="4746"/>
    <n v="3391"/>
    <n v="55"/>
    <x v="0"/>
    <x v="0"/>
    <n v="2"/>
    <s v="No"/>
    <n v="9943.09"/>
    <x v="1"/>
    <x v="0"/>
    <x v="18"/>
    <s v="Bad Employee"/>
    <b v="0"/>
    <b v="0"/>
    <s v="Bad Employee"/>
    <x v="0"/>
    <x v="3"/>
    <n v="3"/>
    <n v="2023"/>
    <s v="Fully Remote"/>
    <n v="128"/>
    <x v="33"/>
  </r>
  <r>
    <x v="848"/>
    <x v="0"/>
    <s v="Smith"/>
    <x v="2"/>
    <x v="101"/>
    <s v="michaelsmith@gmail.com"/>
    <x v="840"/>
    <s v="Medium"/>
    <x v="805"/>
    <n v="2001"/>
    <x v="6"/>
    <n v="3"/>
    <d v="2026-03-19T00:00:00"/>
    <n v="8994"/>
    <n v="8994"/>
    <n v="6425"/>
    <n v="35"/>
    <x v="0"/>
    <x v="1"/>
    <n v="1"/>
    <s v="Yes"/>
    <n v="4459.8900000000003"/>
    <x v="2"/>
    <x v="1"/>
    <x v="29"/>
    <s v="Bad Employee"/>
    <b v="0"/>
    <b v="0"/>
    <s v="Bad Employee"/>
    <x v="0"/>
    <x v="0"/>
    <n v="6"/>
    <n v="2014"/>
    <s v="Hybrid"/>
    <n v="189"/>
    <x v="11"/>
  </r>
  <r>
    <x v="849"/>
    <x v="6"/>
    <s v="Smith"/>
    <x v="3"/>
    <x v="49"/>
    <s v="katiesmith@gmail.com"/>
    <x v="841"/>
    <s v="extremely low"/>
    <x v="806"/>
    <n v="2002"/>
    <x v="8"/>
    <n v="31"/>
    <d v="2026-03-19T00:00:00"/>
    <n v="8754"/>
    <n v="8754"/>
    <n v="6254"/>
    <n v="29"/>
    <x v="1"/>
    <x v="0"/>
    <n v="2"/>
    <s v="Yes"/>
    <n v="942.4"/>
    <x v="2"/>
    <x v="1"/>
    <x v="21"/>
    <s v="Bad Employee"/>
    <b v="0"/>
    <b v="0"/>
    <s v="Bad Employee"/>
    <x v="0"/>
    <x v="0"/>
    <n v="8"/>
    <n v="2012"/>
    <s v="Hybrid"/>
    <n v="181"/>
    <x v="12"/>
  </r>
  <r>
    <x v="850"/>
    <x v="0"/>
    <s v="Williams"/>
    <x v="2"/>
    <x v="306"/>
    <s v="michaelwilliams@gmail.com"/>
    <x v="842"/>
    <s v="Medium"/>
    <x v="807"/>
    <n v="2003"/>
    <x v="9"/>
    <n v="1"/>
    <d v="2026-03-19T00:00:00"/>
    <n v="8327"/>
    <n v="8327"/>
    <n v="5949"/>
    <n v="48"/>
    <x v="0"/>
    <x v="1"/>
    <n v="3"/>
    <s v="Yes"/>
    <n v="3406.58"/>
    <x v="3"/>
    <x v="3"/>
    <x v="4"/>
    <s v="Bad Employee"/>
    <b v="0"/>
    <b v="0"/>
    <s v="Bad Employee"/>
    <x v="0"/>
    <x v="2"/>
    <n v="2"/>
    <n v="2012"/>
    <s v="On-Site"/>
    <n v="129"/>
    <x v="3"/>
  </r>
  <r>
    <x v="851"/>
    <x v="5"/>
    <s v="Davis"/>
    <x v="5"/>
    <x v="289"/>
    <s v="janedavis@gmail.com"/>
    <x v="843"/>
    <s v="High"/>
    <x v="808"/>
    <n v="2000"/>
    <x v="7"/>
    <n v="3"/>
    <d v="2026-03-19T00:00:00"/>
    <n v="9451"/>
    <n v="9451"/>
    <n v="6752"/>
    <n v="31"/>
    <x v="0"/>
    <x v="0"/>
    <n v="5"/>
    <s v="No"/>
    <n v="6919.82"/>
    <x v="3"/>
    <x v="1"/>
    <x v="6"/>
    <s v="Bad Employee"/>
    <b v="0"/>
    <b v="0"/>
    <s v="Bad Employee"/>
    <x v="2"/>
    <x v="0"/>
    <n v="19"/>
    <n v="2010"/>
    <s v="Hybrid"/>
    <n v="82"/>
    <x v="7"/>
  </r>
  <r>
    <x v="852"/>
    <x v="2"/>
    <s v="Smith"/>
    <x v="2"/>
    <x v="142"/>
    <s v="chrissmith@gmail.com"/>
    <x v="844"/>
    <s v="Medium"/>
    <x v="809"/>
    <n v="2016"/>
    <x v="6"/>
    <n v="11"/>
    <d v="2026-03-19T00:00:00"/>
    <n v="3507"/>
    <n v="3507"/>
    <n v="2506"/>
    <n v="36"/>
    <x v="0"/>
    <x v="0"/>
    <n v="3"/>
    <s v="Yes"/>
    <n v="1784.06"/>
    <x v="2"/>
    <x v="4"/>
    <x v="35"/>
    <s v="Bad Employee"/>
    <b v="0"/>
    <b v="1"/>
    <s v="Good employee"/>
    <x v="0"/>
    <x v="4"/>
    <n v="4"/>
    <n v="2017"/>
    <s v="Fully Remote"/>
    <n v="12"/>
    <x v="35"/>
  </r>
  <r>
    <x v="853"/>
    <x v="3"/>
    <s v="Davis"/>
    <x v="3"/>
    <x v="163"/>
    <s v="alexdavis@gmail.com"/>
    <x v="845"/>
    <s v="Medium"/>
    <x v="810"/>
    <n v="2012"/>
    <x v="4"/>
    <n v="26"/>
    <d v="2026-03-19T00:00:00"/>
    <n v="5135"/>
    <n v="5135"/>
    <n v="3669"/>
    <n v="58"/>
    <x v="0"/>
    <x v="1"/>
    <n v="9"/>
    <s v="Yes"/>
    <n v="3349.74"/>
    <x v="1"/>
    <x v="2"/>
    <x v="26"/>
    <s v="Bad Employee"/>
    <b v="0"/>
    <b v="1"/>
    <s v="Good employee"/>
    <x v="1"/>
    <x v="0"/>
    <n v="17"/>
    <n v="2018"/>
    <s v="Fully Remote"/>
    <n v="88"/>
    <x v="6"/>
  </r>
  <r>
    <x v="854"/>
    <x v="0"/>
    <s v="Williams"/>
    <x v="0"/>
    <x v="0"/>
    <s v="michaelwilliams@gmail.com"/>
    <x v="846"/>
    <s v="High"/>
    <x v="811"/>
    <n v="2005"/>
    <x v="4"/>
    <n v="17"/>
    <d v="2026-03-19T00:00:00"/>
    <n v="7700"/>
    <n v="7700"/>
    <n v="5501"/>
    <n v="43"/>
    <x v="0"/>
    <x v="0"/>
    <n v="4"/>
    <s v="No"/>
    <n v="1033.58"/>
    <x v="2"/>
    <x v="3"/>
    <x v="38"/>
    <s v="Bad Employee"/>
    <b v="0"/>
    <b v="0"/>
    <s v="Bad Employee"/>
    <x v="1"/>
    <x v="1"/>
    <n v="16"/>
    <n v="2014"/>
    <s v="On-Site"/>
    <n v="195"/>
    <x v="19"/>
  </r>
  <r>
    <x v="855"/>
    <x v="2"/>
    <s v="Miller"/>
    <x v="2"/>
    <x v="249"/>
    <s v="chrismiller@gmail.com"/>
    <x v="847"/>
    <s v="High"/>
    <x v="812"/>
    <n v="2001"/>
    <x v="9"/>
    <n v="7"/>
    <d v="2026-03-19T00:00:00"/>
    <n v="9051"/>
    <n v="9051"/>
    <n v="6466"/>
    <n v="52"/>
    <x v="0"/>
    <x v="0"/>
    <n v="7"/>
    <s v="Yes"/>
    <n v="5012.1899999999996"/>
    <x v="0"/>
    <x v="0"/>
    <x v="27"/>
    <s v="Good Employee"/>
    <b v="1"/>
    <b v="1"/>
    <s v="Good employee"/>
    <x v="2"/>
    <x v="3"/>
    <n v="6"/>
    <n v="2010"/>
    <s v="Hybrid"/>
    <n v="86"/>
    <x v="26"/>
  </r>
  <r>
    <x v="856"/>
    <x v="3"/>
    <s v="Davis"/>
    <x v="2"/>
    <x v="226"/>
    <s v="alexdavis@gmail.com"/>
    <x v="848"/>
    <s v="High"/>
    <x v="813"/>
    <n v="2008"/>
    <x v="2"/>
    <n v="20"/>
    <d v="2026-03-19T00:00:00"/>
    <n v="6451"/>
    <n v="6451"/>
    <n v="4609"/>
    <n v="23"/>
    <x v="1"/>
    <x v="1"/>
    <n v="4"/>
    <s v="Yes"/>
    <n v="2484.75"/>
    <x v="0"/>
    <x v="1"/>
    <x v="29"/>
    <s v="Bad Employee"/>
    <b v="0"/>
    <b v="0"/>
    <s v="Bad Employee"/>
    <x v="0"/>
    <x v="3"/>
    <n v="13"/>
    <n v="2010"/>
    <s v="Hybrid"/>
    <n v="92"/>
    <x v="12"/>
  </r>
  <r>
    <x v="857"/>
    <x v="3"/>
    <s v="Miller"/>
    <x v="5"/>
    <x v="183"/>
    <s v="alexmiller@gmail.com"/>
    <x v="849"/>
    <s v="High"/>
    <x v="814"/>
    <n v="2011"/>
    <x v="2"/>
    <n v="26"/>
    <d v="2026-03-19T00:00:00"/>
    <n v="5350"/>
    <n v="5350"/>
    <n v="3823"/>
    <n v="52"/>
    <x v="0"/>
    <x v="1"/>
    <n v="3"/>
    <s v="No"/>
    <n v="1366.86"/>
    <x v="1"/>
    <x v="3"/>
    <x v="6"/>
    <s v="Bad Employee"/>
    <b v="0"/>
    <b v="0"/>
    <s v="Bad Employee"/>
    <x v="0"/>
    <x v="4"/>
    <n v="14"/>
    <n v="2018"/>
    <s v="Hybrid"/>
    <n v="178"/>
    <x v="8"/>
  </r>
  <r>
    <x v="858"/>
    <x v="5"/>
    <s v="Williams"/>
    <x v="0"/>
    <x v="32"/>
    <s v="janewilliams@gmail.com"/>
    <x v="850"/>
    <s v="High"/>
    <x v="815"/>
    <n v="2014"/>
    <x v="7"/>
    <n v="21"/>
    <d v="2026-03-19T00:00:00"/>
    <n v="4320"/>
    <n v="4320"/>
    <n v="3087"/>
    <n v="35"/>
    <x v="0"/>
    <x v="1"/>
    <n v="1"/>
    <s v="No"/>
    <n v="4406.55"/>
    <x v="0"/>
    <x v="3"/>
    <x v="26"/>
    <s v="Bad Employee"/>
    <b v="0"/>
    <b v="0"/>
    <s v="Bad Employee"/>
    <x v="2"/>
    <x v="3"/>
    <n v="13"/>
    <n v="2023"/>
    <s v="Hybrid"/>
    <n v="71"/>
    <x v="26"/>
  </r>
  <r>
    <x v="859"/>
    <x v="0"/>
    <s v="Williams"/>
    <x v="1"/>
    <x v="271"/>
    <s v="michaelwilliams@gmail.com"/>
    <x v="851"/>
    <s v="Medium"/>
    <x v="816"/>
    <n v="2018"/>
    <x v="6"/>
    <n v="14"/>
    <d v="2026-03-19T00:00:00"/>
    <n v="2774"/>
    <n v="2774"/>
    <n v="1983"/>
    <n v="31"/>
    <x v="0"/>
    <x v="1"/>
    <n v="9"/>
    <s v="No"/>
    <n v="3836.64"/>
    <x v="2"/>
    <x v="3"/>
    <x v="13"/>
    <s v="Good Employee"/>
    <b v="1"/>
    <b v="1"/>
    <s v="Good employee"/>
    <x v="0"/>
    <x v="3"/>
    <n v="8"/>
    <n v="2010"/>
    <s v="Fully Remote"/>
    <n v="121"/>
    <x v="4"/>
  </r>
  <r>
    <x v="860"/>
    <x v="1"/>
    <s v="Brown"/>
    <x v="1"/>
    <x v="294"/>
    <s v="emilybrown@gmail.com"/>
    <x v="852"/>
    <s v="High"/>
    <x v="817"/>
    <n v="2008"/>
    <x v="5"/>
    <n v="3"/>
    <d v="2026-03-19T00:00:00"/>
    <n v="6376"/>
    <n v="6376"/>
    <n v="4555"/>
    <n v="51"/>
    <x v="0"/>
    <x v="1"/>
    <n v="1"/>
    <s v="Yes"/>
    <n v="5606.42"/>
    <x v="2"/>
    <x v="1"/>
    <x v="6"/>
    <s v="Bad Employee"/>
    <b v="0"/>
    <b v="0"/>
    <s v="Bad Employee"/>
    <x v="0"/>
    <x v="3"/>
    <n v="15"/>
    <n v="2018"/>
    <s v="Fully Remote"/>
    <n v="178"/>
    <x v="4"/>
  </r>
  <r>
    <x v="861"/>
    <x v="7"/>
    <s v="Williams"/>
    <x v="4"/>
    <x v="191"/>
    <s v="johnwilliams@gmail.com"/>
    <x v="853"/>
    <s v="Medium"/>
    <x v="818"/>
    <n v="2007"/>
    <x v="6"/>
    <n v="17"/>
    <d v="2026-03-19T00:00:00"/>
    <n v="6789"/>
    <n v="6789"/>
    <n v="4850"/>
    <n v="57"/>
    <x v="0"/>
    <x v="1"/>
    <n v="1"/>
    <s v="Yes"/>
    <n v="7615.87"/>
    <x v="3"/>
    <x v="0"/>
    <x v="10"/>
    <s v="Bad Employee"/>
    <b v="0"/>
    <b v="0"/>
    <s v="Bad Employee"/>
    <x v="1"/>
    <x v="5"/>
    <n v="18"/>
    <n v="2012"/>
    <s v="On-Site"/>
    <n v="82"/>
    <x v="29"/>
  </r>
  <r>
    <x v="862"/>
    <x v="5"/>
    <s v="Williams"/>
    <x v="2"/>
    <x v="41"/>
    <s v="janewilliams@gmail.com"/>
    <x v="854"/>
    <s v="High"/>
    <x v="380"/>
    <n v="2019"/>
    <x v="7"/>
    <n v="23"/>
    <d v="2026-03-19T00:00:00"/>
    <n v="2492"/>
    <n v="2492"/>
    <n v="1781"/>
    <n v="61"/>
    <x v="0"/>
    <x v="1"/>
    <n v="1"/>
    <s v="Yes"/>
    <n v="1569.4"/>
    <x v="0"/>
    <x v="3"/>
    <x v="33"/>
    <s v="Bad Employee"/>
    <b v="0"/>
    <b v="0"/>
    <s v="Bad Employee"/>
    <x v="0"/>
    <x v="4"/>
    <n v="0"/>
    <n v="2012"/>
    <s v="Hybrid"/>
    <n v="71"/>
    <x v="16"/>
  </r>
  <r>
    <x v="863"/>
    <x v="5"/>
    <s v="Johnson"/>
    <x v="2"/>
    <x v="67"/>
    <s v="janejohnson@gmail.com"/>
    <x v="855"/>
    <s v="High"/>
    <x v="819"/>
    <n v="2005"/>
    <x v="5"/>
    <n v="19"/>
    <d v="2026-03-19T00:00:00"/>
    <n v="7456"/>
    <n v="7456"/>
    <n v="5327"/>
    <n v="36"/>
    <x v="0"/>
    <x v="1"/>
    <n v="5"/>
    <s v="Yes"/>
    <n v="8015.69"/>
    <x v="0"/>
    <x v="3"/>
    <x v="13"/>
    <s v="Bad Employee"/>
    <b v="0"/>
    <b v="1"/>
    <s v="Good employee"/>
    <x v="2"/>
    <x v="4"/>
    <n v="7"/>
    <n v="2022"/>
    <s v="Fully Remote"/>
    <n v="46"/>
    <x v="0"/>
  </r>
  <r>
    <x v="864"/>
    <x v="1"/>
    <s v="Smith"/>
    <x v="0"/>
    <x v="172"/>
    <s v="emilysmith@gmail.com"/>
    <x v="856"/>
    <s v="Medium"/>
    <x v="820"/>
    <n v="2017"/>
    <x v="2"/>
    <n v="26"/>
    <d v="2026-03-19T00:00:00"/>
    <n v="3158"/>
    <n v="3158"/>
    <n v="2257"/>
    <n v="35"/>
    <x v="0"/>
    <x v="0"/>
    <n v="7"/>
    <s v="Yes"/>
    <n v="749.75"/>
    <x v="0"/>
    <x v="3"/>
    <x v="37"/>
    <s v="Good Employee"/>
    <b v="1"/>
    <b v="1"/>
    <s v="Good employee"/>
    <x v="1"/>
    <x v="0"/>
    <n v="17"/>
    <n v="2013"/>
    <s v="Hybrid"/>
    <n v="68"/>
    <x v="30"/>
  </r>
  <r>
    <x v="865"/>
    <x v="7"/>
    <s v="Brown"/>
    <x v="3"/>
    <x v="217"/>
    <s v="johnbrown@gmail.com"/>
    <x v="857"/>
    <s v="low"/>
    <x v="821"/>
    <n v="2003"/>
    <x v="3"/>
    <n v="25"/>
    <d v="2026-03-19T00:00:00"/>
    <n v="8364"/>
    <n v="8364"/>
    <n v="5975"/>
    <n v="52"/>
    <x v="0"/>
    <x v="1"/>
    <n v="7"/>
    <s v="No"/>
    <n v="4709.47"/>
    <x v="0"/>
    <x v="1"/>
    <x v="7"/>
    <s v="Good Employee"/>
    <b v="1"/>
    <b v="1"/>
    <s v="Good employee"/>
    <x v="2"/>
    <x v="1"/>
    <n v="1"/>
    <n v="2014"/>
    <s v="Fully Remote"/>
    <n v="132"/>
    <x v="24"/>
  </r>
  <r>
    <x v="866"/>
    <x v="2"/>
    <s v="Wilson"/>
    <x v="1"/>
    <x v="307"/>
    <s v="chriswilson@gmail.com"/>
    <x v="858"/>
    <s v="extremely low"/>
    <x v="822"/>
    <n v="2002"/>
    <x v="5"/>
    <n v="23"/>
    <d v="2026-03-19T00:00:00"/>
    <n v="8548"/>
    <n v="8548"/>
    <n v="6107"/>
    <n v="50"/>
    <x v="0"/>
    <x v="0"/>
    <n v="1"/>
    <s v="Yes"/>
    <n v="6080.59"/>
    <x v="1"/>
    <x v="4"/>
    <x v="8"/>
    <s v="Bad Employee"/>
    <b v="0"/>
    <b v="1"/>
    <s v="Good employee"/>
    <x v="2"/>
    <x v="4"/>
    <n v="3"/>
    <n v="2015"/>
    <s v="Fully Remote"/>
    <n v="77"/>
    <x v="40"/>
  </r>
  <r>
    <x v="867"/>
    <x v="6"/>
    <s v="Brown"/>
    <x v="4"/>
    <x v="308"/>
    <s v="katiebrown@gmail.com"/>
    <x v="859"/>
    <s v="extremely low"/>
    <x v="823"/>
    <n v="2014"/>
    <x v="5"/>
    <n v="18"/>
    <d v="2026-03-19T00:00:00"/>
    <n v="4170"/>
    <n v="4170"/>
    <n v="2979"/>
    <n v="48"/>
    <x v="0"/>
    <x v="1"/>
    <n v="6"/>
    <s v="No"/>
    <n v="9591.49"/>
    <x v="1"/>
    <x v="0"/>
    <x v="30"/>
    <s v="Bad Employee"/>
    <b v="0"/>
    <b v="0"/>
    <s v="Bad Employee"/>
    <x v="0"/>
    <x v="2"/>
    <n v="0"/>
    <n v="2023"/>
    <s v="On-Site"/>
    <n v="185"/>
    <x v="40"/>
  </r>
  <r>
    <x v="868"/>
    <x v="3"/>
    <s v="Brown"/>
    <x v="0"/>
    <x v="224"/>
    <s v="alexbrown@gmail.com"/>
    <x v="860"/>
    <s v="Medium"/>
    <x v="824"/>
    <n v="2011"/>
    <x v="3"/>
    <n v="10"/>
    <d v="2026-03-19T00:00:00"/>
    <n v="5457"/>
    <n v="5457"/>
    <n v="3899"/>
    <n v="42"/>
    <x v="0"/>
    <x v="1"/>
    <n v="9"/>
    <s v="Yes"/>
    <n v="5952.27"/>
    <x v="2"/>
    <x v="3"/>
    <x v="1"/>
    <s v="Good Employee"/>
    <b v="1"/>
    <b v="1"/>
    <s v="Good employee"/>
    <x v="0"/>
    <x v="4"/>
    <n v="18"/>
    <n v="2015"/>
    <s v="Hybrid"/>
    <n v="94"/>
    <x v="22"/>
  </r>
  <r>
    <x v="869"/>
    <x v="6"/>
    <s v="Wilson"/>
    <x v="2"/>
    <x v="94"/>
    <s v="katiewilson@gmail.com"/>
    <x v="861"/>
    <s v="low"/>
    <x v="825"/>
    <n v="2011"/>
    <x v="0"/>
    <n v="1"/>
    <d v="2026-03-19T00:00:00"/>
    <n v="5313"/>
    <n v="5313"/>
    <n v="3796"/>
    <n v="30"/>
    <x v="1"/>
    <x v="1"/>
    <n v="6"/>
    <s v="Yes"/>
    <n v="2008.12"/>
    <x v="0"/>
    <x v="3"/>
    <x v="3"/>
    <s v="Bad Employee"/>
    <b v="0"/>
    <b v="1"/>
    <s v="Good employee"/>
    <x v="1"/>
    <x v="2"/>
    <n v="10"/>
    <n v="2019"/>
    <s v="On-Site"/>
    <n v="11"/>
    <x v="33"/>
  </r>
  <r>
    <x v="870"/>
    <x v="2"/>
    <s v="Johnson"/>
    <x v="1"/>
    <x v="288"/>
    <s v="chrisjohnson@gmail.com"/>
    <x v="862"/>
    <s v="low"/>
    <x v="826"/>
    <n v="2014"/>
    <x v="1"/>
    <n v="12"/>
    <d v="2026-03-19T00:00:00"/>
    <n v="4145"/>
    <n v="4145"/>
    <n v="2962"/>
    <n v="41"/>
    <x v="0"/>
    <x v="1"/>
    <n v="4"/>
    <s v="No"/>
    <n v="5416.65"/>
    <x v="3"/>
    <x v="3"/>
    <x v="33"/>
    <s v="Bad Employee"/>
    <b v="0"/>
    <b v="0"/>
    <s v="Bad Employee"/>
    <x v="2"/>
    <x v="3"/>
    <n v="5"/>
    <n v="2022"/>
    <s v="On-Site"/>
    <n v="11"/>
    <x v="20"/>
  </r>
  <r>
    <x v="871"/>
    <x v="4"/>
    <s v="Miller"/>
    <x v="4"/>
    <x v="247"/>
    <s v="sarahmiller@gmail.com"/>
    <x v="863"/>
    <s v="Medium"/>
    <x v="587"/>
    <n v="2019"/>
    <x v="8"/>
    <n v="20"/>
    <d v="2026-03-19T00:00:00"/>
    <n v="2556"/>
    <n v="2556"/>
    <n v="1827"/>
    <n v="56"/>
    <x v="0"/>
    <x v="0"/>
    <n v="9"/>
    <s v="Yes"/>
    <n v="4259.95"/>
    <x v="2"/>
    <x v="1"/>
    <x v="29"/>
    <s v="Bad Employee"/>
    <b v="0"/>
    <b v="1"/>
    <s v="Good employee"/>
    <x v="2"/>
    <x v="1"/>
    <n v="18"/>
    <n v="2022"/>
    <s v="On-Site"/>
    <n v="126"/>
    <x v="7"/>
  </r>
  <r>
    <x v="872"/>
    <x v="5"/>
    <s v="Williams"/>
    <x v="5"/>
    <x v="258"/>
    <s v="janewilliams@gmail.com"/>
    <x v="864"/>
    <s v="low"/>
    <x v="827"/>
    <n v="2015"/>
    <x v="3"/>
    <n v="28"/>
    <d v="2026-03-19T00:00:00"/>
    <n v="3978"/>
    <n v="3978"/>
    <n v="2843"/>
    <n v="36"/>
    <x v="0"/>
    <x v="0"/>
    <n v="3"/>
    <s v="Yes"/>
    <n v="5053.88"/>
    <x v="2"/>
    <x v="4"/>
    <x v="3"/>
    <s v="Bad Employee"/>
    <b v="0"/>
    <b v="1"/>
    <s v="Good employee"/>
    <x v="0"/>
    <x v="2"/>
    <n v="13"/>
    <n v="2018"/>
    <s v="On-Site"/>
    <n v="168"/>
    <x v="18"/>
  </r>
  <r>
    <x v="873"/>
    <x v="7"/>
    <s v="Smith"/>
    <x v="1"/>
    <x v="137"/>
    <s v="johnsmith@gmail.com"/>
    <x v="865"/>
    <s v="Medium"/>
    <x v="828"/>
    <n v="2001"/>
    <x v="7"/>
    <n v="12"/>
    <d v="2026-03-19T00:00:00"/>
    <n v="9077"/>
    <n v="9077"/>
    <n v="6484"/>
    <n v="45"/>
    <x v="0"/>
    <x v="1"/>
    <n v="4"/>
    <s v="No"/>
    <n v="2372.42"/>
    <x v="1"/>
    <x v="3"/>
    <x v="10"/>
    <s v="Bad Employee"/>
    <b v="0"/>
    <b v="0"/>
    <s v="Bad Employee"/>
    <x v="2"/>
    <x v="1"/>
    <n v="18"/>
    <n v="2010"/>
    <s v="On-Site"/>
    <n v="120"/>
    <x v="15"/>
  </r>
  <r>
    <x v="874"/>
    <x v="5"/>
    <s v="Davis"/>
    <x v="4"/>
    <x v="309"/>
    <s v="janedavis@gmail.com"/>
    <x v="866"/>
    <s v="High"/>
    <x v="829"/>
    <n v="2012"/>
    <x v="7"/>
    <n v="26"/>
    <d v="2026-03-19T00:00:00"/>
    <n v="5045"/>
    <n v="5045"/>
    <n v="3604"/>
    <n v="37"/>
    <x v="0"/>
    <x v="0"/>
    <n v="4"/>
    <s v="No"/>
    <n v="5257.86"/>
    <x v="2"/>
    <x v="3"/>
    <x v="13"/>
    <s v="Bad Employee"/>
    <b v="0"/>
    <b v="1"/>
    <s v="Good employee"/>
    <x v="2"/>
    <x v="1"/>
    <n v="12"/>
    <n v="2018"/>
    <s v="On-Site"/>
    <n v="17"/>
    <x v="15"/>
  </r>
  <r>
    <x v="875"/>
    <x v="3"/>
    <s v="Wilson"/>
    <x v="0"/>
    <x v="241"/>
    <s v="alexwilson@gmail.com"/>
    <x v="867"/>
    <s v="High"/>
    <x v="830"/>
    <n v="2007"/>
    <x v="0"/>
    <n v="6"/>
    <d v="2026-03-19T00:00:00"/>
    <n v="6769"/>
    <n v="6769"/>
    <n v="4836"/>
    <n v="57"/>
    <x v="0"/>
    <x v="1"/>
    <n v="4"/>
    <s v="Yes"/>
    <n v="1925.38"/>
    <x v="3"/>
    <x v="1"/>
    <x v="7"/>
    <s v="Bad Employee"/>
    <b v="0"/>
    <b v="1"/>
    <s v="Good employee"/>
    <x v="2"/>
    <x v="5"/>
    <n v="11"/>
    <n v="2013"/>
    <s v="On-Site"/>
    <n v="199"/>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72820D-68FB-4D50-BD0A-6EBF7FDF3C6E}" name="PivotTable18"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O46:P59" firstHeaderRow="1" firstDataRow="1" firstDataCol="1"/>
  <pivotFields count="37">
    <pivotField showAll="0"/>
    <pivotField showAll="0"/>
    <pivotField showAll="0"/>
    <pivotField showAll="0"/>
    <pivotField showAll="0"/>
    <pivotField showAll="0"/>
    <pivotField dataField="1" showAll="0">
      <items count="12">
        <item x="0"/>
        <item x="1"/>
        <item x="2"/>
        <item x="3"/>
        <item x="4"/>
        <item x="5"/>
        <item x="6"/>
        <item x="7"/>
        <item x="8"/>
        <item x="9"/>
        <item x="10"/>
        <item t="default"/>
      </items>
    </pivotField>
    <pivotField showAll="0"/>
    <pivotField numFmtId="164" showAll="0">
      <items count="832">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t="default"/>
      </items>
    </pivotField>
    <pivotField showAll="0"/>
    <pivotField showAll="0">
      <items count="13">
        <item x="11"/>
        <item x="4"/>
        <item x="8"/>
        <item x="3"/>
        <item x="7"/>
        <item x="9"/>
        <item x="2"/>
        <item x="6"/>
        <item x="0"/>
        <item x="5"/>
        <item x="1"/>
        <item x="10"/>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36"/>
  </rowFields>
  <rowItems count="13">
    <i>
      <x v="1"/>
    </i>
    <i>
      <x v="2"/>
    </i>
    <i>
      <x v="3"/>
    </i>
    <i>
      <x v="4"/>
    </i>
    <i>
      <x v="5"/>
    </i>
    <i>
      <x v="6"/>
    </i>
    <i>
      <x v="7"/>
    </i>
    <i>
      <x v="8"/>
    </i>
    <i>
      <x v="9"/>
    </i>
    <i>
      <x v="10"/>
    </i>
    <i>
      <x v="11"/>
    </i>
    <i>
      <x v="12"/>
    </i>
    <i t="grand">
      <x/>
    </i>
  </rowItems>
  <colItems count="1">
    <i/>
  </colItems>
  <dataFields count="1">
    <dataField name="Average of Salary" fld="6" subtotal="average" baseField="36" baseItem="2" numFmtId="169"/>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1629B1-14B4-4EB4-815D-1976E8E8E694}" name="PivotTable17"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6:K890" firstHeaderRow="1" firstDataRow="1" firstDataCol="1"/>
  <pivotFields count="37">
    <pivotField showAll="0"/>
    <pivotField showAll="0"/>
    <pivotField showAll="0"/>
    <pivotField showAll="0"/>
    <pivotField showAll="0"/>
    <pivotField showAll="0"/>
    <pivotField showAll="0"/>
    <pivotField showAll="0"/>
    <pivotField axis="axisRow" numFmtId="164" showAll="0">
      <items count="832">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t="default"/>
      </items>
    </pivotField>
    <pivotField showAll="0"/>
    <pivotField showAll="0"/>
    <pivotField showAll="0"/>
    <pivotField numFmtId="164"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2">
    <field x="36"/>
    <field x="8"/>
  </rowFields>
  <rowItems count="844">
    <i>
      <x v="1"/>
    </i>
    <i r="1">
      <x/>
    </i>
    <i r="1">
      <x v="1"/>
    </i>
    <i r="1">
      <x v="2"/>
    </i>
    <i r="1">
      <x v="39"/>
    </i>
    <i r="1">
      <x v="40"/>
    </i>
    <i r="1">
      <x v="41"/>
    </i>
    <i r="1">
      <x v="42"/>
    </i>
    <i r="1">
      <x v="43"/>
    </i>
    <i r="1">
      <x v="86"/>
    </i>
    <i r="1">
      <x v="87"/>
    </i>
    <i r="1">
      <x v="88"/>
    </i>
    <i r="1">
      <x v="89"/>
    </i>
    <i r="1">
      <x v="125"/>
    </i>
    <i r="1">
      <x v="126"/>
    </i>
    <i r="1">
      <x v="171"/>
    </i>
    <i r="1">
      <x v="172"/>
    </i>
    <i r="1">
      <x v="173"/>
    </i>
    <i r="1">
      <x v="215"/>
    </i>
    <i r="1">
      <x v="216"/>
    </i>
    <i r="1">
      <x v="264"/>
    </i>
    <i r="1">
      <x v="299"/>
    </i>
    <i r="1">
      <x v="333"/>
    </i>
    <i r="1">
      <x v="334"/>
    </i>
    <i r="1">
      <x v="335"/>
    </i>
    <i r="1">
      <x v="336"/>
    </i>
    <i r="1">
      <x v="337"/>
    </i>
    <i r="1">
      <x v="338"/>
    </i>
    <i r="1">
      <x v="376"/>
    </i>
    <i r="1">
      <x v="377"/>
    </i>
    <i r="1">
      <x v="378"/>
    </i>
    <i r="1">
      <x v="379"/>
    </i>
    <i r="1">
      <x v="380"/>
    </i>
    <i r="1">
      <x v="422"/>
    </i>
    <i r="1">
      <x v="423"/>
    </i>
    <i r="1">
      <x v="424"/>
    </i>
    <i r="1">
      <x v="425"/>
    </i>
    <i r="1">
      <x v="426"/>
    </i>
    <i r="1">
      <x v="461"/>
    </i>
    <i r="1">
      <x v="462"/>
    </i>
    <i r="1">
      <x v="463"/>
    </i>
    <i r="1">
      <x v="538"/>
    </i>
    <i r="1">
      <x v="539"/>
    </i>
    <i r="1">
      <x v="540"/>
    </i>
    <i r="1">
      <x v="541"/>
    </i>
    <i r="1">
      <x v="592"/>
    </i>
    <i r="1">
      <x v="629"/>
    </i>
    <i r="1">
      <x v="659"/>
    </i>
    <i r="1">
      <x v="660"/>
    </i>
    <i r="1">
      <x v="661"/>
    </i>
    <i r="1">
      <x v="705"/>
    </i>
    <i r="1">
      <x v="706"/>
    </i>
    <i r="1">
      <x v="707"/>
    </i>
    <i r="1">
      <x v="708"/>
    </i>
    <i r="1">
      <x v="709"/>
    </i>
    <i r="1">
      <x v="710"/>
    </i>
    <i r="1">
      <x v="755"/>
    </i>
    <i r="1">
      <x v="756"/>
    </i>
    <i r="1">
      <x v="757"/>
    </i>
    <i r="1">
      <x v="758"/>
    </i>
    <i r="1">
      <x v="786"/>
    </i>
    <i r="1">
      <x v="787"/>
    </i>
    <i>
      <x v="2"/>
    </i>
    <i r="1">
      <x v="3"/>
    </i>
    <i r="1">
      <x v="4"/>
    </i>
    <i r="1">
      <x v="5"/>
    </i>
    <i r="1">
      <x v="44"/>
    </i>
    <i r="1">
      <x v="45"/>
    </i>
    <i r="1">
      <x v="46"/>
    </i>
    <i r="1">
      <x v="47"/>
    </i>
    <i r="1">
      <x v="48"/>
    </i>
    <i r="1">
      <x v="49"/>
    </i>
    <i r="1">
      <x v="90"/>
    </i>
    <i r="1">
      <x v="91"/>
    </i>
    <i r="1">
      <x v="92"/>
    </i>
    <i r="1">
      <x v="93"/>
    </i>
    <i r="1">
      <x v="94"/>
    </i>
    <i r="1">
      <x v="95"/>
    </i>
    <i r="1">
      <x v="96"/>
    </i>
    <i r="1">
      <x v="127"/>
    </i>
    <i r="1">
      <x v="128"/>
    </i>
    <i r="1">
      <x v="129"/>
    </i>
    <i r="1">
      <x v="130"/>
    </i>
    <i r="1">
      <x v="131"/>
    </i>
    <i r="1">
      <x v="174"/>
    </i>
    <i r="1">
      <x v="217"/>
    </i>
    <i r="1">
      <x v="218"/>
    </i>
    <i r="1">
      <x v="219"/>
    </i>
    <i r="1">
      <x v="220"/>
    </i>
    <i r="1">
      <x v="221"/>
    </i>
    <i r="1">
      <x v="222"/>
    </i>
    <i r="1">
      <x v="223"/>
    </i>
    <i r="1">
      <x v="265"/>
    </i>
    <i r="1">
      <x v="266"/>
    </i>
    <i r="1">
      <x v="300"/>
    </i>
    <i r="1">
      <x v="301"/>
    </i>
    <i r="1">
      <x v="339"/>
    </i>
    <i r="1">
      <x v="340"/>
    </i>
    <i r="1">
      <x v="341"/>
    </i>
    <i r="1">
      <x v="342"/>
    </i>
    <i r="1">
      <x v="343"/>
    </i>
    <i r="1">
      <x v="381"/>
    </i>
    <i r="1">
      <x v="382"/>
    </i>
    <i r="1">
      <x v="427"/>
    </i>
    <i r="1">
      <x v="428"/>
    </i>
    <i r="1">
      <x v="464"/>
    </i>
    <i r="1">
      <x v="465"/>
    </i>
    <i r="1">
      <x v="466"/>
    </i>
    <i r="1">
      <x v="467"/>
    </i>
    <i r="1">
      <x v="468"/>
    </i>
    <i r="1">
      <x v="503"/>
    </i>
    <i r="1">
      <x v="504"/>
    </i>
    <i r="1">
      <x v="505"/>
    </i>
    <i r="1">
      <x v="542"/>
    </i>
    <i r="1">
      <x v="543"/>
    </i>
    <i r="1">
      <x v="544"/>
    </i>
    <i r="1">
      <x v="545"/>
    </i>
    <i r="1">
      <x v="546"/>
    </i>
    <i r="1">
      <x v="547"/>
    </i>
    <i r="1">
      <x v="593"/>
    </i>
    <i r="1">
      <x v="594"/>
    </i>
    <i r="1">
      <x v="595"/>
    </i>
    <i r="1">
      <x v="596"/>
    </i>
    <i r="1">
      <x v="662"/>
    </i>
    <i r="1">
      <x v="663"/>
    </i>
    <i r="1">
      <x v="664"/>
    </i>
    <i r="1">
      <x v="665"/>
    </i>
    <i r="1">
      <x v="711"/>
    </i>
    <i r="1">
      <x v="712"/>
    </i>
    <i r="1">
      <x v="713"/>
    </i>
    <i r="1">
      <x v="714"/>
    </i>
    <i r="1">
      <x v="788"/>
    </i>
    <i r="1">
      <x v="789"/>
    </i>
    <i>
      <x v="3"/>
    </i>
    <i r="1">
      <x v="6"/>
    </i>
    <i r="1">
      <x v="7"/>
    </i>
    <i r="1">
      <x v="8"/>
    </i>
    <i r="1">
      <x v="9"/>
    </i>
    <i r="1">
      <x v="10"/>
    </i>
    <i r="1">
      <x v="50"/>
    </i>
    <i r="1">
      <x v="51"/>
    </i>
    <i r="1">
      <x v="52"/>
    </i>
    <i r="1">
      <x v="97"/>
    </i>
    <i r="1">
      <x v="98"/>
    </i>
    <i r="1">
      <x v="132"/>
    </i>
    <i r="1">
      <x v="133"/>
    </i>
    <i r="1">
      <x v="134"/>
    </i>
    <i r="1">
      <x v="135"/>
    </i>
    <i r="1">
      <x v="136"/>
    </i>
    <i r="1">
      <x v="137"/>
    </i>
    <i r="1">
      <x v="175"/>
    </i>
    <i r="1">
      <x v="176"/>
    </i>
    <i r="1">
      <x v="177"/>
    </i>
    <i r="1">
      <x v="224"/>
    </i>
    <i r="1">
      <x v="225"/>
    </i>
    <i r="1">
      <x v="226"/>
    </i>
    <i r="1">
      <x v="227"/>
    </i>
    <i r="1">
      <x v="267"/>
    </i>
    <i r="1">
      <x v="268"/>
    </i>
    <i r="1">
      <x v="269"/>
    </i>
    <i r="1">
      <x v="270"/>
    </i>
    <i r="1">
      <x v="302"/>
    </i>
    <i r="1">
      <x v="303"/>
    </i>
    <i r="1">
      <x v="344"/>
    </i>
    <i r="1">
      <x v="345"/>
    </i>
    <i r="1">
      <x v="346"/>
    </i>
    <i r="1">
      <x v="383"/>
    </i>
    <i r="1">
      <x v="384"/>
    </i>
    <i r="1">
      <x v="385"/>
    </i>
    <i r="1">
      <x v="386"/>
    </i>
    <i r="1">
      <x v="387"/>
    </i>
    <i r="1">
      <x v="388"/>
    </i>
    <i r="1">
      <x v="389"/>
    </i>
    <i r="1">
      <x v="429"/>
    </i>
    <i r="1">
      <x v="430"/>
    </i>
    <i r="1">
      <x v="431"/>
    </i>
    <i r="1">
      <x v="469"/>
    </i>
    <i r="1">
      <x v="470"/>
    </i>
    <i r="1">
      <x v="506"/>
    </i>
    <i r="1">
      <x v="507"/>
    </i>
    <i r="1">
      <x v="508"/>
    </i>
    <i r="1">
      <x v="509"/>
    </i>
    <i r="1">
      <x v="510"/>
    </i>
    <i r="1">
      <x v="548"/>
    </i>
    <i r="1">
      <x v="549"/>
    </i>
    <i r="1">
      <x v="550"/>
    </i>
    <i r="1">
      <x v="551"/>
    </i>
    <i r="1">
      <x v="552"/>
    </i>
    <i r="1">
      <x v="553"/>
    </i>
    <i r="1">
      <x v="597"/>
    </i>
    <i r="1">
      <x v="598"/>
    </i>
    <i r="1">
      <x v="599"/>
    </i>
    <i r="1">
      <x v="600"/>
    </i>
    <i r="1">
      <x v="630"/>
    </i>
    <i r="1">
      <x v="631"/>
    </i>
    <i r="1">
      <x v="632"/>
    </i>
    <i r="1">
      <x v="633"/>
    </i>
    <i r="1">
      <x v="634"/>
    </i>
    <i r="1">
      <x v="666"/>
    </i>
    <i r="1">
      <x v="667"/>
    </i>
    <i r="1">
      <x v="668"/>
    </i>
    <i r="1">
      <x v="669"/>
    </i>
    <i r="1">
      <x v="715"/>
    </i>
    <i r="1">
      <x v="716"/>
    </i>
    <i r="1">
      <x v="717"/>
    </i>
    <i r="1">
      <x v="759"/>
    </i>
    <i r="1">
      <x v="760"/>
    </i>
    <i r="1">
      <x v="790"/>
    </i>
    <i r="1">
      <x v="791"/>
    </i>
    <i r="1">
      <x v="792"/>
    </i>
    <i r="1">
      <x v="793"/>
    </i>
    <i>
      <x v="4"/>
    </i>
    <i r="1">
      <x v="11"/>
    </i>
    <i r="1">
      <x v="53"/>
    </i>
    <i r="1">
      <x v="99"/>
    </i>
    <i r="1">
      <x v="100"/>
    </i>
    <i r="1">
      <x v="101"/>
    </i>
    <i r="1">
      <x v="138"/>
    </i>
    <i r="1">
      <x v="139"/>
    </i>
    <i r="1">
      <x v="140"/>
    </i>
    <i r="1">
      <x v="141"/>
    </i>
    <i r="1">
      <x v="142"/>
    </i>
    <i r="1">
      <x v="178"/>
    </i>
    <i r="1">
      <x v="179"/>
    </i>
    <i r="1">
      <x v="180"/>
    </i>
    <i r="1">
      <x v="181"/>
    </i>
    <i r="1">
      <x v="182"/>
    </i>
    <i r="1">
      <x v="183"/>
    </i>
    <i r="1">
      <x v="228"/>
    </i>
    <i r="1">
      <x v="229"/>
    </i>
    <i r="1">
      <x v="230"/>
    </i>
    <i r="1">
      <x v="231"/>
    </i>
    <i r="1">
      <x v="232"/>
    </i>
    <i r="1">
      <x v="233"/>
    </i>
    <i r="1">
      <x v="271"/>
    </i>
    <i r="1">
      <x v="272"/>
    </i>
    <i r="1">
      <x v="273"/>
    </i>
    <i r="1">
      <x v="274"/>
    </i>
    <i r="1">
      <x v="304"/>
    </i>
    <i r="1">
      <x v="305"/>
    </i>
    <i r="1">
      <x v="347"/>
    </i>
    <i r="1">
      <x v="348"/>
    </i>
    <i r="1">
      <x v="390"/>
    </i>
    <i r="1">
      <x v="391"/>
    </i>
    <i r="1">
      <x v="432"/>
    </i>
    <i r="1">
      <x v="433"/>
    </i>
    <i r="1">
      <x v="434"/>
    </i>
    <i r="1">
      <x v="435"/>
    </i>
    <i r="1">
      <x v="471"/>
    </i>
    <i r="1">
      <x v="472"/>
    </i>
    <i r="1">
      <x v="473"/>
    </i>
    <i r="1">
      <x v="474"/>
    </i>
    <i r="1">
      <x v="475"/>
    </i>
    <i r="1">
      <x v="511"/>
    </i>
    <i r="1">
      <x v="512"/>
    </i>
    <i r="1">
      <x v="513"/>
    </i>
    <i r="1">
      <x v="514"/>
    </i>
    <i r="1">
      <x v="554"/>
    </i>
    <i r="1">
      <x v="555"/>
    </i>
    <i r="1">
      <x v="556"/>
    </i>
    <i r="1">
      <x v="557"/>
    </i>
    <i r="1">
      <x v="558"/>
    </i>
    <i r="1">
      <x v="559"/>
    </i>
    <i r="1">
      <x v="560"/>
    </i>
    <i r="1">
      <x v="561"/>
    </i>
    <i r="1">
      <x v="601"/>
    </i>
    <i r="1">
      <x v="602"/>
    </i>
    <i r="1">
      <x v="635"/>
    </i>
    <i r="1">
      <x v="636"/>
    </i>
    <i r="1">
      <x v="670"/>
    </i>
    <i r="1">
      <x v="671"/>
    </i>
    <i r="1">
      <x v="672"/>
    </i>
    <i r="1">
      <x v="673"/>
    </i>
    <i r="1">
      <x v="674"/>
    </i>
    <i r="1">
      <x v="718"/>
    </i>
    <i r="1">
      <x v="719"/>
    </i>
    <i r="1">
      <x v="720"/>
    </i>
    <i r="1">
      <x v="721"/>
    </i>
    <i r="1">
      <x v="722"/>
    </i>
    <i r="1">
      <x v="723"/>
    </i>
    <i r="1">
      <x v="724"/>
    </i>
    <i r="1">
      <x v="761"/>
    </i>
    <i r="1">
      <x v="762"/>
    </i>
    <i r="1">
      <x v="763"/>
    </i>
    <i r="1">
      <x v="794"/>
    </i>
    <i r="1">
      <x v="795"/>
    </i>
    <i r="1">
      <x v="796"/>
    </i>
    <i r="1">
      <x v="797"/>
    </i>
    <i r="1">
      <x v="798"/>
    </i>
    <i>
      <x v="5"/>
    </i>
    <i r="1">
      <x v="12"/>
    </i>
    <i r="1">
      <x v="13"/>
    </i>
    <i r="1">
      <x v="14"/>
    </i>
    <i r="1">
      <x v="15"/>
    </i>
    <i r="1">
      <x v="54"/>
    </i>
    <i r="1">
      <x v="55"/>
    </i>
    <i r="1">
      <x v="56"/>
    </i>
    <i r="1">
      <x v="143"/>
    </i>
    <i r="1">
      <x v="144"/>
    </i>
    <i r="1">
      <x v="145"/>
    </i>
    <i r="1">
      <x v="146"/>
    </i>
    <i r="1">
      <x v="147"/>
    </i>
    <i r="1">
      <x v="184"/>
    </i>
    <i r="1">
      <x v="185"/>
    </i>
    <i r="1">
      <x v="186"/>
    </i>
    <i r="1">
      <x v="187"/>
    </i>
    <i r="1">
      <x v="234"/>
    </i>
    <i r="1">
      <x v="235"/>
    </i>
    <i r="1">
      <x v="236"/>
    </i>
    <i r="1">
      <x v="237"/>
    </i>
    <i r="1">
      <x v="238"/>
    </i>
    <i r="1">
      <x v="239"/>
    </i>
    <i r="1">
      <x v="275"/>
    </i>
    <i r="1">
      <x v="276"/>
    </i>
    <i r="1">
      <x v="277"/>
    </i>
    <i r="1">
      <x v="306"/>
    </i>
    <i r="1">
      <x v="349"/>
    </i>
    <i r="1">
      <x v="350"/>
    </i>
    <i r="1">
      <x v="351"/>
    </i>
    <i r="1">
      <x v="352"/>
    </i>
    <i r="1">
      <x v="392"/>
    </i>
    <i r="1">
      <x v="393"/>
    </i>
    <i r="1">
      <x v="394"/>
    </i>
    <i r="1">
      <x v="436"/>
    </i>
    <i r="1">
      <x v="437"/>
    </i>
    <i r="1">
      <x v="438"/>
    </i>
    <i r="1">
      <x v="439"/>
    </i>
    <i r="1">
      <x v="440"/>
    </i>
    <i r="1">
      <x v="441"/>
    </i>
    <i r="1">
      <x v="476"/>
    </i>
    <i r="1">
      <x v="477"/>
    </i>
    <i r="1">
      <x v="478"/>
    </i>
    <i r="1">
      <x v="515"/>
    </i>
    <i r="1">
      <x v="516"/>
    </i>
    <i r="1">
      <x v="517"/>
    </i>
    <i r="1">
      <x v="562"/>
    </i>
    <i r="1">
      <x v="563"/>
    </i>
    <i r="1">
      <x v="564"/>
    </i>
    <i r="1">
      <x v="565"/>
    </i>
    <i r="1">
      <x v="566"/>
    </i>
    <i r="1">
      <x v="603"/>
    </i>
    <i r="1">
      <x v="604"/>
    </i>
    <i r="1">
      <x v="605"/>
    </i>
    <i r="1">
      <x v="606"/>
    </i>
    <i r="1">
      <x v="607"/>
    </i>
    <i r="1">
      <x v="608"/>
    </i>
    <i r="1">
      <x v="637"/>
    </i>
    <i r="1">
      <x v="675"/>
    </i>
    <i r="1">
      <x v="676"/>
    </i>
    <i r="1">
      <x v="677"/>
    </i>
    <i r="1">
      <x v="678"/>
    </i>
    <i r="1">
      <x v="725"/>
    </i>
    <i r="1">
      <x v="726"/>
    </i>
    <i r="1">
      <x v="727"/>
    </i>
    <i r="1">
      <x v="764"/>
    </i>
    <i r="1">
      <x v="765"/>
    </i>
    <i r="1">
      <x v="799"/>
    </i>
    <i r="1">
      <x v="800"/>
    </i>
    <i>
      <x v="6"/>
    </i>
    <i r="1">
      <x v="16"/>
    </i>
    <i r="1">
      <x v="57"/>
    </i>
    <i r="1">
      <x v="58"/>
    </i>
    <i r="1">
      <x v="59"/>
    </i>
    <i r="1">
      <x v="60"/>
    </i>
    <i r="1">
      <x v="61"/>
    </i>
    <i r="1">
      <x v="62"/>
    </i>
    <i r="1">
      <x v="63"/>
    </i>
    <i r="1">
      <x v="64"/>
    </i>
    <i r="1">
      <x v="148"/>
    </i>
    <i r="1">
      <x v="149"/>
    </i>
    <i r="1">
      <x v="150"/>
    </i>
    <i r="1">
      <x v="151"/>
    </i>
    <i r="1">
      <x v="152"/>
    </i>
    <i r="1">
      <x v="188"/>
    </i>
    <i r="1">
      <x v="189"/>
    </i>
    <i r="1">
      <x v="190"/>
    </i>
    <i r="1">
      <x v="191"/>
    </i>
    <i r="1">
      <x v="240"/>
    </i>
    <i r="1">
      <x v="241"/>
    </i>
    <i r="1">
      <x v="242"/>
    </i>
    <i r="1">
      <x v="243"/>
    </i>
    <i r="1">
      <x v="278"/>
    </i>
    <i r="1">
      <x v="279"/>
    </i>
    <i r="1">
      <x v="280"/>
    </i>
    <i r="1">
      <x v="307"/>
    </i>
    <i r="1">
      <x v="353"/>
    </i>
    <i r="1">
      <x v="354"/>
    </i>
    <i r="1">
      <x v="355"/>
    </i>
    <i r="1">
      <x v="356"/>
    </i>
    <i r="1">
      <x v="395"/>
    </i>
    <i r="1">
      <x v="396"/>
    </i>
    <i r="1">
      <x v="397"/>
    </i>
    <i r="1">
      <x v="398"/>
    </i>
    <i r="1">
      <x v="399"/>
    </i>
    <i r="1">
      <x v="400"/>
    </i>
    <i r="1">
      <x v="442"/>
    </i>
    <i r="1">
      <x v="443"/>
    </i>
    <i r="1">
      <x v="444"/>
    </i>
    <i r="1">
      <x v="445"/>
    </i>
    <i r="1">
      <x v="446"/>
    </i>
    <i r="1">
      <x v="479"/>
    </i>
    <i r="1">
      <x v="480"/>
    </i>
    <i r="1">
      <x v="481"/>
    </i>
    <i r="1">
      <x v="518"/>
    </i>
    <i r="1">
      <x v="567"/>
    </i>
    <i r="1">
      <x v="568"/>
    </i>
    <i r="1">
      <x v="569"/>
    </i>
    <i r="1">
      <x v="609"/>
    </i>
    <i r="1">
      <x v="610"/>
    </i>
    <i r="1">
      <x v="611"/>
    </i>
    <i r="1">
      <x v="638"/>
    </i>
    <i r="1">
      <x v="639"/>
    </i>
    <i r="1">
      <x v="679"/>
    </i>
    <i r="1">
      <x v="680"/>
    </i>
    <i r="1">
      <x v="681"/>
    </i>
    <i r="1">
      <x v="682"/>
    </i>
    <i r="1">
      <x v="728"/>
    </i>
    <i r="1">
      <x v="729"/>
    </i>
    <i r="1">
      <x v="730"/>
    </i>
    <i r="1">
      <x v="731"/>
    </i>
    <i r="1">
      <x v="732"/>
    </i>
    <i r="1">
      <x v="733"/>
    </i>
    <i r="1">
      <x v="766"/>
    </i>
    <i r="1">
      <x v="767"/>
    </i>
    <i r="1">
      <x v="768"/>
    </i>
    <i r="1">
      <x v="801"/>
    </i>
    <i r="1">
      <x v="802"/>
    </i>
    <i r="1">
      <x v="803"/>
    </i>
    <i r="1">
      <x v="804"/>
    </i>
    <i r="1">
      <x v="805"/>
    </i>
    <i r="1">
      <x v="806"/>
    </i>
    <i>
      <x v="7"/>
    </i>
    <i r="1">
      <x v="17"/>
    </i>
    <i r="1">
      <x v="18"/>
    </i>
    <i r="1">
      <x v="19"/>
    </i>
    <i r="1">
      <x v="65"/>
    </i>
    <i r="1">
      <x v="66"/>
    </i>
    <i r="1">
      <x v="67"/>
    </i>
    <i r="1">
      <x v="102"/>
    </i>
    <i r="1">
      <x v="103"/>
    </i>
    <i r="1">
      <x v="153"/>
    </i>
    <i r="1">
      <x v="154"/>
    </i>
    <i r="1">
      <x v="155"/>
    </i>
    <i r="1">
      <x v="156"/>
    </i>
    <i r="1">
      <x v="157"/>
    </i>
    <i r="1">
      <x v="192"/>
    </i>
    <i r="1">
      <x v="193"/>
    </i>
    <i r="1">
      <x v="194"/>
    </i>
    <i r="1">
      <x v="195"/>
    </i>
    <i r="1">
      <x v="196"/>
    </i>
    <i r="1">
      <x v="197"/>
    </i>
    <i r="1">
      <x v="198"/>
    </i>
    <i r="1">
      <x v="199"/>
    </i>
    <i r="1">
      <x v="244"/>
    </i>
    <i r="1">
      <x v="245"/>
    </i>
    <i r="1">
      <x v="308"/>
    </i>
    <i r="1">
      <x v="309"/>
    </i>
    <i r="1">
      <x v="310"/>
    </i>
    <i r="1">
      <x v="311"/>
    </i>
    <i r="1">
      <x v="312"/>
    </i>
    <i r="1">
      <x v="357"/>
    </i>
    <i r="1">
      <x v="358"/>
    </i>
    <i r="1">
      <x v="359"/>
    </i>
    <i r="1">
      <x v="401"/>
    </i>
    <i r="1">
      <x v="402"/>
    </i>
    <i r="1">
      <x v="447"/>
    </i>
    <i r="1">
      <x v="448"/>
    </i>
    <i r="1">
      <x v="482"/>
    </i>
    <i r="1">
      <x v="483"/>
    </i>
    <i r="1">
      <x v="484"/>
    </i>
    <i r="1">
      <x v="485"/>
    </i>
    <i r="1">
      <x v="519"/>
    </i>
    <i r="1">
      <x v="520"/>
    </i>
    <i r="1">
      <x v="570"/>
    </i>
    <i r="1">
      <x v="571"/>
    </i>
    <i r="1">
      <x v="572"/>
    </i>
    <i r="1">
      <x v="573"/>
    </i>
    <i r="1">
      <x v="612"/>
    </i>
    <i r="1">
      <x v="613"/>
    </i>
    <i r="1">
      <x v="614"/>
    </i>
    <i r="1">
      <x v="615"/>
    </i>
    <i r="1">
      <x v="616"/>
    </i>
    <i r="1">
      <x v="640"/>
    </i>
    <i r="1">
      <x v="641"/>
    </i>
    <i r="1">
      <x v="642"/>
    </i>
    <i r="1">
      <x v="643"/>
    </i>
    <i r="1">
      <x v="644"/>
    </i>
    <i r="1">
      <x v="683"/>
    </i>
    <i r="1">
      <x v="684"/>
    </i>
    <i r="1">
      <x v="685"/>
    </i>
    <i r="1">
      <x v="686"/>
    </i>
    <i r="1">
      <x v="734"/>
    </i>
    <i r="1">
      <x v="735"/>
    </i>
    <i r="1">
      <x v="769"/>
    </i>
    <i r="1">
      <x v="807"/>
    </i>
    <i r="1">
      <x v="808"/>
    </i>
    <i r="1">
      <x v="809"/>
    </i>
    <i r="1">
      <x v="810"/>
    </i>
    <i r="1">
      <x v="811"/>
    </i>
    <i r="1">
      <x v="812"/>
    </i>
    <i r="1">
      <x v="813"/>
    </i>
    <i r="1">
      <x v="814"/>
    </i>
    <i>
      <x v="8"/>
    </i>
    <i r="1">
      <x v="20"/>
    </i>
    <i r="1">
      <x v="21"/>
    </i>
    <i r="1">
      <x v="22"/>
    </i>
    <i r="1">
      <x v="23"/>
    </i>
    <i r="1">
      <x v="68"/>
    </i>
    <i r="1">
      <x v="69"/>
    </i>
    <i r="1">
      <x v="70"/>
    </i>
    <i r="1">
      <x v="71"/>
    </i>
    <i r="1">
      <x v="72"/>
    </i>
    <i r="1">
      <x v="104"/>
    </i>
    <i r="1">
      <x v="105"/>
    </i>
    <i r="1">
      <x v="106"/>
    </i>
    <i r="1">
      <x v="107"/>
    </i>
    <i r="1">
      <x v="108"/>
    </i>
    <i r="1">
      <x v="109"/>
    </i>
    <i r="1">
      <x v="158"/>
    </i>
    <i r="1">
      <x v="159"/>
    </i>
    <i r="1">
      <x v="200"/>
    </i>
    <i r="1">
      <x v="201"/>
    </i>
    <i r="1">
      <x v="202"/>
    </i>
    <i r="1">
      <x v="203"/>
    </i>
    <i r="1">
      <x v="246"/>
    </i>
    <i r="1">
      <x v="247"/>
    </i>
    <i r="1">
      <x v="248"/>
    </i>
    <i r="1">
      <x v="249"/>
    </i>
    <i r="1">
      <x v="281"/>
    </i>
    <i r="1">
      <x v="282"/>
    </i>
    <i r="1">
      <x v="283"/>
    </i>
    <i r="1">
      <x v="313"/>
    </i>
    <i r="1">
      <x v="314"/>
    </i>
    <i r="1">
      <x v="315"/>
    </i>
    <i r="1">
      <x v="316"/>
    </i>
    <i r="1">
      <x v="317"/>
    </i>
    <i r="1">
      <x v="318"/>
    </i>
    <i r="1">
      <x v="360"/>
    </i>
    <i r="1">
      <x v="361"/>
    </i>
    <i r="1">
      <x v="362"/>
    </i>
    <i r="1">
      <x v="363"/>
    </i>
    <i r="1">
      <x v="364"/>
    </i>
    <i r="1">
      <x v="365"/>
    </i>
    <i r="1">
      <x v="403"/>
    </i>
    <i r="1">
      <x v="404"/>
    </i>
    <i r="1">
      <x v="405"/>
    </i>
    <i r="1">
      <x v="406"/>
    </i>
    <i r="1">
      <x v="449"/>
    </i>
    <i r="1">
      <x v="450"/>
    </i>
    <i r="1">
      <x v="486"/>
    </i>
    <i r="1">
      <x v="487"/>
    </i>
    <i r="1">
      <x v="488"/>
    </i>
    <i r="1">
      <x v="489"/>
    </i>
    <i r="1">
      <x v="490"/>
    </i>
    <i r="1">
      <x v="521"/>
    </i>
    <i r="1">
      <x v="522"/>
    </i>
    <i r="1">
      <x v="574"/>
    </i>
    <i r="1">
      <x v="575"/>
    </i>
    <i r="1">
      <x v="617"/>
    </i>
    <i r="1">
      <x v="618"/>
    </i>
    <i r="1">
      <x v="645"/>
    </i>
    <i r="1">
      <x v="646"/>
    </i>
    <i r="1">
      <x v="687"/>
    </i>
    <i r="1">
      <x v="688"/>
    </i>
    <i r="1">
      <x v="689"/>
    </i>
    <i r="1">
      <x v="690"/>
    </i>
    <i r="1">
      <x v="736"/>
    </i>
    <i r="1">
      <x v="737"/>
    </i>
    <i r="1">
      <x v="738"/>
    </i>
    <i r="1">
      <x v="739"/>
    </i>
    <i r="1">
      <x v="740"/>
    </i>
    <i r="1">
      <x v="770"/>
    </i>
    <i r="1">
      <x v="771"/>
    </i>
    <i r="1">
      <x v="772"/>
    </i>
    <i r="1">
      <x v="773"/>
    </i>
    <i r="1">
      <x v="774"/>
    </i>
    <i r="1">
      <x v="815"/>
    </i>
    <i r="1">
      <x v="816"/>
    </i>
    <i r="1">
      <x v="817"/>
    </i>
    <i r="1">
      <x v="818"/>
    </i>
    <i r="1">
      <x v="819"/>
    </i>
    <i r="1">
      <x v="820"/>
    </i>
    <i r="1">
      <x v="821"/>
    </i>
    <i>
      <x v="9"/>
    </i>
    <i r="1">
      <x v="24"/>
    </i>
    <i r="1">
      <x v="25"/>
    </i>
    <i r="1">
      <x v="26"/>
    </i>
    <i r="1">
      <x v="73"/>
    </i>
    <i r="1">
      <x v="74"/>
    </i>
    <i r="1">
      <x v="110"/>
    </i>
    <i r="1">
      <x v="111"/>
    </i>
    <i r="1">
      <x v="112"/>
    </i>
    <i r="1">
      <x v="113"/>
    </i>
    <i r="1">
      <x v="160"/>
    </i>
    <i r="1">
      <x v="161"/>
    </i>
    <i r="1">
      <x v="204"/>
    </i>
    <i r="1">
      <x v="250"/>
    </i>
    <i r="1">
      <x v="251"/>
    </i>
    <i r="1">
      <x v="252"/>
    </i>
    <i r="1">
      <x v="253"/>
    </i>
    <i r="1">
      <x v="254"/>
    </i>
    <i r="1">
      <x v="284"/>
    </i>
    <i r="1">
      <x v="285"/>
    </i>
    <i r="1">
      <x v="286"/>
    </i>
    <i r="1">
      <x v="319"/>
    </i>
    <i r="1">
      <x v="320"/>
    </i>
    <i r="1">
      <x v="321"/>
    </i>
    <i r="1">
      <x v="322"/>
    </i>
    <i r="1">
      <x v="323"/>
    </i>
    <i r="1">
      <x v="366"/>
    </i>
    <i r="1">
      <x v="407"/>
    </i>
    <i r="1">
      <x v="408"/>
    </i>
    <i r="1">
      <x v="409"/>
    </i>
    <i r="1">
      <x v="410"/>
    </i>
    <i r="1">
      <x v="411"/>
    </i>
    <i r="1">
      <x v="451"/>
    </i>
    <i r="1">
      <x v="491"/>
    </i>
    <i r="1">
      <x v="492"/>
    </i>
    <i r="1">
      <x v="493"/>
    </i>
    <i r="1">
      <x v="523"/>
    </i>
    <i r="1">
      <x v="524"/>
    </i>
    <i r="1">
      <x v="525"/>
    </i>
    <i r="1">
      <x v="576"/>
    </i>
    <i r="1">
      <x v="577"/>
    </i>
    <i r="1">
      <x v="578"/>
    </i>
    <i r="1">
      <x v="579"/>
    </i>
    <i r="1">
      <x v="619"/>
    </i>
    <i r="1">
      <x v="647"/>
    </i>
    <i r="1">
      <x v="648"/>
    </i>
    <i r="1">
      <x v="649"/>
    </i>
    <i r="1">
      <x v="650"/>
    </i>
    <i r="1">
      <x v="691"/>
    </i>
    <i r="1">
      <x v="692"/>
    </i>
    <i r="1">
      <x v="693"/>
    </i>
    <i r="1">
      <x v="741"/>
    </i>
    <i r="1">
      <x v="742"/>
    </i>
    <i r="1">
      <x v="743"/>
    </i>
    <i r="1">
      <x v="744"/>
    </i>
    <i r="1">
      <x v="775"/>
    </i>
    <i r="1">
      <x v="776"/>
    </i>
    <i r="1">
      <x v="777"/>
    </i>
    <i r="1">
      <x v="778"/>
    </i>
    <i r="1">
      <x v="779"/>
    </i>
    <i r="1">
      <x v="780"/>
    </i>
    <i r="1">
      <x v="822"/>
    </i>
    <i r="1">
      <x v="823"/>
    </i>
    <i r="1">
      <x v="824"/>
    </i>
    <i>
      <x v="10"/>
    </i>
    <i r="1">
      <x v="27"/>
    </i>
    <i r="1">
      <x v="28"/>
    </i>
    <i r="1">
      <x v="29"/>
    </i>
    <i r="1">
      <x v="30"/>
    </i>
    <i r="1">
      <x v="75"/>
    </i>
    <i r="1">
      <x v="76"/>
    </i>
    <i r="1">
      <x v="114"/>
    </i>
    <i r="1">
      <x v="115"/>
    </i>
    <i r="1">
      <x v="116"/>
    </i>
    <i r="1">
      <x v="117"/>
    </i>
    <i r="1">
      <x v="118"/>
    </i>
    <i r="1">
      <x v="119"/>
    </i>
    <i r="1">
      <x v="120"/>
    </i>
    <i r="1">
      <x v="162"/>
    </i>
    <i r="1">
      <x v="163"/>
    </i>
    <i r="1">
      <x v="164"/>
    </i>
    <i r="1">
      <x v="205"/>
    </i>
    <i r="1">
      <x v="206"/>
    </i>
    <i r="1">
      <x v="207"/>
    </i>
    <i r="1">
      <x v="255"/>
    </i>
    <i r="1">
      <x v="256"/>
    </i>
    <i r="1">
      <x v="257"/>
    </i>
    <i r="1">
      <x v="258"/>
    </i>
    <i r="1">
      <x v="259"/>
    </i>
    <i r="1">
      <x v="287"/>
    </i>
    <i r="1">
      <x v="288"/>
    </i>
    <i r="1">
      <x v="289"/>
    </i>
    <i r="1">
      <x v="290"/>
    </i>
    <i r="1">
      <x v="324"/>
    </i>
    <i r="1">
      <x v="325"/>
    </i>
    <i r="1">
      <x v="326"/>
    </i>
    <i r="1">
      <x v="327"/>
    </i>
    <i r="1">
      <x v="367"/>
    </i>
    <i r="1">
      <x v="368"/>
    </i>
    <i r="1">
      <x v="369"/>
    </i>
    <i r="1">
      <x v="370"/>
    </i>
    <i r="1">
      <x v="412"/>
    </i>
    <i r="1">
      <x v="413"/>
    </i>
    <i r="1">
      <x v="414"/>
    </i>
    <i r="1">
      <x v="415"/>
    </i>
    <i r="1">
      <x v="452"/>
    </i>
    <i r="1">
      <x v="453"/>
    </i>
    <i r="1">
      <x v="454"/>
    </i>
    <i r="1">
      <x v="455"/>
    </i>
    <i r="1">
      <x v="494"/>
    </i>
    <i r="1">
      <x v="495"/>
    </i>
    <i r="1">
      <x v="496"/>
    </i>
    <i r="1">
      <x v="526"/>
    </i>
    <i r="1">
      <x v="527"/>
    </i>
    <i r="1">
      <x v="528"/>
    </i>
    <i r="1">
      <x v="529"/>
    </i>
    <i r="1">
      <x v="530"/>
    </i>
    <i r="1">
      <x v="580"/>
    </i>
    <i r="1">
      <x v="581"/>
    </i>
    <i r="1">
      <x v="582"/>
    </i>
    <i r="1">
      <x v="583"/>
    </i>
    <i r="1">
      <x v="584"/>
    </i>
    <i r="1">
      <x v="620"/>
    </i>
    <i r="1">
      <x v="621"/>
    </i>
    <i r="1">
      <x v="651"/>
    </i>
    <i r="1">
      <x v="652"/>
    </i>
    <i r="1">
      <x v="694"/>
    </i>
    <i r="1">
      <x v="695"/>
    </i>
    <i r="1">
      <x v="696"/>
    </i>
    <i r="1">
      <x v="697"/>
    </i>
    <i r="1">
      <x v="745"/>
    </i>
    <i r="1">
      <x v="746"/>
    </i>
    <i r="1">
      <x v="747"/>
    </i>
    <i r="1">
      <x v="825"/>
    </i>
    <i>
      <x v="11"/>
    </i>
    <i r="1">
      <x v="31"/>
    </i>
    <i r="1">
      <x v="32"/>
    </i>
    <i r="1">
      <x v="77"/>
    </i>
    <i r="1">
      <x v="78"/>
    </i>
    <i r="1">
      <x v="79"/>
    </i>
    <i r="1">
      <x v="80"/>
    </i>
    <i r="1">
      <x v="121"/>
    </i>
    <i r="1">
      <x v="122"/>
    </i>
    <i r="1">
      <x v="165"/>
    </i>
    <i r="1">
      <x v="166"/>
    </i>
    <i r="1">
      <x v="208"/>
    </i>
    <i r="1">
      <x v="209"/>
    </i>
    <i r="1">
      <x v="210"/>
    </i>
    <i r="1">
      <x v="211"/>
    </i>
    <i r="1">
      <x v="212"/>
    </i>
    <i r="1">
      <x v="260"/>
    </i>
    <i r="1">
      <x v="261"/>
    </i>
    <i r="1">
      <x v="262"/>
    </i>
    <i r="1">
      <x v="263"/>
    </i>
    <i r="1">
      <x v="291"/>
    </i>
    <i r="1">
      <x v="292"/>
    </i>
    <i r="1">
      <x v="293"/>
    </i>
    <i r="1">
      <x v="328"/>
    </i>
    <i r="1">
      <x v="371"/>
    </i>
    <i r="1">
      <x v="416"/>
    </i>
    <i r="1">
      <x v="417"/>
    </i>
    <i r="1">
      <x v="456"/>
    </i>
    <i r="1">
      <x v="457"/>
    </i>
    <i r="1">
      <x v="458"/>
    </i>
    <i r="1">
      <x v="497"/>
    </i>
    <i r="1">
      <x v="498"/>
    </i>
    <i r="1">
      <x v="499"/>
    </i>
    <i r="1">
      <x v="531"/>
    </i>
    <i r="1">
      <x v="532"/>
    </i>
    <i r="1">
      <x v="585"/>
    </i>
    <i r="1">
      <x v="586"/>
    </i>
    <i r="1">
      <x v="587"/>
    </i>
    <i r="1">
      <x v="588"/>
    </i>
    <i r="1">
      <x v="622"/>
    </i>
    <i r="1">
      <x v="623"/>
    </i>
    <i r="1">
      <x v="653"/>
    </i>
    <i r="1">
      <x v="654"/>
    </i>
    <i r="1">
      <x v="655"/>
    </i>
    <i r="1">
      <x v="698"/>
    </i>
    <i r="1">
      <x v="699"/>
    </i>
    <i r="1">
      <x v="700"/>
    </i>
    <i r="1">
      <x v="701"/>
    </i>
    <i r="1">
      <x v="702"/>
    </i>
    <i r="1">
      <x v="748"/>
    </i>
    <i r="1">
      <x v="749"/>
    </i>
    <i r="1">
      <x v="750"/>
    </i>
    <i r="1">
      <x v="751"/>
    </i>
    <i r="1">
      <x v="752"/>
    </i>
    <i r="1">
      <x v="781"/>
    </i>
    <i r="1">
      <x v="782"/>
    </i>
    <i r="1">
      <x v="783"/>
    </i>
    <i r="1">
      <x v="784"/>
    </i>
    <i r="1">
      <x v="826"/>
    </i>
    <i r="1">
      <x v="827"/>
    </i>
    <i r="1">
      <x v="828"/>
    </i>
    <i>
      <x v="12"/>
    </i>
    <i r="1">
      <x v="33"/>
    </i>
    <i r="1">
      <x v="34"/>
    </i>
    <i r="1">
      <x v="35"/>
    </i>
    <i r="1">
      <x v="36"/>
    </i>
    <i r="1">
      <x v="37"/>
    </i>
    <i r="1">
      <x v="38"/>
    </i>
    <i r="1">
      <x v="81"/>
    </i>
    <i r="1">
      <x v="82"/>
    </i>
    <i r="1">
      <x v="83"/>
    </i>
    <i r="1">
      <x v="84"/>
    </i>
    <i r="1">
      <x v="85"/>
    </i>
    <i r="1">
      <x v="123"/>
    </i>
    <i r="1">
      <x v="124"/>
    </i>
    <i r="1">
      <x v="167"/>
    </i>
    <i r="1">
      <x v="168"/>
    </i>
    <i r="1">
      <x v="169"/>
    </i>
    <i r="1">
      <x v="170"/>
    </i>
    <i r="1">
      <x v="213"/>
    </i>
    <i r="1">
      <x v="214"/>
    </i>
    <i r="1">
      <x v="294"/>
    </i>
    <i r="1">
      <x v="295"/>
    </i>
    <i r="1">
      <x v="296"/>
    </i>
    <i r="1">
      <x v="297"/>
    </i>
    <i r="1">
      <x v="298"/>
    </i>
    <i r="1">
      <x v="329"/>
    </i>
    <i r="1">
      <x v="330"/>
    </i>
    <i r="1">
      <x v="331"/>
    </i>
    <i r="1">
      <x v="332"/>
    </i>
    <i r="1">
      <x v="372"/>
    </i>
    <i r="1">
      <x v="373"/>
    </i>
    <i r="1">
      <x v="374"/>
    </i>
    <i r="1">
      <x v="375"/>
    </i>
    <i r="1">
      <x v="418"/>
    </i>
    <i r="1">
      <x v="419"/>
    </i>
    <i r="1">
      <x v="420"/>
    </i>
    <i r="1">
      <x v="421"/>
    </i>
    <i r="1">
      <x v="459"/>
    </i>
    <i r="1">
      <x v="460"/>
    </i>
    <i r="1">
      <x v="500"/>
    </i>
    <i r="1">
      <x v="501"/>
    </i>
    <i r="1">
      <x v="502"/>
    </i>
    <i r="1">
      <x v="533"/>
    </i>
    <i r="1">
      <x v="534"/>
    </i>
    <i r="1">
      <x v="535"/>
    </i>
    <i r="1">
      <x v="536"/>
    </i>
    <i r="1">
      <x v="537"/>
    </i>
    <i r="1">
      <x v="589"/>
    </i>
    <i r="1">
      <x v="590"/>
    </i>
    <i r="1">
      <x v="591"/>
    </i>
    <i r="1">
      <x v="624"/>
    </i>
    <i r="1">
      <x v="625"/>
    </i>
    <i r="1">
      <x v="626"/>
    </i>
    <i r="1">
      <x v="627"/>
    </i>
    <i r="1">
      <x v="628"/>
    </i>
    <i r="1">
      <x v="656"/>
    </i>
    <i r="1">
      <x v="657"/>
    </i>
    <i r="1">
      <x v="658"/>
    </i>
    <i r="1">
      <x v="703"/>
    </i>
    <i r="1">
      <x v="704"/>
    </i>
    <i r="1">
      <x v="753"/>
    </i>
    <i r="1">
      <x v="754"/>
    </i>
    <i r="1">
      <x v="785"/>
    </i>
    <i r="1">
      <x v="829"/>
    </i>
    <i r="1">
      <x v="830"/>
    </i>
    <i t="grand">
      <x/>
    </i>
  </rowItems>
  <colItems count="1">
    <i/>
  </colItems>
  <dataFields count="1">
    <dataField name="Average of Bonus" fld="21" subtotal="average" baseField="36" baseItem="1"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0EFFA6-567D-4313-AE3C-89E7969EDA0E}" name="PivotTable16"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6:G55" firstHeaderRow="1" firstDataRow="1" firstDataCol="1"/>
  <pivotFields count="37">
    <pivotField dataField="1" showAll="0">
      <items count="8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t="default"/>
      </items>
    </pivotField>
    <pivotField showAll="0"/>
    <pivotField showAll="0"/>
    <pivotField showAll="0"/>
    <pivotField showAll="0"/>
    <pivotField showAll="0"/>
    <pivotField showAll="0"/>
    <pivotField showAll="0"/>
    <pivotField numFmtId="164" showAll="0">
      <items count="832">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t="default"/>
      </items>
    </pivotField>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4"/>
  </rowFields>
  <rowItems count="9">
    <i>
      <x v="1"/>
    </i>
    <i>
      <x v="2"/>
    </i>
    <i>
      <x v="3"/>
    </i>
    <i>
      <x v="4"/>
    </i>
    <i>
      <x v="5"/>
    </i>
    <i>
      <x v="6"/>
    </i>
    <i>
      <x v="7"/>
    </i>
    <i>
      <x v="8"/>
    </i>
    <i t="grand">
      <x/>
    </i>
  </rowItems>
  <colItems count="1">
    <i/>
  </colItems>
  <dataFields count="1">
    <dataField name="Count of Employee ID" fld="0" subtotal="count" baseField="24"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12E61D-AF92-48C6-BACB-5894740D62DF}" name="PivotTable15"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9:M35" firstHeaderRow="0" firstDataRow="1" firstDataCol="1"/>
  <pivotFields count="37">
    <pivotField dataField="1" showAll="0"/>
    <pivotField showAll="0"/>
    <pivotField showAll="0"/>
    <pivotField showAll="0"/>
    <pivotField showAll="0"/>
    <pivotField showAll="0"/>
    <pivotField dataField="1" showAll="0">
      <items count="12">
        <item x="0"/>
        <item x="1"/>
        <item x="2"/>
        <item x="3"/>
        <item x="4"/>
        <item x="5"/>
        <item x="6"/>
        <item x="7"/>
        <item x="8"/>
        <item x="9"/>
        <item x="10"/>
        <item t="default"/>
      </items>
    </pivotField>
    <pivotField showAll="0"/>
    <pivotField numFmtId="164" showAll="0">
      <items count="832">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t="default"/>
      </items>
    </pivotField>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axis="axisRow" showAll="0">
      <items count="6">
        <item x="3"/>
        <item x="4"/>
        <item x="2"/>
        <item x="1"/>
        <item x="0"/>
        <item t="default"/>
      </items>
    </pivotField>
    <pivotField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3"/>
  </rowFields>
  <rowItems count="6">
    <i>
      <x/>
    </i>
    <i>
      <x v="1"/>
    </i>
    <i>
      <x v="2"/>
    </i>
    <i>
      <x v="3"/>
    </i>
    <i>
      <x v="4"/>
    </i>
    <i t="grand">
      <x/>
    </i>
  </rowItems>
  <colFields count="1">
    <field x="-2"/>
  </colFields>
  <colItems count="3">
    <i>
      <x/>
    </i>
    <i i="1">
      <x v="1"/>
    </i>
    <i i="2">
      <x v="2"/>
    </i>
  </colItems>
  <dataFields count="3">
    <dataField name="Count of Employee ID" fld="0" subtotal="count" baseField="0" baseItem="1"/>
    <dataField name="Sum of Salary" fld="6" baseField="23" baseItem="0" numFmtId="168"/>
    <dataField name="Average of Salary2" fld="6" subtotal="average" baseField="23"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C5B591-2DB7-47C2-9BFD-DCE7B68F710A}" name="PivotTable12"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8:E38" firstHeaderRow="1" firstDataRow="1" firstDataCol="1"/>
  <pivotFields count="37">
    <pivotField showAll="0"/>
    <pivotField dataField="1" showAll="0">
      <items count="9">
        <item x="3"/>
        <item x="2"/>
        <item x="1"/>
        <item x="5"/>
        <item x="7"/>
        <item x="6"/>
        <item x="0"/>
        <item x="4"/>
        <item t="default"/>
      </items>
    </pivotField>
    <pivotField showAll="0"/>
    <pivotField showAll="0"/>
    <pivotField showAll="0"/>
    <pivotField showAll="0"/>
    <pivotField axis="axisRow" numFmtId="168" showAll="0" defaultSubtotal="0">
      <items count="11">
        <item x="0"/>
        <item x="1"/>
        <item x="2"/>
        <item x="3"/>
        <item x="4"/>
        <item x="5"/>
        <item x="6"/>
        <item x="7"/>
        <item x="8"/>
        <item x="9"/>
        <item x="10"/>
      </items>
    </pivotField>
    <pivotField showAll="0"/>
    <pivotField numFmtId="164" showAll="0">
      <items count="832">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t="default"/>
      </items>
    </pivotField>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6"/>
  </rowFields>
  <rowItems count="10">
    <i>
      <x v="1"/>
    </i>
    <i>
      <x v="2"/>
    </i>
    <i>
      <x v="3"/>
    </i>
    <i>
      <x v="4"/>
    </i>
    <i>
      <x v="5"/>
    </i>
    <i>
      <x v="6"/>
    </i>
    <i>
      <x v="7"/>
    </i>
    <i>
      <x v="8"/>
    </i>
    <i>
      <x v="9"/>
    </i>
    <i t="grand">
      <x/>
    </i>
  </rowItems>
  <colItems count="1">
    <i/>
  </colItems>
  <dataFields count="1">
    <dataField name="Count of First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82C2E1-EC2F-47C7-A9A6-2870FF573A72}" name="PivotTable11"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8:R25" firstHeaderRow="0" firstDataRow="1" firstDataCol="1"/>
  <pivotFields count="37">
    <pivotField showAll="0"/>
    <pivotField showAll="0"/>
    <pivotField showAll="0"/>
    <pivotField showAll="0"/>
    <pivotField showAll="0"/>
    <pivotField showAll="0"/>
    <pivotField showAll="0">
      <items count="12">
        <item x="0"/>
        <item x="1"/>
        <item x="2"/>
        <item x="3"/>
        <item x="4"/>
        <item x="5"/>
        <item x="6"/>
        <item x="7"/>
        <item x="8"/>
        <item x="9"/>
        <item x="10"/>
        <item t="default"/>
      </items>
    </pivotField>
    <pivotField showAll="0"/>
    <pivotField numFmtId="164" showAll="0">
      <items count="832">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t="default"/>
      </items>
    </pivotField>
    <pivotField showAll="0"/>
    <pivotField showAll="0"/>
    <pivotField showAll="0"/>
    <pivotField numFmtId="164" showAll="0"/>
    <pivotField showAll="0"/>
    <pivotField showAll="0"/>
    <pivotField showAll="0"/>
    <pivotField showAll="0"/>
    <pivotField showAll="0"/>
    <pivotField showAll="0"/>
    <pivotField showAll="0"/>
    <pivotField showAll="0"/>
    <pivotField dataField="1"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axis="axisRow" showAll="0">
      <items count="7">
        <item x="2"/>
        <item x="4"/>
        <item x="1"/>
        <item x="5"/>
        <item x="0"/>
        <item x="3"/>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0"/>
  </rowFields>
  <rowItems count="7">
    <i>
      <x/>
    </i>
    <i>
      <x v="1"/>
    </i>
    <i>
      <x v="2"/>
    </i>
    <i>
      <x v="3"/>
    </i>
    <i>
      <x v="4"/>
    </i>
    <i>
      <x v="5"/>
    </i>
    <i t="grand">
      <x/>
    </i>
  </rowItems>
  <colFields count="1">
    <field x="-2"/>
  </colFields>
  <colItems count="2">
    <i>
      <x/>
    </i>
    <i i="1">
      <x v="1"/>
    </i>
  </colItems>
  <dataFields count="2">
    <dataField name="Sum of Bonus" fld="21" baseField="30" baseItem="2" numFmtId="169"/>
    <dataField name="Average of Bonus2" fld="21" subtotal="average" baseField="3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21858B-6F0C-474C-BDBB-672D437ED7C3}" name="PivotTable10"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L19:M24" firstHeaderRow="1" firstDataRow="1" firstDataCol="1"/>
  <pivotFields count="37">
    <pivotField showAll="0"/>
    <pivotField showAll="0"/>
    <pivotField showAll="0"/>
    <pivotField showAll="0"/>
    <pivotField showAll="0"/>
    <pivotField showAll="0"/>
    <pivotField showAll="0">
      <items count="12">
        <item x="0"/>
        <item x="1"/>
        <item x="2"/>
        <item x="3"/>
        <item x="4"/>
        <item x="5"/>
        <item x="6"/>
        <item x="7"/>
        <item x="8"/>
        <item x="9"/>
        <item x="10"/>
        <item t="default"/>
      </items>
    </pivotField>
    <pivotField showAll="0"/>
    <pivotField numFmtId="164" showAll="0">
      <items count="832">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t="default"/>
      </items>
    </pivotField>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axis="axisRow" showAll="0">
      <items count="5">
        <item x="3"/>
        <item x="1"/>
        <item x="2"/>
        <item x="0"/>
        <item t="default"/>
      </items>
    </pivotField>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22"/>
  </rowFields>
  <rowItems count="5">
    <i>
      <x/>
    </i>
    <i>
      <x v="1"/>
    </i>
    <i>
      <x v="2"/>
    </i>
    <i>
      <x v="3"/>
    </i>
    <i t="grand">
      <x/>
    </i>
  </rowItems>
  <colItems count="1">
    <i/>
  </colItems>
  <dataFields count="1">
    <dataField name="Average of Manager Feedback Score" fld="35" subtotal="average" baseField="22" baseItem="0" numFmtId="2"/>
  </dataFields>
  <chartFormats count="10">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2" count="1" selected="0">
            <x v="0"/>
          </reference>
        </references>
      </pivotArea>
    </chartFormat>
    <chartFormat chart="4" format="8">
      <pivotArea type="data" outline="0" fieldPosition="0">
        <references count="2">
          <reference field="4294967294" count="1" selected="0">
            <x v="0"/>
          </reference>
          <reference field="22" count="1" selected="0">
            <x v="1"/>
          </reference>
        </references>
      </pivotArea>
    </chartFormat>
    <chartFormat chart="4" format="9">
      <pivotArea type="data" outline="0" fieldPosition="0">
        <references count="2">
          <reference field="4294967294" count="1" selected="0">
            <x v="0"/>
          </reference>
          <reference field="22" count="1" selected="0">
            <x v="2"/>
          </reference>
        </references>
      </pivotArea>
    </chartFormat>
    <chartFormat chart="4" format="10">
      <pivotArea type="data" outline="0" fieldPosition="0">
        <references count="2">
          <reference field="4294967294" count="1" selected="0">
            <x v="0"/>
          </reference>
          <reference field="22" count="1" selected="0">
            <x v="3"/>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22" count="1" selected="0">
            <x v="0"/>
          </reference>
        </references>
      </pivotArea>
    </chartFormat>
    <chartFormat chart="11" format="8">
      <pivotArea type="data" outline="0" fieldPosition="0">
        <references count="2">
          <reference field="4294967294" count="1" selected="0">
            <x v="0"/>
          </reference>
          <reference field="22" count="1" selected="0">
            <x v="1"/>
          </reference>
        </references>
      </pivotArea>
    </chartFormat>
    <chartFormat chart="11" format="9">
      <pivotArea type="data" outline="0" fieldPosition="0">
        <references count="2">
          <reference field="4294967294" count="1" selected="0">
            <x v="0"/>
          </reference>
          <reference field="22" count="1" selected="0">
            <x v="2"/>
          </reference>
        </references>
      </pivotArea>
    </chartFormat>
    <chartFormat chart="11" format="10">
      <pivotArea type="data" outline="0" fieldPosition="0">
        <references count="2">
          <reference field="4294967294" count="1" selected="0">
            <x v="0"/>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C5E8C8-F8DD-4904-BE30-31E596224CE5}" name="PivotTable9"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8:I22" firstHeaderRow="1" firstDataRow="1" firstDataCol="1"/>
  <pivotFields count="37">
    <pivotField showAll="0"/>
    <pivotField showAll="0"/>
    <pivotField showAll="0"/>
    <pivotField showAll="0"/>
    <pivotField showAll="0"/>
    <pivotField showAll="0"/>
    <pivotField showAll="0">
      <items count="12">
        <item x="0"/>
        <item x="1"/>
        <item x="2"/>
        <item x="3"/>
        <item x="4"/>
        <item x="5"/>
        <item x="6"/>
        <item x="7"/>
        <item x="8"/>
        <item x="9"/>
        <item x="10"/>
        <item t="default"/>
      </items>
    </pivotField>
    <pivotField showAll="0"/>
    <pivotField numFmtId="164" showAll="0">
      <items count="832">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t="default"/>
      </items>
    </pivotField>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axis="axisRow" showAll="0">
      <items count="4">
        <item x="2"/>
        <item x="0"/>
        <item x="1"/>
        <item t="default"/>
      </items>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9"/>
  </rowFields>
  <rowItems count="4">
    <i>
      <x/>
    </i>
    <i>
      <x v="1"/>
    </i>
    <i>
      <x v="2"/>
    </i>
    <i t="grand">
      <x/>
    </i>
  </rowItems>
  <colItems count="1">
    <i/>
  </colItems>
  <dataFields count="1">
    <dataField name="Average of Project Count" fld="31" subtotal="average" baseField="29"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FF4136-8D69-4D8E-8444-9BF4C1BB5820}" name="PivotTable8"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8:F21" firstHeaderRow="1" firstDataRow="1" firstDataCol="1"/>
  <pivotFields count="37">
    <pivotField dataField="1" showAll="0"/>
    <pivotField showAll="0"/>
    <pivotField showAll="0"/>
    <pivotField showAll="0"/>
    <pivotField showAll="0">
      <items count="311">
        <item x="10"/>
        <item x="224"/>
        <item x="119"/>
        <item x="145"/>
        <item x="4"/>
        <item x="38"/>
        <item x="188"/>
        <item x="301"/>
        <item x="226"/>
        <item x="122"/>
        <item x="208"/>
        <item x="163"/>
        <item x="39"/>
        <item x="237"/>
        <item x="138"/>
        <item x="120"/>
        <item x="183"/>
        <item x="246"/>
        <item x="121"/>
        <item x="72"/>
        <item x="257"/>
        <item x="140"/>
        <item x="56"/>
        <item x="13"/>
        <item x="136"/>
        <item x="180"/>
        <item x="12"/>
        <item x="151"/>
        <item x="251"/>
        <item x="19"/>
        <item x="225"/>
        <item x="50"/>
        <item x="241"/>
        <item x="298"/>
        <item x="282"/>
        <item x="185"/>
        <item x="255"/>
        <item x="155"/>
        <item x="262"/>
        <item x="6"/>
        <item x="267"/>
        <item x="57"/>
        <item x="245"/>
        <item x="21"/>
        <item x="158"/>
        <item x="82"/>
        <item x="165"/>
        <item x="34"/>
        <item x="288"/>
        <item x="161"/>
        <item x="159"/>
        <item x="249"/>
        <item x="109"/>
        <item x="295"/>
        <item x="201"/>
        <item x="66"/>
        <item x="15"/>
        <item x="142"/>
        <item x="107"/>
        <item x="102"/>
        <item x="222"/>
        <item x="7"/>
        <item x="300"/>
        <item x="270"/>
        <item x="150"/>
        <item x="213"/>
        <item x="269"/>
        <item x="123"/>
        <item x="2"/>
        <item x="307"/>
        <item x="196"/>
        <item x="179"/>
        <item x="134"/>
        <item x="253"/>
        <item x="154"/>
        <item x="294"/>
        <item x="214"/>
        <item x="127"/>
        <item x="286"/>
        <item x="126"/>
        <item x="104"/>
        <item x="75"/>
        <item x="105"/>
        <item x="78"/>
        <item x="116"/>
        <item x="86"/>
        <item x="35"/>
        <item x="216"/>
        <item x="265"/>
        <item x="227"/>
        <item x="96"/>
        <item x="29"/>
        <item x="24"/>
        <item x="51"/>
        <item x="70"/>
        <item x="68"/>
        <item x="43"/>
        <item x="172"/>
        <item x="160"/>
        <item x="149"/>
        <item x="272"/>
        <item x="61"/>
        <item x="292"/>
        <item x="16"/>
        <item x="285"/>
        <item x="53"/>
        <item x="31"/>
        <item x="168"/>
        <item x="88"/>
        <item x="229"/>
        <item x="252"/>
        <item x="1"/>
        <item x="293"/>
        <item x="81"/>
        <item x="198"/>
        <item x="210"/>
        <item x="304"/>
        <item x="266"/>
        <item x="60"/>
        <item x="85"/>
        <item x="289"/>
        <item x="290"/>
        <item x="22"/>
        <item x="259"/>
        <item x="309"/>
        <item x="76"/>
        <item x="65"/>
        <item x="67"/>
        <item x="87"/>
        <item x="235"/>
        <item x="103"/>
        <item x="297"/>
        <item x="84"/>
        <item x="124"/>
        <item x="296"/>
        <item x="80"/>
        <item x="170"/>
        <item x="204"/>
        <item x="9"/>
        <item x="148"/>
        <item x="186"/>
        <item x="258"/>
        <item x="32"/>
        <item x="41"/>
        <item x="64"/>
        <item x="147"/>
        <item x="233"/>
        <item x="164"/>
        <item x="100"/>
        <item x="27"/>
        <item x="128"/>
        <item x="234"/>
        <item x="203"/>
        <item x="175"/>
        <item x="55"/>
        <item x="125"/>
        <item x="153"/>
        <item x="217"/>
        <item x="178"/>
        <item x="278"/>
        <item x="58"/>
        <item x="37"/>
        <item x="74"/>
        <item x="176"/>
        <item x="230"/>
        <item x="244"/>
        <item x="115"/>
        <item x="280"/>
        <item x="197"/>
        <item x="30"/>
        <item x="141"/>
        <item x="193"/>
        <item x="219"/>
        <item x="36"/>
        <item x="195"/>
        <item x="111"/>
        <item x="250"/>
        <item x="137"/>
        <item x="146"/>
        <item x="302"/>
        <item x="238"/>
        <item x="106"/>
        <item x="184"/>
        <item x="174"/>
        <item x="191"/>
        <item x="110"/>
        <item x="167"/>
        <item x="129"/>
        <item x="62"/>
        <item x="261"/>
        <item x="113"/>
        <item x="73"/>
        <item x="199"/>
        <item x="243"/>
        <item x="63"/>
        <item x="308"/>
        <item x="189"/>
        <item x="276"/>
        <item x="239"/>
        <item x="25"/>
        <item x="281"/>
        <item x="264"/>
        <item x="287"/>
        <item x="79"/>
        <item x="132"/>
        <item x="212"/>
        <item x="47"/>
        <item x="33"/>
        <item x="242"/>
        <item x="211"/>
        <item x="143"/>
        <item x="192"/>
        <item x="205"/>
        <item x="169"/>
        <item x="236"/>
        <item x="284"/>
        <item x="220"/>
        <item x="177"/>
        <item x="49"/>
        <item x="46"/>
        <item x="173"/>
        <item x="157"/>
        <item x="20"/>
        <item x="283"/>
        <item x="97"/>
        <item x="194"/>
        <item x="248"/>
        <item x="94"/>
        <item x="166"/>
        <item x="26"/>
        <item x="89"/>
        <item x="90"/>
        <item x="83"/>
        <item x="256"/>
        <item x="69"/>
        <item x="118"/>
        <item x="305"/>
        <item x="59"/>
        <item x="11"/>
        <item x="206"/>
        <item x="187"/>
        <item x="144"/>
        <item x="223"/>
        <item x="162"/>
        <item x="130"/>
        <item x="139"/>
        <item x="131"/>
        <item x="275"/>
        <item x="48"/>
        <item x="254"/>
        <item x="171"/>
        <item x="200"/>
        <item x="95"/>
        <item x="108"/>
        <item x="152"/>
        <item x="101"/>
        <item x="277"/>
        <item x="40"/>
        <item x="268"/>
        <item x="0"/>
        <item x="306"/>
        <item x="271"/>
        <item x="45"/>
        <item x="181"/>
        <item x="52"/>
        <item x="207"/>
        <item x="8"/>
        <item x="112"/>
        <item x="92"/>
        <item x="3"/>
        <item x="228"/>
        <item x="117"/>
        <item x="221"/>
        <item x="263"/>
        <item x="240"/>
        <item x="231"/>
        <item x="77"/>
        <item x="273"/>
        <item x="299"/>
        <item x="274"/>
        <item x="218"/>
        <item x="182"/>
        <item x="190"/>
        <item x="209"/>
        <item x="28"/>
        <item x="156"/>
        <item x="91"/>
        <item x="291"/>
        <item x="18"/>
        <item x="114"/>
        <item x="42"/>
        <item x="247"/>
        <item x="98"/>
        <item x="215"/>
        <item x="135"/>
        <item x="14"/>
        <item x="202"/>
        <item x="54"/>
        <item x="93"/>
        <item x="71"/>
        <item x="279"/>
        <item x="260"/>
        <item x="232"/>
        <item x="303"/>
        <item x="5"/>
        <item x="44"/>
        <item x="133"/>
        <item x="17"/>
        <item x="99"/>
        <item x="23"/>
        <item t="default"/>
      </items>
    </pivotField>
    <pivotField showAll="0"/>
    <pivotField showAll="0">
      <items count="12">
        <item x="0"/>
        <item x="1"/>
        <item x="2"/>
        <item x="3"/>
        <item x="4"/>
        <item x="5"/>
        <item x="6"/>
        <item x="7"/>
        <item x="8"/>
        <item x="9"/>
        <item x="10"/>
        <item t="default"/>
      </items>
    </pivotField>
    <pivotField showAll="0"/>
    <pivotField numFmtId="164" showAll="0">
      <items count="832">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t="default"/>
      </items>
    </pivotField>
    <pivotField showAll="0"/>
    <pivotField showAll="0"/>
    <pivotField showAll="0"/>
    <pivotField numFmtId="164"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8"/>
  </rowFields>
  <rowItems count="3">
    <i>
      <x/>
    </i>
    <i>
      <x v="1"/>
    </i>
    <i t="grand">
      <x/>
    </i>
  </rowItems>
  <colItems count="1">
    <i/>
  </colItems>
  <dataFields count="1">
    <dataField name="Count of Employee ID" fld="0" subtotal="count"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671F68-9920-4104-81D1-AAE3D8F5D3AC}" name="PivotTable7"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8:B25" firstHeaderRow="1" firstDataRow="1" firstDataCol="1"/>
  <pivotFields count="37">
    <pivotField showAll="0"/>
    <pivotField showAll="0"/>
    <pivotField showAll="0"/>
    <pivotField showAll="0"/>
    <pivotField showAll="0"/>
    <pivotField showAll="0"/>
    <pivotField showAll="0">
      <items count="12">
        <item x="0"/>
        <item x="1"/>
        <item x="2"/>
        <item x="3"/>
        <item x="4"/>
        <item x="5"/>
        <item x="6"/>
        <item x="7"/>
        <item x="8"/>
        <item x="9"/>
        <item x="10"/>
        <item t="default"/>
      </items>
    </pivotField>
    <pivotField showAll="0"/>
    <pivotField numFmtId="164" showAll="0">
      <items count="832">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t="default"/>
      </items>
    </pivotField>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axis="axisRow" showAll="0">
      <items count="7">
        <item x="2"/>
        <item x="4"/>
        <item x="1"/>
        <item x="5"/>
        <item x="0"/>
        <item x="3"/>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30"/>
  </rowFields>
  <rowItems count="7">
    <i>
      <x/>
    </i>
    <i>
      <x v="1"/>
    </i>
    <i>
      <x v="2"/>
    </i>
    <i>
      <x v="3"/>
    </i>
    <i>
      <x v="4"/>
    </i>
    <i>
      <x v="5"/>
    </i>
    <i t="grand">
      <x/>
    </i>
  </rowItems>
  <colItems count="1">
    <i/>
  </colItems>
  <dataFields count="1">
    <dataField name="Average of Manager Feedback Score" fld="35" subtotal="average" baseField="30" baseItem="0" numFmtId="2"/>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3DDA78D-5B52-4616-9D84-7908858A3759}" name="PivotTable6"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5:D13" firstHeaderRow="1" firstDataRow="2" firstDataCol="1" rowPageCount="3" colPageCount="1"/>
  <pivotFields count="37">
    <pivotField showAll="0"/>
    <pivotField showAll="0"/>
    <pivotField showAll="0"/>
    <pivotField axis="axisRow" showAll="0">
      <items count="7">
        <item x="5"/>
        <item x="0"/>
        <item x="2"/>
        <item x="1"/>
        <item x="4"/>
        <item x="3"/>
        <item t="default"/>
      </items>
    </pivotField>
    <pivotField showAll="0"/>
    <pivotField showAll="0"/>
    <pivotField dataField="1" showAll="0">
      <items count="12">
        <item x="0"/>
        <item x="1"/>
        <item x="2"/>
        <item x="3"/>
        <item x="4"/>
        <item x="5"/>
        <item x="6"/>
        <item x="7"/>
        <item x="8"/>
        <item x="9"/>
        <item x="10"/>
        <item t="default"/>
      </items>
    </pivotField>
    <pivotField showAll="0"/>
    <pivotField numFmtId="164" showAll="0">
      <items count="832">
        <item x="87"/>
        <item x="288"/>
        <item x="646"/>
        <item x="38"/>
        <item x="199"/>
        <item x="715"/>
        <item x="293"/>
        <item x="88"/>
        <item x="741"/>
        <item x="61"/>
        <item x="588"/>
        <item x="8"/>
        <item x="808"/>
        <item x="337"/>
        <item x="44"/>
        <item x="118"/>
        <item x="364"/>
        <item x="37"/>
        <item x="516"/>
        <item x="738"/>
        <item x="701"/>
        <item x="91"/>
        <item x="676"/>
        <item x="115"/>
        <item x="692"/>
        <item x="572"/>
        <item x="19"/>
        <item x="308"/>
        <item x="483"/>
        <item x="498"/>
        <item x="686"/>
        <item x="241"/>
        <item x="600"/>
        <item x="363"/>
        <item x="753"/>
        <item x="86"/>
        <item x="415"/>
        <item x="756"/>
        <item x="111"/>
        <item x="275"/>
        <item x="386"/>
        <item x="54"/>
        <item x="796"/>
        <item x="467"/>
        <item x="673"/>
        <item x="335"/>
        <item x="212"/>
        <item x="28"/>
        <item x="726"/>
        <item x="160"/>
        <item x="601"/>
        <item x="369"/>
        <item x="24"/>
        <item x="613"/>
        <item x="828"/>
        <item x="716"/>
        <item x="742"/>
        <item x="471"/>
        <item x="812"/>
        <item x="518"/>
        <item x="765"/>
        <item x="334"/>
        <item x="755"/>
        <item x="177"/>
        <item x="122"/>
        <item x="476"/>
        <item x="173"/>
        <item x="700"/>
        <item x="16"/>
        <item x="805"/>
        <item x="71"/>
        <item x="605"/>
        <item x="291"/>
        <item x="786"/>
        <item x="12"/>
        <item x="350"/>
        <item x="231"/>
        <item x="289"/>
        <item x="432"/>
        <item x="417"/>
        <item x="123"/>
        <item x="233"/>
        <item x="748"/>
        <item x="584"/>
        <item x="353"/>
        <item x="131"/>
        <item x="356"/>
        <item x="229"/>
        <item x="206"/>
        <item x="663"/>
        <item x="407"/>
        <item x="603"/>
        <item x="148"/>
        <item x="63"/>
        <item x="630"/>
        <item x="322"/>
        <item x="163"/>
        <item x="547"/>
        <item x="806"/>
        <item x="537"/>
        <item x="479"/>
        <item x="95"/>
        <item x="497"/>
        <item x="767"/>
        <item x="645"/>
        <item x="376"/>
        <item x="109"/>
        <item x="381"/>
        <item x="781"/>
        <item x="114"/>
        <item x="759"/>
        <item x="453"/>
        <item x="0"/>
        <item x="568"/>
        <item x="410"/>
        <item x="224"/>
        <item x="531"/>
        <item x="310"/>
        <item x="124"/>
        <item x="822"/>
        <item x="58"/>
        <item x="139"/>
        <item x="93"/>
        <item x="644"/>
        <item x="234"/>
        <item x="729"/>
        <item x="515"/>
        <item x="373"/>
        <item x="681"/>
        <item x="221"/>
        <item x="137"/>
        <item x="296"/>
        <item x="442"/>
        <item x="722"/>
        <item x="793"/>
        <item x="25"/>
        <item x="505"/>
        <item x="622"/>
        <item x="522"/>
        <item x="512"/>
        <item x="821"/>
        <item x="285"/>
        <item x="158"/>
        <item x="349"/>
        <item x="778"/>
        <item x="100"/>
        <item x="314"/>
        <item x="147"/>
        <item x="807"/>
        <item x="277"/>
        <item x="583"/>
        <item x="294"/>
        <item x="667"/>
        <item x="103"/>
        <item x="450"/>
        <item x="360"/>
        <item x="611"/>
        <item x="385"/>
        <item x="227"/>
        <item x="42"/>
        <item x="752"/>
        <item x="665"/>
        <item x="378"/>
        <item x="83"/>
        <item x="702"/>
        <item x="520"/>
        <item x="366"/>
        <item x="569"/>
        <item x="563"/>
        <item x="304"/>
        <item x="488"/>
        <item x="745"/>
        <item x="492"/>
        <item x="477"/>
        <item x="10"/>
        <item x="236"/>
        <item x="558"/>
        <item x="29"/>
        <item x="682"/>
        <item x="55"/>
        <item x="452"/>
        <item x="472"/>
        <item x="50"/>
        <item x="661"/>
        <item x="507"/>
        <item x="774"/>
        <item x="104"/>
        <item x="69"/>
        <item x="749"/>
        <item x="298"/>
        <item x="297"/>
        <item x="557"/>
        <item x="284"/>
        <item x="251"/>
        <item x="747"/>
        <item x="305"/>
        <item x="232"/>
        <item x="659"/>
        <item x="325"/>
        <item x="675"/>
        <item x="428"/>
        <item x="108"/>
        <item x="652"/>
        <item x="382"/>
        <item x="662"/>
        <item x="138"/>
        <item x="458"/>
        <item x="593"/>
        <item x="261"/>
        <item x="257"/>
        <item x="493"/>
        <item x="89"/>
        <item x="668"/>
        <item x="504"/>
        <item x="551"/>
        <item x="720"/>
        <item x="606"/>
        <item x="341"/>
        <item x="40"/>
        <item x="456"/>
        <item x="164"/>
        <item x="811"/>
        <item x="67"/>
        <item x="451"/>
        <item x="194"/>
        <item x="647"/>
        <item x="562"/>
        <item x="149"/>
        <item x="461"/>
        <item x="735"/>
        <item x="48"/>
        <item x="187"/>
        <item x="616"/>
        <item x="35"/>
        <item x="523"/>
        <item x="107"/>
        <item x="468"/>
        <item x="779"/>
        <item x="614"/>
        <item x="258"/>
        <item x="457"/>
        <item x="240"/>
        <item x="101"/>
        <item x="643"/>
        <item x="168"/>
        <item x="226"/>
        <item x="621"/>
        <item x="577"/>
        <item x="545"/>
        <item x="454"/>
        <item x="464"/>
        <item x="228"/>
        <item x="214"/>
        <item x="501"/>
        <item x="544"/>
        <item x="819"/>
        <item x="57"/>
        <item x="705"/>
        <item x="609"/>
        <item x="394"/>
        <item x="249"/>
        <item x="79"/>
        <item x="235"/>
        <item x="664"/>
        <item x="525"/>
        <item x="216"/>
        <item x="724"/>
        <item x="201"/>
        <item x="727"/>
        <item x="68"/>
        <item x="575"/>
        <item x="769"/>
        <item x="295"/>
        <item x="9"/>
        <item x="388"/>
        <item x="248"/>
        <item x="448"/>
        <item x="338"/>
        <item x="619"/>
        <item x="200"/>
        <item x="374"/>
        <item x="798"/>
        <item x="733"/>
        <item x="633"/>
        <item x="637"/>
        <item x="170"/>
        <item x="459"/>
        <item x="255"/>
        <item x="384"/>
        <item x="278"/>
        <item x="656"/>
        <item x="151"/>
        <item x="195"/>
        <item x="306"/>
        <item x="618"/>
        <item x="145"/>
        <item x="772"/>
        <item x="106"/>
        <item x="135"/>
        <item x="693"/>
        <item x="672"/>
        <item x="184"/>
        <item x="719"/>
        <item x="674"/>
        <item x="174"/>
        <item x="608"/>
        <item x="96"/>
        <item x="424"/>
        <item x="400"/>
        <item x="484"/>
        <item x="421"/>
        <item x="768"/>
        <item x="189"/>
        <item x="718"/>
        <item x="597"/>
        <item x="629"/>
        <item x="818"/>
        <item x="345"/>
        <item x="717"/>
        <item x="209"/>
        <item x="830"/>
        <item x="654"/>
        <item x="276"/>
        <item x="197"/>
        <item x="703"/>
        <item x="413"/>
        <item x="475"/>
        <item x="698"/>
        <item x="66"/>
        <item x="429"/>
        <item x="473"/>
        <item x="142"/>
        <item x="434"/>
        <item x="775"/>
        <item x="159"/>
        <item x="383"/>
        <item x="791"/>
        <item x="264"/>
        <item x="130"/>
        <item x="340"/>
        <item x="416"/>
        <item x="395"/>
        <item x="342"/>
        <item x="387"/>
        <item x="219"/>
        <item x="326"/>
        <item x="764"/>
        <item x="237"/>
        <item x="64"/>
        <item x="469"/>
        <item x="368"/>
        <item x="566"/>
        <item x="443"/>
        <item x="243"/>
        <item x="711"/>
        <item x="346"/>
        <item x="680"/>
        <item x="555"/>
        <item x="813"/>
        <item x="419"/>
        <item x="182"/>
        <item x="70"/>
        <item x="580"/>
        <item x="578"/>
        <item x="188"/>
        <item x="223"/>
        <item x="328"/>
        <item x="817"/>
        <item x="625"/>
        <item x="252"/>
        <item x="579"/>
        <item x="1"/>
        <item x="191"/>
        <item x="307"/>
        <item x="438"/>
        <item x="598"/>
        <item x="183"/>
        <item x="110"/>
        <item x="792"/>
        <item x="351"/>
        <item x="324"/>
        <item x="375"/>
        <item x="513"/>
        <item x="732"/>
        <item x="127"/>
        <item x="773"/>
        <item x="592"/>
        <item x="655"/>
        <item x="273"/>
        <item x="590"/>
        <item x="632"/>
        <item x="313"/>
        <item x="218"/>
        <item x="150"/>
        <item x="74"/>
        <item x="152"/>
        <item x="116"/>
        <item x="43"/>
        <item x="685"/>
        <item x="470"/>
        <item x="84"/>
        <item x="666"/>
        <item x="362"/>
        <item x="347"/>
        <item x="565"/>
        <item x="281"/>
        <item x="422"/>
        <item x="60"/>
        <item x="677"/>
        <item x="757"/>
        <item x="157"/>
        <item x="371"/>
        <item x="743"/>
        <item x="560"/>
        <item x="527"/>
        <item x="532"/>
        <item x="113"/>
        <item x="280"/>
        <item x="423"/>
        <item x="776"/>
        <item x="344"/>
        <item x="211"/>
        <item x="496"/>
        <item x="336"/>
        <item x="75"/>
        <item x="784"/>
        <item x="550"/>
        <item x="7"/>
        <item x="687"/>
        <item x="299"/>
        <item x="573"/>
        <item x="683"/>
        <item x="466"/>
        <item x="412"/>
        <item x="436"/>
        <item x="82"/>
        <item x="330"/>
        <item x="161"/>
        <item x="751"/>
        <item x="754"/>
        <item x="331"/>
        <item x="254"/>
        <item x="797"/>
        <item x="430"/>
        <item x="90"/>
        <item x="262"/>
        <item x="591"/>
        <item x="4"/>
        <item x="679"/>
        <item x="198"/>
        <item x="576"/>
        <item x="176"/>
        <item x="23"/>
        <item x="624"/>
        <item x="669"/>
        <item x="22"/>
        <item x="17"/>
        <item x="517"/>
        <item x="549"/>
        <item x="708"/>
        <item x="126"/>
        <item x="403"/>
        <item x="441"/>
        <item x="463"/>
        <item x="125"/>
        <item x="688"/>
        <item x="409"/>
        <item x="256"/>
        <item x="534"/>
        <item x="635"/>
        <item x="192"/>
        <item x="272"/>
        <item x="567"/>
        <item x="824"/>
        <item x="97"/>
        <item x="694"/>
        <item x="230"/>
        <item x="398"/>
        <item x="343"/>
        <item x="431"/>
        <item x="315"/>
        <item x="499"/>
        <item x="46"/>
        <item x="533"/>
        <item x="51"/>
        <item x="814"/>
        <item x="707"/>
        <item x="117"/>
        <item x="526"/>
        <item x="102"/>
        <item x="803"/>
        <item x="825"/>
        <item x="636"/>
        <item x="81"/>
        <item x="11"/>
        <item x="785"/>
        <item x="595"/>
        <item x="695"/>
        <item x="433"/>
        <item x="710"/>
        <item x="506"/>
        <item x="339"/>
        <item x="65"/>
        <item x="146"/>
        <item x="502"/>
        <item x="810"/>
        <item x="447"/>
        <item x="787"/>
        <item x="420"/>
        <item x="486"/>
        <item x="536"/>
        <item x="290"/>
        <item x="480"/>
        <item x="134"/>
        <item x="521"/>
        <item x="283"/>
        <item x="30"/>
        <item x="829"/>
        <item x="570"/>
        <item x="15"/>
        <item x="165"/>
        <item x="47"/>
        <item x="660"/>
        <item x="418"/>
        <item x="220"/>
        <item x="210"/>
        <item x="731"/>
        <item x="465"/>
        <item x="721"/>
        <item x="204"/>
        <item x="696"/>
        <item x="439"/>
        <item x="286"/>
        <item x="540"/>
        <item x="790"/>
        <item x="519"/>
        <item x="247"/>
        <item x="73"/>
        <item x="794"/>
        <item x="548"/>
        <item x="179"/>
        <item x="316"/>
        <item x="279"/>
        <item x="524"/>
        <item x="788"/>
        <item x="329"/>
        <item x="263"/>
        <item x="391"/>
        <item x="311"/>
        <item x="172"/>
        <item x="804"/>
        <item x="638"/>
        <item x="589"/>
        <item x="265"/>
        <item x="144"/>
        <item x="14"/>
        <item x="357"/>
        <item x="730"/>
        <item x="691"/>
        <item x="348"/>
        <item x="510"/>
        <item x="799"/>
        <item x="271"/>
        <item x="21"/>
        <item x="552"/>
        <item x="800"/>
        <item x="355"/>
        <item x="582"/>
        <item x="27"/>
        <item x="186"/>
        <item x="222"/>
        <item x="282"/>
        <item x="317"/>
        <item x="162"/>
        <item x="309"/>
        <item x="33"/>
        <item x="783"/>
        <item x="723"/>
        <item x="612"/>
        <item x="640"/>
        <item x="302"/>
        <item x="758"/>
        <item x="801"/>
        <item x="564"/>
        <item x="153"/>
        <item x="481"/>
        <item x="782"/>
        <item x="581"/>
        <item x="274"/>
        <item x="402"/>
        <item x="586"/>
        <item x="246"/>
        <item x="542"/>
        <item x="650"/>
        <item x="207"/>
        <item x="166"/>
        <item x="120"/>
        <item x="119"/>
        <item x="585"/>
        <item x="474"/>
        <item x="36"/>
        <item x="213"/>
        <item x="404"/>
        <item x="460"/>
        <item x="300"/>
        <item x="175"/>
        <item x="556"/>
        <item x="815"/>
        <item x="128"/>
        <item x="641"/>
        <item x="617"/>
        <item x="599"/>
        <item x="5"/>
        <item x="354"/>
        <item x="190"/>
        <item x="604"/>
        <item x="3"/>
        <item x="20"/>
        <item x="333"/>
        <item x="770"/>
        <item x="684"/>
        <item x="823"/>
        <item x="826"/>
        <item x="287"/>
        <item x="405"/>
        <item x="437"/>
        <item x="78"/>
        <item x="737"/>
        <item x="777"/>
        <item x="658"/>
        <item x="185"/>
        <item x="553"/>
        <item x="301"/>
        <item x="367"/>
        <item x="615"/>
        <item x="642"/>
        <item x="827"/>
        <item x="734"/>
        <item x="494"/>
        <item x="62"/>
        <item x="202"/>
        <item x="323"/>
        <item x="602"/>
        <item x="365"/>
        <item x="358"/>
        <item x="762"/>
        <item x="678"/>
        <item x="129"/>
        <item x="706"/>
        <item x="620"/>
        <item x="648"/>
        <item x="561"/>
        <item x="393"/>
        <item x="529"/>
        <item x="626"/>
        <item x="244"/>
        <item x="318"/>
        <item x="56"/>
        <item x="489"/>
        <item x="77"/>
        <item x="511"/>
        <item x="690"/>
        <item x="76"/>
        <item x="41"/>
        <item x="446"/>
        <item x="312"/>
        <item x="45"/>
        <item x="270"/>
        <item x="445"/>
        <item x="503"/>
        <item x="361"/>
        <item x="225"/>
        <item x="352"/>
        <item x="670"/>
        <item x="181"/>
        <item x="649"/>
        <item x="406"/>
        <item x="39"/>
        <item x="543"/>
        <item x="763"/>
        <item x="535"/>
        <item x="541"/>
        <item x="746"/>
        <item x="530"/>
        <item x="136"/>
        <item x="59"/>
        <item x="712"/>
        <item x="260"/>
        <item x="802"/>
        <item x="809"/>
        <item x="171"/>
        <item x="594"/>
        <item x="156"/>
        <item x="760"/>
        <item x="571"/>
        <item x="379"/>
        <item x="610"/>
        <item x="401"/>
        <item x="217"/>
        <item x="72"/>
        <item x="238"/>
        <item x="94"/>
        <item x="538"/>
        <item x="319"/>
        <item x="266"/>
        <item x="709"/>
        <item x="53"/>
        <item x="399"/>
        <item x="478"/>
        <item x="628"/>
        <item x="321"/>
        <item x="761"/>
        <item x="105"/>
        <item x="414"/>
        <item x="169"/>
        <item x="653"/>
        <item x="509"/>
        <item x="292"/>
        <item x="6"/>
        <item x="167"/>
        <item x="671"/>
        <item x="112"/>
        <item x="508"/>
        <item x="390"/>
        <item x="574"/>
        <item x="372"/>
        <item x="725"/>
        <item x="427"/>
        <item x="426"/>
        <item x="239"/>
        <item x="140"/>
        <item x="193"/>
        <item x="744"/>
        <item x="514"/>
        <item x="2"/>
        <item x="820"/>
        <item x="795"/>
        <item x="449"/>
        <item x="242"/>
        <item x="327"/>
        <item x="623"/>
        <item x="205"/>
        <item x="425"/>
        <item x="132"/>
        <item x="397"/>
        <item x="303"/>
        <item x="26"/>
        <item x="178"/>
        <item x="268"/>
        <item x="31"/>
        <item x="196"/>
        <item x="269"/>
        <item x="52"/>
        <item x="92"/>
        <item x="34"/>
        <item x="180"/>
        <item x="528"/>
        <item x="634"/>
        <item x="250"/>
        <item x="639"/>
        <item x="539"/>
        <item x="607"/>
        <item x="18"/>
        <item x="704"/>
        <item x="359"/>
        <item x="215"/>
        <item x="699"/>
        <item x="559"/>
        <item x="408"/>
        <item x="133"/>
        <item x="490"/>
        <item x="487"/>
        <item x="816"/>
        <item x="482"/>
        <item x="500"/>
        <item x="789"/>
        <item x="440"/>
        <item x="750"/>
        <item x="627"/>
        <item x="651"/>
        <item x="491"/>
        <item x="631"/>
        <item x="253"/>
        <item x="728"/>
        <item x="455"/>
        <item x="596"/>
        <item x="320"/>
        <item x="49"/>
        <item x="98"/>
        <item x="154"/>
        <item x="121"/>
        <item x="657"/>
        <item x="587"/>
        <item x="396"/>
        <item x="389"/>
        <item x="736"/>
        <item x="259"/>
        <item x="411"/>
        <item x="208"/>
        <item x="380"/>
        <item x="332"/>
        <item x="377"/>
        <item x="740"/>
        <item x="697"/>
        <item x="485"/>
        <item x="780"/>
        <item x="267"/>
        <item x="462"/>
        <item x="99"/>
        <item x="141"/>
        <item x="32"/>
        <item x="392"/>
        <item x="546"/>
        <item x="689"/>
        <item x="370"/>
        <item x="444"/>
        <item x="155"/>
        <item x="245"/>
        <item x="713"/>
        <item x="435"/>
        <item x="495"/>
        <item x="771"/>
        <item x="739"/>
        <item x="554"/>
        <item x="714"/>
        <item x="80"/>
        <item x="766"/>
        <item x="13"/>
        <item x="143"/>
        <item x="85"/>
        <item x="203"/>
        <item t="default"/>
      </items>
    </pivotField>
    <pivotField showAll="0"/>
    <pivotField showAll="0"/>
    <pivotField showAll="0"/>
    <pivotField numFmtId="164" showAll="0"/>
    <pivotField showAll="0"/>
    <pivotField showAll="0"/>
    <pivotField showAll="0"/>
    <pivotField showAll="0"/>
    <pivotField axis="axisPage" showAll="0">
      <items count="3">
        <item x="0"/>
        <item x="1"/>
        <item t="default"/>
      </items>
    </pivotField>
    <pivotField axis="axisCol" showAll="0">
      <items count="3">
        <item x="0"/>
        <item x="1"/>
        <item t="default"/>
      </items>
    </pivotField>
    <pivotField showAll="0"/>
    <pivotField showAll="0"/>
    <pivotField showAll="0"/>
    <pivotField axis="axisPage" showAll="0">
      <items count="5">
        <item x="3"/>
        <item x="1"/>
        <item x="2"/>
        <item x="0"/>
        <item t="default"/>
      </items>
    </pivotField>
    <pivotField axis="axisPage" showAll="0">
      <items count="6">
        <item x="3"/>
        <item x="4"/>
        <item x="2"/>
        <item x="1"/>
        <item x="0"/>
        <item t="default"/>
      </items>
    </pivotField>
    <pivotField showAll="0">
      <items count="11">
        <item x="0"/>
        <item x="1"/>
        <item x="2"/>
        <item x="3"/>
        <item x="4"/>
        <item x="5"/>
        <item x="6"/>
        <item x="7"/>
        <item x="8"/>
        <item x="9"/>
        <item t="default"/>
      </items>
    </pivotField>
    <pivotField showAll="0"/>
    <pivotField showAll="0"/>
    <pivotField showAll="0"/>
    <pivotField showAll="0"/>
    <pivotField showAll="0"/>
    <pivotField showAll="0">
      <items count="7">
        <item x="2"/>
        <item x="4"/>
        <item x="1"/>
        <item x="5"/>
        <item x="0"/>
        <item x="3"/>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Fields count="1">
    <field x="18"/>
  </colFields>
  <colItems count="3">
    <i>
      <x/>
    </i>
    <i>
      <x v="1"/>
    </i>
    <i t="grand">
      <x/>
    </i>
  </colItems>
  <pageFields count="3">
    <pageField fld="22" item="3" hier="-1"/>
    <pageField fld="23" hier="-1"/>
    <pageField fld="17" item="0" hier="-1"/>
  </pageFields>
  <dataFields count="1">
    <dataField name="Sum of Salary" fld="6" baseField="0" baseItem="0"/>
  </dataFields>
  <chartFormats count="2">
    <chartFormat chart="22" format="4" series="1">
      <pivotArea type="data" outline="0" fieldPosition="0">
        <references count="2">
          <reference field="4294967294" count="1" selected="0">
            <x v="0"/>
          </reference>
          <reference field="18" count="1" selected="0">
            <x v="0"/>
          </reference>
        </references>
      </pivotArea>
    </chartFormat>
    <chartFormat chart="22" format="5"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0F1EADD-CFC1-4F20-8C6F-837E136013BC}" sourceName="Department">
  <pivotTables>
    <pivotTable tabId="11" name="PivotTable6"/>
  </pivotTables>
  <data>
    <tabular pivotCacheId="1707341637">
      <items count="6">
        <i x="5" s="1"/>
        <i x="0" s="1"/>
        <i x="2"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1C081824-446D-45D0-8F0D-EE996AFD695E}" sourceName="Age Category">
  <pivotTables>
    <pivotTable tabId="11" name="PivotTable6"/>
  </pivotTables>
  <data>
    <tabular pivotCacheId="1707341637">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8B224C7-1DF2-45BE-BD7A-6766C05BC036}" sourceName="Gender">
  <pivotTables>
    <pivotTable tabId="11" name="PivotTable6"/>
  </pivotTables>
  <data>
    <tabular pivotCacheId="170734163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16D52F8-8FA6-4A75-9DEC-010EA098C787}" sourceName="Marital Status">
  <pivotTables>
    <pivotTable tabId="11" name="PivotTable6"/>
  </pivotTables>
  <data>
    <tabular pivotCacheId="1707341637">
      <items count="4">
        <i x="3"/>
        <i x="1"/>
        <i x="2"/>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D825AC07-3FEB-4677-A4A8-97E84231952D}" sourceName="Education Level">
  <pivotTables>
    <pivotTable tabId="11" name="PivotTable6"/>
  </pivotTables>
  <data>
    <tabular pivotCacheId="1707341637">
      <items count="5">
        <i x="3" s="1"/>
        <i x="4" s="1"/>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ffice_Location" xr10:uid="{E542AC04-191F-43FF-8135-EF0DEF9BD17F}" sourceName="Office Location">
  <pivotTables>
    <pivotTable tabId="11" name="PivotTable6"/>
  </pivotTables>
  <data>
    <tabular pivotCacheId="1707341637">
      <items count="6">
        <i x="2" s="1"/>
        <i x="4" s="1"/>
        <i x="1" s="1"/>
        <i x="5" s="1"/>
        <i x="0"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ffice_Location1" xr10:uid="{B4EABBE3-DB37-4865-8F84-1E5FD4D14722}" sourceName="Office Location">
  <pivotTables>
    <pivotTable tabId="11" name="PivotTable7"/>
  </pivotTables>
  <data>
    <tabular pivotCacheId="1707341637">
      <items count="6">
        <i x="2" s="1"/>
        <i x="4" s="1"/>
        <i x="1" s="1"/>
        <i x="5" s="1"/>
        <i x="0"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48A78F8D-A776-4F91-8A32-3FAC8B0A902A}" sourceName="Marital Status">
  <pivotTables>
    <pivotTable tabId="11" name="PivotTable10"/>
  </pivotTables>
  <data>
    <tabular pivotCacheId="1707341637">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4012F0B-272F-455A-8D5D-881B510CC3B1}" cache="Slicer_Department" caption="Department" rowHeight="241300"/>
  <slicer name="Age Category" xr10:uid="{1ABA78CD-087F-41FE-A242-7297F16E3374}" cache="Slicer_Age_Category" caption="Age Category" rowHeight="241300"/>
  <slicer name="Gender" xr10:uid="{67249BF3-AF4A-4728-ADC6-35A9E21E2BFA}" cache="Slicer_Gender" caption="Gender" rowHeight="241300"/>
  <slicer name="Marital Status" xr10:uid="{251264F0-9D9F-4D95-A046-A2D444C4F473}" cache="Slicer_Marital_Status" caption="Marital Status" rowHeight="241300"/>
  <slicer name="Education Level" xr10:uid="{1B5CC1FF-D0CE-4827-9E0A-C74831981B1D}" cache="Slicer_Education_Level" caption="Education Level" rowHeight="241300"/>
  <slicer name="Office Location" xr10:uid="{48B8A093-1B57-40CD-B5F4-D5460C6CF70E}" cache="Slicer_Office_Location" caption="Office Locat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A8FFD804-3F4A-44DD-990D-45876BFA4C6C}" cache="Slicer_Department" caption="Department" rowHeight="241300"/>
  <slicer name="Office Location 1" xr10:uid="{1B655871-B807-4DEB-9C3C-0F6241BE1145}" cache="Slicer_Office_Location1" caption="Office Location" rowHeight="241300"/>
  <slicer name="Marital Status 1" xr10:uid="{F534D7E4-3E4E-47F8-8C85-3C964F3D049F}" cache="Slicer_Marital_Status1" caption="Marital 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877"/>
  <sheetViews>
    <sheetView topLeftCell="J1" zoomScale="96" zoomScaleNormal="96" workbookViewId="0">
      <pane ySplit="1" topLeftCell="A2" activePane="bottomLeft" state="frozen"/>
      <selection pane="bottomLeft" activeCell="J1" sqref="A1:XFD1048576"/>
    </sheetView>
  </sheetViews>
  <sheetFormatPr defaultRowHeight="15" x14ac:dyDescent="0.25"/>
  <cols>
    <col min="1" max="1" width="11.5703125" bestFit="1" customWidth="1"/>
    <col min="2" max="2" width="10" bestFit="1" customWidth="1"/>
    <col min="3" max="3" width="9.7109375" bestFit="1" customWidth="1"/>
    <col min="4" max="4" width="11.28515625" bestFit="1" customWidth="1"/>
    <col min="5" max="6" width="38" customWidth="1"/>
    <col min="7" max="7" width="9" bestFit="1" customWidth="1"/>
    <col min="8" max="8" width="14.7109375" customWidth="1"/>
    <col min="9" max="9" width="10.7109375" bestFit="1" customWidth="1"/>
    <col min="10" max="15" width="10.7109375" customWidth="1"/>
    <col min="16" max="16" width="18" bestFit="1" customWidth="1"/>
    <col min="17" max="17" width="4.28515625" bestFit="1" customWidth="1"/>
    <col min="18" max="18" width="13.28515625" customWidth="1"/>
    <col min="19" max="19" width="7.140625" bestFit="1" customWidth="1"/>
    <col min="20" max="20" width="17.28515625" bestFit="1" customWidth="1"/>
    <col min="21" max="21" width="15.85546875" bestFit="1" customWidth="1"/>
    <col min="22" max="22" width="8" bestFit="1" customWidth="1"/>
    <col min="23" max="23" width="12.85546875" bestFit="1" customWidth="1"/>
    <col min="24" max="24" width="14.28515625" bestFit="1" customWidth="1"/>
    <col min="25" max="25" width="22" bestFit="1" customWidth="1"/>
    <col min="26" max="29" width="22" customWidth="1"/>
    <col min="30" max="30" width="14" bestFit="1" customWidth="1"/>
    <col min="31" max="31" width="13.7109375" bestFit="1" customWidth="1"/>
    <col min="32" max="32" width="12.7109375" bestFit="1" customWidth="1"/>
    <col min="33" max="33" width="18.28515625" bestFit="1" customWidth="1"/>
    <col min="34" max="34" width="18.7109375" bestFit="1" customWidth="1"/>
    <col min="35" max="35" width="19.85546875" bestFit="1" customWidth="1"/>
    <col min="36" max="36" width="22.42578125" bestFit="1" customWidth="1"/>
  </cols>
  <sheetData>
    <row r="1" spans="1:36" x14ac:dyDescent="0.25">
      <c r="A1" s="1" t="s">
        <v>0</v>
      </c>
      <c r="B1" s="1" t="s">
        <v>1</v>
      </c>
      <c r="C1" s="1" t="s">
        <v>2</v>
      </c>
      <c r="D1" s="1" t="s">
        <v>3</v>
      </c>
      <c r="E1" s="1" t="s">
        <v>77</v>
      </c>
      <c r="F1" s="1" t="s">
        <v>76</v>
      </c>
      <c r="G1" s="1" t="s">
        <v>4</v>
      </c>
      <c r="H1" s="1" t="s">
        <v>101</v>
      </c>
      <c r="I1" s="2" t="s">
        <v>5</v>
      </c>
      <c r="J1" s="1" t="s">
        <v>94</v>
      </c>
      <c r="K1" s="1" t="s">
        <v>95</v>
      </c>
      <c r="L1" s="1" t="s">
        <v>96</v>
      </c>
      <c r="M1" s="2" t="s">
        <v>93</v>
      </c>
      <c r="N1" s="1" t="s">
        <v>97</v>
      </c>
      <c r="O1" s="1" t="s">
        <v>98</v>
      </c>
      <c r="P1" s="1" t="s">
        <v>99</v>
      </c>
      <c r="Q1" s="1" t="s">
        <v>6</v>
      </c>
      <c r="R1" s="1" t="s">
        <v>100</v>
      </c>
      <c r="S1" s="1" t="s">
        <v>7</v>
      </c>
      <c r="T1" s="1" t="s">
        <v>8</v>
      </c>
      <c r="U1" s="1" t="s">
        <v>9</v>
      </c>
      <c r="V1" s="1" t="s">
        <v>10</v>
      </c>
      <c r="W1" s="1" t="s">
        <v>11</v>
      </c>
      <c r="X1" s="1" t="s">
        <v>12</v>
      </c>
      <c r="Y1" s="1" t="s">
        <v>13</v>
      </c>
      <c r="Z1" s="1" t="s">
        <v>102</v>
      </c>
      <c r="AA1" s="1" t="s">
        <v>102</v>
      </c>
      <c r="AB1" s="1" t="s">
        <v>103</v>
      </c>
      <c r="AC1" s="1" t="s">
        <v>103</v>
      </c>
      <c r="AD1" s="1" t="s">
        <v>14</v>
      </c>
      <c r="AE1" s="1" t="s">
        <v>15</v>
      </c>
      <c r="AF1" s="1" t="s">
        <v>16</v>
      </c>
      <c r="AG1" s="1" t="s">
        <v>17</v>
      </c>
      <c r="AH1" s="1" t="s">
        <v>18</v>
      </c>
      <c r="AI1" s="1" t="s">
        <v>19</v>
      </c>
      <c r="AJ1" s="1" t="s">
        <v>20</v>
      </c>
    </row>
    <row r="2" spans="1:36" x14ac:dyDescent="0.25">
      <c r="A2">
        <v>10001</v>
      </c>
      <c r="B2" t="s">
        <v>21</v>
      </c>
      <c r="C2" t="s">
        <v>22</v>
      </c>
      <c r="D2" t="s">
        <v>23</v>
      </c>
      <c r="E2" t="str">
        <f>CONCATENATE(B2, " ", C2, " is in ", D2, " Department")</f>
        <v>Michael Williams is in HR Department</v>
      </c>
      <c r="F2" s="6" t="str">
        <f>LOWER(CONCATENATE(B2, C2, "@gmail.com"))</f>
        <v>michaelwilliams@gmail.com</v>
      </c>
      <c r="G2">
        <v>74291</v>
      </c>
      <c r="H2" t="str">
        <f>IF(G2&gt;80000, "High", IF(G2&gt;50000, "Medium", IF(G2&gt;40000, "low", "extremely low")))</f>
        <v>Medium</v>
      </c>
      <c r="I2" s="3">
        <v>37513</v>
      </c>
      <c r="J2">
        <f>YEAR(I2)</f>
        <v>2002</v>
      </c>
      <c r="K2">
        <f>MONTH(I2)</f>
        <v>9</v>
      </c>
      <c r="L2">
        <f>DAY(I2)</f>
        <v>14</v>
      </c>
      <c r="M2" s="3">
        <f ca="1">TODAY()</f>
        <v>46100</v>
      </c>
      <c r="N2">
        <f ca="1">M2-I2</f>
        <v>8587</v>
      </c>
      <c r="O2">
        <f ca="1">DATEDIF(I2,M2, "d")</f>
        <v>8587</v>
      </c>
      <c r="P2">
        <f ca="1">NETWORKDAYS(I2, M2)</f>
        <v>6134</v>
      </c>
      <c r="Q2">
        <v>48</v>
      </c>
      <c r="R2" t="str">
        <f>IF(Q2&gt;30, "Old", "Young")</f>
        <v>Old</v>
      </c>
      <c r="S2" t="s">
        <v>24</v>
      </c>
      <c r="T2">
        <v>9</v>
      </c>
      <c r="U2" t="s">
        <v>25</v>
      </c>
      <c r="V2">
        <v>5324.53</v>
      </c>
      <c r="W2" t="s">
        <v>26</v>
      </c>
      <c r="X2" t="s">
        <v>27</v>
      </c>
      <c r="Y2">
        <v>13</v>
      </c>
      <c r="Z2" t="str">
        <f xml:space="preserve"> IF(AND(Y2&gt;20, T2&gt;6), "Good Employee", "Bad Employee")</f>
        <v>Bad Employee</v>
      </c>
      <c r="AA2" t="b">
        <f>AND(Y2&gt;20, T2&gt;6)</f>
        <v>0</v>
      </c>
      <c r="AB2" t="b">
        <f>OR(Y2&gt;20, T2&gt;6)</f>
        <v>1</v>
      </c>
      <c r="AC2" t="str">
        <f>IF(OR(Y2&gt;20,T2&gt;6), "Good employee", "Bad Employee")</f>
        <v>Good employee</v>
      </c>
      <c r="AD2" t="s">
        <v>28</v>
      </c>
      <c r="AE2" t="s">
        <v>29</v>
      </c>
      <c r="AF2">
        <v>4</v>
      </c>
      <c r="AG2">
        <v>2022</v>
      </c>
      <c r="AH2" t="s">
        <v>30</v>
      </c>
      <c r="AI2">
        <v>150</v>
      </c>
      <c r="AJ2">
        <v>2.2000000000000002</v>
      </c>
    </row>
    <row r="3" spans="1:36" x14ac:dyDescent="0.25">
      <c r="A3">
        <v>10002</v>
      </c>
      <c r="B3" t="s">
        <v>31</v>
      </c>
      <c r="C3" t="s">
        <v>32</v>
      </c>
      <c r="D3" t="s">
        <v>33</v>
      </c>
      <c r="E3" t="str">
        <f t="shared" ref="E3:E66" si="0">CONCATENATE(B3, " ", C3, " is in ", D3, " Department")</f>
        <v>Emily Wilson is in Marketing Department</v>
      </c>
      <c r="F3" s="6" t="str">
        <f t="shared" ref="F3:F66" si="1">LOWER(CONCATENATE(B3, C3, "@gmail.com"))</f>
        <v>emilywilson@gmail.com</v>
      </c>
      <c r="G3">
        <v>93350</v>
      </c>
      <c r="H3" t="str">
        <f t="shared" ref="H3:H66" si="2">IF(G3&gt;80000, "High", IF(G3&gt;50000, "Medium", IF(G3&gt;40000, "low", "extremely low")))</f>
        <v>High</v>
      </c>
      <c r="I3" s="3">
        <v>39764</v>
      </c>
      <c r="J3">
        <f t="shared" ref="J3:J66" si="3">YEAR(I3)</f>
        <v>2008</v>
      </c>
      <c r="K3">
        <f t="shared" ref="K3:K66" si="4">MONTH(I3)</f>
        <v>11</v>
      </c>
      <c r="L3">
        <f t="shared" ref="L3:L66" si="5">DAY(I3)</f>
        <v>12</v>
      </c>
      <c r="M3" s="3">
        <f t="shared" ref="M3:M66" ca="1" si="6">TODAY()</f>
        <v>46100</v>
      </c>
      <c r="N3">
        <f t="shared" ref="N3:N66" ca="1" si="7">M3-I3</f>
        <v>6336</v>
      </c>
      <c r="O3">
        <f t="shared" ref="O3:O66" ca="1" si="8">DATEDIF(I3,M3, "d")</f>
        <v>6336</v>
      </c>
      <c r="P3">
        <f t="shared" ref="P3:P66" ca="1" si="9">NETWORKDAYS(I3, M3)</f>
        <v>4527</v>
      </c>
      <c r="Q3">
        <v>53</v>
      </c>
      <c r="R3" t="str">
        <f t="shared" ref="R3:R66" si="10">IF(Q3&gt;30, "Old", "Young")</f>
        <v>Old</v>
      </c>
      <c r="S3" t="s">
        <v>34</v>
      </c>
      <c r="T3">
        <v>7</v>
      </c>
      <c r="U3" t="s">
        <v>25</v>
      </c>
      <c r="V3">
        <v>5037.68</v>
      </c>
      <c r="W3" t="s">
        <v>35</v>
      </c>
      <c r="X3" t="s">
        <v>36</v>
      </c>
      <c r="Y3">
        <v>39</v>
      </c>
      <c r="Z3" t="str">
        <f t="shared" ref="Z3:Z66" si="11" xml:space="preserve"> IF(AND(Y3&gt;20, T3&gt;6), "Good Employee", "Bad Employee")</f>
        <v>Good Employee</v>
      </c>
      <c r="AA3" t="b">
        <f t="shared" ref="AA3:AA66" si="12">AND(Y3&gt;20, T3&gt;6)</f>
        <v>1</v>
      </c>
      <c r="AB3" t="b">
        <f>OR(Y3&gt;20, T3&gt;6)</f>
        <v>1</v>
      </c>
      <c r="AC3" t="str">
        <f>IF(OR(Y3&gt;20,T3&gt;6), "Good employee", "Bad Employee")</f>
        <v>Good employee</v>
      </c>
      <c r="AD3" t="s">
        <v>28</v>
      </c>
      <c r="AE3" t="s">
        <v>37</v>
      </c>
      <c r="AF3">
        <v>14</v>
      </c>
      <c r="AG3">
        <v>2019</v>
      </c>
      <c r="AH3" t="s">
        <v>30</v>
      </c>
      <c r="AI3">
        <v>140</v>
      </c>
      <c r="AJ3">
        <v>1.2</v>
      </c>
    </row>
    <row r="4" spans="1:36" x14ac:dyDescent="0.25">
      <c r="A4">
        <v>10003</v>
      </c>
      <c r="B4" t="s">
        <v>38</v>
      </c>
      <c r="C4" t="s">
        <v>32</v>
      </c>
      <c r="D4" t="s">
        <v>39</v>
      </c>
      <c r="E4" t="str">
        <f t="shared" si="0"/>
        <v>Chris Wilson is in IT Department</v>
      </c>
      <c r="F4" s="6" t="str">
        <f t="shared" si="1"/>
        <v>chriswilson@gmail.com</v>
      </c>
      <c r="G4">
        <v>112020</v>
      </c>
      <c r="H4" t="str">
        <f t="shared" si="2"/>
        <v>High</v>
      </c>
      <c r="I4" s="3">
        <v>42929</v>
      </c>
      <c r="J4">
        <f t="shared" si="3"/>
        <v>2017</v>
      </c>
      <c r="K4">
        <f t="shared" si="4"/>
        <v>7</v>
      </c>
      <c r="L4">
        <f t="shared" si="5"/>
        <v>13</v>
      </c>
      <c r="M4" s="3">
        <f t="shared" ca="1" si="6"/>
        <v>46100</v>
      </c>
      <c r="N4">
        <f t="shared" ca="1" si="7"/>
        <v>3171</v>
      </c>
      <c r="O4">
        <f t="shared" ca="1" si="8"/>
        <v>3171</v>
      </c>
      <c r="P4">
        <f t="shared" ca="1" si="9"/>
        <v>2266</v>
      </c>
      <c r="Q4">
        <v>33</v>
      </c>
      <c r="R4" t="str">
        <f t="shared" si="10"/>
        <v>Old</v>
      </c>
      <c r="S4" t="s">
        <v>34</v>
      </c>
      <c r="T4">
        <v>7</v>
      </c>
      <c r="U4" t="s">
        <v>25</v>
      </c>
      <c r="V4">
        <v>1087.8599999999999</v>
      </c>
      <c r="W4" t="s">
        <v>26</v>
      </c>
      <c r="X4" t="s">
        <v>40</v>
      </c>
      <c r="Y4">
        <v>20</v>
      </c>
      <c r="Z4" t="str">
        <f t="shared" si="11"/>
        <v>Bad Employee</v>
      </c>
      <c r="AA4" t="b">
        <f t="shared" si="12"/>
        <v>0</v>
      </c>
      <c r="AB4" t="b">
        <f>OR(Y4&gt;20, T4&gt;6)</f>
        <v>1</v>
      </c>
      <c r="AC4" t="str">
        <f>IF(OR(Y4&gt;20,T4&gt;6), "Good employee", "Bad Employee")</f>
        <v>Good employee</v>
      </c>
      <c r="AD4" t="s">
        <v>41</v>
      </c>
      <c r="AE4" t="s">
        <v>42</v>
      </c>
      <c r="AF4">
        <v>11</v>
      </c>
      <c r="AG4">
        <v>2012</v>
      </c>
      <c r="AH4" t="s">
        <v>43</v>
      </c>
      <c r="AI4">
        <v>159</v>
      </c>
      <c r="AJ4">
        <v>4.7</v>
      </c>
    </row>
    <row r="5" spans="1:36" x14ac:dyDescent="0.25">
      <c r="A5">
        <v>10004</v>
      </c>
      <c r="B5" t="s">
        <v>21</v>
      </c>
      <c r="C5" t="s">
        <v>32</v>
      </c>
      <c r="D5" t="s">
        <v>44</v>
      </c>
      <c r="E5" t="str">
        <f t="shared" si="0"/>
        <v>Michael Wilson is in Sales Department</v>
      </c>
      <c r="F5" s="6" t="str">
        <f t="shared" si="1"/>
        <v>michaelwilson@gmail.com</v>
      </c>
      <c r="G5">
        <v>34646</v>
      </c>
      <c r="H5" t="str">
        <f>IF(G5&gt;80000, "High", IF(G5&gt;50000, "Medium", IF(G5&gt;40000, "low", "extremely low")))</f>
        <v>extremely low</v>
      </c>
      <c r="I5" s="3">
        <v>41847</v>
      </c>
      <c r="J5">
        <f t="shared" si="3"/>
        <v>2014</v>
      </c>
      <c r="K5">
        <f t="shared" si="4"/>
        <v>7</v>
      </c>
      <c r="L5">
        <f t="shared" si="5"/>
        <v>27</v>
      </c>
      <c r="M5" s="3">
        <f t="shared" ca="1" si="6"/>
        <v>46100</v>
      </c>
      <c r="N5">
        <f t="shared" ca="1" si="7"/>
        <v>4253</v>
      </c>
      <c r="O5">
        <f t="shared" ca="1" si="8"/>
        <v>4253</v>
      </c>
      <c r="P5">
        <f t="shared" ca="1" si="9"/>
        <v>3039</v>
      </c>
      <c r="Q5">
        <v>26</v>
      </c>
      <c r="R5" t="str">
        <f t="shared" si="10"/>
        <v>Young</v>
      </c>
      <c r="S5" t="s">
        <v>24</v>
      </c>
      <c r="T5">
        <v>8</v>
      </c>
      <c r="U5" t="s">
        <v>45</v>
      </c>
      <c r="V5">
        <v>4817.13</v>
      </c>
      <c r="W5" t="s">
        <v>46</v>
      </c>
      <c r="X5" t="s">
        <v>47</v>
      </c>
      <c r="Y5">
        <v>32</v>
      </c>
      <c r="Z5" t="str">
        <f t="shared" si="11"/>
        <v>Good Employee</v>
      </c>
      <c r="AA5" t="b">
        <f t="shared" si="12"/>
        <v>1</v>
      </c>
      <c r="AB5" t="b">
        <f>OR(Y5&gt;20, T5&gt;6)</f>
        <v>1</v>
      </c>
      <c r="AC5" t="str">
        <f>IF(OR(Y5&gt;20,T5&gt;6), "Good employee", "Bad Employee")</f>
        <v>Good employee</v>
      </c>
      <c r="AD5" t="s">
        <v>28</v>
      </c>
      <c r="AE5" t="s">
        <v>48</v>
      </c>
      <c r="AF5">
        <v>16</v>
      </c>
      <c r="AG5">
        <v>2020</v>
      </c>
      <c r="AH5" t="s">
        <v>49</v>
      </c>
      <c r="AI5">
        <v>18</v>
      </c>
      <c r="AJ5">
        <v>1.9</v>
      </c>
    </row>
    <row r="6" spans="1:36" x14ac:dyDescent="0.25">
      <c r="A6">
        <v>10005</v>
      </c>
      <c r="B6" t="s">
        <v>50</v>
      </c>
      <c r="C6" t="s">
        <v>51</v>
      </c>
      <c r="D6" t="s">
        <v>52</v>
      </c>
      <c r="E6" t="str">
        <f t="shared" si="0"/>
        <v>Alex Brown is in Operations Department</v>
      </c>
      <c r="F6" s="6" t="str">
        <f t="shared" si="1"/>
        <v>alexbrown@gmail.com</v>
      </c>
      <c r="G6">
        <v>69713</v>
      </c>
      <c r="H6" t="str">
        <f t="shared" si="2"/>
        <v>Medium</v>
      </c>
      <c r="I6" s="3">
        <v>40371</v>
      </c>
      <c r="J6">
        <f t="shared" si="3"/>
        <v>2010</v>
      </c>
      <c r="K6">
        <f t="shared" si="4"/>
        <v>7</v>
      </c>
      <c r="L6">
        <f t="shared" si="5"/>
        <v>12</v>
      </c>
      <c r="M6" s="3">
        <f t="shared" ca="1" si="6"/>
        <v>46100</v>
      </c>
      <c r="N6">
        <f t="shared" ca="1" si="7"/>
        <v>5729</v>
      </c>
      <c r="O6">
        <f t="shared" ca="1" si="8"/>
        <v>5729</v>
      </c>
      <c r="P6">
        <f t="shared" ca="1" si="9"/>
        <v>4094</v>
      </c>
      <c r="Q6">
        <v>28</v>
      </c>
      <c r="R6" t="str">
        <f t="shared" si="10"/>
        <v>Young</v>
      </c>
      <c r="S6" t="s">
        <v>34</v>
      </c>
      <c r="T6">
        <v>4</v>
      </c>
      <c r="U6" t="s">
        <v>45</v>
      </c>
      <c r="V6">
        <v>3231.82</v>
      </c>
      <c r="W6" t="s">
        <v>46</v>
      </c>
      <c r="X6" t="s">
        <v>47</v>
      </c>
      <c r="Y6">
        <v>10</v>
      </c>
      <c r="Z6" t="str">
        <f t="shared" si="11"/>
        <v>Bad Employee</v>
      </c>
      <c r="AA6" t="b">
        <f t="shared" si="12"/>
        <v>0</v>
      </c>
      <c r="AB6" t="b">
        <f>OR(Y6&gt;20, T6&gt;6)</f>
        <v>0</v>
      </c>
      <c r="AC6" t="str">
        <f>IF(OR(Y6&gt;20,T6&gt;6), "Good employee", "Bad Employee")</f>
        <v>Bad Employee</v>
      </c>
      <c r="AD6" t="s">
        <v>41</v>
      </c>
      <c r="AE6" t="s">
        <v>29</v>
      </c>
      <c r="AF6">
        <v>4</v>
      </c>
      <c r="AG6">
        <v>2017</v>
      </c>
      <c r="AH6" t="s">
        <v>43</v>
      </c>
      <c r="AI6">
        <v>150</v>
      </c>
      <c r="AJ6">
        <v>2.5</v>
      </c>
    </row>
    <row r="7" spans="1:36" x14ac:dyDescent="0.25">
      <c r="A7">
        <v>10006</v>
      </c>
      <c r="B7" t="s">
        <v>53</v>
      </c>
      <c r="C7" t="s">
        <v>32</v>
      </c>
      <c r="D7" t="s">
        <v>54</v>
      </c>
      <c r="E7" t="str">
        <f t="shared" si="0"/>
        <v>Sarah Wilson is in Finance Department</v>
      </c>
      <c r="F7" s="6" t="str">
        <f t="shared" si="1"/>
        <v>sarahwilson@gmail.com</v>
      </c>
      <c r="G7">
        <v>97936</v>
      </c>
      <c r="H7" t="str">
        <f t="shared" si="2"/>
        <v>High</v>
      </c>
      <c r="I7" s="3">
        <v>41830</v>
      </c>
      <c r="J7">
        <f t="shared" si="3"/>
        <v>2014</v>
      </c>
      <c r="K7">
        <f t="shared" si="4"/>
        <v>7</v>
      </c>
      <c r="L7">
        <f t="shared" si="5"/>
        <v>10</v>
      </c>
      <c r="M7" s="3">
        <f t="shared" ca="1" si="6"/>
        <v>46100</v>
      </c>
      <c r="N7">
        <f t="shared" ca="1" si="7"/>
        <v>4270</v>
      </c>
      <c r="O7">
        <f t="shared" ca="1" si="8"/>
        <v>4270</v>
      </c>
      <c r="P7">
        <f t="shared" ca="1" si="9"/>
        <v>3051</v>
      </c>
      <c r="Q7">
        <v>43</v>
      </c>
      <c r="R7" t="str">
        <f t="shared" si="10"/>
        <v>Old</v>
      </c>
      <c r="S7" t="s">
        <v>34</v>
      </c>
      <c r="T7">
        <v>6</v>
      </c>
      <c r="U7" t="s">
        <v>25</v>
      </c>
      <c r="V7">
        <v>3108.36</v>
      </c>
      <c r="W7" t="s">
        <v>26</v>
      </c>
      <c r="X7" t="s">
        <v>55</v>
      </c>
      <c r="Y7">
        <v>26</v>
      </c>
      <c r="Z7" t="str">
        <f t="shared" si="11"/>
        <v>Bad Employee</v>
      </c>
      <c r="AA7" t="b">
        <f t="shared" si="12"/>
        <v>0</v>
      </c>
      <c r="AB7" t="b">
        <f>OR(Y7&gt;20, T7&gt;6)</f>
        <v>1</v>
      </c>
      <c r="AC7" t="str">
        <f>IF(OR(Y7&gt;20,T7&gt;6), "Good employee", "Bad Employee")</f>
        <v>Good employee</v>
      </c>
      <c r="AD7" t="s">
        <v>56</v>
      </c>
      <c r="AE7" t="s">
        <v>29</v>
      </c>
      <c r="AF7">
        <v>18</v>
      </c>
      <c r="AG7">
        <v>2017</v>
      </c>
      <c r="AH7" t="s">
        <v>30</v>
      </c>
      <c r="AI7">
        <v>69</v>
      </c>
      <c r="AJ7">
        <v>3.1</v>
      </c>
    </row>
    <row r="8" spans="1:36" x14ac:dyDescent="0.25">
      <c r="A8">
        <v>10007</v>
      </c>
      <c r="B8" t="s">
        <v>38</v>
      </c>
      <c r="C8" t="s">
        <v>57</v>
      </c>
      <c r="D8" t="s">
        <v>54</v>
      </c>
      <c r="E8" t="str">
        <f t="shared" si="0"/>
        <v>Chris Davis is in Finance Department</v>
      </c>
      <c r="F8" s="6" t="str">
        <f t="shared" si="1"/>
        <v>chrisdavis@gmail.com</v>
      </c>
      <c r="G8">
        <v>74331</v>
      </c>
      <c r="H8" t="str">
        <f t="shared" si="2"/>
        <v>Medium</v>
      </c>
      <c r="I8" s="3">
        <v>42827</v>
      </c>
      <c r="J8">
        <f t="shared" si="3"/>
        <v>2017</v>
      </c>
      <c r="K8">
        <f t="shared" si="4"/>
        <v>4</v>
      </c>
      <c r="L8">
        <f t="shared" si="5"/>
        <v>2</v>
      </c>
      <c r="M8" s="3">
        <f t="shared" ca="1" si="6"/>
        <v>46100</v>
      </c>
      <c r="N8">
        <f t="shared" ca="1" si="7"/>
        <v>3273</v>
      </c>
      <c r="O8">
        <f t="shared" ca="1" si="8"/>
        <v>3273</v>
      </c>
      <c r="P8">
        <f t="shared" ca="1" si="9"/>
        <v>2339</v>
      </c>
      <c r="Q8">
        <v>48</v>
      </c>
      <c r="R8" t="str">
        <f t="shared" si="10"/>
        <v>Old</v>
      </c>
      <c r="S8" t="s">
        <v>24</v>
      </c>
      <c r="T8">
        <v>5</v>
      </c>
      <c r="U8" t="s">
        <v>45</v>
      </c>
      <c r="V8">
        <v>2612.63</v>
      </c>
      <c r="W8" t="s">
        <v>26</v>
      </c>
      <c r="X8" t="s">
        <v>55</v>
      </c>
      <c r="Y8">
        <v>19</v>
      </c>
      <c r="Z8" t="str">
        <f t="shared" si="11"/>
        <v>Bad Employee</v>
      </c>
      <c r="AA8" t="b">
        <f t="shared" si="12"/>
        <v>0</v>
      </c>
      <c r="AB8" t="b">
        <f>OR(Y8&gt;20, T8&gt;6)</f>
        <v>0</v>
      </c>
      <c r="AC8" t="str">
        <f>IF(OR(Y8&gt;20,T8&gt;6), "Good employee", "Bad Employee")</f>
        <v>Bad Employee</v>
      </c>
      <c r="AD8" t="s">
        <v>56</v>
      </c>
      <c r="AE8" t="s">
        <v>48</v>
      </c>
      <c r="AF8">
        <v>9</v>
      </c>
      <c r="AG8">
        <v>2021</v>
      </c>
      <c r="AH8" t="s">
        <v>30</v>
      </c>
      <c r="AI8">
        <v>163</v>
      </c>
      <c r="AJ8">
        <v>4.9000000000000004</v>
      </c>
    </row>
    <row r="9" spans="1:36" x14ac:dyDescent="0.25">
      <c r="A9">
        <v>10008</v>
      </c>
      <c r="B9" t="s">
        <v>38</v>
      </c>
      <c r="C9" t="s">
        <v>22</v>
      </c>
      <c r="D9" t="s">
        <v>23</v>
      </c>
      <c r="E9" t="str">
        <f t="shared" si="0"/>
        <v>Chris Williams is in HR Department</v>
      </c>
      <c r="F9" s="6" t="str">
        <f t="shared" si="1"/>
        <v>chriswilliams@gmail.com</v>
      </c>
      <c r="G9">
        <v>52185</v>
      </c>
      <c r="H9" t="str">
        <f t="shared" si="2"/>
        <v>Medium</v>
      </c>
      <c r="I9" s="3">
        <v>40219</v>
      </c>
      <c r="J9">
        <f t="shared" si="3"/>
        <v>2010</v>
      </c>
      <c r="K9">
        <f t="shared" si="4"/>
        <v>2</v>
      </c>
      <c r="L9">
        <f t="shared" si="5"/>
        <v>10</v>
      </c>
      <c r="M9" s="3">
        <f t="shared" ca="1" si="6"/>
        <v>46100</v>
      </c>
      <c r="N9">
        <f t="shared" ca="1" si="7"/>
        <v>5881</v>
      </c>
      <c r="O9">
        <f t="shared" ca="1" si="8"/>
        <v>5881</v>
      </c>
      <c r="P9">
        <f t="shared" ca="1" si="9"/>
        <v>4202</v>
      </c>
      <c r="Q9">
        <v>36</v>
      </c>
      <c r="R9" t="str">
        <f t="shared" si="10"/>
        <v>Old</v>
      </c>
      <c r="S9" t="s">
        <v>24</v>
      </c>
      <c r="T9">
        <v>1</v>
      </c>
      <c r="U9" t="s">
        <v>45</v>
      </c>
      <c r="V9">
        <v>3659.02</v>
      </c>
      <c r="W9" t="s">
        <v>46</v>
      </c>
      <c r="X9" t="s">
        <v>55</v>
      </c>
      <c r="Y9">
        <v>29</v>
      </c>
      <c r="Z9" t="str">
        <f t="shared" si="11"/>
        <v>Bad Employee</v>
      </c>
      <c r="AA9" t="b">
        <f t="shared" si="12"/>
        <v>0</v>
      </c>
      <c r="AB9" t="b">
        <f>OR(Y9&gt;20, T9&gt;6)</f>
        <v>1</v>
      </c>
      <c r="AC9" t="str">
        <f>IF(OR(Y9&gt;20,T9&gt;6), "Good employee", "Bad Employee")</f>
        <v>Good employee</v>
      </c>
      <c r="AD9" t="s">
        <v>28</v>
      </c>
      <c r="AE9" t="s">
        <v>42</v>
      </c>
      <c r="AF9">
        <v>11</v>
      </c>
      <c r="AG9">
        <v>2016</v>
      </c>
      <c r="AH9" t="s">
        <v>43</v>
      </c>
      <c r="AI9">
        <v>24</v>
      </c>
      <c r="AJ9">
        <v>3.1</v>
      </c>
    </row>
    <row r="10" spans="1:36" x14ac:dyDescent="0.25">
      <c r="A10">
        <v>10009</v>
      </c>
      <c r="B10" t="s">
        <v>21</v>
      </c>
      <c r="C10" t="s">
        <v>32</v>
      </c>
      <c r="D10" t="s">
        <v>39</v>
      </c>
      <c r="E10" t="str">
        <f t="shared" si="0"/>
        <v>Michael Wilson is in IT Department</v>
      </c>
      <c r="F10" s="6" t="str">
        <f t="shared" si="1"/>
        <v>michaelwilson@gmail.com</v>
      </c>
      <c r="G10">
        <v>114263</v>
      </c>
      <c r="H10" t="str">
        <f t="shared" si="2"/>
        <v>High</v>
      </c>
      <c r="I10" s="3">
        <v>36624</v>
      </c>
      <c r="J10">
        <f t="shared" si="3"/>
        <v>2000</v>
      </c>
      <c r="K10">
        <f t="shared" si="4"/>
        <v>4</v>
      </c>
      <c r="L10">
        <f t="shared" si="5"/>
        <v>8</v>
      </c>
      <c r="M10" s="3">
        <f t="shared" ca="1" si="6"/>
        <v>46100</v>
      </c>
      <c r="N10">
        <f t="shared" ca="1" si="7"/>
        <v>9476</v>
      </c>
      <c r="O10">
        <f t="shared" ca="1" si="8"/>
        <v>9476</v>
      </c>
      <c r="P10">
        <f t="shared" ca="1" si="9"/>
        <v>6769</v>
      </c>
      <c r="Q10">
        <v>60</v>
      </c>
      <c r="R10" t="str">
        <f t="shared" si="10"/>
        <v>Old</v>
      </c>
      <c r="S10" t="s">
        <v>34</v>
      </c>
      <c r="T10">
        <v>9</v>
      </c>
      <c r="U10" t="s">
        <v>45</v>
      </c>
      <c r="V10">
        <v>3854.76</v>
      </c>
      <c r="W10" t="s">
        <v>58</v>
      </c>
      <c r="X10" t="s">
        <v>47</v>
      </c>
      <c r="Y10">
        <v>13</v>
      </c>
      <c r="Z10" t="str">
        <f t="shared" si="11"/>
        <v>Bad Employee</v>
      </c>
      <c r="AA10" t="b">
        <f t="shared" si="12"/>
        <v>0</v>
      </c>
      <c r="AB10" t="b">
        <f>OR(Y10&gt;20, T10&gt;6)</f>
        <v>1</v>
      </c>
      <c r="AC10" t="str">
        <f>IF(OR(Y10&gt;20,T10&gt;6), "Good employee", "Bad Employee")</f>
        <v>Good employee</v>
      </c>
      <c r="AD10" t="s">
        <v>28</v>
      </c>
      <c r="AE10" t="s">
        <v>59</v>
      </c>
      <c r="AF10">
        <v>1</v>
      </c>
      <c r="AG10">
        <v>2017</v>
      </c>
      <c r="AH10" t="s">
        <v>30</v>
      </c>
      <c r="AI10">
        <v>74</v>
      </c>
      <c r="AJ10">
        <v>2.8</v>
      </c>
    </row>
    <row r="11" spans="1:36" x14ac:dyDescent="0.25">
      <c r="A11">
        <v>10010</v>
      </c>
      <c r="B11" t="s">
        <v>60</v>
      </c>
      <c r="C11" t="s">
        <v>61</v>
      </c>
      <c r="D11" t="s">
        <v>33</v>
      </c>
      <c r="E11" t="str">
        <f t="shared" si="0"/>
        <v>Jane Smith is in Marketing Department</v>
      </c>
      <c r="F11" s="6" t="str">
        <f t="shared" si="1"/>
        <v>janesmith@gmail.com</v>
      </c>
      <c r="G11">
        <v>82107</v>
      </c>
      <c r="H11" t="str">
        <f t="shared" si="2"/>
        <v>High</v>
      </c>
      <c r="I11" s="3">
        <v>38814</v>
      </c>
      <c r="J11">
        <f t="shared" si="3"/>
        <v>2006</v>
      </c>
      <c r="K11">
        <f t="shared" si="4"/>
        <v>4</v>
      </c>
      <c r="L11">
        <f t="shared" si="5"/>
        <v>7</v>
      </c>
      <c r="M11" s="3">
        <f t="shared" ca="1" si="6"/>
        <v>46100</v>
      </c>
      <c r="N11">
        <f t="shared" ca="1" si="7"/>
        <v>7286</v>
      </c>
      <c r="O11">
        <f t="shared" ca="1" si="8"/>
        <v>7286</v>
      </c>
      <c r="P11">
        <f t="shared" ca="1" si="9"/>
        <v>5205</v>
      </c>
      <c r="Q11">
        <v>56</v>
      </c>
      <c r="R11" t="str">
        <f t="shared" si="10"/>
        <v>Old</v>
      </c>
      <c r="S11" t="s">
        <v>24</v>
      </c>
      <c r="T11">
        <v>2</v>
      </c>
      <c r="U11" t="s">
        <v>45</v>
      </c>
      <c r="V11">
        <v>3433.37</v>
      </c>
      <c r="W11" t="s">
        <v>58</v>
      </c>
      <c r="X11" t="s">
        <v>36</v>
      </c>
      <c r="Y11">
        <v>34</v>
      </c>
      <c r="Z11" t="str">
        <f t="shared" si="11"/>
        <v>Bad Employee</v>
      </c>
      <c r="AA11" t="b">
        <f t="shared" si="12"/>
        <v>0</v>
      </c>
      <c r="AB11" t="b">
        <f>OR(Y11&gt;20, T11&gt;6)</f>
        <v>1</v>
      </c>
      <c r="AC11" t="str">
        <f>IF(OR(Y11&gt;20,T11&gt;6), "Good employee", "Bad Employee")</f>
        <v>Good employee</v>
      </c>
      <c r="AD11" t="s">
        <v>41</v>
      </c>
      <c r="AE11" t="s">
        <v>62</v>
      </c>
      <c r="AF11">
        <v>16</v>
      </c>
      <c r="AG11">
        <v>2010</v>
      </c>
      <c r="AH11" t="s">
        <v>30</v>
      </c>
      <c r="AI11">
        <v>49</v>
      </c>
      <c r="AJ11">
        <v>3.3</v>
      </c>
    </row>
    <row r="12" spans="1:36" x14ac:dyDescent="0.25">
      <c r="A12">
        <v>10011</v>
      </c>
      <c r="B12" t="s">
        <v>50</v>
      </c>
      <c r="C12" t="s">
        <v>51</v>
      </c>
      <c r="D12" t="s">
        <v>54</v>
      </c>
      <c r="E12" t="str">
        <f t="shared" si="0"/>
        <v>Alex Brown is in Finance Department</v>
      </c>
      <c r="F12" s="6" t="str">
        <f t="shared" si="1"/>
        <v>alexbrown@gmail.com</v>
      </c>
      <c r="G12">
        <v>96554</v>
      </c>
      <c r="H12" t="str">
        <f t="shared" si="2"/>
        <v>High</v>
      </c>
      <c r="I12" s="3">
        <v>38040</v>
      </c>
      <c r="J12">
        <f t="shared" si="3"/>
        <v>2004</v>
      </c>
      <c r="K12">
        <f t="shared" si="4"/>
        <v>2</v>
      </c>
      <c r="L12">
        <f t="shared" si="5"/>
        <v>23</v>
      </c>
      <c r="M12" s="3">
        <f t="shared" ca="1" si="6"/>
        <v>46100</v>
      </c>
      <c r="N12">
        <f t="shared" ca="1" si="7"/>
        <v>8060</v>
      </c>
      <c r="O12">
        <f t="shared" ca="1" si="8"/>
        <v>8060</v>
      </c>
      <c r="P12">
        <f t="shared" ca="1" si="9"/>
        <v>5759</v>
      </c>
      <c r="Q12">
        <v>47</v>
      </c>
      <c r="R12" t="str">
        <f t="shared" si="10"/>
        <v>Old</v>
      </c>
      <c r="S12" t="s">
        <v>34</v>
      </c>
      <c r="T12">
        <v>6</v>
      </c>
      <c r="U12" t="s">
        <v>25</v>
      </c>
      <c r="V12">
        <v>9798.15</v>
      </c>
      <c r="W12" t="s">
        <v>58</v>
      </c>
      <c r="X12" t="s">
        <v>40</v>
      </c>
      <c r="Y12">
        <v>20</v>
      </c>
      <c r="Z12" t="str">
        <f t="shared" si="11"/>
        <v>Bad Employee</v>
      </c>
      <c r="AA12" t="b">
        <f t="shared" si="12"/>
        <v>0</v>
      </c>
      <c r="AB12" t="b">
        <f>OR(Y12&gt;20, T12&gt;6)</f>
        <v>0</v>
      </c>
      <c r="AC12" t="str">
        <f>IF(OR(Y12&gt;20,T12&gt;6), "Good employee", "Bad Employee")</f>
        <v>Bad Employee</v>
      </c>
      <c r="AD12" t="s">
        <v>28</v>
      </c>
      <c r="AE12" t="s">
        <v>42</v>
      </c>
      <c r="AF12">
        <v>4</v>
      </c>
      <c r="AG12">
        <v>2012</v>
      </c>
      <c r="AH12" t="s">
        <v>49</v>
      </c>
      <c r="AI12">
        <v>5</v>
      </c>
      <c r="AJ12">
        <v>4.9000000000000004</v>
      </c>
    </row>
    <row r="13" spans="1:36" x14ac:dyDescent="0.25">
      <c r="A13">
        <v>10012</v>
      </c>
      <c r="B13" t="s">
        <v>21</v>
      </c>
      <c r="C13" t="s">
        <v>57</v>
      </c>
      <c r="D13" t="s">
        <v>23</v>
      </c>
      <c r="E13" t="str">
        <f t="shared" si="0"/>
        <v>Michael Davis is in HR Department</v>
      </c>
      <c r="F13" s="6" t="str">
        <f t="shared" si="1"/>
        <v>michaeldavis@gmail.com</v>
      </c>
      <c r="G13">
        <v>47563</v>
      </c>
      <c r="H13" t="str">
        <f t="shared" si="2"/>
        <v>low</v>
      </c>
      <c r="I13" s="3">
        <v>40823</v>
      </c>
      <c r="J13">
        <f t="shared" si="3"/>
        <v>2011</v>
      </c>
      <c r="K13">
        <f t="shared" si="4"/>
        <v>10</v>
      </c>
      <c r="L13">
        <f t="shared" si="5"/>
        <v>7</v>
      </c>
      <c r="M13" s="3">
        <f t="shared" ca="1" si="6"/>
        <v>46100</v>
      </c>
      <c r="N13">
        <f t="shared" ca="1" si="7"/>
        <v>5277</v>
      </c>
      <c r="O13">
        <f t="shared" ca="1" si="8"/>
        <v>5277</v>
      </c>
      <c r="P13">
        <f t="shared" ca="1" si="9"/>
        <v>3770</v>
      </c>
      <c r="Q13">
        <v>44</v>
      </c>
      <c r="R13" t="str">
        <f t="shared" si="10"/>
        <v>Old</v>
      </c>
      <c r="S13" t="s">
        <v>34</v>
      </c>
      <c r="T13">
        <v>8</v>
      </c>
      <c r="U13" t="s">
        <v>25</v>
      </c>
      <c r="V13">
        <v>9360.9500000000007</v>
      </c>
      <c r="W13" t="s">
        <v>26</v>
      </c>
      <c r="X13" t="s">
        <v>55</v>
      </c>
      <c r="Y13">
        <v>18</v>
      </c>
      <c r="Z13" t="str">
        <f t="shared" si="11"/>
        <v>Bad Employee</v>
      </c>
      <c r="AA13" t="b">
        <f t="shared" si="12"/>
        <v>0</v>
      </c>
      <c r="AB13" t="b">
        <f>OR(Y13&gt;20, T13&gt;6)</f>
        <v>1</v>
      </c>
      <c r="AC13" t="str">
        <f>IF(OR(Y13&gt;20,T13&gt;6), "Good employee", "Bad Employee")</f>
        <v>Good employee</v>
      </c>
      <c r="AD13" t="s">
        <v>28</v>
      </c>
      <c r="AE13" t="s">
        <v>48</v>
      </c>
      <c r="AF13">
        <v>14</v>
      </c>
      <c r="AG13">
        <v>2015</v>
      </c>
      <c r="AH13" t="s">
        <v>49</v>
      </c>
      <c r="AI13">
        <v>151</v>
      </c>
      <c r="AJ13">
        <v>4.3</v>
      </c>
    </row>
    <row r="14" spans="1:36" x14ac:dyDescent="0.25">
      <c r="A14">
        <v>10013</v>
      </c>
      <c r="B14" t="s">
        <v>50</v>
      </c>
      <c r="C14" t="s">
        <v>61</v>
      </c>
      <c r="D14" t="s">
        <v>44</v>
      </c>
      <c r="E14" t="str">
        <f t="shared" si="0"/>
        <v>Alex Smith is in Sales Department</v>
      </c>
      <c r="F14" s="6" t="str">
        <f t="shared" si="1"/>
        <v>alexsmith@gmail.com</v>
      </c>
      <c r="G14">
        <v>100729</v>
      </c>
      <c r="H14" t="str">
        <f t="shared" si="2"/>
        <v>High</v>
      </c>
      <c r="I14" s="3">
        <v>37159</v>
      </c>
      <c r="J14">
        <f t="shared" si="3"/>
        <v>2001</v>
      </c>
      <c r="K14">
        <f t="shared" si="4"/>
        <v>9</v>
      </c>
      <c r="L14">
        <f t="shared" si="5"/>
        <v>25</v>
      </c>
      <c r="M14" s="3">
        <f t="shared" ca="1" si="6"/>
        <v>46100</v>
      </c>
      <c r="N14">
        <f t="shared" ca="1" si="7"/>
        <v>8941</v>
      </c>
      <c r="O14">
        <f t="shared" ca="1" si="8"/>
        <v>8941</v>
      </c>
      <c r="P14">
        <f t="shared" ca="1" si="9"/>
        <v>6388</v>
      </c>
      <c r="Q14">
        <v>34</v>
      </c>
      <c r="R14" t="str">
        <f t="shared" si="10"/>
        <v>Old</v>
      </c>
      <c r="S14" t="s">
        <v>34</v>
      </c>
      <c r="T14">
        <v>3</v>
      </c>
      <c r="U14" t="s">
        <v>45</v>
      </c>
      <c r="V14">
        <v>5957.85</v>
      </c>
      <c r="W14" t="s">
        <v>26</v>
      </c>
      <c r="X14" t="s">
        <v>47</v>
      </c>
      <c r="Y14">
        <v>34</v>
      </c>
      <c r="Z14" t="str">
        <f t="shared" si="11"/>
        <v>Bad Employee</v>
      </c>
      <c r="AA14" t="b">
        <f t="shared" si="12"/>
        <v>0</v>
      </c>
      <c r="AB14" t="b">
        <f>OR(Y14&gt;20, T14&gt;6)</f>
        <v>1</v>
      </c>
      <c r="AC14" t="str">
        <f>IF(OR(Y14&gt;20,T14&gt;6), "Good employee", "Bad Employee")</f>
        <v>Good employee</v>
      </c>
      <c r="AD14" t="s">
        <v>28</v>
      </c>
      <c r="AE14" t="s">
        <v>37</v>
      </c>
      <c r="AF14">
        <v>19</v>
      </c>
      <c r="AG14">
        <v>2021</v>
      </c>
      <c r="AH14" t="s">
        <v>30</v>
      </c>
      <c r="AI14">
        <v>43</v>
      </c>
      <c r="AJ14">
        <v>1.7</v>
      </c>
    </row>
    <row r="15" spans="1:36" x14ac:dyDescent="0.25">
      <c r="A15">
        <v>10014</v>
      </c>
      <c r="B15" t="s">
        <v>50</v>
      </c>
      <c r="C15" t="s">
        <v>61</v>
      </c>
      <c r="D15" t="s">
        <v>39</v>
      </c>
      <c r="E15" t="str">
        <f t="shared" si="0"/>
        <v>Alex Smith is in IT Department</v>
      </c>
      <c r="F15" s="6" t="str">
        <f t="shared" si="1"/>
        <v>alexsmith@gmail.com</v>
      </c>
      <c r="G15">
        <v>45701</v>
      </c>
      <c r="H15" t="str">
        <f t="shared" si="2"/>
        <v>low</v>
      </c>
      <c r="I15" s="3">
        <v>43789</v>
      </c>
      <c r="J15">
        <f t="shared" si="3"/>
        <v>2019</v>
      </c>
      <c r="K15">
        <f t="shared" si="4"/>
        <v>11</v>
      </c>
      <c r="L15">
        <f t="shared" si="5"/>
        <v>20</v>
      </c>
      <c r="M15" s="3">
        <f t="shared" ca="1" si="6"/>
        <v>46100</v>
      </c>
      <c r="N15">
        <f t="shared" ca="1" si="7"/>
        <v>2311</v>
      </c>
      <c r="O15">
        <f t="shared" ca="1" si="8"/>
        <v>2311</v>
      </c>
      <c r="P15">
        <f t="shared" ca="1" si="9"/>
        <v>1652</v>
      </c>
      <c r="Q15">
        <v>47</v>
      </c>
      <c r="R15" t="str">
        <f t="shared" si="10"/>
        <v>Old</v>
      </c>
      <c r="S15" t="s">
        <v>34</v>
      </c>
      <c r="T15">
        <v>5</v>
      </c>
      <c r="U15" t="s">
        <v>25</v>
      </c>
      <c r="V15">
        <v>9820.02</v>
      </c>
      <c r="W15" t="s">
        <v>46</v>
      </c>
      <c r="X15" t="s">
        <v>36</v>
      </c>
      <c r="Y15">
        <v>8</v>
      </c>
      <c r="Z15" t="str">
        <f t="shared" si="11"/>
        <v>Bad Employee</v>
      </c>
      <c r="AA15" t="b">
        <f t="shared" si="12"/>
        <v>0</v>
      </c>
      <c r="AB15" t="b">
        <f>OR(Y15&gt;20, T15&gt;6)</f>
        <v>0</v>
      </c>
      <c r="AC15" t="str">
        <f>IF(OR(Y15&gt;20,T15&gt;6), "Good employee", "Bad Employee")</f>
        <v>Bad Employee</v>
      </c>
      <c r="AD15" t="s">
        <v>41</v>
      </c>
      <c r="AE15" t="s">
        <v>37</v>
      </c>
      <c r="AF15">
        <v>12</v>
      </c>
      <c r="AG15">
        <v>2016</v>
      </c>
      <c r="AH15" t="s">
        <v>30</v>
      </c>
      <c r="AI15">
        <v>123</v>
      </c>
      <c r="AJ15">
        <v>4.2</v>
      </c>
    </row>
    <row r="16" spans="1:36" x14ac:dyDescent="0.25">
      <c r="A16">
        <v>10015</v>
      </c>
      <c r="B16" t="s">
        <v>53</v>
      </c>
      <c r="C16" t="s">
        <v>61</v>
      </c>
      <c r="D16" t="s">
        <v>39</v>
      </c>
      <c r="E16" t="str">
        <f t="shared" si="0"/>
        <v>Sarah Smith is in IT Department</v>
      </c>
      <c r="F16" s="6" t="str">
        <f t="shared" si="1"/>
        <v>sarahsmith@gmail.com</v>
      </c>
      <c r="G16">
        <v>99072</v>
      </c>
      <c r="H16" t="str">
        <f t="shared" si="2"/>
        <v>High</v>
      </c>
      <c r="I16" s="3">
        <v>41367</v>
      </c>
      <c r="J16">
        <f t="shared" si="3"/>
        <v>2013</v>
      </c>
      <c r="K16">
        <f t="shared" si="4"/>
        <v>4</v>
      </c>
      <c r="L16">
        <f t="shared" si="5"/>
        <v>3</v>
      </c>
      <c r="M16" s="3">
        <f t="shared" ca="1" si="6"/>
        <v>46100</v>
      </c>
      <c r="N16">
        <f t="shared" ca="1" si="7"/>
        <v>4733</v>
      </c>
      <c r="O16">
        <f t="shared" ca="1" si="8"/>
        <v>4733</v>
      </c>
      <c r="P16">
        <f t="shared" ca="1" si="9"/>
        <v>3382</v>
      </c>
      <c r="Q16">
        <v>24</v>
      </c>
      <c r="R16" t="str">
        <f t="shared" si="10"/>
        <v>Young</v>
      </c>
      <c r="S16" t="s">
        <v>24</v>
      </c>
      <c r="T16">
        <v>7</v>
      </c>
      <c r="U16" t="s">
        <v>25</v>
      </c>
      <c r="V16">
        <v>9916.3799999999992</v>
      </c>
      <c r="W16" t="s">
        <v>35</v>
      </c>
      <c r="X16" t="s">
        <v>55</v>
      </c>
      <c r="Y16">
        <v>16</v>
      </c>
      <c r="Z16" t="str">
        <f t="shared" si="11"/>
        <v>Bad Employee</v>
      </c>
      <c r="AA16" t="b">
        <f t="shared" si="12"/>
        <v>0</v>
      </c>
      <c r="AB16" t="b">
        <f>OR(Y16&gt;20, T16&gt;6)</f>
        <v>1</v>
      </c>
      <c r="AC16" t="str">
        <f>IF(OR(Y16&gt;20,T16&gt;6), "Good employee", "Bad Employee")</f>
        <v>Good employee</v>
      </c>
      <c r="AD16" t="s">
        <v>56</v>
      </c>
      <c r="AE16" t="s">
        <v>48</v>
      </c>
      <c r="AF16">
        <v>19</v>
      </c>
      <c r="AG16">
        <v>2016</v>
      </c>
      <c r="AH16" t="s">
        <v>43</v>
      </c>
      <c r="AI16">
        <v>159</v>
      </c>
      <c r="AJ16">
        <v>4.4000000000000004</v>
      </c>
    </row>
    <row r="17" spans="1:36" x14ac:dyDescent="0.25">
      <c r="A17">
        <v>10016</v>
      </c>
      <c r="B17" t="s">
        <v>38</v>
      </c>
      <c r="C17" t="s">
        <v>61</v>
      </c>
      <c r="D17" t="s">
        <v>23</v>
      </c>
      <c r="E17" t="str">
        <f t="shared" si="0"/>
        <v>Chris Smith is in HR Department</v>
      </c>
      <c r="F17" s="6" t="str">
        <f t="shared" si="1"/>
        <v>chrissmith@gmail.com</v>
      </c>
      <c r="G17">
        <v>78217</v>
      </c>
      <c r="H17" t="str">
        <f t="shared" si="2"/>
        <v>Medium</v>
      </c>
      <c r="I17" s="3">
        <v>41111</v>
      </c>
      <c r="J17">
        <f t="shared" si="3"/>
        <v>2012</v>
      </c>
      <c r="K17">
        <f t="shared" si="4"/>
        <v>7</v>
      </c>
      <c r="L17">
        <f t="shared" si="5"/>
        <v>21</v>
      </c>
      <c r="M17" s="3">
        <f t="shared" ca="1" si="6"/>
        <v>46100</v>
      </c>
      <c r="N17">
        <f t="shared" ca="1" si="7"/>
        <v>4989</v>
      </c>
      <c r="O17">
        <f t="shared" ca="1" si="8"/>
        <v>4989</v>
      </c>
      <c r="P17">
        <f t="shared" ca="1" si="9"/>
        <v>3564</v>
      </c>
      <c r="Q17">
        <v>50</v>
      </c>
      <c r="R17" t="str">
        <f t="shared" si="10"/>
        <v>Old</v>
      </c>
      <c r="S17" t="s">
        <v>24</v>
      </c>
      <c r="T17">
        <v>4</v>
      </c>
      <c r="U17" t="s">
        <v>25</v>
      </c>
      <c r="V17">
        <v>3881.43</v>
      </c>
      <c r="W17" t="s">
        <v>58</v>
      </c>
      <c r="X17" t="s">
        <v>55</v>
      </c>
      <c r="Y17">
        <v>23</v>
      </c>
      <c r="Z17" t="str">
        <f t="shared" si="11"/>
        <v>Bad Employee</v>
      </c>
      <c r="AA17" t="b">
        <f t="shared" si="12"/>
        <v>0</v>
      </c>
      <c r="AB17" t="b">
        <f>OR(Y17&gt;20, T17&gt;6)</f>
        <v>1</v>
      </c>
      <c r="AC17" t="str">
        <f>IF(OR(Y17&gt;20,T17&gt;6), "Good employee", "Bad Employee")</f>
        <v>Good employee</v>
      </c>
      <c r="AD17" t="s">
        <v>41</v>
      </c>
      <c r="AE17" t="s">
        <v>37</v>
      </c>
      <c r="AF17">
        <v>10</v>
      </c>
      <c r="AG17">
        <v>2020</v>
      </c>
      <c r="AH17" t="s">
        <v>43</v>
      </c>
      <c r="AI17">
        <v>60</v>
      </c>
      <c r="AJ17">
        <v>3.8</v>
      </c>
    </row>
    <row r="18" spans="1:36" x14ac:dyDescent="0.25">
      <c r="A18">
        <v>10017</v>
      </c>
      <c r="B18" t="s">
        <v>31</v>
      </c>
      <c r="C18" t="s">
        <v>22</v>
      </c>
      <c r="D18" t="s">
        <v>23</v>
      </c>
      <c r="E18" t="str">
        <f t="shared" si="0"/>
        <v>Emily Williams is in HR Department</v>
      </c>
      <c r="F18" s="6" t="str">
        <f t="shared" si="1"/>
        <v>emilywilliams@gmail.com</v>
      </c>
      <c r="G18">
        <v>74610</v>
      </c>
      <c r="H18" t="str">
        <f t="shared" si="2"/>
        <v>Medium</v>
      </c>
      <c r="I18" s="3">
        <v>37104</v>
      </c>
      <c r="J18">
        <f t="shared" si="3"/>
        <v>2001</v>
      </c>
      <c r="K18">
        <f t="shared" si="4"/>
        <v>8</v>
      </c>
      <c r="L18">
        <f t="shared" si="5"/>
        <v>1</v>
      </c>
      <c r="M18" s="3">
        <f t="shared" ca="1" si="6"/>
        <v>46100</v>
      </c>
      <c r="N18">
        <f t="shared" ca="1" si="7"/>
        <v>8996</v>
      </c>
      <c r="O18">
        <f t="shared" ca="1" si="8"/>
        <v>8996</v>
      </c>
      <c r="P18">
        <f t="shared" ca="1" si="9"/>
        <v>6427</v>
      </c>
      <c r="Q18">
        <v>23</v>
      </c>
      <c r="R18" t="str">
        <f t="shared" si="10"/>
        <v>Young</v>
      </c>
      <c r="S18" t="s">
        <v>34</v>
      </c>
      <c r="T18">
        <v>5</v>
      </c>
      <c r="U18" t="s">
        <v>25</v>
      </c>
      <c r="V18">
        <v>4729.28</v>
      </c>
      <c r="W18" t="s">
        <v>58</v>
      </c>
      <c r="X18" t="s">
        <v>40</v>
      </c>
      <c r="Y18">
        <v>32</v>
      </c>
      <c r="Z18" t="str">
        <f t="shared" si="11"/>
        <v>Bad Employee</v>
      </c>
      <c r="AA18" t="b">
        <f t="shared" si="12"/>
        <v>0</v>
      </c>
      <c r="AB18" t="b">
        <f>OR(Y18&gt;20, T18&gt;6)</f>
        <v>1</v>
      </c>
      <c r="AC18" t="str">
        <f>IF(OR(Y18&gt;20,T18&gt;6), "Good employee", "Bad Employee")</f>
        <v>Good employee</v>
      </c>
      <c r="AD18" t="s">
        <v>41</v>
      </c>
      <c r="AE18" t="s">
        <v>48</v>
      </c>
      <c r="AF18">
        <v>17</v>
      </c>
      <c r="AG18">
        <v>2015</v>
      </c>
      <c r="AH18" t="s">
        <v>30</v>
      </c>
      <c r="AI18">
        <v>148</v>
      </c>
      <c r="AJ18">
        <v>3.6</v>
      </c>
    </row>
    <row r="19" spans="1:36" x14ac:dyDescent="0.25">
      <c r="A19">
        <v>10018</v>
      </c>
      <c r="B19" t="s">
        <v>53</v>
      </c>
      <c r="C19" t="s">
        <v>32</v>
      </c>
      <c r="D19" t="s">
        <v>33</v>
      </c>
      <c r="E19" t="str">
        <f t="shared" si="0"/>
        <v>Sarah Wilson is in Marketing Department</v>
      </c>
      <c r="F19" s="6" t="str">
        <f t="shared" si="1"/>
        <v>sarahwilson@gmail.com</v>
      </c>
      <c r="G19">
        <v>114422</v>
      </c>
      <c r="H19" t="str">
        <f t="shared" si="2"/>
        <v>High</v>
      </c>
      <c r="I19" s="3">
        <v>40485</v>
      </c>
      <c r="J19">
        <f t="shared" si="3"/>
        <v>2010</v>
      </c>
      <c r="K19">
        <f t="shared" si="4"/>
        <v>11</v>
      </c>
      <c r="L19">
        <f t="shared" si="5"/>
        <v>3</v>
      </c>
      <c r="M19" s="3">
        <f t="shared" ca="1" si="6"/>
        <v>46100</v>
      </c>
      <c r="N19">
        <f t="shared" ca="1" si="7"/>
        <v>5615</v>
      </c>
      <c r="O19">
        <f t="shared" ca="1" si="8"/>
        <v>5615</v>
      </c>
      <c r="P19">
        <f t="shared" ca="1" si="9"/>
        <v>4012</v>
      </c>
      <c r="Q19">
        <v>49</v>
      </c>
      <c r="R19" t="str">
        <f t="shared" si="10"/>
        <v>Old</v>
      </c>
      <c r="S19" t="s">
        <v>24</v>
      </c>
      <c r="T19">
        <v>1</v>
      </c>
      <c r="U19" t="s">
        <v>45</v>
      </c>
      <c r="V19">
        <v>9611.09</v>
      </c>
      <c r="W19" t="s">
        <v>58</v>
      </c>
      <c r="X19" t="s">
        <v>40</v>
      </c>
      <c r="Y19">
        <v>13</v>
      </c>
      <c r="Z19" t="str">
        <f t="shared" si="11"/>
        <v>Bad Employee</v>
      </c>
      <c r="AA19" t="b">
        <f t="shared" si="12"/>
        <v>0</v>
      </c>
      <c r="AB19" t="b">
        <f>OR(Y19&gt;20, T19&gt;6)</f>
        <v>0</v>
      </c>
      <c r="AC19" t="str">
        <f>IF(OR(Y19&gt;20,T19&gt;6), "Good employee", "Bad Employee")</f>
        <v>Bad Employee</v>
      </c>
      <c r="AD19" t="s">
        <v>28</v>
      </c>
      <c r="AE19" t="s">
        <v>29</v>
      </c>
      <c r="AF19">
        <v>8</v>
      </c>
      <c r="AG19">
        <v>2022</v>
      </c>
      <c r="AH19" t="s">
        <v>49</v>
      </c>
      <c r="AI19">
        <v>11</v>
      </c>
      <c r="AJ19">
        <v>2.8</v>
      </c>
    </row>
    <row r="20" spans="1:36" x14ac:dyDescent="0.25">
      <c r="A20">
        <v>10019</v>
      </c>
      <c r="B20" t="s">
        <v>53</v>
      </c>
      <c r="C20" t="s">
        <v>63</v>
      </c>
      <c r="D20" t="s">
        <v>23</v>
      </c>
      <c r="E20" t="str">
        <f t="shared" si="0"/>
        <v>Sarah Miller is in HR Department</v>
      </c>
      <c r="F20" s="6" t="str">
        <f t="shared" si="1"/>
        <v>sarahmiller@gmail.com</v>
      </c>
      <c r="G20">
        <v>80131</v>
      </c>
      <c r="H20" t="str">
        <f t="shared" si="2"/>
        <v>High</v>
      </c>
      <c r="I20" s="3">
        <v>43196</v>
      </c>
      <c r="J20">
        <f t="shared" si="3"/>
        <v>2018</v>
      </c>
      <c r="K20">
        <f t="shared" si="4"/>
        <v>4</v>
      </c>
      <c r="L20">
        <f t="shared" si="5"/>
        <v>6</v>
      </c>
      <c r="M20" s="3">
        <f t="shared" ca="1" si="6"/>
        <v>46100</v>
      </c>
      <c r="N20">
        <f t="shared" ca="1" si="7"/>
        <v>2904</v>
      </c>
      <c r="O20">
        <f t="shared" ca="1" si="8"/>
        <v>2904</v>
      </c>
      <c r="P20">
        <f t="shared" ca="1" si="9"/>
        <v>2075</v>
      </c>
      <c r="Q20">
        <v>44</v>
      </c>
      <c r="R20" t="str">
        <f t="shared" si="10"/>
        <v>Old</v>
      </c>
      <c r="S20" t="s">
        <v>34</v>
      </c>
      <c r="T20">
        <v>4</v>
      </c>
      <c r="U20" t="s">
        <v>45</v>
      </c>
      <c r="V20">
        <v>6281.95</v>
      </c>
      <c r="W20" t="s">
        <v>46</v>
      </c>
      <c r="X20" t="s">
        <v>27</v>
      </c>
      <c r="Y20">
        <v>26</v>
      </c>
      <c r="Z20" t="str">
        <f t="shared" si="11"/>
        <v>Bad Employee</v>
      </c>
      <c r="AA20" t="b">
        <f t="shared" si="12"/>
        <v>0</v>
      </c>
      <c r="AB20" t="b">
        <f>OR(Y20&gt;20, T20&gt;6)</f>
        <v>1</v>
      </c>
      <c r="AC20" t="str">
        <f>IF(OR(Y20&gt;20,T20&gt;6), "Good employee", "Bad Employee")</f>
        <v>Good employee</v>
      </c>
      <c r="AD20" t="s">
        <v>56</v>
      </c>
      <c r="AE20" t="s">
        <v>59</v>
      </c>
      <c r="AF20">
        <v>15</v>
      </c>
      <c r="AG20">
        <v>2021</v>
      </c>
      <c r="AH20" t="s">
        <v>49</v>
      </c>
      <c r="AI20">
        <v>24</v>
      </c>
      <c r="AJ20">
        <v>3.6</v>
      </c>
    </row>
    <row r="21" spans="1:36" x14ac:dyDescent="0.25">
      <c r="A21">
        <v>10020</v>
      </c>
      <c r="B21" t="s">
        <v>50</v>
      </c>
      <c r="C21" t="s">
        <v>22</v>
      </c>
      <c r="D21" t="s">
        <v>33</v>
      </c>
      <c r="E21" t="str">
        <f t="shared" si="0"/>
        <v>Alex Williams is in Marketing Department</v>
      </c>
      <c r="F21" s="6" t="str">
        <f t="shared" si="1"/>
        <v>alexwilliams@gmail.com</v>
      </c>
      <c r="G21">
        <v>59410</v>
      </c>
      <c r="H21" t="str">
        <f t="shared" si="2"/>
        <v>Medium</v>
      </c>
      <c r="I21" s="3">
        <v>36798</v>
      </c>
      <c r="J21">
        <f t="shared" si="3"/>
        <v>2000</v>
      </c>
      <c r="K21">
        <f t="shared" si="4"/>
        <v>9</v>
      </c>
      <c r="L21">
        <f t="shared" si="5"/>
        <v>29</v>
      </c>
      <c r="M21" s="3">
        <f t="shared" ca="1" si="6"/>
        <v>46100</v>
      </c>
      <c r="N21">
        <f t="shared" ca="1" si="7"/>
        <v>9302</v>
      </c>
      <c r="O21">
        <f t="shared" ca="1" si="8"/>
        <v>9302</v>
      </c>
      <c r="P21">
        <f t="shared" ca="1" si="9"/>
        <v>6645</v>
      </c>
      <c r="Q21">
        <v>57</v>
      </c>
      <c r="R21" t="str">
        <f t="shared" si="10"/>
        <v>Old</v>
      </c>
      <c r="S21" t="s">
        <v>34</v>
      </c>
      <c r="T21">
        <v>7</v>
      </c>
      <c r="U21" t="s">
        <v>45</v>
      </c>
      <c r="V21">
        <v>2522.83</v>
      </c>
      <c r="W21" t="s">
        <v>35</v>
      </c>
      <c r="X21" t="s">
        <v>55</v>
      </c>
      <c r="Y21">
        <v>38</v>
      </c>
      <c r="Z21" t="str">
        <f t="shared" si="11"/>
        <v>Good Employee</v>
      </c>
      <c r="AA21" t="b">
        <f t="shared" si="12"/>
        <v>1</v>
      </c>
      <c r="AB21" t="b">
        <f>OR(Y21&gt;20, T21&gt;6)</f>
        <v>1</v>
      </c>
      <c r="AC21" t="str">
        <f>IF(OR(Y21&gt;20,T21&gt;6), "Good employee", "Bad Employee")</f>
        <v>Good employee</v>
      </c>
      <c r="AD21" t="s">
        <v>41</v>
      </c>
      <c r="AE21" t="s">
        <v>29</v>
      </c>
      <c r="AF21">
        <v>14</v>
      </c>
      <c r="AG21">
        <v>2021</v>
      </c>
      <c r="AH21" t="s">
        <v>43</v>
      </c>
      <c r="AI21">
        <v>163</v>
      </c>
      <c r="AJ21">
        <v>4</v>
      </c>
    </row>
    <row r="22" spans="1:36" x14ac:dyDescent="0.25">
      <c r="A22">
        <v>10021</v>
      </c>
      <c r="B22" t="s">
        <v>64</v>
      </c>
      <c r="C22" t="s">
        <v>22</v>
      </c>
      <c r="D22" t="s">
        <v>33</v>
      </c>
      <c r="E22" t="str">
        <f t="shared" si="0"/>
        <v>Katie Williams is in Marketing Department</v>
      </c>
      <c r="F22" s="6" t="str">
        <f t="shared" si="1"/>
        <v>katiewilliams@gmail.com</v>
      </c>
      <c r="G22">
        <v>88715</v>
      </c>
      <c r="H22" t="str">
        <f t="shared" si="2"/>
        <v>High</v>
      </c>
      <c r="I22" s="3">
        <v>41864</v>
      </c>
      <c r="J22">
        <f t="shared" si="3"/>
        <v>2014</v>
      </c>
      <c r="K22">
        <f t="shared" si="4"/>
        <v>8</v>
      </c>
      <c r="L22">
        <f t="shared" si="5"/>
        <v>13</v>
      </c>
      <c r="M22" s="3">
        <f t="shared" ca="1" si="6"/>
        <v>46100</v>
      </c>
      <c r="N22">
        <f t="shared" ca="1" si="7"/>
        <v>4236</v>
      </c>
      <c r="O22">
        <f t="shared" ca="1" si="8"/>
        <v>4236</v>
      </c>
      <c r="P22">
        <f t="shared" ca="1" si="9"/>
        <v>3027</v>
      </c>
      <c r="Q22">
        <v>27</v>
      </c>
      <c r="R22" t="str">
        <f t="shared" si="10"/>
        <v>Young</v>
      </c>
      <c r="S22" t="s">
        <v>24</v>
      </c>
      <c r="T22">
        <v>7</v>
      </c>
      <c r="U22" t="s">
        <v>25</v>
      </c>
      <c r="V22">
        <v>7049.12</v>
      </c>
      <c r="W22" t="s">
        <v>35</v>
      </c>
      <c r="X22" t="s">
        <v>27</v>
      </c>
      <c r="Y22">
        <v>1</v>
      </c>
      <c r="Z22" t="str">
        <f t="shared" si="11"/>
        <v>Bad Employee</v>
      </c>
      <c r="AA22" t="b">
        <f t="shared" si="12"/>
        <v>0</v>
      </c>
      <c r="AB22" t="b">
        <f>OR(Y22&gt;20, T22&gt;6)</f>
        <v>1</v>
      </c>
      <c r="AC22" t="str">
        <f>IF(OR(Y22&gt;20,T22&gt;6), "Good employee", "Bad Employee")</f>
        <v>Good employee</v>
      </c>
      <c r="AD22" t="s">
        <v>28</v>
      </c>
      <c r="AE22" t="s">
        <v>29</v>
      </c>
      <c r="AF22">
        <v>3</v>
      </c>
      <c r="AG22">
        <v>2021</v>
      </c>
      <c r="AH22" t="s">
        <v>49</v>
      </c>
      <c r="AI22">
        <v>88</v>
      </c>
      <c r="AJ22">
        <v>1.5</v>
      </c>
    </row>
    <row r="23" spans="1:36" x14ac:dyDescent="0.25">
      <c r="A23">
        <v>10022</v>
      </c>
      <c r="B23" t="s">
        <v>38</v>
      </c>
      <c r="C23" t="s">
        <v>57</v>
      </c>
      <c r="D23" t="s">
        <v>52</v>
      </c>
      <c r="E23" t="str">
        <f t="shared" si="0"/>
        <v>Chris Davis is in Operations Department</v>
      </c>
      <c r="F23" s="6" t="str">
        <f t="shared" si="1"/>
        <v>chrisdavis@gmail.com</v>
      </c>
      <c r="G23">
        <v>68665</v>
      </c>
      <c r="H23" t="str">
        <f t="shared" si="2"/>
        <v>Medium</v>
      </c>
      <c r="I23" s="3">
        <v>41407</v>
      </c>
      <c r="J23">
        <f t="shared" si="3"/>
        <v>2013</v>
      </c>
      <c r="K23">
        <f t="shared" si="4"/>
        <v>5</v>
      </c>
      <c r="L23">
        <f t="shared" si="5"/>
        <v>13</v>
      </c>
      <c r="M23" s="3">
        <f t="shared" ca="1" si="6"/>
        <v>46100</v>
      </c>
      <c r="N23">
        <f t="shared" ca="1" si="7"/>
        <v>4693</v>
      </c>
      <c r="O23">
        <f t="shared" ca="1" si="8"/>
        <v>4693</v>
      </c>
      <c r="P23">
        <f t="shared" ca="1" si="9"/>
        <v>3354</v>
      </c>
      <c r="Q23">
        <v>32</v>
      </c>
      <c r="R23" t="str">
        <f t="shared" si="10"/>
        <v>Old</v>
      </c>
      <c r="S23" t="s">
        <v>24</v>
      </c>
      <c r="T23">
        <v>4</v>
      </c>
      <c r="U23" t="s">
        <v>45</v>
      </c>
      <c r="V23">
        <v>2454.59</v>
      </c>
      <c r="W23" t="s">
        <v>35</v>
      </c>
      <c r="X23" t="s">
        <v>47</v>
      </c>
      <c r="Y23">
        <v>2</v>
      </c>
      <c r="Z23" t="str">
        <f t="shared" si="11"/>
        <v>Bad Employee</v>
      </c>
      <c r="AA23" t="b">
        <f t="shared" si="12"/>
        <v>0</v>
      </c>
      <c r="AB23" t="b">
        <f>OR(Y23&gt;20, T23&gt;6)</f>
        <v>0</v>
      </c>
      <c r="AC23" t="str">
        <f>IF(OR(Y23&gt;20,T23&gt;6), "Good employee", "Bad Employee")</f>
        <v>Bad Employee</v>
      </c>
      <c r="AD23" t="s">
        <v>41</v>
      </c>
      <c r="AE23" t="s">
        <v>29</v>
      </c>
      <c r="AF23">
        <v>11</v>
      </c>
      <c r="AG23">
        <v>2020</v>
      </c>
      <c r="AH23" t="s">
        <v>49</v>
      </c>
      <c r="AI23">
        <v>83</v>
      </c>
      <c r="AJ23">
        <v>2</v>
      </c>
    </row>
    <row r="24" spans="1:36" x14ac:dyDescent="0.25">
      <c r="A24">
        <v>10023</v>
      </c>
      <c r="B24" t="s">
        <v>60</v>
      </c>
      <c r="C24" t="s">
        <v>57</v>
      </c>
      <c r="D24" t="s">
        <v>39</v>
      </c>
      <c r="E24" t="str">
        <f t="shared" si="0"/>
        <v>Jane Davis is in IT Department</v>
      </c>
      <c r="F24" s="6" t="str">
        <f t="shared" si="1"/>
        <v>janedavis@gmail.com</v>
      </c>
      <c r="G24">
        <v>45957</v>
      </c>
      <c r="H24" t="str">
        <f t="shared" si="2"/>
        <v>low</v>
      </c>
      <c r="I24" s="3">
        <v>40480</v>
      </c>
      <c r="J24">
        <f t="shared" si="3"/>
        <v>2010</v>
      </c>
      <c r="K24">
        <f t="shared" si="4"/>
        <v>10</v>
      </c>
      <c r="L24">
        <f t="shared" si="5"/>
        <v>29</v>
      </c>
      <c r="M24" s="3">
        <f t="shared" ca="1" si="6"/>
        <v>46100</v>
      </c>
      <c r="N24">
        <f t="shared" ca="1" si="7"/>
        <v>5620</v>
      </c>
      <c r="O24">
        <f t="shared" ca="1" si="8"/>
        <v>5620</v>
      </c>
      <c r="P24">
        <f t="shared" ca="1" si="9"/>
        <v>4015</v>
      </c>
      <c r="Q24">
        <v>59</v>
      </c>
      <c r="R24" t="str">
        <f t="shared" si="10"/>
        <v>Old</v>
      </c>
      <c r="S24" t="s">
        <v>34</v>
      </c>
      <c r="T24">
        <v>6</v>
      </c>
      <c r="U24" t="s">
        <v>45</v>
      </c>
      <c r="V24">
        <v>3723.9</v>
      </c>
      <c r="W24" t="s">
        <v>58</v>
      </c>
      <c r="X24" t="s">
        <v>40</v>
      </c>
      <c r="Y24">
        <v>39</v>
      </c>
      <c r="Z24" t="str">
        <f t="shared" si="11"/>
        <v>Bad Employee</v>
      </c>
      <c r="AA24" t="b">
        <f t="shared" si="12"/>
        <v>0</v>
      </c>
      <c r="AB24" t="b">
        <f>OR(Y24&gt;20, T24&gt;6)</f>
        <v>1</v>
      </c>
      <c r="AC24" t="str">
        <f>IF(OR(Y24&gt;20,T24&gt;6), "Good employee", "Bad Employee")</f>
        <v>Good employee</v>
      </c>
      <c r="AD24" t="s">
        <v>28</v>
      </c>
      <c r="AE24" t="s">
        <v>48</v>
      </c>
      <c r="AF24">
        <v>12</v>
      </c>
      <c r="AG24">
        <v>2013</v>
      </c>
      <c r="AH24" t="s">
        <v>43</v>
      </c>
      <c r="AI24">
        <v>157</v>
      </c>
      <c r="AJ24">
        <v>1.8</v>
      </c>
    </row>
    <row r="25" spans="1:36" x14ac:dyDescent="0.25">
      <c r="A25">
        <v>10024</v>
      </c>
      <c r="B25" t="s">
        <v>53</v>
      </c>
      <c r="C25" t="s">
        <v>32</v>
      </c>
      <c r="D25" t="s">
        <v>44</v>
      </c>
      <c r="E25" t="str">
        <f t="shared" si="0"/>
        <v>Sarah Wilson is in Sales Department</v>
      </c>
      <c r="F25" s="6" t="str">
        <f t="shared" si="1"/>
        <v>sarahwilson@gmail.com</v>
      </c>
      <c r="G25">
        <v>78127</v>
      </c>
      <c r="H25" t="str">
        <f t="shared" si="2"/>
        <v>Medium</v>
      </c>
      <c r="I25" s="3">
        <v>40453</v>
      </c>
      <c r="J25">
        <f t="shared" si="3"/>
        <v>2010</v>
      </c>
      <c r="K25">
        <f t="shared" si="4"/>
        <v>10</v>
      </c>
      <c r="L25">
        <f t="shared" si="5"/>
        <v>2</v>
      </c>
      <c r="M25" s="3">
        <f t="shared" ca="1" si="6"/>
        <v>46100</v>
      </c>
      <c r="N25">
        <f t="shared" ca="1" si="7"/>
        <v>5647</v>
      </c>
      <c r="O25">
        <f t="shared" ca="1" si="8"/>
        <v>5647</v>
      </c>
      <c r="P25">
        <f t="shared" ca="1" si="9"/>
        <v>4034</v>
      </c>
      <c r="Q25">
        <v>55</v>
      </c>
      <c r="R25" t="str">
        <f t="shared" si="10"/>
        <v>Old</v>
      </c>
      <c r="S25" t="s">
        <v>24</v>
      </c>
      <c r="T25">
        <v>5</v>
      </c>
      <c r="U25" t="s">
        <v>45</v>
      </c>
      <c r="V25">
        <v>2661.82</v>
      </c>
      <c r="W25" t="s">
        <v>26</v>
      </c>
      <c r="X25" t="s">
        <v>36</v>
      </c>
      <c r="Y25">
        <v>13</v>
      </c>
      <c r="Z25" t="str">
        <f t="shared" si="11"/>
        <v>Bad Employee</v>
      </c>
      <c r="AA25" t="b">
        <f t="shared" si="12"/>
        <v>0</v>
      </c>
      <c r="AB25" t="b">
        <f>OR(Y25&gt;20, T25&gt;6)</f>
        <v>0</v>
      </c>
      <c r="AC25" t="str">
        <f>IF(OR(Y25&gt;20,T25&gt;6), "Good employee", "Bad Employee")</f>
        <v>Bad Employee</v>
      </c>
      <c r="AD25" t="s">
        <v>56</v>
      </c>
      <c r="AE25" t="s">
        <v>42</v>
      </c>
      <c r="AF25">
        <v>8</v>
      </c>
      <c r="AG25">
        <v>2014</v>
      </c>
      <c r="AH25" t="s">
        <v>43</v>
      </c>
      <c r="AI25">
        <v>114</v>
      </c>
      <c r="AJ25">
        <v>4.4000000000000004</v>
      </c>
    </row>
    <row r="26" spans="1:36" x14ac:dyDescent="0.25">
      <c r="A26">
        <v>10025</v>
      </c>
      <c r="B26" t="s">
        <v>31</v>
      </c>
      <c r="C26" t="s">
        <v>63</v>
      </c>
      <c r="D26" t="s">
        <v>39</v>
      </c>
      <c r="E26" t="str">
        <f t="shared" si="0"/>
        <v>Emily Miller is in IT Department</v>
      </c>
      <c r="F26" s="6" t="str">
        <f t="shared" si="1"/>
        <v>emilymiller@gmail.com</v>
      </c>
      <c r="G26">
        <v>93589</v>
      </c>
      <c r="H26" t="str">
        <f t="shared" si="2"/>
        <v>High</v>
      </c>
      <c r="I26" s="3">
        <v>36978</v>
      </c>
      <c r="J26">
        <f t="shared" si="3"/>
        <v>2001</v>
      </c>
      <c r="K26">
        <f t="shared" si="4"/>
        <v>3</v>
      </c>
      <c r="L26">
        <f t="shared" si="5"/>
        <v>28</v>
      </c>
      <c r="M26" s="3">
        <f t="shared" ca="1" si="6"/>
        <v>46100</v>
      </c>
      <c r="N26">
        <f t="shared" ca="1" si="7"/>
        <v>9122</v>
      </c>
      <c r="O26">
        <f t="shared" ca="1" si="8"/>
        <v>9122</v>
      </c>
      <c r="P26">
        <f t="shared" ca="1" si="9"/>
        <v>6517</v>
      </c>
      <c r="Q26">
        <v>38</v>
      </c>
      <c r="R26" t="str">
        <f t="shared" si="10"/>
        <v>Old</v>
      </c>
      <c r="S26" t="s">
        <v>34</v>
      </c>
      <c r="T26">
        <v>1</v>
      </c>
      <c r="U26" t="s">
        <v>45</v>
      </c>
      <c r="V26">
        <v>2827.31</v>
      </c>
      <c r="W26" t="s">
        <v>58</v>
      </c>
      <c r="X26" t="s">
        <v>55</v>
      </c>
      <c r="Y26">
        <v>27</v>
      </c>
      <c r="Z26" t="str">
        <f t="shared" si="11"/>
        <v>Bad Employee</v>
      </c>
      <c r="AA26" t="b">
        <f t="shared" si="12"/>
        <v>0</v>
      </c>
      <c r="AB26" t="b">
        <f>OR(Y26&gt;20, T26&gt;6)</f>
        <v>1</v>
      </c>
      <c r="AC26" t="str">
        <f>IF(OR(Y26&gt;20,T26&gt;6), "Good employee", "Bad Employee")</f>
        <v>Good employee</v>
      </c>
      <c r="AD26" t="s">
        <v>56</v>
      </c>
      <c r="AE26" t="s">
        <v>62</v>
      </c>
      <c r="AF26">
        <v>14</v>
      </c>
      <c r="AG26">
        <v>2018</v>
      </c>
      <c r="AH26" t="s">
        <v>49</v>
      </c>
      <c r="AI26">
        <v>5</v>
      </c>
      <c r="AJ26">
        <v>3.7</v>
      </c>
    </row>
    <row r="27" spans="1:36" x14ac:dyDescent="0.25">
      <c r="A27">
        <v>10026</v>
      </c>
      <c r="B27" t="s">
        <v>64</v>
      </c>
      <c r="C27" t="s">
        <v>57</v>
      </c>
      <c r="D27" t="s">
        <v>39</v>
      </c>
      <c r="E27" t="str">
        <f t="shared" si="0"/>
        <v>Katie Davis is in IT Department</v>
      </c>
      <c r="F27" s="6" t="str">
        <f t="shared" si="1"/>
        <v>katiedavis@gmail.com</v>
      </c>
      <c r="G27">
        <v>76008</v>
      </c>
      <c r="H27" t="str">
        <f t="shared" si="2"/>
        <v>Medium</v>
      </c>
      <c r="I27" s="3">
        <v>37701</v>
      </c>
      <c r="J27">
        <f t="shared" si="3"/>
        <v>2003</v>
      </c>
      <c r="K27">
        <f t="shared" si="4"/>
        <v>3</v>
      </c>
      <c r="L27">
        <f t="shared" si="5"/>
        <v>21</v>
      </c>
      <c r="M27" s="3">
        <f t="shared" ca="1" si="6"/>
        <v>46100</v>
      </c>
      <c r="N27">
        <f t="shared" ca="1" si="7"/>
        <v>8399</v>
      </c>
      <c r="O27">
        <f t="shared" ca="1" si="8"/>
        <v>8399</v>
      </c>
      <c r="P27">
        <f t="shared" ca="1" si="9"/>
        <v>6000</v>
      </c>
      <c r="Q27">
        <v>24</v>
      </c>
      <c r="R27" t="str">
        <f t="shared" si="10"/>
        <v>Young</v>
      </c>
      <c r="S27" t="s">
        <v>24</v>
      </c>
      <c r="T27">
        <v>8</v>
      </c>
      <c r="U27" t="s">
        <v>25</v>
      </c>
      <c r="V27">
        <v>544.23</v>
      </c>
      <c r="W27" t="s">
        <v>35</v>
      </c>
      <c r="X27" t="s">
        <v>55</v>
      </c>
      <c r="Y27">
        <v>4</v>
      </c>
      <c r="Z27" t="str">
        <f t="shared" si="11"/>
        <v>Bad Employee</v>
      </c>
      <c r="AA27" t="b">
        <f t="shared" si="12"/>
        <v>0</v>
      </c>
      <c r="AB27" t="b">
        <f>OR(Y27&gt;20, T27&gt;6)</f>
        <v>1</v>
      </c>
      <c r="AC27" t="str">
        <f>IF(OR(Y27&gt;20,T27&gt;6), "Good employee", "Bad Employee")</f>
        <v>Good employee</v>
      </c>
      <c r="AD27" t="s">
        <v>28</v>
      </c>
      <c r="AE27" t="s">
        <v>62</v>
      </c>
      <c r="AF27">
        <v>17</v>
      </c>
      <c r="AG27">
        <v>2010</v>
      </c>
      <c r="AH27" t="s">
        <v>43</v>
      </c>
      <c r="AI27">
        <v>149</v>
      </c>
      <c r="AJ27">
        <v>2.8</v>
      </c>
    </row>
    <row r="28" spans="1:36" x14ac:dyDescent="0.25">
      <c r="A28">
        <v>10027</v>
      </c>
      <c r="B28" t="s">
        <v>64</v>
      </c>
      <c r="C28" t="s">
        <v>32</v>
      </c>
      <c r="D28" t="s">
        <v>52</v>
      </c>
      <c r="E28" t="str">
        <f t="shared" si="0"/>
        <v>Katie Wilson is in Operations Department</v>
      </c>
      <c r="F28" s="6" t="str">
        <f t="shared" si="1"/>
        <v>katiewilson@gmail.com</v>
      </c>
      <c r="G28">
        <v>91920</v>
      </c>
      <c r="H28" t="str">
        <f t="shared" si="2"/>
        <v>High</v>
      </c>
      <c r="I28" s="3">
        <v>43016</v>
      </c>
      <c r="J28">
        <f t="shared" si="3"/>
        <v>2017</v>
      </c>
      <c r="K28">
        <f t="shared" si="4"/>
        <v>10</v>
      </c>
      <c r="L28">
        <f t="shared" si="5"/>
        <v>8</v>
      </c>
      <c r="M28" s="3">
        <f t="shared" ca="1" si="6"/>
        <v>46100</v>
      </c>
      <c r="N28">
        <f t="shared" ca="1" si="7"/>
        <v>3084</v>
      </c>
      <c r="O28">
        <f t="shared" ca="1" si="8"/>
        <v>3084</v>
      </c>
      <c r="P28">
        <f t="shared" ca="1" si="9"/>
        <v>2204</v>
      </c>
      <c r="Q28">
        <v>55</v>
      </c>
      <c r="R28" t="str">
        <f t="shared" si="10"/>
        <v>Old</v>
      </c>
      <c r="S28" t="s">
        <v>24</v>
      </c>
      <c r="T28">
        <v>7</v>
      </c>
      <c r="U28" t="s">
        <v>45</v>
      </c>
      <c r="V28">
        <v>8866.73</v>
      </c>
      <c r="W28" t="s">
        <v>46</v>
      </c>
      <c r="X28" t="s">
        <v>27</v>
      </c>
      <c r="Y28">
        <v>20</v>
      </c>
      <c r="Z28" t="str">
        <f t="shared" si="11"/>
        <v>Bad Employee</v>
      </c>
      <c r="AA28" t="b">
        <f t="shared" si="12"/>
        <v>0</v>
      </c>
      <c r="AB28" t="b">
        <f>OR(Y28&gt;20, T28&gt;6)</f>
        <v>1</v>
      </c>
      <c r="AC28" t="str">
        <f>IF(OR(Y28&gt;20,T28&gt;6), "Good employee", "Bad Employee")</f>
        <v>Good employee</v>
      </c>
      <c r="AD28" t="s">
        <v>41</v>
      </c>
      <c r="AE28" t="s">
        <v>59</v>
      </c>
      <c r="AF28">
        <v>19</v>
      </c>
      <c r="AG28">
        <v>2011</v>
      </c>
      <c r="AH28" t="s">
        <v>30</v>
      </c>
      <c r="AI28">
        <v>84</v>
      </c>
      <c r="AJ28">
        <v>4.3</v>
      </c>
    </row>
    <row r="29" spans="1:36" x14ac:dyDescent="0.25">
      <c r="A29">
        <v>10028</v>
      </c>
      <c r="B29" t="s">
        <v>60</v>
      </c>
      <c r="C29" t="s">
        <v>32</v>
      </c>
      <c r="D29" t="s">
        <v>33</v>
      </c>
      <c r="E29" t="str">
        <f t="shared" si="0"/>
        <v>Jane Wilson is in Marketing Department</v>
      </c>
      <c r="F29" s="6" t="str">
        <f t="shared" si="1"/>
        <v>janewilson@gmail.com</v>
      </c>
      <c r="G29">
        <v>62875</v>
      </c>
      <c r="H29" t="str">
        <f t="shared" si="2"/>
        <v>Medium</v>
      </c>
      <c r="I29" s="3">
        <v>41437</v>
      </c>
      <c r="J29">
        <f t="shared" si="3"/>
        <v>2013</v>
      </c>
      <c r="K29">
        <f t="shared" si="4"/>
        <v>6</v>
      </c>
      <c r="L29">
        <f t="shared" si="5"/>
        <v>12</v>
      </c>
      <c r="M29" s="3">
        <f t="shared" ca="1" si="6"/>
        <v>46100</v>
      </c>
      <c r="N29">
        <f t="shared" ca="1" si="7"/>
        <v>4663</v>
      </c>
      <c r="O29">
        <f t="shared" ca="1" si="8"/>
        <v>4663</v>
      </c>
      <c r="P29">
        <f t="shared" ca="1" si="9"/>
        <v>3332</v>
      </c>
      <c r="Q29">
        <v>43</v>
      </c>
      <c r="R29" t="str">
        <f t="shared" si="10"/>
        <v>Old</v>
      </c>
      <c r="S29" t="s">
        <v>34</v>
      </c>
      <c r="T29">
        <v>5</v>
      </c>
      <c r="U29" t="s">
        <v>25</v>
      </c>
      <c r="V29">
        <v>3311.91</v>
      </c>
      <c r="W29" t="s">
        <v>35</v>
      </c>
      <c r="X29" t="s">
        <v>40</v>
      </c>
      <c r="Y29">
        <v>3</v>
      </c>
      <c r="Z29" t="str">
        <f t="shared" si="11"/>
        <v>Bad Employee</v>
      </c>
      <c r="AA29" t="b">
        <f t="shared" si="12"/>
        <v>0</v>
      </c>
      <c r="AB29" t="b">
        <f>OR(Y29&gt;20, T29&gt;6)</f>
        <v>0</v>
      </c>
      <c r="AC29" t="str">
        <f>IF(OR(Y29&gt;20,T29&gt;6), "Good employee", "Bad Employee")</f>
        <v>Bad Employee</v>
      </c>
      <c r="AD29" t="s">
        <v>41</v>
      </c>
      <c r="AE29" t="s">
        <v>59</v>
      </c>
      <c r="AF29">
        <v>6</v>
      </c>
      <c r="AG29">
        <v>2014</v>
      </c>
      <c r="AH29" t="s">
        <v>43</v>
      </c>
      <c r="AI29">
        <v>31</v>
      </c>
      <c r="AJ29">
        <v>3.9</v>
      </c>
    </row>
    <row r="30" spans="1:36" x14ac:dyDescent="0.25">
      <c r="A30">
        <v>10029</v>
      </c>
      <c r="B30" t="s">
        <v>53</v>
      </c>
      <c r="C30" t="s">
        <v>65</v>
      </c>
      <c r="D30" t="s">
        <v>33</v>
      </c>
      <c r="E30" t="str">
        <f t="shared" si="0"/>
        <v>Sarah Johnson is in Marketing Department</v>
      </c>
      <c r="F30" s="6" t="str">
        <f t="shared" si="1"/>
        <v>sarahjohnson@gmail.com</v>
      </c>
      <c r="G30">
        <v>31626</v>
      </c>
      <c r="H30" t="str">
        <f t="shared" si="2"/>
        <v>extremely low</v>
      </c>
      <c r="I30" s="3">
        <v>36939</v>
      </c>
      <c r="J30">
        <f t="shared" si="3"/>
        <v>2001</v>
      </c>
      <c r="K30">
        <f t="shared" si="4"/>
        <v>2</v>
      </c>
      <c r="L30">
        <f t="shared" si="5"/>
        <v>17</v>
      </c>
      <c r="M30" s="3">
        <f t="shared" ca="1" si="6"/>
        <v>46100</v>
      </c>
      <c r="N30">
        <f t="shared" ca="1" si="7"/>
        <v>9161</v>
      </c>
      <c r="O30">
        <f t="shared" ca="1" si="8"/>
        <v>9161</v>
      </c>
      <c r="P30">
        <f t="shared" ca="1" si="9"/>
        <v>6544</v>
      </c>
      <c r="Q30">
        <v>50</v>
      </c>
      <c r="R30" t="str">
        <f t="shared" si="10"/>
        <v>Old</v>
      </c>
      <c r="S30" t="s">
        <v>24</v>
      </c>
      <c r="T30">
        <v>7</v>
      </c>
      <c r="U30" t="s">
        <v>25</v>
      </c>
      <c r="V30">
        <v>1320.56</v>
      </c>
      <c r="W30" t="s">
        <v>58</v>
      </c>
      <c r="X30" t="s">
        <v>27</v>
      </c>
      <c r="Y30">
        <v>23</v>
      </c>
      <c r="Z30" t="str">
        <f t="shared" si="11"/>
        <v>Good Employee</v>
      </c>
      <c r="AA30" t="b">
        <f t="shared" si="12"/>
        <v>1</v>
      </c>
      <c r="AB30" t="b">
        <f>OR(Y30&gt;20, T30&gt;6)</f>
        <v>1</v>
      </c>
      <c r="AC30" t="str">
        <f>IF(OR(Y30&gt;20,T30&gt;6), "Good employee", "Bad Employee")</f>
        <v>Good employee</v>
      </c>
      <c r="AD30" t="s">
        <v>56</v>
      </c>
      <c r="AE30" t="s">
        <v>48</v>
      </c>
      <c r="AF30">
        <v>11</v>
      </c>
      <c r="AG30">
        <v>2014</v>
      </c>
      <c r="AH30" t="s">
        <v>30</v>
      </c>
      <c r="AI30">
        <v>123</v>
      </c>
      <c r="AJ30">
        <v>4.7</v>
      </c>
    </row>
    <row r="31" spans="1:36" x14ac:dyDescent="0.25">
      <c r="A31">
        <v>10030</v>
      </c>
      <c r="B31" t="s">
        <v>31</v>
      </c>
      <c r="C31" t="s">
        <v>63</v>
      </c>
      <c r="D31" t="s">
        <v>23</v>
      </c>
      <c r="E31" t="str">
        <f t="shared" si="0"/>
        <v>Emily Miller is in HR Department</v>
      </c>
      <c r="F31" s="6" t="str">
        <f t="shared" si="1"/>
        <v>emilymiller@gmail.com</v>
      </c>
      <c r="G31">
        <v>93822</v>
      </c>
      <c r="H31" t="str">
        <f t="shared" si="2"/>
        <v>High</v>
      </c>
      <c r="I31" s="3">
        <v>38076</v>
      </c>
      <c r="J31">
        <f t="shared" si="3"/>
        <v>2004</v>
      </c>
      <c r="K31">
        <f t="shared" si="4"/>
        <v>3</v>
      </c>
      <c r="L31">
        <f t="shared" si="5"/>
        <v>30</v>
      </c>
      <c r="M31" s="3">
        <f t="shared" ca="1" si="6"/>
        <v>46100</v>
      </c>
      <c r="N31">
        <f t="shared" ca="1" si="7"/>
        <v>8024</v>
      </c>
      <c r="O31">
        <f t="shared" ca="1" si="8"/>
        <v>8024</v>
      </c>
      <c r="P31">
        <f t="shared" ca="1" si="9"/>
        <v>5733</v>
      </c>
      <c r="Q31">
        <v>50</v>
      </c>
      <c r="R31" t="str">
        <f t="shared" si="10"/>
        <v>Old</v>
      </c>
      <c r="S31" t="s">
        <v>24</v>
      </c>
      <c r="T31">
        <v>3</v>
      </c>
      <c r="U31" t="s">
        <v>45</v>
      </c>
      <c r="V31">
        <v>1326.38</v>
      </c>
      <c r="W31" t="s">
        <v>26</v>
      </c>
      <c r="X31" t="s">
        <v>55</v>
      </c>
      <c r="Y31">
        <v>2</v>
      </c>
      <c r="Z31" t="str">
        <f t="shared" si="11"/>
        <v>Bad Employee</v>
      </c>
      <c r="AA31" t="b">
        <f t="shared" si="12"/>
        <v>0</v>
      </c>
      <c r="AB31" t="b">
        <f>OR(Y31&gt;20, T31&gt;6)</f>
        <v>0</v>
      </c>
      <c r="AC31" t="str">
        <f>IF(OR(Y31&gt;20,T31&gt;6), "Good employee", "Bad Employee")</f>
        <v>Bad Employee</v>
      </c>
      <c r="AD31" t="s">
        <v>41</v>
      </c>
      <c r="AE31" t="s">
        <v>62</v>
      </c>
      <c r="AF31">
        <v>9</v>
      </c>
      <c r="AG31">
        <v>2021</v>
      </c>
      <c r="AH31" t="s">
        <v>30</v>
      </c>
      <c r="AI31">
        <v>127</v>
      </c>
      <c r="AJ31">
        <v>1.3</v>
      </c>
    </row>
    <row r="32" spans="1:36" x14ac:dyDescent="0.25">
      <c r="A32">
        <v>10031</v>
      </c>
      <c r="B32" t="s">
        <v>38</v>
      </c>
      <c r="C32" t="s">
        <v>57</v>
      </c>
      <c r="D32" t="s">
        <v>52</v>
      </c>
      <c r="E32" t="str">
        <f t="shared" si="0"/>
        <v>Chris Davis is in Operations Department</v>
      </c>
      <c r="F32" s="6" t="str">
        <f t="shared" si="1"/>
        <v>chrisdavis@gmail.com</v>
      </c>
      <c r="G32">
        <v>101765</v>
      </c>
      <c r="H32" t="str">
        <f t="shared" si="2"/>
        <v>High</v>
      </c>
      <c r="I32" s="3">
        <v>41052</v>
      </c>
      <c r="J32">
        <f t="shared" si="3"/>
        <v>2012</v>
      </c>
      <c r="K32">
        <f t="shared" si="4"/>
        <v>5</v>
      </c>
      <c r="L32">
        <f t="shared" si="5"/>
        <v>23</v>
      </c>
      <c r="M32" s="3">
        <f t="shared" ca="1" si="6"/>
        <v>46100</v>
      </c>
      <c r="N32">
        <f t="shared" ca="1" si="7"/>
        <v>5048</v>
      </c>
      <c r="O32">
        <f t="shared" ca="1" si="8"/>
        <v>5048</v>
      </c>
      <c r="P32">
        <f t="shared" ca="1" si="9"/>
        <v>3607</v>
      </c>
      <c r="Q32">
        <v>26</v>
      </c>
      <c r="R32" t="str">
        <f t="shared" si="10"/>
        <v>Young</v>
      </c>
      <c r="S32" t="s">
        <v>34</v>
      </c>
      <c r="T32">
        <v>8</v>
      </c>
      <c r="U32" t="s">
        <v>25</v>
      </c>
      <c r="V32">
        <v>5782.17</v>
      </c>
      <c r="W32" t="s">
        <v>35</v>
      </c>
      <c r="X32" t="s">
        <v>40</v>
      </c>
      <c r="Y32">
        <v>16</v>
      </c>
      <c r="Z32" t="str">
        <f t="shared" si="11"/>
        <v>Bad Employee</v>
      </c>
      <c r="AA32" t="b">
        <f t="shared" si="12"/>
        <v>0</v>
      </c>
      <c r="AB32" t="b">
        <f>OR(Y32&gt;20, T32&gt;6)</f>
        <v>1</v>
      </c>
      <c r="AC32" t="str">
        <f>IF(OR(Y32&gt;20,T32&gt;6), "Good employee", "Bad Employee")</f>
        <v>Good employee</v>
      </c>
      <c r="AD32" t="s">
        <v>28</v>
      </c>
      <c r="AE32" t="s">
        <v>42</v>
      </c>
      <c r="AF32">
        <v>6</v>
      </c>
      <c r="AG32">
        <v>2016</v>
      </c>
      <c r="AH32" t="s">
        <v>30</v>
      </c>
      <c r="AI32">
        <v>28</v>
      </c>
      <c r="AJ32">
        <v>3</v>
      </c>
    </row>
    <row r="33" spans="1:36" x14ac:dyDescent="0.25">
      <c r="A33">
        <v>10032</v>
      </c>
      <c r="B33" t="s">
        <v>66</v>
      </c>
      <c r="C33" t="s">
        <v>63</v>
      </c>
      <c r="D33" t="s">
        <v>23</v>
      </c>
      <c r="E33" t="str">
        <f t="shared" si="0"/>
        <v>John Miller is in HR Department</v>
      </c>
      <c r="F33" s="6" t="str">
        <f t="shared" si="1"/>
        <v>johnmiller@gmail.com</v>
      </c>
      <c r="G33">
        <v>102413</v>
      </c>
      <c r="H33" t="str">
        <f t="shared" si="2"/>
        <v>High</v>
      </c>
      <c r="I33" s="3">
        <v>43048</v>
      </c>
      <c r="J33">
        <f t="shared" si="3"/>
        <v>2017</v>
      </c>
      <c r="K33">
        <f t="shared" si="4"/>
        <v>11</v>
      </c>
      <c r="L33">
        <f t="shared" si="5"/>
        <v>9</v>
      </c>
      <c r="M33" s="3">
        <f t="shared" ca="1" si="6"/>
        <v>46100</v>
      </c>
      <c r="N33">
        <f t="shared" ca="1" si="7"/>
        <v>3052</v>
      </c>
      <c r="O33">
        <f t="shared" ca="1" si="8"/>
        <v>3052</v>
      </c>
      <c r="P33">
        <f t="shared" ca="1" si="9"/>
        <v>2181</v>
      </c>
      <c r="Q33">
        <v>31</v>
      </c>
      <c r="R33" t="str">
        <f t="shared" si="10"/>
        <v>Old</v>
      </c>
      <c r="S33" t="s">
        <v>34</v>
      </c>
      <c r="T33">
        <v>5</v>
      </c>
      <c r="U33" t="s">
        <v>25</v>
      </c>
      <c r="V33">
        <v>9932.75</v>
      </c>
      <c r="W33" t="s">
        <v>26</v>
      </c>
      <c r="X33" t="s">
        <v>55</v>
      </c>
      <c r="Y33">
        <v>10</v>
      </c>
      <c r="Z33" t="str">
        <f t="shared" si="11"/>
        <v>Bad Employee</v>
      </c>
      <c r="AA33" t="b">
        <f t="shared" si="12"/>
        <v>0</v>
      </c>
      <c r="AB33" t="b">
        <f>OR(Y33&gt;20, T33&gt;6)</f>
        <v>0</v>
      </c>
      <c r="AC33" t="str">
        <f>IF(OR(Y33&gt;20,T33&gt;6), "Good employee", "Bad Employee")</f>
        <v>Bad Employee</v>
      </c>
      <c r="AD33" t="s">
        <v>28</v>
      </c>
      <c r="AE33" t="s">
        <v>48</v>
      </c>
      <c r="AF33">
        <v>13</v>
      </c>
      <c r="AG33">
        <v>2017</v>
      </c>
      <c r="AH33" t="s">
        <v>43</v>
      </c>
      <c r="AI33">
        <v>194</v>
      </c>
      <c r="AJ33">
        <v>3.8</v>
      </c>
    </row>
    <row r="34" spans="1:36" x14ac:dyDescent="0.25">
      <c r="A34">
        <v>10033</v>
      </c>
      <c r="B34" t="s">
        <v>31</v>
      </c>
      <c r="C34" t="s">
        <v>22</v>
      </c>
      <c r="D34" t="s">
        <v>52</v>
      </c>
      <c r="E34" t="str">
        <f t="shared" si="0"/>
        <v>Emily Williams is in Operations Department</v>
      </c>
      <c r="F34" s="6" t="str">
        <f t="shared" si="1"/>
        <v>emilywilliams@gmail.com</v>
      </c>
      <c r="G34">
        <v>63642</v>
      </c>
      <c r="H34" t="str">
        <f t="shared" si="2"/>
        <v>Medium</v>
      </c>
      <c r="I34" s="3">
        <v>43667</v>
      </c>
      <c r="J34">
        <f t="shared" si="3"/>
        <v>2019</v>
      </c>
      <c r="K34">
        <f t="shared" si="4"/>
        <v>7</v>
      </c>
      <c r="L34">
        <f t="shared" si="5"/>
        <v>21</v>
      </c>
      <c r="M34" s="3">
        <f t="shared" ca="1" si="6"/>
        <v>46100</v>
      </c>
      <c r="N34">
        <f t="shared" ca="1" si="7"/>
        <v>2433</v>
      </c>
      <c r="O34">
        <f t="shared" ca="1" si="8"/>
        <v>2433</v>
      </c>
      <c r="P34">
        <f t="shared" ca="1" si="9"/>
        <v>1739</v>
      </c>
      <c r="Q34">
        <v>31</v>
      </c>
      <c r="R34" t="str">
        <f t="shared" si="10"/>
        <v>Old</v>
      </c>
      <c r="S34" t="s">
        <v>34</v>
      </c>
      <c r="T34">
        <v>2</v>
      </c>
      <c r="U34" t="s">
        <v>45</v>
      </c>
      <c r="V34">
        <v>1877.71</v>
      </c>
      <c r="W34" t="s">
        <v>35</v>
      </c>
      <c r="X34" t="s">
        <v>40</v>
      </c>
      <c r="Y34">
        <v>28</v>
      </c>
      <c r="Z34" t="str">
        <f t="shared" si="11"/>
        <v>Bad Employee</v>
      </c>
      <c r="AA34" t="b">
        <f t="shared" si="12"/>
        <v>0</v>
      </c>
      <c r="AB34" t="b">
        <f>OR(Y34&gt;20, T34&gt;6)</f>
        <v>1</v>
      </c>
      <c r="AC34" t="str">
        <f>IF(OR(Y34&gt;20,T34&gt;6), "Good employee", "Bad Employee")</f>
        <v>Good employee</v>
      </c>
      <c r="AD34" t="s">
        <v>28</v>
      </c>
      <c r="AE34" t="s">
        <v>59</v>
      </c>
      <c r="AF34">
        <v>14</v>
      </c>
      <c r="AG34">
        <v>2019</v>
      </c>
      <c r="AH34" t="s">
        <v>43</v>
      </c>
      <c r="AI34">
        <v>56</v>
      </c>
      <c r="AJ34">
        <v>1.8</v>
      </c>
    </row>
    <row r="35" spans="1:36" x14ac:dyDescent="0.25">
      <c r="A35">
        <v>10034</v>
      </c>
      <c r="B35" t="s">
        <v>60</v>
      </c>
      <c r="C35" t="s">
        <v>22</v>
      </c>
      <c r="D35" t="s">
        <v>23</v>
      </c>
      <c r="E35" t="str">
        <f t="shared" si="0"/>
        <v>Jane Williams is in HR Department</v>
      </c>
      <c r="F35" s="6" t="str">
        <f t="shared" si="1"/>
        <v>janewilliams@gmail.com</v>
      </c>
      <c r="G35">
        <v>68311</v>
      </c>
      <c r="H35" t="str">
        <f t="shared" si="2"/>
        <v>Medium</v>
      </c>
      <c r="I35" s="3">
        <v>41516</v>
      </c>
      <c r="J35">
        <f t="shared" si="3"/>
        <v>2013</v>
      </c>
      <c r="K35">
        <f t="shared" si="4"/>
        <v>8</v>
      </c>
      <c r="L35">
        <f t="shared" si="5"/>
        <v>30</v>
      </c>
      <c r="M35" s="3">
        <f t="shared" ca="1" si="6"/>
        <v>46100</v>
      </c>
      <c r="N35">
        <f t="shared" ca="1" si="7"/>
        <v>4584</v>
      </c>
      <c r="O35">
        <f t="shared" ca="1" si="8"/>
        <v>4584</v>
      </c>
      <c r="P35">
        <f t="shared" ca="1" si="9"/>
        <v>3275</v>
      </c>
      <c r="Q35">
        <v>30</v>
      </c>
      <c r="R35" t="str">
        <f t="shared" si="10"/>
        <v>Young</v>
      </c>
      <c r="S35" t="s">
        <v>34</v>
      </c>
      <c r="T35">
        <v>2</v>
      </c>
      <c r="U35" t="s">
        <v>45</v>
      </c>
      <c r="V35">
        <v>1446.41</v>
      </c>
      <c r="W35" t="s">
        <v>26</v>
      </c>
      <c r="X35" t="s">
        <v>55</v>
      </c>
      <c r="Y35">
        <v>18</v>
      </c>
      <c r="Z35" t="str">
        <f t="shared" si="11"/>
        <v>Bad Employee</v>
      </c>
      <c r="AA35" t="b">
        <f t="shared" si="12"/>
        <v>0</v>
      </c>
      <c r="AB35" t="b">
        <f>OR(Y35&gt;20, T35&gt;6)</f>
        <v>0</v>
      </c>
      <c r="AC35" t="str">
        <f>IF(OR(Y35&gt;20,T35&gt;6), "Good employee", "Bad Employee")</f>
        <v>Bad Employee</v>
      </c>
      <c r="AD35" t="s">
        <v>56</v>
      </c>
      <c r="AE35" t="s">
        <v>48</v>
      </c>
      <c r="AF35">
        <v>3</v>
      </c>
      <c r="AG35">
        <v>2015</v>
      </c>
      <c r="AH35" t="s">
        <v>43</v>
      </c>
      <c r="AI35">
        <v>55</v>
      </c>
      <c r="AJ35">
        <v>2.2999999999999998</v>
      </c>
    </row>
    <row r="36" spans="1:36" x14ac:dyDescent="0.25">
      <c r="A36">
        <v>10035</v>
      </c>
      <c r="B36" t="s">
        <v>64</v>
      </c>
      <c r="C36" t="s">
        <v>63</v>
      </c>
      <c r="D36" t="s">
        <v>54</v>
      </c>
      <c r="E36" t="str">
        <f t="shared" si="0"/>
        <v>Katie Miller is in Finance Department</v>
      </c>
      <c r="F36" s="6" t="str">
        <f t="shared" si="1"/>
        <v>katiemiller@gmail.com</v>
      </c>
      <c r="G36">
        <v>62356</v>
      </c>
      <c r="H36" t="str">
        <f t="shared" si="2"/>
        <v>Medium</v>
      </c>
      <c r="I36" s="3">
        <v>43097</v>
      </c>
      <c r="J36">
        <f t="shared" si="3"/>
        <v>2017</v>
      </c>
      <c r="K36">
        <f t="shared" si="4"/>
        <v>12</v>
      </c>
      <c r="L36">
        <f t="shared" si="5"/>
        <v>28</v>
      </c>
      <c r="M36" s="3">
        <f t="shared" ca="1" si="6"/>
        <v>46100</v>
      </c>
      <c r="N36">
        <f t="shared" ca="1" si="7"/>
        <v>3003</v>
      </c>
      <c r="O36">
        <f t="shared" ca="1" si="8"/>
        <v>3003</v>
      </c>
      <c r="P36">
        <f t="shared" ca="1" si="9"/>
        <v>2146</v>
      </c>
      <c r="Q36">
        <v>42</v>
      </c>
      <c r="R36" t="str">
        <f t="shared" si="10"/>
        <v>Old</v>
      </c>
      <c r="S36" t="s">
        <v>34</v>
      </c>
      <c r="T36">
        <v>4</v>
      </c>
      <c r="U36" t="s">
        <v>45</v>
      </c>
      <c r="V36">
        <v>4663.8900000000003</v>
      </c>
      <c r="W36" t="s">
        <v>26</v>
      </c>
      <c r="X36" t="s">
        <v>36</v>
      </c>
      <c r="Y36">
        <v>2</v>
      </c>
      <c r="Z36" t="str">
        <f t="shared" si="11"/>
        <v>Bad Employee</v>
      </c>
      <c r="AA36" t="b">
        <f t="shared" si="12"/>
        <v>0</v>
      </c>
      <c r="AB36" t="b">
        <f>OR(Y36&gt;20, T36&gt;6)</f>
        <v>0</v>
      </c>
      <c r="AC36" t="str">
        <f>IF(OR(Y36&gt;20,T36&gt;6), "Good employee", "Bad Employee")</f>
        <v>Bad Employee</v>
      </c>
      <c r="AD36" t="s">
        <v>56</v>
      </c>
      <c r="AE36" t="s">
        <v>59</v>
      </c>
      <c r="AF36">
        <v>7</v>
      </c>
      <c r="AG36">
        <v>2015</v>
      </c>
      <c r="AH36" t="s">
        <v>30</v>
      </c>
      <c r="AI36">
        <v>198</v>
      </c>
      <c r="AJ36">
        <v>2.7</v>
      </c>
    </row>
    <row r="37" spans="1:36" x14ac:dyDescent="0.25">
      <c r="A37">
        <v>10036</v>
      </c>
      <c r="B37" t="s">
        <v>38</v>
      </c>
      <c r="C37" t="s">
        <v>65</v>
      </c>
      <c r="D37" t="s">
        <v>39</v>
      </c>
      <c r="E37" t="str">
        <f t="shared" si="0"/>
        <v>Chris Johnson is in IT Department</v>
      </c>
      <c r="F37" s="6" t="str">
        <f t="shared" si="1"/>
        <v>chrisjohnson@gmail.com</v>
      </c>
      <c r="G37">
        <v>33809</v>
      </c>
      <c r="H37" t="str">
        <f t="shared" si="2"/>
        <v>extremely low</v>
      </c>
      <c r="I37" s="3">
        <v>38472</v>
      </c>
      <c r="J37">
        <f t="shared" si="3"/>
        <v>2005</v>
      </c>
      <c r="K37">
        <f t="shared" si="4"/>
        <v>4</v>
      </c>
      <c r="L37">
        <f t="shared" si="5"/>
        <v>30</v>
      </c>
      <c r="M37" s="3">
        <f t="shared" ca="1" si="6"/>
        <v>46100</v>
      </c>
      <c r="N37">
        <f t="shared" ca="1" si="7"/>
        <v>7628</v>
      </c>
      <c r="O37">
        <f t="shared" ca="1" si="8"/>
        <v>7628</v>
      </c>
      <c r="P37">
        <f t="shared" ca="1" si="9"/>
        <v>5449</v>
      </c>
      <c r="Q37">
        <v>34</v>
      </c>
      <c r="R37" t="str">
        <f t="shared" si="10"/>
        <v>Old</v>
      </c>
      <c r="S37" t="s">
        <v>34</v>
      </c>
      <c r="T37">
        <v>7</v>
      </c>
      <c r="U37" t="s">
        <v>45</v>
      </c>
      <c r="V37">
        <v>5851.65</v>
      </c>
      <c r="W37" t="s">
        <v>35</v>
      </c>
      <c r="X37" t="s">
        <v>27</v>
      </c>
      <c r="Y37">
        <v>14</v>
      </c>
      <c r="Z37" t="str">
        <f t="shared" si="11"/>
        <v>Bad Employee</v>
      </c>
      <c r="AA37" t="b">
        <f t="shared" si="12"/>
        <v>0</v>
      </c>
      <c r="AB37" t="b">
        <f>OR(Y37&gt;20, T37&gt;6)</f>
        <v>1</v>
      </c>
      <c r="AC37" t="str">
        <f>IF(OR(Y37&gt;20,T37&gt;6), "Good employee", "Bad Employee")</f>
        <v>Good employee</v>
      </c>
      <c r="AD37" t="s">
        <v>56</v>
      </c>
      <c r="AE37" t="s">
        <v>62</v>
      </c>
      <c r="AF37">
        <v>18</v>
      </c>
      <c r="AG37">
        <v>2014</v>
      </c>
      <c r="AH37" t="s">
        <v>43</v>
      </c>
      <c r="AI37">
        <v>61</v>
      </c>
      <c r="AJ37">
        <v>4.2</v>
      </c>
    </row>
    <row r="38" spans="1:36" x14ac:dyDescent="0.25">
      <c r="A38">
        <v>10037</v>
      </c>
      <c r="B38" t="s">
        <v>31</v>
      </c>
      <c r="C38" t="s">
        <v>65</v>
      </c>
      <c r="D38" t="s">
        <v>39</v>
      </c>
      <c r="E38" t="str">
        <f t="shared" si="0"/>
        <v>Emily Johnson is in IT Department</v>
      </c>
      <c r="F38" s="6" t="str">
        <f t="shared" si="1"/>
        <v>emilyjohnson@gmail.com</v>
      </c>
      <c r="G38">
        <v>73371</v>
      </c>
      <c r="H38" t="str">
        <f t="shared" si="2"/>
        <v>Medium</v>
      </c>
      <c r="I38" s="3">
        <v>41729</v>
      </c>
      <c r="J38">
        <f t="shared" si="3"/>
        <v>2014</v>
      </c>
      <c r="K38">
        <f t="shared" si="4"/>
        <v>3</v>
      </c>
      <c r="L38">
        <f t="shared" si="5"/>
        <v>31</v>
      </c>
      <c r="M38" s="3">
        <f t="shared" ca="1" si="6"/>
        <v>46100</v>
      </c>
      <c r="N38">
        <f t="shared" ca="1" si="7"/>
        <v>4371</v>
      </c>
      <c r="O38">
        <f t="shared" ca="1" si="8"/>
        <v>4371</v>
      </c>
      <c r="P38">
        <f t="shared" ca="1" si="9"/>
        <v>3124</v>
      </c>
      <c r="Q38">
        <v>31</v>
      </c>
      <c r="R38" t="str">
        <f t="shared" si="10"/>
        <v>Old</v>
      </c>
      <c r="S38" t="s">
        <v>24</v>
      </c>
      <c r="T38">
        <v>4</v>
      </c>
      <c r="U38" t="s">
        <v>45</v>
      </c>
      <c r="V38">
        <v>3296.61</v>
      </c>
      <c r="W38" t="s">
        <v>46</v>
      </c>
      <c r="X38" t="s">
        <v>40</v>
      </c>
      <c r="Y38">
        <v>20</v>
      </c>
      <c r="Z38" t="str">
        <f t="shared" si="11"/>
        <v>Bad Employee</v>
      </c>
      <c r="AA38" t="b">
        <f t="shared" si="12"/>
        <v>0</v>
      </c>
      <c r="AB38" t="b">
        <f>OR(Y38&gt;20, T38&gt;6)</f>
        <v>0</v>
      </c>
      <c r="AC38" t="str">
        <f>IF(OR(Y38&gt;20,T38&gt;6), "Good employee", "Bad Employee")</f>
        <v>Bad Employee</v>
      </c>
      <c r="AD38" t="s">
        <v>28</v>
      </c>
      <c r="AE38" t="s">
        <v>48</v>
      </c>
      <c r="AF38">
        <v>18</v>
      </c>
      <c r="AG38">
        <v>2014</v>
      </c>
      <c r="AH38" t="s">
        <v>49</v>
      </c>
      <c r="AI38">
        <v>59</v>
      </c>
      <c r="AJ38">
        <v>3</v>
      </c>
    </row>
    <row r="39" spans="1:36" x14ac:dyDescent="0.25">
      <c r="A39">
        <v>10038</v>
      </c>
      <c r="B39" t="s">
        <v>66</v>
      </c>
      <c r="C39" t="s">
        <v>63</v>
      </c>
      <c r="D39" t="s">
        <v>44</v>
      </c>
      <c r="E39" t="str">
        <f t="shared" si="0"/>
        <v>John Miller is in Sales Department</v>
      </c>
      <c r="F39" s="6" t="str">
        <f t="shared" si="1"/>
        <v>johnmiller@gmail.com</v>
      </c>
      <c r="G39">
        <v>64875</v>
      </c>
      <c r="H39" t="str">
        <f t="shared" si="2"/>
        <v>Medium</v>
      </c>
      <c r="I39" s="3">
        <v>36717</v>
      </c>
      <c r="J39">
        <f t="shared" si="3"/>
        <v>2000</v>
      </c>
      <c r="K39">
        <f t="shared" si="4"/>
        <v>7</v>
      </c>
      <c r="L39">
        <f t="shared" si="5"/>
        <v>10</v>
      </c>
      <c r="M39" s="3">
        <f t="shared" ca="1" si="6"/>
        <v>46100</v>
      </c>
      <c r="N39">
        <f t="shared" ca="1" si="7"/>
        <v>9383</v>
      </c>
      <c r="O39">
        <f t="shared" ca="1" si="8"/>
        <v>9383</v>
      </c>
      <c r="P39">
        <f t="shared" ca="1" si="9"/>
        <v>6704</v>
      </c>
      <c r="Q39">
        <v>59</v>
      </c>
      <c r="R39" t="str">
        <f t="shared" si="10"/>
        <v>Old</v>
      </c>
      <c r="S39" t="s">
        <v>34</v>
      </c>
      <c r="T39">
        <v>9</v>
      </c>
      <c r="U39" t="s">
        <v>25</v>
      </c>
      <c r="V39">
        <v>3373.96</v>
      </c>
      <c r="W39" t="s">
        <v>58</v>
      </c>
      <c r="X39" t="s">
        <v>27</v>
      </c>
      <c r="Y39">
        <v>23</v>
      </c>
      <c r="Z39" t="str">
        <f t="shared" si="11"/>
        <v>Good Employee</v>
      </c>
      <c r="AA39" t="b">
        <f t="shared" si="12"/>
        <v>1</v>
      </c>
      <c r="AB39" t="b">
        <f>OR(Y39&gt;20, T39&gt;6)</f>
        <v>1</v>
      </c>
      <c r="AC39" t="str">
        <f>IF(OR(Y39&gt;20,T39&gt;6), "Good employee", "Bad Employee")</f>
        <v>Good employee</v>
      </c>
      <c r="AD39" t="s">
        <v>56</v>
      </c>
      <c r="AE39" t="s">
        <v>29</v>
      </c>
      <c r="AF39">
        <v>4</v>
      </c>
      <c r="AG39">
        <v>2022</v>
      </c>
      <c r="AH39" t="s">
        <v>49</v>
      </c>
      <c r="AI39">
        <v>57</v>
      </c>
      <c r="AJ39">
        <v>3</v>
      </c>
    </row>
    <row r="40" spans="1:36" x14ac:dyDescent="0.25">
      <c r="A40">
        <v>10039</v>
      </c>
      <c r="B40" t="s">
        <v>66</v>
      </c>
      <c r="C40" t="s">
        <v>57</v>
      </c>
      <c r="D40" t="s">
        <v>33</v>
      </c>
      <c r="E40" t="str">
        <f t="shared" si="0"/>
        <v>John Davis is in Marketing Department</v>
      </c>
      <c r="F40" s="6" t="str">
        <f t="shared" si="1"/>
        <v>johndavis@gmail.com</v>
      </c>
      <c r="G40">
        <v>39465</v>
      </c>
      <c r="H40" t="str">
        <f t="shared" si="2"/>
        <v>extremely low</v>
      </c>
      <c r="I40" s="3">
        <v>36566</v>
      </c>
      <c r="J40">
        <f t="shared" si="3"/>
        <v>2000</v>
      </c>
      <c r="K40">
        <f t="shared" si="4"/>
        <v>2</v>
      </c>
      <c r="L40">
        <f t="shared" si="5"/>
        <v>10</v>
      </c>
      <c r="M40" s="3">
        <f t="shared" ca="1" si="6"/>
        <v>46100</v>
      </c>
      <c r="N40">
        <f t="shared" ca="1" si="7"/>
        <v>9534</v>
      </c>
      <c r="O40">
        <f t="shared" ca="1" si="8"/>
        <v>9534</v>
      </c>
      <c r="P40">
        <f t="shared" ca="1" si="9"/>
        <v>6811</v>
      </c>
      <c r="Q40">
        <v>32</v>
      </c>
      <c r="R40" t="str">
        <f t="shared" si="10"/>
        <v>Old</v>
      </c>
      <c r="S40" t="s">
        <v>34</v>
      </c>
      <c r="T40">
        <v>2</v>
      </c>
      <c r="U40" t="s">
        <v>45</v>
      </c>
      <c r="V40">
        <v>4532.53</v>
      </c>
      <c r="W40" t="s">
        <v>58</v>
      </c>
      <c r="X40" t="s">
        <v>40</v>
      </c>
      <c r="Y40">
        <v>7</v>
      </c>
      <c r="Z40" t="str">
        <f t="shared" si="11"/>
        <v>Bad Employee</v>
      </c>
      <c r="AA40" t="b">
        <f t="shared" si="12"/>
        <v>0</v>
      </c>
      <c r="AB40" t="b">
        <f>OR(Y40&gt;20, T40&gt;6)</f>
        <v>0</v>
      </c>
      <c r="AC40" t="str">
        <f>IF(OR(Y40&gt;20,T40&gt;6), "Good employee", "Bad Employee")</f>
        <v>Bad Employee</v>
      </c>
      <c r="AD40" t="s">
        <v>28</v>
      </c>
      <c r="AE40" t="s">
        <v>37</v>
      </c>
      <c r="AF40">
        <v>2</v>
      </c>
      <c r="AG40">
        <v>2020</v>
      </c>
      <c r="AH40" t="s">
        <v>43</v>
      </c>
      <c r="AI40">
        <v>93</v>
      </c>
      <c r="AJ40">
        <v>2.7</v>
      </c>
    </row>
    <row r="41" spans="1:36" x14ac:dyDescent="0.25">
      <c r="A41">
        <v>10040</v>
      </c>
      <c r="B41" t="s">
        <v>50</v>
      </c>
      <c r="C41" t="s">
        <v>51</v>
      </c>
      <c r="D41" t="s">
        <v>44</v>
      </c>
      <c r="E41" t="str">
        <f t="shared" si="0"/>
        <v>Alex Brown is in Sales Department</v>
      </c>
      <c r="F41" s="6" t="str">
        <f t="shared" si="1"/>
        <v>alexbrown@gmail.com</v>
      </c>
      <c r="G41">
        <v>96095</v>
      </c>
      <c r="H41" t="str">
        <f t="shared" si="2"/>
        <v>High</v>
      </c>
      <c r="I41" s="3">
        <v>42509</v>
      </c>
      <c r="J41">
        <f t="shared" si="3"/>
        <v>2016</v>
      </c>
      <c r="K41">
        <f t="shared" si="4"/>
        <v>5</v>
      </c>
      <c r="L41">
        <f t="shared" si="5"/>
        <v>19</v>
      </c>
      <c r="M41" s="3">
        <f t="shared" ca="1" si="6"/>
        <v>46100</v>
      </c>
      <c r="N41">
        <f t="shared" ca="1" si="7"/>
        <v>3591</v>
      </c>
      <c r="O41">
        <f t="shared" ca="1" si="8"/>
        <v>3591</v>
      </c>
      <c r="P41">
        <f t="shared" ca="1" si="9"/>
        <v>2566</v>
      </c>
      <c r="Q41">
        <v>25</v>
      </c>
      <c r="R41" t="str">
        <f t="shared" si="10"/>
        <v>Young</v>
      </c>
      <c r="S41" t="s">
        <v>34</v>
      </c>
      <c r="T41">
        <v>6</v>
      </c>
      <c r="U41" t="s">
        <v>25</v>
      </c>
      <c r="V41">
        <v>3484.38</v>
      </c>
      <c r="W41" t="s">
        <v>35</v>
      </c>
      <c r="X41" t="s">
        <v>40</v>
      </c>
      <c r="Y41">
        <v>14</v>
      </c>
      <c r="Z41" t="str">
        <f t="shared" si="11"/>
        <v>Bad Employee</v>
      </c>
      <c r="AA41" t="b">
        <f t="shared" si="12"/>
        <v>0</v>
      </c>
      <c r="AB41" t="b">
        <f>OR(Y41&gt;20, T41&gt;6)</f>
        <v>0</v>
      </c>
      <c r="AC41" t="str">
        <f>IF(OR(Y41&gt;20,T41&gt;6), "Good employee", "Bad Employee")</f>
        <v>Bad Employee</v>
      </c>
      <c r="AD41" t="s">
        <v>41</v>
      </c>
      <c r="AE41" t="s">
        <v>59</v>
      </c>
      <c r="AF41">
        <v>9</v>
      </c>
      <c r="AG41">
        <v>2017</v>
      </c>
      <c r="AH41" t="s">
        <v>30</v>
      </c>
      <c r="AI41">
        <v>23</v>
      </c>
      <c r="AJ41">
        <v>1.9</v>
      </c>
    </row>
    <row r="42" spans="1:36" x14ac:dyDescent="0.25">
      <c r="A42">
        <v>10041</v>
      </c>
      <c r="B42" t="s">
        <v>50</v>
      </c>
      <c r="C42" t="s">
        <v>65</v>
      </c>
      <c r="D42" t="s">
        <v>54</v>
      </c>
      <c r="E42" t="str">
        <f t="shared" si="0"/>
        <v>Alex Johnson is in Finance Department</v>
      </c>
      <c r="F42" s="6" t="str">
        <f t="shared" si="1"/>
        <v>alexjohnson@gmail.com</v>
      </c>
      <c r="G42">
        <v>103844</v>
      </c>
      <c r="H42" t="str">
        <f t="shared" si="2"/>
        <v>High</v>
      </c>
      <c r="I42" s="3">
        <v>38385</v>
      </c>
      <c r="J42">
        <f t="shared" si="3"/>
        <v>2005</v>
      </c>
      <c r="K42">
        <f t="shared" si="4"/>
        <v>2</v>
      </c>
      <c r="L42">
        <f t="shared" si="5"/>
        <v>2</v>
      </c>
      <c r="M42" s="3">
        <f t="shared" ca="1" si="6"/>
        <v>46100</v>
      </c>
      <c r="N42">
        <f t="shared" ca="1" si="7"/>
        <v>7715</v>
      </c>
      <c r="O42">
        <f t="shared" ca="1" si="8"/>
        <v>7715</v>
      </c>
      <c r="P42">
        <f t="shared" ca="1" si="9"/>
        <v>5512</v>
      </c>
      <c r="Q42">
        <v>52</v>
      </c>
      <c r="R42" t="str">
        <f t="shared" si="10"/>
        <v>Old</v>
      </c>
      <c r="S42" t="s">
        <v>24</v>
      </c>
      <c r="T42">
        <v>4</v>
      </c>
      <c r="U42" t="s">
        <v>25</v>
      </c>
      <c r="V42">
        <v>9195.65</v>
      </c>
      <c r="W42" t="s">
        <v>26</v>
      </c>
      <c r="X42" t="s">
        <v>40</v>
      </c>
      <c r="Y42">
        <v>37</v>
      </c>
      <c r="Z42" t="str">
        <f t="shared" si="11"/>
        <v>Bad Employee</v>
      </c>
      <c r="AA42" t="b">
        <f t="shared" si="12"/>
        <v>0</v>
      </c>
      <c r="AB42" t="b">
        <f>OR(Y42&gt;20, T42&gt;6)</f>
        <v>1</v>
      </c>
      <c r="AC42" t="str">
        <f>IF(OR(Y42&gt;20,T42&gt;6), "Good employee", "Bad Employee")</f>
        <v>Good employee</v>
      </c>
      <c r="AD42" t="s">
        <v>56</v>
      </c>
      <c r="AE42" t="s">
        <v>29</v>
      </c>
      <c r="AF42">
        <v>14</v>
      </c>
      <c r="AG42">
        <v>2014</v>
      </c>
      <c r="AH42" t="s">
        <v>43</v>
      </c>
      <c r="AI42">
        <v>113</v>
      </c>
      <c r="AJ42">
        <v>4.7</v>
      </c>
    </row>
    <row r="43" spans="1:36" x14ac:dyDescent="0.25">
      <c r="A43">
        <v>10042</v>
      </c>
      <c r="B43" t="s">
        <v>21</v>
      </c>
      <c r="C43" t="s">
        <v>61</v>
      </c>
      <c r="D43" t="s">
        <v>44</v>
      </c>
      <c r="E43" t="str">
        <f t="shared" si="0"/>
        <v>Michael Smith is in Sales Department</v>
      </c>
      <c r="F43" s="6" t="str">
        <f t="shared" si="1"/>
        <v>michaelsmith@gmail.com</v>
      </c>
      <c r="G43">
        <v>95250</v>
      </c>
      <c r="H43" t="str">
        <f t="shared" si="2"/>
        <v>High</v>
      </c>
      <c r="I43" s="3">
        <v>42418</v>
      </c>
      <c r="J43">
        <f t="shared" si="3"/>
        <v>2016</v>
      </c>
      <c r="K43">
        <f t="shared" si="4"/>
        <v>2</v>
      </c>
      <c r="L43">
        <f t="shared" si="5"/>
        <v>18</v>
      </c>
      <c r="M43" s="3">
        <f t="shared" ca="1" si="6"/>
        <v>46100</v>
      </c>
      <c r="N43">
        <f t="shared" ca="1" si="7"/>
        <v>3682</v>
      </c>
      <c r="O43">
        <f t="shared" ca="1" si="8"/>
        <v>3682</v>
      </c>
      <c r="P43">
        <f t="shared" ca="1" si="9"/>
        <v>2631</v>
      </c>
      <c r="Q43">
        <v>55</v>
      </c>
      <c r="R43" t="str">
        <f t="shared" si="10"/>
        <v>Old</v>
      </c>
      <c r="S43" t="s">
        <v>34</v>
      </c>
      <c r="T43">
        <v>6</v>
      </c>
      <c r="U43" t="s">
        <v>45</v>
      </c>
      <c r="V43">
        <v>898.57</v>
      </c>
      <c r="W43" t="s">
        <v>58</v>
      </c>
      <c r="X43" t="s">
        <v>55</v>
      </c>
      <c r="Y43">
        <v>8</v>
      </c>
      <c r="Z43" t="str">
        <f t="shared" si="11"/>
        <v>Bad Employee</v>
      </c>
      <c r="AA43" t="b">
        <f t="shared" si="12"/>
        <v>0</v>
      </c>
      <c r="AB43" t="b">
        <f>OR(Y43&gt;20, T43&gt;6)</f>
        <v>0</v>
      </c>
      <c r="AC43" t="str">
        <f>IF(OR(Y43&gt;20,T43&gt;6), "Good employee", "Bad Employee")</f>
        <v>Bad Employee</v>
      </c>
      <c r="AD43" t="s">
        <v>41</v>
      </c>
      <c r="AE43" t="s">
        <v>59</v>
      </c>
      <c r="AF43">
        <v>1</v>
      </c>
      <c r="AG43">
        <v>2015</v>
      </c>
      <c r="AH43" t="s">
        <v>49</v>
      </c>
      <c r="AI43">
        <v>145</v>
      </c>
      <c r="AJ43">
        <v>2.2999999999999998</v>
      </c>
    </row>
    <row r="44" spans="1:36" x14ac:dyDescent="0.25">
      <c r="A44">
        <v>10043</v>
      </c>
      <c r="B44" t="s">
        <v>60</v>
      </c>
      <c r="C44" t="s">
        <v>22</v>
      </c>
      <c r="D44" t="s">
        <v>39</v>
      </c>
      <c r="E44" t="str">
        <f t="shared" si="0"/>
        <v>Jane Williams is in IT Department</v>
      </c>
      <c r="F44" s="6" t="str">
        <f t="shared" si="1"/>
        <v>janewilliams@gmail.com</v>
      </c>
      <c r="G44">
        <v>116889</v>
      </c>
      <c r="H44" t="str">
        <f t="shared" si="2"/>
        <v>High</v>
      </c>
      <c r="I44" s="3">
        <v>37858</v>
      </c>
      <c r="J44">
        <f t="shared" si="3"/>
        <v>2003</v>
      </c>
      <c r="K44">
        <f t="shared" si="4"/>
        <v>8</v>
      </c>
      <c r="L44">
        <f t="shared" si="5"/>
        <v>25</v>
      </c>
      <c r="M44" s="3">
        <f t="shared" ca="1" si="6"/>
        <v>46100</v>
      </c>
      <c r="N44">
        <f t="shared" ca="1" si="7"/>
        <v>8242</v>
      </c>
      <c r="O44">
        <f t="shared" ca="1" si="8"/>
        <v>8242</v>
      </c>
      <c r="P44">
        <f t="shared" ca="1" si="9"/>
        <v>5889</v>
      </c>
      <c r="Q44">
        <v>63</v>
      </c>
      <c r="R44" t="str">
        <f t="shared" si="10"/>
        <v>Old</v>
      </c>
      <c r="S44" t="s">
        <v>34</v>
      </c>
      <c r="T44">
        <v>9</v>
      </c>
      <c r="U44" t="s">
        <v>25</v>
      </c>
      <c r="V44">
        <v>2728.42</v>
      </c>
      <c r="W44" t="s">
        <v>26</v>
      </c>
      <c r="X44" t="s">
        <v>47</v>
      </c>
      <c r="Y44">
        <v>5</v>
      </c>
      <c r="Z44" t="str">
        <f t="shared" si="11"/>
        <v>Bad Employee</v>
      </c>
      <c r="AA44" t="b">
        <f t="shared" si="12"/>
        <v>0</v>
      </c>
      <c r="AB44" t="b">
        <f>OR(Y44&gt;20, T44&gt;6)</f>
        <v>1</v>
      </c>
      <c r="AC44" t="str">
        <f>IF(OR(Y44&gt;20,T44&gt;6), "Good employee", "Bad Employee")</f>
        <v>Good employee</v>
      </c>
      <c r="AD44" t="s">
        <v>41</v>
      </c>
      <c r="AE44" t="s">
        <v>29</v>
      </c>
      <c r="AF44">
        <v>9</v>
      </c>
      <c r="AG44">
        <v>2012</v>
      </c>
      <c r="AH44" t="s">
        <v>30</v>
      </c>
      <c r="AI44">
        <v>33</v>
      </c>
      <c r="AJ44">
        <v>3.3</v>
      </c>
    </row>
    <row r="45" spans="1:36" x14ac:dyDescent="0.25">
      <c r="A45">
        <v>10044</v>
      </c>
      <c r="B45" t="s">
        <v>53</v>
      </c>
      <c r="C45" t="s">
        <v>63</v>
      </c>
      <c r="D45" t="s">
        <v>33</v>
      </c>
      <c r="E45" t="str">
        <f t="shared" si="0"/>
        <v>Sarah Miller is in Marketing Department</v>
      </c>
      <c r="F45" s="6" t="str">
        <f t="shared" si="1"/>
        <v>sarahmiller@gmail.com</v>
      </c>
      <c r="G45">
        <v>45250</v>
      </c>
      <c r="H45" t="str">
        <f t="shared" si="2"/>
        <v>low</v>
      </c>
      <c r="I45" s="3">
        <v>39975</v>
      </c>
      <c r="J45">
        <f t="shared" si="3"/>
        <v>2009</v>
      </c>
      <c r="K45">
        <f t="shared" si="4"/>
        <v>6</v>
      </c>
      <c r="L45">
        <f t="shared" si="5"/>
        <v>11</v>
      </c>
      <c r="M45" s="3">
        <f t="shared" ca="1" si="6"/>
        <v>46100</v>
      </c>
      <c r="N45">
        <f t="shared" ca="1" si="7"/>
        <v>6125</v>
      </c>
      <c r="O45">
        <f t="shared" ca="1" si="8"/>
        <v>6125</v>
      </c>
      <c r="P45">
        <f t="shared" ca="1" si="9"/>
        <v>4376</v>
      </c>
      <c r="Q45">
        <v>56</v>
      </c>
      <c r="R45" t="str">
        <f t="shared" si="10"/>
        <v>Old</v>
      </c>
      <c r="S45" t="s">
        <v>24</v>
      </c>
      <c r="T45">
        <v>9</v>
      </c>
      <c r="U45" t="s">
        <v>25</v>
      </c>
      <c r="V45">
        <v>8181.25</v>
      </c>
      <c r="W45" t="s">
        <v>46</v>
      </c>
      <c r="X45" t="s">
        <v>55</v>
      </c>
      <c r="Y45">
        <v>23</v>
      </c>
      <c r="Z45" t="str">
        <f t="shared" si="11"/>
        <v>Good Employee</v>
      </c>
      <c r="AA45" t="b">
        <f t="shared" si="12"/>
        <v>1</v>
      </c>
      <c r="AB45" t="b">
        <f>OR(Y45&gt;20, T45&gt;6)</f>
        <v>1</v>
      </c>
      <c r="AC45" t="str">
        <f>IF(OR(Y45&gt;20,T45&gt;6), "Good employee", "Bad Employee")</f>
        <v>Good employee</v>
      </c>
      <c r="AD45" t="s">
        <v>56</v>
      </c>
      <c r="AE45" t="s">
        <v>62</v>
      </c>
      <c r="AF45">
        <v>15</v>
      </c>
      <c r="AG45">
        <v>2023</v>
      </c>
      <c r="AH45" t="s">
        <v>43</v>
      </c>
      <c r="AI45">
        <v>138</v>
      </c>
      <c r="AJ45">
        <v>1.6</v>
      </c>
    </row>
    <row r="46" spans="1:36" x14ac:dyDescent="0.25">
      <c r="A46">
        <v>10045</v>
      </c>
      <c r="B46" t="s">
        <v>31</v>
      </c>
      <c r="C46" t="s">
        <v>61</v>
      </c>
      <c r="D46" t="s">
        <v>54</v>
      </c>
      <c r="E46" t="str">
        <f t="shared" si="0"/>
        <v>Emily Smith is in Finance Department</v>
      </c>
      <c r="F46" s="6" t="str">
        <f t="shared" si="1"/>
        <v>emilysmith@gmail.com</v>
      </c>
      <c r="G46">
        <v>76023</v>
      </c>
      <c r="H46" t="str">
        <f t="shared" si="2"/>
        <v>Medium</v>
      </c>
      <c r="I46" s="3">
        <v>36661</v>
      </c>
      <c r="J46">
        <f t="shared" si="3"/>
        <v>2000</v>
      </c>
      <c r="K46">
        <f t="shared" si="4"/>
        <v>5</v>
      </c>
      <c r="L46">
        <f t="shared" si="5"/>
        <v>15</v>
      </c>
      <c r="M46" s="3">
        <f t="shared" ca="1" si="6"/>
        <v>46100</v>
      </c>
      <c r="N46">
        <f t="shared" ca="1" si="7"/>
        <v>9439</v>
      </c>
      <c r="O46">
        <f t="shared" ca="1" si="8"/>
        <v>9439</v>
      </c>
      <c r="P46">
        <f t="shared" ca="1" si="9"/>
        <v>6744</v>
      </c>
      <c r="Q46">
        <v>60</v>
      </c>
      <c r="R46" t="str">
        <f t="shared" si="10"/>
        <v>Old</v>
      </c>
      <c r="S46" t="s">
        <v>24</v>
      </c>
      <c r="T46">
        <v>9</v>
      </c>
      <c r="U46" t="s">
        <v>45</v>
      </c>
      <c r="V46">
        <v>8422.6</v>
      </c>
      <c r="W46" t="s">
        <v>35</v>
      </c>
      <c r="X46" t="s">
        <v>47</v>
      </c>
      <c r="Y46">
        <v>10</v>
      </c>
      <c r="Z46" t="str">
        <f t="shared" si="11"/>
        <v>Bad Employee</v>
      </c>
      <c r="AA46" t="b">
        <f t="shared" si="12"/>
        <v>0</v>
      </c>
      <c r="AB46" t="b">
        <f>OR(Y46&gt;20, T46&gt;6)</f>
        <v>1</v>
      </c>
      <c r="AC46" t="str">
        <f>IF(OR(Y46&gt;20,T46&gt;6), "Good employee", "Bad Employee")</f>
        <v>Good employee</v>
      </c>
      <c r="AD46" t="s">
        <v>56</v>
      </c>
      <c r="AE46" t="s">
        <v>62</v>
      </c>
      <c r="AF46">
        <v>2</v>
      </c>
      <c r="AG46">
        <v>2014</v>
      </c>
      <c r="AH46" t="s">
        <v>43</v>
      </c>
      <c r="AI46">
        <v>124</v>
      </c>
      <c r="AJ46">
        <v>2.7</v>
      </c>
    </row>
    <row r="47" spans="1:36" x14ac:dyDescent="0.25">
      <c r="A47">
        <v>10046</v>
      </c>
      <c r="B47" t="s">
        <v>31</v>
      </c>
      <c r="C47" t="s">
        <v>63</v>
      </c>
      <c r="D47" t="s">
        <v>39</v>
      </c>
      <c r="E47" t="str">
        <f t="shared" si="0"/>
        <v>Emily Miller is in IT Department</v>
      </c>
      <c r="F47" s="6" t="str">
        <f t="shared" si="1"/>
        <v>emilymiller@gmail.com</v>
      </c>
      <c r="G47">
        <v>76624</v>
      </c>
      <c r="H47" t="str">
        <f t="shared" si="2"/>
        <v>Medium</v>
      </c>
      <c r="I47" s="3">
        <v>42435</v>
      </c>
      <c r="J47">
        <f t="shared" si="3"/>
        <v>2016</v>
      </c>
      <c r="K47">
        <f t="shared" si="4"/>
        <v>3</v>
      </c>
      <c r="L47">
        <f t="shared" si="5"/>
        <v>6</v>
      </c>
      <c r="M47" s="3">
        <f t="shared" ca="1" si="6"/>
        <v>46100</v>
      </c>
      <c r="N47">
        <f t="shared" ca="1" si="7"/>
        <v>3665</v>
      </c>
      <c r="O47">
        <f t="shared" ca="1" si="8"/>
        <v>3665</v>
      </c>
      <c r="P47">
        <f t="shared" ca="1" si="9"/>
        <v>2619</v>
      </c>
      <c r="Q47">
        <v>60</v>
      </c>
      <c r="R47" t="str">
        <f t="shared" si="10"/>
        <v>Old</v>
      </c>
      <c r="S47" t="s">
        <v>34</v>
      </c>
      <c r="T47">
        <v>9</v>
      </c>
      <c r="U47" t="s">
        <v>45</v>
      </c>
      <c r="V47">
        <v>1559.77</v>
      </c>
      <c r="W47" t="s">
        <v>46</v>
      </c>
      <c r="X47" t="s">
        <v>55</v>
      </c>
      <c r="Y47">
        <v>27</v>
      </c>
      <c r="Z47" t="str">
        <f t="shared" si="11"/>
        <v>Good Employee</v>
      </c>
      <c r="AA47" t="b">
        <f t="shared" si="12"/>
        <v>1</v>
      </c>
      <c r="AB47" t="b">
        <f>OR(Y47&gt;20, T47&gt;6)</f>
        <v>1</v>
      </c>
      <c r="AC47" t="str">
        <f>IF(OR(Y47&gt;20,T47&gt;6), "Good employee", "Bad Employee")</f>
        <v>Good employee</v>
      </c>
      <c r="AD47" t="s">
        <v>41</v>
      </c>
      <c r="AE47" t="s">
        <v>42</v>
      </c>
      <c r="AF47">
        <v>6</v>
      </c>
      <c r="AG47">
        <v>2023</v>
      </c>
      <c r="AH47" t="s">
        <v>30</v>
      </c>
      <c r="AI47">
        <v>133</v>
      </c>
      <c r="AJ47">
        <v>4.5999999999999996</v>
      </c>
    </row>
    <row r="48" spans="1:36" x14ac:dyDescent="0.25">
      <c r="A48">
        <v>10047</v>
      </c>
      <c r="B48" t="s">
        <v>53</v>
      </c>
      <c r="C48" t="s">
        <v>32</v>
      </c>
      <c r="D48" t="s">
        <v>23</v>
      </c>
      <c r="E48" t="str">
        <f t="shared" si="0"/>
        <v>Sarah Wilson is in HR Department</v>
      </c>
      <c r="F48" s="6" t="str">
        <f t="shared" si="1"/>
        <v>sarahwilson@gmail.com</v>
      </c>
      <c r="G48">
        <v>46427</v>
      </c>
      <c r="H48" t="str">
        <f t="shared" si="2"/>
        <v>low</v>
      </c>
      <c r="I48" s="3">
        <v>40727</v>
      </c>
      <c r="J48">
        <f t="shared" si="3"/>
        <v>2011</v>
      </c>
      <c r="K48">
        <f t="shared" si="4"/>
        <v>7</v>
      </c>
      <c r="L48">
        <f t="shared" si="5"/>
        <v>3</v>
      </c>
      <c r="M48" s="3">
        <f t="shared" ca="1" si="6"/>
        <v>46100</v>
      </c>
      <c r="N48">
        <f t="shared" ca="1" si="7"/>
        <v>5373</v>
      </c>
      <c r="O48">
        <f t="shared" ca="1" si="8"/>
        <v>5373</v>
      </c>
      <c r="P48">
        <f t="shared" ca="1" si="9"/>
        <v>3839</v>
      </c>
      <c r="Q48">
        <v>54</v>
      </c>
      <c r="R48" t="str">
        <f t="shared" si="10"/>
        <v>Old</v>
      </c>
      <c r="S48" t="s">
        <v>24</v>
      </c>
      <c r="T48">
        <v>3</v>
      </c>
      <c r="U48" t="s">
        <v>25</v>
      </c>
      <c r="V48">
        <v>9750.75</v>
      </c>
      <c r="W48" t="s">
        <v>26</v>
      </c>
      <c r="X48" t="s">
        <v>47</v>
      </c>
      <c r="Y48">
        <v>35</v>
      </c>
      <c r="Z48" t="str">
        <f t="shared" si="11"/>
        <v>Bad Employee</v>
      </c>
      <c r="AA48" t="b">
        <f t="shared" si="12"/>
        <v>0</v>
      </c>
      <c r="AB48" t="b">
        <f>OR(Y48&gt;20, T48&gt;6)</f>
        <v>1</v>
      </c>
      <c r="AC48" t="str">
        <f>IF(OR(Y48&gt;20,T48&gt;6), "Good employee", "Bad Employee")</f>
        <v>Good employee</v>
      </c>
      <c r="AD48" t="s">
        <v>41</v>
      </c>
      <c r="AE48" t="s">
        <v>42</v>
      </c>
      <c r="AF48">
        <v>18</v>
      </c>
      <c r="AG48">
        <v>2018</v>
      </c>
      <c r="AH48" t="s">
        <v>30</v>
      </c>
      <c r="AI48">
        <v>156</v>
      </c>
      <c r="AJ48">
        <v>5</v>
      </c>
    </row>
    <row r="49" spans="1:36" x14ac:dyDescent="0.25">
      <c r="A49">
        <v>10048</v>
      </c>
      <c r="B49" t="s">
        <v>21</v>
      </c>
      <c r="C49" t="s">
        <v>22</v>
      </c>
      <c r="D49" t="s">
        <v>52</v>
      </c>
      <c r="E49" t="str">
        <f t="shared" si="0"/>
        <v>Michael Williams is in Operations Department</v>
      </c>
      <c r="F49" s="6" t="str">
        <f t="shared" si="1"/>
        <v>michaelwilliams@gmail.com</v>
      </c>
      <c r="G49">
        <v>63276</v>
      </c>
      <c r="H49" t="str">
        <f t="shared" si="2"/>
        <v>Medium</v>
      </c>
      <c r="I49" s="3">
        <v>41140</v>
      </c>
      <c r="J49">
        <f t="shared" si="3"/>
        <v>2012</v>
      </c>
      <c r="K49">
        <f t="shared" si="4"/>
        <v>8</v>
      </c>
      <c r="L49">
        <f t="shared" si="5"/>
        <v>19</v>
      </c>
      <c r="M49" s="3">
        <f t="shared" ca="1" si="6"/>
        <v>46100</v>
      </c>
      <c r="N49">
        <f t="shared" ca="1" si="7"/>
        <v>4960</v>
      </c>
      <c r="O49">
        <f t="shared" ca="1" si="8"/>
        <v>4960</v>
      </c>
      <c r="P49">
        <f t="shared" ca="1" si="9"/>
        <v>3544</v>
      </c>
      <c r="Q49">
        <v>29</v>
      </c>
      <c r="R49" t="str">
        <f t="shared" si="10"/>
        <v>Young</v>
      </c>
      <c r="S49" t="s">
        <v>24</v>
      </c>
      <c r="T49">
        <v>9</v>
      </c>
      <c r="U49" t="s">
        <v>25</v>
      </c>
      <c r="V49">
        <v>7086.87</v>
      </c>
      <c r="W49" t="s">
        <v>26</v>
      </c>
      <c r="X49" t="s">
        <v>40</v>
      </c>
      <c r="Y49">
        <v>1</v>
      </c>
      <c r="Z49" t="str">
        <f t="shared" si="11"/>
        <v>Bad Employee</v>
      </c>
      <c r="AA49" t="b">
        <f t="shared" si="12"/>
        <v>0</v>
      </c>
      <c r="AB49" t="b">
        <f>OR(Y49&gt;20, T49&gt;6)</f>
        <v>1</v>
      </c>
      <c r="AC49" t="str">
        <f>IF(OR(Y49&gt;20,T49&gt;6), "Good employee", "Bad Employee")</f>
        <v>Good employee</v>
      </c>
      <c r="AD49" t="s">
        <v>41</v>
      </c>
      <c r="AE49" t="s">
        <v>42</v>
      </c>
      <c r="AF49">
        <v>14</v>
      </c>
      <c r="AG49">
        <v>2012</v>
      </c>
      <c r="AH49" t="s">
        <v>49</v>
      </c>
      <c r="AI49">
        <v>78</v>
      </c>
      <c r="AJ49">
        <v>2.4</v>
      </c>
    </row>
    <row r="50" spans="1:36" x14ac:dyDescent="0.25">
      <c r="A50">
        <v>10049</v>
      </c>
      <c r="B50" t="s">
        <v>64</v>
      </c>
      <c r="C50" t="s">
        <v>22</v>
      </c>
      <c r="D50" t="s">
        <v>54</v>
      </c>
      <c r="E50" t="str">
        <f t="shared" si="0"/>
        <v>Katie Williams is in Finance Department</v>
      </c>
      <c r="F50" s="6" t="str">
        <f t="shared" si="1"/>
        <v>katiewilliams@gmail.com</v>
      </c>
      <c r="G50">
        <v>101643</v>
      </c>
      <c r="H50" t="str">
        <f t="shared" si="2"/>
        <v>High</v>
      </c>
      <c r="I50" s="3">
        <v>38467</v>
      </c>
      <c r="J50">
        <f t="shared" si="3"/>
        <v>2005</v>
      </c>
      <c r="K50">
        <f t="shared" si="4"/>
        <v>4</v>
      </c>
      <c r="L50">
        <f t="shared" si="5"/>
        <v>25</v>
      </c>
      <c r="M50" s="3">
        <f t="shared" ca="1" si="6"/>
        <v>46100</v>
      </c>
      <c r="N50">
        <f t="shared" ca="1" si="7"/>
        <v>7633</v>
      </c>
      <c r="O50">
        <f t="shared" ca="1" si="8"/>
        <v>7633</v>
      </c>
      <c r="P50">
        <f t="shared" ca="1" si="9"/>
        <v>5454</v>
      </c>
      <c r="Q50">
        <v>53</v>
      </c>
      <c r="R50" t="str">
        <f t="shared" si="10"/>
        <v>Old</v>
      </c>
      <c r="S50" t="s">
        <v>34</v>
      </c>
      <c r="T50">
        <v>3</v>
      </c>
      <c r="U50" t="s">
        <v>25</v>
      </c>
      <c r="V50">
        <v>3089.63</v>
      </c>
      <c r="W50" t="s">
        <v>35</v>
      </c>
      <c r="X50" t="s">
        <v>40</v>
      </c>
      <c r="Y50">
        <v>7</v>
      </c>
      <c r="Z50" t="str">
        <f t="shared" si="11"/>
        <v>Bad Employee</v>
      </c>
      <c r="AA50" t="b">
        <f t="shared" si="12"/>
        <v>0</v>
      </c>
      <c r="AB50" t="b">
        <f>OR(Y50&gt;20, T50&gt;6)</f>
        <v>0</v>
      </c>
      <c r="AC50" t="str">
        <f>IF(OR(Y50&gt;20,T50&gt;6), "Good employee", "Bad Employee")</f>
        <v>Bad Employee</v>
      </c>
      <c r="AD50" t="s">
        <v>28</v>
      </c>
      <c r="AE50" t="s">
        <v>48</v>
      </c>
      <c r="AF50">
        <v>11</v>
      </c>
      <c r="AG50">
        <v>2017</v>
      </c>
      <c r="AH50" t="s">
        <v>43</v>
      </c>
      <c r="AI50">
        <v>103</v>
      </c>
      <c r="AJ50">
        <v>1.6</v>
      </c>
    </row>
    <row r="51" spans="1:36" x14ac:dyDescent="0.25">
      <c r="A51">
        <v>10050</v>
      </c>
      <c r="B51" t="s">
        <v>64</v>
      </c>
      <c r="C51" t="s">
        <v>65</v>
      </c>
      <c r="D51" t="s">
        <v>33</v>
      </c>
      <c r="E51" t="str">
        <f t="shared" si="0"/>
        <v>Katie Johnson is in Marketing Department</v>
      </c>
      <c r="F51" s="6" t="str">
        <f t="shared" si="1"/>
        <v>katiejohnson@gmail.com</v>
      </c>
      <c r="G51">
        <v>109012</v>
      </c>
      <c r="H51" t="str">
        <f t="shared" si="2"/>
        <v>High</v>
      </c>
      <c r="I51" s="3">
        <v>43483</v>
      </c>
      <c r="J51">
        <f t="shared" si="3"/>
        <v>2019</v>
      </c>
      <c r="K51">
        <f t="shared" si="4"/>
        <v>1</v>
      </c>
      <c r="L51">
        <f t="shared" si="5"/>
        <v>18</v>
      </c>
      <c r="M51" s="3">
        <f t="shared" ca="1" si="6"/>
        <v>46100</v>
      </c>
      <c r="N51">
        <f t="shared" ca="1" si="7"/>
        <v>2617</v>
      </c>
      <c r="O51">
        <f t="shared" ca="1" si="8"/>
        <v>2617</v>
      </c>
      <c r="P51">
        <f t="shared" ca="1" si="9"/>
        <v>1870</v>
      </c>
      <c r="Q51">
        <v>54</v>
      </c>
      <c r="R51" t="str">
        <f t="shared" si="10"/>
        <v>Old</v>
      </c>
      <c r="S51" t="s">
        <v>34</v>
      </c>
      <c r="T51">
        <v>3</v>
      </c>
      <c r="U51" t="s">
        <v>25</v>
      </c>
      <c r="V51">
        <v>4832.3599999999997</v>
      </c>
      <c r="W51" t="s">
        <v>26</v>
      </c>
      <c r="X51" t="s">
        <v>47</v>
      </c>
      <c r="Y51">
        <v>8</v>
      </c>
      <c r="Z51" t="str">
        <f t="shared" si="11"/>
        <v>Bad Employee</v>
      </c>
      <c r="AA51" t="b">
        <f t="shared" si="12"/>
        <v>0</v>
      </c>
      <c r="AB51" t="b">
        <f>OR(Y51&gt;20, T51&gt;6)</f>
        <v>0</v>
      </c>
      <c r="AC51" t="str">
        <f>IF(OR(Y51&gt;20,T51&gt;6), "Good employee", "Bad Employee")</f>
        <v>Bad Employee</v>
      </c>
      <c r="AD51" t="s">
        <v>41</v>
      </c>
      <c r="AE51" t="s">
        <v>59</v>
      </c>
      <c r="AF51">
        <v>1</v>
      </c>
      <c r="AG51">
        <v>2020</v>
      </c>
      <c r="AH51" t="s">
        <v>49</v>
      </c>
      <c r="AI51">
        <v>10</v>
      </c>
      <c r="AJ51">
        <v>2.2999999999999998</v>
      </c>
    </row>
    <row r="52" spans="1:36" x14ac:dyDescent="0.25">
      <c r="A52">
        <v>10051</v>
      </c>
      <c r="B52" t="s">
        <v>21</v>
      </c>
      <c r="C52" t="s">
        <v>65</v>
      </c>
      <c r="D52" t="s">
        <v>44</v>
      </c>
      <c r="E52" t="str">
        <f t="shared" si="0"/>
        <v>Michael Johnson is in Sales Department</v>
      </c>
      <c r="F52" s="6" t="str">
        <f t="shared" si="1"/>
        <v>michaeljohnson@gmail.com</v>
      </c>
      <c r="G52">
        <v>33439</v>
      </c>
      <c r="H52" t="str">
        <f t="shared" si="2"/>
        <v>extremely low</v>
      </c>
      <c r="I52" s="3">
        <v>38091</v>
      </c>
      <c r="J52">
        <f t="shared" si="3"/>
        <v>2004</v>
      </c>
      <c r="K52">
        <f t="shared" si="4"/>
        <v>4</v>
      </c>
      <c r="L52">
        <f t="shared" si="5"/>
        <v>14</v>
      </c>
      <c r="M52" s="3">
        <f t="shared" ca="1" si="6"/>
        <v>46100</v>
      </c>
      <c r="N52">
        <f t="shared" ca="1" si="7"/>
        <v>8009</v>
      </c>
      <c r="O52">
        <f t="shared" ca="1" si="8"/>
        <v>8009</v>
      </c>
      <c r="P52">
        <f t="shared" ca="1" si="9"/>
        <v>5722</v>
      </c>
      <c r="Q52">
        <v>29</v>
      </c>
      <c r="R52" t="str">
        <f t="shared" si="10"/>
        <v>Young</v>
      </c>
      <c r="S52" t="s">
        <v>34</v>
      </c>
      <c r="T52">
        <v>5</v>
      </c>
      <c r="U52" t="s">
        <v>25</v>
      </c>
      <c r="V52">
        <v>3322.82</v>
      </c>
      <c r="W52" t="s">
        <v>35</v>
      </c>
      <c r="X52" t="s">
        <v>47</v>
      </c>
      <c r="Y52">
        <v>11</v>
      </c>
      <c r="Z52" t="str">
        <f t="shared" si="11"/>
        <v>Bad Employee</v>
      </c>
      <c r="AA52" t="b">
        <f t="shared" si="12"/>
        <v>0</v>
      </c>
      <c r="AB52" t="b">
        <f>OR(Y52&gt;20, T52&gt;6)</f>
        <v>0</v>
      </c>
      <c r="AC52" t="str">
        <f>IF(OR(Y52&gt;20,T52&gt;6), "Good employee", "Bad Employee")</f>
        <v>Bad Employee</v>
      </c>
      <c r="AD52" t="s">
        <v>28</v>
      </c>
      <c r="AE52" t="s">
        <v>48</v>
      </c>
      <c r="AF52">
        <v>12</v>
      </c>
      <c r="AG52">
        <v>2016</v>
      </c>
      <c r="AH52" t="s">
        <v>49</v>
      </c>
      <c r="AI52">
        <v>180</v>
      </c>
      <c r="AJ52">
        <v>2.2999999999999998</v>
      </c>
    </row>
    <row r="53" spans="1:36" x14ac:dyDescent="0.25">
      <c r="A53">
        <v>10052</v>
      </c>
      <c r="B53" t="s">
        <v>64</v>
      </c>
      <c r="C53" t="s">
        <v>61</v>
      </c>
      <c r="D53" t="s">
        <v>44</v>
      </c>
      <c r="E53" t="str">
        <f t="shared" si="0"/>
        <v>Katie Smith is in Sales Department</v>
      </c>
      <c r="F53" s="6" t="str">
        <f t="shared" si="1"/>
        <v>katiesmith@gmail.com</v>
      </c>
      <c r="G53">
        <v>115848</v>
      </c>
      <c r="H53" t="str">
        <f t="shared" si="2"/>
        <v>High</v>
      </c>
      <c r="I53" s="3">
        <v>40747</v>
      </c>
      <c r="J53">
        <f t="shared" si="3"/>
        <v>2011</v>
      </c>
      <c r="K53">
        <f t="shared" si="4"/>
        <v>7</v>
      </c>
      <c r="L53">
        <f t="shared" si="5"/>
        <v>23</v>
      </c>
      <c r="M53" s="3">
        <f t="shared" ca="1" si="6"/>
        <v>46100</v>
      </c>
      <c r="N53">
        <f t="shared" ca="1" si="7"/>
        <v>5353</v>
      </c>
      <c r="O53">
        <f t="shared" ca="1" si="8"/>
        <v>5353</v>
      </c>
      <c r="P53">
        <f t="shared" ca="1" si="9"/>
        <v>3824</v>
      </c>
      <c r="Q53">
        <v>35</v>
      </c>
      <c r="R53" t="str">
        <f t="shared" si="10"/>
        <v>Old</v>
      </c>
      <c r="S53" t="s">
        <v>24</v>
      </c>
      <c r="T53">
        <v>6</v>
      </c>
      <c r="U53" t="s">
        <v>45</v>
      </c>
      <c r="V53">
        <v>1925.21</v>
      </c>
      <c r="W53" t="s">
        <v>35</v>
      </c>
      <c r="X53" t="s">
        <v>27</v>
      </c>
      <c r="Y53">
        <v>34</v>
      </c>
      <c r="Z53" t="str">
        <f t="shared" si="11"/>
        <v>Bad Employee</v>
      </c>
      <c r="AA53" t="b">
        <f t="shared" si="12"/>
        <v>0</v>
      </c>
      <c r="AB53" t="b">
        <f>OR(Y53&gt;20, T53&gt;6)</f>
        <v>1</v>
      </c>
      <c r="AC53" t="str">
        <f>IF(OR(Y53&gt;20,T53&gt;6), "Good employee", "Bad Employee")</f>
        <v>Good employee</v>
      </c>
      <c r="AD53" t="s">
        <v>56</v>
      </c>
      <c r="AE53" t="s">
        <v>42</v>
      </c>
      <c r="AF53">
        <v>19</v>
      </c>
      <c r="AG53">
        <v>2013</v>
      </c>
      <c r="AH53" t="s">
        <v>30</v>
      </c>
      <c r="AI53">
        <v>152</v>
      </c>
      <c r="AJ53">
        <v>3.6</v>
      </c>
    </row>
    <row r="54" spans="1:36" x14ac:dyDescent="0.25">
      <c r="A54">
        <v>10053</v>
      </c>
      <c r="B54" t="s">
        <v>50</v>
      </c>
      <c r="C54" t="s">
        <v>32</v>
      </c>
      <c r="D54" t="s">
        <v>54</v>
      </c>
      <c r="E54" t="str">
        <f t="shared" si="0"/>
        <v>Alex Wilson is in Finance Department</v>
      </c>
      <c r="F54" s="6" t="str">
        <f t="shared" si="1"/>
        <v>alexwilson@gmail.com</v>
      </c>
      <c r="G54">
        <v>117331</v>
      </c>
      <c r="H54" t="str">
        <f t="shared" si="2"/>
        <v>High</v>
      </c>
      <c r="I54" s="3">
        <v>43069</v>
      </c>
      <c r="J54">
        <f t="shared" si="3"/>
        <v>2017</v>
      </c>
      <c r="K54">
        <f t="shared" si="4"/>
        <v>11</v>
      </c>
      <c r="L54">
        <f t="shared" si="5"/>
        <v>30</v>
      </c>
      <c r="M54" s="3">
        <f t="shared" ca="1" si="6"/>
        <v>46100</v>
      </c>
      <c r="N54">
        <f t="shared" ca="1" si="7"/>
        <v>3031</v>
      </c>
      <c r="O54">
        <f t="shared" ca="1" si="8"/>
        <v>3031</v>
      </c>
      <c r="P54">
        <f t="shared" ca="1" si="9"/>
        <v>2166</v>
      </c>
      <c r="Q54">
        <v>55</v>
      </c>
      <c r="R54" t="str">
        <f t="shared" si="10"/>
        <v>Old</v>
      </c>
      <c r="S54" t="s">
        <v>34</v>
      </c>
      <c r="T54">
        <v>9</v>
      </c>
      <c r="U54" t="s">
        <v>45</v>
      </c>
      <c r="V54">
        <v>3266.19</v>
      </c>
      <c r="W54" t="s">
        <v>46</v>
      </c>
      <c r="X54" t="s">
        <v>40</v>
      </c>
      <c r="Y54">
        <v>28</v>
      </c>
      <c r="Z54" t="str">
        <f t="shared" si="11"/>
        <v>Good Employee</v>
      </c>
      <c r="AA54" t="b">
        <f t="shared" si="12"/>
        <v>1</v>
      </c>
      <c r="AB54" t="b">
        <f>OR(Y54&gt;20, T54&gt;6)</f>
        <v>1</v>
      </c>
      <c r="AC54" t="str">
        <f>IF(OR(Y54&gt;20,T54&gt;6), "Good employee", "Bad Employee")</f>
        <v>Good employee</v>
      </c>
      <c r="AD54" t="s">
        <v>41</v>
      </c>
      <c r="AE54" t="s">
        <v>59</v>
      </c>
      <c r="AF54">
        <v>18</v>
      </c>
      <c r="AG54">
        <v>2014</v>
      </c>
      <c r="AH54" t="s">
        <v>43</v>
      </c>
      <c r="AI54">
        <v>80</v>
      </c>
      <c r="AJ54">
        <v>3</v>
      </c>
    </row>
    <row r="55" spans="1:36" x14ac:dyDescent="0.25">
      <c r="A55">
        <v>10054</v>
      </c>
      <c r="B55" t="s">
        <v>31</v>
      </c>
      <c r="C55" t="s">
        <v>63</v>
      </c>
      <c r="D55" t="s">
        <v>33</v>
      </c>
      <c r="E55" t="str">
        <f t="shared" si="0"/>
        <v>Emily Miller is in Marketing Department</v>
      </c>
      <c r="F55" s="6" t="str">
        <f t="shared" si="1"/>
        <v>emilymiller@gmail.com</v>
      </c>
      <c r="G55">
        <v>108672</v>
      </c>
      <c r="H55" t="str">
        <f t="shared" si="2"/>
        <v>High</v>
      </c>
      <c r="I55" s="3">
        <v>42748</v>
      </c>
      <c r="J55">
        <f t="shared" si="3"/>
        <v>2017</v>
      </c>
      <c r="K55">
        <f t="shared" si="4"/>
        <v>1</v>
      </c>
      <c r="L55">
        <f t="shared" si="5"/>
        <v>13</v>
      </c>
      <c r="M55" s="3">
        <f t="shared" ca="1" si="6"/>
        <v>46100</v>
      </c>
      <c r="N55">
        <f t="shared" ca="1" si="7"/>
        <v>3352</v>
      </c>
      <c r="O55">
        <f t="shared" ca="1" si="8"/>
        <v>3352</v>
      </c>
      <c r="P55">
        <f t="shared" ca="1" si="9"/>
        <v>2395</v>
      </c>
      <c r="Q55">
        <v>29</v>
      </c>
      <c r="R55" t="str">
        <f t="shared" si="10"/>
        <v>Young</v>
      </c>
      <c r="S55" t="s">
        <v>24</v>
      </c>
      <c r="T55">
        <v>1</v>
      </c>
      <c r="U55" t="s">
        <v>45</v>
      </c>
      <c r="V55">
        <v>6010.87</v>
      </c>
      <c r="W55" t="s">
        <v>58</v>
      </c>
      <c r="X55" t="s">
        <v>55</v>
      </c>
      <c r="Y55">
        <v>34</v>
      </c>
      <c r="Z55" t="str">
        <f t="shared" si="11"/>
        <v>Bad Employee</v>
      </c>
      <c r="AA55" t="b">
        <f t="shared" si="12"/>
        <v>0</v>
      </c>
      <c r="AB55" t="b">
        <f>OR(Y55&gt;20, T55&gt;6)</f>
        <v>1</v>
      </c>
      <c r="AC55" t="str">
        <f>IF(OR(Y55&gt;20,T55&gt;6), "Good employee", "Bad Employee")</f>
        <v>Good employee</v>
      </c>
      <c r="AD55" t="s">
        <v>56</v>
      </c>
      <c r="AE55" t="s">
        <v>48</v>
      </c>
      <c r="AF55">
        <v>6</v>
      </c>
      <c r="AG55">
        <v>2017</v>
      </c>
      <c r="AH55" t="s">
        <v>49</v>
      </c>
      <c r="AI55">
        <v>71</v>
      </c>
      <c r="AJ55">
        <v>4.0999999999999996</v>
      </c>
    </row>
    <row r="56" spans="1:36" x14ac:dyDescent="0.25">
      <c r="A56">
        <v>10055</v>
      </c>
      <c r="B56" t="s">
        <v>21</v>
      </c>
      <c r="C56" t="s">
        <v>32</v>
      </c>
      <c r="D56" t="s">
        <v>54</v>
      </c>
      <c r="E56" t="str">
        <f t="shared" si="0"/>
        <v>Michael Wilson is in Finance Department</v>
      </c>
      <c r="F56" s="6" t="str">
        <f t="shared" si="1"/>
        <v>michaelwilson@gmail.com</v>
      </c>
      <c r="G56">
        <v>109703</v>
      </c>
      <c r="H56" t="str">
        <f t="shared" si="2"/>
        <v>High</v>
      </c>
      <c r="I56" s="3">
        <v>36914</v>
      </c>
      <c r="J56">
        <f t="shared" si="3"/>
        <v>2001</v>
      </c>
      <c r="K56">
        <f t="shared" si="4"/>
        <v>1</v>
      </c>
      <c r="L56">
        <f t="shared" si="5"/>
        <v>23</v>
      </c>
      <c r="M56" s="3">
        <f t="shared" ca="1" si="6"/>
        <v>46100</v>
      </c>
      <c r="N56">
        <f t="shared" ca="1" si="7"/>
        <v>9186</v>
      </c>
      <c r="O56">
        <f t="shared" ca="1" si="8"/>
        <v>9186</v>
      </c>
      <c r="P56">
        <f t="shared" ca="1" si="9"/>
        <v>6563</v>
      </c>
      <c r="Q56">
        <v>63</v>
      </c>
      <c r="R56" t="str">
        <f t="shared" si="10"/>
        <v>Old</v>
      </c>
      <c r="S56" t="s">
        <v>34</v>
      </c>
      <c r="T56">
        <v>8</v>
      </c>
      <c r="U56" t="s">
        <v>45</v>
      </c>
      <c r="V56">
        <v>8346.7099999999991</v>
      </c>
      <c r="W56" t="s">
        <v>58</v>
      </c>
      <c r="X56" t="s">
        <v>27</v>
      </c>
      <c r="Y56">
        <v>20</v>
      </c>
      <c r="Z56" t="str">
        <f t="shared" si="11"/>
        <v>Bad Employee</v>
      </c>
      <c r="AA56" t="b">
        <f t="shared" si="12"/>
        <v>0</v>
      </c>
      <c r="AB56" t="b">
        <f>OR(Y56&gt;20, T56&gt;6)</f>
        <v>1</v>
      </c>
      <c r="AC56" t="str">
        <f>IF(OR(Y56&gt;20,T56&gt;6), "Good employee", "Bad Employee")</f>
        <v>Good employee</v>
      </c>
      <c r="AD56" t="s">
        <v>41</v>
      </c>
      <c r="AE56" t="s">
        <v>62</v>
      </c>
      <c r="AF56">
        <v>2</v>
      </c>
      <c r="AG56">
        <v>2019</v>
      </c>
      <c r="AH56" t="s">
        <v>49</v>
      </c>
      <c r="AI56">
        <v>187</v>
      </c>
      <c r="AJ56">
        <v>3.8</v>
      </c>
    </row>
    <row r="57" spans="1:36" x14ac:dyDescent="0.25">
      <c r="A57">
        <v>10056</v>
      </c>
      <c r="B57" t="s">
        <v>31</v>
      </c>
      <c r="C57" t="s">
        <v>22</v>
      </c>
      <c r="D57" t="s">
        <v>33</v>
      </c>
      <c r="E57" t="str">
        <f t="shared" si="0"/>
        <v>Emily Williams is in Marketing Department</v>
      </c>
      <c r="F57" s="6" t="str">
        <f t="shared" si="1"/>
        <v>emilywilliams@gmail.com</v>
      </c>
      <c r="G57">
        <v>47300</v>
      </c>
      <c r="H57" t="str">
        <f t="shared" si="2"/>
        <v>low</v>
      </c>
      <c r="I57" s="3">
        <v>38084</v>
      </c>
      <c r="J57">
        <f t="shared" si="3"/>
        <v>2004</v>
      </c>
      <c r="K57">
        <f t="shared" si="4"/>
        <v>4</v>
      </c>
      <c r="L57">
        <f t="shared" si="5"/>
        <v>7</v>
      </c>
      <c r="M57" s="3">
        <f t="shared" ca="1" si="6"/>
        <v>46100</v>
      </c>
      <c r="N57">
        <f t="shared" ca="1" si="7"/>
        <v>8016</v>
      </c>
      <c r="O57">
        <f t="shared" ca="1" si="8"/>
        <v>8016</v>
      </c>
      <c r="P57">
        <f t="shared" ca="1" si="9"/>
        <v>5727</v>
      </c>
      <c r="Q57">
        <v>28</v>
      </c>
      <c r="R57" t="str">
        <f t="shared" si="10"/>
        <v>Young</v>
      </c>
      <c r="S57" t="s">
        <v>24</v>
      </c>
      <c r="T57">
        <v>4</v>
      </c>
      <c r="U57" t="s">
        <v>25</v>
      </c>
      <c r="V57">
        <v>3953.53</v>
      </c>
      <c r="W57" t="s">
        <v>26</v>
      </c>
      <c r="X57" t="s">
        <v>47</v>
      </c>
      <c r="Y57">
        <v>28</v>
      </c>
      <c r="Z57" t="str">
        <f t="shared" si="11"/>
        <v>Bad Employee</v>
      </c>
      <c r="AA57" t="b">
        <f t="shared" si="12"/>
        <v>0</v>
      </c>
      <c r="AB57" t="b">
        <f>OR(Y57&gt;20, T57&gt;6)</f>
        <v>1</v>
      </c>
      <c r="AC57" t="str">
        <f>IF(OR(Y57&gt;20,T57&gt;6), "Good employee", "Bad Employee")</f>
        <v>Good employee</v>
      </c>
      <c r="AD57" t="s">
        <v>56</v>
      </c>
      <c r="AE57" t="s">
        <v>59</v>
      </c>
      <c r="AF57">
        <v>5</v>
      </c>
      <c r="AG57">
        <v>2016</v>
      </c>
      <c r="AH57" t="s">
        <v>30</v>
      </c>
      <c r="AI57">
        <v>22</v>
      </c>
      <c r="AJ57">
        <v>2</v>
      </c>
    </row>
    <row r="58" spans="1:36" x14ac:dyDescent="0.25">
      <c r="A58">
        <v>10057</v>
      </c>
      <c r="B58" t="s">
        <v>53</v>
      </c>
      <c r="C58" t="s">
        <v>61</v>
      </c>
      <c r="D58" t="s">
        <v>44</v>
      </c>
      <c r="E58" t="str">
        <f t="shared" si="0"/>
        <v>Sarah Smith is in Sales Department</v>
      </c>
      <c r="F58" s="6" t="str">
        <f t="shared" si="1"/>
        <v>sarahsmith@gmail.com</v>
      </c>
      <c r="G58">
        <v>90289</v>
      </c>
      <c r="H58" t="str">
        <f t="shared" si="2"/>
        <v>High</v>
      </c>
      <c r="I58" s="3">
        <v>42346</v>
      </c>
      <c r="J58">
        <f t="shared" si="3"/>
        <v>2015</v>
      </c>
      <c r="K58">
        <f t="shared" si="4"/>
        <v>12</v>
      </c>
      <c r="L58">
        <f t="shared" si="5"/>
        <v>8</v>
      </c>
      <c r="M58" s="3">
        <f t="shared" ca="1" si="6"/>
        <v>46100</v>
      </c>
      <c r="N58">
        <f t="shared" ca="1" si="7"/>
        <v>3754</v>
      </c>
      <c r="O58">
        <f t="shared" ca="1" si="8"/>
        <v>3754</v>
      </c>
      <c r="P58">
        <f t="shared" ca="1" si="9"/>
        <v>2683</v>
      </c>
      <c r="Q58">
        <v>34</v>
      </c>
      <c r="R58" t="str">
        <f t="shared" si="10"/>
        <v>Old</v>
      </c>
      <c r="S58" t="s">
        <v>34</v>
      </c>
      <c r="T58">
        <v>7</v>
      </c>
      <c r="U58" t="s">
        <v>45</v>
      </c>
      <c r="V58">
        <v>3805.06</v>
      </c>
      <c r="W58" t="s">
        <v>58</v>
      </c>
      <c r="X58" t="s">
        <v>55</v>
      </c>
      <c r="Y58">
        <v>37</v>
      </c>
      <c r="Z58" t="str">
        <f t="shared" si="11"/>
        <v>Good Employee</v>
      </c>
      <c r="AA58" t="b">
        <f t="shared" si="12"/>
        <v>1</v>
      </c>
      <c r="AB58" t="b">
        <f>OR(Y58&gt;20, T58&gt;6)</f>
        <v>1</v>
      </c>
      <c r="AC58" t="str">
        <f>IF(OR(Y58&gt;20,T58&gt;6), "Good employee", "Bad Employee")</f>
        <v>Good employee</v>
      </c>
      <c r="AD58" t="s">
        <v>41</v>
      </c>
      <c r="AE58" t="s">
        <v>42</v>
      </c>
      <c r="AF58">
        <v>0</v>
      </c>
      <c r="AG58">
        <v>2019</v>
      </c>
      <c r="AH58" t="s">
        <v>43</v>
      </c>
      <c r="AI58">
        <v>25</v>
      </c>
      <c r="AJ58">
        <v>4.0999999999999996</v>
      </c>
    </row>
    <row r="59" spans="1:36" x14ac:dyDescent="0.25">
      <c r="A59">
        <v>10058</v>
      </c>
      <c r="B59" t="s">
        <v>66</v>
      </c>
      <c r="C59" t="s">
        <v>51</v>
      </c>
      <c r="D59" t="s">
        <v>39</v>
      </c>
      <c r="E59" t="str">
        <f t="shared" si="0"/>
        <v>John Brown is in IT Department</v>
      </c>
      <c r="F59" s="6" t="str">
        <f t="shared" si="1"/>
        <v>johnbrown@gmail.com</v>
      </c>
      <c r="G59">
        <v>47182</v>
      </c>
      <c r="H59" t="str">
        <f t="shared" si="2"/>
        <v>low</v>
      </c>
      <c r="I59" s="3">
        <v>38647</v>
      </c>
      <c r="J59">
        <f t="shared" si="3"/>
        <v>2005</v>
      </c>
      <c r="K59">
        <f t="shared" si="4"/>
        <v>10</v>
      </c>
      <c r="L59">
        <f t="shared" si="5"/>
        <v>22</v>
      </c>
      <c r="M59" s="3">
        <f t="shared" ca="1" si="6"/>
        <v>46100</v>
      </c>
      <c r="N59">
        <f t="shared" ca="1" si="7"/>
        <v>7453</v>
      </c>
      <c r="O59">
        <f t="shared" ca="1" si="8"/>
        <v>7453</v>
      </c>
      <c r="P59">
        <f t="shared" ca="1" si="9"/>
        <v>5324</v>
      </c>
      <c r="Q59">
        <v>42</v>
      </c>
      <c r="R59" t="str">
        <f t="shared" si="10"/>
        <v>Old</v>
      </c>
      <c r="S59" t="s">
        <v>24</v>
      </c>
      <c r="T59">
        <v>6</v>
      </c>
      <c r="U59" t="s">
        <v>45</v>
      </c>
      <c r="V59">
        <v>4946.01</v>
      </c>
      <c r="W59" t="s">
        <v>26</v>
      </c>
      <c r="X59" t="s">
        <v>36</v>
      </c>
      <c r="Y59">
        <v>3</v>
      </c>
      <c r="Z59" t="str">
        <f t="shared" si="11"/>
        <v>Bad Employee</v>
      </c>
      <c r="AA59" t="b">
        <f t="shared" si="12"/>
        <v>0</v>
      </c>
      <c r="AB59" t="b">
        <f>OR(Y59&gt;20, T59&gt;6)</f>
        <v>0</v>
      </c>
      <c r="AC59" t="str">
        <f>IF(OR(Y59&gt;20,T59&gt;6), "Good employee", "Bad Employee")</f>
        <v>Bad Employee</v>
      </c>
      <c r="AD59" t="s">
        <v>28</v>
      </c>
      <c r="AE59" t="s">
        <v>62</v>
      </c>
      <c r="AF59">
        <v>1</v>
      </c>
      <c r="AG59">
        <v>2019</v>
      </c>
      <c r="AH59" t="s">
        <v>43</v>
      </c>
      <c r="AI59">
        <v>196</v>
      </c>
      <c r="AJ59">
        <v>4.4000000000000004</v>
      </c>
    </row>
    <row r="60" spans="1:36" x14ac:dyDescent="0.25">
      <c r="A60">
        <v>10059</v>
      </c>
      <c r="B60" t="s">
        <v>50</v>
      </c>
      <c r="C60" t="s">
        <v>61</v>
      </c>
      <c r="D60" t="s">
        <v>23</v>
      </c>
      <c r="E60" t="str">
        <f t="shared" si="0"/>
        <v>Alex Smith is in HR Department</v>
      </c>
      <c r="F60" s="6" t="str">
        <f t="shared" si="1"/>
        <v>alexsmith@gmail.com</v>
      </c>
      <c r="G60">
        <v>100507</v>
      </c>
      <c r="H60" t="str">
        <f t="shared" si="2"/>
        <v>High</v>
      </c>
      <c r="I60" s="3">
        <v>37554</v>
      </c>
      <c r="J60">
        <f t="shared" si="3"/>
        <v>2002</v>
      </c>
      <c r="K60">
        <f t="shared" si="4"/>
        <v>10</v>
      </c>
      <c r="L60">
        <f t="shared" si="5"/>
        <v>25</v>
      </c>
      <c r="M60" s="3">
        <f t="shared" ca="1" si="6"/>
        <v>46100</v>
      </c>
      <c r="N60">
        <f t="shared" ca="1" si="7"/>
        <v>8546</v>
      </c>
      <c r="O60">
        <f t="shared" ca="1" si="8"/>
        <v>8546</v>
      </c>
      <c r="P60">
        <f t="shared" ca="1" si="9"/>
        <v>6105</v>
      </c>
      <c r="Q60">
        <v>53</v>
      </c>
      <c r="R60" t="str">
        <f t="shared" si="10"/>
        <v>Old</v>
      </c>
      <c r="S60" t="s">
        <v>34</v>
      </c>
      <c r="T60">
        <v>6</v>
      </c>
      <c r="U60" t="s">
        <v>25</v>
      </c>
      <c r="V60">
        <v>6623.28</v>
      </c>
      <c r="W60" t="s">
        <v>58</v>
      </c>
      <c r="X60" t="s">
        <v>36</v>
      </c>
      <c r="Y60">
        <v>9</v>
      </c>
      <c r="Z60" t="str">
        <f t="shared" si="11"/>
        <v>Bad Employee</v>
      </c>
      <c r="AA60" t="b">
        <f t="shared" si="12"/>
        <v>0</v>
      </c>
      <c r="AB60" t="b">
        <f>OR(Y60&gt;20, T60&gt;6)</f>
        <v>0</v>
      </c>
      <c r="AC60" t="str">
        <f>IF(OR(Y60&gt;20,T60&gt;6), "Good employee", "Bad Employee")</f>
        <v>Bad Employee</v>
      </c>
      <c r="AD60" t="s">
        <v>56</v>
      </c>
      <c r="AE60" t="s">
        <v>59</v>
      </c>
      <c r="AF60">
        <v>0</v>
      </c>
      <c r="AG60">
        <v>2011</v>
      </c>
      <c r="AH60" t="s">
        <v>49</v>
      </c>
      <c r="AI60">
        <v>169</v>
      </c>
      <c r="AJ60">
        <v>3.4</v>
      </c>
    </row>
    <row r="61" spans="1:36" x14ac:dyDescent="0.25">
      <c r="A61">
        <v>10060</v>
      </c>
      <c r="B61" t="s">
        <v>38</v>
      </c>
      <c r="C61" t="s">
        <v>57</v>
      </c>
      <c r="D61" t="s">
        <v>39</v>
      </c>
      <c r="E61" t="str">
        <f t="shared" si="0"/>
        <v>Chris Davis is in IT Department</v>
      </c>
      <c r="F61" s="6" t="str">
        <f t="shared" si="1"/>
        <v>chrisdavis@gmail.com</v>
      </c>
      <c r="G61">
        <v>80912</v>
      </c>
      <c r="H61" t="str">
        <f t="shared" si="2"/>
        <v>High</v>
      </c>
      <c r="I61" s="3">
        <v>42564</v>
      </c>
      <c r="J61">
        <f t="shared" si="3"/>
        <v>2016</v>
      </c>
      <c r="K61">
        <f t="shared" si="4"/>
        <v>7</v>
      </c>
      <c r="L61">
        <f t="shared" si="5"/>
        <v>13</v>
      </c>
      <c r="M61" s="3">
        <f t="shared" ca="1" si="6"/>
        <v>46100</v>
      </c>
      <c r="N61">
        <f t="shared" ca="1" si="7"/>
        <v>3536</v>
      </c>
      <c r="O61">
        <f t="shared" ca="1" si="8"/>
        <v>3536</v>
      </c>
      <c r="P61">
        <f t="shared" ca="1" si="9"/>
        <v>2527</v>
      </c>
      <c r="Q61">
        <v>32</v>
      </c>
      <c r="R61" t="str">
        <f t="shared" si="10"/>
        <v>Old</v>
      </c>
      <c r="S61" t="s">
        <v>34</v>
      </c>
      <c r="T61">
        <v>7</v>
      </c>
      <c r="U61" t="s">
        <v>25</v>
      </c>
      <c r="V61">
        <v>7640.35</v>
      </c>
      <c r="W61" t="s">
        <v>46</v>
      </c>
      <c r="X61" t="s">
        <v>36</v>
      </c>
      <c r="Y61">
        <v>22</v>
      </c>
      <c r="Z61" t="str">
        <f t="shared" si="11"/>
        <v>Good Employee</v>
      </c>
      <c r="AA61" t="b">
        <f t="shared" si="12"/>
        <v>1</v>
      </c>
      <c r="AB61" t="b">
        <f>OR(Y61&gt;20, T61&gt;6)</f>
        <v>1</v>
      </c>
      <c r="AC61" t="str">
        <f>IF(OR(Y61&gt;20,T61&gt;6), "Good employee", "Bad Employee")</f>
        <v>Good employee</v>
      </c>
      <c r="AD61" t="s">
        <v>56</v>
      </c>
      <c r="AE61" t="s">
        <v>48</v>
      </c>
      <c r="AF61">
        <v>3</v>
      </c>
      <c r="AG61">
        <v>2017</v>
      </c>
      <c r="AH61" t="s">
        <v>30</v>
      </c>
      <c r="AI61">
        <v>23</v>
      </c>
      <c r="AJ61">
        <v>4.7</v>
      </c>
    </row>
    <row r="62" spans="1:36" x14ac:dyDescent="0.25">
      <c r="A62">
        <v>10061</v>
      </c>
      <c r="B62" t="s">
        <v>50</v>
      </c>
      <c r="C62" t="s">
        <v>61</v>
      </c>
      <c r="D62" t="s">
        <v>23</v>
      </c>
      <c r="E62" t="str">
        <f t="shared" si="0"/>
        <v>Alex Smith is in HR Department</v>
      </c>
      <c r="F62" s="6" t="str">
        <f t="shared" si="1"/>
        <v>alexsmith@gmail.com</v>
      </c>
      <c r="G62">
        <v>56909</v>
      </c>
      <c r="H62" t="str">
        <f t="shared" si="2"/>
        <v>Medium</v>
      </c>
      <c r="I62" s="3">
        <v>40060</v>
      </c>
      <c r="J62">
        <f t="shared" si="3"/>
        <v>2009</v>
      </c>
      <c r="K62">
        <f t="shared" si="4"/>
        <v>9</v>
      </c>
      <c r="L62">
        <f t="shared" si="5"/>
        <v>4</v>
      </c>
      <c r="M62" s="3">
        <f t="shared" ca="1" si="6"/>
        <v>46100</v>
      </c>
      <c r="N62">
        <f t="shared" ca="1" si="7"/>
        <v>6040</v>
      </c>
      <c r="O62">
        <f t="shared" ca="1" si="8"/>
        <v>6040</v>
      </c>
      <c r="P62">
        <f t="shared" ca="1" si="9"/>
        <v>4315</v>
      </c>
      <c r="Q62">
        <v>35</v>
      </c>
      <c r="R62" t="str">
        <f t="shared" si="10"/>
        <v>Old</v>
      </c>
      <c r="S62" t="s">
        <v>34</v>
      </c>
      <c r="T62">
        <v>4</v>
      </c>
      <c r="U62" t="s">
        <v>25</v>
      </c>
      <c r="V62">
        <v>3604.6</v>
      </c>
      <c r="W62" t="s">
        <v>58</v>
      </c>
      <c r="X62" t="s">
        <v>55</v>
      </c>
      <c r="Y62">
        <v>25</v>
      </c>
      <c r="Z62" t="str">
        <f t="shared" si="11"/>
        <v>Bad Employee</v>
      </c>
      <c r="AA62" t="b">
        <f t="shared" si="12"/>
        <v>0</v>
      </c>
      <c r="AB62" t="b">
        <f>OR(Y62&gt;20, T62&gt;6)</f>
        <v>1</v>
      </c>
      <c r="AC62" t="str">
        <f>IF(OR(Y62&gt;20,T62&gt;6), "Good employee", "Bad Employee")</f>
        <v>Good employee</v>
      </c>
      <c r="AD62" t="s">
        <v>41</v>
      </c>
      <c r="AE62" t="s">
        <v>37</v>
      </c>
      <c r="AF62">
        <v>4</v>
      </c>
      <c r="AG62">
        <v>2017</v>
      </c>
      <c r="AH62" t="s">
        <v>43</v>
      </c>
      <c r="AI62">
        <v>60</v>
      </c>
      <c r="AJ62">
        <v>4.0999999999999996</v>
      </c>
    </row>
    <row r="63" spans="1:36" x14ac:dyDescent="0.25">
      <c r="A63">
        <v>10062</v>
      </c>
      <c r="B63" t="s">
        <v>21</v>
      </c>
      <c r="C63" t="s">
        <v>32</v>
      </c>
      <c r="D63" t="s">
        <v>44</v>
      </c>
      <c r="E63" t="str">
        <f t="shared" si="0"/>
        <v>Michael Wilson is in Sales Department</v>
      </c>
      <c r="F63" s="6" t="str">
        <f t="shared" si="1"/>
        <v>michaelwilson@gmail.com</v>
      </c>
      <c r="G63">
        <v>49659</v>
      </c>
      <c r="H63" t="str">
        <f t="shared" si="2"/>
        <v>low</v>
      </c>
      <c r="I63" s="3">
        <v>36607</v>
      </c>
      <c r="J63">
        <f t="shared" si="3"/>
        <v>2000</v>
      </c>
      <c r="K63">
        <f t="shared" si="4"/>
        <v>3</v>
      </c>
      <c r="L63">
        <f t="shared" si="5"/>
        <v>22</v>
      </c>
      <c r="M63" s="3">
        <f t="shared" ca="1" si="6"/>
        <v>46100</v>
      </c>
      <c r="N63">
        <f t="shared" ca="1" si="7"/>
        <v>9493</v>
      </c>
      <c r="O63">
        <f t="shared" ca="1" si="8"/>
        <v>9493</v>
      </c>
      <c r="P63">
        <f t="shared" ca="1" si="9"/>
        <v>6782</v>
      </c>
      <c r="Q63">
        <v>32</v>
      </c>
      <c r="R63" t="str">
        <f t="shared" si="10"/>
        <v>Old</v>
      </c>
      <c r="S63" t="s">
        <v>24</v>
      </c>
      <c r="T63">
        <v>6</v>
      </c>
      <c r="U63" t="s">
        <v>45</v>
      </c>
      <c r="V63">
        <v>6070.35</v>
      </c>
      <c r="W63" t="s">
        <v>26</v>
      </c>
      <c r="X63" t="s">
        <v>47</v>
      </c>
      <c r="Y63">
        <v>2</v>
      </c>
      <c r="Z63" t="str">
        <f t="shared" si="11"/>
        <v>Bad Employee</v>
      </c>
      <c r="AA63" t="b">
        <f t="shared" si="12"/>
        <v>0</v>
      </c>
      <c r="AB63" t="b">
        <f>OR(Y63&gt;20, T63&gt;6)</f>
        <v>0</v>
      </c>
      <c r="AC63" t="str">
        <f>IF(OR(Y63&gt;20,T63&gt;6), "Good employee", "Bad Employee")</f>
        <v>Bad Employee</v>
      </c>
      <c r="AD63" t="s">
        <v>28</v>
      </c>
      <c r="AE63" t="s">
        <v>37</v>
      </c>
      <c r="AF63">
        <v>1</v>
      </c>
      <c r="AG63">
        <v>2018</v>
      </c>
      <c r="AH63" t="s">
        <v>43</v>
      </c>
      <c r="AI63">
        <v>194</v>
      </c>
      <c r="AJ63">
        <v>3.4</v>
      </c>
    </row>
    <row r="64" spans="1:36" x14ac:dyDescent="0.25">
      <c r="A64">
        <v>10063</v>
      </c>
      <c r="B64" t="s">
        <v>38</v>
      </c>
      <c r="C64" t="s">
        <v>57</v>
      </c>
      <c r="D64" t="s">
        <v>39</v>
      </c>
      <c r="E64" t="str">
        <f t="shared" si="0"/>
        <v>Chris Davis is in IT Department</v>
      </c>
      <c r="F64" s="6" t="str">
        <f t="shared" si="1"/>
        <v>chrisdavis@gmail.com</v>
      </c>
      <c r="G64">
        <v>61403</v>
      </c>
      <c r="H64" t="str">
        <f t="shared" si="2"/>
        <v>Medium</v>
      </c>
      <c r="I64" s="3">
        <v>42182</v>
      </c>
      <c r="J64">
        <f t="shared" si="3"/>
        <v>2015</v>
      </c>
      <c r="K64">
        <f t="shared" si="4"/>
        <v>6</v>
      </c>
      <c r="L64">
        <f t="shared" si="5"/>
        <v>27</v>
      </c>
      <c r="M64" s="3">
        <f t="shared" ca="1" si="6"/>
        <v>46100</v>
      </c>
      <c r="N64">
        <f t="shared" ca="1" si="7"/>
        <v>3918</v>
      </c>
      <c r="O64">
        <f t="shared" ca="1" si="8"/>
        <v>3918</v>
      </c>
      <c r="P64">
        <f t="shared" ca="1" si="9"/>
        <v>2799</v>
      </c>
      <c r="Q64">
        <v>23</v>
      </c>
      <c r="R64" t="str">
        <f t="shared" si="10"/>
        <v>Young</v>
      </c>
      <c r="S64" t="s">
        <v>24</v>
      </c>
      <c r="T64">
        <v>3</v>
      </c>
      <c r="U64" t="s">
        <v>45</v>
      </c>
      <c r="V64">
        <v>4198.93</v>
      </c>
      <c r="W64" t="s">
        <v>26</v>
      </c>
      <c r="X64" t="s">
        <v>55</v>
      </c>
      <c r="Y64">
        <v>23</v>
      </c>
      <c r="Z64" t="str">
        <f t="shared" si="11"/>
        <v>Bad Employee</v>
      </c>
      <c r="AA64" t="b">
        <f t="shared" si="12"/>
        <v>0</v>
      </c>
      <c r="AB64" t="b">
        <f>OR(Y64&gt;20, T64&gt;6)</f>
        <v>1</v>
      </c>
      <c r="AC64" t="str">
        <f>IF(OR(Y64&gt;20,T64&gt;6), "Good employee", "Bad Employee")</f>
        <v>Good employee</v>
      </c>
      <c r="AD64" t="s">
        <v>28</v>
      </c>
      <c r="AE64" t="s">
        <v>42</v>
      </c>
      <c r="AF64">
        <v>15</v>
      </c>
      <c r="AG64">
        <v>2011</v>
      </c>
      <c r="AH64" t="s">
        <v>49</v>
      </c>
      <c r="AI64">
        <v>22</v>
      </c>
      <c r="AJ64">
        <v>4.5999999999999996</v>
      </c>
    </row>
    <row r="65" spans="1:36" x14ac:dyDescent="0.25">
      <c r="A65">
        <v>10064</v>
      </c>
      <c r="B65" t="s">
        <v>66</v>
      </c>
      <c r="C65" t="s">
        <v>57</v>
      </c>
      <c r="D65" t="s">
        <v>39</v>
      </c>
      <c r="E65" t="str">
        <f t="shared" si="0"/>
        <v>John Davis is in IT Department</v>
      </c>
      <c r="F65" s="6" t="str">
        <f t="shared" si="1"/>
        <v>johndavis@gmail.com</v>
      </c>
      <c r="G65">
        <v>63586</v>
      </c>
      <c r="H65" t="str">
        <f t="shared" si="2"/>
        <v>Medium</v>
      </c>
      <c r="I65" s="3">
        <v>37301</v>
      </c>
      <c r="J65">
        <f t="shared" si="3"/>
        <v>2002</v>
      </c>
      <c r="K65">
        <f t="shared" si="4"/>
        <v>2</v>
      </c>
      <c r="L65">
        <f t="shared" si="5"/>
        <v>14</v>
      </c>
      <c r="M65" s="3">
        <f t="shared" ca="1" si="6"/>
        <v>46100</v>
      </c>
      <c r="N65">
        <f t="shared" ca="1" si="7"/>
        <v>8799</v>
      </c>
      <c r="O65">
        <f t="shared" ca="1" si="8"/>
        <v>8799</v>
      </c>
      <c r="P65">
        <f t="shared" ca="1" si="9"/>
        <v>6286</v>
      </c>
      <c r="Q65">
        <v>55</v>
      </c>
      <c r="R65" t="str">
        <f t="shared" si="10"/>
        <v>Old</v>
      </c>
      <c r="S65" t="s">
        <v>34</v>
      </c>
      <c r="T65">
        <v>5</v>
      </c>
      <c r="U65" t="s">
        <v>25</v>
      </c>
      <c r="V65">
        <v>7305.8</v>
      </c>
      <c r="W65" t="s">
        <v>58</v>
      </c>
      <c r="X65" t="s">
        <v>27</v>
      </c>
      <c r="Y65">
        <v>17</v>
      </c>
      <c r="Z65" t="str">
        <f t="shared" si="11"/>
        <v>Bad Employee</v>
      </c>
      <c r="AA65" t="b">
        <f t="shared" si="12"/>
        <v>0</v>
      </c>
      <c r="AB65" t="b">
        <f>OR(Y65&gt;20, T65&gt;6)</f>
        <v>0</v>
      </c>
      <c r="AC65" t="str">
        <f>IF(OR(Y65&gt;20,T65&gt;6), "Good employee", "Bad Employee")</f>
        <v>Bad Employee</v>
      </c>
      <c r="AD65" t="s">
        <v>28</v>
      </c>
      <c r="AE65" t="s">
        <v>48</v>
      </c>
      <c r="AF65">
        <v>7</v>
      </c>
      <c r="AG65">
        <v>2023</v>
      </c>
      <c r="AH65" t="s">
        <v>43</v>
      </c>
      <c r="AI65">
        <v>162</v>
      </c>
      <c r="AJ65">
        <v>3.4</v>
      </c>
    </row>
    <row r="66" spans="1:36" x14ac:dyDescent="0.25">
      <c r="A66">
        <v>10065</v>
      </c>
      <c r="B66" t="s">
        <v>21</v>
      </c>
      <c r="C66" t="s">
        <v>57</v>
      </c>
      <c r="D66" t="s">
        <v>54</v>
      </c>
      <c r="E66" t="str">
        <f t="shared" si="0"/>
        <v>Michael Davis is in Finance Department</v>
      </c>
      <c r="F66" s="6" t="str">
        <f t="shared" si="1"/>
        <v>michaeldavis@gmail.com</v>
      </c>
      <c r="G66">
        <v>40360</v>
      </c>
      <c r="H66" t="str">
        <f t="shared" si="2"/>
        <v>low</v>
      </c>
      <c r="I66" s="3">
        <v>39564</v>
      </c>
      <c r="J66">
        <f t="shared" si="3"/>
        <v>2008</v>
      </c>
      <c r="K66">
        <f t="shared" si="4"/>
        <v>4</v>
      </c>
      <c r="L66">
        <f t="shared" si="5"/>
        <v>26</v>
      </c>
      <c r="M66" s="3">
        <f t="shared" ca="1" si="6"/>
        <v>46100</v>
      </c>
      <c r="N66">
        <f t="shared" ca="1" si="7"/>
        <v>6536</v>
      </c>
      <c r="O66">
        <f t="shared" ca="1" si="8"/>
        <v>6536</v>
      </c>
      <c r="P66">
        <f t="shared" ca="1" si="9"/>
        <v>4669</v>
      </c>
      <c r="Q66">
        <v>38</v>
      </c>
      <c r="R66" t="str">
        <f t="shared" si="10"/>
        <v>Old</v>
      </c>
      <c r="S66" t="s">
        <v>24</v>
      </c>
      <c r="T66">
        <v>2</v>
      </c>
      <c r="U66" t="s">
        <v>25</v>
      </c>
      <c r="V66">
        <v>2064.41</v>
      </c>
      <c r="W66" t="s">
        <v>35</v>
      </c>
      <c r="X66" t="s">
        <v>27</v>
      </c>
      <c r="Y66">
        <v>25</v>
      </c>
      <c r="Z66" t="str">
        <f t="shared" si="11"/>
        <v>Bad Employee</v>
      </c>
      <c r="AA66" t="b">
        <f t="shared" si="12"/>
        <v>0</v>
      </c>
      <c r="AB66" t="b">
        <f>OR(Y66&gt;20, T66&gt;6)</f>
        <v>1</v>
      </c>
      <c r="AC66" t="str">
        <f>IF(OR(Y66&gt;20,T66&gt;6), "Good employee", "Bad Employee")</f>
        <v>Good employee</v>
      </c>
      <c r="AD66" t="s">
        <v>41</v>
      </c>
      <c r="AE66" t="s">
        <v>62</v>
      </c>
      <c r="AF66">
        <v>14</v>
      </c>
      <c r="AG66">
        <v>2013</v>
      </c>
      <c r="AH66" t="s">
        <v>43</v>
      </c>
      <c r="AI66">
        <v>188</v>
      </c>
      <c r="AJ66">
        <v>3.1</v>
      </c>
    </row>
    <row r="67" spans="1:36" x14ac:dyDescent="0.25">
      <c r="A67">
        <v>10066</v>
      </c>
      <c r="B67" t="s">
        <v>60</v>
      </c>
      <c r="C67" t="s">
        <v>51</v>
      </c>
      <c r="D67" t="s">
        <v>52</v>
      </c>
      <c r="E67" t="str">
        <f t="shared" ref="E67:E130" si="13">CONCATENATE(B67, " ", C67, " is in ", D67, " Department")</f>
        <v>Jane Brown is in Operations Department</v>
      </c>
      <c r="F67" s="6" t="str">
        <f t="shared" ref="F67:F130" si="14">LOWER(CONCATENATE(B67, C67, "@gmail.com"))</f>
        <v>janebrown@gmail.com</v>
      </c>
      <c r="G67">
        <v>51424</v>
      </c>
      <c r="H67" t="str">
        <f t="shared" ref="H67:H130" si="15">IF(G67&gt;80000, "High", IF(G67&gt;50000, "Medium", IF(G67&gt;40000, "low", "extremely low")))</f>
        <v>Medium</v>
      </c>
      <c r="I67" s="3">
        <v>40899</v>
      </c>
      <c r="J67">
        <f t="shared" ref="J67:J130" si="16">YEAR(I67)</f>
        <v>2011</v>
      </c>
      <c r="K67">
        <f t="shared" ref="K67:K130" si="17">MONTH(I67)</f>
        <v>12</v>
      </c>
      <c r="L67">
        <f t="shared" ref="L67:L130" si="18">DAY(I67)</f>
        <v>22</v>
      </c>
      <c r="M67" s="3">
        <f t="shared" ref="M67:M130" ca="1" si="19">TODAY()</f>
        <v>46100</v>
      </c>
      <c r="N67">
        <f t="shared" ref="N67:N130" ca="1" si="20">M67-I67</f>
        <v>5201</v>
      </c>
      <c r="O67">
        <f t="shared" ref="O67:O130" ca="1" si="21">DATEDIF(I67,M67, "d")</f>
        <v>5201</v>
      </c>
      <c r="P67">
        <f t="shared" ref="P67:P130" ca="1" si="22">NETWORKDAYS(I67, M67)</f>
        <v>3716</v>
      </c>
      <c r="Q67">
        <v>35</v>
      </c>
      <c r="R67" t="str">
        <f t="shared" ref="R67:R130" si="23">IF(Q67&gt;30, "Old", "Young")</f>
        <v>Old</v>
      </c>
      <c r="S67" t="s">
        <v>34</v>
      </c>
      <c r="T67">
        <v>3</v>
      </c>
      <c r="U67" t="s">
        <v>45</v>
      </c>
      <c r="V67">
        <v>2940.79</v>
      </c>
      <c r="W67" t="s">
        <v>46</v>
      </c>
      <c r="X67" t="s">
        <v>36</v>
      </c>
      <c r="Y67">
        <v>12</v>
      </c>
      <c r="Z67" t="str">
        <f t="shared" ref="Z67:Z130" si="24" xml:space="preserve"> IF(AND(Y67&gt;20, T67&gt;6), "Good Employee", "Bad Employee")</f>
        <v>Bad Employee</v>
      </c>
      <c r="AA67" t="b">
        <f t="shared" ref="AA67:AA130" si="25">AND(Y67&gt;20, T67&gt;6)</f>
        <v>0</v>
      </c>
      <c r="AB67" t="b">
        <f>OR(Y67&gt;20, T67&gt;6)</f>
        <v>0</v>
      </c>
      <c r="AC67" t="str">
        <f>IF(OR(Y67&gt;20,T67&gt;6), "Good employee", "Bad Employee")</f>
        <v>Bad Employee</v>
      </c>
      <c r="AD67" t="s">
        <v>56</v>
      </c>
      <c r="AE67" t="s">
        <v>62</v>
      </c>
      <c r="AF67">
        <v>10</v>
      </c>
      <c r="AG67">
        <v>2011</v>
      </c>
      <c r="AH67" t="s">
        <v>43</v>
      </c>
      <c r="AI67">
        <v>110</v>
      </c>
      <c r="AJ67">
        <v>2.4</v>
      </c>
    </row>
    <row r="68" spans="1:36" x14ac:dyDescent="0.25">
      <c r="A68">
        <v>10067</v>
      </c>
      <c r="B68" t="s">
        <v>31</v>
      </c>
      <c r="C68" t="s">
        <v>61</v>
      </c>
      <c r="D68" t="s">
        <v>44</v>
      </c>
      <c r="E68" t="str">
        <f t="shared" si="13"/>
        <v>Emily Smith is in Sales Department</v>
      </c>
      <c r="F68" s="6" t="str">
        <f t="shared" si="14"/>
        <v>emilysmith@gmail.com</v>
      </c>
      <c r="G68">
        <v>78791</v>
      </c>
      <c r="H68" t="str">
        <f t="shared" si="15"/>
        <v>Medium</v>
      </c>
      <c r="I68" s="3">
        <v>39413</v>
      </c>
      <c r="J68">
        <f t="shared" si="16"/>
        <v>2007</v>
      </c>
      <c r="K68">
        <f t="shared" si="17"/>
        <v>11</v>
      </c>
      <c r="L68">
        <f t="shared" si="18"/>
        <v>27</v>
      </c>
      <c r="M68" s="3">
        <f t="shared" ca="1" si="19"/>
        <v>46100</v>
      </c>
      <c r="N68">
        <f t="shared" ca="1" si="20"/>
        <v>6687</v>
      </c>
      <c r="O68">
        <f t="shared" ca="1" si="21"/>
        <v>6687</v>
      </c>
      <c r="P68">
        <f t="shared" ca="1" si="22"/>
        <v>4778</v>
      </c>
      <c r="Q68">
        <v>46</v>
      </c>
      <c r="R68" t="str">
        <f t="shared" si="23"/>
        <v>Old</v>
      </c>
      <c r="S68" t="s">
        <v>24</v>
      </c>
      <c r="T68">
        <v>9</v>
      </c>
      <c r="U68" t="s">
        <v>25</v>
      </c>
      <c r="V68">
        <v>4547.57</v>
      </c>
      <c r="W68" t="s">
        <v>35</v>
      </c>
      <c r="X68" t="s">
        <v>47</v>
      </c>
      <c r="Y68">
        <v>27</v>
      </c>
      <c r="Z68" t="str">
        <f t="shared" si="24"/>
        <v>Good Employee</v>
      </c>
      <c r="AA68" t="b">
        <f t="shared" si="25"/>
        <v>1</v>
      </c>
      <c r="AB68" t="b">
        <f>OR(Y68&gt;20, T68&gt;6)</f>
        <v>1</v>
      </c>
      <c r="AC68" t="str">
        <f>IF(OR(Y68&gt;20,T68&gt;6), "Good employee", "Bad Employee")</f>
        <v>Good employee</v>
      </c>
      <c r="AD68" t="s">
        <v>41</v>
      </c>
      <c r="AE68" t="s">
        <v>62</v>
      </c>
      <c r="AF68">
        <v>9</v>
      </c>
      <c r="AG68">
        <v>2013</v>
      </c>
      <c r="AH68" t="s">
        <v>43</v>
      </c>
      <c r="AI68">
        <v>174</v>
      </c>
      <c r="AJ68">
        <v>4.5</v>
      </c>
    </row>
    <row r="69" spans="1:36" x14ac:dyDescent="0.25">
      <c r="A69">
        <v>10068</v>
      </c>
      <c r="B69" t="s">
        <v>66</v>
      </c>
      <c r="C69" t="s">
        <v>32</v>
      </c>
      <c r="D69" t="s">
        <v>33</v>
      </c>
      <c r="E69" t="str">
        <f t="shared" si="13"/>
        <v>John Wilson is in Marketing Department</v>
      </c>
      <c r="F69" s="6" t="str">
        <f t="shared" si="14"/>
        <v>johnwilson@gmail.com</v>
      </c>
      <c r="G69">
        <v>33065</v>
      </c>
      <c r="H69" t="str">
        <f t="shared" si="15"/>
        <v>extremely low</v>
      </c>
      <c r="I69" s="3">
        <v>38404</v>
      </c>
      <c r="J69">
        <f t="shared" si="16"/>
        <v>2005</v>
      </c>
      <c r="K69">
        <f t="shared" si="17"/>
        <v>2</v>
      </c>
      <c r="L69">
        <f t="shared" si="18"/>
        <v>21</v>
      </c>
      <c r="M69" s="3">
        <f t="shared" ca="1" si="19"/>
        <v>46100</v>
      </c>
      <c r="N69">
        <f t="shared" ca="1" si="20"/>
        <v>7696</v>
      </c>
      <c r="O69">
        <f t="shared" ca="1" si="21"/>
        <v>7696</v>
      </c>
      <c r="P69">
        <f t="shared" ca="1" si="22"/>
        <v>5499</v>
      </c>
      <c r="Q69">
        <v>48</v>
      </c>
      <c r="R69" t="str">
        <f t="shared" si="23"/>
        <v>Old</v>
      </c>
      <c r="S69" t="s">
        <v>34</v>
      </c>
      <c r="T69">
        <v>6</v>
      </c>
      <c r="U69" t="s">
        <v>25</v>
      </c>
      <c r="V69">
        <v>8949.44</v>
      </c>
      <c r="W69" t="s">
        <v>58</v>
      </c>
      <c r="X69" t="s">
        <v>27</v>
      </c>
      <c r="Y69">
        <v>20</v>
      </c>
      <c r="Z69" t="str">
        <f t="shared" si="24"/>
        <v>Bad Employee</v>
      </c>
      <c r="AA69" t="b">
        <f t="shared" si="25"/>
        <v>0</v>
      </c>
      <c r="AB69" t="b">
        <f>OR(Y69&gt;20, T69&gt;6)</f>
        <v>0</v>
      </c>
      <c r="AC69" t="str">
        <f>IF(OR(Y69&gt;20,T69&gt;6), "Good employee", "Bad Employee")</f>
        <v>Bad Employee</v>
      </c>
      <c r="AD69" t="s">
        <v>28</v>
      </c>
      <c r="AE69" t="s">
        <v>59</v>
      </c>
      <c r="AF69">
        <v>2</v>
      </c>
      <c r="AG69">
        <v>2012</v>
      </c>
      <c r="AH69" t="s">
        <v>49</v>
      </c>
      <c r="AI69">
        <v>57</v>
      </c>
      <c r="AJ69">
        <v>1.5</v>
      </c>
    </row>
    <row r="70" spans="1:36" x14ac:dyDescent="0.25">
      <c r="A70">
        <v>10069</v>
      </c>
      <c r="B70" t="s">
        <v>31</v>
      </c>
      <c r="C70" t="s">
        <v>61</v>
      </c>
      <c r="D70" t="s">
        <v>44</v>
      </c>
      <c r="E70" t="str">
        <f t="shared" si="13"/>
        <v>Emily Smith is in Sales Department</v>
      </c>
      <c r="F70" s="6" t="str">
        <f t="shared" si="14"/>
        <v>emilysmith@gmail.com</v>
      </c>
      <c r="G70">
        <v>98795</v>
      </c>
      <c r="H70" t="str">
        <f t="shared" si="15"/>
        <v>High</v>
      </c>
      <c r="I70" s="3">
        <v>38797</v>
      </c>
      <c r="J70">
        <f t="shared" si="16"/>
        <v>2006</v>
      </c>
      <c r="K70">
        <f t="shared" si="17"/>
        <v>3</v>
      </c>
      <c r="L70">
        <f t="shared" si="18"/>
        <v>21</v>
      </c>
      <c r="M70" s="3">
        <f t="shared" ca="1" si="19"/>
        <v>46100</v>
      </c>
      <c r="N70">
        <f t="shared" ca="1" si="20"/>
        <v>7303</v>
      </c>
      <c r="O70">
        <f t="shared" ca="1" si="21"/>
        <v>7303</v>
      </c>
      <c r="P70">
        <f t="shared" ca="1" si="22"/>
        <v>5218</v>
      </c>
      <c r="Q70">
        <v>29</v>
      </c>
      <c r="R70" t="str">
        <f t="shared" si="23"/>
        <v>Young</v>
      </c>
      <c r="S70" t="s">
        <v>24</v>
      </c>
      <c r="T70">
        <v>3</v>
      </c>
      <c r="U70" t="s">
        <v>25</v>
      </c>
      <c r="V70">
        <v>5946.59</v>
      </c>
      <c r="W70" t="s">
        <v>35</v>
      </c>
      <c r="X70" t="s">
        <v>40</v>
      </c>
      <c r="Y70">
        <v>9</v>
      </c>
      <c r="Z70" t="str">
        <f t="shared" si="24"/>
        <v>Bad Employee</v>
      </c>
      <c r="AA70" t="b">
        <f t="shared" si="25"/>
        <v>0</v>
      </c>
      <c r="AB70" t="b">
        <f>OR(Y70&gt;20, T70&gt;6)</f>
        <v>0</v>
      </c>
      <c r="AC70" t="str">
        <f>IF(OR(Y70&gt;20,T70&gt;6), "Good employee", "Bad Employee")</f>
        <v>Bad Employee</v>
      </c>
      <c r="AD70" t="s">
        <v>28</v>
      </c>
      <c r="AE70" t="s">
        <v>42</v>
      </c>
      <c r="AF70">
        <v>10</v>
      </c>
      <c r="AG70">
        <v>2016</v>
      </c>
      <c r="AH70" t="s">
        <v>43</v>
      </c>
      <c r="AI70">
        <v>90</v>
      </c>
      <c r="AJ70">
        <v>2.9</v>
      </c>
    </row>
    <row r="71" spans="1:36" x14ac:dyDescent="0.25">
      <c r="A71">
        <v>10070</v>
      </c>
      <c r="B71" t="s">
        <v>64</v>
      </c>
      <c r="C71" t="s">
        <v>51</v>
      </c>
      <c r="D71" t="s">
        <v>33</v>
      </c>
      <c r="E71" t="str">
        <f t="shared" si="13"/>
        <v>Katie Brown is in Marketing Department</v>
      </c>
      <c r="F71" s="6" t="str">
        <f t="shared" si="14"/>
        <v>katiebrown@gmail.com</v>
      </c>
      <c r="G71">
        <v>42300</v>
      </c>
      <c r="H71" t="str">
        <f t="shared" si="15"/>
        <v>low</v>
      </c>
      <c r="I71" s="3">
        <v>38133</v>
      </c>
      <c r="J71">
        <f t="shared" si="16"/>
        <v>2004</v>
      </c>
      <c r="K71">
        <f t="shared" si="17"/>
        <v>5</v>
      </c>
      <c r="L71">
        <f t="shared" si="18"/>
        <v>26</v>
      </c>
      <c r="M71" s="3">
        <f t="shared" ca="1" si="19"/>
        <v>46100</v>
      </c>
      <c r="N71">
        <f t="shared" ca="1" si="20"/>
        <v>7967</v>
      </c>
      <c r="O71">
        <f t="shared" ca="1" si="21"/>
        <v>7967</v>
      </c>
      <c r="P71">
        <f t="shared" ca="1" si="22"/>
        <v>5692</v>
      </c>
      <c r="Q71">
        <v>38</v>
      </c>
      <c r="R71" t="str">
        <f t="shared" si="23"/>
        <v>Old</v>
      </c>
      <c r="S71" t="s">
        <v>24</v>
      </c>
      <c r="T71">
        <v>2</v>
      </c>
      <c r="U71" t="s">
        <v>45</v>
      </c>
      <c r="V71">
        <v>9671.26</v>
      </c>
      <c r="W71" t="s">
        <v>58</v>
      </c>
      <c r="X71" t="s">
        <v>40</v>
      </c>
      <c r="Y71">
        <v>23</v>
      </c>
      <c r="Z71" t="str">
        <f t="shared" si="24"/>
        <v>Bad Employee</v>
      </c>
      <c r="AA71" t="b">
        <f t="shared" si="25"/>
        <v>0</v>
      </c>
      <c r="AB71" t="b">
        <f>OR(Y71&gt;20, T71&gt;6)</f>
        <v>1</v>
      </c>
      <c r="AC71" t="str">
        <f>IF(OR(Y71&gt;20,T71&gt;6), "Good employee", "Bad Employee")</f>
        <v>Good employee</v>
      </c>
      <c r="AD71" t="s">
        <v>56</v>
      </c>
      <c r="AE71" t="s">
        <v>37</v>
      </c>
      <c r="AF71">
        <v>16</v>
      </c>
      <c r="AG71">
        <v>2023</v>
      </c>
      <c r="AH71" t="s">
        <v>43</v>
      </c>
      <c r="AI71">
        <v>54</v>
      </c>
      <c r="AJ71">
        <v>3.1</v>
      </c>
    </row>
    <row r="72" spans="1:36" x14ac:dyDescent="0.25">
      <c r="A72">
        <v>10071</v>
      </c>
      <c r="B72" t="s">
        <v>60</v>
      </c>
      <c r="C72" t="s">
        <v>22</v>
      </c>
      <c r="D72" t="s">
        <v>33</v>
      </c>
      <c r="E72" t="str">
        <f t="shared" si="13"/>
        <v>Jane Williams is in Marketing Department</v>
      </c>
      <c r="F72" s="6" t="str">
        <f t="shared" si="14"/>
        <v>janewilliams@gmail.com</v>
      </c>
      <c r="G72">
        <v>63370</v>
      </c>
      <c r="H72" t="str">
        <f t="shared" si="15"/>
        <v>Medium</v>
      </c>
      <c r="I72" s="3">
        <v>39665</v>
      </c>
      <c r="J72">
        <f t="shared" si="16"/>
        <v>2008</v>
      </c>
      <c r="K72">
        <f t="shared" si="17"/>
        <v>8</v>
      </c>
      <c r="L72">
        <f t="shared" si="18"/>
        <v>5</v>
      </c>
      <c r="M72" s="3">
        <f t="shared" ca="1" si="19"/>
        <v>46100</v>
      </c>
      <c r="N72">
        <f t="shared" ca="1" si="20"/>
        <v>6435</v>
      </c>
      <c r="O72">
        <f t="shared" ca="1" si="21"/>
        <v>6435</v>
      </c>
      <c r="P72">
        <f t="shared" ca="1" si="22"/>
        <v>4598</v>
      </c>
      <c r="Q72">
        <v>26</v>
      </c>
      <c r="R72" t="str">
        <f t="shared" si="23"/>
        <v>Young</v>
      </c>
      <c r="S72" t="s">
        <v>24</v>
      </c>
      <c r="T72">
        <v>5</v>
      </c>
      <c r="U72" t="s">
        <v>45</v>
      </c>
      <c r="V72">
        <v>1481.14</v>
      </c>
      <c r="W72" t="s">
        <v>26</v>
      </c>
      <c r="X72" t="s">
        <v>36</v>
      </c>
      <c r="Y72">
        <v>36</v>
      </c>
      <c r="Z72" t="str">
        <f t="shared" si="24"/>
        <v>Bad Employee</v>
      </c>
      <c r="AA72" t="b">
        <f t="shared" si="25"/>
        <v>0</v>
      </c>
      <c r="AB72" t="b">
        <f>OR(Y72&gt;20, T72&gt;6)</f>
        <v>1</v>
      </c>
      <c r="AC72" t="str">
        <f>IF(OR(Y72&gt;20,T72&gt;6), "Good employee", "Bad Employee")</f>
        <v>Good employee</v>
      </c>
      <c r="AD72" t="s">
        <v>41</v>
      </c>
      <c r="AE72" t="s">
        <v>62</v>
      </c>
      <c r="AF72">
        <v>9</v>
      </c>
      <c r="AG72">
        <v>2014</v>
      </c>
      <c r="AH72" t="s">
        <v>30</v>
      </c>
      <c r="AI72">
        <v>131</v>
      </c>
      <c r="AJ72">
        <v>3.2</v>
      </c>
    </row>
    <row r="73" spans="1:36" x14ac:dyDescent="0.25">
      <c r="A73">
        <v>10072</v>
      </c>
      <c r="B73" t="s">
        <v>60</v>
      </c>
      <c r="C73" t="s">
        <v>65</v>
      </c>
      <c r="D73" t="s">
        <v>23</v>
      </c>
      <c r="E73" t="str">
        <f t="shared" si="13"/>
        <v>Jane Johnson is in HR Department</v>
      </c>
      <c r="F73" s="6" t="str">
        <f t="shared" si="14"/>
        <v>janejohnson@gmail.com</v>
      </c>
      <c r="G73">
        <v>99831</v>
      </c>
      <c r="H73" t="str">
        <f t="shared" si="15"/>
        <v>High</v>
      </c>
      <c r="I73" s="3">
        <v>37131</v>
      </c>
      <c r="J73">
        <f t="shared" si="16"/>
        <v>2001</v>
      </c>
      <c r="K73">
        <f t="shared" si="17"/>
        <v>8</v>
      </c>
      <c r="L73">
        <f t="shared" si="18"/>
        <v>28</v>
      </c>
      <c r="M73" s="3">
        <f t="shared" ca="1" si="19"/>
        <v>46100</v>
      </c>
      <c r="N73">
        <f t="shared" ca="1" si="20"/>
        <v>8969</v>
      </c>
      <c r="O73">
        <f t="shared" ca="1" si="21"/>
        <v>8969</v>
      </c>
      <c r="P73">
        <f t="shared" ca="1" si="22"/>
        <v>6408</v>
      </c>
      <c r="Q73">
        <v>33</v>
      </c>
      <c r="R73" t="str">
        <f t="shared" si="23"/>
        <v>Old</v>
      </c>
      <c r="S73" t="s">
        <v>24</v>
      </c>
      <c r="T73">
        <v>5</v>
      </c>
      <c r="U73" t="s">
        <v>45</v>
      </c>
      <c r="V73">
        <v>4871.67</v>
      </c>
      <c r="W73" t="s">
        <v>35</v>
      </c>
      <c r="X73" t="s">
        <v>36</v>
      </c>
      <c r="Y73">
        <v>28</v>
      </c>
      <c r="Z73" t="str">
        <f t="shared" si="24"/>
        <v>Bad Employee</v>
      </c>
      <c r="AA73" t="b">
        <f t="shared" si="25"/>
        <v>0</v>
      </c>
      <c r="AB73" t="b">
        <f>OR(Y73&gt;20, T73&gt;6)</f>
        <v>1</v>
      </c>
      <c r="AC73" t="str">
        <f>IF(OR(Y73&gt;20,T73&gt;6), "Good employee", "Bad Employee")</f>
        <v>Good employee</v>
      </c>
      <c r="AD73" t="s">
        <v>41</v>
      </c>
      <c r="AE73" t="s">
        <v>48</v>
      </c>
      <c r="AF73">
        <v>16</v>
      </c>
      <c r="AG73">
        <v>2016</v>
      </c>
      <c r="AH73" t="s">
        <v>49</v>
      </c>
      <c r="AI73">
        <v>8</v>
      </c>
      <c r="AJ73">
        <v>3.6</v>
      </c>
    </row>
    <row r="74" spans="1:36" x14ac:dyDescent="0.25">
      <c r="A74">
        <v>10073</v>
      </c>
      <c r="B74" t="s">
        <v>66</v>
      </c>
      <c r="C74" t="s">
        <v>32</v>
      </c>
      <c r="D74" t="s">
        <v>33</v>
      </c>
      <c r="E74" t="str">
        <f t="shared" si="13"/>
        <v>John Wilson is in Marketing Department</v>
      </c>
      <c r="F74" s="6" t="str">
        <f t="shared" si="14"/>
        <v>johnwilson@gmail.com</v>
      </c>
      <c r="G74">
        <v>57209</v>
      </c>
      <c r="H74" t="str">
        <f t="shared" si="15"/>
        <v>Medium</v>
      </c>
      <c r="I74" s="3">
        <v>42688</v>
      </c>
      <c r="J74">
        <f t="shared" si="16"/>
        <v>2016</v>
      </c>
      <c r="K74">
        <f t="shared" si="17"/>
        <v>11</v>
      </c>
      <c r="L74">
        <f t="shared" si="18"/>
        <v>14</v>
      </c>
      <c r="M74" s="3">
        <f t="shared" ca="1" si="19"/>
        <v>46100</v>
      </c>
      <c r="N74">
        <f t="shared" ca="1" si="20"/>
        <v>3412</v>
      </c>
      <c r="O74">
        <f t="shared" ca="1" si="21"/>
        <v>3412</v>
      </c>
      <c r="P74">
        <f t="shared" ca="1" si="22"/>
        <v>2439</v>
      </c>
      <c r="Q74">
        <v>59</v>
      </c>
      <c r="R74" t="str">
        <f t="shared" si="23"/>
        <v>Old</v>
      </c>
      <c r="S74" t="s">
        <v>24</v>
      </c>
      <c r="T74">
        <v>1</v>
      </c>
      <c r="U74" t="s">
        <v>25</v>
      </c>
      <c r="V74">
        <v>4481.25</v>
      </c>
      <c r="W74" t="s">
        <v>46</v>
      </c>
      <c r="X74" t="s">
        <v>36</v>
      </c>
      <c r="Y74">
        <v>29</v>
      </c>
      <c r="Z74" t="str">
        <f t="shared" si="24"/>
        <v>Bad Employee</v>
      </c>
      <c r="AA74" t="b">
        <f t="shared" si="25"/>
        <v>0</v>
      </c>
      <c r="AB74" t="b">
        <f>OR(Y74&gt;20, T74&gt;6)</f>
        <v>1</v>
      </c>
      <c r="AC74" t="str">
        <f>IF(OR(Y74&gt;20,T74&gt;6), "Good employee", "Bad Employee")</f>
        <v>Good employee</v>
      </c>
      <c r="AD74" t="s">
        <v>28</v>
      </c>
      <c r="AE74" t="s">
        <v>42</v>
      </c>
      <c r="AF74">
        <v>13</v>
      </c>
      <c r="AG74">
        <v>2011</v>
      </c>
      <c r="AH74" t="s">
        <v>43</v>
      </c>
      <c r="AI74">
        <v>67</v>
      </c>
      <c r="AJ74">
        <v>3</v>
      </c>
    </row>
    <row r="75" spans="1:36" x14ac:dyDescent="0.25">
      <c r="A75">
        <v>10074</v>
      </c>
      <c r="B75" t="s">
        <v>60</v>
      </c>
      <c r="C75" t="s">
        <v>32</v>
      </c>
      <c r="D75" t="s">
        <v>33</v>
      </c>
      <c r="E75" t="str">
        <f t="shared" si="13"/>
        <v>Jane Wilson is in Marketing Department</v>
      </c>
      <c r="F75" s="6" t="str">
        <f t="shared" si="14"/>
        <v>janewilson@gmail.com</v>
      </c>
      <c r="G75">
        <v>50927</v>
      </c>
      <c r="H75" t="str">
        <f t="shared" si="15"/>
        <v>Medium</v>
      </c>
      <c r="I75" s="3">
        <v>41261</v>
      </c>
      <c r="J75">
        <f t="shared" si="16"/>
        <v>2012</v>
      </c>
      <c r="K75">
        <f t="shared" si="17"/>
        <v>12</v>
      </c>
      <c r="L75">
        <f t="shared" si="18"/>
        <v>18</v>
      </c>
      <c r="M75" s="3">
        <f t="shared" ca="1" si="19"/>
        <v>46100</v>
      </c>
      <c r="N75">
        <f t="shared" ca="1" si="20"/>
        <v>4839</v>
      </c>
      <c r="O75">
        <f t="shared" ca="1" si="21"/>
        <v>4839</v>
      </c>
      <c r="P75">
        <f t="shared" ca="1" si="22"/>
        <v>3458</v>
      </c>
      <c r="Q75">
        <v>39</v>
      </c>
      <c r="R75" t="str">
        <f t="shared" si="23"/>
        <v>Old</v>
      </c>
      <c r="S75" t="s">
        <v>34</v>
      </c>
      <c r="T75">
        <v>3</v>
      </c>
      <c r="U75" t="s">
        <v>25</v>
      </c>
      <c r="V75">
        <v>6201.96</v>
      </c>
      <c r="W75" t="s">
        <v>35</v>
      </c>
      <c r="X75" t="s">
        <v>27</v>
      </c>
      <c r="Y75">
        <v>32</v>
      </c>
      <c r="Z75" t="str">
        <f t="shared" si="24"/>
        <v>Bad Employee</v>
      </c>
      <c r="AA75" t="b">
        <f t="shared" si="25"/>
        <v>0</v>
      </c>
      <c r="AB75" t="b">
        <f>OR(Y75&gt;20, T75&gt;6)</f>
        <v>1</v>
      </c>
      <c r="AC75" t="str">
        <f>IF(OR(Y75&gt;20,T75&gt;6), "Good employee", "Bad Employee")</f>
        <v>Good employee</v>
      </c>
      <c r="AD75" t="s">
        <v>56</v>
      </c>
      <c r="AE75" t="s">
        <v>37</v>
      </c>
      <c r="AF75">
        <v>0</v>
      </c>
      <c r="AG75">
        <v>2013</v>
      </c>
      <c r="AH75" t="s">
        <v>30</v>
      </c>
      <c r="AI75">
        <v>199</v>
      </c>
      <c r="AJ75">
        <v>2</v>
      </c>
    </row>
    <row r="76" spans="1:36" x14ac:dyDescent="0.25">
      <c r="A76">
        <v>10075</v>
      </c>
      <c r="B76" t="s">
        <v>38</v>
      </c>
      <c r="C76" t="s">
        <v>61</v>
      </c>
      <c r="D76" t="s">
        <v>54</v>
      </c>
      <c r="E76" t="str">
        <f t="shared" si="13"/>
        <v>Chris Smith is in Finance Department</v>
      </c>
      <c r="F76" s="6" t="str">
        <f t="shared" si="14"/>
        <v>chrissmith@gmail.com</v>
      </c>
      <c r="G76">
        <v>64579</v>
      </c>
      <c r="H76" t="str">
        <f t="shared" si="15"/>
        <v>Medium</v>
      </c>
      <c r="I76" s="3">
        <v>39940</v>
      </c>
      <c r="J76">
        <f t="shared" si="16"/>
        <v>2009</v>
      </c>
      <c r="K76">
        <f t="shared" si="17"/>
        <v>5</v>
      </c>
      <c r="L76">
        <f t="shared" si="18"/>
        <v>7</v>
      </c>
      <c r="M76" s="3">
        <f t="shared" ca="1" si="19"/>
        <v>46100</v>
      </c>
      <c r="N76">
        <f t="shared" ca="1" si="20"/>
        <v>6160</v>
      </c>
      <c r="O76">
        <f t="shared" ca="1" si="21"/>
        <v>6160</v>
      </c>
      <c r="P76">
        <f t="shared" ca="1" si="22"/>
        <v>4401</v>
      </c>
      <c r="Q76">
        <v>47</v>
      </c>
      <c r="R76" t="str">
        <f t="shared" si="23"/>
        <v>Old</v>
      </c>
      <c r="S76" t="s">
        <v>24</v>
      </c>
      <c r="T76">
        <v>7</v>
      </c>
      <c r="U76" t="s">
        <v>45</v>
      </c>
      <c r="V76">
        <v>8213.66</v>
      </c>
      <c r="W76" t="s">
        <v>26</v>
      </c>
      <c r="X76" t="s">
        <v>47</v>
      </c>
      <c r="Y76">
        <v>12</v>
      </c>
      <c r="Z76" t="str">
        <f t="shared" si="24"/>
        <v>Bad Employee</v>
      </c>
      <c r="AA76" t="b">
        <f t="shared" si="25"/>
        <v>0</v>
      </c>
      <c r="AB76" t="b">
        <f>OR(Y76&gt;20, T76&gt;6)</f>
        <v>1</v>
      </c>
      <c r="AC76" t="str">
        <f>IF(OR(Y76&gt;20,T76&gt;6), "Good employee", "Bad Employee")</f>
        <v>Good employee</v>
      </c>
      <c r="AD76" t="s">
        <v>56</v>
      </c>
      <c r="AE76" t="s">
        <v>48</v>
      </c>
      <c r="AF76">
        <v>8</v>
      </c>
      <c r="AG76">
        <v>2015</v>
      </c>
      <c r="AH76" t="s">
        <v>49</v>
      </c>
      <c r="AI76">
        <v>117</v>
      </c>
      <c r="AJ76">
        <v>4.4000000000000004</v>
      </c>
    </row>
    <row r="77" spans="1:36" x14ac:dyDescent="0.25">
      <c r="A77">
        <v>10076</v>
      </c>
      <c r="B77" t="s">
        <v>60</v>
      </c>
      <c r="C77" t="s">
        <v>65</v>
      </c>
      <c r="D77" t="s">
        <v>39</v>
      </c>
      <c r="E77" t="str">
        <f t="shared" si="13"/>
        <v>Jane Johnson is in IT Department</v>
      </c>
      <c r="F77" s="6" t="str">
        <f t="shared" si="14"/>
        <v>janejohnson@gmail.com</v>
      </c>
      <c r="G77">
        <v>39032</v>
      </c>
      <c r="H77" t="str">
        <f t="shared" si="15"/>
        <v>extremely low</v>
      </c>
      <c r="I77" s="3">
        <v>40191</v>
      </c>
      <c r="J77">
        <f t="shared" si="16"/>
        <v>2010</v>
      </c>
      <c r="K77">
        <f t="shared" si="17"/>
        <v>1</v>
      </c>
      <c r="L77">
        <f t="shared" si="18"/>
        <v>13</v>
      </c>
      <c r="M77" s="3">
        <f t="shared" ca="1" si="19"/>
        <v>46100</v>
      </c>
      <c r="N77">
        <f t="shared" ca="1" si="20"/>
        <v>5909</v>
      </c>
      <c r="O77">
        <f t="shared" ca="1" si="21"/>
        <v>5909</v>
      </c>
      <c r="P77">
        <f t="shared" ca="1" si="22"/>
        <v>4222</v>
      </c>
      <c r="Q77">
        <v>52</v>
      </c>
      <c r="R77" t="str">
        <f t="shared" si="23"/>
        <v>Old</v>
      </c>
      <c r="S77" t="s">
        <v>24</v>
      </c>
      <c r="T77">
        <v>9</v>
      </c>
      <c r="U77" t="s">
        <v>25</v>
      </c>
      <c r="V77">
        <v>8493.76</v>
      </c>
      <c r="W77" t="s">
        <v>26</v>
      </c>
      <c r="X77" t="s">
        <v>36</v>
      </c>
      <c r="Y77">
        <v>30</v>
      </c>
      <c r="Z77" t="str">
        <f t="shared" si="24"/>
        <v>Good Employee</v>
      </c>
      <c r="AA77" t="b">
        <f t="shared" si="25"/>
        <v>1</v>
      </c>
      <c r="AB77" t="b">
        <f>OR(Y77&gt;20, T77&gt;6)</f>
        <v>1</v>
      </c>
      <c r="AC77" t="str">
        <f>IF(OR(Y77&gt;20,T77&gt;6), "Good employee", "Bad Employee")</f>
        <v>Good employee</v>
      </c>
      <c r="AD77" t="s">
        <v>28</v>
      </c>
      <c r="AE77" t="s">
        <v>48</v>
      </c>
      <c r="AF77">
        <v>14</v>
      </c>
      <c r="AG77">
        <v>2021</v>
      </c>
      <c r="AH77" t="s">
        <v>43</v>
      </c>
      <c r="AI77">
        <v>60</v>
      </c>
      <c r="AJ77">
        <v>3.6</v>
      </c>
    </row>
    <row r="78" spans="1:36" x14ac:dyDescent="0.25">
      <c r="A78">
        <v>10077</v>
      </c>
      <c r="B78" t="s">
        <v>31</v>
      </c>
      <c r="C78" t="s">
        <v>63</v>
      </c>
      <c r="D78" t="s">
        <v>44</v>
      </c>
      <c r="E78" t="str">
        <f t="shared" si="13"/>
        <v>Emily Miller is in Sales Department</v>
      </c>
      <c r="F78" s="6" t="str">
        <f t="shared" si="14"/>
        <v>emilymiller@gmail.com</v>
      </c>
      <c r="G78">
        <v>108413</v>
      </c>
      <c r="H78" t="str">
        <f t="shared" si="15"/>
        <v>High</v>
      </c>
      <c r="I78" s="3">
        <v>42411</v>
      </c>
      <c r="J78">
        <f t="shared" si="16"/>
        <v>2016</v>
      </c>
      <c r="K78">
        <f t="shared" si="17"/>
        <v>2</v>
      </c>
      <c r="L78">
        <f t="shared" si="18"/>
        <v>11</v>
      </c>
      <c r="M78" s="3">
        <f t="shared" ca="1" si="19"/>
        <v>46100</v>
      </c>
      <c r="N78">
        <f t="shared" ca="1" si="20"/>
        <v>3689</v>
      </c>
      <c r="O78">
        <f t="shared" ca="1" si="21"/>
        <v>3689</v>
      </c>
      <c r="P78">
        <f t="shared" ca="1" si="22"/>
        <v>2636</v>
      </c>
      <c r="Q78">
        <v>58</v>
      </c>
      <c r="R78" t="str">
        <f t="shared" si="23"/>
        <v>Old</v>
      </c>
      <c r="S78" t="s">
        <v>24</v>
      </c>
      <c r="T78">
        <v>5</v>
      </c>
      <c r="U78" t="s">
        <v>25</v>
      </c>
      <c r="V78">
        <v>6866.85</v>
      </c>
      <c r="W78" t="s">
        <v>26</v>
      </c>
      <c r="X78" t="s">
        <v>55</v>
      </c>
      <c r="Y78">
        <v>11</v>
      </c>
      <c r="Z78" t="str">
        <f t="shared" si="24"/>
        <v>Bad Employee</v>
      </c>
      <c r="AA78" t="b">
        <f t="shared" si="25"/>
        <v>0</v>
      </c>
      <c r="AB78" t="b">
        <f>OR(Y78&gt;20, T78&gt;6)</f>
        <v>0</v>
      </c>
      <c r="AC78" t="str">
        <f>IF(OR(Y78&gt;20,T78&gt;6), "Good employee", "Bad Employee")</f>
        <v>Bad Employee</v>
      </c>
      <c r="AD78" t="s">
        <v>41</v>
      </c>
      <c r="AE78" t="s">
        <v>62</v>
      </c>
      <c r="AF78">
        <v>3</v>
      </c>
      <c r="AG78">
        <v>2014</v>
      </c>
      <c r="AH78" t="s">
        <v>30</v>
      </c>
      <c r="AI78">
        <v>181</v>
      </c>
      <c r="AJ78">
        <v>4.4000000000000004</v>
      </c>
    </row>
    <row r="79" spans="1:36" x14ac:dyDescent="0.25">
      <c r="A79">
        <v>10078</v>
      </c>
      <c r="B79" t="s">
        <v>31</v>
      </c>
      <c r="C79" t="s">
        <v>63</v>
      </c>
      <c r="D79" t="s">
        <v>44</v>
      </c>
      <c r="E79" t="str">
        <f t="shared" si="13"/>
        <v>Emily Miller is in Sales Department</v>
      </c>
      <c r="F79" s="6" t="str">
        <f t="shared" si="14"/>
        <v>emilymiller@gmail.com</v>
      </c>
      <c r="G79">
        <v>70731</v>
      </c>
      <c r="H79" t="str">
        <f t="shared" si="15"/>
        <v>Medium</v>
      </c>
      <c r="I79" s="3">
        <v>42378</v>
      </c>
      <c r="J79">
        <f t="shared" si="16"/>
        <v>2016</v>
      </c>
      <c r="K79">
        <f t="shared" si="17"/>
        <v>1</v>
      </c>
      <c r="L79">
        <f t="shared" si="18"/>
        <v>9</v>
      </c>
      <c r="M79" s="3">
        <f t="shared" ca="1" si="19"/>
        <v>46100</v>
      </c>
      <c r="N79">
        <f t="shared" ca="1" si="20"/>
        <v>3722</v>
      </c>
      <c r="O79">
        <f t="shared" ca="1" si="21"/>
        <v>3722</v>
      </c>
      <c r="P79">
        <f t="shared" ca="1" si="22"/>
        <v>2659</v>
      </c>
      <c r="Q79">
        <v>27</v>
      </c>
      <c r="R79" t="str">
        <f t="shared" si="23"/>
        <v>Young</v>
      </c>
      <c r="S79" t="s">
        <v>24</v>
      </c>
      <c r="T79">
        <v>4</v>
      </c>
      <c r="U79" t="s">
        <v>45</v>
      </c>
      <c r="V79">
        <v>6594.6</v>
      </c>
      <c r="W79" t="s">
        <v>35</v>
      </c>
      <c r="X79" t="s">
        <v>36</v>
      </c>
      <c r="Y79">
        <v>37</v>
      </c>
      <c r="Z79" t="str">
        <f t="shared" si="24"/>
        <v>Bad Employee</v>
      </c>
      <c r="AA79" t="b">
        <f t="shared" si="25"/>
        <v>0</v>
      </c>
      <c r="AB79" t="b">
        <f>OR(Y79&gt;20, T79&gt;6)</f>
        <v>1</v>
      </c>
      <c r="AC79" t="str">
        <f>IF(OR(Y79&gt;20,T79&gt;6), "Good employee", "Bad Employee")</f>
        <v>Good employee</v>
      </c>
      <c r="AD79" t="s">
        <v>41</v>
      </c>
      <c r="AE79" t="s">
        <v>42</v>
      </c>
      <c r="AF79">
        <v>19</v>
      </c>
      <c r="AG79">
        <v>2020</v>
      </c>
      <c r="AH79" t="s">
        <v>49</v>
      </c>
      <c r="AI79">
        <v>154</v>
      </c>
      <c r="AJ79">
        <v>2.1</v>
      </c>
    </row>
    <row r="80" spans="1:36" x14ac:dyDescent="0.25">
      <c r="A80">
        <v>10079</v>
      </c>
      <c r="B80" t="s">
        <v>21</v>
      </c>
      <c r="C80" t="s">
        <v>51</v>
      </c>
      <c r="D80" t="s">
        <v>33</v>
      </c>
      <c r="E80" t="str">
        <f t="shared" si="13"/>
        <v>Michael Brown is in Marketing Department</v>
      </c>
      <c r="F80" s="6" t="str">
        <f t="shared" si="14"/>
        <v>michaelbrown@gmail.com</v>
      </c>
      <c r="G80">
        <v>83767</v>
      </c>
      <c r="H80" t="str">
        <f t="shared" si="15"/>
        <v>High</v>
      </c>
      <c r="I80" s="3">
        <v>41988</v>
      </c>
      <c r="J80">
        <f t="shared" si="16"/>
        <v>2014</v>
      </c>
      <c r="K80">
        <f t="shared" si="17"/>
        <v>12</v>
      </c>
      <c r="L80">
        <f t="shared" si="18"/>
        <v>15</v>
      </c>
      <c r="M80" s="3">
        <f t="shared" ca="1" si="19"/>
        <v>46100</v>
      </c>
      <c r="N80">
        <f t="shared" ca="1" si="20"/>
        <v>4112</v>
      </c>
      <c r="O80">
        <f t="shared" ca="1" si="21"/>
        <v>4112</v>
      </c>
      <c r="P80">
        <f t="shared" ca="1" si="22"/>
        <v>2939</v>
      </c>
      <c r="Q80">
        <v>62</v>
      </c>
      <c r="R80" t="str">
        <f t="shared" si="23"/>
        <v>Old</v>
      </c>
      <c r="S80" t="s">
        <v>34</v>
      </c>
      <c r="T80">
        <v>3</v>
      </c>
      <c r="U80" t="s">
        <v>25</v>
      </c>
      <c r="V80">
        <v>9515.7800000000007</v>
      </c>
      <c r="W80" t="s">
        <v>26</v>
      </c>
      <c r="X80" t="s">
        <v>27</v>
      </c>
      <c r="Y80">
        <v>20</v>
      </c>
      <c r="Z80" t="str">
        <f t="shared" si="24"/>
        <v>Bad Employee</v>
      </c>
      <c r="AA80" t="b">
        <f t="shared" si="25"/>
        <v>0</v>
      </c>
      <c r="AB80" t="b">
        <f>OR(Y80&gt;20, T80&gt;6)</f>
        <v>0</v>
      </c>
      <c r="AC80" t="str">
        <f>IF(OR(Y80&gt;20,T80&gt;6), "Good employee", "Bad Employee")</f>
        <v>Bad Employee</v>
      </c>
      <c r="AD80" t="s">
        <v>56</v>
      </c>
      <c r="AE80" t="s">
        <v>29</v>
      </c>
      <c r="AF80">
        <v>2</v>
      </c>
      <c r="AG80">
        <v>2011</v>
      </c>
      <c r="AH80" t="s">
        <v>43</v>
      </c>
      <c r="AI80">
        <v>144</v>
      </c>
      <c r="AJ80">
        <v>3.5</v>
      </c>
    </row>
    <row r="81" spans="1:36" x14ac:dyDescent="0.25">
      <c r="A81">
        <v>10080</v>
      </c>
      <c r="B81" t="s">
        <v>31</v>
      </c>
      <c r="C81" t="s">
        <v>63</v>
      </c>
      <c r="D81" t="s">
        <v>52</v>
      </c>
      <c r="E81" t="str">
        <f t="shared" si="13"/>
        <v>Emily Miller is in Operations Department</v>
      </c>
      <c r="F81" s="6" t="str">
        <f t="shared" si="14"/>
        <v>emilymiller@gmail.com</v>
      </c>
      <c r="G81">
        <v>102302</v>
      </c>
      <c r="H81" t="str">
        <f t="shared" si="15"/>
        <v>High</v>
      </c>
      <c r="I81" s="3">
        <v>38670</v>
      </c>
      <c r="J81">
        <f t="shared" si="16"/>
        <v>2005</v>
      </c>
      <c r="K81">
        <f t="shared" si="17"/>
        <v>11</v>
      </c>
      <c r="L81">
        <f t="shared" si="18"/>
        <v>14</v>
      </c>
      <c r="M81" s="3">
        <f t="shared" ca="1" si="19"/>
        <v>46100</v>
      </c>
      <c r="N81">
        <f t="shared" ca="1" si="20"/>
        <v>7430</v>
      </c>
      <c r="O81">
        <f t="shared" ca="1" si="21"/>
        <v>7430</v>
      </c>
      <c r="P81">
        <f t="shared" ca="1" si="22"/>
        <v>5309</v>
      </c>
      <c r="Q81">
        <v>36</v>
      </c>
      <c r="R81" t="str">
        <f t="shared" si="23"/>
        <v>Old</v>
      </c>
      <c r="S81" t="s">
        <v>24</v>
      </c>
      <c r="T81">
        <v>9</v>
      </c>
      <c r="U81" t="s">
        <v>25</v>
      </c>
      <c r="V81">
        <v>4145.03</v>
      </c>
      <c r="W81" t="s">
        <v>26</v>
      </c>
      <c r="X81" t="s">
        <v>47</v>
      </c>
      <c r="Y81">
        <v>11</v>
      </c>
      <c r="Z81" t="str">
        <f t="shared" si="24"/>
        <v>Bad Employee</v>
      </c>
      <c r="AA81" t="b">
        <f t="shared" si="25"/>
        <v>0</v>
      </c>
      <c r="AB81" t="b">
        <f>OR(Y81&gt;20, T81&gt;6)</f>
        <v>1</v>
      </c>
      <c r="AC81" t="str">
        <f>IF(OR(Y81&gt;20,T81&gt;6), "Good employee", "Bad Employee")</f>
        <v>Good employee</v>
      </c>
      <c r="AD81" t="s">
        <v>56</v>
      </c>
      <c r="AE81" t="s">
        <v>59</v>
      </c>
      <c r="AF81">
        <v>19</v>
      </c>
      <c r="AG81">
        <v>2021</v>
      </c>
      <c r="AH81" t="s">
        <v>30</v>
      </c>
      <c r="AI81">
        <v>181</v>
      </c>
      <c r="AJ81">
        <v>3.9</v>
      </c>
    </row>
    <row r="82" spans="1:36" x14ac:dyDescent="0.25">
      <c r="A82">
        <v>10081</v>
      </c>
      <c r="B82" t="s">
        <v>21</v>
      </c>
      <c r="C82" t="s">
        <v>32</v>
      </c>
      <c r="D82" t="s">
        <v>44</v>
      </c>
      <c r="E82" t="str">
        <f t="shared" si="13"/>
        <v>Michael Wilson is in Sales Department</v>
      </c>
      <c r="F82" s="6" t="str">
        <f t="shared" si="14"/>
        <v>michaelwilson@gmail.com</v>
      </c>
      <c r="G82">
        <v>79954</v>
      </c>
      <c r="H82" t="str">
        <f t="shared" si="15"/>
        <v>Medium</v>
      </c>
      <c r="I82" s="3">
        <v>43745</v>
      </c>
      <c r="J82">
        <f t="shared" si="16"/>
        <v>2019</v>
      </c>
      <c r="K82">
        <f t="shared" si="17"/>
        <v>10</v>
      </c>
      <c r="L82">
        <f t="shared" si="18"/>
        <v>7</v>
      </c>
      <c r="M82" s="3">
        <f t="shared" ca="1" si="19"/>
        <v>46100</v>
      </c>
      <c r="N82">
        <f t="shared" ca="1" si="20"/>
        <v>2355</v>
      </c>
      <c r="O82">
        <f t="shared" ca="1" si="21"/>
        <v>2355</v>
      </c>
      <c r="P82">
        <f t="shared" ca="1" si="22"/>
        <v>1684</v>
      </c>
      <c r="Q82">
        <v>63</v>
      </c>
      <c r="R82" t="str">
        <f t="shared" si="23"/>
        <v>Old</v>
      </c>
      <c r="S82" t="s">
        <v>24</v>
      </c>
      <c r="T82">
        <v>7</v>
      </c>
      <c r="U82" t="s">
        <v>25</v>
      </c>
      <c r="V82">
        <v>8411.44</v>
      </c>
      <c r="W82" t="s">
        <v>35</v>
      </c>
      <c r="X82" t="s">
        <v>36</v>
      </c>
      <c r="Y82">
        <v>38</v>
      </c>
      <c r="Z82" t="str">
        <f t="shared" si="24"/>
        <v>Good Employee</v>
      </c>
      <c r="AA82" t="b">
        <f t="shared" si="25"/>
        <v>1</v>
      </c>
      <c r="AB82" t="b">
        <f>OR(Y82&gt;20, T82&gt;6)</f>
        <v>1</v>
      </c>
      <c r="AC82" t="str">
        <f>IF(OR(Y82&gt;20,T82&gt;6), "Good employee", "Bad Employee")</f>
        <v>Good employee</v>
      </c>
      <c r="AD82" t="s">
        <v>28</v>
      </c>
      <c r="AE82" t="s">
        <v>29</v>
      </c>
      <c r="AF82">
        <v>6</v>
      </c>
      <c r="AG82">
        <v>2016</v>
      </c>
      <c r="AH82" t="s">
        <v>49</v>
      </c>
      <c r="AI82">
        <v>17</v>
      </c>
      <c r="AJ82">
        <v>2.5</v>
      </c>
    </row>
    <row r="83" spans="1:36" x14ac:dyDescent="0.25">
      <c r="A83">
        <v>10082</v>
      </c>
      <c r="B83" t="s">
        <v>31</v>
      </c>
      <c r="C83" t="s">
        <v>63</v>
      </c>
      <c r="D83" t="s">
        <v>33</v>
      </c>
      <c r="E83" t="str">
        <f t="shared" si="13"/>
        <v>Emily Miller is in Marketing Department</v>
      </c>
      <c r="F83" s="6" t="str">
        <f t="shared" si="14"/>
        <v>emilymiller@gmail.com</v>
      </c>
      <c r="G83">
        <v>118365</v>
      </c>
      <c r="H83" t="str">
        <f t="shared" si="15"/>
        <v>High</v>
      </c>
      <c r="I83" s="3">
        <v>40796</v>
      </c>
      <c r="J83">
        <f t="shared" si="16"/>
        <v>2011</v>
      </c>
      <c r="K83">
        <f t="shared" si="17"/>
        <v>9</v>
      </c>
      <c r="L83">
        <f t="shared" si="18"/>
        <v>10</v>
      </c>
      <c r="M83" s="3">
        <f t="shared" ca="1" si="19"/>
        <v>46100</v>
      </c>
      <c r="N83">
        <f t="shared" ca="1" si="20"/>
        <v>5304</v>
      </c>
      <c r="O83">
        <f t="shared" ca="1" si="21"/>
        <v>5304</v>
      </c>
      <c r="P83">
        <f t="shared" ca="1" si="22"/>
        <v>3789</v>
      </c>
      <c r="Q83">
        <v>47</v>
      </c>
      <c r="R83" t="str">
        <f t="shared" si="23"/>
        <v>Old</v>
      </c>
      <c r="S83" t="s">
        <v>34</v>
      </c>
      <c r="T83">
        <v>7</v>
      </c>
      <c r="U83" t="s">
        <v>25</v>
      </c>
      <c r="V83">
        <v>9254.2900000000009</v>
      </c>
      <c r="W83" t="s">
        <v>35</v>
      </c>
      <c r="X83" t="s">
        <v>40</v>
      </c>
      <c r="Y83">
        <v>16</v>
      </c>
      <c r="Z83" t="str">
        <f t="shared" si="24"/>
        <v>Bad Employee</v>
      </c>
      <c r="AA83" t="b">
        <f t="shared" si="25"/>
        <v>0</v>
      </c>
      <c r="AB83" t="b">
        <f>OR(Y83&gt;20, T83&gt;6)</f>
        <v>1</v>
      </c>
      <c r="AC83" t="str">
        <f>IF(OR(Y83&gt;20,T83&gt;6), "Good employee", "Bad Employee")</f>
        <v>Good employee</v>
      </c>
      <c r="AD83" t="s">
        <v>56</v>
      </c>
      <c r="AE83" t="s">
        <v>59</v>
      </c>
      <c r="AF83">
        <v>2</v>
      </c>
      <c r="AG83">
        <v>2011</v>
      </c>
      <c r="AH83" t="s">
        <v>30</v>
      </c>
      <c r="AI83">
        <v>109</v>
      </c>
      <c r="AJ83">
        <v>4.2</v>
      </c>
    </row>
    <row r="84" spans="1:36" x14ac:dyDescent="0.25">
      <c r="A84">
        <v>10083</v>
      </c>
      <c r="B84" t="s">
        <v>38</v>
      </c>
      <c r="C84" t="s">
        <v>22</v>
      </c>
      <c r="D84" t="s">
        <v>23</v>
      </c>
      <c r="E84" t="str">
        <f t="shared" si="13"/>
        <v>Chris Williams is in HR Department</v>
      </c>
      <c r="F84" s="6" t="str">
        <f t="shared" si="14"/>
        <v>chriswilliams@gmail.com</v>
      </c>
      <c r="G84">
        <v>115757</v>
      </c>
      <c r="H84" t="str">
        <f t="shared" si="15"/>
        <v>High</v>
      </c>
      <c r="I84" s="3">
        <v>40291</v>
      </c>
      <c r="J84">
        <f t="shared" si="16"/>
        <v>2010</v>
      </c>
      <c r="K84">
        <f t="shared" si="17"/>
        <v>4</v>
      </c>
      <c r="L84">
        <f t="shared" si="18"/>
        <v>23</v>
      </c>
      <c r="M84" s="3">
        <f t="shared" ca="1" si="19"/>
        <v>46100</v>
      </c>
      <c r="N84">
        <f t="shared" ca="1" si="20"/>
        <v>5809</v>
      </c>
      <c r="O84">
        <f t="shared" ca="1" si="21"/>
        <v>5809</v>
      </c>
      <c r="P84">
        <f t="shared" ca="1" si="22"/>
        <v>4150</v>
      </c>
      <c r="Q84">
        <v>33</v>
      </c>
      <c r="R84" t="str">
        <f t="shared" si="23"/>
        <v>Old</v>
      </c>
      <c r="S84" t="s">
        <v>34</v>
      </c>
      <c r="T84">
        <v>8</v>
      </c>
      <c r="U84" t="s">
        <v>45</v>
      </c>
      <c r="V84">
        <v>5169.62</v>
      </c>
      <c r="W84" t="s">
        <v>58</v>
      </c>
      <c r="X84" t="s">
        <v>36</v>
      </c>
      <c r="Y84">
        <v>35</v>
      </c>
      <c r="Z84" t="str">
        <f t="shared" si="24"/>
        <v>Good Employee</v>
      </c>
      <c r="AA84" t="b">
        <f t="shared" si="25"/>
        <v>1</v>
      </c>
      <c r="AB84" t="b">
        <f>OR(Y84&gt;20, T84&gt;6)</f>
        <v>1</v>
      </c>
      <c r="AC84" t="str">
        <f>IF(OR(Y84&gt;20,T84&gt;6), "Good employee", "Bad Employee")</f>
        <v>Good employee</v>
      </c>
      <c r="AD84" t="s">
        <v>41</v>
      </c>
      <c r="AE84" t="s">
        <v>42</v>
      </c>
      <c r="AF84">
        <v>14</v>
      </c>
      <c r="AG84">
        <v>2023</v>
      </c>
      <c r="AH84" t="s">
        <v>30</v>
      </c>
      <c r="AI84">
        <v>37</v>
      </c>
      <c r="AJ84">
        <v>1</v>
      </c>
    </row>
    <row r="85" spans="1:36" x14ac:dyDescent="0.25">
      <c r="A85">
        <v>10084</v>
      </c>
      <c r="B85" t="s">
        <v>53</v>
      </c>
      <c r="C85" t="s">
        <v>22</v>
      </c>
      <c r="D85" t="s">
        <v>23</v>
      </c>
      <c r="E85" t="str">
        <f t="shared" si="13"/>
        <v>Sarah Williams is in HR Department</v>
      </c>
      <c r="F85" s="6" t="str">
        <f t="shared" si="14"/>
        <v>sarahwilliams@gmail.com</v>
      </c>
      <c r="G85">
        <v>55102</v>
      </c>
      <c r="H85" t="str">
        <f t="shared" si="15"/>
        <v>Medium</v>
      </c>
      <c r="I85" s="3">
        <v>37902</v>
      </c>
      <c r="J85">
        <f t="shared" si="16"/>
        <v>2003</v>
      </c>
      <c r="K85">
        <f t="shared" si="17"/>
        <v>10</v>
      </c>
      <c r="L85">
        <f t="shared" si="18"/>
        <v>8</v>
      </c>
      <c r="M85" s="3">
        <f t="shared" ca="1" si="19"/>
        <v>46100</v>
      </c>
      <c r="N85">
        <f t="shared" ca="1" si="20"/>
        <v>8198</v>
      </c>
      <c r="O85">
        <f t="shared" ca="1" si="21"/>
        <v>8198</v>
      </c>
      <c r="P85">
        <f t="shared" ca="1" si="22"/>
        <v>5857</v>
      </c>
      <c r="Q85">
        <v>62</v>
      </c>
      <c r="R85" t="str">
        <f t="shared" si="23"/>
        <v>Old</v>
      </c>
      <c r="S85" t="s">
        <v>24</v>
      </c>
      <c r="T85">
        <v>1</v>
      </c>
      <c r="U85" t="s">
        <v>25</v>
      </c>
      <c r="V85">
        <v>7426.47</v>
      </c>
      <c r="W85" t="s">
        <v>35</v>
      </c>
      <c r="X85" t="s">
        <v>36</v>
      </c>
      <c r="Y85">
        <v>1</v>
      </c>
      <c r="Z85" t="str">
        <f t="shared" si="24"/>
        <v>Bad Employee</v>
      </c>
      <c r="AA85" t="b">
        <f t="shared" si="25"/>
        <v>0</v>
      </c>
      <c r="AB85" t="b">
        <f>OR(Y85&gt;20, T85&gt;6)</f>
        <v>0</v>
      </c>
      <c r="AC85" t="str">
        <f>IF(OR(Y85&gt;20,T85&gt;6), "Good employee", "Bad Employee")</f>
        <v>Bad Employee</v>
      </c>
      <c r="AD85" t="s">
        <v>41</v>
      </c>
      <c r="AE85" t="s">
        <v>37</v>
      </c>
      <c r="AF85">
        <v>9</v>
      </c>
      <c r="AG85">
        <v>2018</v>
      </c>
      <c r="AH85" t="s">
        <v>43</v>
      </c>
      <c r="AI85">
        <v>179</v>
      </c>
      <c r="AJ85">
        <v>3.4</v>
      </c>
    </row>
    <row r="86" spans="1:36" x14ac:dyDescent="0.25">
      <c r="A86">
        <v>10085</v>
      </c>
      <c r="B86" t="s">
        <v>21</v>
      </c>
      <c r="C86" t="s">
        <v>22</v>
      </c>
      <c r="D86" t="s">
        <v>23</v>
      </c>
      <c r="E86" t="str">
        <f t="shared" si="13"/>
        <v>Michael Williams is in HR Department</v>
      </c>
      <c r="F86" s="6" t="str">
        <f t="shared" si="14"/>
        <v>michaelwilliams@gmail.com</v>
      </c>
      <c r="G86">
        <v>64433</v>
      </c>
      <c r="H86" t="str">
        <f t="shared" si="15"/>
        <v>Medium</v>
      </c>
      <c r="I86" s="3">
        <v>39988</v>
      </c>
      <c r="J86">
        <f t="shared" si="16"/>
        <v>2009</v>
      </c>
      <c r="K86">
        <f t="shared" si="17"/>
        <v>6</v>
      </c>
      <c r="L86">
        <f t="shared" si="18"/>
        <v>24</v>
      </c>
      <c r="M86" s="3">
        <f t="shared" ca="1" si="19"/>
        <v>46100</v>
      </c>
      <c r="N86">
        <f t="shared" ca="1" si="20"/>
        <v>6112</v>
      </c>
      <c r="O86">
        <f t="shared" ca="1" si="21"/>
        <v>6112</v>
      </c>
      <c r="P86">
        <f t="shared" ca="1" si="22"/>
        <v>4367</v>
      </c>
      <c r="Q86">
        <v>35</v>
      </c>
      <c r="R86" t="str">
        <f t="shared" si="23"/>
        <v>Old</v>
      </c>
      <c r="S86" t="s">
        <v>34</v>
      </c>
      <c r="T86">
        <v>4</v>
      </c>
      <c r="U86" t="s">
        <v>45</v>
      </c>
      <c r="V86">
        <v>4081.69</v>
      </c>
      <c r="W86" t="s">
        <v>26</v>
      </c>
      <c r="X86" t="s">
        <v>47</v>
      </c>
      <c r="Y86">
        <v>25</v>
      </c>
      <c r="Z86" t="str">
        <f t="shared" si="24"/>
        <v>Bad Employee</v>
      </c>
      <c r="AA86" t="b">
        <f t="shared" si="25"/>
        <v>0</v>
      </c>
      <c r="AB86" t="b">
        <f>OR(Y86&gt;20, T86&gt;6)</f>
        <v>1</v>
      </c>
      <c r="AC86" t="str">
        <f>IF(OR(Y86&gt;20,T86&gt;6), "Good employee", "Bad Employee")</f>
        <v>Good employee</v>
      </c>
      <c r="AD86" t="s">
        <v>56</v>
      </c>
      <c r="AE86" t="s">
        <v>62</v>
      </c>
      <c r="AF86">
        <v>15</v>
      </c>
      <c r="AG86">
        <v>2016</v>
      </c>
      <c r="AH86" t="s">
        <v>30</v>
      </c>
      <c r="AI86">
        <v>68</v>
      </c>
      <c r="AJ86">
        <v>3.5</v>
      </c>
    </row>
    <row r="87" spans="1:36" x14ac:dyDescent="0.25">
      <c r="A87">
        <v>10086</v>
      </c>
      <c r="B87" t="s">
        <v>50</v>
      </c>
      <c r="C87" t="s">
        <v>63</v>
      </c>
      <c r="D87" t="s">
        <v>33</v>
      </c>
      <c r="E87" t="str">
        <f t="shared" si="13"/>
        <v>Alex Miller is in Marketing Department</v>
      </c>
      <c r="F87" s="6" t="str">
        <f t="shared" si="14"/>
        <v>alexmiller@gmail.com</v>
      </c>
      <c r="G87">
        <v>45932</v>
      </c>
      <c r="H87" t="str">
        <f t="shared" si="15"/>
        <v>low</v>
      </c>
      <c r="I87" s="3">
        <v>43808</v>
      </c>
      <c r="J87">
        <f t="shared" si="16"/>
        <v>2019</v>
      </c>
      <c r="K87">
        <f t="shared" si="17"/>
        <v>12</v>
      </c>
      <c r="L87">
        <f t="shared" si="18"/>
        <v>9</v>
      </c>
      <c r="M87" s="3">
        <f t="shared" ca="1" si="19"/>
        <v>46100</v>
      </c>
      <c r="N87">
        <f t="shared" ca="1" si="20"/>
        <v>2292</v>
      </c>
      <c r="O87">
        <f t="shared" ca="1" si="21"/>
        <v>2292</v>
      </c>
      <c r="P87">
        <f t="shared" ca="1" si="22"/>
        <v>1639</v>
      </c>
      <c r="Q87">
        <v>22</v>
      </c>
      <c r="R87" t="str">
        <f t="shared" si="23"/>
        <v>Young</v>
      </c>
      <c r="S87" t="s">
        <v>24</v>
      </c>
      <c r="T87">
        <v>5</v>
      </c>
      <c r="U87" t="s">
        <v>45</v>
      </c>
      <c r="V87">
        <v>2009.35</v>
      </c>
      <c r="W87" t="s">
        <v>46</v>
      </c>
      <c r="X87" t="s">
        <v>55</v>
      </c>
      <c r="Y87">
        <v>27</v>
      </c>
      <c r="Z87" t="str">
        <f t="shared" si="24"/>
        <v>Bad Employee</v>
      </c>
      <c r="AA87" t="b">
        <f t="shared" si="25"/>
        <v>0</v>
      </c>
      <c r="AB87" t="b">
        <f>OR(Y87&gt;20, T87&gt;6)</f>
        <v>1</v>
      </c>
      <c r="AC87" t="str">
        <f>IF(OR(Y87&gt;20,T87&gt;6), "Good employee", "Bad Employee")</f>
        <v>Good employee</v>
      </c>
      <c r="AD87" t="s">
        <v>28</v>
      </c>
      <c r="AE87" t="s">
        <v>42</v>
      </c>
      <c r="AF87">
        <v>16</v>
      </c>
      <c r="AG87">
        <v>2021</v>
      </c>
      <c r="AH87" t="s">
        <v>43</v>
      </c>
      <c r="AI87">
        <v>87</v>
      </c>
      <c r="AJ87">
        <v>3.1</v>
      </c>
    </row>
    <row r="88" spans="1:36" x14ac:dyDescent="0.25">
      <c r="A88">
        <v>10087</v>
      </c>
      <c r="B88" t="s">
        <v>64</v>
      </c>
      <c r="C88" t="s">
        <v>51</v>
      </c>
      <c r="D88" t="s">
        <v>54</v>
      </c>
      <c r="E88" t="str">
        <f t="shared" si="13"/>
        <v>Katie Brown is in Finance Department</v>
      </c>
      <c r="F88" s="6" t="str">
        <f t="shared" si="14"/>
        <v>katiebrown@gmail.com</v>
      </c>
      <c r="G88">
        <v>55714</v>
      </c>
      <c r="H88" t="str">
        <f t="shared" si="15"/>
        <v>Medium</v>
      </c>
      <c r="I88" s="3">
        <v>36873</v>
      </c>
      <c r="J88">
        <f t="shared" si="16"/>
        <v>2000</v>
      </c>
      <c r="K88">
        <f t="shared" si="17"/>
        <v>12</v>
      </c>
      <c r="L88">
        <f t="shared" si="18"/>
        <v>13</v>
      </c>
      <c r="M88" s="3">
        <f t="shared" ca="1" si="19"/>
        <v>46100</v>
      </c>
      <c r="N88">
        <f t="shared" ca="1" si="20"/>
        <v>9227</v>
      </c>
      <c r="O88">
        <f t="shared" ca="1" si="21"/>
        <v>9227</v>
      </c>
      <c r="P88">
        <f t="shared" ca="1" si="22"/>
        <v>6592</v>
      </c>
      <c r="Q88">
        <v>38</v>
      </c>
      <c r="R88" t="str">
        <f t="shared" si="23"/>
        <v>Old</v>
      </c>
      <c r="S88" t="s">
        <v>24</v>
      </c>
      <c r="T88">
        <v>5</v>
      </c>
      <c r="U88" t="s">
        <v>45</v>
      </c>
      <c r="V88">
        <v>6071.79</v>
      </c>
      <c r="W88" t="s">
        <v>26</v>
      </c>
      <c r="X88" t="s">
        <v>36</v>
      </c>
      <c r="Y88">
        <v>32</v>
      </c>
      <c r="Z88" t="str">
        <f t="shared" si="24"/>
        <v>Bad Employee</v>
      </c>
      <c r="AA88" t="b">
        <f t="shared" si="25"/>
        <v>0</v>
      </c>
      <c r="AB88" t="b">
        <f>OR(Y88&gt;20, T88&gt;6)</f>
        <v>1</v>
      </c>
      <c r="AC88" t="str">
        <f>IF(OR(Y88&gt;20,T88&gt;6), "Good employee", "Bad Employee")</f>
        <v>Good employee</v>
      </c>
      <c r="AD88" t="s">
        <v>41</v>
      </c>
      <c r="AE88" t="s">
        <v>29</v>
      </c>
      <c r="AF88">
        <v>18</v>
      </c>
      <c r="AG88">
        <v>2012</v>
      </c>
      <c r="AH88" t="s">
        <v>43</v>
      </c>
      <c r="AI88">
        <v>109</v>
      </c>
      <c r="AJ88">
        <v>3.5</v>
      </c>
    </row>
    <row r="89" spans="1:36" x14ac:dyDescent="0.25">
      <c r="A89">
        <v>10088</v>
      </c>
      <c r="B89" t="s">
        <v>66</v>
      </c>
      <c r="C89" t="s">
        <v>57</v>
      </c>
      <c r="D89" t="s">
        <v>52</v>
      </c>
      <c r="E89" t="str">
        <f t="shared" si="13"/>
        <v>John Davis is in Operations Department</v>
      </c>
      <c r="F89" s="6" t="str">
        <f t="shared" si="14"/>
        <v>johndavis@gmail.com</v>
      </c>
      <c r="G89">
        <v>87803</v>
      </c>
      <c r="H89" t="str">
        <f t="shared" si="15"/>
        <v>High</v>
      </c>
      <c r="I89" s="3">
        <v>36526</v>
      </c>
      <c r="J89">
        <f t="shared" si="16"/>
        <v>2000</v>
      </c>
      <c r="K89">
        <f t="shared" si="17"/>
        <v>1</v>
      </c>
      <c r="L89">
        <f t="shared" si="18"/>
        <v>1</v>
      </c>
      <c r="M89" s="3">
        <f t="shared" ca="1" si="19"/>
        <v>46100</v>
      </c>
      <c r="N89">
        <f t="shared" ca="1" si="20"/>
        <v>9574</v>
      </c>
      <c r="O89">
        <f t="shared" ca="1" si="21"/>
        <v>9574</v>
      </c>
      <c r="P89">
        <f t="shared" ca="1" si="22"/>
        <v>6839</v>
      </c>
      <c r="Q89">
        <v>54</v>
      </c>
      <c r="R89" t="str">
        <f t="shared" si="23"/>
        <v>Old</v>
      </c>
      <c r="S89" t="s">
        <v>34</v>
      </c>
      <c r="T89">
        <v>1</v>
      </c>
      <c r="U89" t="s">
        <v>45</v>
      </c>
      <c r="V89">
        <v>2366.48</v>
      </c>
      <c r="W89" t="s">
        <v>26</v>
      </c>
      <c r="X89" t="s">
        <v>36</v>
      </c>
      <c r="Y89">
        <v>6</v>
      </c>
      <c r="Z89" t="str">
        <f t="shared" si="24"/>
        <v>Bad Employee</v>
      </c>
      <c r="AA89" t="b">
        <f t="shared" si="25"/>
        <v>0</v>
      </c>
      <c r="AB89" t="b">
        <f>OR(Y89&gt;20, T89&gt;6)</f>
        <v>0</v>
      </c>
      <c r="AC89" t="str">
        <f>IF(OR(Y89&gt;20,T89&gt;6), "Good employee", "Bad Employee")</f>
        <v>Bad Employee</v>
      </c>
      <c r="AD89" t="s">
        <v>41</v>
      </c>
      <c r="AE89" t="s">
        <v>48</v>
      </c>
      <c r="AF89">
        <v>0</v>
      </c>
      <c r="AG89">
        <v>2015</v>
      </c>
      <c r="AH89" t="s">
        <v>30</v>
      </c>
      <c r="AI89">
        <v>149</v>
      </c>
      <c r="AJ89">
        <v>1.7</v>
      </c>
    </row>
    <row r="90" spans="1:36" x14ac:dyDescent="0.25">
      <c r="A90">
        <v>10089</v>
      </c>
      <c r="B90" t="s">
        <v>31</v>
      </c>
      <c r="C90" t="s">
        <v>57</v>
      </c>
      <c r="D90" t="s">
        <v>33</v>
      </c>
      <c r="E90" t="str">
        <f t="shared" si="13"/>
        <v>Emily Davis is in Marketing Department</v>
      </c>
      <c r="F90" s="6" t="str">
        <f t="shared" si="14"/>
        <v>emilydavis@gmail.com</v>
      </c>
      <c r="G90">
        <v>69743</v>
      </c>
      <c r="H90" t="str">
        <f t="shared" si="15"/>
        <v>Medium</v>
      </c>
      <c r="I90" s="3">
        <v>36588</v>
      </c>
      <c r="J90">
        <f t="shared" si="16"/>
        <v>2000</v>
      </c>
      <c r="K90">
        <f t="shared" si="17"/>
        <v>3</v>
      </c>
      <c r="L90">
        <f t="shared" si="18"/>
        <v>3</v>
      </c>
      <c r="M90" s="3">
        <f t="shared" ca="1" si="19"/>
        <v>46100</v>
      </c>
      <c r="N90">
        <f t="shared" ca="1" si="20"/>
        <v>9512</v>
      </c>
      <c r="O90">
        <f t="shared" ca="1" si="21"/>
        <v>9512</v>
      </c>
      <c r="P90">
        <f t="shared" ca="1" si="22"/>
        <v>6795</v>
      </c>
      <c r="Q90">
        <v>50</v>
      </c>
      <c r="R90" t="str">
        <f t="shared" si="23"/>
        <v>Old</v>
      </c>
      <c r="S90" t="s">
        <v>24</v>
      </c>
      <c r="T90">
        <v>3</v>
      </c>
      <c r="U90" t="s">
        <v>25</v>
      </c>
      <c r="V90">
        <v>4847.1899999999996</v>
      </c>
      <c r="W90" t="s">
        <v>26</v>
      </c>
      <c r="X90" t="s">
        <v>27</v>
      </c>
      <c r="Y90">
        <v>36</v>
      </c>
      <c r="Z90" t="str">
        <f t="shared" si="24"/>
        <v>Bad Employee</v>
      </c>
      <c r="AA90" t="b">
        <f t="shared" si="25"/>
        <v>0</v>
      </c>
      <c r="AB90" t="b">
        <f>OR(Y90&gt;20, T90&gt;6)</f>
        <v>1</v>
      </c>
      <c r="AC90" t="str">
        <f>IF(OR(Y90&gt;20,T90&gt;6), "Good employee", "Bad Employee")</f>
        <v>Good employee</v>
      </c>
      <c r="AD90" t="s">
        <v>28</v>
      </c>
      <c r="AE90" t="s">
        <v>59</v>
      </c>
      <c r="AF90">
        <v>0</v>
      </c>
      <c r="AG90">
        <v>2014</v>
      </c>
      <c r="AH90" t="s">
        <v>30</v>
      </c>
      <c r="AI90">
        <v>38</v>
      </c>
      <c r="AJ90">
        <v>3.7</v>
      </c>
    </row>
    <row r="91" spans="1:36" x14ac:dyDescent="0.25">
      <c r="A91">
        <v>10090</v>
      </c>
      <c r="B91" t="s">
        <v>60</v>
      </c>
      <c r="C91" t="s">
        <v>65</v>
      </c>
      <c r="D91" t="s">
        <v>54</v>
      </c>
      <c r="E91" t="str">
        <f t="shared" si="13"/>
        <v>Jane Johnson is in Finance Department</v>
      </c>
      <c r="F91" s="6" t="str">
        <f t="shared" si="14"/>
        <v>janejohnson@gmail.com</v>
      </c>
      <c r="G91">
        <v>32552</v>
      </c>
      <c r="H91" t="str">
        <f t="shared" si="15"/>
        <v>extremely low</v>
      </c>
      <c r="I91" s="3">
        <v>38309</v>
      </c>
      <c r="J91">
        <f t="shared" si="16"/>
        <v>2004</v>
      </c>
      <c r="K91">
        <f t="shared" si="17"/>
        <v>11</v>
      </c>
      <c r="L91">
        <f t="shared" si="18"/>
        <v>18</v>
      </c>
      <c r="M91" s="3">
        <f t="shared" ca="1" si="19"/>
        <v>46100</v>
      </c>
      <c r="N91">
        <f t="shared" ca="1" si="20"/>
        <v>7791</v>
      </c>
      <c r="O91">
        <f t="shared" ca="1" si="21"/>
        <v>7791</v>
      </c>
      <c r="P91">
        <f t="shared" ca="1" si="22"/>
        <v>5566</v>
      </c>
      <c r="Q91">
        <v>52</v>
      </c>
      <c r="R91" t="str">
        <f t="shared" si="23"/>
        <v>Old</v>
      </c>
      <c r="S91" t="s">
        <v>34</v>
      </c>
      <c r="T91">
        <v>2</v>
      </c>
      <c r="U91" t="s">
        <v>25</v>
      </c>
      <c r="V91">
        <v>8792.35</v>
      </c>
      <c r="W91" t="s">
        <v>35</v>
      </c>
      <c r="X91" t="s">
        <v>47</v>
      </c>
      <c r="Y91">
        <v>39</v>
      </c>
      <c r="Z91" t="str">
        <f t="shared" si="24"/>
        <v>Bad Employee</v>
      </c>
      <c r="AA91" t="b">
        <f t="shared" si="25"/>
        <v>0</v>
      </c>
      <c r="AB91" t="b">
        <f>OR(Y91&gt;20, T91&gt;6)</f>
        <v>1</v>
      </c>
      <c r="AC91" t="str">
        <f>IF(OR(Y91&gt;20,T91&gt;6), "Good employee", "Bad Employee")</f>
        <v>Good employee</v>
      </c>
      <c r="AD91" t="s">
        <v>56</v>
      </c>
      <c r="AE91" t="s">
        <v>59</v>
      </c>
      <c r="AF91">
        <v>13</v>
      </c>
      <c r="AG91">
        <v>2021</v>
      </c>
      <c r="AH91" t="s">
        <v>30</v>
      </c>
      <c r="AI91">
        <v>72</v>
      </c>
      <c r="AJ91">
        <v>2.2999999999999998</v>
      </c>
    </row>
    <row r="92" spans="1:36" x14ac:dyDescent="0.25">
      <c r="A92">
        <v>10091</v>
      </c>
      <c r="B92" t="s">
        <v>53</v>
      </c>
      <c r="C92" t="s">
        <v>57</v>
      </c>
      <c r="D92" t="s">
        <v>54</v>
      </c>
      <c r="E92" t="str">
        <f t="shared" si="13"/>
        <v>Sarah Davis is in Finance Department</v>
      </c>
      <c r="F92" s="6" t="str">
        <f t="shared" si="14"/>
        <v>sarahdavis@gmail.com</v>
      </c>
      <c r="G92">
        <v>86627</v>
      </c>
      <c r="H92" t="str">
        <f t="shared" si="15"/>
        <v>High</v>
      </c>
      <c r="I92" s="3">
        <v>40340</v>
      </c>
      <c r="J92">
        <f t="shared" si="16"/>
        <v>2010</v>
      </c>
      <c r="K92">
        <f t="shared" si="17"/>
        <v>6</v>
      </c>
      <c r="L92">
        <f t="shared" si="18"/>
        <v>11</v>
      </c>
      <c r="M92" s="3">
        <f t="shared" ca="1" si="19"/>
        <v>46100</v>
      </c>
      <c r="N92">
        <f t="shared" ca="1" si="20"/>
        <v>5760</v>
      </c>
      <c r="O92">
        <f t="shared" ca="1" si="21"/>
        <v>5760</v>
      </c>
      <c r="P92">
        <f t="shared" ca="1" si="22"/>
        <v>4115</v>
      </c>
      <c r="Q92">
        <v>29</v>
      </c>
      <c r="R92" t="str">
        <f t="shared" si="23"/>
        <v>Young</v>
      </c>
      <c r="S92" t="s">
        <v>34</v>
      </c>
      <c r="T92">
        <v>7</v>
      </c>
      <c r="U92" t="s">
        <v>45</v>
      </c>
      <c r="V92">
        <v>1317.17</v>
      </c>
      <c r="W92" t="s">
        <v>46</v>
      </c>
      <c r="X92" t="s">
        <v>27</v>
      </c>
      <c r="Y92">
        <v>23</v>
      </c>
      <c r="Z92" t="str">
        <f t="shared" si="24"/>
        <v>Good Employee</v>
      </c>
      <c r="AA92" t="b">
        <f t="shared" si="25"/>
        <v>1</v>
      </c>
      <c r="AB92" t="b">
        <f>OR(Y92&gt;20, T92&gt;6)</f>
        <v>1</v>
      </c>
      <c r="AC92" t="str">
        <f>IF(OR(Y92&gt;20,T92&gt;6), "Good employee", "Bad Employee")</f>
        <v>Good employee</v>
      </c>
      <c r="AD92" t="s">
        <v>41</v>
      </c>
      <c r="AE92" t="s">
        <v>29</v>
      </c>
      <c r="AF92">
        <v>1</v>
      </c>
      <c r="AG92">
        <v>2018</v>
      </c>
      <c r="AH92" t="s">
        <v>30</v>
      </c>
      <c r="AI92">
        <v>43</v>
      </c>
      <c r="AJ92">
        <v>2.8</v>
      </c>
    </row>
    <row r="93" spans="1:36" x14ac:dyDescent="0.25">
      <c r="A93">
        <v>10092</v>
      </c>
      <c r="B93" t="s">
        <v>31</v>
      </c>
      <c r="C93" t="s">
        <v>57</v>
      </c>
      <c r="D93" t="s">
        <v>44</v>
      </c>
      <c r="E93" t="str">
        <f t="shared" si="13"/>
        <v>Emily Davis is in Sales Department</v>
      </c>
      <c r="F93" s="6" t="str">
        <f t="shared" si="14"/>
        <v>emilydavis@gmail.com</v>
      </c>
      <c r="G93">
        <v>75987</v>
      </c>
      <c r="H93" t="str">
        <f t="shared" si="15"/>
        <v>Medium</v>
      </c>
      <c r="I93" s="3">
        <v>36751</v>
      </c>
      <c r="J93">
        <f t="shared" si="16"/>
        <v>2000</v>
      </c>
      <c r="K93">
        <f t="shared" si="17"/>
        <v>8</v>
      </c>
      <c r="L93">
        <f t="shared" si="18"/>
        <v>13</v>
      </c>
      <c r="M93" s="3">
        <f t="shared" ca="1" si="19"/>
        <v>46100</v>
      </c>
      <c r="N93">
        <f t="shared" ca="1" si="20"/>
        <v>9349</v>
      </c>
      <c r="O93">
        <f t="shared" ca="1" si="21"/>
        <v>9349</v>
      </c>
      <c r="P93">
        <f t="shared" ca="1" si="22"/>
        <v>6679</v>
      </c>
      <c r="Q93">
        <v>51</v>
      </c>
      <c r="R93" t="str">
        <f t="shared" si="23"/>
        <v>Old</v>
      </c>
      <c r="S93" t="s">
        <v>24</v>
      </c>
      <c r="T93">
        <v>5</v>
      </c>
      <c r="U93" t="s">
        <v>45</v>
      </c>
      <c r="V93">
        <v>789.07</v>
      </c>
      <c r="W93" t="s">
        <v>26</v>
      </c>
      <c r="X93" t="s">
        <v>36</v>
      </c>
      <c r="Y93">
        <v>29</v>
      </c>
      <c r="Z93" t="str">
        <f t="shared" si="24"/>
        <v>Bad Employee</v>
      </c>
      <c r="AA93" t="b">
        <f t="shared" si="25"/>
        <v>0</v>
      </c>
      <c r="AB93" t="b">
        <f>OR(Y93&gt;20, T93&gt;6)</f>
        <v>1</v>
      </c>
      <c r="AC93" t="str">
        <f>IF(OR(Y93&gt;20,T93&gt;6), "Good employee", "Bad Employee")</f>
        <v>Good employee</v>
      </c>
      <c r="AD93" t="s">
        <v>41</v>
      </c>
      <c r="AE93" t="s">
        <v>62</v>
      </c>
      <c r="AF93">
        <v>1</v>
      </c>
      <c r="AG93">
        <v>2022</v>
      </c>
      <c r="AH93" t="s">
        <v>49</v>
      </c>
      <c r="AI93">
        <v>133</v>
      </c>
      <c r="AJ93">
        <v>2.2999999999999998</v>
      </c>
    </row>
    <row r="94" spans="1:36" x14ac:dyDescent="0.25">
      <c r="A94">
        <v>10093</v>
      </c>
      <c r="B94" t="s">
        <v>60</v>
      </c>
      <c r="C94" t="s">
        <v>22</v>
      </c>
      <c r="D94" t="s">
        <v>33</v>
      </c>
      <c r="E94" t="str">
        <f t="shared" si="13"/>
        <v>Jane Williams is in Marketing Department</v>
      </c>
      <c r="F94" s="6" t="str">
        <f t="shared" si="14"/>
        <v>janewilliams@gmail.com</v>
      </c>
      <c r="G94">
        <v>109810</v>
      </c>
      <c r="H94" t="str">
        <f t="shared" si="15"/>
        <v>High</v>
      </c>
      <c r="I94" s="3">
        <v>43092</v>
      </c>
      <c r="J94">
        <f t="shared" si="16"/>
        <v>2017</v>
      </c>
      <c r="K94">
        <f t="shared" si="17"/>
        <v>12</v>
      </c>
      <c r="L94">
        <f t="shared" si="18"/>
        <v>23</v>
      </c>
      <c r="M94" s="3">
        <f t="shared" ca="1" si="19"/>
        <v>46100</v>
      </c>
      <c r="N94">
        <f t="shared" ca="1" si="20"/>
        <v>3008</v>
      </c>
      <c r="O94">
        <f t="shared" ca="1" si="21"/>
        <v>3008</v>
      </c>
      <c r="P94">
        <f t="shared" ca="1" si="22"/>
        <v>2149</v>
      </c>
      <c r="Q94">
        <v>34</v>
      </c>
      <c r="R94" t="str">
        <f t="shared" si="23"/>
        <v>Old</v>
      </c>
      <c r="S94" t="s">
        <v>24</v>
      </c>
      <c r="T94">
        <v>3</v>
      </c>
      <c r="U94" t="s">
        <v>45</v>
      </c>
      <c r="V94">
        <v>6261.54</v>
      </c>
      <c r="W94" t="s">
        <v>35</v>
      </c>
      <c r="X94" t="s">
        <v>36</v>
      </c>
      <c r="Y94">
        <v>30</v>
      </c>
      <c r="Z94" t="str">
        <f t="shared" si="24"/>
        <v>Bad Employee</v>
      </c>
      <c r="AA94" t="b">
        <f t="shared" si="25"/>
        <v>0</v>
      </c>
      <c r="AB94" t="b">
        <f>OR(Y94&gt;20, T94&gt;6)</f>
        <v>1</v>
      </c>
      <c r="AC94" t="str">
        <f>IF(OR(Y94&gt;20,T94&gt;6), "Good employee", "Bad Employee")</f>
        <v>Good employee</v>
      </c>
      <c r="AD94" t="s">
        <v>28</v>
      </c>
      <c r="AE94" t="s">
        <v>42</v>
      </c>
      <c r="AF94">
        <v>19</v>
      </c>
      <c r="AG94">
        <v>2012</v>
      </c>
      <c r="AH94" t="s">
        <v>43</v>
      </c>
      <c r="AI94">
        <v>137</v>
      </c>
      <c r="AJ94">
        <v>2.9</v>
      </c>
    </row>
    <row r="95" spans="1:36" x14ac:dyDescent="0.25">
      <c r="A95">
        <v>10094</v>
      </c>
      <c r="B95" t="s">
        <v>64</v>
      </c>
      <c r="C95" t="s">
        <v>22</v>
      </c>
      <c r="D95" t="s">
        <v>33</v>
      </c>
      <c r="E95" t="str">
        <f t="shared" si="13"/>
        <v>Katie Williams is in Marketing Department</v>
      </c>
      <c r="F95" s="6" t="str">
        <f t="shared" si="14"/>
        <v>katiewilliams@gmail.com</v>
      </c>
      <c r="G95">
        <v>75380</v>
      </c>
      <c r="H95" t="str">
        <f t="shared" si="15"/>
        <v>Medium</v>
      </c>
      <c r="I95" s="3">
        <v>37568</v>
      </c>
      <c r="J95">
        <f t="shared" si="16"/>
        <v>2002</v>
      </c>
      <c r="K95">
        <f t="shared" si="17"/>
        <v>11</v>
      </c>
      <c r="L95">
        <f t="shared" si="18"/>
        <v>8</v>
      </c>
      <c r="M95" s="3">
        <f t="shared" ca="1" si="19"/>
        <v>46100</v>
      </c>
      <c r="N95">
        <f t="shared" ca="1" si="20"/>
        <v>8532</v>
      </c>
      <c r="O95">
        <f t="shared" ca="1" si="21"/>
        <v>8532</v>
      </c>
      <c r="P95">
        <f t="shared" ca="1" si="22"/>
        <v>6095</v>
      </c>
      <c r="Q95">
        <v>37</v>
      </c>
      <c r="R95" t="str">
        <f t="shared" si="23"/>
        <v>Old</v>
      </c>
      <c r="S95" t="s">
        <v>34</v>
      </c>
      <c r="T95">
        <v>8</v>
      </c>
      <c r="U95" t="s">
        <v>45</v>
      </c>
      <c r="V95">
        <v>3645.08</v>
      </c>
      <c r="W95" t="s">
        <v>58</v>
      </c>
      <c r="X95" t="s">
        <v>40</v>
      </c>
      <c r="Y95">
        <v>22</v>
      </c>
      <c r="Z95" t="str">
        <f t="shared" si="24"/>
        <v>Good Employee</v>
      </c>
      <c r="AA95" t="b">
        <f t="shared" si="25"/>
        <v>1</v>
      </c>
      <c r="AB95" t="b">
        <f>OR(Y95&gt;20, T95&gt;6)</f>
        <v>1</v>
      </c>
      <c r="AC95" t="str">
        <f>IF(OR(Y95&gt;20,T95&gt;6), "Good employee", "Bad Employee")</f>
        <v>Good employee</v>
      </c>
      <c r="AD95" t="s">
        <v>56</v>
      </c>
      <c r="AE95" t="s">
        <v>29</v>
      </c>
      <c r="AF95">
        <v>9</v>
      </c>
      <c r="AG95">
        <v>2011</v>
      </c>
      <c r="AH95" t="s">
        <v>30</v>
      </c>
      <c r="AI95">
        <v>44</v>
      </c>
      <c r="AJ95">
        <v>3.5</v>
      </c>
    </row>
    <row r="96" spans="1:36" x14ac:dyDescent="0.25">
      <c r="A96">
        <v>10095</v>
      </c>
      <c r="B96" t="s">
        <v>64</v>
      </c>
      <c r="C96" t="s">
        <v>63</v>
      </c>
      <c r="D96" t="s">
        <v>54</v>
      </c>
      <c r="E96" t="str">
        <f t="shared" si="13"/>
        <v>Katie Miller is in Finance Department</v>
      </c>
      <c r="F96" s="6" t="str">
        <f t="shared" si="14"/>
        <v>katiemiller@gmail.com</v>
      </c>
      <c r="G96">
        <v>59250</v>
      </c>
      <c r="H96" t="str">
        <f t="shared" si="15"/>
        <v>Medium</v>
      </c>
      <c r="I96" s="3">
        <v>42700</v>
      </c>
      <c r="J96">
        <f t="shared" si="16"/>
        <v>2016</v>
      </c>
      <c r="K96">
        <f t="shared" si="17"/>
        <v>11</v>
      </c>
      <c r="L96">
        <f t="shared" si="18"/>
        <v>26</v>
      </c>
      <c r="M96" s="3">
        <f t="shared" ca="1" si="19"/>
        <v>46100</v>
      </c>
      <c r="N96">
        <f t="shared" ca="1" si="20"/>
        <v>3400</v>
      </c>
      <c r="O96">
        <f t="shared" ca="1" si="21"/>
        <v>3400</v>
      </c>
      <c r="P96">
        <f t="shared" ca="1" si="22"/>
        <v>2429</v>
      </c>
      <c r="Q96">
        <v>23</v>
      </c>
      <c r="R96" t="str">
        <f t="shared" si="23"/>
        <v>Young</v>
      </c>
      <c r="S96" t="s">
        <v>24</v>
      </c>
      <c r="T96">
        <v>1</v>
      </c>
      <c r="U96" t="s">
        <v>25</v>
      </c>
      <c r="V96">
        <v>4470.41</v>
      </c>
      <c r="W96" t="s">
        <v>46</v>
      </c>
      <c r="X96" t="s">
        <v>27</v>
      </c>
      <c r="Y96">
        <v>11</v>
      </c>
      <c r="Z96" t="str">
        <f t="shared" si="24"/>
        <v>Bad Employee</v>
      </c>
      <c r="AA96" t="b">
        <f t="shared" si="25"/>
        <v>0</v>
      </c>
      <c r="AB96" t="b">
        <f>OR(Y96&gt;20, T96&gt;6)</f>
        <v>0</v>
      </c>
      <c r="AC96" t="str">
        <f>IF(OR(Y96&gt;20,T96&gt;6), "Good employee", "Bad Employee")</f>
        <v>Bad Employee</v>
      </c>
      <c r="AD96" t="s">
        <v>28</v>
      </c>
      <c r="AE96" t="s">
        <v>42</v>
      </c>
      <c r="AF96">
        <v>14</v>
      </c>
      <c r="AG96">
        <v>2011</v>
      </c>
      <c r="AH96" t="s">
        <v>49</v>
      </c>
      <c r="AI96">
        <v>67</v>
      </c>
      <c r="AJ96">
        <v>4.4000000000000004</v>
      </c>
    </row>
    <row r="97" spans="1:36" x14ac:dyDescent="0.25">
      <c r="A97">
        <v>10096</v>
      </c>
      <c r="B97" t="s">
        <v>64</v>
      </c>
      <c r="C97" t="s">
        <v>65</v>
      </c>
      <c r="D97" t="s">
        <v>54</v>
      </c>
      <c r="E97" t="str">
        <f t="shared" si="13"/>
        <v>Katie Johnson is in Finance Department</v>
      </c>
      <c r="F97" s="6" t="str">
        <f t="shared" si="14"/>
        <v>katiejohnson@gmail.com</v>
      </c>
      <c r="G97">
        <v>98344</v>
      </c>
      <c r="H97" t="str">
        <f t="shared" si="15"/>
        <v>High</v>
      </c>
      <c r="I97" s="3">
        <v>37370</v>
      </c>
      <c r="J97">
        <f t="shared" si="16"/>
        <v>2002</v>
      </c>
      <c r="K97">
        <f t="shared" si="17"/>
        <v>4</v>
      </c>
      <c r="L97">
        <f t="shared" si="18"/>
        <v>24</v>
      </c>
      <c r="M97" s="3">
        <f t="shared" ca="1" si="19"/>
        <v>46100</v>
      </c>
      <c r="N97">
        <f t="shared" ca="1" si="20"/>
        <v>8730</v>
      </c>
      <c r="O97">
        <f t="shared" ca="1" si="21"/>
        <v>8730</v>
      </c>
      <c r="P97">
        <f t="shared" ca="1" si="22"/>
        <v>6237</v>
      </c>
      <c r="Q97">
        <v>39</v>
      </c>
      <c r="R97" t="str">
        <f t="shared" si="23"/>
        <v>Old</v>
      </c>
      <c r="S97" t="s">
        <v>34</v>
      </c>
      <c r="T97">
        <v>1</v>
      </c>
      <c r="U97" t="s">
        <v>45</v>
      </c>
      <c r="V97">
        <v>4354.25</v>
      </c>
      <c r="W97" t="s">
        <v>46</v>
      </c>
      <c r="X97" t="s">
        <v>47</v>
      </c>
      <c r="Y97">
        <v>26</v>
      </c>
      <c r="Z97" t="str">
        <f t="shared" si="24"/>
        <v>Bad Employee</v>
      </c>
      <c r="AA97" t="b">
        <f t="shared" si="25"/>
        <v>0</v>
      </c>
      <c r="AB97" t="b">
        <f>OR(Y97&gt;20, T97&gt;6)</f>
        <v>1</v>
      </c>
      <c r="AC97" t="str">
        <f>IF(OR(Y97&gt;20,T97&gt;6), "Good employee", "Bad Employee")</f>
        <v>Good employee</v>
      </c>
      <c r="AD97" t="s">
        <v>28</v>
      </c>
      <c r="AE97" t="s">
        <v>62</v>
      </c>
      <c r="AF97">
        <v>14</v>
      </c>
      <c r="AG97">
        <v>2013</v>
      </c>
      <c r="AH97" t="s">
        <v>30</v>
      </c>
      <c r="AI97">
        <v>133</v>
      </c>
      <c r="AJ97">
        <v>2.9</v>
      </c>
    </row>
    <row r="98" spans="1:36" x14ac:dyDescent="0.25">
      <c r="A98">
        <v>10097</v>
      </c>
      <c r="B98" t="s">
        <v>60</v>
      </c>
      <c r="C98" t="s">
        <v>61</v>
      </c>
      <c r="D98" t="s">
        <v>54</v>
      </c>
      <c r="E98" t="str">
        <f t="shared" si="13"/>
        <v>Jane Smith is in Finance Department</v>
      </c>
      <c r="F98" s="6" t="str">
        <f t="shared" si="14"/>
        <v>janesmith@gmail.com</v>
      </c>
      <c r="G98">
        <v>94686</v>
      </c>
      <c r="H98" t="str">
        <f t="shared" si="15"/>
        <v>High</v>
      </c>
      <c r="I98" s="3">
        <v>39206</v>
      </c>
      <c r="J98">
        <f t="shared" si="16"/>
        <v>2007</v>
      </c>
      <c r="K98">
        <f t="shared" si="17"/>
        <v>5</v>
      </c>
      <c r="L98">
        <f t="shared" si="18"/>
        <v>4</v>
      </c>
      <c r="M98" s="3">
        <f t="shared" ca="1" si="19"/>
        <v>46100</v>
      </c>
      <c r="N98">
        <f t="shared" ca="1" si="20"/>
        <v>6894</v>
      </c>
      <c r="O98">
        <f t="shared" ca="1" si="21"/>
        <v>6894</v>
      </c>
      <c r="P98">
        <f t="shared" ca="1" si="22"/>
        <v>4925</v>
      </c>
      <c r="Q98">
        <v>56</v>
      </c>
      <c r="R98" t="str">
        <f t="shared" si="23"/>
        <v>Old</v>
      </c>
      <c r="S98" t="s">
        <v>34</v>
      </c>
      <c r="T98">
        <v>6</v>
      </c>
      <c r="U98" t="s">
        <v>45</v>
      </c>
      <c r="V98">
        <v>1322.89</v>
      </c>
      <c r="W98" t="s">
        <v>35</v>
      </c>
      <c r="X98" t="s">
        <v>36</v>
      </c>
      <c r="Y98">
        <v>23</v>
      </c>
      <c r="Z98" t="str">
        <f t="shared" si="24"/>
        <v>Bad Employee</v>
      </c>
      <c r="AA98" t="b">
        <f t="shared" si="25"/>
        <v>0</v>
      </c>
      <c r="AB98" t="b">
        <f>OR(Y98&gt;20, T98&gt;6)</f>
        <v>1</v>
      </c>
      <c r="AC98" t="str">
        <f>IF(OR(Y98&gt;20,T98&gt;6), "Good employee", "Bad Employee")</f>
        <v>Good employee</v>
      </c>
      <c r="AD98" t="s">
        <v>56</v>
      </c>
      <c r="AE98" t="s">
        <v>48</v>
      </c>
      <c r="AF98">
        <v>6</v>
      </c>
      <c r="AG98">
        <v>2022</v>
      </c>
      <c r="AH98" t="s">
        <v>49</v>
      </c>
      <c r="AI98">
        <v>167</v>
      </c>
      <c r="AJ98">
        <v>2.2999999999999998</v>
      </c>
    </row>
    <row r="99" spans="1:36" x14ac:dyDescent="0.25">
      <c r="A99">
        <v>10098</v>
      </c>
      <c r="B99" t="s">
        <v>31</v>
      </c>
      <c r="C99" t="s">
        <v>32</v>
      </c>
      <c r="D99" t="s">
        <v>44</v>
      </c>
      <c r="E99" t="str">
        <f t="shared" si="13"/>
        <v>Emily Wilson is in Sales Department</v>
      </c>
      <c r="F99" s="6" t="str">
        <f t="shared" si="14"/>
        <v>emilywilson@gmail.com</v>
      </c>
      <c r="G99">
        <v>75028</v>
      </c>
      <c r="H99" t="str">
        <f t="shared" si="15"/>
        <v>Medium</v>
      </c>
      <c r="I99" s="3">
        <v>40645</v>
      </c>
      <c r="J99">
        <f t="shared" si="16"/>
        <v>2011</v>
      </c>
      <c r="K99">
        <f t="shared" si="17"/>
        <v>4</v>
      </c>
      <c r="L99">
        <f t="shared" si="18"/>
        <v>12</v>
      </c>
      <c r="M99" s="3">
        <f t="shared" ca="1" si="19"/>
        <v>46100</v>
      </c>
      <c r="N99">
        <f t="shared" ca="1" si="20"/>
        <v>5455</v>
      </c>
      <c r="O99">
        <f t="shared" ca="1" si="21"/>
        <v>5455</v>
      </c>
      <c r="P99">
        <f t="shared" ca="1" si="22"/>
        <v>3898</v>
      </c>
      <c r="Q99">
        <v>40</v>
      </c>
      <c r="R99" t="str">
        <f t="shared" si="23"/>
        <v>Old</v>
      </c>
      <c r="S99" t="s">
        <v>34</v>
      </c>
      <c r="T99">
        <v>1</v>
      </c>
      <c r="U99" t="s">
        <v>25</v>
      </c>
      <c r="V99">
        <v>533.88</v>
      </c>
      <c r="W99" t="s">
        <v>58</v>
      </c>
      <c r="X99" t="s">
        <v>40</v>
      </c>
      <c r="Y99">
        <v>3</v>
      </c>
      <c r="Z99" t="str">
        <f t="shared" si="24"/>
        <v>Bad Employee</v>
      </c>
      <c r="AA99" t="b">
        <f t="shared" si="25"/>
        <v>0</v>
      </c>
      <c r="AB99" t="b">
        <f>OR(Y99&gt;20, T99&gt;6)</f>
        <v>0</v>
      </c>
      <c r="AC99" t="str">
        <f>IF(OR(Y99&gt;20,T99&gt;6), "Good employee", "Bad Employee")</f>
        <v>Bad Employee</v>
      </c>
      <c r="AD99" t="s">
        <v>41</v>
      </c>
      <c r="AE99" t="s">
        <v>42</v>
      </c>
      <c r="AF99">
        <v>7</v>
      </c>
      <c r="AG99">
        <v>2010</v>
      </c>
      <c r="AH99" t="s">
        <v>43</v>
      </c>
      <c r="AI99">
        <v>149</v>
      </c>
      <c r="AJ99">
        <v>3</v>
      </c>
    </row>
    <row r="100" spans="1:36" x14ac:dyDescent="0.25">
      <c r="A100">
        <v>10099</v>
      </c>
      <c r="B100" t="s">
        <v>64</v>
      </c>
      <c r="C100" t="s">
        <v>65</v>
      </c>
      <c r="D100" t="s">
        <v>33</v>
      </c>
      <c r="E100" t="str">
        <f t="shared" si="13"/>
        <v>Katie Johnson is in Marketing Department</v>
      </c>
      <c r="F100" s="6" t="str">
        <f t="shared" si="14"/>
        <v>katiejohnson@gmail.com</v>
      </c>
      <c r="G100">
        <v>45295</v>
      </c>
      <c r="H100" t="str">
        <f t="shared" si="15"/>
        <v>low</v>
      </c>
      <c r="I100" s="3">
        <v>43506</v>
      </c>
      <c r="J100">
        <f t="shared" si="16"/>
        <v>2019</v>
      </c>
      <c r="K100">
        <f t="shared" si="17"/>
        <v>2</v>
      </c>
      <c r="L100">
        <f t="shared" si="18"/>
        <v>10</v>
      </c>
      <c r="M100" s="3">
        <f t="shared" ca="1" si="19"/>
        <v>46100</v>
      </c>
      <c r="N100">
        <f t="shared" ca="1" si="20"/>
        <v>2594</v>
      </c>
      <c r="O100">
        <f t="shared" ca="1" si="21"/>
        <v>2594</v>
      </c>
      <c r="P100">
        <f t="shared" ca="1" si="22"/>
        <v>1854</v>
      </c>
      <c r="Q100">
        <v>34</v>
      </c>
      <c r="R100" t="str">
        <f t="shared" si="23"/>
        <v>Old</v>
      </c>
      <c r="S100" t="s">
        <v>34</v>
      </c>
      <c r="T100">
        <v>4</v>
      </c>
      <c r="U100" t="s">
        <v>45</v>
      </c>
      <c r="V100">
        <v>9035.02</v>
      </c>
      <c r="W100" t="s">
        <v>26</v>
      </c>
      <c r="X100" t="s">
        <v>40</v>
      </c>
      <c r="Y100">
        <v>6</v>
      </c>
      <c r="Z100" t="str">
        <f t="shared" si="24"/>
        <v>Bad Employee</v>
      </c>
      <c r="AA100" t="b">
        <f t="shared" si="25"/>
        <v>0</v>
      </c>
      <c r="AB100" t="b">
        <f>OR(Y100&gt;20, T100&gt;6)</f>
        <v>0</v>
      </c>
      <c r="AC100" t="str">
        <f>IF(OR(Y100&gt;20,T100&gt;6), "Good employee", "Bad Employee")</f>
        <v>Bad Employee</v>
      </c>
      <c r="AD100" t="s">
        <v>28</v>
      </c>
      <c r="AE100" t="s">
        <v>62</v>
      </c>
      <c r="AF100">
        <v>10</v>
      </c>
      <c r="AG100">
        <v>2018</v>
      </c>
      <c r="AH100" t="s">
        <v>30</v>
      </c>
      <c r="AI100">
        <v>98</v>
      </c>
      <c r="AJ100">
        <v>3.8</v>
      </c>
    </row>
    <row r="101" spans="1:36" x14ac:dyDescent="0.25">
      <c r="A101">
        <v>10100</v>
      </c>
      <c r="B101" t="s">
        <v>38</v>
      </c>
      <c r="C101" t="s">
        <v>65</v>
      </c>
      <c r="D101" t="s">
        <v>54</v>
      </c>
      <c r="E101" t="str">
        <f t="shared" si="13"/>
        <v>Chris Johnson is in Finance Department</v>
      </c>
      <c r="F101" s="6" t="str">
        <f t="shared" si="14"/>
        <v>chrisjohnson@gmail.com</v>
      </c>
      <c r="G101">
        <v>85248</v>
      </c>
      <c r="H101" t="str">
        <f t="shared" si="15"/>
        <v>High</v>
      </c>
      <c r="I101" s="3">
        <v>43652</v>
      </c>
      <c r="J101">
        <f t="shared" si="16"/>
        <v>2019</v>
      </c>
      <c r="K101">
        <f t="shared" si="17"/>
        <v>7</v>
      </c>
      <c r="L101">
        <f t="shared" si="18"/>
        <v>6</v>
      </c>
      <c r="M101" s="3">
        <f t="shared" ca="1" si="19"/>
        <v>46100</v>
      </c>
      <c r="N101">
        <f t="shared" ca="1" si="20"/>
        <v>2448</v>
      </c>
      <c r="O101">
        <f t="shared" ca="1" si="21"/>
        <v>2448</v>
      </c>
      <c r="P101">
        <f t="shared" ca="1" si="22"/>
        <v>1749</v>
      </c>
      <c r="Q101">
        <v>25</v>
      </c>
      <c r="R101" t="str">
        <f t="shared" si="23"/>
        <v>Young</v>
      </c>
      <c r="S101" t="s">
        <v>24</v>
      </c>
      <c r="T101">
        <v>6</v>
      </c>
      <c r="U101" t="s">
        <v>25</v>
      </c>
      <c r="V101">
        <v>2569.09</v>
      </c>
      <c r="W101" t="s">
        <v>58</v>
      </c>
      <c r="X101" t="s">
        <v>55</v>
      </c>
      <c r="Y101">
        <v>7</v>
      </c>
      <c r="Z101" t="str">
        <f t="shared" si="24"/>
        <v>Bad Employee</v>
      </c>
      <c r="AA101" t="b">
        <f t="shared" si="25"/>
        <v>0</v>
      </c>
      <c r="AB101" t="b">
        <f>OR(Y101&gt;20, T101&gt;6)</f>
        <v>0</v>
      </c>
      <c r="AC101" t="str">
        <f>IF(OR(Y101&gt;20,T101&gt;6), "Good employee", "Bad Employee")</f>
        <v>Bad Employee</v>
      </c>
      <c r="AD101" t="s">
        <v>41</v>
      </c>
      <c r="AE101" t="s">
        <v>29</v>
      </c>
      <c r="AF101">
        <v>15</v>
      </c>
      <c r="AG101">
        <v>2012</v>
      </c>
      <c r="AH101" t="s">
        <v>49</v>
      </c>
      <c r="AI101">
        <v>103</v>
      </c>
      <c r="AJ101">
        <v>2.4</v>
      </c>
    </row>
    <row r="102" spans="1:36" x14ac:dyDescent="0.25">
      <c r="A102">
        <v>10101</v>
      </c>
      <c r="B102" t="s">
        <v>21</v>
      </c>
      <c r="C102" t="s">
        <v>51</v>
      </c>
      <c r="D102" t="s">
        <v>23</v>
      </c>
      <c r="E102" t="str">
        <f t="shared" si="13"/>
        <v>Michael Brown is in HR Department</v>
      </c>
      <c r="F102" s="6" t="str">
        <f t="shared" si="14"/>
        <v>michaelbrown@gmail.com</v>
      </c>
      <c r="G102">
        <v>110205</v>
      </c>
      <c r="H102" t="str">
        <f t="shared" si="15"/>
        <v>High</v>
      </c>
      <c r="I102" s="3">
        <v>37760</v>
      </c>
      <c r="J102">
        <f t="shared" si="16"/>
        <v>2003</v>
      </c>
      <c r="K102">
        <f t="shared" si="17"/>
        <v>5</v>
      </c>
      <c r="L102">
        <f t="shared" si="18"/>
        <v>19</v>
      </c>
      <c r="M102" s="3">
        <f t="shared" ca="1" si="19"/>
        <v>46100</v>
      </c>
      <c r="N102">
        <f t="shared" ca="1" si="20"/>
        <v>8340</v>
      </c>
      <c r="O102">
        <f t="shared" ca="1" si="21"/>
        <v>8340</v>
      </c>
      <c r="P102">
        <f t="shared" ca="1" si="22"/>
        <v>5959</v>
      </c>
      <c r="Q102">
        <v>40</v>
      </c>
      <c r="R102" t="str">
        <f t="shared" si="23"/>
        <v>Old</v>
      </c>
      <c r="S102" t="s">
        <v>24</v>
      </c>
      <c r="T102">
        <v>1</v>
      </c>
      <c r="U102" t="s">
        <v>25</v>
      </c>
      <c r="V102">
        <v>4547.75</v>
      </c>
      <c r="W102" t="s">
        <v>46</v>
      </c>
      <c r="X102" t="s">
        <v>47</v>
      </c>
      <c r="Y102">
        <v>39</v>
      </c>
      <c r="Z102" t="str">
        <f t="shared" si="24"/>
        <v>Bad Employee</v>
      </c>
      <c r="AA102" t="b">
        <f t="shared" si="25"/>
        <v>0</v>
      </c>
      <c r="AB102" t="b">
        <f>OR(Y102&gt;20, T102&gt;6)</f>
        <v>1</v>
      </c>
      <c r="AC102" t="str">
        <f>IF(OR(Y102&gt;20,T102&gt;6), "Good employee", "Bad Employee")</f>
        <v>Good employee</v>
      </c>
      <c r="AD102" t="s">
        <v>41</v>
      </c>
      <c r="AE102" t="s">
        <v>37</v>
      </c>
      <c r="AF102">
        <v>6</v>
      </c>
      <c r="AG102">
        <v>2023</v>
      </c>
      <c r="AH102" t="s">
        <v>49</v>
      </c>
      <c r="AI102">
        <v>64</v>
      </c>
      <c r="AJ102">
        <v>2.7</v>
      </c>
    </row>
    <row r="103" spans="1:36" x14ac:dyDescent="0.25">
      <c r="A103">
        <v>10102</v>
      </c>
      <c r="B103" t="s">
        <v>60</v>
      </c>
      <c r="C103" t="s">
        <v>63</v>
      </c>
      <c r="D103" t="s">
        <v>33</v>
      </c>
      <c r="E103" t="str">
        <f t="shared" si="13"/>
        <v>Jane Miller is in Marketing Department</v>
      </c>
      <c r="F103" s="6" t="str">
        <f t="shared" si="14"/>
        <v>janemiller@gmail.com</v>
      </c>
      <c r="G103">
        <v>40523</v>
      </c>
      <c r="H103" t="str">
        <f t="shared" si="15"/>
        <v>low</v>
      </c>
      <c r="I103" s="3">
        <v>38510</v>
      </c>
      <c r="J103">
        <f t="shared" si="16"/>
        <v>2005</v>
      </c>
      <c r="K103">
        <f t="shared" si="17"/>
        <v>6</v>
      </c>
      <c r="L103">
        <f t="shared" si="18"/>
        <v>7</v>
      </c>
      <c r="M103" s="3">
        <f t="shared" ca="1" si="19"/>
        <v>46100</v>
      </c>
      <c r="N103">
        <f t="shared" ca="1" si="20"/>
        <v>7590</v>
      </c>
      <c r="O103">
        <f t="shared" ca="1" si="21"/>
        <v>7590</v>
      </c>
      <c r="P103">
        <f t="shared" ca="1" si="22"/>
        <v>5423</v>
      </c>
      <c r="Q103">
        <v>46</v>
      </c>
      <c r="R103" t="str">
        <f t="shared" si="23"/>
        <v>Old</v>
      </c>
      <c r="S103" t="s">
        <v>24</v>
      </c>
      <c r="T103">
        <v>9</v>
      </c>
      <c r="U103" t="s">
        <v>25</v>
      </c>
      <c r="V103">
        <v>9733.2999999999993</v>
      </c>
      <c r="W103" t="s">
        <v>35</v>
      </c>
      <c r="X103" t="s">
        <v>40</v>
      </c>
      <c r="Y103">
        <v>22</v>
      </c>
      <c r="Z103" t="str">
        <f t="shared" si="24"/>
        <v>Good Employee</v>
      </c>
      <c r="AA103" t="b">
        <f t="shared" si="25"/>
        <v>1</v>
      </c>
      <c r="AB103" t="b">
        <f>OR(Y103&gt;20, T103&gt;6)</f>
        <v>1</v>
      </c>
      <c r="AC103" t="str">
        <f>IF(OR(Y103&gt;20,T103&gt;6), "Good employee", "Bad Employee")</f>
        <v>Good employee</v>
      </c>
      <c r="AD103" t="s">
        <v>41</v>
      </c>
      <c r="AE103" t="s">
        <v>48</v>
      </c>
      <c r="AF103">
        <v>19</v>
      </c>
      <c r="AG103">
        <v>2022</v>
      </c>
      <c r="AH103" t="s">
        <v>43</v>
      </c>
      <c r="AI103">
        <v>133</v>
      </c>
      <c r="AJ103">
        <v>3.3</v>
      </c>
    </row>
    <row r="104" spans="1:36" x14ac:dyDescent="0.25">
      <c r="A104">
        <v>10103</v>
      </c>
      <c r="B104" t="s">
        <v>60</v>
      </c>
      <c r="C104" t="s">
        <v>51</v>
      </c>
      <c r="D104" t="s">
        <v>44</v>
      </c>
      <c r="E104" t="str">
        <f t="shared" si="13"/>
        <v>Jane Brown is in Sales Department</v>
      </c>
      <c r="F104" s="6" t="str">
        <f t="shared" si="14"/>
        <v>janebrown@gmail.com</v>
      </c>
      <c r="G104">
        <v>75530</v>
      </c>
      <c r="H104" t="str">
        <f t="shared" si="15"/>
        <v>Medium</v>
      </c>
      <c r="I104" s="3">
        <v>40782</v>
      </c>
      <c r="J104">
        <f t="shared" si="16"/>
        <v>2011</v>
      </c>
      <c r="K104">
        <f t="shared" si="17"/>
        <v>8</v>
      </c>
      <c r="L104">
        <f t="shared" si="18"/>
        <v>27</v>
      </c>
      <c r="M104" s="3">
        <f t="shared" ca="1" si="19"/>
        <v>46100</v>
      </c>
      <c r="N104">
        <f t="shared" ca="1" si="20"/>
        <v>5318</v>
      </c>
      <c r="O104">
        <f t="shared" ca="1" si="21"/>
        <v>5318</v>
      </c>
      <c r="P104">
        <f t="shared" ca="1" si="22"/>
        <v>3799</v>
      </c>
      <c r="Q104">
        <v>59</v>
      </c>
      <c r="R104" t="str">
        <f t="shared" si="23"/>
        <v>Old</v>
      </c>
      <c r="S104" t="s">
        <v>24</v>
      </c>
      <c r="T104">
        <v>4</v>
      </c>
      <c r="U104" t="s">
        <v>45</v>
      </c>
      <c r="V104">
        <v>8354.24</v>
      </c>
      <c r="W104" t="s">
        <v>58</v>
      </c>
      <c r="X104" t="s">
        <v>47</v>
      </c>
      <c r="Y104">
        <v>33</v>
      </c>
      <c r="Z104" t="str">
        <f t="shared" si="24"/>
        <v>Bad Employee</v>
      </c>
      <c r="AA104" t="b">
        <f t="shared" si="25"/>
        <v>0</v>
      </c>
      <c r="AB104" t="b">
        <f>OR(Y104&gt;20, T104&gt;6)</f>
        <v>1</v>
      </c>
      <c r="AC104" t="str">
        <f>IF(OR(Y104&gt;20,T104&gt;6), "Good employee", "Bad Employee")</f>
        <v>Good employee</v>
      </c>
      <c r="AD104" t="s">
        <v>41</v>
      </c>
      <c r="AE104" t="s">
        <v>48</v>
      </c>
      <c r="AF104">
        <v>8</v>
      </c>
      <c r="AG104">
        <v>2014</v>
      </c>
      <c r="AH104" t="s">
        <v>30</v>
      </c>
      <c r="AI104">
        <v>136</v>
      </c>
      <c r="AJ104">
        <v>2.2000000000000002</v>
      </c>
    </row>
    <row r="105" spans="1:36" x14ac:dyDescent="0.25">
      <c r="A105">
        <v>10104</v>
      </c>
      <c r="B105" t="s">
        <v>31</v>
      </c>
      <c r="C105" t="s">
        <v>65</v>
      </c>
      <c r="D105" t="s">
        <v>23</v>
      </c>
      <c r="E105" t="str">
        <f t="shared" si="13"/>
        <v>Emily Johnson is in HR Department</v>
      </c>
      <c r="F105" s="6" t="str">
        <f t="shared" si="14"/>
        <v>emilyjohnson@gmail.com</v>
      </c>
      <c r="G105">
        <v>43769</v>
      </c>
      <c r="H105" t="str">
        <f t="shared" si="15"/>
        <v>low</v>
      </c>
      <c r="I105" s="3">
        <v>37804</v>
      </c>
      <c r="J105">
        <f t="shared" si="16"/>
        <v>2003</v>
      </c>
      <c r="K105">
        <f t="shared" si="17"/>
        <v>7</v>
      </c>
      <c r="L105">
        <f t="shared" si="18"/>
        <v>2</v>
      </c>
      <c r="M105" s="3">
        <f t="shared" ca="1" si="19"/>
        <v>46100</v>
      </c>
      <c r="N105">
        <f t="shared" ca="1" si="20"/>
        <v>8296</v>
      </c>
      <c r="O105">
        <f t="shared" ca="1" si="21"/>
        <v>8296</v>
      </c>
      <c r="P105">
        <f t="shared" ca="1" si="22"/>
        <v>5927</v>
      </c>
      <c r="Q105">
        <v>52</v>
      </c>
      <c r="R105" t="str">
        <f t="shared" si="23"/>
        <v>Old</v>
      </c>
      <c r="S105" t="s">
        <v>24</v>
      </c>
      <c r="T105">
        <v>9</v>
      </c>
      <c r="U105" t="s">
        <v>25</v>
      </c>
      <c r="V105">
        <v>1525.34</v>
      </c>
      <c r="W105" t="s">
        <v>26</v>
      </c>
      <c r="X105" t="s">
        <v>36</v>
      </c>
      <c r="Y105">
        <v>3</v>
      </c>
      <c r="Z105" t="str">
        <f t="shared" si="24"/>
        <v>Bad Employee</v>
      </c>
      <c r="AA105" t="b">
        <f t="shared" si="25"/>
        <v>0</v>
      </c>
      <c r="AB105" t="b">
        <f>OR(Y105&gt;20, T105&gt;6)</f>
        <v>1</v>
      </c>
      <c r="AC105" t="str">
        <f>IF(OR(Y105&gt;20,T105&gt;6), "Good employee", "Bad Employee")</f>
        <v>Good employee</v>
      </c>
      <c r="AD105" t="s">
        <v>28</v>
      </c>
      <c r="AE105" t="s">
        <v>48</v>
      </c>
      <c r="AF105">
        <v>18</v>
      </c>
      <c r="AG105">
        <v>2011</v>
      </c>
      <c r="AH105" t="s">
        <v>30</v>
      </c>
      <c r="AI105">
        <v>141</v>
      </c>
      <c r="AJ105">
        <v>1.8</v>
      </c>
    </row>
    <row r="106" spans="1:36" x14ac:dyDescent="0.25">
      <c r="A106">
        <v>10105</v>
      </c>
      <c r="B106" t="s">
        <v>60</v>
      </c>
      <c r="C106" t="s">
        <v>65</v>
      </c>
      <c r="D106" t="s">
        <v>39</v>
      </c>
      <c r="E106" t="str">
        <f t="shared" si="13"/>
        <v>Jane Johnson is in IT Department</v>
      </c>
      <c r="F106" s="6" t="str">
        <f t="shared" si="14"/>
        <v>janejohnson@gmail.com</v>
      </c>
      <c r="G106">
        <v>93042</v>
      </c>
      <c r="H106" t="str">
        <f t="shared" si="15"/>
        <v>High</v>
      </c>
      <c r="I106" s="3">
        <v>38120</v>
      </c>
      <c r="J106">
        <f t="shared" si="16"/>
        <v>2004</v>
      </c>
      <c r="K106">
        <f t="shared" si="17"/>
        <v>5</v>
      </c>
      <c r="L106">
        <f t="shared" si="18"/>
        <v>13</v>
      </c>
      <c r="M106" s="3">
        <f t="shared" ca="1" si="19"/>
        <v>46100</v>
      </c>
      <c r="N106">
        <f t="shared" ca="1" si="20"/>
        <v>7980</v>
      </c>
      <c r="O106">
        <f t="shared" ca="1" si="21"/>
        <v>7980</v>
      </c>
      <c r="P106">
        <f t="shared" ca="1" si="22"/>
        <v>5701</v>
      </c>
      <c r="Q106">
        <v>57</v>
      </c>
      <c r="R106" t="str">
        <f t="shared" si="23"/>
        <v>Old</v>
      </c>
      <c r="S106" t="s">
        <v>24</v>
      </c>
      <c r="T106">
        <v>9</v>
      </c>
      <c r="U106" t="s">
        <v>25</v>
      </c>
      <c r="V106">
        <v>5330.93</v>
      </c>
      <c r="W106" t="s">
        <v>58</v>
      </c>
      <c r="X106" t="s">
        <v>55</v>
      </c>
      <c r="Y106">
        <v>30</v>
      </c>
      <c r="Z106" t="str">
        <f t="shared" si="24"/>
        <v>Good Employee</v>
      </c>
      <c r="AA106" t="b">
        <f t="shared" si="25"/>
        <v>1</v>
      </c>
      <c r="AB106" t="b">
        <f>OR(Y106&gt;20, T106&gt;6)</f>
        <v>1</v>
      </c>
      <c r="AC106" t="str">
        <f>IF(OR(Y106&gt;20,T106&gt;6), "Good employee", "Bad Employee")</f>
        <v>Good employee</v>
      </c>
      <c r="AD106" t="s">
        <v>56</v>
      </c>
      <c r="AE106" t="s">
        <v>59</v>
      </c>
      <c r="AF106">
        <v>0</v>
      </c>
      <c r="AG106">
        <v>2017</v>
      </c>
      <c r="AH106" t="s">
        <v>43</v>
      </c>
      <c r="AI106">
        <v>49</v>
      </c>
      <c r="AJ106">
        <v>1.6</v>
      </c>
    </row>
    <row r="107" spans="1:36" x14ac:dyDescent="0.25">
      <c r="A107">
        <v>10106</v>
      </c>
      <c r="B107" t="s">
        <v>60</v>
      </c>
      <c r="C107" t="s">
        <v>65</v>
      </c>
      <c r="D107" t="s">
        <v>33</v>
      </c>
      <c r="E107" t="str">
        <f t="shared" si="13"/>
        <v>Jane Johnson is in Marketing Department</v>
      </c>
      <c r="F107" s="6" t="str">
        <f t="shared" si="14"/>
        <v>janejohnson@gmail.com</v>
      </c>
      <c r="G107">
        <v>74645</v>
      </c>
      <c r="H107" t="str">
        <f t="shared" si="15"/>
        <v>Medium</v>
      </c>
      <c r="I107" s="3">
        <v>42783</v>
      </c>
      <c r="J107">
        <f t="shared" si="16"/>
        <v>2017</v>
      </c>
      <c r="K107">
        <f t="shared" si="17"/>
        <v>2</v>
      </c>
      <c r="L107">
        <f t="shared" si="18"/>
        <v>17</v>
      </c>
      <c r="M107" s="3">
        <f t="shared" ca="1" si="19"/>
        <v>46100</v>
      </c>
      <c r="N107">
        <f t="shared" ca="1" si="20"/>
        <v>3317</v>
      </c>
      <c r="O107">
        <f t="shared" ca="1" si="21"/>
        <v>3317</v>
      </c>
      <c r="P107">
        <f t="shared" ca="1" si="22"/>
        <v>2370</v>
      </c>
      <c r="Q107">
        <v>25</v>
      </c>
      <c r="R107" t="str">
        <f t="shared" si="23"/>
        <v>Young</v>
      </c>
      <c r="S107" t="s">
        <v>34</v>
      </c>
      <c r="T107">
        <v>6</v>
      </c>
      <c r="U107" t="s">
        <v>45</v>
      </c>
      <c r="V107">
        <v>7435.75</v>
      </c>
      <c r="W107" t="s">
        <v>58</v>
      </c>
      <c r="X107" t="s">
        <v>47</v>
      </c>
      <c r="Y107">
        <v>24</v>
      </c>
      <c r="Z107" t="str">
        <f t="shared" si="24"/>
        <v>Bad Employee</v>
      </c>
      <c r="AA107" t="b">
        <f t="shared" si="25"/>
        <v>0</v>
      </c>
      <c r="AB107" t="b">
        <f>OR(Y107&gt;20, T107&gt;6)</f>
        <v>1</v>
      </c>
      <c r="AC107" t="str">
        <f>IF(OR(Y107&gt;20,T107&gt;6), "Good employee", "Bad Employee")</f>
        <v>Good employee</v>
      </c>
      <c r="AD107" t="s">
        <v>41</v>
      </c>
      <c r="AE107" t="s">
        <v>37</v>
      </c>
      <c r="AF107">
        <v>17</v>
      </c>
      <c r="AG107">
        <v>2020</v>
      </c>
      <c r="AH107" t="s">
        <v>43</v>
      </c>
      <c r="AI107">
        <v>164</v>
      </c>
      <c r="AJ107">
        <v>2.4</v>
      </c>
    </row>
    <row r="108" spans="1:36" x14ac:dyDescent="0.25">
      <c r="A108">
        <v>10107</v>
      </c>
      <c r="B108" t="s">
        <v>64</v>
      </c>
      <c r="C108" t="s">
        <v>57</v>
      </c>
      <c r="D108" t="s">
        <v>39</v>
      </c>
      <c r="E108" t="str">
        <f t="shared" si="13"/>
        <v>Katie Davis is in IT Department</v>
      </c>
      <c r="F108" s="6" t="str">
        <f t="shared" si="14"/>
        <v>katiedavis@gmail.com</v>
      </c>
      <c r="G108">
        <v>92142</v>
      </c>
      <c r="H108" t="str">
        <f t="shared" si="15"/>
        <v>High</v>
      </c>
      <c r="I108" s="3">
        <v>39077</v>
      </c>
      <c r="J108">
        <f t="shared" si="16"/>
        <v>2006</v>
      </c>
      <c r="K108">
        <f t="shared" si="17"/>
        <v>12</v>
      </c>
      <c r="L108">
        <f t="shared" si="18"/>
        <v>26</v>
      </c>
      <c r="M108" s="3">
        <f t="shared" ca="1" si="19"/>
        <v>46100</v>
      </c>
      <c r="N108">
        <f t="shared" ca="1" si="20"/>
        <v>7023</v>
      </c>
      <c r="O108">
        <f t="shared" ca="1" si="21"/>
        <v>7023</v>
      </c>
      <c r="P108">
        <f t="shared" ca="1" si="22"/>
        <v>5018</v>
      </c>
      <c r="Q108">
        <v>60</v>
      </c>
      <c r="R108" t="str">
        <f t="shared" si="23"/>
        <v>Old</v>
      </c>
      <c r="S108" t="s">
        <v>24</v>
      </c>
      <c r="T108">
        <v>7</v>
      </c>
      <c r="U108" t="s">
        <v>45</v>
      </c>
      <c r="V108">
        <v>7134.73</v>
      </c>
      <c r="W108" t="s">
        <v>35</v>
      </c>
      <c r="X108" t="s">
        <v>55</v>
      </c>
      <c r="Y108">
        <v>3</v>
      </c>
      <c r="Z108" t="str">
        <f t="shared" si="24"/>
        <v>Bad Employee</v>
      </c>
      <c r="AA108" t="b">
        <f t="shared" si="25"/>
        <v>0</v>
      </c>
      <c r="AB108" t="b">
        <f>OR(Y108&gt;20, T108&gt;6)</f>
        <v>1</v>
      </c>
      <c r="AC108" t="str">
        <f>IF(OR(Y108&gt;20,T108&gt;6), "Good employee", "Bad Employee")</f>
        <v>Good employee</v>
      </c>
      <c r="AD108" t="s">
        <v>41</v>
      </c>
      <c r="AE108" t="s">
        <v>62</v>
      </c>
      <c r="AF108">
        <v>7</v>
      </c>
      <c r="AG108">
        <v>2020</v>
      </c>
      <c r="AH108" t="s">
        <v>43</v>
      </c>
      <c r="AI108">
        <v>73</v>
      </c>
      <c r="AJ108">
        <v>1.2</v>
      </c>
    </row>
    <row r="109" spans="1:36" x14ac:dyDescent="0.25">
      <c r="A109">
        <v>10108</v>
      </c>
      <c r="B109" t="s">
        <v>31</v>
      </c>
      <c r="C109" t="s">
        <v>32</v>
      </c>
      <c r="D109" t="s">
        <v>54</v>
      </c>
      <c r="E109" t="str">
        <f t="shared" si="13"/>
        <v>Emily Wilson is in Finance Department</v>
      </c>
      <c r="F109" s="6" t="str">
        <f t="shared" si="14"/>
        <v>emilywilson@gmail.com</v>
      </c>
      <c r="G109">
        <v>55557</v>
      </c>
      <c r="H109" t="str">
        <f t="shared" si="15"/>
        <v>Medium</v>
      </c>
      <c r="I109" s="3">
        <v>38478</v>
      </c>
      <c r="J109">
        <f t="shared" si="16"/>
        <v>2005</v>
      </c>
      <c r="K109">
        <f t="shared" si="17"/>
        <v>5</v>
      </c>
      <c r="L109">
        <f t="shared" si="18"/>
        <v>6</v>
      </c>
      <c r="M109" s="3">
        <f t="shared" ca="1" si="19"/>
        <v>46100</v>
      </c>
      <c r="N109">
        <f t="shared" ca="1" si="20"/>
        <v>7622</v>
      </c>
      <c r="O109">
        <f t="shared" ca="1" si="21"/>
        <v>7622</v>
      </c>
      <c r="P109">
        <f t="shared" ca="1" si="22"/>
        <v>5445</v>
      </c>
      <c r="Q109">
        <v>28</v>
      </c>
      <c r="R109" t="str">
        <f t="shared" si="23"/>
        <v>Young</v>
      </c>
      <c r="S109" t="s">
        <v>34</v>
      </c>
      <c r="T109">
        <v>1</v>
      </c>
      <c r="U109" t="s">
        <v>45</v>
      </c>
      <c r="V109">
        <v>7728</v>
      </c>
      <c r="W109" t="s">
        <v>35</v>
      </c>
      <c r="X109" t="s">
        <v>47</v>
      </c>
      <c r="Y109">
        <v>2</v>
      </c>
      <c r="Z109" t="str">
        <f t="shared" si="24"/>
        <v>Bad Employee</v>
      </c>
      <c r="AA109" t="b">
        <f t="shared" si="25"/>
        <v>0</v>
      </c>
      <c r="AB109" t="b">
        <f>OR(Y109&gt;20, T109&gt;6)</f>
        <v>0</v>
      </c>
      <c r="AC109" t="str">
        <f>IF(OR(Y109&gt;20,T109&gt;6), "Good employee", "Bad Employee")</f>
        <v>Bad Employee</v>
      </c>
      <c r="AD109" t="s">
        <v>41</v>
      </c>
      <c r="AE109" t="s">
        <v>42</v>
      </c>
      <c r="AF109">
        <v>7</v>
      </c>
      <c r="AG109">
        <v>2023</v>
      </c>
      <c r="AH109" t="s">
        <v>49</v>
      </c>
      <c r="AI109">
        <v>18</v>
      </c>
      <c r="AJ109">
        <v>3.3</v>
      </c>
    </row>
    <row r="110" spans="1:36" x14ac:dyDescent="0.25">
      <c r="A110">
        <v>10109</v>
      </c>
      <c r="B110" t="s">
        <v>64</v>
      </c>
      <c r="C110" t="s">
        <v>32</v>
      </c>
      <c r="D110" t="s">
        <v>44</v>
      </c>
      <c r="E110" t="str">
        <f t="shared" si="13"/>
        <v>Katie Wilson is in Sales Department</v>
      </c>
      <c r="F110" s="6" t="str">
        <f t="shared" si="14"/>
        <v>katiewilson@gmail.com</v>
      </c>
      <c r="G110">
        <v>109782</v>
      </c>
      <c r="H110" t="str">
        <f t="shared" si="15"/>
        <v>High</v>
      </c>
      <c r="I110" s="3">
        <v>38221</v>
      </c>
      <c r="J110">
        <f t="shared" si="16"/>
        <v>2004</v>
      </c>
      <c r="K110">
        <f t="shared" si="17"/>
        <v>8</v>
      </c>
      <c r="L110">
        <f t="shared" si="18"/>
        <v>22</v>
      </c>
      <c r="M110" s="3">
        <f t="shared" ca="1" si="19"/>
        <v>46100</v>
      </c>
      <c r="N110">
        <f t="shared" ca="1" si="20"/>
        <v>7879</v>
      </c>
      <c r="O110">
        <f t="shared" ca="1" si="21"/>
        <v>7879</v>
      </c>
      <c r="P110">
        <f t="shared" ca="1" si="22"/>
        <v>5629</v>
      </c>
      <c r="Q110">
        <v>37</v>
      </c>
      <c r="R110" t="str">
        <f t="shared" si="23"/>
        <v>Old</v>
      </c>
      <c r="S110" t="s">
        <v>34</v>
      </c>
      <c r="T110">
        <v>5</v>
      </c>
      <c r="U110" t="s">
        <v>45</v>
      </c>
      <c r="V110">
        <v>4845.82</v>
      </c>
      <c r="W110" t="s">
        <v>46</v>
      </c>
      <c r="X110" t="s">
        <v>47</v>
      </c>
      <c r="Y110">
        <v>19</v>
      </c>
      <c r="Z110" t="str">
        <f t="shared" si="24"/>
        <v>Bad Employee</v>
      </c>
      <c r="AA110" t="b">
        <f t="shared" si="25"/>
        <v>0</v>
      </c>
      <c r="AB110" t="b">
        <f>OR(Y110&gt;20, T110&gt;6)</f>
        <v>0</v>
      </c>
      <c r="AC110" t="str">
        <f>IF(OR(Y110&gt;20,T110&gt;6), "Good employee", "Bad Employee")</f>
        <v>Bad Employee</v>
      </c>
      <c r="AD110" t="s">
        <v>56</v>
      </c>
      <c r="AE110" t="s">
        <v>29</v>
      </c>
      <c r="AF110">
        <v>7</v>
      </c>
      <c r="AG110">
        <v>2012</v>
      </c>
      <c r="AH110" t="s">
        <v>49</v>
      </c>
      <c r="AI110">
        <v>183</v>
      </c>
      <c r="AJ110">
        <v>1.7</v>
      </c>
    </row>
    <row r="111" spans="1:36" x14ac:dyDescent="0.25">
      <c r="A111">
        <v>10110</v>
      </c>
      <c r="B111" t="s">
        <v>21</v>
      </c>
      <c r="C111" t="s">
        <v>51</v>
      </c>
      <c r="D111" t="s">
        <v>54</v>
      </c>
      <c r="E111" t="str">
        <f t="shared" si="13"/>
        <v>Michael Brown is in Finance Department</v>
      </c>
      <c r="F111" s="6" t="str">
        <f t="shared" si="14"/>
        <v>michaelbrown@gmail.com</v>
      </c>
      <c r="G111">
        <v>108382</v>
      </c>
      <c r="H111" t="str">
        <f t="shared" si="15"/>
        <v>High</v>
      </c>
      <c r="I111" s="3">
        <v>37480</v>
      </c>
      <c r="J111">
        <f t="shared" si="16"/>
        <v>2002</v>
      </c>
      <c r="K111">
        <f t="shared" si="17"/>
        <v>8</v>
      </c>
      <c r="L111">
        <f t="shared" si="18"/>
        <v>12</v>
      </c>
      <c r="M111" s="3">
        <f t="shared" ca="1" si="19"/>
        <v>46100</v>
      </c>
      <c r="N111">
        <f t="shared" ca="1" si="20"/>
        <v>8620</v>
      </c>
      <c r="O111">
        <f t="shared" ca="1" si="21"/>
        <v>8620</v>
      </c>
      <c r="P111">
        <f t="shared" ca="1" si="22"/>
        <v>6159</v>
      </c>
      <c r="Q111">
        <v>26</v>
      </c>
      <c r="R111" t="str">
        <f t="shared" si="23"/>
        <v>Young</v>
      </c>
      <c r="S111" t="s">
        <v>34</v>
      </c>
      <c r="T111">
        <v>3</v>
      </c>
      <c r="U111" t="s">
        <v>25</v>
      </c>
      <c r="V111">
        <v>2171.27</v>
      </c>
      <c r="W111" t="s">
        <v>35</v>
      </c>
      <c r="X111" t="s">
        <v>27</v>
      </c>
      <c r="Y111">
        <v>24</v>
      </c>
      <c r="Z111" t="str">
        <f t="shared" si="24"/>
        <v>Bad Employee</v>
      </c>
      <c r="AA111" t="b">
        <f t="shared" si="25"/>
        <v>0</v>
      </c>
      <c r="AB111" t="b">
        <f>OR(Y111&gt;20, T111&gt;6)</f>
        <v>1</v>
      </c>
      <c r="AC111" t="str">
        <f>IF(OR(Y111&gt;20,T111&gt;6), "Good employee", "Bad Employee")</f>
        <v>Good employee</v>
      </c>
      <c r="AD111" t="s">
        <v>41</v>
      </c>
      <c r="AE111" t="s">
        <v>48</v>
      </c>
      <c r="AF111">
        <v>13</v>
      </c>
      <c r="AG111">
        <v>2014</v>
      </c>
      <c r="AH111" t="s">
        <v>43</v>
      </c>
      <c r="AI111">
        <v>155</v>
      </c>
      <c r="AJ111">
        <v>2.5</v>
      </c>
    </row>
    <row r="112" spans="1:36" x14ac:dyDescent="0.25">
      <c r="A112">
        <v>10111</v>
      </c>
      <c r="B112" t="s">
        <v>53</v>
      </c>
      <c r="C112" t="s">
        <v>65</v>
      </c>
      <c r="D112" t="s">
        <v>44</v>
      </c>
      <c r="E112" t="str">
        <f t="shared" si="13"/>
        <v>Sarah Johnson is in Sales Department</v>
      </c>
      <c r="F112" s="6" t="str">
        <f t="shared" si="14"/>
        <v>sarahjohnson@gmail.com</v>
      </c>
      <c r="G112">
        <v>67085</v>
      </c>
      <c r="H112" t="str">
        <f t="shared" si="15"/>
        <v>Medium</v>
      </c>
      <c r="I112" s="3">
        <v>39817</v>
      </c>
      <c r="J112">
        <f t="shared" si="16"/>
        <v>2009</v>
      </c>
      <c r="K112">
        <f t="shared" si="17"/>
        <v>1</v>
      </c>
      <c r="L112">
        <f t="shared" si="18"/>
        <v>4</v>
      </c>
      <c r="M112" s="3">
        <f t="shared" ca="1" si="19"/>
        <v>46100</v>
      </c>
      <c r="N112">
        <f t="shared" ca="1" si="20"/>
        <v>6283</v>
      </c>
      <c r="O112">
        <f t="shared" ca="1" si="21"/>
        <v>6283</v>
      </c>
      <c r="P112">
        <f t="shared" ca="1" si="22"/>
        <v>4489</v>
      </c>
      <c r="Q112">
        <v>44</v>
      </c>
      <c r="R112" t="str">
        <f t="shared" si="23"/>
        <v>Old</v>
      </c>
      <c r="S112" t="s">
        <v>24</v>
      </c>
      <c r="T112">
        <v>6</v>
      </c>
      <c r="U112" t="s">
        <v>45</v>
      </c>
      <c r="V112">
        <v>4916.29</v>
      </c>
      <c r="W112" t="s">
        <v>58</v>
      </c>
      <c r="X112" t="s">
        <v>55</v>
      </c>
      <c r="Y112">
        <v>20</v>
      </c>
      <c r="Z112" t="str">
        <f t="shared" si="24"/>
        <v>Bad Employee</v>
      </c>
      <c r="AA112" t="b">
        <f t="shared" si="25"/>
        <v>0</v>
      </c>
      <c r="AB112" t="b">
        <f>OR(Y112&gt;20, T112&gt;6)</f>
        <v>0</v>
      </c>
      <c r="AC112" t="str">
        <f>IF(OR(Y112&gt;20,T112&gt;6), "Good employee", "Bad Employee")</f>
        <v>Bad Employee</v>
      </c>
      <c r="AD112" t="s">
        <v>56</v>
      </c>
      <c r="AE112" t="s">
        <v>48</v>
      </c>
      <c r="AF112">
        <v>1</v>
      </c>
      <c r="AG112">
        <v>2016</v>
      </c>
      <c r="AH112" t="s">
        <v>30</v>
      </c>
      <c r="AI112">
        <v>178</v>
      </c>
      <c r="AJ112">
        <v>2.1</v>
      </c>
    </row>
    <row r="113" spans="1:36" x14ac:dyDescent="0.25">
      <c r="A113">
        <v>10112</v>
      </c>
      <c r="B113" t="s">
        <v>21</v>
      </c>
      <c r="C113" t="s">
        <v>32</v>
      </c>
      <c r="D113" t="s">
        <v>52</v>
      </c>
      <c r="E113" t="str">
        <f t="shared" si="13"/>
        <v>Michael Wilson is in Operations Department</v>
      </c>
      <c r="F113" s="6" t="str">
        <f t="shared" si="14"/>
        <v>michaelwilson@gmail.com</v>
      </c>
      <c r="G113">
        <v>80708</v>
      </c>
      <c r="H113" t="str">
        <f t="shared" si="15"/>
        <v>High</v>
      </c>
      <c r="I113" s="3">
        <v>36882</v>
      </c>
      <c r="J113">
        <f t="shared" si="16"/>
        <v>2000</v>
      </c>
      <c r="K113">
        <f t="shared" si="17"/>
        <v>12</v>
      </c>
      <c r="L113">
        <f t="shared" si="18"/>
        <v>22</v>
      </c>
      <c r="M113" s="3">
        <f t="shared" ca="1" si="19"/>
        <v>46100</v>
      </c>
      <c r="N113">
        <f t="shared" ca="1" si="20"/>
        <v>9218</v>
      </c>
      <c r="O113">
        <f t="shared" ca="1" si="21"/>
        <v>9218</v>
      </c>
      <c r="P113">
        <f t="shared" ca="1" si="22"/>
        <v>6585</v>
      </c>
      <c r="Q113">
        <v>57</v>
      </c>
      <c r="R113" t="str">
        <f t="shared" si="23"/>
        <v>Old</v>
      </c>
      <c r="S113" t="s">
        <v>34</v>
      </c>
      <c r="T113">
        <v>4</v>
      </c>
      <c r="U113" t="s">
        <v>25</v>
      </c>
      <c r="V113">
        <v>6654.93</v>
      </c>
      <c r="W113" t="s">
        <v>26</v>
      </c>
      <c r="X113" t="s">
        <v>47</v>
      </c>
      <c r="Y113">
        <v>31</v>
      </c>
      <c r="Z113" t="str">
        <f t="shared" si="24"/>
        <v>Bad Employee</v>
      </c>
      <c r="AA113" t="b">
        <f t="shared" si="25"/>
        <v>0</v>
      </c>
      <c r="AB113" t="b">
        <f>OR(Y113&gt;20, T113&gt;6)</f>
        <v>1</v>
      </c>
      <c r="AC113" t="str">
        <f>IF(OR(Y113&gt;20,T113&gt;6), "Good employee", "Bad Employee")</f>
        <v>Good employee</v>
      </c>
      <c r="AD113" t="s">
        <v>28</v>
      </c>
      <c r="AE113" t="s">
        <v>48</v>
      </c>
      <c r="AF113">
        <v>2</v>
      </c>
      <c r="AG113">
        <v>2011</v>
      </c>
      <c r="AH113" t="s">
        <v>49</v>
      </c>
      <c r="AI113">
        <v>159</v>
      </c>
      <c r="AJ113">
        <v>3.5</v>
      </c>
    </row>
    <row r="114" spans="1:36" x14ac:dyDescent="0.25">
      <c r="A114">
        <v>10113</v>
      </c>
      <c r="B114" t="s">
        <v>53</v>
      </c>
      <c r="C114" t="s">
        <v>22</v>
      </c>
      <c r="D114" t="s">
        <v>54</v>
      </c>
      <c r="E114" t="str">
        <f t="shared" si="13"/>
        <v>Sarah Williams is in Finance Department</v>
      </c>
      <c r="F114" s="6" t="str">
        <f t="shared" si="14"/>
        <v>sarahwilliams@gmail.com</v>
      </c>
      <c r="G114">
        <v>81357</v>
      </c>
      <c r="H114" t="str">
        <f t="shared" si="15"/>
        <v>High</v>
      </c>
      <c r="I114" s="3">
        <v>42838</v>
      </c>
      <c r="J114">
        <f t="shared" si="16"/>
        <v>2017</v>
      </c>
      <c r="K114">
        <f t="shared" si="17"/>
        <v>4</v>
      </c>
      <c r="L114">
        <f t="shared" si="18"/>
        <v>13</v>
      </c>
      <c r="M114" s="3">
        <f t="shared" ca="1" si="19"/>
        <v>46100</v>
      </c>
      <c r="N114">
        <f t="shared" ca="1" si="20"/>
        <v>3262</v>
      </c>
      <c r="O114">
        <f t="shared" ca="1" si="21"/>
        <v>3262</v>
      </c>
      <c r="P114">
        <f t="shared" ca="1" si="22"/>
        <v>2331</v>
      </c>
      <c r="Q114">
        <v>53</v>
      </c>
      <c r="R114" t="str">
        <f t="shared" si="23"/>
        <v>Old</v>
      </c>
      <c r="S114" t="s">
        <v>24</v>
      </c>
      <c r="T114">
        <v>9</v>
      </c>
      <c r="U114" t="s">
        <v>25</v>
      </c>
      <c r="V114">
        <v>6281.62</v>
      </c>
      <c r="W114" t="s">
        <v>46</v>
      </c>
      <c r="X114" t="s">
        <v>27</v>
      </c>
      <c r="Y114">
        <v>31</v>
      </c>
      <c r="Z114" t="str">
        <f t="shared" si="24"/>
        <v>Good Employee</v>
      </c>
      <c r="AA114" t="b">
        <f t="shared" si="25"/>
        <v>1</v>
      </c>
      <c r="AB114" t="b">
        <f>OR(Y114&gt;20, T114&gt;6)</f>
        <v>1</v>
      </c>
      <c r="AC114" t="str">
        <f>IF(OR(Y114&gt;20,T114&gt;6), "Good employee", "Bad Employee")</f>
        <v>Good employee</v>
      </c>
      <c r="AD114" t="s">
        <v>56</v>
      </c>
      <c r="AE114" t="s">
        <v>62</v>
      </c>
      <c r="AF114">
        <v>6</v>
      </c>
      <c r="AG114">
        <v>2012</v>
      </c>
      <c r="AH114" t="s">
        <v>43</v>
      </c>
      <c r="AI114">
        <v>93</v>
      </c>
      <c r="AJ114">
        <v>4.4000000000000004</v>
      </c>
    </row>
    <row r="115" spans="1:36" x14ac:dyDescent="0.25">
      <c r="A115">
        <v>10114</v>
      </c>
      <c r="B115" t="s">
        <v>64</v>
      </c>
      <c r="C115" t="s">
        <v>32</v>
      </c>
      <c r="D115" t="s">
        <v>39</v>
      </c>
      <c r="E115" t="str">
        <f t="shared" si="13"/>
        <v>Katie Wilson is in IT Department</v>
      </c>
      <c r="F115" s="6" t="str">
        <f t="shared" si="14"/>
        <v>katiewilson@gmail.com</v>
      </c>
      <c r="G115">
        <v>43470</v>
      </c>
      <c r="H115" t="str">
        <f t="shared" si="15"/>
        <v>low</v>
      </c>
      <c r="I115" s="3">
        <v>40121</v>
      </c>
      <c r="J115">
        <f t="shared" si="16"/>
        <v>2009</v>
      </c>
      <c r="K115">
        <f t="shared" si="17"/>
        <v>11</v>
      </c>
      <c r="L115">
        <f t="shared" si="18"/>
        <v>4</v>
      </c>
      <c r="M115" s="3">
        <f t="shared" ca="1" si="19"/>
        <v>46100</v>
      </c>
      <c r="N115">
        <f t="shared" ca="1" si="20"/>
        <v>5979</v>
      </c>
      <c r="O115">
        <f t="shared" ca="1" si="21"/>
        <v>5979</v>
      </c>
      <c r="P115">
        <f t="shared" ca="1" si="22"/>
        <v>4272</v>
      </c>
      <c r="Q115">
        <v>45</v>
      </c>
      <c r="R115" t="str">
        <f t="shared" si="23"/>
        <v>Old</v>
      </c>
      <c r="S115" t="s">
        <v>34</v>
      </c>
      <c r="T115">
        <v>7</v>
      </c>
      <c r="U115" t="s">
        <v>45</v>
      </c>
      <c r="V115">
        <v>1169.96</v>
      </c>
      <c r="W115" t="s">
        <v>35</v>
      </c>
      <c r="X115" t="s">
        <v>27</v>
      </c>
      <c r="Y115">
        <v>37</v>
      </c>
      <c r="Z115" t="str">
        <f t="shared" si="24"/>
        <v>Good Employee</v>
      </c>
      <c r="AA115" t="b">
        <f t="shared" si="25"/>
        <v>1</v>
      </c>
      <c r="AB115" t="b">
        <f>OR(Y115&gt;20, T115&gt;6)</f>
        <v>1</v>
      </c>
      <c r="AC115" t="str">
        <f>IF(OR(Y115&gt;20,T115&gt;6), "Good employee", "Bad Employee")</f>
        <v>Good employee</v>
      </c>
      <c r="AD115" t="s">
        <v>41</v>
      </c>
      <c r="AE115" t="s">
        <v>29</v>
      </c>
      <c r="AF115">
        <v>2</v>
      </c>
      <c r="AG115">
        <v>2017</v>
      </c>
      <c r="AH115" t="s">
        <v>49</v>
      </c>
      <c r="AI115">
        <v>40</v>
      </c>
      <c r="AJ115">
        <v>3.5</v>
      </c>
    </row>
    <row r="116" spans="1:36" x14ac:dyDescent="0.25">
      <c r="A116">
        <v>10115</v>
      </c>
      <c r="B116" t="s">
        <v>21</v>
      </c>
      <c r="C116" t="s">
        <v>63</v>
      </c>
      <c r="D116" t="s">
        <v>44</v>
      </c>
      <c r="E116" t="str">
        <f t="shared" si="13"/>
        <v>Michael Miller is in Sales Department</v>
      </c>
      <c r="F116" s="6" t="str">
        <f t="shared" si="14"/>
        <v>michaelmiller@gmail.com</v>
      </c>
      <c r="G116">
        <v>108712</v>
      </c>
      <c r="H116" t="str">
        <f t="shared" si="15"/>
        <v>High</v>
      </c>
      <c r="I116" s="3">
        <v>37494</v>
      </c>
      <c r="J116">
        <f t="shared" si="16"/>
        <v>2002</v>
      </c>
      <c r="K116">
        <f t="shared" si="17"/>
        <v>8</v>
      </c>
      <c r="L116">
        <f t="shared" si="18"/>
        <v>26</v>
      </c>
      <c r="M116" s="3">
        <f t="shared" ca="1" si="19"/>
        <v>46100</v>
      </c>
      <c r="N116">
        <f t="shared" ca="1" si="20"/>
        <v>8606</v>
      </c>
      <c r="O116">
        <f t="shared" ca="1" si="21"/>
        <v>8606</v>
      </c>
      <c r="P116">
        <f t="shared" ca="1" si="22"/>
        <v>6149</v>
      </c>
      <c r="Q116">
        <v>46</v>
      </c>
      <c r="R116" t="str">
        <f t="shared" si="23"/>
        <v>Old</v>
      </c>
      <c r="S116" t="s">
        <v>24</v>
      </c>
      <c r="T116">
        <v>4</v>
      </c>
      <c r="U116" t="s">
        <v>45</v>
      </c>
      <c r="V116">
        <v>1117.05</v>
      </c>
      <c r="W116" t="s">
        <v>58</v>
      </c>
      <c r="X116" t="s">
        <v>55</v>
      </c>
      <c r="Y116">
        <v>29</v>
      </c>
      <c r="Z116" t="str">
        <f t="shared" si="24"/>
        <v>Bad Employee</v>
      </c>
      <c r="AA116" t="b">
        <f t="shared" si="25"/>
        <v>0</v>
      </c>
      <c r="AB116" t="b">
        <f>OR(Y116&gt;20, T116&gt;6)</f>
        <v>1</v>
      </c>
      <c r="AC116" t="str">
        <f>IF(OR(Y116&gt;20,T116&gt;6), "Good employee", "Bad Employee")</f>
        <v>Good employee</v>
      </c>
      <c r="AD116" t="s">
        <v>28</v>
      </c>
      <c r="AE116" t="s">
        <v>62</v>
      </c>
      <c r="AF116">
        <v>14</v>
      </c>
      <c r="AG116">
        <v>2019</v>
      </c>
      <c r="AH116" t="s">
        <v>49</v>
      </c>
      <c r="AI116">
        <v>36</v>
      </c>
      <c r="AJ116">
        <v>3.2</v>
      </c>
    </row>
    <row r="117" spans="1:36" x14ac:dyDescent="0.25">
      <c r="A117">
        <v>10116</v>
      </c>
      <c r="B117" t="s">
        <v>31</v>
      </c>
      <c r="C117" t="s">
        <v>63</v>
      </c>
      <c r="D117" t="s">
        <v>54</v>
      </c>
      <c r="E117" t="str">
        <f t="shared" si="13"/>
        <v>Emily Miller is in Finance Department</v>
      </c>
      <c r="F117" s="6" t="str">
        <f t="shared" si="14"/>
        <v>emilymiller@gmail.com</v>
      </c>
      <c r="G117">
        <v>109082</v>
      </c>
      <c r="H117" t="str">
        <f t="shared" si="15"/>
        <v>High</v>
      </c>
      <c r="I117" s="3">
        <v>36767</v>
      </c>
      <c r="J117">
        <f t="shared" si="16"/>
        <v>2000</v>
      </c>
      <c r="K117">
        <f t="shared" si="17"/>
        <v>8</v>
      </c>
      <c r="L117">
        <f t="shared" si="18"/>
        <v>29</v>
      </c>
      <c r="M117" s="3">
        <f t="shared" ca="1" si="19"/>
        <v>46100</v>
      </c>
      <c r="N117">
        <f t="shared" ca="1" si="20"/>
        <v>9333</v>
      </c>
      <c r="O117">
        <f t="shared" ca="1" si="21"/>
        <v>9333</v>
      </c>
      <c r="P117">
        <f t="shared" ca="1" si="22"/>
        <v>6668</v>
      </c>
      <c r="Q117">
        <v>49</v>
      </c>
      <c r="R117" t="str">
        <f t="shared" si="23"/>
        <v>Old</v>
      </c>
      <c r="S117" t="s">
        <v>24</v>
      </c>
      <c r="T117">
        <v>6</v>
      </c>
      <c r="U117" t="s">
        <v>45</v>
      </c>
      <c r="V117">
        <v>9669.9500000000007</v>
      </c>
      <c r="W117" t="s">
        <v>58</v>
      </c>
      <c r="X117" t="s">
        <v>36</v>
      </c>
      <c r="Y117">
        <v>4</v>
      </c>
      <c r="Z117" t="str">
        <f t="shared" si="24"/>
        <v>Bad Employee</v>
      </c>
      <c r="AA117" t="b">
        <f t="shared" si="25"/>
        <v>0</v>
      </c>
      <c r="AB117" t="b">
        <f>OR(Y117&gt;20, T117&gt;6)</f>
        <v>0</v>
      </c>
      <c r="AC117" t="str">
        <f>IF(OR(Y117&gt;20,T117&gt;6), "Good employee", "Bad Employee")</f>
        <v>Bad Employee</v>
      </c>
      <c r="AD117" t="s">
        <v>56</v>
      </c>
      <c r="AE117" t="s">
        <v>29</v>
      </c>
      <c r="AF117">
        <v>10</v>
      </c>
      <c r="AG117">
        <v>2023</v>
      </c>
      <c r="AH117" t="s">
        <v>43</v>
      </c>
      <c r="AI117">
        <v>77</v>
      </c>
      <c r="AJ117">
        <v>3.7</v>
      </c>
    </row>
    <row r="118" spans="1:36" x14ac:dyDescent="0.25">
      <c r="A118">
        <v>10117</v>
      </c>
      <c r="B118" t="s">
        <v>66</v>
      </c>
      <c r="C118" t="s">
        <v>32</v>
      </c>
      <c r="D118" t="s">
        <v>33</v>
      </c>
      <c r="E118" t="str">
        <f t="shared" si="13"/>
        <v>John Wilson is in Marketing Department</v>
      </c>
      <c r="F118" s="6" t="str">
        <f t="shared" si="14"/>
        <v>johnwilson@gmail.com</v>
      </c>
      <c r="G118">
        <v>36805</v>
      </c>
      <c r="H118" t="str">
        <f t="shared" si="15"/>
        <v>extremely low</v>
      </c>
      <c r="I118" s="3">
        <v>39972</v>
      </c>
      <c r="J118">
        <f t="shared" si="16"/>
        <v>2009</v>
      </c>
      <c r="K118">
        <f t="shared" si="17"/>
        <v>6</v>
      </c>
      <c r="L118">
        <f t="shared" si="18"/>
        <v>8</v>
      </c>
      <c r="M118" s="3">
        <f t="shared" ca="1" si="19"/>
        <v>46100</v>
      </c>
      <c r="N118">
        <f t="shared" ca="1" si="20"/>
        <v>6128</v>
      </c>
      <c r="O118">
        <f t="shared" ca="1" si="21"/>
        <v>6128</v>
      </c>
      <c r="P118">
        <f t="shared" ca="1" si="22"/>
        <v>4379</v>
      </c>
      <c r="Q118">
        <v>40</v>
      </c>
      <c r="R118" t="str">
        <f t="shared" si="23"/>
        <v>Old</v>
      </c>
      <c r="S118" t="s">
        <v>24</v>
      </c>
      <c r="T118">
        <v>2</v>
      </c>
      <c r="U118" t="s">
        <v>45</v>
      </c>
      <c r="V118">
        <v>1942.15</v>
      </c>
      <c r="W118" t="s">
        <v>46</v>
      </c>
      <c r="X118" t="s">
        <v>55</v>
      </c>
      <c r="Y118">
        <v>10</v>
      </c>
      <c r="Z118" t="str">
        <f t="shared" si="24"/>
        <v>Bad Employee</v>
      </c>
      <c r="AA118" t="b">
        <f t="shared" si="25"/>
        <v>0</v>
      </c>
      <c r="AB118" t="b">
        <f>OR(Y118&gt;20, T118&gt;6)</f>
        <v>0</v>
      </c>
      <c r="AC118" t="str">
        <f>IF(OR(Y118&gt;20,T118&gt;6), "Good employee", "Bad Employee")</f>
        <v>Bad Employee</v>
      </c>
      <c r="AD118" t="s">
        <v>41</v>
      </c>
      <c r="AE118" t="s">
        <v>42</v>
      </c>
      <c r="AF118">
        <v>1</v>
      </c>
      <c r="AG118">
        <v>2017</v>
      </c>
      <c r="AH118" t="s">
        <v>30</v>
      </c>
      <c r="AI118">
        <v>198</v>
      </c>
      <c r="AJ118">
        <v>1.1000000000000001</v>
      </c>
    </row>
    <row r="119" spans="1:36" x14ac:dyDescent="0.25">
      <c r="A119">
        <v>10118</v>
      </c>
      <c r="B119" t="s">
        <v>64</v>
      </c>
      <c r="C119" t="s">
        <v>22</v>
      </c>
      <c r="D119" t="s">
        <v>44</v>
      </c>
      <c r="E119" t="str">
        <f t="shared" si="13"/>
        <v>Katie Williams is in Sales Department</v>
      </c>
      <c r="F119" s="6" t="str">
        <f t="shared" si="14"/>
        <v>katiewilliams@gmail.com</v>
      </c>
      <c r="G119">
        <v>112324</v>
      </c>
      <c r="H119" t="str">
        <f t="shared" si="15"/>
        <v>High</v>
      </c>
      <c r="I119" s="3">
        <v>40760</v>
      </c>
      <c r="J119">
        <f t="shared" si="16"/>
        <v>2011</v>
      </c>
      <c r="K119">
        <f t="shared" si="17"/>
        <v>8</v>
      </c>
      <c r="L119">
        <f t="shared" si="18"/>
        <v>5</v>
      </c>
      <c r="M119" s="3">
        <f t="shared" ca="1" si="19"/>
        <v>46100</v>
      </c>
      <c r="N119">
        <f t="shared" ca="1" si="20"/>
        <v>5340</v>
      </c>
      <c r="O119">
        <f t="shared" ca="1" si="21"/>
        <v>5340</v>
      </c>
      <c r="P119">
        <f t="shared" ca="1" si="22"/>
        <v>3815</v>
      </c>
      <c r="Q119">
        <v>28</v>
      </c>
      <c r="R119" t="str">
        <f t="shared" si="23"/>
        <v>Young</v>
      </c>
      <c r="S119" t="s">
        <v>24</v>
      </c>
      <c r="T119">
        <v>3</v>
      </c>
      <c r="U119" t="s">
        <v>25</v>
      </c>
      <c r="V119">
        <v>3297.39</v>
      </c>
      <c r="W119" t="s">
        <v>46</v>
      </c>
      <c r="X119" t="s">
        <v>47</v>
      </c>
      <c r="Y119">
        <v>36</v>
      </c>
      <c r="Z119" t="str">
        <f t="shared" si="24"/>
        <v>Bad Employee</v>
      </c>
      <c r="AA119" t="b">
        <f t="shared" si="25"/>
        <v>0</v>
      </c>
      <c r="AB119" t="b">
        <f>OR(Y119&gt;20, T119&gt;6)</f>
        <v>1</v>
      </c>
      <c r="AC119" t="str">
        <f>IF(OR(Y119&gt;20,T119&gt;6), "Good employee", "Bad Employee")</f>
        <v>Good employee</v>
      </c>
      <c r="AD119" t="s">
        <v>28</v>
      </c>
      <c r="AE119" t="s">
        <v>59</v>
      </c>
      <c r="AF119">
        <v>17</v>
      </c>
      <c r="AG119">
        <v>2012</v>
      </c>
      <c r="AH119" t="s">
        <v>30</v>
      </c>
      <c r="AI119">
        <v>174</v>
      </c>
      <c r="AJ119">
        <v>1.5</v>
      </c>
    </row>
    <row r="120" spans="1:36" x14ac:dyDescent="0.25">
      <c r="A120">
        <v>10119</v>
      </c>
      <c r="B120" t="s">
        <v>53</v>
      </c>
      <c r="C120" t="s">
        <v>63</v>
      </c>
      <c r="D120" t="s">
        <v>44</v>
      </c>
      <c r="E120" t="str">
        <f t="shared" si="13"/>
        <v>Sarah Miller is in Sales Department</v>
      </c>
      <c r="F120" s="6" t="str">
        <f t="shared" si="14"/>
        <v>sarahmiller@gmail.com</v>
      </c>
      <c r="G120">
        <v>92028</v>
      </c>
      <c r="H120" t="str">
        <f t="shared" si="15"/>
        <v>High</v>
      </c>
      <c r="I120" s="3">
        <v>38670</v>
      </c>
      <c r="J120">
        <f t="shared" si="16"/>
        <v>2005</v>
      </c>
      <c r="K120">
        <f t="shared" si="17"/>
        <v>11</v>
      </c>
      <c r="L120">
        <f t="shared" si="18"/>
        <v>14</v>
      </c>
      <c r="M120" s="3">
        <f t="shared" ca="1" si="19"/>
        <v>46100</v>
      </c>
      <c r="N120">
        <f t="shared" ca="1" si="20"/>
        <v>7430</v>
      </c>
      <c r="O120">
        <f t="shared" ca="1" si="21"/>
        <v>7430</v>
      </c>
      <c r="P120">
        <f t="shared" ca="1" si="22"/>
        <v>5309</v>
      </c>
      <c r="Q120">
        <v>62</v>
      </c>
      <c r="R120" t="str">
        <f t="shared" si="23"/>
        <v>Old</v>
      </c>
      <c r="S120" t="s">
        <v>24</v>
      </c>
      <c r="T120">
        <v>7</v>
      </c>
      <c r="U120" t="s">
        <v>45</v>
      </c>
      <c r="V120">
        <v>7792.53</v>
      </c>
      <c r="W120" t="s">
        <v>35</v>
      </c>
      <c r="X120" t="s">
        <v>36</v>
      </c>
      <c r="Y120">
        <v>35</v>
      </c>
      <c r="Z120" t="str">
        <f t="shared" si="24"/>
        <v>Good Employee</v>
      </c>
      <c r="AA120" t="b">
        <f t="shared" si="25"/>
        <v>1</v>
      </c>
      <c r="AB120" t="b">
        <f>OR(Y120&gt;20, T120&gt;6)</f>
        <v>1</v>
      </c>
      <c r="AC120" t="str">
        <f>IF(OR(Y120&gt;20,T120&gt;6), "Good employee", "Bad Employee")</f>
        <v>Good employee</v>
      </c>
      <c r="AD120" t="s">
        <v>28</v>
      </c>
      <c r="AE120" t="s">
        <v>29</v>
      </c>
      <c r="AF120">
        <v>13</v>
      </c>
      <c r="AG120">
        <v>2022</v>
      </c>
      <c r="AH120" t="s">
        <v>49</v>
      </c>
      <c r="AI120">
        <v>54</v>
      </c>
      <c r="AJ120">
        <v>1.4</v>
      </c>
    </row>
    <row r="121" spans="1:36" x14ac:dyDescent="0.25">
      <c r="A121">
        <v>10120</v>
      </c>
      <c r="B121" t="s">
        <v>38</v>
      </c>
      <c r="C121" t="s">
        <v>57</v>
      </c>
      <c r="D121" t="s">
        <v>54</v>
      </c>
      <c r="E121" t="str">
        <f t="shared" si="13"/>
        <v>Chris Davis is in Finance Department</v>
      </c>
      <c r="F121" s="6" t="str">
        <f t="shared" si="14"/>
        <v>chrisdavis@gmail.com</v>
      </c>
      <c r="G121">
        <v>80772</v>
      </c>
      <c r="H121" t="str">
        <f t="shared" si="15"/>
        <v>High</v>
      </c>
      <c r="I121" s="3">
        <v>36672</v>
      </c>
      <c r="J121">
        <f t="shared" si="16"/>
        <v>2000</v>
      </c>
      <c r="K121">
        <f t="shared" si="17"/>
        <v>5</v>
      </c>
      <c r="L121">
        <f t="shared" si="18"/>
        <v>26</v>
      </c>
      <c r="M121" s="3">
        <f t="shared" ca="1" si="19"/>
        <v>46100</v>
      </c>
      <c r="N121">
        <f t="shared" ca="1" si="20"/>
        <v>9428</v>
      </c>
      <c r="O121">
        <f t="shared" ca="1" si="21"/>
        <v>9428</v>
      </c>
      <c r="P121">
        <f t="shared" ca="1" si="22"/>
        <v>6735</v>
      </c>
      <c r="Q121">
        <v>38</v>
      </c>
      <c r="R121" t="str">
        <f t="shared" si="23"/>
        <v>Old</v>
      </c>
      <c r="S121" t="s">
        <v>34</v>
      </c>
      <c r="T121">
        <v>4</v>
      </c>
      <c r="U121" t="s">
        <v>25</v>
      </c>
      <c r="V121">
        <v>4391.93</v>
      </c>
      <c r="W121" t="s">
        <v>35</v>
      </c>
      <c r="X121" t="s">
        <v>55</v>
      </c>
      <c r="Y121">
        <v>21</v>
      </c>
      <c r="Z121" t="str">
        <f t="shared" si="24"/>
        <v>Bad Employee</v>
      </c>
      <c r="AA121" t="b">
        <f t="shared" si="25"/>
        <v>0</v>
      </c>
      <c r="AB121" t="b">
        <f>OR(Y121&gt;20, T121&gt;6)</f>
        <v>1</v>
      </c>
      <c r="AC121" t="str">
        <f>IF(OR(Y121&gt;20,T121&gt;6), "Good employee", "Bad Employee")</f>
        <v>Good employee</v>
      </c>
      <c r="AD121" t="s">
        <v>56</v>
      </c>
      <c r="AE121" t="s">
        <v>37</v>
      </c>
      <c r="AF121">
        <v>17</v>
      </c>
      <c r="AG121">
        <v>2019</v>
      </c>
      <c r="AH121" t="s">
        <v>30</v>
      </c>
      <c r="AI121">
        <v>61</v>
      </c>
      <c r="AJ121">
        <v>1.4</v>
      </c>
    </row>
    <row r="122" spans="1:36" x14ac:dyDescent="0.25">
      <c r="A122">
        <v>10121</v>
      </c>
      <c r="B122" t="s">
        <v>53</v>
      </c>
      <c r="C122" t="s">
        <v>32</v>
      </c>
      <c r="D122" t="s">
        <v>52</v>
      </c>
      <c r="E122" t="str">
        <f t="shared" si="13"/>
        <v>Sarah Wilson is in Operations Department</v>
      </c>
      <c r="F122" s="6" t="str">
        <f t="shared" si="14"/>
        <v>sarahwilson@gmail.com</v>
      </c>
      <c r="G122">
        <v>82104</v>
      </c>
      <c r="H122" t="str">
        <f t="shared" si="15"/>
        <v>High</v>
      </c>
      <c r="I122" s="3">
        <v>41702</v>
      </c>
      <c r="J122">
        <f t="shared" si="16"/>
        <v>2014</v>
      </c>
      <c r="K122">
        <f t="shared" si="17"/>
        <v>3</v>
      </c>
      <c r="L122">
        <f t="shared" si="18"/>
        <v>4</v>
      </c>
      <c r="M122" s="3">
        <f t="shared" ca="1" si="19"/>
        <v>46100</v>
      </c>
      <c r="N122">
        <f t="shared" ca="1" si="20"/>
        <v>4398</v>
      </c>
      <c r="O122">
        <f t="shared" ca="1" si="21"/>
        <v>4398</v>
      </c>
      <c r="P122">
        <f t="shared" ca="1" si="22"/>
        <v>3143</v>
      </c>
      <c r="Q122">
        <v>23</v>
      </c>
      <c r="R122" t="str">
        <f t="shared" si="23"/>
        <v>Young</v>
      </c>
      <c r="S122" t="s">
        <v>24</v>
      </c>
      <c r="T122">
        <v>7</v>
      </c>
      <c r="U122" t="s">
        <v>25</v>
      </c>
      <c r="V122">
        <v>2223.92</v>
      </c>
      <c r="W122" t="s">
        <v>26</v>
      </c>
      <c r="X122" t="s">
        <v>55</v>
      </c>
      <c r="Y122">
        <v>1</v>
      </c>
      <c r="Z122" t="str">
        <f t="shared" si="24"/>
        <v>Bad Employee</v>
      </c>
      <c r="AA122" t="b">
        <f t="shared" si="25"/>
        <v>0</v>
      </c>
      <c r="AB122" t="b">
        <f>OR(Y122&gt;20, T122&gt;6)</f>
        <v>1</v>
      </c>
      <c r="AC122" t="str">
        <f>IF(OR(Y122&gt;20,T122&gt;6), "Good employee", "Bad Employee")</f>
        <v>Good employee</v>
      </c>
      <c r="AD122" t="s">
        <v>41</v>
      </c>
      <c r="AE122" t="s">
        <v>62</v>
      </c>
      <c r="AF122">
        <v>1</v>
      </c>
      <c r="AG122">
        <v>2021</v>
      </c>
      <c r="AH122" t="s">
        <v>30</v>
      </c>
      <c r="AI122">
        <v>121</v>
      </c>
      <c r="AJ122">
        <v>2</v>
      </c>
    </row>
    <row r="123" spans="1:36" x14ac:dyDescent="0.25">
      <c r="A123">
        <v>10122</v>
      </c>
      <c r="B123" t="s">
        <v>38</v>
      </c>
      <c r="C123" t="s">
        <v>57</v>
      </c>
      <c r="D123" t="s">
        <v>54</v>
      </c>
      <c r="E123" t="str">
        <f t="shared" si="13"/>
        <v>Chris Davis is in Finance Department</v>
      </c>
      <c r="F123" s="6" t="str">
        <f t="shared" si="14"/>
        <v>chrisdavis@gmail.com</v>
      </c>
      <c r="G123">
        <v>103616</v>
      </c>
      <c r="H123" t="str">
        <f t="shared" si="15"/>
        <v>High</v>
      </c>
      <c r="I123" s="3">
        <v>41687</v>
      </c>
      <c r="J123">
        <f t="shared" si="16"/>
        <v>2014</v>
      </c>
      <c r="K123">
        <f t="shared" si="17"/>
        <v>2</v>
      </c>
      <c r="L123">
        <f t="shared" si="18"/>
        <v>17</v>
      </c>
      <c r="M123" s="3">
        <f t="shared" ca="1" si="19"/>
        <v>46100</v>
      </c>
      <c r="N123">
        <f t="shared" ca="1" si="20"/>
        <v>4413</v>
      </c>
      <c r="O123">
        <f t="shared" ca="1" si="21"/>
        <v>4413</v>
      </c>
      <c r="P123">
        <f t="shared" ca="1" si="22"/>
        <v>3154</v>
      </c>
      <c r="Q123">
        <v>37</v>
      </c>
      <c r="R123" t="str">
        <f t="shared" si="23"/>
        <v>Old</v>
      </c>
      <c r="S123" t="s">
        <v>24</v>
      </c>
      <c r="T123">
        <v>9</v>
      </c>
      <c r="U123" t="s">
        <v>45</v>
      </c>
      <c r="V123">
        <v>4938.71</v>
      </c>
      <c r="W123" t="s">
        <v>46</v>
      </c>
      <c r="X123" t="s">
        <v>55</v>
      </c>
      <c r="Y123">
        <v>12</v>
      </c>
      <c r="Z123" t="str">
        <f t="shared" si="24"/>
        <v>Bad Employee</v>
      </c>
      <c r="AA123" t="b">
        <f t="shared" si="25"/>
        <v>0</v>
      </c>
      <c r="AB123" t="b">
        <f>OR(Y123&gt;20, T123&gt;6)</f>
        <v>1</v>
      </c>
      <c r="AC123" t="str">
        <f>IF(OR(Y123&gt;20,T123&gt;6), "Good employee", "Bad Employee")</f>
        <v>Good employee</v>
      </c>
      <c r="AD123" t="s">
        <v>56</v>
      </c>
      <c r="AE123" t="s">
        <v>62</v>
      </c>
      <c r="AF123">
        <v>3</v>
      </c>
      <c r="AG123">
        <v>2016</v>
      </c>
      <c r="AH123" t="s">
        <v>43</v>
      </c>
      <c r="AI123">
        <v>196</v>
      </c>
      <c r="AJ123">
        <v>3.1</v>
      </c>
    </row>
    <row r="124" spans="1:36" x14ac:dyDescent="0.25">
      <c r="A124">
        <v>10123</v>
      </c>
      <c r="B124" t="s">
        <v>60</v>
      </c>
      <c r="C124" t="s">
        <v>32</v>
      </c>
      <c r="D124" t="s">
        <v>39</v>
      </c>
      <c r="E124" t="str">
        <f t="shared" si="13"/>
        <v>Jane Wilson is in IT Department</v>
      </c>
      <c r="F124" s="6" t="str">
        <f t="shared" si="14"/>
        <v>janewilson@gmail.com</v>
      </c>
      <c r="G124">
        <v>119300</v>
      </c>
      <c r="H124" t="str">
        <f t="shared" si="15"/>
        <v>High</v>
      </c>
      <c r="I124" s="3">
        <v>43535</v>
      </c>
      <c r="J124">
        <f t="shared" si="16"/>
        <v>2019</v>
      </c>
      <c r="K124">
        <f t="shared" si="17"/>
        <v>3</v>
      </c>
      <c r="L124">
        <f t="shared" si="18"/>
        <v>11</v>
      </c>
      <c r="M124" s="3">
        <f t="shared" ca="1" si="19"/>
        <v>46100</v>
      </c>
      <c r="N124">
        <f t="shared" ca="1" si="20"/>
        <v>2565</v>
      </c>
      <c r="O124">
        <f t="shared" ca="1" si="21"/>
        <v>2565</v>
      </c>
      <c r="P124">
        <f t="shared" ca="1" si="22"/>
        <v>1834</v>
      </c>
      <c r="Q124">
        <v>60</v>
      </c>
      <c r="R124" t="str">
        <f t="shared" si="23"/>
        <v>Old</v>
      </c>
      <c r="S124" t="s">
        <v>34</v>
      </c>
      <c r="T124">
        <v>5</v>
      </c>
      <c r="U124" t="s">
        <v>45</v>
      </c>
      <c r="V124">
        <v>5905.02</v>
      </c>
      <c r="W124" t="s">
        <v>46</v>
      </c>
      <c r="X124" t="s">
        <v>55</v>
      </c>
      <c r="Y124">
        <v>24</v>
      </c>
      <c r="Z124" t="str">
        <f t="shared" si="24"/>
        <v>Bad Employee</v>
      </c>
      <c r="AA124" t="b">
        <f t="shared" si="25"/>
        <v>0</v>
      </c>
      <c r="AB124" t="b">
        <f>OR(Y124&gt;20, T124&gt;6)</f>
        <v>1</v>
      </c>
      <c r="AC124" t="str">
        <f>IF(OR(Y124&gt;20,T124&gt;6), "Good employee", "Bad Employee")</f>
        <v>Good employee</v>
      </c>
      <c r="AD124" t="s">
        <v>28</v>
      </c>
      <c r="AE124" t="s">
        <v>62</v>
      </c>
      <c r="AF124">
        <v>13</v>
      </c>
      <c r="AG124">
        <v>2023</v>
      </c>
      <c r="AH124" t="s">
        <v>43</v>
      </c>
      <c r="AI124">
        <v>178</v>
      </c>
      <c r="AJ124">
        <v>1.5</v>
      </c>
    </row>
    <row r="125" spans="1:36" x14ac:dyDescent="0.25">
      <c r="A125">
        <v>10124</v>
      </c>
      <c r="B125" t="s">
        <v>21</v>
      </c>
      <c r="C125" t="s">
        <v>61</v>
      </c>
      <c r="D125" t="s">
        <v>39</v>
      </c>
      <c r="E125" t="str">
        <f t="shared" si="13"/>
        <v>Michael Smith is in IT Department</v>
      </c>
      <c r="F125" s="6" t="str">
        <f t="shared" si="14"/>
        <v>michaelsmith@gmail.com</v>
      </c>
      <c r="G125">
        <v>36630</v>
      </c>
      <c r="H125" t="str">
        <f t="shared" si="15"/>
        <v>extremely low</v>
      </c>
      <c r="I125" s="3">
        <v>37068</v>
      </c>
      <c r="J125">
        <f t="shared" si="16"/>
        <v>2001</v>
      </c>
      <c r="K125">
        <f t="shared" si="17"/>
        <v>6</v>
      </c>
      <c r="L125">
        <f t="shared" si="18"/>
        <v>26</v>
      </c>
      <c r="M125" s="3">
        <f t="shared" ca="1" si="19"/>
        <v>46100</v>
      </c>
      <c r="N125">
        <f t="shared" ca="1" si="20"/>
        <v>9032</v>
      </c>
      <c r="O125">
        <f t="shared" ca="1" si="21"/>
        <v>9032</v>
      </c>
      <c r="P125">
        <f t="shared" ca="1" si="22"/>
        <v>6453</v>
      </c>
      <c r="Q125">
        <v>39</v>
      </c>
      <c r="R125" t="str">
        <f t="shared" si="23"/>
        <v>Old</v>
      </c>
      <c r="S125" t="s">
        <v>24</v>
      </c>
      <c r="T125">
        <v>1</v>
      </c>
      <c r="U125" t="s">
        <v>45</v>
      </c>
      <c r="V125">
        <v>4801.28</v>
      </c>
      <c r="W125" t="s">
        <v>58</v>
      </c>
      <c r="X125" t="s">
        <v>36</v>
      </c>
      <c r="Y125">
        <v>2</v>
      </c>
      <c r="Z125" t="str">
        <f t="shared" si="24"/>
        <v>Bad Employee</v>
      </c>
      <c r="AA125" t="b">
        <f t="shared" si="25"/>
        <v>0</v>
      </c>
      <c r="AB125" t="b">
        <f>OR(Y125&gt;20, T125&gt;6)</f>
        <v>0</v>
      </c>
      <c r="AC125" t="str">
        <f>IF(OR(Y125&gt;20,T125&gt;6), "Good employee", "Bad Employee")</f>
        <v>Bad Employee</v>
      </c>
      <c r="AD125" t="s">
        <v>28</v>
      </c>
      <c r="AE125" t="s">
        <v>59</v>
      </c>
      <c r="AF125">
        <v>6</v>
      </c>
      <c r="AG125">
        <v>2020</v>
      </c>
      <c r="AH125" t="s">
        <v>43</v>
      </c>
      <c r="AI125">
        <v>115</v>
      </c>
      <c r="AJ125">
        <v>4.7</v>
      </c>
    </row>
    <row r="126" spans="1:36" x14ac:dyDescent="0.25">
      <c r="A126">
        <v>10125</v>
      </c>
      <c r="B126" t="s">
        <v>38</v>
      </c>
      <c r="C126" t="s">
        <v>61</v>
      </c>
      <c r="D126" t="s">
        <v>44</v>
      </c>
      <c r="E126" t="str">
        <f t="shared" si="13"/>
        <v>Chris Smith is in Sales Department</v>
      </c>
      <c r="F126" s="6" t="str">
        <f t="shared" si="14"/>
        <v>chrissmith@gmail.com</v>
      </c>
      <c r="G126">
        <v>45701</v>
      </c>
      <c r="H126" t="str">
        <f t="shared" si="15"/>
        <v>low</v>
      </c>
      <c r="I126" s="3">
        <v>37217</v>
      </c>
      <c r="J126">
        <f t="shared" si="16"/>
        <v>2001</v>
      </c>
      <c r="K126">
        <f t="shared" si="17"/>
        <v>11</v>
      </c>
      <c r="L126">
        <f t="shared" si="18"/>
        <v>22</v>
      </c>
      <c r="M126" s="3">
        <f t="shared" ca="1" si="19"/>
        <v>46100</v>
      </c>
      <c r="N126">
        <f t="shared" ca="1" si="20"/>
        <v>8883</v>
      </c>
      <c r="O126">
        <f t="shared" ca="1" si="21"/>
        <v>8883</v>
      </c>
      <c r="P126">
        <f t="shared" ca="1" si="22"/>
        <v>6346</v>
      </c>
      <c r="Q126">
        <v>60</v>
      </c>
      <c r="R126" t="str">
        <f t="shared" si="23"/>
        <v>Old</v>
      </c>
      <c r="S126" t="s">
        <v>24</v>
      </c>
      <c r="T126">
        <v>5</v>
      </c>
      <c r="U126" t="s">
        <v>25</v>
      </c>
      <c r="V126">
        <v>9229.99</v>
      </c>
      <c r="W126" t="s">
        <v>26</v>
      </c>
      <c r="X126" t="s">
        <v>47</v>
      </c>
      <c r="Y126">
        <v>20</v>
      </c>
      <c r="Z126" t="str">
        <f t="shared" si="24"/>
        <v>Bad Employee</v>
      </c>
      <c r="AA126" t="b">
        <f t="shared" si="25"/>
        <v>0</v>
      </c>
      <c r="AB126" t="b">
        <f>OR(Y126&gt;20, T126&gt;6)</f>
        <v>0</v>
      </c>
      <c r="AC126" t="str">
        <f>IF(OR(Y126&gt;20,T126&gt;6), "Good employee", "Bad Employee")</f>
        <v>Bad Employee</v>
      </c>
      <c r="AD126" t="s">
        <v>41</v>
      </c>
      <c r="AE126" t="s">
        <v>29</v>
      </c>
      <c r="AF126">
        <v>14</v>
      </c>
      <c r="AG126">
        <v>2022</v>
      </c>
      <c r="AH126" t="s">
        <v>30</v>
      </c>
      <c r="AI126">
        <v>93</v>
      </c>
      <c r="AJ126">
        <v>4.4000000000000004</v>
      </c>
    </row>
    <row r="127" spans="1:36" x14ac:dyDescent="0.25">
      <c r="A127">
        <v>10126</v>
      </c>
      <c r="B127" t="s">
        <v>53</v>
      </c>
      <c r="C127" t="s">
        <v>61</v>
      </c>
      <c r="D127" t="s">
        <v>44</v>
      </c>
      <c r="E127" t="str">
        <f t="shared" si="13"/>
        <v>Sarah Smith is in Sales Department</v>
      </c>
      <c r="F127" s="6" t="str">
        <f t="shared" si="14"/>
        <v>sarahsmith@gmail.com</v>
      </c>
      <c r="G127">
        <v>44859</v>
      </c>
      <c r="H127" t="str">
        <f t="shared" si="15"/>
        <v>low</v>
      </c>
      <c r="I127" s="3">
        <v>37551</v>
      </c>
      <c r="J127">
        <f t="shared" si="16"/>
        <v>2002</v>
      </c>
      <c r="K127">
        <f t="shared" si="17"/>
        <v>10</v>
      </c>
      <c r="L127">
        <f t="shared" si="18"/>
        <v>22</v>
      </c>
      <c r="M127" s="3">
        <f t="shared" ca="1" si="19"/>
        <v>46100</v>
      </c>
      <c r="N127">
        <f t="shared" ca="1" si="20"/>
        <v>8549</v>
      </c>
      <c r="O127">
        <f t="shared" ca="1" si="21"/>
        <v>8549</v>
      </c>
      <c r="P127">
        <f t="shared" ca="1" si="22"/>
        <v>6108</v>
      </c>
      <c r="Q127">
        <v>22</v>
      </c>
      <c r="R127" t="str">
        <f t="shared" si="23"/>
        <v>Young</v>
      </c>
      <c r="S127" t="s">
        <v>24</v>
      </c>
      <c r="T127">
        <v>6</v>
      </c>
      <c r="U127" t="s">
        <v>25</v>
      </c>
      <c r="V127">
        <v>3204.64</v>
      </c>
      <c r="W127" t="s">
        <v>35</v>
      </c>
      <c r="X127" t="s">
        <v>27</v>
      </c>
      <c r="Y127">
        <v>16</v>
      </c>
      <c r="Z127" t="str">
        <f t="shared" si="24"/>
        <v>Bad Employee</v>
      </c>
      <c r="AA127" t="b">
        <f t="shared" si="25"/>
        <v>0</v>
      </c>
      <c r="AB127" t="b">
        <f>OR(Y127&gt;20, T127&gt;6)</f>
        <v>0</v>
      </c>
      <c r="AC127" t="str">
        <f>IF(OR(Y127&gt;20,T127&gt;6), "Good employee", "Bad Employee")</f>
        <v>Bad Employee</v>
      </c>
      <c r="AD127" t="s">
        <v>28</v>
      </c>
      <c r="AE127" t="s">
        <v>29</v>
      </c>
      <c r="AF127">
        <v>5</v>
      </c>
      <c r="AG127">
        <v>2011</v>
      </c>
      <c r="AH127" t="s">
        <v>30</v>
      </c>
      <c r="AI127">
        <v>108</v>
      </c>
      <c r="AJ127">
        <v>4.9000000000000004</v>
      </c>
    </row>
    <row r="128" spans="1:36" x14ac:dyDescent="0.25">
      <c r="A128">
        <v>10127</v>
      </c>
      <c r="B128" t="s">
        <v>60</v>
      </c>
      <c r="C128" t="s">
        <v>63</v>
      </c>
      <c r="D128" t="s">
        <v>54</v>
      </c>
      <c r="E128" t="str">
        <f t="shared" si="13"/>
        <v>Jane Miller is in Finance Department</v>
      </c>
      <c r="F128" s="6" t="str">
        <f t="shared" si="14"/>
        <v>janemiller@gmail.com</v>
      </c>
      <c r="G128">
        <v>51183</v>
      </c>
      <c r="H128" t="str">
        <f t="shared" si="15"/>
        <v>Medium</v>
      </c>
      <c r="I128" s="3">
        <v>40576</v>
      </c>
      <c r="J128">
        <f t="shared" si="16"/>
        <v>2011</v>
      </c>
      <c r="K128">
        <f t="shared" si="17"/>
        <v>2</v>
      </c>
      <c r="L128">
        <f t="shared" si="18"/>
        <v>2</v>
      </c>
      <c r="M128" s="3">
        <f t="shared" ca="1" si="19"/>
        <v>46100</v>
      </c>
      <c r="N128">
        <f t="shared" ca="1" si="20"/>
        <v>5524</v>
      </c>
      <c r="O128">
        <f t="shared" ca="1" si="21"/>
        <v>5524</v>
      </c>
      <c r="P128">
        <f t="shared" ca="1" si="22"/>
        <v>3947</v>
      </c>
      <c r="Q128">
        <v>24</v>
      </c>
      <c r="R128" t="str">
        <f t="shared" si="23"/>
        <v>Young</v>
      </c>
      <c r="S128" t="s">
        <v>24</v>
      </c>
      <c r="T128">
        <v>2</v>
      </c>
      <c r="U128" t="s">
        <v>25</v>
      </c>
      <c r="V128">
        <v>6782.66</v>
      </c>
      <c r="W128" t="s">
        <v>26</v>
      </c>
      <c r="X128" t="s">
        <v>55</v>
      </c>
      <c r="Y128">
        <v>34</v>
      </c>
      <c r="Z128" t="str">
        <f t="shared" si="24"/>
        <v>Bad Employee</v>
      </c>
      <c r="AA128" t="b">
        <f t="shared" si="25"/>
        <v>0</v>
      </c>
      <c r="AB128" t="b">
        <f>OR(Y128&gt;20, T128&gt;6)</f>
        <v>1</v>
      </c>
      <c r="AC128" t="str">
        <f>IF(OR(Y128&gt;20,T128&gt;6), "Good employee", "Bad Employee")</f>
        <v>Good employee</v>
      </c>
      <c r="AD128" t="s">
        <v>41</v>
      </c>
      <c r="AE128" t="s">
        <v>29</v>
      </c>
      <c r="AF128">
        <v>4</v>
      </c>
      <c r="AG128">
        <v>2018</v>
      </c>
      <c r="AH128" t="s">
        <v>43</v>
      </c>
      <c r="AI128">
        <v>58</v>
      </c>
      <c r="AJ128">
        <v>1.2</v>
      </c>
    </row>
    <row r="129" spans="1:36" x14ac:dyDescent="0.25">
      <c r="A129">
        <v>10128</v>
      </c>
      <c r="B129" t="s">
        <v>66</v>
      </c>
      <c r="C129" t="s">
        <v>57</v>
      </c>
      <c r="D129" t="s">
        <v>39</v>
      </c>
      <c r="E129" t="str">
        <f t="shared" si="13"/>
        <v>John Davis is in IT Department</v>
      </c>
      <c r="F129" s="6" t="str">
        <f t="shared" si="14"/>
        <v>johndavis@gmail.com</v>
      </c>
      <c r="G129">
        <v>70438</v>
      </c>
      <c r="H129" t="str">
        <f t="shared" si="15"/>
        <v>Medium</v>
      </c>
      <c r="I129" s="3">
        <v>40531</v>
      </c>
      <c r="J129">
        <f t="shared" si="16"/>
        <v>2010</v>
      </c>
      <c r="K129">
        <f t="shared" si="17"/>
        <v>12</v>
      </c>
      <c r="L129">
        <f t="shared" si="18"/>
        <v>19</v>
      </c>
      <c r="M129" s="3">
        <f t="shared" ca="1" si="19"/>
        <v>46100</v>
      </c>
      <c r="N129">
        <f t="shared" ca="1" si="20"/>
        <v>5569</v>
      </c>
      <c r="O129">
        <f t="shared" ca="1" si="21"/>
        <v>5569</v>
      </c>
      <c r="P129">
        <f t="shared" ca="1" si="22"/>
        <v>3979</v>
      </c>
      <c r="Q129">
        <v>42</v>
      </c>
      <c r="R129" t="str">
        <f t="shared" si="23"/>
        <v>Old</v>
      </c>
      <c r="S129" t="s">
        <v>24</v>
      </c>
      <c r="T129">
        <v>8</v>
      </c>
      <c r="U129" t="s">
        <v>45</v>
      </c>
      <c r="V129">
        <v>1566.8</v>
      </c>
      <c r="W129" t="s">
        <v>26</v>
      </c>
      <c r="X129" t="s">
        <v>27</v>
      </c>
      <c r="Y129">
        <v>13</v>
      </c>
      <c r="Z129" t="str">
        <f t="shared" si="24"/>
        <v>Bad Employee</v>
      </c>
      <c r="AA129" t="b">
        <f t="shared" si="25"/>
        <v>0</v>
      </c>
      <c r="AB129" t="b">
        <f>OR(Y129&gt;20, T129&gt;6)</f>
        <v>1</v>
      </c>
      <c r="AC129" t="str">
        <f>IF(OR(Y129&gt;20,T129&gt;6), "Good employee", "Bad Employee")</f>
        <v>Good employee</v>
      </c>
      <c r="AD129" t="s">
        <v>56</v>
      </c>
      <c r="AE129" t="s">
        <v>29</v>
      </c>
      <c r="AF129">
        <v>19</v>
      </c>
      <c r="AG129">
        <v>2022</v>
      </c>
      <c r="AH129" t="s">
        <v>30</v>
      </c>
      <c r="AI129">
        <v>57</v>
      </c>
      <c r="AJ129">
        <v>4.4000000000000004</v>
      </c>
    </row>
    <row r="130" spans="1:36" x14ac:dyDescent="0.25">
      <c r="A130">
        <v>10129</v>
      </c>
      <c r="B130" t="s">
        <v>31</v>
      </c>
      <c r="C130" t="s">
        <v>57</v>
      </c>
      <c r="D130" t="s">
        <v>39</v>
      </c>
      <c r="E130" t="str">
        <f t="shared" si="13"/>
        <v>Emily Davis is in IT Department</v>
      </c>
      <c r="F130" s="6" t="str">
        <f t="shared" si="14"/>
        <v>emilydavis@gmail.com</v>
      </c>
      <c r="G130">
        <v>72244</v>
      </c>
      <c r="H130" t="str">
        <f t="shared" si="15"/>
        <v>Medium</v>
      </c>
      <c r="I130" s="3">
        <v>39885</v>
      </c>
      <c r="J130">
        <f t="shared" si="16"/>
        <v>2009</v>
      </c>
      <c r="K130">
        <f t="shared" si="17"/>
        <v>3</v>
      </c>
      <c r="L130">
        <f t="shared" si="18"/>
        <v>13</v>
      </c>
      <c r="M130" s="3">
        <f t="shared" ca="1" si="19"/>
        <v>46100</v>
      </c>
      <c r="N130">
        <f t="shared" ca="1" si="20"/>
        <v>6215</v>
      </c>
      <c r="O130">
        <f t="shared" ca="1" si="21"/>
        <v>6215</v>
      </c>
      <c r="P130">
        <f t="shared" ca="1" si="22"/>
        <v>4440</v>
      </c>
      <c r="Q130">
        <v>51</v>
      </c>
      <c r="R130" t="str">
        <f t="shared" si="23"/>
        <v>Old</v>
      </c>
      <c r="S130" t="s">
        <v>34</v>
      </c>
      <c r="T130">
        <v>2</v>
      </c>
      <c r="U130" t="s">
        <v>45</v>
      </c>
      <c r="V130">
        <v>4226.71</v>
      </c>
      <c r="W130" t="s">
        <v>58</v>
      </c>
      <c r="X130" t="s">
        <v>27</v>
      </c>
      <c r="Y130">
        <v>18</v>
      </c>
      <c r="Z130" t="str">
        <f t="shared" si="24"/>
        <v>Bad Employee</v>
      </c>
      <c r="AA130" t="b">
        <f t="shared" si="25"/>
        <v>0</v>
      </c>
      <c r="AB130" t="b">
        <f>OR(Y130&gt;20, T130&gt;6)</f>
        <v>0</v>
      </c>
      <c r="AC130" t="str">
        <f>IF(OR(Y130&gt;20,T130&gt;6), "Good employee", "Bad Employee")</f>
        <v>Bad Employee</v>
      </c>
      <c r="AD130" t="s">
        <v>28</v>
      </c>
      <c r="AE130" t="s">
        <v>48</v>
      </c>
      <c r="AF130">
        <v>17</v>
      </c>
      <c r="AG130">
        <v>2022</v>
      </c>
      <c r="AH130" t="s">
        <v>43</v>
      </c>
      <c r="AI130">
        <v>161</v>
      </c>
      <c r="AJ130">
        <v>4.2</v>
      </c>
    </row>
    <row r="131" spans="1:36" x14ac:dyDescent="0.25">
      <c r="A131">
        <v>10130</v>
      </c>
      <c r="B131" t="s">
        <v>31</v>
      </c>
      <c r="C131" t="s">
        <v>57</v>
      </c>
      <c r="D131" t="s">
        <v>52</v>
      </c>
      <c r="E131" t="str">
        <f t="shared" ref="E131:E194" si="26">CONCATENATE(B131, " ", C131, " is in ", D131, " Department")</f>
        <v>Emily Davis is in Operations Department</v>
      </c>
      <c r="F131" s="6" t="str">
        <f t="shared" ref="F131:F194" si="27">LOWER(CONCATENATE(B131, C131, "@gmail.com"))</f>
        <v>emilydavis@gmail.com</v>
      </c>
      <c r="G131">
        <v>104312</v>
      </c>
      <c r="H131" t="str">
        <f t="shared" ref="H131:H194" si="28">IF(G131&gt;80000, "High", IF(G131&gt;50000, "Medium", IF(G131&gt;40000, "low", "extremely low")))</f>
        <v>High</v>
      </c>
      <c r="I131" s="3">
        <v>41783</v>
      </c>
      <c r="J131">
        <f t="shared" ref="J131:J194" si="29">YEAR(I131)</f>
        <v>2014</v>
      </c>
      <c r="K131">
        <f t="shared" ref="K131:K194" si="30">MONTH(I131)</f>
        <v>5</v>
      </c>
      <c r="L131">
        <f t="shared" ref="L131:L194" si="31">DAY(I131)</f>
        <v>24</v>
      </c>
      <c r="M131" s="3">
        <f t="shared" ref="M131:M194" ca="1" si="32">TODAY()</f>
        <v>46100</v>
      </c>
      <c r="N131">
        <f t="shared" ref="N131:N194" ca="1" si="33">M131-I131</f>
        <v>4317</v>
      </c>
      <c r="O131">
        <f t="shared" ref="O131:O194" ca="1" si="34">DATEDIF(I131,M131, "d")</f>
        <v>4317</v>
      </c>
      <c r="P131">
        <f t="shared" ref="P131:P194" ca="1" si="35">NETWORKDAYS(I131, M131)</f>
        <v>3084</v>
      </c>
      <c r="Q131">
        <v>32</v>
      </c>
      <c r="R131" t="str">
        <f t="shared" ref="R131:R194" si="36">IF(Q131&gt;30, "Old", "Young")</f>
        <v>Old</v>
      </c>
      <c r="S131" t="s">
        <v>24</v>
      </c>
      <c r="T131">
        <v>9</v>
      </c>
      <c r="U131" t="s">
        <v>45</v>
      </c>
      <c r="V131">
        <v>7539.44</v>
      </c>
      <c r="W131" t="s">
        <v>46</v>
      </c>
      <c r="X131" t="s">
        <v>27</v>
      </c>
      <c r="Y131">
        <v>29</v>
      </c>
      <c r="Z131" t="str">
        <f t="shared" ref="Z131:Z194" si="37" xml:space="preserve"> IF(AND(Y131&gt;20, T131&gt;6), "Good Employee", "Bad Employee")</f>
        <v>Good Employee</v>
      </c>
      <c r="AA131" t="b">
        <f t="shared" ref="AA131:AA194" si="38">AND(Y131&gt;20, T131&gt;6)</f>
        <v>1</v>
      </c>
      <c r="AB131" t="b">
        <f>OR(Y131&gt;20, T131&gt;6)</f>
        <v>1</v>
      </c>
      <c r="AC131" t="str">
        <f>IF(OR(Y131&gt;20,T131&gt;6), "Good employee", "Bad Employee")</f>
        <v>Good employee</v>
      </c>
      <c r="AD131" t="s">
        <v>28</v>
      </c>
      <c r="AE131" t="s">
        <v>48</v>
      </c>
      <c r="AF131">
        <v>10</v>
      </c>
      <c r="AG131">
        <v>2017</v>
      </c>
      <c r="AH131" t="s">
        <v>49</v>
      </c>
      <c r="AI131">
        <v>169</v>
      </c>
      <c r="AJ131">
        <v>4.5999999999999996</v>
      </c>
    </row>
    <row r="132" spans="1:36" x14ac:dyDescent="0.25">
      <c r="A132">
        <v>10131</v>
      </c>
      <c r="B132" t="s">
        <v>31</v>
      </c>
      <c r="C132" t="s">
        <v>22</v>
      </c>
      <c r="D132" t="s">
        <v>33</v>
      </c>
      <c r="E132" t="str">
        <f t="shared" si="26"/>
        <v>Emily Williams is in Marketing Department</v>
      </c>
      <c r="F132" s="6" t="str">
        <f t="shared" si="27"/>
        <v>emilywilliams@gmail.com</v>
      </c>
      <c r="G132">
        <v>45021</v>
      </c>
      <c r="H132" t="str">
        <f t="shared" si="28"/>
        <v>low</v>
      </c>
      <c r="I132" s="3">
        <v>42262</v>
      </c>
      <c r="J132">
        <f t="shared" si="29"/>
        <v>2015</v>
      </c>
      <c r="K132">
        <f t="shared" si="30"/>
        <v>9</v>
      </c>
      <c r="L132">
        <f t="shared" si="31"/>
        <v>15</v>
      </c>
      <c r="M132" s="3">
        <f t="shared" ca="1" si="32"/>
        <v>46100</v>
      </c>
      <c r="N132">
        <f t="shared" ca="1" si="33"/>
        <v>3838</v>
      </c>
      <c r="O132">
        <f t="shared" ca="1" si="34"/>
        <v>3838</v>
      </c>
      <c r="P132">
        <f t="shared" ca="1" si="35"/>
        <v>2743</v>
      </c>
      <c r="Q132">
        <v>43</v>
      </c>
      <c r="R132" t="str">
        <f t="shared" si="36"/>
        <v>Old</v>
      </c>
      <c r="S132" t="s">
        <v>34</v>
      </c>
      <c r="T132">
        <v>2</v>
      </c>
      <c r="U132" t="s">
        <v>45</v>
      </c>
      <c r="V132">
        <v>2635.76</v>
      </c>
      <c r="W132" t="s">
        <v>46</v>
      </c>
      <c r="X132" t="s">
        <v>55</v>
      </c>
      <c r="Y132">
        <v>14</v>
      </c>
      <c r="Z132" t="str">
        <f t="shared" si="37"/>
        <v>Bad Employee</v>
      </c>
      <c r="AA132" t="b">
        <f t="shared" si="38"/>
        <v>0</v>
      </c>
      <c r="AB132" t="b">
        <f>OR(Y132&gt;20, T132&gt;6)</f>
        <v>0</v>
      </c>
      <c r="AC132" t="str">
        <f>IF(OR(Y132&gt;20,T132&gt;6), "Good employee", "Bad Employee")</f>
        <v>Bad Employee</v>
      </c>
      <c r="AD132" t="s">
        <v>41</v>
      </c>
      <c r="AE132" t="s">
        <v>37</v>
      </c>
      <c r="AF132">
        <v>7</v>
      </c>
      <c r="AG132">
        <v>2018</v>
      </c>
      <c r="AH132" t="s">
        <v>49</v>
      </c>
      <c r="AI132">
        <v>73</v>
      </c>
      <c r="AJ132">
        <v>3.1</v>
      </c>
    </row>
    <row r="133" spans="1:36" x14ac:dyDescent="0.25">
      <c r="A133">
        <v>10132</v>
      </c>
      <c r="B133" t="s">
        <v>38</v>
      </c>
      <c r="C133" t="s">
        <v>57</v>
      </c>
      <c r="D133" t="s">
        <v>52</v>
      </c>
      <c r="E133" t="str">
        <f t="shared" si="26"/>
        <v>Chris Davis is in Operations Department</v>
      </c>
      <c r="F133" s="6" t="str">
        <f t="shared" si="27"/>
        <v>chrisdavis@gmail.com</v>
      </c>
      <c r="G133">
        <v>99863</v>
      </c>
      <c r="H133" t="str">
        <f t="shared" si="28"/>
        <v>High</v>
      </c>
      <c r="I133" s="3">
        <v>39477</v>
      </c>
      <c r="J133">
        <f t="shared" si="29"/>
        <v>2008</v>
      </c>
      <c r="K133">
        <f t="shared" si="30"/>
        <v>1</v>
      </c>
      <c r="L133">
        <f t="shared" si="31"/>
        <v>30</v>
      </c>
      <c r="M133" s="3">
        <f t="shared" ca="1" si="32"/>
        <v>46100</v>
      </c>
      <c r="N133">
        <f t="shared" ca="1" si="33"/>
        <v>6623</v>
      </c>
      <c r="O133">
        <f t="shared" ca="1" si="34"/>
        <v>6623</v>
      </c>
      <c r="P133">
        <f t="shared" ca="1" si="35"/>
        <v>4732</v>
      </c>
      <c r="Q133">
        <v>46</v>
      </c>
      <c r="R133" t="str">
        <f t="shared" si="36"/>
        <v>Old</v>
      </c>
      <c r="S133" t="s">
        <v>24</v>
      </c>
      <c r="T133">
        <v>3</v>
      </c>
      <c r="U133" t="s">
        <v>45</v>
      </c>
      <c r="V133">
        <v>6102.82</v>
      </c>
      <c r="W133" t="s">
        <v>46</v>
      </c>
      <c r="X133" t="s">
        <v>55</v>
      </c>
      <c r="Y133">
        <v>30</v>
      </c>
      <c r="Z133" t="str">
        <f t="shared" si="37"/>
        <v>Bad Employee</v>
      </c>
      <c r="AA133" t="b">
        <f t="shared" si="38"/>
        <v>0</v>
      </c>
      <c r="AB133" t="b">
        <f>OR(Y133&gt;20, T133&gt;6)</f>
        <v>1</v>
      </c>
      <c r="AC133" t="str">
        <f>IF(OR(Y133&gt;20,T133&gt;6), "Good employee", "Bad Employee")</f>
        <v>Good employee</v>
      </c>
      <c r="AD133" t="s">
        <v>41</v>
      </c>
      <c r="AE133" t="s">
        <v>62</v>
      </c>
      <c r="AF133">
        <v>11</v>
      </c>
      <c r="AG133">
        <v>2018</v>
      </c>
      <c r="AH133" t="s">
        <v>30</v>
      </c>
      <c r="AI133">
        <v>18</v>
      </c>
      <c r="AJ133">
        <v>4.2</v>
      </c>
    </row>
    <row r="134" spans="1:36" x14ac:dyDescent="0.25">
      <c r="A134">
        <v>10133</v>
      </c>
      <c r="B134" t="s">
        <v>66</v>
      </c>
      <c r="C134" t="s">
        <v>22</v>
      </c>
      <c r="D134" t="s">
        <v>23</v>
      </c>
      <c r="E134" t="str">
        <f t="shared" si="26"/>
        <v>John Williams is in HR Department</v>
      </c>
      <c r="F134" s="6" t="str">
        <f t="shared" si="27"/>
        <v>johnwilliams@gmail.com</v>
      </c>
      <c r="G134">
        <v>85565</v>
      </c>
      <c r="H134" t="str">
        <f t="shared" si="28"/>
        <v>High</v>
      </c>
      <c r="I134" s="3">
        <v>37255</v>
      </c>
      <c r="J134">
        <f t="shared" si="29"/>
        <v>2001</v>
      </c>
      <c r="K134">
        <f t="shared" si="30"/>
        <v>12</v>
      </c>
      <c r="L134">
        <f t="shared" si="31"/>
        <v>30</v>
      </c>
      <c r="M134" s="3">
        <f t="shared" ca="1" si="32"/>
        <v>46100</v>
      </c>
      <c r="N134">
        <f t="shared" ca="1" si="33"/>
        <v>8845</v>
      </c>
      <c r="O134">
        <f t="shared" ca="1" si="34"/>
        <v>8845</v>
      </c>
      <c r="P134">
        <f t="shared" ca="1" si="35"/>
        <v>6319</v>
      </c>
      <c r="Q134">
        <v>24</v>
      </c>
      <c r="R134" t="str">
        <f t="shared" si="36"/>
        <v>Young</v>
      </c>
      <c r="S134" t="s">
        <v>34</v>
      </c>
      <c r="T134">
        <v>8</v>
      </c>
      <c r="U134" t="s">
        <v>45</v>
      </c>
      <c r="V134">
        <v>1957.65</v>
      </c>
      <c r="W134" t="s">
        <v>35</v>
      </c>
      <c r="X134" t="s">
        <v>55</v>
      </c>
      <c r="Y134">
        <v>35</v>
      </c>
      <c r="Z134" t="str">
        <f t="shared" si="37"/>
        <v>Good Employee</v>
      </c>
      <c r="AA134" t="b">
        <f t="shared" si="38"/>
        <v>1</v>
      </c>
      <c r="AB134" t="b">
        <f>OR(Y134&gt;20, T134&gt;6)</f>
        <v>1</v>
      </c>
      <c r="AC134" t="str">
        <f>IF(OR(Y134&gt;20,T134&gt;6), "Good employee", "Bad Employee")</f>
        <v>Good employee</v>
      </c>
      <c r="AD134" t="s">
        <v>56</v>
      </c>
      <c r="AE134" t="s">
        <v>48</v>
      </c>
      <c r="AF134">
        <v>17</v>
      </c>
      <c r="AG134">
        <v>2016</v>
      </c>
      <c r="AH134" t="s">
        <v>30</v>
      </c>
      <c r="AI134">
        <v>159</v>
      </c>
      <c r="AJ134">
        <v>1.2</v>
      </c>
    </row>
    <row r="135" spans="1:36" x14ac:dyDescent="0.25">
      <c r="A135">
        <v>10134</v>
      </c>
      <c r="B135" t="s">
        <v>38</v>
      </c>
      <c r="C135" t="s">
        <v>61</v>
      </c>
      <c r="D135" t="s">
        <v>52</v>
      </c>
      <c r="E135" t="str">
        <f t="shared" si="26"/>
        <v>Chris Smith is in Operations Department</v>
      </c>
      <c r="F135" s="6" t="str">
        <f t="shared" si="27"/>
        <v>chrissmith@gmail.com</v>
      </c>
      <c r="G135">
        <v>78043</v>
      </c>
      <c r="H135" t="str">
        <f t="shared" si="28"/>
        <v>Medium</v>
      </c>
      <c r="I135" s="3">
        <v>43000</v>
      </c>
      <c r="J135">
        <f t="shared" si="29"/>
        <v>2017</v>
      </c>
      <c r="K135">
        <f t="shared" si="30"/>
        <v>9</v>
      </c>
      <c r="L135">
        <f t="shared" si="31"/>
        <v>22</v>
      </c>
      <c r="M135" s="3">
        <f t="shared" ca="1" si="32"/>
        <v>46100</v>
      </c>
      <c r="N135">
        <f t="shared" ca="1" si="33"/>
        <v>3100</v>
      </c>
      <c r="O135">
        <f t="shared" ca="1" si="34"/>
        <v>3100</v>
      </c>
      <c r="P135">
        <f t="shared" ca="1" si="35"/>
        <v>2215</v>
      </c>
      <c r="Q135">
        <v>51</v>
      </c>
      <c r="R135" t="str">
        <f t="shared" si="36"/>
        <v>Old</v>
      </c>
      <c r="S135" t="s">
        <v>34</v>
      </c>
      <c r="T135">
        <v>6</v>
      </c>
      <c r="U135" t="s">
        <v>45</v>
      </c>
      <c r="V135">
        <v>1475.67</v>
      </c>
      <c r="W135" t="s">
        <v>46</v>
      </c>
      <c r="X135" t="s">
        <v>55</v>
      </c>
      <c r="Y135">
        <v>9</v>
      </c>
      <c r="Z135" t="str">
        <f t="shared" si="37"/>
        <v>Bad Employee</v>
      </c>
      <c r="AA135" t="b">
        <f t="shared" si="38"/>
        <v>0</v>
      </c>
      <c r="AB135" t="b">
        <f>OR(Y135&gt;20, T135&gt;6)</f>
        <v>0</v>
      </c>
      <c r="AC135" t="str">
        <f>IF(OR(Y135&gt;20,T135&gt;6), "Good employee", "Bad Employee")</f>
        <v>Bad Employee</v>
      </c>
      <c r="AD135" t="s">
        <v>41</v>
      </c>
      <c r="AE135" t="s">
        <v>29</v>
      </c>
      <c r="AF135">
        <v>14</v>
      </c>
      <c r="AG135">
        <v>2013</v>
      </c>
      <c r="AH135" t="s">
        <v>30</v>
      </c>
      <c r="AI135">
        <v>9</v>
      </c>
      <c r="AJ135">
        <v>1.3</v>
      </c>
    </row>
    <row r="136" spans="1:36" x14ac:dyDescent="0.25">
      <c r="A136">
        <v>10135</v>
      </c>
      <c r="B136" t="s">
        <v>21</v>
      </c>
      <c r="C136" t="s">
        <v>61</v>
      </c>
      <c r="D136" t="s">
        <v>54</v>
      </c>
      <c r="E136" t="str">
        <f t="shared" si="26"/>
        <v>Michael Smith is in Finance Department</v>
      </c>
      <c r="F136" s="6" t="str">
        <f t="shared" si="27"/>
        <v>michaelsmith@gmail.com</v>
      </c>
      <c r="G136">
        <v>103150</v>
      </c>
      <c r="H136" t="str">
        <f t="shared" si="28"/>
        <v>High</v>
      </c>
      <c r="I136" s="3">
        <v>43286</v>
      </c>
      <c r="J136">
        <f t="shared" si="29"/>
        <v>2018</v>
      </c>
      <c r="K136">
        <f t="shared" si="30"/>
        <v>7</v>
      </c>
      <c r="L136">
        <f t="shared" si="31"/>
        <v>5</v>
      </c>
      <c r="M136" s="3">
        <f t="shared" ca="1" si="32"/>
        <v>46100</v>
      </c>
      <c r="N136">
        <f t="shared" ca="1" si="33"/>
        <v>2814</v>
      </c>
      <c r="O136">
        <f t="shared" ca="1" si="34"/>
        <v>2814</v>
      </c>
      <c r="P136">
        <f t="shared" ca="1" si="35"/>
        <v>2011</v>
      </c>
      <c r="Q136">
        <v>45</v>
      </c>
      <c r="R136" t="str">
        <f t="shared" si="36"/>
        <v>Old</v>
      </c>
      <c r="S136" t="s">
        <v>34</v>
      </c>
      <c r="T136">
        <v>1</v>
      </c>
      <c r="U136" t="s">
        <v>25</v>
      </c>
      <c r="V136">
        <v>5470.71</v>
      </c>
      <c r="W136" t="s">
        <v>26</v>
      </c>
      <c r="X136" t="s">
        <v>40</v>
      </c>
      <c r="Y136">
        <v>37</v>
      </c>
      <c r="Z136" t="str">
        <f t="shared" si="37"/>
        <v>Bad Employee</v>
      </c>
      <c r="AA136" t="b">
        <f t="shared" si="38"/>
        <v>0</v>
      </c>
      <c r="AB136" t="b">
        <f>OR(Y136&gt;20, T136&gt;6)</f>
        <v>1</v>
      </c>
      <c r="AC136" t="str">
        <f>IF(OR(Y136&gt;20,T136&gt;6), "Good employee", "Bad Employee")</f>
        <v>Good employee</v>
      </c>
      <c r="AD136" t="s">
        <v>28</v>
      </c>
      <c r="AE136" t="s">
        <v>29</v>
      </c>
      <c r="AF136">
        <v>7</v>
      </c>
      <c r="AG136">
        <v>2021</v>
      </c>
      <c r="AH136" t="s">
        <v>30</v>
      </c>
      <c r="AI136">
        <v>122</v>
      </c>
      <c r="AJ136">
        <v>1.5</v>
      </c>
    </row>
    <row r="137" spans="1:36" x14ac:dyDescent="0.25">
      <c r="A137">
        <v>10136</v>
      </c>
      <c r="B137" t="s">
        <v>38</v>
      </c>
      <c r="C137" t="s">
        <v>63</v>
      </c>
      <c r="D137" t="s">
        <v>33</v>
      </c>
      <c r="E137" t="str">
        <f t="shared" si="26"/>
        <v>Chris Miller is in Marketing Department</v>
      </c>
      <c r="F137" s="6" t="str">
        <f t="shared" si="27"/>
        <v>chrismiller@gmail.com</v>
      </c>
      <c r="G137">
        <v>94361</v>
      </c>
      <c r="H137" t="str">
        <f t="shared" si="28"/>
        <v>High</v>
      </c>
      <c r="I137" s="3">
        <v>41025</v>
      </c>
      <c r="J137">
        <f t="shared" si="29"/>
        <v>2012</v>
      </c>
      <c r="K137">
        <f t="shared" si="30"/>
        <v>4</v>
      </c>
      <c r="L137">
        <f t="shared" si="31"/>
        <v>26</v>
      </c>
      <c r="M137" s="3">
        <f t="shared" ca="1" si="32"/>
        <v>46100</v>
      </c>
      <c r="N137">
        <f t="shared" ca="1" si="33"/>
        <v>5075</v>
      </c>
      <c r="O137">
        <f t="shared" ca="1" si="34"/>
        <v>5075</v>
      </c>
      <c r="P137">
        <f t="shared" ca="1" si="35"/>
        <v>3626</v>
      </c>
      <c r="Q137">
        <v>57</v>
      </c>
      <c r="R137" t="str">
        <f t="shared" si="36"/>
        <v>Old</v>
      </c>
      <c r="S137" t="s">
        <v>24</v>
      </c>
      <c r="T137">
        <v>4</v>
      </c>
      <c r="U137" t="s">
        <v>25</v>
      </c>
      <c r="V137">
        <v>6912.6</v>
      </c>
      <c r="W137" t="s">
        <v>26</v>
      </c>
      <c r="X137" t="s">
        <v>47</v>
      </c>
      <c r="Y137">
        <v>39</v>
      </c>
      <c r="Z137" t="str">
        <f t="shared" si="37"/>
        <v>Bad Employee</v>
      </c>
      <c r="AA137" t="b">
        <f t="shared" si="38"/>
        <v>0</v>
      </c>
      <c r="AB137" t="b">
        <f>OR(Y137&gt;20, T137&gt;6)</f>
        <v>1</v>
      </c>
      <c r="AC137" t="str">
        <f>IF(OR(Y137&gt;20,T137&gt;6), "Good employee", "Bad Employee")</f>
        <v>Good employee</v>
      </c>
      <c r="AD137" t="s">
        <v>56</v>
      </c>
      <c r="AE137" t="s">
        <v>48</v>
      </c>
      <c r="AF137">
        <v>3</v>
      </c>
      <c r="AG137">
        <v>2021</v>
      </c>
      <c r="AH137" t="s">
        <v>49</v>
      </c>
      <c r="AI137">
        <v>176</v>
      </c>
      <c r="AJ137">
        <v>4.7</v>
      </c>
    </row>
    <row r="138" spans="1:36" x14ac:dyDescent="0.25">
      <c r="A138">
        <v>10137</v>
      </c>
      <c r="B138" t="s">
        <v>66</v>
      </c>
      <c r="C138" t="s">
        <v>32</v>
      </c>
      <c r="D138" t="s">
        <v>54</v>
      </c>
      <c r="E138" t="str">
        <f t="shared" si="26"/>
        <v>John Wilson is in Finance Department</v>
      </c>
      <c r="F138" s="6" t="str">
        <f t="shared" si="27"/>
        <v>johnwilson@gmail.com</v>
      </c>
      <c r="G138">
        <v>31245</v>
      </c>
      <c r="H138" t="str">
        <f t="shared" si="28"/>
        <v>extremely low</v>
      </c>
      <c r="I138" s="3">
        <v>39081</v>
      </c>
      <c r="J138">
        <f t="shared" si="29"/>
        <v>2006</v>
      </c>
      <c r="K138">
        <f t="shared" si="30"/>
        <v>12</v>
      </c>
      <c r="L138">
        <f t="shared" si="31"/>
        <v>30</v>
      </c>
      <c r="M138" s="3">
        <f t="shared" ca="1" si="32"/>
        <v>46100</v>
      </c>
      <c r="N138">
        <f t="shared" ca="1" si="33"/>
        <v>7019</v>
      </c>
      <c r="O138">
        <f t="shared" ca="1" si="34"/>
        <v>7019</v>
      </c>
      <c r="P138">
        <f t="shared" ca="1" si="35"/>
        <v>5014</v>
      </c>
      <c r="Q138">
        <v>44</v>
      </c>
      <c r="R138" t="str">
        <f t="shared" si="36"/>
        <v>Old</v>
      </c>
      <c r="S138" t="s">
        <v>24</v>
      </c>
      <c r="T138">
        <v>5</v>
      </c>
      <c r="U138" t="s">
        <v>25</v>
      </c>
      <c r="V138">
        <v>1576.99</v>
      </c>
      <c r="W138" t="s">
        <v>46</v>
      </c>
      <c r="X138" t="s">
        <v>40</v>
      </c>
      <c r="Y138">
        <v>12</v>
      </c>
      <c r="Z138" t="str">
        <f t="shared" si="37"/>
        <v>Bad Employee</v>
      </c>
      <c r="AA138" t="b">
        <f t="shared" si="38"/>
        <v>0</v>
      </c>
      <c r="AB138" t="b">
        <f>OR(Y138&gt;20, T138&gt;6)</f>
        <v>0</v>
      </c>
      <c r="AC138" t="str">
        <f>IF(OR(Y138&gt;20,T138&gt;6), "Good employee", "Bad Employee")</f>
        <v>Bad Employee</v>
      </c>
      <c r="AD138" t="s">
        <v>56</v>
      </c>
      <c r="AE138" t="s">
        <v>42</v>
      </c>
      <c r="AF138">
        <v>14</v>
      </c>
      <c r="AG138">
        <v>2014</v>
      </c>
      <c r="AH138" t="s">
        <v>43</v>
      </c>
      <c r="AI138">
        <v>147</v>
      </c>
      <c r="AJ138">
        <v>1.2</v>
      </c>
    </row>
    <row r="139" spans="1:36" x14ac:dyDescent="0.25">
      <c r="A139">
        <v>10138</v>
      </c>
      <c r="B139" t="s">
        <v>66</v>
      </c>
      <c r="C139" t="s">
        <v>61</v>
      </c>
      <c r="D139" t="s">
        <v>23</v>
      </c>
      <c r="E139" t="str">
        <f t="shared" si="26"/>
        <v>John Smith is in HR Department</v>
      </c>
      <c r="F139" s="6" t="str">
        <f t="shared" si="27"/>
        <v>johnsmith@gmail.com</v>
      </c>
      <c r="G139">
        <v>71011</v>
      </c>
      <c r="H139" t="str">
        <f t="shared" si="28"/>
        <v>Medium</v>
      </c>
      <c r="I139" s="3">
        <v>42561</v>
      </c>
      <c r="J139">
        <f t="shared" si="29"/>
        <v>2016</v>
      </c>
      <c r="K139">
        <f t="shared" si="30"/>
        <v>7</v>
      </c>
      <c r="L139">
        <f t="shared" si="31"/>
        <v>10</v>
      </c>
      <c r="M139" s="3">
        <f t="shared" ca="1" si="32"/>
        <v>46100</v>
      </c>
      <c r="N139">
        <f t="shared" ca="1" si="33"/>
        <v>3539</v>
      </c>
      <c r="O139">
        <f t="shared" ca="1" si="34"/>
        <v>3539</v>
      </c>
      <c r="P139">
        <f t="shared" ca="1" si="35"/>
        <v>2529</v>
      </c>
      <c r="Q139">
        <v>29</v>
      </c>
      <c r="R139" t="str">
        <f t="shared" si="36"/>
        <v>Young</v>
      </c>
      <c r="S139" t="s">
        <v>34</v>
      </c>
      <c r="T139">
        <v>3</v>
      </c>
      <c r="U139" t="s">
        <v>25</v>
      </c>
      <c r="V139">
        <v>9218.8700000000008</v>
      </c>
      <c r="W139" t="s">
        <v>26</v>
      </c>
      <c r="X139" t="s">
        <v>36</v>
      </c>
      <c r="Y139">
        <v>21</v>
      </c>
      <c r="Z139" t="str">
        <f t="shared" si="37"/>
        <v>Bad Employee</v>
      </c>
      <c r="AA139" t="b">
        <f t="shared" si="38"/>
        <v>0</v>
      </c>
      <c r="AB139" t="b">
        <f>OR(Y139&gt;20, T139&gt;6)</f>
        <v>1</v>
      </c>
      <c r="AC139" t="str">
        <f>IF(OR(Y139&gt;20,T139&gt;6), "Good employee", "Bad Employee")</f>
        <v>Good employee</v>
      </c>
      <c r="AD139" t="s">
        <v>56</v>
      </c>
      <c r="AE139" t="s">
        <v>37</v>
      </c>
      <c r="AF139">
        <v>10</v>
      </c>
      <c r="AG139">
        <v>2016</v>
      </c>
      <c r="AH139" t="s">
        <v>49</v>
      </c>
      <c r="AI139">
        <v>71</v>
      </c>
      <c r="AJ139">
        <v>1.4</v>
      </c>
    </row>
    <row r="140" spans="1:36" x14ac:dyDescent="0.25">
      <c r="A140">
        <v>10139</v>
      </c>
      <c r="B140" t="s">
        <v>21</v>
      </c>
      <c r="C140" t="s">
        <v>32</v>
      </c>
      <c r="D140" t="s">
        <v>33</v>
      </c>
      <c r="E140" t="str">
        <f t="shared" si="26"/>
        <v>Michael Wilson is in Marketing Department</v>
      </c>
      <c r="F140" s="6" t="str">
        <f t="shared" si="27"/>
        <v>michaelwilson@gmail.com</v>
      </c>
      <c r="G140">
        <v>40355</v>
      </c>
      <c r="H140" t="str">
        <f t="shared" si="28"/>
        <v>low</v>
      </c>
      <c r="I140" s="3">
        <v>37676</v>
      </c>
      <c r="J140">
        <f t="shared" si="29"/>
        <v>2003</v>
      </c>
      <c r="K140">
        <f t="shared" si="30"/>
        <v>2</v>
      </c>
      <c r="L140">
        <f t="shared" si="31"/>
        <v>24</v>
      </c>
      <c r="M140" s="3">
        <f t="shared" ca="1" si="32"/>
        <v>46100</v>
      </c>
      <c r="N140">
        <f t="shared" ca="1" si="33"/>
        <v>8424</v>
      </c>
      <c r="O140">
        <f t="shared" ca="1" si="34"/>
        <v>8424</v>
      </c>
      <c r="P140">
        <f t="shared" ca="1" si="35"/>
        <v>6019</v>
      </c>
      <c r="Q140">
        <v>25</v>
      </c>
      <c r="R140" t="str">
        <f t="shared" si="36"/>
        <v>Young</v>
      </c>
      <c r="S140" t="s">
        <v>24</v>
      </c>
      <c r="T140">
        <v>1</v>
      </c>
      <c r="U140" t="s">
        <v>45</v>
      </c>
      <c r="V140">
        <v>2644.84</v>
      </c>
      <c r="W140" t="s">
        <v>35</v>
      </c>
      <c r="X140" t="s">
        <v>40</v>
      </c>
      <c r="Y140">
        <v>18</v>
      </c>
      <c r="Z140" t="str">
        <f t="shared" si="37"/>
        <v>Bad Employee</v>
      </c>
      <c r="AA140" t="b">
        <f t="shared" si="38"/>
        <v>0</v>
      </c>
      <c r="AB140" t="b">
        <f>OR(Y140&gt;20, T140&gt;6)</f>
        <v>0</v>
      </c>
      <c r="AC140" t="str">
        <f>IF(OR(Y140&gt;20,T140&gt;6), "Good employee", "Bad Employee")</f>
        <v>Bad Employee</v>
      </c>
      <c r="AD140" t="s">
        <v>41</v>
      </c>
      <c r="AE140" t="s">
        <v>62</v>
      </c>
      <c r="AF140">
        <v>0</v>
      </c>
      <c r="AG140">
        <v>2022</v>
      </c>
      <c r="AH140" t="s">
        <v>43</v>
      </c>
      <c r="AI140">
        <v>5</v>
      </c>
      <c r="AJ140">
        <v>4.7</v>
      </c>
    </row>
    <row r="141" spans="1:36" x14ac:dyDescent="0.25">
      <c r="A141">
        <v>10140</v>
      </c>
      <c r="B141" t="s">
        <v>66</v>
      </c>
      <c r="C141" t="s">
        <v>32</v>
      </c>
      <c r="D141" t="s">
        <v>44</v>
      </c>
      <c r="E141" t="str">
        <f t="shared" si="26"/>
        <v>John Wilson is in Sales Department</v>
      </c>
      <c r="F141" s="6" t="str">
        <f t="shared" si="27"/>
        <v>johnwilson@gmail.com</v>
      </c>
      <c r="G141">
        <v>78692</v>
      </c>
      <c r="H141" t="str">
        <f t="shared" si="28"/>
        <v>Medium</v>
      </c>
      <c r="I141" s="3">
        <v>38261</v>
      </c>
      <c r="J141">
        <f t="shared" si="29"/>
        <v>2004</v>
      </c>
      <c r="K141">
        <f t="shared" si="30"/>
        <v>10</v>
      </c>
      <c r="L141">
        <f t="shared" si="31"/>
        <v>1</v>
      </c>
      <c r="M141" s="3">
        <f t="shared" ca="1" si="32"/>
        <v>46100</v>
      </c>
      <c r="N141">
        <f t="shared" ca="1" si="33"/>
        <v>7839</v>
      </c>
      <c r="O141">
        <f t="shared" ca="1" si="34"/>
        <v>7839</v>
      </c>
      <c r="P141">
        <f t="shared" ca="1" si="35"/>
        <v>5600</v>
      </c>
      <c r="Q141">
        <v>60</v>
      </c>
      <c r="R141" t="str">
        <f t="shared" si="36"/>
        <v>Old</v>
      </c>
      <c r="S141" t="s">
        <v>24</v>
      </c>
      <c r="T141">
        <v>3</v>
      </c>
      <c r="U141" t="s">
        <v>45</v>
      </c>
      <c r="V141">
        <v>1639.77</v>
      </c>
      <c r="W141" t="s">
        <v>46</v>
      </c>
      <c r="X141" t="s">
        <v>40</v>
      </c>
      <c r="Y141">
        <v>11</v>
      </c>
      <c r="Z141" t="str">
        <f t="shared" si="37"/>
        <v>Bad Employee</v>
      </c>
      <c r="AA141" t="b">
        <f t="shared" si="38"/>
        <v>0</v>
      </c>
      <c r="AB141" t="b">
        <f>OR(Y141&gt;20, T141&gt;6)</f>
        <v>0</v>
      </c>
      <c r="AC141" t="str">
        <f>IF(OR(Y141&gt;20,T141&gt;6), "Good employee", "Bad Employee")</f>
        <v>Bad Employee</v>
      </c>
      <c r="AD141" t="s">
        <v>41</v>
      </c>
      <c r="AE141" t="s">
        <v>59</v>
      </c>
      <c r="AF141">
        <v>1</v>
      </c>
      <c r="AG141">
        <v>2014</v>
      </c>
      <c r="AH141" t="s">
        <v>30</v>
      </c>
      <c r="AI141">
        <v>156</v>
      </c>
      <c r="AJ141">
        <v>1.4</v>
      </c>
    </row>
    <row r="142" spans="1:36" x14ac:dyDescent="0.25">
      <c r="A142">
        <v>10141</v>
      </c>
      <c r="B142" t="s">
        <v>53</v>
      </c>
      <c r="C142" t="s">
        <v>63</v>
      </c>
      <c r="D142" t="s">
        <v>39</v>
      </c>
      <c r="E142" t="str">
        <f t="shared" si="26"/>
        <v>Sarah Miller is in IT Department</v>
      </c>
      <c r="F142" s="6" t="str">
        <f t="shared" si="27"/>
        <v>sarahmiller@gmail.com</v>
      </c>
      <c r="G142">
        <v>79004</v>
      </c>
      <c r="H142" t="str">
        <f t="shared" si="28"/>
        <v>Medium</v>
      </c>
      <c r="I142" s="3">
        <v>37564</v>
      </c>
      <c r="J142">
        <f t="shared" si="29"/>
        <v>2002</v>
      </c>
      <c r="K142">
        <f t="shared" si="30"/>
        <v>11</v>
      </c>
      <c r="L142">
        <f t="shared" si="31"/>
        <v>4</v>
      </c>
      <c r="M142" s="3">
        <f t="shared" ca="1" si="32"/>
        <v>46100</v>
      </c>
      <c r="N142">
        <f t="shared" ca="1" si="33"/>
        <v>8536</v>
      </c>
      <c r="O142">
        <f t="shared" ca="1" si="34"/>
        <v>8536</v>
      </c>
      <c r="P142">
        <f t="shared" ca="1" si="35"/>
        <v>6099</v>
      </c>
      <c r="Q142">
        <v>64</v>
      </c>
      <c r="R142" t="str">
        <f t="shared" si="36"/>
        <v>Old</v>
      </c>
      <c r="S142" t="s">
        <v>34</v>
      </c>
      <c r="T142">
        <v>9</v>
      </c>
      <c r="U142" t="s">
        <v>45</v>
      </c>
      <c r="V142">
        <v>2425.64</v>
      </c>
      <c r="W142" t="s">
        <v>35</v>
      </c>
      <c r="X142" t="s">
        <v>40</v>
      </c>
      <c r="Y142">
        <v>27</v>
      </c>
      <c r="Z142" t="str">
        <f t="shared" si="37"/>
        <v>Good Employee</v>
      </c>
      <c r="AA142" t="b">
        <f t="shared" si="38"/>
        <v>1</v>
      </c>
      <c r="AB142" t="b">
        <f>OR(Y142&gt;20, T142&gt;6)</f>
        <v>1</v>
      </c>
      <c r="AC142" t="str">
        <f>IF(OR(Y142&gt;20,T142&gt;6), "Good employee", "Bad Employee")</f>
        <v>Good employee</v>
      </c>
      <c r="AD142" t="s">
        <v>28</v>
      </c>
      <c r="AE142" t="s">
        <v>37</v>
      </c>
      <c r="AF142">
        <v>7</v>
      </c>
      <c r="AG142">
        <v>2021</v>
      </c>
      <c r="AH142" t="s">
        <v>43</v>
      </c>
      <c r="AI142">
        <v>113</v>
      </c>
      <c r="AJ142">
        <v>4.5</v>
      </c>
    </row>
    <row r="143" spans="1:36" x14ac:dyDescent="0.25">
      <c r="A143">
        <v>10142</v>
      </c>
      <c r="B143" t="s">
        <v>66</v>
      </c>
      <c r="C143" t="s">
        <v>65</v>
      </c>
      <c r="D143" t="s">
        <v>52</v>
      </c>
      <c r="E143" t="str">
        <f t="shared" si="26"/>
        <v>John Johnson is in Operations Department</v>
      </c>
      <c r="F143" s="6" t="str">
        <f t="shared" si="27"/>
        <v>johnjohnson@gmail.com</v>
      </c>
      <c r="G143">
        <v>59714</v>
      </c>
      <c r="H143" t="str">
        <f t="shared" si="28"/>
        <v>Medium</v>
      </c>
      <c r="I143" s="3">
        <v>42895</v>
      </c>
      <c r="J143">
        <f t="shared" si="29"/>
        <v>2017</v>
      </c>
      <c r="K143">
        <f t="shared" si="30"/>
        <v>6</v>
      </c>
      <c r="L143">
        <f t="shared" si="31"/>
        <v>9</v>
      </c>
      <c r="M143" s="3">
        <f t="shared" ca="1" si="32"/>
        <v>46100</v>
      </c>
      <c r="N143">
        <f t="shared" ca="1" si="33"/>
        <v>3205</v>
      </c>
      <c r="O143">
        <f t="shared" ca="1" si="34"/>
        <v>3205</v>
      </c>
      <c r="P143">
        <f t="shared" ca="1" si="35"/>
        <v>2290</v>
      </c>
      <c r="Q143">
        <v>52</v>
      </c>
      <c r="R143" t="str">
        <f t="shared" si="36"/>
        <v>Old</v>
      </c>
      <c r="S143" t="s">
        <v>24</v>
      </c>
      <c r="T143">
        <v>2</v>
      </c>
      <c r="U143" t="s">
        <v>25</v>
      </c>
      <c r="V143">
        <v>2110.94</v>
      </c>
      <c r="W143" t="s">
        <v>46</v>
      </c>
      <c r="X143" t="s">
        <v>47</v>
      </c>
      <c r="Y143">
        <v>24</v>
      </c>
      <c r="Z143" t="str">
        <f t="shared" si="37"/>
        <v>Bad Employee</v>
      </c>
      <c r="AA143" t="b">
        <f t="shared" si="38"/>
        <v>0</v>
      </c>
      <c r="AB143" t="b">
        <f>OR(Y143&gt;20, T143&gt;6)</f>
        <v>1</v>
      </c>
      <c r="AC143" t="str">
        <f>IF(OR(Y143&gt;20,T143&gt;6), "Good employee", "Bad Employee")</f>
        <v>Good employee</v>
      </c>
      <c r="AD143" t="s">
        <v>56</v>
      </c>
      <c r="AE143" t="s">
        <v>62</v>
      </c>
      <c r="AF143">
        <v>15</v>
      </c>
      <c r="AG143">
        <v>2019</v>
      </c>
      <c r="AH143" t="s">
        <v>43</v>
      </c>
      <c r="AI143">
        <v>66</v>
      </c>
      <c r="AJ143">
        <v>4.2</v>
      </c>
    </row>
    <row r="144" spans="1:36" x14ac:dyDescent="0.25">
      <c r="A144">
        <v>10143</v>
      </c>
      <c r="B144" t="s">
        <v>31</v>
      </c>
      <c r="C144" t="s">
        <v>65</v>
      </c>
      <c r="D144" t="s">
        <v>54</v>
      </c>
      <c r="E144" t="str">
        <f t="shared" si="26"/>
        <v>Emily Johnson is in Finance Department</v>
      </c>
      <c r="F144" s="6" t="str">
        <f t="shared" si="27"/>
        <v>emilyjohnson@gmail.com</v>
      </c>
      <c r="G144">
        <v>47198</v>
      </c>
      <c r="H144" t="str">
        <f t="shared" si="28"/>
        <v>low</v>
      </c>
      <c r="I144" s="3">
        <v>43653</v>
      </c>
      <c r="J144">
        <f t="shared" si="29"/>
        <v>2019</v>
      </c>
      <c r="K144">
        <f t="shared" si="30"/>
        <v>7</v>
      </c>
      <c r="L144">
        <f t="shared" si="31"/>
        <v>7</v>
      </c>
      <c r="M144" s="3">
        <f t="shared" ca="1" si="32"/>
        <v>46100</v>
      </c>
      <c r="N144">
        <f t="shared" ca="1" si="33"/>
        <v>2447</v>
      </c>
      <c r="O144">
        <f t="shared" ca="1" si="34"/>
        <v>2447</v>
      </c>
      <c r="P144">
        <f t="shared" ca="1" si="35"/>
        <v>1749</v>
      </c>
      <c r="Q144">
        <v>50</v>
      </c>
      <c r="R144" t="str">
        <f t="shared" si="36"/>
        <v>Old</v>
      </c>
      <c r="S144" t="s">
        <v>34</v>
      </c>
      <c r="T144">
        <v>1</v>
      </c>
      <c r="U144" t="s">
        <v>45</v>
      </c>
      <c r="V144">
        <v>1361.41</v>
      </c>
      <c r="W144" t="s">
        <v>35</v>
      </c>
      <c r="X144" t="s">
        <v>27</v>
      </c>
      <c r="Y144">
        <v>34</v>
      </c>
      <c r="Z144" t="str">
        <f t="shared" si="37"/>
        <v>Bad Employee</v>
      </c>
      <c r="AA144" t="b">
        <f t="shared" si="38"/>
        <v>0</v>
      </c>
      <c r="AB144" t="b">
        <f>OR(Y144&gt;20, T144&gt;6)</f>
        <v>1</v>
      </c>
      <c r="AC144" t="str">
        <f>IF(OR(Y144&gt;20,T144&gt;6), "Good employee", "Bad Employee")</f>
        <v>Good employee</v>
      </c>
      <c r="AD144" t="s">
        <v>56</v>
      </c>
      <c r="AE144" t="s">
        <v>62</v>
      </c>
      <c r="AF144">
        <v>0</v>
      </c>
      <c r="AG144">
        <v>2017</v>
      </c>
      <c r="AH144" t="s">
        <v>43</v>
      </c>
      <c r="AI144">
        <v>82</v>
      </c>
      <c r="AJ144">
        <v>1.2</v>
      </c>
    </row>
    <row r="145" spans="1:36" x14ac:dyDescent="0.25">
      <c r="A145">
        <v>10144</v>
      </c>
      <c r="B145" t="s">
        <v>53</v>
      </c>
      <c r="C145" t="s">
        <v>51</v>
      </c>
      <c r="D145" t="s">
        <v>23</v>
      </c>
      <c r="E145" t="str">
        <f t="shared" si="26"/>
        <v>Sarah Brown is in HR Department</v>
      </c>
      <c r="F145" s="6" t="str">
        <f t="shared" si="27"/>
        <v>sarahbrown@gmail.com</v>
      </c>
      <c r="G145">
        <v>96951</v>
      </c>
      <c r="H145" t="str">
        <f t="shared" si="28"/>
        <v>High</v>
      </c>
      <c r="I145" s="3">
        <v>39438</v>
      </c>
      <c r="J145">
        <f t="shared" si="29"/>
        <v>2007</v>
      </c>
      <c r="K145">
        <f t="shared" si="30"/>
        <v>12</v>
      </c>
      <c r="L145">
        <f t="shared" si="31"/>
        <v>22</v>
      </c>
      <c r="M145" s="3">
        <f t="shared" ca="1" si="32"/>
        <v>46100</v>
      </c>
      <c r="N145">
        <f t="shared" ca="1" si="33"/>
        <v>6662</v>
      </c>
      <c r="O145">
        <f t="shared" ca="1" si="34"/>
        <v>6662</v>
      </c>
      <c r="P145">
        <f t="shared" ca="1" si="35"/>
        <v>4759</v>
      </c>
      <c r="Q145">
        <v>57</v>
      </c>
      <c r="R145" t="str">
        <f t="shared" si="36"/>
        <v>Old</v>
      </c>
      <c r="S145" t="s">
        <v>24</v>
      </c>
      <c r="T145">
        <v>7</v>
      </c>
      <c r="U145" t="s">
        <v>25</v>
      </c>
      <c r="V145">
        <v>8079.47</v>
      </c>
      <c r="W145" t="s">
        <v>35</v>
      </c>
      <c r="X145" t="s">
        <v>36</v>
      </c>
      <c r="Y145">
        <v>20</v>
      </c>
      <c r="Z145" t="str">
        <f t="shared" si="37"/>
        <v>Bad Employee</v>
      </c>
      <c r="AA145" t="b">
        <f t="shared" si="38"/>
        <v>0</v>
      </c>
      <c r="AB145" t="b">
        <f>OR(Y145&gt;20, T145&gt;6)</f>
        <v>1</v>
      </c>
      <c r="AC145" t="str">
        <f>IF(OR(Y145&gt;20,T145&gt;6), "Good employee", "Bad Employee")</f>
        <v>Good employee</v>
      </c>
      <c r="AD145" t="s">
        <v>56</v>
      </c>
      <c r="AE145" t="s">
        <v>62</v>
      </c>
      <c r="AF145">
        <v>2</v>
      </c>
      <c r="AG145">
        <v>2014</v>
      </c>
      <c r="AH145" t="s">
        <v>43</v>
      </c>
      <c r="AI145">
        <v>61</v>
      </c>
      <c r="AJ145">
        <v>1.1000000000000001</v>
      </c>
    </row>
    <row r="146" spans="1:36" x14ac:dyDescent="0.25">
      <c r="A146">
        <v>10145</v>
      </c>
      <c r="B146" t="s">
        <v>53</v>
      </c>
      <c r="C146" t="s">
        <v>63</v>
      </c>
      <c r="D146" t="s">
        <v>39</v>
      </c>
      <c r="E146" t="str">
        <f t="shared" si="26"/>
        <v>Sarah Miller is in IT Department</v>
      </c>
      <c r="F146" s="6" t="str">
        <f t="shared" si="27"/>
        <v>sarahmiller@gmail.com</v>
      </c>
      <c r="G146">
        <v>31652</v>
      </c>
      <c r="H146" t="str">
        <f t="shared" si="28"/>
        <v>extremely low</v>
      </c>
      <c r="I146" s="3">
        <v>43798</v>
      </c>
      <c r="J146">
        <f t="shared" si="29"/>
        <v>2019</v>
      </c>
      <c r="K146">
        <f t="shared" si="30"/>
        <v>11</v>
      </c>
      <c r="L146">
        <f t="shared" si="31"/>
        <v>29</v>
      </c>
      <c r="M146" s="3">
        <f t="shared" ca="1" si="32"/>
        <v>46100</v>
      </c>
      <c r="N146">
        <f t="shared" ca="1" si="33"/>
        <v>2302</v>
      </c>
      <c r="O146">
        <f t="shared" ca="1" si="34"/>
        <v>2302</v>
      </c>
      <c r="P146">
        <f t="shared" ca="1" si="35"/>
        <v>1645</v>
      </c>
      <c r="Q146">
        <v>34</v>
      </c>
      <c r="R146" t="str">
        <f t="shared" si="36"/>
        <v>Old</v>
      </c>
      <c r="S146" t="s">
        <v>34</v>
      </c>
      <c r="T146">
        <v>7</v>
      </c>
      <c r="U146" t="s">
        <v>25</v>
      </c>
      <c r="V146">
        <v>5207.6099999999997</v>
      </c>
      <c r="W146" t="s">
        <v>35</v>
      </c>
      <c r="X146" t="s">
        <v>36</v>
      </c>
      <c r="Y146">
        <v>13</v>
      </c>
      <c r="Z146" t="str">
        <f t="shared" si="37"/>
        <v>Bad Employee</v>
      </c>
      <c r="AA146" t="b">
        <f t="shared" si="38"/>
        <v>0</v>
      </c>
      <c r="AB146" t="b">
        <f>OR(Y146&gt;20, T146&gt;6)</f>
        <v>1</v>
      </c>
      <c r="AC146" t="str">
        <f>IF(OR(Y146&gt;20,T146&gt;6), "Good employee", "Bad Employee")</f>
        <v>Good employee</v>
      </c>
      <c r="AD146" t="s">
        <v>28</v>
      </c>
      <c r="AE146" t="s">
        <v>37</v>
      </c>
      <c r="AF146">
        <v>17</v>
      </c>
      <c r="AG146">
        <v>2014</v>
      </c>
      <c r="AH146" t="s">
        <v>49</v>
      </c>
      <c r="AI146">
        <v>24</v>
      </c>
      <c r="AJ146">
        <v>3.1</v>
      </c>
    </row>
    <row r="147" spans="1:36" x14ac:dyDescent="0.25">
      <c r="A147">
        <v>10146</v>
      </c>
      <c r="B147" t="s">
        <v>21</v>
      </c>
      <c r="C147" t="s">
        <v>51</v>
      </c>
      <c r="D147" t="s">
        <v>52</v>
      </c>
      <c r="E147" t="str">
        <f t="shared" si="26"/>
        <v>Michael Brown is in Operations Department</v>
      </c>
      <c r="F147" s="6" t="str">
        <f t="shared" si="27"/>
        <v>michaelbrown@gmail.com</v>
      </c>
      <c r="G147">
        <v>73625</v>
      </c>
      <c r="H147" t="str">
        <f t="shared" si="28"/>
        <v>Medium</v>
      </c>
      <c r="I147" s="3">
        <v>41366</v>
      </c>
      <c r="J147">
        <f t="shared" si="29"/>
        <v>2013</v>
      </c>
      <c r="K147">
        <f t="shared" si="30"/>
        <v>4</v>
      </c>
      <c r="L147">
        <f t="shared" si="31"/>
        <v>2</v>
      </c>
      <c r="M147" s="3">
        <f t="shared" ca="1" si="32"/>
        <v>46100</v>
      </c>
      <c r="N147">
        <f t="shared" ca="1" si="33"/>
        <v>4734</v>
      </c>
      <c r="O147">
        <f t="shared" ca="1" si="34"/>
        <v>4734</v>
      </c>
      <c r="P147">
        <f t="shared" ca="1" si="35"/>
        <v>3383</v>
      </c>
      <c r="Q147">
        <v>62</v>
      </c>
      <c r="R147" t="str">
        <f t="shared" si="36"/>
        <v>Old</v>
      </c>
      <c r="S147" t="s">
        <v>24</v>
      </c>
      <c r="T147">
        <v>5</v>
      </c>
      <c r="U147" t="s">
        <v>25</v>
      </c>
      <c r="V147">
        <v>4190.93</v>
      </c>
      <c r="W147" t="s">
        <v>26</v>
      </c>
      <c r="X147" t="s">
        <v>47</v>
      </c>
      <c r="Y147">
        <v>8</v>
      </c>
      <c r="Z147" t="str">
        <f t="shared" si="37"/>
        <v>Bad Employee</v>
      </c>
      <c r="AA147" t="b">
        <f t="shared" si="38"/>
        <v>0</v>
      </c>
      <c r="AB147" t="b">
        <f>OR(Y147&gt;20, T147&gt;6)</f>
        <v>0</v>
      </c>
      <c r="AC147" t="str">
        <f>IF(OR(Y147&gt;20,T147&gt;6), "Good employee", "Bad Employee")</f>
        <v>Bad Employee</v>
      </c>
      <c r="AD147" t="s">
        <v>41</v>
      </c>
      <c r="AE147" t="s">
        <v>37</v>
      </c>
      <c r="AF147">
        <v>15</v>
      </c>
      <c r="AG147">
        <v>2014</v>
      </c>
      <c r="AH147" t="s">
        <v>30</v>
      </c>
      <c r="AI147">
        <v>190</v>
      </c>
      <c r="AJ147">
        <v>5</v>
      </c>
    </row>
    <row r="148" spans="1:36" x14ac:dyDescent="0.25">
      <c r="A148">
        <v>10147</v>
      </c>
      <c r="B148" t="s">
        <v>50</v>
      </c>
      <c r="C148" t="s">
        <v>51</v>
      </c>
      <c r="D148" t="s">
        <v>39</v>
      </c>
      <c r="E148" t="str">
        <f t="shared" si="26"/>
        <v>Alex Brown is in IT Department</v>
      </c>
      <c r="F148" s="6" t="str">
        <f t="shared" si="27"/>
        <v>alexbrown@gmail.com</v>
      </c>
      <c r="G148">
        <v>115982</v>
      </c>
      <c r="H148" t="str">
        <f t="shared" si="28"/>
        <v>High</v>
      </c>
      <c r="I148" s="3">
        <v>39066</v>
      </c>
      <c r="J148">
        <f t="shared" si="29"/>
        <v>2006</v>
      </c>
      <c r="K148">
        <f t="shared" si="30"/>
        <v>12</v>
      </c>
      <c r="L148">
        <f t="shared" si="31"/>
        <v>15</v>
      </c>
      <c r="M148" s="3">
        <f t="shared" ca="1" si="32"/>
        <v>46100</v>
      </c>
      <c r="N148">
        <f t="shared" ca="1" si="33"/>
        <v>7034</v>
      </c>
      <c r="O148">
        <f t="shared" ca="1" si="34"/>
        <v>7034</v>
      </c>
      <c r="P148">
        <f t="shared" ca="1" si="35"/>
        <v>5025</v>
      </c>
      <c r="Q148">
        <v>30</v>
      </c>
      <c r="R148" t="str">
        <f t="shared" si="36"/>
        <v>Young</v>
      </c>
      <c r="S148" t="s">
        <v>24</v>
      </c>
      <c r="T148">
        <v>2</v>
      </c>
      <c r="U148" t="s">
        <v>45</v>
      </c>
      <c r="V148">
        <v>9530.9699999999993</v>
      </c>
      <c r="W148" t="s">
        <v>35</v>
      </c>
      <c r="X148" t="s">
        <v>40</v>
      </c>
      <c r="Y148">
        <v>37</v>
      </c>
      <c r="Z148" t="str">
        <f t="shared" si="37"/>
        <v>Bad Employee</v>
      </c>
      <c r="AA148" t="b">
        <f t="shared" si="38"/>
        <v>0</v>
      </c>
      <c r="AB148" t="b">
        <f>OR(Y148&gt;20, T148&gt;6)</f>
        <v>1</v>
      </c>
      <c r="AC148" t="str">
        <f>IF(OR(Y148&gt;20,T148&gt;6), "Good employee", "Bad Employee")</f>
        <v>Good employee</v>
      </c>
      <c r="AD148" t="s">
        <v>56</v>
      </c>
      <c r="AE148" t="s">
        <v>48</v>
      </c>
      <c r="AF148">
        <v>19</v>
      </c>
      <c r="AG148">
        <v>2013</v>
      </c>
      <c r="AH148" t="s">
        <v>30</v>
      </c>
      <c r="AI148">
        <v>18</v>
      </c>
      <c r="AJ148">
        <v>4.5</v>
      </c>
    </row>
    <row r="149" spans="1:36" x14ac:dyDescent="0.25">
      <c r="A149">
        <v>10148</v>
      </c>
      <c r="B149" t="s">
        <v>50</v>
      </c>
      <c r="C149" t="s">
        <v>65</v>
      </c>
      <c r="D149" t="s">
        <v>52</v>
      </c>
      <c r="E149" t="str">
        <f t="shared" si="26"/>
        <v>Alex Johnson is in Operations Department</v>
      </c>
      <c r="F149" s="6" t="str">
        <f t="shared" si="27"/>
        <v>alexjohnson@gmail.com</v>
      </c>
      <c r="G149">
        <v>48740</v>
      </c>
      <c r="H149" t="str">
        <f t="shared" si="28"/>
        <v>low</v>
      </c>
      <c r="I149" s="3">
        <v>40940</v>
      </c>
      <c r="J149">
        <f t="shared" si="29"/>
        <v>2012</v>
      </c>
      <c r="K149">
        <f t="shared" si="30"/>
        <v>2</v>
      </c>
      <c r="L149">
        <f t="shared" si="31"/>
        <v>1</v>
      </c>
      <c r="M149" s="3">
        <f t="shared" ca="1" si="32"/>
        <v>46100</v>
      </c>
      <c r="N149">
        <f t="shared" ca="1" si="33"/>
        <v>5160</v>
      </c>
      <c r="O149">
        <f t="shared" ca="1" si="34"/>
        <v>5160</v>
      </c>
      <c r="P149">
        <f t="shared" ca="1" si="35"/>
        <v>3687</v>
      </c>
      <c r="Q149">
        <v>42</v>
      </c>
      <c r="R149" t="str">
        <f t="shared" si="36"/>
        <v>Old</v>
      </c>
      <c r="S149" t="s">
        <v>34</v>
      </c>
      <c r="T149">
        <v>1</v>
      </c>
      <c r="U149" t="s">
        <v>45</v>
      </c>
      <c r="V149">
        <v>4024.58</v>
      </c>
      <c r="W149" t="s">
        <v>58</v>
      </c>
      <c r="X149" t="s">
        <v>27</v>
      </c>
      <c r="Y149">
        <v>5</v>
      </c>
      <c r="Z149" t="str">
        <f t="shared" si="37"/>
        <v>Bad Employee</v>
      </c>
      <c r="AA149" t="b">
        <f t="shared" si="38"/>
        <v>0</v>
      </c>
      <c r="AB149" t="b">
        <f>OR(Y149&gt;20, T149&gt;6)</f>
        <v>0</v>
      </c>
      <c r="AC149" t="str">
        <f>IF(OR(Y149&gt;20,T149&gt;6), "Good employee", "Bad Employee")</f>
        <v>Bad Employee</v>
      </c>
      <c r="AD149" t="s">
        <v>41</v>
      </c>
      <c r="AE149" t="s">
        <v>62</v>
      </c>
      <c r="AF149">
        <v>19</v>
      </c>
      <c r="AG149">
        <v>2020</v>
      </c>
      <c r="AH149" t="s">
        <v>43</v>
      </c>
      <c r="AI149">
        <v>185</v>
      </c>
      <c r="AJ149">
        <v>2.2000000000000002</v>
      </c>
    </row>
    <row r="150" spans="1:36" x14ac:dyDescent="0.25">
      <c r="A150">
        <v>10149</v>
      </c>
      <c r="B150" t="s">
        <v>66</v>
      </c>
      <c r="C150" t="s">
        <v>63</v>
      </c>
      <c r="D150" t="s">
        <v>44</v>
      </c>
      <c r="E150" t="str">
        <f t="shared" si="26"/>
        <v>John Miller is in Sales Department</v>
      </c>
      <c r="F150" s="6" t="str">
        <f t="shared" si="27"/>
        <v>johnmiller@gmail.com</v>
      </c>
      <c r="G150">
        <v>33810</v>
      </c>
      <c r="H150" t="str">
        <f t="shared" si="28"/>
        <v>extremely low</v>
      </c>
      <c r="I150" s="3">
        <v>37768</v>
      </c>
      <c r="J150">
        <f t="shared" si="29"/>
        <v>2003</v>
      </c>
      <c r="K150">
        <f t="shared" si="30"/>
        <v>5</v>
      </c>
      <c r="L150">
        <f t="shared" si="31"/>
        <v>27</v>
      </c>
      <c r="M150" s="3">
        <f t="shared" ca="1" si="32"/>
        <v>46100</v>
      </c>
      <c r="N150">
        <f t="shared" ca="1" si="33"/>
        <v>8332</v>
      </c>
      <c r="O150">
        <f t="shared" ca="1" si="34"/>
        <v>8332</v>
      </c>
      <c r="P150">
        <f t="shared" ca="1" si="35"/>
        <v>5953</v>
      </c>
      <c r="Q150">
        <v>24</v>
      </c>
      <c r="R150" t="str">
        <f t="shared" si="36"/>
        <v>Young</v>
      </c>
      <c r="S150" t="s">
        <v>34</v>
      </c>
      <c r="T150">
        <v>5</v>
      </c>
      <c r="U150" t="s">
        <v>25</v>
      </c>
      <c r="V150">
        <v>2086.2399999999998</v>
      </c>
      <c r="W150" t="s">
        <v>35</v>
      </c>
      <c r="X150" t="s">
        <v>55</v>
      </c>
      <c r="Y150">
        <v>7</v>
      </c>
      <c r="Z150" t="str">
        <f t="shared" si="37"/>
        <v>Bad Employee</v>
      </c>
      <c r="AA150" t="b">
        <f t="shared" si="38"/>
        <v>0</v>
      </c>
      <c r="AB150" t="b">
        <f>OR(Y150&gt;20, T150&gt;6)</f>
        <v>0</v>
      </c>
      <c r="AC150" t="str">
        <f>IF(OR(Y150&gt;20,T150&gt;6), "Good employee", "Bad Employee")</f>
        <v>Bad Employee</v>
      </c>
      <c r="AD150" t="s">
        <v>41</v>
      </c>
      <c r="AE150" t="s">
        <v>29</v>
      </c>
      <c r="AF150">
        <v>12</v>
      </c>
      <c r="AG150">
        <v>2021</v>
      </c>
      <c r="AH150" t="s">
        <v>30</v>
      </c>
      <c r="AI150">
        <v>39</v>
      </c>
      <c r="AJ150">
        <v>2.5</v>
      </c>
    </row>
    <row r="151" spans="1:36" x14ac:dyDescent="0.25">
      <c r="A151">
        <v>10150</v>
      </c>
      <c r="B151" t="s">
        <v>53</v>
      </c>
      <c r="C151" t="s">
        <v>65</v>
      </c>
      <c r="D151" t="s">
        <v>33</v>
      </c>
      <c r="E151" t="str">
        <f t="shared" si="26"/>
        <v>Sarah Johnson is in Marketing Department</v>
      </c>
      <c r="F151" s="6" t="str">
        <f t="shared" si="27"/>
        <v>sarahjohnson@gmail.com</v>
      </c>
      <c r="G151">
        <v>46569</v>
      </c>
      <c r="H151" t="str">
        <f t="shared" si="28"/>
        <v>low</v>
      </c>
      <c r="I151" s="3">
        <v>37298</v>
      </c>
      <c r="J151">
        <f t="shared" si="29"/>
        <v>2002</v>
      </c>
      <c r="K151">
        <f t="shared" si="30"/>
        <v>2</v>
      </c>
      <c r="L151">
        <f t="shared" si="31"/>
        <v>11</v>
      </c>
      <c r="M151" s="3">
        <f t="shared" ca="1" si="32"/>
        <v>46100</v>
      </c>
      <c r="N151">
        <f t="shared" ca="1" si="33"/>
        <v>8802</v>
      </c>
      <c r="O151">
        <f t="shared" ca="1" si="34"/>
        <v>8802</v>
      </c>
      <c r="P151">
        <f t="shared" ca="1" si="35"/>
        <v>6289</v>
      </c>
      <c r="Q151">
        <v>46</v>
      </c>
      <c r="R151" t="str">
        <f t="shared" si="36"/>
        <v>Old</v>
      </c>
      <c r="S151" t="s">
        <v>24</v>
      </c>
      <c r="T151">
        <v>4</v>
      </c>
      <c r="U151" t="s">
        <v>25</v>
      </c>
      <c r="V151">
        <v>3103.41</v>
      </c>
      <c r="W151" t="s">
        <v>35</v>
      </c>
      <c r="X151" t="s">
        <v>47</v>
      </c>
      <c r="Y151">
        <v>12</v>
      </c>
      <c r="Z151" t="str">
        <f t="shared" si="37"/>
        <v>Bad Employee</v>
      </c>
      <c r="AA151" t="b">
        <f t="shared" si="38"/>
        <v>0</v>
      </c>
      <c r="AB151" t="b">
        <f>OR(Y151&gt;20, T151&gt;6)</f>
        <v>0</v>
      </c>
      <c r="AC151" t="str">
        <f>IF(OR(Y151&gt;20,T151&gt;6), "Good employee", "Bad Employee")</f>
        <v>Bad Employee</v>
      </c>
      <c r="AD151" t="s">
        <v>41</v>
      </c>
      <c r="AE151" t="s">
        <v>62</v>
      </c>
      <c r="AF151">
        <v>19</v>
      </c>
      <c r="AG151">
        <v>2020</v>
      </c>
      <c r="AH151" t="s">
        <v>49</v>
      </c>
      <c r="AI151">
        <v>194</v>
      </c>
      <c r="AJ151">
        <v>2.6</v>
      </c>
    </row>
    <row r="152" spans="1:36" x14ac:dyDescent="0.25">
      <c r="A152">
        <v>10151</v>
      </c>
      <c r="B152" t="s">
        <v>50</v>
      </c>
      <c r="C152" t="s">
        <v>51</v>
      </c>
      <c r="D152" t="s">
        <v>39</v>
      </c>
      <c r="E152" t="str">
        <f t="shared" si="26"/>
        <v>Alex Brown is in IT Department</v>
      </c>
      <c r="F152" s="6" t="str">
        <f t="shared" si="27"/>
        <v>alexbrown@gmail.com</v>
      </c>
      <c r="G152">
        <v>109120</v>
      </c>
      <c r="H152" t="str">
        <f t="shared" si="28"/>
        <v>High</v>
      </c>
      <c r="I152" s="3">
        <v>38442</v>
      </c>
      <c r="J152">
        <f t="shared" si="29"/>
        <v>2005</v>
      </c>
      <c r="K152">
        <f t="shared" si="30"/>
        <v>3</v>
      </c>
      <c r="L152">
        <f t="shared" si="31"/>
        <v>31</v>
      </c>
      <c r="M152" s="3">
        <f t="shared" ca="1" si="32"/>
        <v>46100</v>
      </c>
      <c r="N152">
        <f t="shared" ca="1" si="33"/>
        <v>7658</v>
      </c>
      <c r="O152">
        <f t="shared" ca="1" si="34"/>
        <v>7658</v>
      </c>
      <c r="P152">
        <f t="shared" ca="1" si="35"/>
        <v>5471</v>
      </c>
      <c r="Q152">
        <v>46</v>
      </c>
      <c r="R152" t="str">
        <f t="shared" si="36"/>
        <v>Old</v>
      </c>
      <c r="S152" t="s">
        <v>34</v>
      </c>
      <c r="T152">
        <v>9</v>
      </c>
      <c r="U152" t="s">
        <v>45</v>
      </c>
      <c r="V152">
        <v>2770.18</v>
      </c>
      <c r="W152" t="s">
        <v>35</v>
      </c>
      <c r="X152" t="s">
        <v>27</v>
      </c>
      <c r="Y152">
        <v>4</v>
      </c>
      <c r="Z152" t="str">
        <f t="shared" si="37"/>
        <v>Bad Employee</v>
      </c>
      <c r="AA152" t="b">
        <f t="shared" si="38"/>
        <v>0</v>
      </c>
      <c r="AB152" t="b">
        <f>OR(Y152&gt;20, T152&gt;6)</f>
        <v>1</v>
      </c>
      <c r="AC152" t="str">
        <f>IF(OR(Y152&gt;20,T152&gt;6), "Good employee", "Bad Employee")</f>
        <v>Good employee</v>
      </c>
      <c r="AD152" t="s">
        <v>41</v>
      </c>
      <c r="AE152" t="s">
        <v>29</v>
      </c>
      <c r="AF152">
        <v>3</v>
      </c>
      <c r="AG152">
        <v>2021</v>
      </c>
      <c r="AH152" t="s">
        <v>43</v>
      </c>
      <c r="AI152">
        <v>193</v>
      </c>
      <c r="AJ152">
        <v>3.9</v>
      </c>
    </row>
    <row r="153" spans="1:36" x14ac:dyDescent="0.25">
      <c r="A153">
        <v>10152</v>
      </c>
      <c r="B153" t="s">
        <v>50</v>
      </c>
      <c r="C153" t="s">
        <v>63</v>
      </c>
      <c r="D153" t="s">
        <v>39</v>
      </c>
      <c r="E153" t="str">
        <f t="shared" si="26"/>
        <v>Alex Miller is in IT Department</v>
      </c>
      <c r="F153" s="6" t="str">
        <f t="shared" si="27"/>
        <v>alexmiller@gmail.com</v>
      </c>
      <c r="G153">
        <v>56783</v>
      </c>
      <c r="H153" t="str">
        <f t="shared" si="28"/>
        <v>Medium</v>
      </c>
      <c r="I153" s="3">
        <v>39938</v>
      </c>
      <c r="J153">
        <f t="shared" si="29"/>
        <v>2009</v>
      </c>
      <c r="K153">
        <f t="shared" si="30"/>
        <v>5</v>
      </c>
      <c r="L153">
        <f t="shared" si="31"/>
        <v>5</v>
      </c>
      <c r="M153" s="3">
        <f t="shared" ca="1" si="32"/>
        <v>46100</v>
      </c>
      <c r="N153">
        <f t="shared" ca="1" si="33"/>
        <v>6162</v>
      </c>
      <c r="O153">
        <f t="shared" ca="1" si="34"/>
        <v>6162</v>
      </c>
      <c r="P153">
        <f t="shared" ca="1" si="35"/>
        <v>4403</v>
      </c>
      <c r="Q153">
        <v>33</v>
      </c>
      <c r="R153" t="str">
        <f t="shared" si="36"/>
        <v>Old</v>
      </c>
      <c r="S153" t="s">
        <v>34</v>
      </c>
      <c r="T153">
        <v>5</v>
      </c>
      <c r="U153" t="s">
        <v>25</v>
      </c>
      <c r="V153">
        <v>5238.04</v>
      </c>
      <c r="W153" t="s">
        <v>35</v>
      </c>
      <c r="X153" t="s">
        <v>47</v>
      </c>
      <c r="Y153">
        <v>19</v>
      </c>
      <c r="Z153" t="str">
        <f t="shared" si="37"/>
        <v>Bad Employee</v>
      </c>
      <c r="AA153" t="b">
        <f t="shared" si="38"/>
        <v>0</v>
      </c>
      <c r="AB153" t="b">
        <f>OR(Y153&gt;20, T153&gt;6)</f>
        <v>0</v>
      </c>
      <c r="AC153" t="str">
        <f>IF(OR(Y153&gt;20,T153&gt;6), "Good employee", "Bad Employee")</f>
        <v>Bad Employee</v>
      </c>
      <c r="AD153" t="s">
        <v>41</v>
      </c>
      <c r="AE153" t="s">
        <v>48</v>
      </c>
      <c r="AF153">
        <v>3</v>
      </c>
      <c r="AG153">
        <v>2016</v>
      </c>
      <c r="AH153" t="s">
        <v>30</v>
      </c>
      <c r="AI153">
        <v>151</v>
      </c>
      <c r="AJ153">
        <v>2.4</v>
      </c>
    </row>
    <row r="154" spans="1:36" x14ac:dyDescent="0.25">
      <c r="A154">
        <v>10153</v>
      </c>
      <c r="B154" t="s">
        <v>66</v>
      </c>
      <c r="C154" t="s">
        <v>51</v>
      </c>
      <c r="D154" t="s">
        <v>39</v>
      </c>
      <c r="E154" t="str">
        <f t="shared" si="26"/>
        <v>John Brown is in IT Department</v>
      </c>
      <c r="F154" s="6" t="str">
        <f t="shared" si="27"/>
        <v>johnbrown@gmail.com</v>
      </c>
      <c r="G154">
        <v>108047</v>
      </c>
      <c r="H154" t="str">
        <f t="shared" si="28"/>
        <v>High</v>
      </c>
      <c r="I154" s="3">
        <v>39025</v>
      </c>
      <c r="J154">
        <f t="shared" si="29"/>
        <v>2006</v>
      </c>
      <c r="K154">
        <f t="shared" si="30"/>
        <v>11</v>
      </c>
      <c r="L154">
        <f t="shared" si="31"/>
        <v>4</v>
      </c>
      <c r="M154" s="3">
        <f t="shared" ca="1" si="32"/>
        <v>46100</v>
      </c>
      <c r="N154">
        <f t="shared" ca="1" si="33"/>
        <v>7075</v>
      </c>
      <c r="O154">
        <f t="shared" ca="1" si="34"/>
        <v>7075</v>
      </c>
      <c r="P154">
        <f t="shared" ca="1" si="35"/>
        <v>5054</v>
      </c>
      <c r="Q154">
        <v>50</v>
      </c>
      <c r="R154" t="str">
        <f t="shared" si="36"/>
        <v>Old</v>
      </c>
      <c r="S154" t="s">
        <v>34</v>
      </c>
      <c r="T154">
        <v>2</v>
      </c>
      <c r="U154" t="s">
        <v>45</v>
      </c>
      <c r="V154">
        <v>3269.3</v>
      </c>
      <c r="W154" t="s">
        <v>46</v>
      </c>
      <c r="X154" t="s">
        <v>47</v>
      </c>
      <c r="Y154">
        <v>1</v>
      </c>
      <c r="Z154" t="str">
        <f t="shared" si="37"/>
        <v>Bad Employee</v>
      </c>
      <c r="AA154" t="b">
        <f t="shared" si="38"/>
        <v>0</v>
      </c>
      <c r="AB154" t="b">
        <f>OR(Y154&gt;20, T154&gt;6)</f>
        <v>0</v>
      </c>
      <c r="AC154" t="str">
        <f>IF(OR(Y154&gt;20,T154&gt;6), "Good employee", "Bad Employee")</f>
        <v>Bad Employee</v>
      </c>
      <c r="AD154" t="s">
        <v>28</v>
      </c>
      <c r="AE154" t="s">
        <v>48</v>
      </c>
      <c r="AF154">
        <v>1</v>
      </c>
      <c r="AG154">
        <v>2011</v>
      </c>
      <c r="AH154" t="s">
        <v>30</v>
      </c>
      <c r="AI154">
        <v>88</v>
      </c>
      <c r="AJ154">
        <v>1.6</v>
      </c>
    </row>
    <row r="155" spans="1:36" x14ac:dyDescent="0.25">
      <c r="A155">
        <v>10154</v>
      </c>
      <c r="B155" t="s">
        <v>50</v>
      </c>
      <c r="C155" t="s">
        <v>57</v>
      </c>
      <c r="D155" t="s">
        <v>33</v>
      </c>
      <c r="E155" t="str">
        <f t="shared" si="26"/>
        <v>Alex Davis is in Marketing Department</v>
      </c>
      <c r="F155" s="6" t="str">
        <f t="shared" si="27"/>
        <v>alexdavis@gmail.com</v>
      </c>
      <c r="G155">
        <v>39471</v>
      </c>
      <c r="H155" t="str">
        <f t="shared" si="28"/>
        <v>extremely low</v>
      </c>
      <c r="I155" s="3">
        <v>39966</v>
      </c>
      <c r="J155">
        <f t="shared" si="29"/>
        <v>2009</v>
      </c>
      <c r="K155">
        <f t="shared" si="30"/>
        <v>6</v>
      </c>
      <c r="L155">
        <f t="shared" si="31"/>
        <v>2</v>
      </c>
      <c r="M155" s="3">
        <f t="shared" ca="1" si="32"/>
        <v>46100</v>
      </c>
      <c r="N155">
        <f t="shared" ca="1" si="33"/>
        <v>6134</v>
      </c>
      <c r="O155">
        <f t="shared" ca="1" si="34"/>
        <v>6134</v>
      </c>
      <c r="P155">
        <f t="shared" ca="1" si="35"/>
        <v>4383</v>
      </c>
      <c r="Q155">
        <v>32</v>
      </c>
      <c r="R155" t="str">
        <f t="shared" si="36"/>
        <v>Old</v>
      </c>
      <c r="S155" t="s">
        <v>34</v>
      </c>
      <c r="T155">
        <v>4</v>
      </c>
      <c r="U155" t="s">
        <v>25</v>
      </c>
      <c r="V155">
        <v>5402.58</v>
      </c>
      <c r="W155" t="s">
        <v>26</v>
      </c>
      <c r="X155" t="s">
        <v>55</v>
      </c>
      <c r="Y155">
        <v>13</v>
      </c>
      <c r="Z155" t="str">
        <f t="shared" si="37"/>
        <v>Bad Employee</v>
      </c>
      <c r="AA155" t="b">
        <f t="shared" si="38"/>
        <v>0</v>
      </c>
      <c r="AB155" t="b">
        <f>OR(Y155&gt;20, T155&gt;6)</f>
        <v>0</v>
      </c>
      <c r="AC155" t="str">
        <f>IF(OR(Y155&gt;20,T155&gt;6), "Good employee", "Bad Employee")</f>
        <v>Bad Employee</v>
      </c>
      <c r="AD155" t="s">
        <v>41</v>
      </c>
      <c r="AE155" t="s">
        <v>62</v>
      </c>
      <c r="AF155">
        <v>12</v>
      </c>
      <c r="AG155">
        <v>2019</v>
      </c>
      <c r="AH155" t="s">
        <v>43</v>
      </c>
      <c r="AI155">
        <v>46</v>
      </c>
      <c r="AJ155">
        <v>4</v>
      </c>
    </row>
    <row r="156" spans="1:36" x14ac:dyDescent="0.25">
      <c r="A156">
        <v>10155</v>
      </c>
      <c r="B156" t="s">
        <v>38</v>
      </c>
      <c r="C156" t="s">
        <v>32</v>
      </c>
      <c r="D156" t="s">
        <v>23</v>
      </c>
      <c r="E156" t="str">
        <f t="shared" si="26"/>
        <v>Chris Wilson is in HR Department</v>
      </c>
      <c r="F156" s="6" t="str">
        <f t="shared" si="27"/>
        <v>chriswilson@gmail.com</v>
      </c>
      <c r="G156">
        <v>36163</v>
      </c>
      <c r="H156" t="str">
        <f t="shared" si="28"/>
        <v>extremely low</v>
      </c>
      <c r="I156" s="3">
        <v>41565</v>
      </c>
      <c r="J156">
        <f t="shared" si="29"/>
        <v>2013</v>
      </c>
      <c r="K156">
        <f t="shared" si="30"/>
        <v>10</v>
      </c>
      <c r="L156">
        <f t="shared" si="31"/>
        <v>18</v>
      </c>
      <c r="M156" s="3">
        <f t="shared" ca="1" si="32"/>
        <v>46100</v>
      </c>
      <c r="N156">
        <f t="shared" ca="1" si="33"/>
        <v>4535</v>
      </c>
      <c r="O156">
        <f t="shared" ca="1" si="34"/>
        <v>4535</v>
      </c>
      <c r="P156">
        <f t="shared" ca="1" si="35"/>
        <v>3240</v>
      </c>
      <c r="Q156">
        <v>32</v>
      </c>
      <c r="R156" t="str">
        <f t="shared" si="36"/>
        <v>Old</v>
      </c>
      <c r="S156" t="s">
        <v>34</v>
      </c>
      <c r="T156">
        <v>9</v>
      </c>
      <c r="U156" t="s">
        <v>45</v>
      </c>
      <c r="V156">
        <v>6858.29</v>
      </c>
      <c r="W156" t="s">
        <v>26</v>
      </c>
      <c r="X156" t="s">
        <v>27</v>
      </c>
      <c r="Y156">
        <v>25</v>
      </c>
      <c r="Z156" t="str">
        <f t="shared" si="37"/>
        <v>Good Employee</v>
      </c>
      <c r="AA156" t="b">
        <f t="shared" si="38"/>
        <v>1</v>
      </c>
      <c r="AB156" t="b">
        <f>OR(Y156&gt;20, T156&gt;6)</f>
        <v>1</v>
      </c>
      <c r="AC156" t="str">
        <f>IF(OR(Y156&gt;20,T156&gt;6), "Good employee", "Bad Employee")</f>
        <v>Good employee</v>
      </c>
      <c r="AD156" t="s">
        <v>56</v>
      </c>
      <c r="AE156" t="s">
        <v>37</v>
      </c>
      <c r="AF156">
        <v>12</v>
      </c>
      <c r="AG156">
        <v>2022</v>
      </c>
      <c r="AH156" t="s">
        <v>49</v>
      </c>
      <c r="AI156">
        <v>176</v>
      </c>
      <c r="AJ156">
        <v>2.8</v>
      </c>
    </row>
    <row r="157" spans="1:36" x14ac:dyDescent="0.25">
      <c r="A157">
        <v>10156</v>
      </c>
      <c r="B157" t="s">
        <v>60</v>
      </c>
      <c r="C157" t="s">
        <v>63</v>
      </c>
      <c r="D157" t="s">
        <v>52</v>
      </c>
      <c r="E157" t="str">
        <f t="shared" si="26"/>
        <v>Jane Miller is in Operations Department</v>
      </c>
      <c r="F157" s="6" t="str">
        <f t="shared" si="27"/>
        <v>janemiller@gmail.com</v>
      </c>
      <c r="G157">
        <v>93087</v>
      </c>
      <c r="H157" t="str">
        <f t="shared" si="28"/>
        <v>High</v>
      </c>
      <c r="I157" s="3">
        <v>43517</v>
      </c>
      <c r="J157">
        <f t="shared" si="29"/>
        <v>2019</v>
      </c>
      <c r="K157">
        <f t="shared" si="30"/>
        <v>2</v>
      </c>
      <c r="L157">
        <f t="shared" si="31"/>
        <v>21</v>
      </c>
      <c r="M157" s="3">
        <f t="shared" ca="1" si="32"/>
        <v>46100</v>
      </c>
      <c r="N157">
        <f t="shared" ca="1" si="33"/>
        <v>2583</v>
      </c>
      <c r="O157">
        <f t="shared" ca="1" si="34"/>
        <v>2583</v>
      </c>
      <c r="P157">
        <f t="shared" ca="1" si="35"/>
        <v>1846</v>
      </c>
      <c r="Q157">
        <v>47</v>
      </c>
      <c r="R157" t="str">
        <f t="shared" si="36"/>
        <v>Old</v>
      </c>
      <c r="S157" t="s">
        <v>24</v>
      </c>
      <c r="T157">
        <v>8</v>
      </c>
      <c r="U157" t="s">
        <v>25</v>
      </c>
      <c r="V157">
        <v>7884.34</v>
      </c>
      <c r="W157" t="s">
        <v>26</v>
      </c>
      <c r="X157" t="s">
        <v>40</v>
      </c>
      <c r="Y157">
        <v>34</v>
      </c>
      <c r="Z157" t="str">
        <f t="shared" si="37"/>
        <v>Good Employee</v>
      </c>
      <c r="AA157" t="b">
        <f t="shared" si="38"/>
        <v>1</v>
      </c>
      <c r="AB157" t="b">
        <f>OR(Y157&gt;20, T157&gt;6)</f>
        <v>1</v>
      </c>
      <c r="AC157" t="str">
        <f>IF(OR(Y157&gt;20,T157&gt;6), "Good employee", "Bad Employee")</f>
        <v>Good employee</v>
      </c>
      <c r="AD157" t="s">
        <v>56</v>
      </c>
      <c r="AE157" t="s">
        <v>29</v>
      </c>
      <c r="AF157">
        <v>19</v>
      </c>
      <c r="AG157">
        <v>2013</v>
      </c>
      <c r="AH157" t="s">
        <v>43</v>
      </c>
      <c r="AI157">
        <v>102</v>
      </c>
      <c r="AJ157">
        <v>1.3</v>
      </c>
    </row>
    <row r="158" spans="1:36" x14ac:dyDescent="0.25">
      <c r="A158">
        <v>10157</v>
      </c>
      <c r="B158" t="s">
        <v>21</v>
      </c>
      <c r="C158" t="s">
        <v>63</v>
      </c>
      <c r="D158" t="s">
        <v>44</v>
      </c>
      <c r="E158" t="str">
        <f t="shared" si="26"/>
        <v>Michael Miller is in Sales Department</v>
      </c>
      <c r="F158" s="6" t="str">
        <f t="shared" si="27"/>
        <v>michaelmiller@gmail.com</v>
      </c>
      <c r="G158">
        <v>92071</v>
      </c>
      <c r="H158" t="str">
        <f t="shared" si="28"/>
        <v>High</v>
      </c>
      <c r="I158" s="3">
        <v>43686</v>
      </c>
      <c r="J158">
        <f t="shared" si="29"/>
        <v>2019</v>
      </c>
      <c r="K158">
        <f t="shared" si="30"/>
        <v>8</v>
      </c>
      <c r="L158">
        <f t="shared" si="31"/>
        <v>9</v>
      </c>
      <c r="M158" s="3">
        <f t="shared" ca="1" si="32"/>
        <v>46100</v>
      </c>
      <c r="N158">
        <f t="shared" ca="1" si="33"/>
        <v>2414</v>
      </c>
      <c r="O158">
        <f t="shared" ca="1" si="34"/>
        <v>2414</v>
      </c>
      <c r="P158">
        <f t="shared" ca="1" si="35"/>
        <v>1725</v>
      </c>
      <c r="Q158">
        <v>35</v>
      </c>
      <c r="R158" t="str">
        <f t="shared" si="36"/>
        <v>Old</v>
      </c>
      <c r="S158" t="s">
        <v>34</v>
      </c>
      <c r="T158">
        <v>3</v>
      </c>
      <c r="U158" t="s">
        <v>45</v>
      </c>
      <c r="V158">
        <v>7246.5</v>
      </c>
      <c r="W158" t="s">
        <v>46</v>
      </c>
      <c r="X158" t="s">
        <v>27</v>
      </c>
      <c r="Y158">
        <v>35</v>
      </c>
      <c r="Z158" t="str">
        <f t="shared" si="37"/>
        <v>Bad Employee</v>
      </c>
      <c r="AA158" t="b">
        <f t="shared" si="38"/>
        <v>0</v>
      </c>
      <c r="AB158" t="b">
        <f>OR(Y158&gt;20, T158&gt;6)</f>
        <v>1</v>
      </c>
      <c r="AC158" t="str">
        <f>IF(OR(Y158&gt;20,T158&gt;6), "Good employee", "Bad Employee")</f>
        <v>Good employee</v>
      </c>
      <c r="AD158" t="s">
        <v>56</v>
      </c>
      <c r="AE158" t="s">
        <v>29</v>
      </c>
      <c r="AF158">
        <v>6</v>
      </c>
      <c r="AG158">
        <v>2020</v>
      </c>
      <c r="AH158" t="s">
        <v>43</v>
      </c>
      <c r="AI158">
        <v>5</v>
      </c>
      <c r="AJ158">
        <v>4.2</v>
      </c>
    </row>
    <row r="159" spans="1:36" x14ac:dyDescent="0.25">
      <c r="A159">
        <v>10158</v>
      </c>
      <c r="B159" t="s">
        <v>60</v>
      </c>
      <c r="C159" t="s">
        <v>32</v>
      </c>
      <c r="D159" t="s">
        <v>39</v>
      </c>
      <c r="E159" t="str">
        <f t="shared" si="26"/>
        <v>Jane Wilson is in IT Department</v>
      </c>
      <c r="F159" s="6" t="str">
        <f t="shared" si="27"/>
        <v>janewilson@gmail.com</v>
      </c>
      <c r="G159">
        <v>46065</v>
      </c>
      <c r="H159" t="str">
        <f t="shared" si="28"/>
        <v>low</v>
      </c>
      <c r="I159" s="3">
        <v>42636</v>
      </c>
      <c r="J159">
        <f t="shared" si="29"/>
        <v>2016</v>
      </c>
      <c r="K159">
        <f t="shared" si="30"/>
        <v>9</v>
      </c>
      <c r="L159">
        <f t="shared" si="31"/>
        <v>23</v>
      </c>
      <c r="M159" s="3">
        <f t="shared" ca="1" si="32"/>
        <v>46100</v>
      </c>
      <c r="N159">
        <f t="shared" ca="1" si="33"/>
        <v>3464</v>
      </c>
      <c r="O159">
        <f t="shared" ca="1" si="34"/>
        <v>3464</v>
      </c>
      <c r="P159">
        <f t="shared" ca="1" si="35"/>
        <v>2475</v>
      </c>
      <c r="Q159">
        <v>37</v>
      </c>
      <c r="R159" t="str">
        <f t="shared" si="36"/>
        <v>Old</v>
      </c>
      <c r="S159" t="s">
        <v>34</v>
      </c>
      <c r="T159">
        <v>8</v>
      </c>
      <c r="U159" t="s">
        <v>25</v>
      </c>
      <c r="V159">
        <v>2453.11</v>
      </c>
      <c r="W159" t="s">
        <v>35</v>
      </c>
      <c r="X159" t="s">
        <v>27</v>
      </c>
      <c r="Y159">
        <v>17</v>
      </c>
      <c r="Z159" t="str">
        <f t="shared" si="37"/>
        <v>Bad Employee</v>
      </c>
      <c r="AA159" t="b">
        <f t="shared" si="38"/>
        <v>0</v>
      </c>
      <c r="AB159" t="b">
        <f>OR(Y159&gt;20, T159&gt;6)</f>
        <v>1</v>
      </c>
      <c r="AC159" t="str">
        <f>IF(OR(Y159&gt;20,T159&gt;6), "Good employee", "Bad Employee")</f>
        <v>Good employee</v>
      </c>
      <c r="AD159" t="s">
        <v>28</v>
      </c>
      <c r="AE159" t="s">
        <v>29</v>
      </c>
      <c r="AF159">
        <v>6</v>
      </c>
      <c r="AG159">
        <v>2012</v>
      </c>
      <c r="AH159" t="s">
        <v>30</v>
      </c>
      <c r="AI159">
        <v>72</v>
      </c>
      <c r="AJ159">
        <v>3.3</v>
      </c>
    </row>
    <row r="160" spans="1:36" x14ac:dyDescent="0.25">
      <c r="A160">
        <v>10159</v>
      </c>
      <c r="B160" t="s">
        <v>66</v>
      </c>
      <c r="C160" t="s">
        <v>51</v>
      </c>
      <c r="D160" t="s">
        <v>33</v>
      </c>
      <c r="E160" t="str">
        <f t="shared" si="26"/>
        <v>John Brown is in Marketing Department</v>
      </c>
      <c r="F160" s="6" t="str">
        <f t="shared" si="27"/>
        <v>johnbrown@gmail.com</v>
      </c>
      <c r="G160">
        <v>113456</v>
      </c>
      <c r="H160" t="str">
        <f t="shared" si="28"/>
        <v>High</v>
      </c>
      <c r="I160" s="3">
        <v>40071</v>
      </c>
      <c r="J160">
        <f t="shared" si="29"/>
        <v>2009</v>
      </c>
      <c r="K160">
        <f t="shared" si="30"/>
        <v>9</v>
      </c>
      <c r="L160">
        <f t="shared" si="31"/>
        <v>15</v>
      </c>
      <c r="M160" s="3">
        <f t="shared" ca="1" si="32"/>
        <v>46100</v>
      </c>
      <c r="N160">
        <f t="shared" ca="1" si="33"/>
        <v>6029</v>
      </c>
      <c r="O160">
        <f t="shared" ca="1" si="34"/>
        <v>6029</v>
      </c>
      <c r="P160">
        <f t="shared" ca="1" si="35"/>
        <v>4308</v>
      </c>
      <c r="Q160">
        <v>31</v>
      </c>
      <c r="R160" t="str">
        <f t="shared" si="36"/>
        <v>Old</v>
      </c>
      <c r="S160" t="s">
        <v>34</v>
      </c>
      <c r="T160">
        <v>2</v>
      </c>
      <c r="U160" t="s">
        <v>45</v>
      </c>
      <c r="V160">
        <v>1601.05</v>
      </c>
      <c r="W160" t="s">
        <v>35</v>
      </c>
      <c r="X160" t="s">
        <v>40</v>
      </c>
      <c r="Y160">
        <v>26</v>
      </c>
      <c r="Z160" t="str">
        <f t="shared" si="37"/>
        <v>Bad Employee</v>
      </c>
      <c r="AA160" t="b">
        <f t="shared" si="38"/>
        <v>0</v>
      </c>
      <c r="AB160" t="b">
        <f>OR(Y160&gt;20, T160&gt;6)</f>
        <v>1</v>
      </c>
      <c r="AC160" t="str">
        <f>IF(OR(Y160&gt;20,T160&gt;6), "Good employee", "Bad Employee")</f>
        <v>Good employee</v>
      </c>
      <c r="AD160" t="s">
        <v>41</v>
      </c>
      <c r="AE160" t="s">
        <v>29</v>
      </c>
      <c r="AF160">
        <v>16</v>
      </c>
      <c r="AG160">
        <v>2019</v>
      </c>
      <c r="AH160" t="s">
        <v>30</v>
      </c>
      <c r="AI160">
        <v>108</v>
      </c>
      <c r="AJ160">
        <v>3</v>
      </c>
    </row>
    <row r="161" spans="1:36" x14ac:dyDescent="0.25">
      <c r="A161">
        <v>10160</v>
      </c>
      <c r="B161" t="s">
        <v>31</v>
      </c>
      <c r="C161" t="s">
        <v>57</v>
      </c>
      <c r="D161" t="s">
        <v>23</v>
      </c>
      <c r="E161" t="str">
        <f t="shared" si="26"/>
        <v>Emily Davis is in HR Department</v>
      </c>
      <c r="F161" s="6" t="str">
        <f t="shared" si="27"/>
        <v>emilydavis@gmail.com</v>
      </c>
      <c r="G161">
        <v>78348</v>
      </c>
      <c r="H161" t="str">
        <f t="shared" si="28"/>
        <v>Medium</v>
      </c>
      <c r="I161" s="3">
        <v>37739</v>
      </c>
      <c r="J161">
        <f t="shared" si="29"/>
        <v>2003</v>
      </c>
      <c r="K161">
        <f t="shared" si="30"/>
        <v>4</v>
      </c>
      <c r="L161">
        <f t="shared" si="31"/>
        <v>28</v>
      </c>
      <c r="M161" s="3">
        <f t="shared" ca="1" si="32"/>
        <v>46100</v>
      </c>
      <c r="N161">
        <f t="shared" ca="1" si="33"/>
        <v>8361</v>
      </c>
      <c r="O161">
        <f t="shared" ca="1" si="34"/>
        <v>8361</v>
      </c>
      <c r="P161">
        <f t="shared" ca="1" si="35"/>
        <v>5974</v>
      </c>
      <c r="Q161">
        <v>52</v>
      </c>
      <c r="R161" t="str">
        <f t="shared" si="36"/>
        <v>Old</v>
      </c>
      <c r="S161" t="s">
        <v>34</v>
      </c>
      <c r="T161">
        <v>3</v>
      </c>
      <c r="U161" t="s">
        <v>25</v>
      </c>
      <c r="V161">
        <v>5653.28</v>
      </c>
      <c r="W161" t="s">
        <v>26</v>
      </c>
      <c r="X161" t="s">
        <v>55</v>
      </c>
      <c r="Y161">
        <v>21</v>
      </c>
      <c r="Z161" t="str">
        <f t="shared" si="37"/>
        <v>Bad Employee</v>
      </c>
      <c r="AA161" t="b">
        <f t="shared" si="38"/>
        <v>0</v>
      </c>
      <c r="AB161" t="b">
        <f>OR(Y161&gt;20, T161&gt;6)</f>
        <v>1</v>
      </c>
      <c r="AC161" t="str">
        <f>IF(OR(Y161&gt;20,T161&gt;6), "Good employee", "Bad Employee")</f>
        <v>Good employee</v>
      </c>
      <c r="AD161" t="s">
        <v>56</v>
      </c>
      <c r="AE161" t="s">
        <v>59</v>
      </c>
      <c r="AF161">
        <v>9</v>
      </c>
      <c r="AG161">
        <v>2022</v>
      </c>
      <c r="AH161" t="s">
        <v>43</v>
      </c>
      <c r="AI161">
        <v>82</v>
      </c>
      <c r="AJ161">
        <v>3.7</v>
      </c>
    </row>
    <row r="162" spans="1:36" x14ac:dyDescent="0.25">
      <c r="A162">
        <v>10161</v>
      </c>
      <c r="B162" t="s">
        <v>21</v>
      </c>
      <c r="C162" t="s">
        <v>22</v>
      </c>
      <c r="D162" t="s">
        <v>52</v>
      </c>
      <c r="E162" t="str">
        <f t="shared" si="26"/>
        <v>Michael Williams is in Operations Department</v>
      </c>
      <c r="F162" s="6" t="str">
        <f t="shared" si="27"/>
        <v>michaelwilliams@gmail.com</v>
      </c>
      <c r="G162">
        <v>49154</v>
      </c>
      <c r="H162" t="str">
        <f t="shared" si="28"/>
        <v>low</v>
      </c>
      <c r="I162" s="3">
        <v>39457</v>
      </c>
      <c r="J162">
        <f t="shared" si="29"/>
        <v>2008</v>
      </c>
      <c r="K162">
        <f t="shared" si="30"/>
        <v>1</v>
      </c>
      <c r="L162">
        <f t="shared" si="31"/>
        <v>10</v>
      </c>
      <c r="M162" s="3">
        <f t="shared" ca="1" si="32"/>
        <v>46100</v>
      </c>
      <c r="N162">
        <f t="shared" ca="1" si="33"/>
        <v>6643</v>
      </c>
      <c r="O162">
        <f t="shared" ca="1" si="34"/>
        <v>6643</v>
      </c>
      <c r="P162">
        <f t="shared" ca="1" si="35"/>
        <v>4746</v>
      </c>
      <c r="Q162">
        <v>52</v>
      </c>
      <c r="R162" t="str">
        <f t="shared" si="36"/>
        <v>Old</v>
      </c>
      <c r="S162" t="s">
        <v>24</v>
      </c>
      <c r="T162">
        <v>5</v>
      </c>
      <c r="U162" t="s">
        <v>45</v>
      </c>
      <c r="V162">
        <v>2389.66</v>
      </c>
      <c r="W162" t="s">
        <v>58</v>
      </c>
      <c r="X162" t="s">
        <v>27</v>
      </c>
      <c r="Y162">
        <v>12</v>
      </c>
      <c r="Z162" t="str">
        <f t="shared" si="37"/>
        <v>Bad Employee</v>
      </c>
      <c r="AA162" t="b">
        <f t="shared" si="38"/>
        <v>0</v>
      </c>
      <c r="AB162" t="b">
        <f>OR(Y162&gt;20, T162&gt;6)</f>
        <v>0</v>
      </c>
      <c r="AC162" t="str">
        <f>IF(OR(Y162&gt;20,T162&gt;6), "Good employee", "Bad Employee")</f>
        <v>Bad Employee</v>
      </c>
      <c r="AD162" t="s">
        <v>56</v>
      </c>
      <c r="AE162" t="s">
        <v>48</v>
      </c>
      <c r="AF162">
        <v>11</v>
      </c>
      <c r="AG162">
        <v>2017</v>
      </c>
      <c r="AH162" t="s">
        <v>43</v>
      </c>
      <c r="AI162">
        <v>178</v>
      </c>
      <c r="AJ162">
        <v>3</v>
      </c>
    </row>
    <row r="163" spans="1:36" x14ac:dyDescent="0.25">
      <c r="A163">
        <v>10162</v>
      </c>
      <c r="B163" t="s">
        <v>66</v>
      </c>
      <c r="C163" t="s">
        <v>32</v>
      </c>
      <c r="D163" t="s">
        <v>33</v>
      </c>
      <c r="E163" t="str">
        <f t="shared" si="26"/>
        <v>John Wilson is in Marketing Department</v>
      </c>
      <c r="F163" s="6" t="str">
        <f t="shared" si="27"/>
        <v>johnwilson@gmail.com</v>
      </c>
      <c r="G163">
        <v>50229</v>
      </c>
      <c r="H163" t="str">
        <f t="shared" si="28"/>
        <v>Medium</v>
      </c>
      <c r="I163" s="3">
        <v>36944</v>
      </c>
      <c r="J163">
        <f t="shared" si="29"/>
        <v>2001</v>
      </c>
      <c r="K163">
        <f t="shared" si="30"/>
        <v>2</v>
      </c>
      <c r="L163">
        <f t="shared" si="31"/>
        <v>22</v>
      </c>
      <c r="M163" s="3">
        <f t="shared" ca="1" si="32"/>
        <v>46100</v>
      </c>
      <c r="N163">
        <f t="shared" ca="1" si="33"/>
        <v>9156</v>
      </c>
      <c r="O163">
        <f t="shared" ca="1" si="34"/>
        <v>9156</v>
      </c>
      <c r="P163">
        <f t="shared" ca="1" si="35"/>
        <v>6541</v>
      </c>
      <c r="Q163">
        <v>57</v>
      </c>
      <c r="R163" t="str">
        <f t="shared" si="36"/>
        <v>Old</v>
      </c>
      <c r="S163" t="s">
        <v>34</v>
      </c>
      <c r="T163">
        <v>8</v>
      </c>
      <c r="U163" t="s">
        <v>25</v>
      </c>
      <c r="V163">
        <v>1306.8699999999999</v>
      </c>
      <c r="W163" t="s">
        <v>35</v>
      </c>
      <c r="X163" t="s">
        <v>40</v>
      </c>
      <c r="Y163">
        <v>16</v>
      </c>
      <c r="Z163" t="str">
        <f t="shared" si="37"/>
        <v>Bad Employee</v>
      </c>
      <c r="AA163" t="b">
        <f t="shared" si="38"/>
        <v>0</v>
      </c>
      <c r="AB163" t="b">
        <f>OR(Y163&gt;20, T163&gt;6)</f>
        <v>1</v>
      </c>
      <c r="AC163" t="str">
        <f>IF(OR(Y163&gt;20,T163&gt;6), "Good employee", "Bad Employee")</f>
        <v>Good employee</v>
      </c>
      <c r="AD163" t="s">
        <v>56</v>
      </c>
      <c r="AE163" t="s">
        <v>29</v>
      </c>
      <c r="AF163">
        <v>15</v>
      </c>
      <c r="AG163">
        <v>2016</v>
      </c>
      <c r="AH163" t="s">
        <v>30</v>
      </c>
      <c r="AI163">
        <v>55</v>
      </c>
      <c r="AJ163">
        <v>3.6</v>
      </c>
    </row>
    <row r="164" spans="1:36" x14ac:dyDescent="0.25">
      <c r="A164">
        <v>10163</v>
      </c>
      <c r="B164" t="s">
        <v>53</v>
      </c>
      <c r="C164" t="s">
        <v>65</v>
      </c>
      <c r="D164" t="s">
        <v>44</v>
      </c>
      <c r="E164" t="str">
        <f t="shared" si="26"/>
        <v>Sarah Johnson is in Sales Department</v>
      </c>
      <c r="F164" s="6" t="str">
        <f t="shared" si="27"/>
        <v>sarahjohnson@gmail.com</v>
      </c>
      <c r="G164">
        <v>82587</v>
      </c>
      <c r="H164" t="str">
        <f t="shared" si="28"/>
        <v>High</v>
      </c>
      <c r="I164" s="3">
        <v>40307</v>
      </c>
      <c r="J164">
        <f t="shared" si="29"/>
        <v>2010</v>
      </c>
      <c r="K164">
        <f t="shared" si="30"/>
        <v>5</v>
      </c>
      <c r="L164">
        <f t="shared" si="31"/>
        <v>9</v>
      </c>
      <c r="M164" s="3">
        <f t="shared" ca="1" si="32"/>
        <v>46100</v>
      </c>
      <c r="N164">
        <f t="shared" ca="1" si="33"/>
        <v>5793</v>
      </c>
      <c r="O164">
        <f t="shared" ca="1" si="34"/>
        <v>5793</v>
      </c>
      <c r="P164">
        <f t="shared" ca="1" si="35"/>
        <v>4139</v>
      </c>
      <c r="Q164">
        <v>31</v>
      </c>
      <c r="R164" t="str">
        <f t="shared" si="36"/>
        <v>Old</v>
      </c>
      <c r="S164" t="s">
        <v>24</v>
      </c>
      <c r="T164">
        <v>1</v>
      </c>
      <c r="U164" t="s">
        <v>25</v>
      </c>
      <c r="V164">
        <v>5507.4</v>
      </c>
      <c r="W164" t="s">
        <v>35</v>
      </c>
      <c r="X164" t="s">
        <v>47</v>
      </c>
      <c r="Y164">
        <v>20</v>
      </c>
      <c r="Z164" t="str">
        <f t="shared" si="37"/>
        <v>Bad Employee</v>
      </c>
      <c r="AA164" t="b">
        <f t="shared" si="38"/>
        <v>0</v>
      </c>
      <c r="AB164" t="b">
        <f>OR(Y164&gt;20, T164&gt;6)</f>
        <v>0</v>
      </c>
      <c r="AC164" t="str">
        <f>IF(OR(Y164&gt;20,T164&gt;6), "Good employee", "Bad Employee")</f>
        <v>Bad Employee</v>
      </c>
      <c r="AD164" t="s">
        <v>41</v>
      </c>
      <c r="AE164" t="s">
        <v>59</v>
      </c>
      <c r="AF164">
        <v>1</v>
      </c>
      <c r="AG164">
        <v>2012</v>
      </c>
      <c r="AH164" t="s">
        <v>43</v>
      </c>
      <c r="AI164">
        <v>36</v>
      </c>
      <c r="AJ164">
        <v>4.5</v>
      </c>
    </row>
    <row r="165" spans="1:36" x14ac:dyDescent="0.25">
      <c r="A165">
        <v>10164</v>
      </c>
      <c r="B165" t="s">
        <v>31</v>
      </c>
      <c r="C165" t="s">
        <v>51</v>
      </c>
      <c r="D165" t="s">
        <v>44</v>
      </c>
      <c r="E165" t="str">
        <f t="shared" si="26"/>
        <v>Emily Brown is in Sales Department</v>
      </c>
      <c r="F165" s="6" t="str">
        <f t="shared" si="27"/>
        <v>emilybrown@gmail.com</v>
      </c>
      <c r="G165">
        <v>79713</v>
      </c>
      <c r="H165" t="str">
        <f t="shared" si="28"/>
        <v>Medium</v>
      </c>
      <c r="I165" s="3">
        <v>41486</v>
      </c>
      <c r="J165">
        <f t="shared" si="29"/>
        <v>2013</v>
      </c>
      <c r="K165">
        <f t="shared" si="30"/>
        <v>7</v>
      </c>
      <c r="L165">
        <f t="shared" si="31"/>
        <v>31</v>
      </c>
      <c r="M165" s="3">
        <f t="shared" ca="1" si="32"/>
        <v>46100</v>
      </c>
      <c r="N165">
        <f t="shared" ca="1" si="33"/>
        <v>4614</v>
      </c>
      <c r="O165">
        <f t="shared" ca="1" si="34"/>
        <v>4614</v>
      </c>
      <c r="P165">
        <f t="shared" ca="1" si="35"/>
        <v>3297</v>
      </c>
      <c r="Q165">
        <v>47</v>
      </c>
      <c r="R165" t="str">
        <f t="shared" si="36"/>
        <v>Old</v>
      </c>
      <c r="S165" t="s">
        <v>24</v>
      </c>
      <c r="T165">
        <v>4</v>
      </c>
      <c r="U165" t="s">
        <v>25</v>
      </c>
      <c r="V165">
        <v>3604.54</v>
      </c>
      <c r="W165" t="s">
        <v>35</v>
      </c>
      <c r="X165" t="s">
        <v>47</v>
      </c>
      <c r="Y165">
        <v>10</v>
      </c>
      <c r="Z165" t="str">
        <f t="shared" si="37"/>
        <v>Bad Employee</v>
      </c>
      <c r="AA165" t="b">
        <f t="shared" si="38"/>
        <v>0</v>
      </c>
      <c r="AB165" t="b">
        <f>OR(Y165&gt;20, T165&gt;6)</f>
        <v>0</v>
      </c>
      <c r="AC165" t="str">
        <f>IF(OR(Y165&gt;20,T165&gt;6), "Good employee", "Bad Employee")</f>
        <v>Bad Employee</v>
      </c>
      <c r="AD165" t="s">
        <v>56</v>
      </c>
      <c r="AE165" t="s">
        <v>59</v>
      </c>
      <c r="AF165">
        <v>8</v>
      </c>
      <c r="AG165">
        <v>2013</v>
      </c>
      <c r="AH165" t="s">
        <v>49</v>
      </c>
      <c r="AI165">
        <v>104</v>
      </c>
      <c r="AJ165">
        <v>3.5</v>
      </c>
    </row>
    <row r="166" spans="1:36" x14ac:dyDescent="0.25">
      <c r="A166">
        <v>10165</v>
      </c>
      <c r="B166" t="s">
        <v>60</v>
      </c>
      <c r="C166" t="s">
        <v>32</v>
      </c>
      <c r="D166" t="s">
        <v>52</v>
      </c>
      <c r="E166" t="str">
        <f t="shared" si="26"/>
        <v>Jane Wilson is in Operations Department</v>
      </c>
      <c r="F166" s="6" t="str">
        <f t="shared" si="27"/>
        <v>janewilson@gmail.com</v>
      </c>
      <c r="G166">
        <v>56997</v>
      </c>
      <c r="H166" t="str">
        <f t="shared" si="28"/>
        <v>Medium</v>
      </c>
      <c r="I166" s="3">
        <v>37314</v>
      </c>
      <c r="J166">
        <f t="shared" si="29"/>
        <v>2002</v>
      </c>
      <c r="K166">
        <f t="shared" si="30"/>
        <v>2</v>
      </c>
      <c r="L166">
        <f t="shared" si="31"/>
        <v>27</v>
      </c>
      <c r="M166" s="3">
        <f t="shared" ca="1" si="32"/>
        <v>46100</v>
      </c>
      <c r="N166">
        <f t="shared" ca="1" si="33"/>
        <v>8786</v>
      </c>
      <c r="O166">
        <f t="shared" ca="1" si="34"/>
        <v>8786</v>
      </c>
      <c r="P166">
        <f t="shared" ca="1" si="35"/>
        <v>6277</v>
      </c>
      <c r="Q166">
        <v>41</v>
      </c>
      <c r="R166" t="str">
        <f t="shared" si="36"/>
        <v>Old</v>
      </c>
      <c r="S166" t="s">
        <v>34</v>
      </c>
      <c r="T166">
        <v>1</v>
      </c>
      <c r="U166" t="s">
        <v>25</v>
      </c>
      <c r="V166">
        <v>7683.42</v>
      </c>
      <c r="W166" t="s">
        <v>46</v>
      </c>
      <c r="X166" t="s">
        <v>40</v>
      </c>
      <c r="Y166">
        <v>23</v>
      </c>
      <c r="Z166" t="str">
        <f t="shared" si="37"/>
        <v>Bad Employee</v>
      </c>
      <c r="AA166" t="b">
        <f t="shared" si="38"/>
        <v>0</v>
      </c>
      <c r="AB166" t="b">
        <f>OR(Y166&gt;20, T166&gt;6)</f>
        <v>1</v>
      </c>
      <c r="AC166" t="str">
        <f>IF(OR(Y166&gt;20,T166&gt;6), "Good employee", "Bad Employee")</f>
        <v>Good employee</v>
      </c>
      <c r="AD166" t="s">
        <v>41</v>
      </c>
      <c r="AE166" t="s">
        <v>48</v>
      </c>
      <c r="AF166">
        <v>11</v>
      </c>
      <c r="AG166">
        <v>2022</v>
      </c>
      <c r="AH166" t="s">
        <v>43</v>
      </c>
      <c r="AI166">
        <v>151</v>
      </c>
      <c r="AJ166">
        <v>3.6</v>
      </c>
    </row>
    <row r="167" spans="1:36" x14ac:dyDescent="0.25">
      <c r="A167">
        <v>10166</v>
      </c>
      <c r="B167" t="s">
        <v>66</v>
      </c>
      <c r="C167" t="s">
        <v>32</v>
      </c>
      <c r="D167" t="s">
        <v>39</v>
      </c>
      <c r="E167" t="str">
        <f t="shared" si="26"/>
        <v>John Wilson is in IT Department</v>
      </c>
      <c r="F167" s="6" t="str">
        <f t="shared" si="27"/>
        <v>johnwilson@gmail.com</v>
      </c>
      <c r="G167">
        <v>51101</v>
      </c>
      <c r="H167" t="str">
        <f t="shared" si="28"/>
        <v>Medium</v>
      </c>
      <c r="I167" s="3">
        <v>38397</v>
      </c>
      <c r="J167">
        <f t="shared" si="29"/>
        <v>2005</v>
      </c>
      <c r="K167">
        <f t="shared" si="30"/>
        <v>2</v>
      </c>
      <c r="L167">
        <f t="shared" si="31"/>
        <v>14</v>
      </c>
      <c r="M167" s="3">
        <f t="shared" ca="1" si="32"/>
        <v>46100</v>
      </c>
      <c r="N167">
        <f t="shared" ca="1" si="33"/>
        <v>7703</v>
      </c>
      <c r="O167">
        <f t="shared" ca="1" si="34"/>
        <v>7703</v>
      </c>
      <c r="P167">
        <f t="shared" ca="1" si="35"/>
        <v>5504</v>
      </c>
      <c r="Q167">
        <v>30</v>
      </c>
      <c r="R167" t="str">
        <f t="shared" si="36"/>
        <v>Young</v>
      </c>
      <c r="S167" t="s">
        <v>34</v>
      </c>
      <c r="T167">
        <v>1</v>
      </c>
      <c r="U167" t="s">
        <v>25</v>
      </c>
      <c r="V167">
        <v>3484.82</v>
      </c>
      <c r="W167" t="s">
        <v>35</v>
      </c>
      <c r="X167" t="s">
        <v>47</v>
      </c>
      <c r="Y167">
        <v>30</v>
      </c>
      <c r="Z167" t="str">
        <f t="shared" si="37"/>
        <v>Bad Employee</v>
      </c>
      <c r="AA167" t="b">
        <f t="shared" si="38"/>
        <v>0</v>
      </c>
      <c r="AB167" t="b">
        <f>OR(Y167&gt;20, T167&gt;6)</f>
        <v>1</v>
      </c>
      <c r="AC167" t="str">
        <f>IF(OR(Y167&gt;20,T167&gt;6), "Good employee", "Bad Employee")</f>
        <v>Good employee</v>
      </c>
      <c r="AD167" t="s">
        <v>56</v>
      </c>
      <c r="AE167" t="s">
        <v>42</v>
      </c>
      <c r="AF167">
        <v>16</v>
      </c>
      <c r="AG167">
        <v>2023</v>
      </c>
      <c r="AH167" t="s">
        <v>49</v>
      </c>
      <c r="AI167">
        <v>43</v>
      </c>
      <c r="AJ167">
        <v>3.5</v>
      </c>
    </row>
    <row r="168" spans="1:36" x14ac:dyDescent="0.25">
      <c r="A168">
        <v>10167</v>
      </c>
      <c r="B168" t="s">
        <v>53</v>
      </c>
      <c r="C168" t="s">
        <v>63</v>
      </c>
      <c r="D168" t="s">
        <v>44</v>
      </c>
      <c r="E168" t="str">
        <f t="shared" si="26"/>
        <v>Sarah Miller is in Sales Department</v>
      </c>
      <c r="F168" s="6" t="str">
        <f t="shared" si="27"/>
        <v>sarahmiller@gmail.com</v>
      </c>
      <c r="G168">
        <v>70391</v>
      </c>
      <c r="H168" t="str">
        <f t="shared" si="28"/>
        <v>Medium</v>
      </c>
      <c r="I168" s="3">
        <v>41116</v>
      </c>
      <c r="J168">
        <f t="shared" si="29"/>
        <v>2012</v>
      </c>
      <c r="K168">
        <f t="shared" si="30"/>
        <v>7</v>
      </c>
      <c r="L168">
        <f t="shared" si="31"/>
        <v>26</v>
      </c>
      <c r="M168" s="3">
        <f t="shared" ca="1" si="32"/>
        <v>46100</v>
      </c>
      <c r="N168">
        <f t="shared" ca="1" si="33"/>
        <v>4984</v>
      </c>
      <c r="O168">
        <f t="shared" ca="1" si="34"/>
        <v>4984</v>
      </c>
      <c r="P168">
        <f t="shared" ca="1" si="35"/>
        <v>3561</v>
      </c>
      <c r="Q168">
        <v>36</v>
      </c>
      <c r="R168" t="str">
        <f t="shared" si="36"/>
        <v>Old</v>
      </c>
      <c r="S168" t="s">
        <v>24</v>
      </c>
      <c r="T168">
        <v>5</v>
      </c>
      <c r="U168" t="s">
        <v>25</v>
      </c>
      <c r="V168">
        <v>9797.81</v>
      </c>
      <c r="W168" t="s">
        <v>26</v>
      </c>
      <c r="X168" t="s">
        <v>27</v>
      </c>
      <c r="Y168">
        <v>8</v>
      </c>
      <c r="Z168" t="str">
        <f t="shared" si="37"/>
        <v>Bad Employee</v>
      </c>
      <c r="AA168" t="b">
        <f t="shared" si="38"/>
        <v>0</v>
      </c>
      <c r="AB168" t="b">
        <f>OR(Y168&gt;20, T168&gt;6)</f>
        <v>0</v>
      </c>
      <c r="AC168" t="str">
        <f>IF(OR(Y168&gt;20,T168&gt;6), "Good employee", "Bad Employee")</f>
        <v>Bad Employee</v>
      </c>
      <c r="AD168" t="s">
        <v>56</v>
      </c>
      <c r="AE168" t="s">
        <v>62</v>
      </c>
      <c r="AF168">
        <v>15</v>
      </c>
      <c r="AG168">
        <v>2013</v>
      </c>
      <c r="AH168" t="s">
        <v>43</v>
      </c>
      <c r="AI168">
        <v>146</v>
      </c>
      <c r="AJ168">
        <v>3.1</v>
      </c>
    </row>
    <row r="169" spans="1:36" x14ac:dyDescent="0.25">
      <c r="A169">
        <v>10168</v>
      </c>
      <c r="B169" t="s">
        <v>21</v>
      </c>
      <c r="C169" t="s">
        <v>65</v>
      </c>
      <c r="D169" t="s">
        <v>23</v>
      </c>
      <c r="E169" t="str">
        <f t="shared" si="26"/>
        <v>Michael Johnson is in HR Department</v>
      </c>
      <c r="F169" s="6" t="str">
        <f t="shared" si="27"/>
        <v>michaeljohnson@gmail.com</v>
      </c>
      <c r="G169">
        <v>105863</v>
      </c>
      <c r="H169" t="str">
        <f t="shared" si="28"/>
        <v>High</v>
      </c>
      <c r="I169" s="3">
        <v>41684</v>
      </c>
      <c r="J169">
        <f t="shared" si="29"/>
        <v>2014</v>
      </c>
      <c r="K169">
        <f t="shared" si="30"/>
        <v>2</v>
      </c>
      <c r="L169">
        <f t="shared" si="31"/>
        <v>14</v>
      </c>
      <c r="M169" s="3">
        <f t="shared" ca="1" si="32"/>
        <v>46100</v>
      </c>
      <c r="N169">
        <f t="shared" ca="1" si="33"/>
        <v>4416</v>
      </c>
      <c r="O169">
        <f t="shared" ca="1" si="34"/>
        <v>4416</v>
      </c>
      <c r="P169">
        <f t="shared" ca="1" si="35"/>
        <v>3155</v>
      </c>
      <c r="Q169">
        <v>30</v>
      </c>
      <c r="R169" t="str">
        <f t="shared" si="36"/>
        <v>Young</v>
      </c>
      <c r="S169" t="s">
        <v>24</v>
      </c>
      <c r="T169">
        <v>6</v>
      </c>
      <c r="U169" t="s">
        <v>45</v>
      </c>
      <c r="V169">
        <v>7705.97</v>
      </c>
      <c r="W169" t="s">
        <v>35</v>
      </c>
      <c r="X169" t="s">
        <v>40</v>
      </c>
      <c r="Y169">
        <v>5</v>
      </c>
      <c r="Z169" t="str">
        <f t="shared" si="37"/>
        <v>Bad Employee</v>
      </c>
      <c r="AA169" t="b">
        <f t="shared" si="38"/>
        <v>0</v>
      </c>
      <c r="AB169" t="b">
        <f>OR(Y169&gt;20, T169&gt;6)</f>
        <v>0</v>
      </c>
      <c r="AC169" t="str">
        <f>IF(OR(Y169&gt;20,T169&gt;6), "Good employee", "Bad Employee")</f>
        <v>Bad Employee</v>
      </c>
      <c r="AD169" t="s">
        <v>41</v>
      </c>
      <c r="AE169" t="s">
        <v>48</v>
      </c>
      <c r="AF169">
        <v>4</v>
      </c>
      <c r="AG169">
        <v>2021</v>
      </c>
      <c r="AH169" t="s">
        <v>43</v>
      </c>
      <c r="AI169">
        <v>161</v>
      </c>
      <c r="AJ169">
        <v>1.7</v>
      </c>
    </row>
    <row r="170" spans="1:36" x14ac:dyDescent="0.25">
      <c r="A170">
        <v>10169</v>
      </c>
      <c r="B170" t="s">
        <v>21</v>
      </c>
      <c r="C170" t="s">
        <v>65</v>
      </c>
      <c r="D170" t="s">
        <v>33</v>
      </c>
      <c r="E170" t="str">
        <f t="shared" si="26"/>
        <v>Michael Johnson is in Marketing Department</v>
      </c>
      <c r="F170" s="6" t="str">
        <f t="shared" si="27"/>
        <v>michaeljohnson@gmail.com</v>
      </c>
      <c r="G170">
        <v>102723</v>
      </c>
      <c r="H170" t="str">
        <f t="shared" si="28"/>
        <v>High</v>
      </c>
      <c r="I170" s="3">
        <v>42831</v>
      </c>
      <c r="J170">
        <f t="shared" si="29"/>
        <v>2017</v>
      </c>
      <c r="K170">
        <f t="shared" si="30"/>
        <v>4</v>
      </c>
      <c r="L170">
        <f t="shared" si="31"/>
        <v>6</v>
      </c>
      <c r="M170" s="3">
        <f t="shared" ca="1" si="32"/>
        <v>46100</v>
      </c>
      <c r="N170">
        <f t="shared" ca="1" si="33"/>
        <v>3269</v>
      </c>
      <c r="O170">
        <f t="shared" ca="1" si="34"/>
        <v>3269</v>
      </c>
      <c r="P170">
        <f t="shared" ca="1" si="35"/>
        <v>2336</v>
      </c>
      <c r="Q170">
        <v>28</v>
      </c>
      <c r="R170" t="str">
        <f t="shared" si="36"/>
        <v>Young</v>
      </c>
      <c r="S170" t="s">
        <v>24</v>
      </c>
      <c r="T170">
        <v>1</v>
      </c>
      <c r="U170" t="s">
        <v>45</v>
      </c>
      <c r="V170">
        <v>1048.0899999999999</v>
      </c>
      <c r="W170" t="s">
        <v>26</v>
      </c>
      <c r="X170" t="s">
        <v>27</v>
      </c>
      <c r="Y170">
        <v>12</v>
      </c>
      <c r="Z170" t="str">
        <f t="shared" si="37"/>
        <v>Bad Employee</v>
      </c>
      <c r="AA170" t="b">
        <f t="shared" si="38"/>
        <v>0</v>
      </c>
      <c r="AB170" t="b">
        <f>OR(Y170&gt;20, T170&gt;6)</f>
        <v>0</v>
      </c>
      <c r="AC170" t="str">
        <f>IF(OR(Y170&gt;20,T170&gt;6), "Good employee", "Bad Employee")</f>
        <v>Bad Employee</v>
      </c>
      <c r="AD170" t="s">
        <v>56</v>
      </c>
      <c r="AE170" t="s">
        <v>42</v>
      </c>
      <c r="AF170">
        <v>18</v>
      </c>
      <c r="AG170">
        <v>2019</v>
      </c>
      <c r="AH170" t="s">
        <v>43</v>
      </c>
      <c r="AI170">
        <v>46</v>
      </c>
      <c r="AJ170">
        <v>2.2999999999999998</v>
      </c>
    </row>
    <row r="171" spans="1:36" x14ac:dyDescent="0.25">
      <c r="A171">
        <v>10170</v>
      </c>
      <c r="B171" t="s">
        <v>64</v>
      </c>
      <c r="C171" t="s">
        <v>65</v>
      </c>
      <c r="D171" t="s">
        <v>23</v>
      </c>
      <c r="E171" t="str">
        <f t="shared" si="26"/>
        <v>Katie Johnson is in HR Department</v>
      </c>
      <c r="F171" s="6" t="str">
        <f t="shared" si="27"/>
        <v>katiejohnson@gmail.com</v>
      </c>
      <c r="G171">
        <v>89405</v>
      </c>
      <c r="H171" t="str">
        <f t="shared" si="28"/>
        <v>High</v>
      </c>
      <c r="I171" s="3">
        <v>38551</v>
      </c>
      <c r="J171">
        <f t="shared" si="29"/>
        <v>2005</v>
      </c>
      <c r="K171">
        <f t="shared" si="30"/>
        <v>7</v>
      </c>
      <c r="L171">
        <f t="shared" si="31"/>
        <v>18</v>
      </c>
      <c r="M171" s="3">
        <f t="shared" ca="1" si="32"/>
        <v>46100</v>
      </c>
      <c r="N171">
        <f t="shared" ca="1" si="33"/>
        <v>7549</v>
      </c>
      <c r="O171">
        <f t="shared" ca="1" si="34"/>
        <v>7549</v>
      </c>
      <c r="P171">
        <f t="shared" ca="1" si="35"/>
        <v>5394</v>
      </c>
      <c r="Q171">
        <v>47</v>
      </c>
      <c r="R171" t="str">
        <f t="shared" si="36"/>
        <v>Old</v>
      </c>
      <c r="S171" t="s">
        <v>34</v>
      </c>
      <c r="T171">
        <v>6</v>
      </c>
      <c r="U171" t="s">
        <v>25</v>
      </c>
      <c r="V171">
        <v>5334.29</v>
      </c>
      <c r="W171" t="s">
        <v>58</v>
      </c>
      <c r="X171" t="s">
        <v>36</v>
      </c>
      <c r="Y171">
        <v>14</v>
      </c>
      <c r="Z171" t="str">
        <f t="shared" si="37"/>
        <v>Bad Employee</v>
      </c>
      <c r="AA171" t="b">
        <f t="shared" si="38"/>
        <v>0</v>
      </c>
      <c r="AB171" t="b">
        <f>OR(Y171&gt;20, T171&gt;6)</f>
        <v>0</v>
      </c>
      <c r="AC171" t="str">
        <f>IF(OR(Y171&gt;20,T171&gt;6), "Good employee", "Bad Employee")</f>
        <v>Bad Employee</v>
      </c>
      <c r="AD171" t="s">
        <v>28</v>
      </c>
      <c r="AE171" t="s">
        <v>37</v>
      </c>
      <c r="AF171">
        <v>16</v>
      </c>
      <c r="AG171">
        <v>2016</v>
      </c>
      <c r="AH171" t="s">
        <v>30</v>
      </c>
      <c r="AI171">
        <v>18</v>
      </c>
      <c r="AJ171">
        <v>3.8</v>
      </c>
    </row>
    <row r="172" spans="1:36" x14ac:dyDescent="0.25">
      <c r="A172">
        <v>10171</v>
      </c>
      <c r="B172" t="s">
        <v>53</v>
      </c>
      <c r="C172" t="s">
        <v>32</v>
      </c>
      <c r="D172" t="s">
        <v>39</v>
      </c>
      <c r="E172" t="str">
        <f t="shared" si="26"/>
        <v>Sarah Wilson is in IT Department</v>
      </c>
      <c r="F172" s="6" t="str">
        <f t="shared" si="27"/>
        <v>sarahwilson@gmail.com</v>
      </c>
      <c r="G172">
        <v>64948</v>
      </c>
      <c r="H172" t="str">
        <f t="shared" si="28"/>
        <v>Medium</v>
      </c>
      <c r="I172" s="3">
        <v>42790</v>
      </c>
      <c r="J172">
        <f t="shared" si="29"/>
        <v>2017</v>
      </c>
      <c r="K172">
        <f t="shared" si="30"/>
        <v>2</v>
      </c>
      <c r="L172">
        <f t="shared" si="31"/>
        <v>24</v>
      </c>
      <c r="M172" s="3">
        <f t="shared" ca="1" si="32"/>
        <v>46100</v>
      </c>
      <c r="N172">
        <f t="shared" ca="1" si="33"/>
        <v>3310</v>
      </c>
      <c r="O172">
        <f t="shared" ca="1" si="34"/>
        <v>3310</v>
      </c>
      <c r="P172">
        <f t="shared" ca="1" si="35"/>
        <v>2365</v>
      </c>
      <c r="Q172">
        <v>45</v>
      </c>
      <c r="R172" t="str">
        <f t="shared" si="36"/>
        <v>Old</v>
      </c>
      <c r="S172" t="s">
        <v>24</v>
      </c>
      <c r="T172">
        <v>5</v>
      </c>
      <c r="U172" t="s">
        <v>45</v>
      </c>
      <c r="V172">
        <v>5844.89</v>
      </c>
      <c r="W172" t="s">
        <v>46</v>
      </c>
      <c r="X172" t="s">
        <v>55</v>
      </c>
      <c r="Y172">
        <v>12</v>
      </c>
      <c r="Z172" t="str">
        <f t="shared" si="37"/>
        <v>Bad Employee</v>
      </c>
      <c r="AA172" t="b">
        <f t="shared" si="38"/>
        <v>0</v>
      </c>
      <c r="AB172" t="b">
        <f>OR(Y172&gt;20, T172&gt;6)</f>
        <v>0</v>
      </c>
      <c r="AC172" t="str">
        <f>IF(OR(Y172&gt;20,T172&gt;6), "Good employee", "Bad Employee")</f>
        <v>Bad Employee</v>
      </c>
      <c r="AD172" t="s">
        <v>41</v>
      </c>
      <c r="AE172" t="s">
        <v>62</v>
      </c>
      <c r="AF172">
        <v>2</v>
      </c>
      <c r="AG172">
        <v>2017</v>
      </c>
      <c r="AH172" t="s">
        <v>30</v>
      </c>
      <c r="AI172">
        <v>120</v>
      </c>
      <c r="AJ172">
        <v>2.7</v>
      </c>
    </row>
    <row r="173" spans="1:36" x14ac:dyDescent="0.25">
      <c r="A173">
        <v>10172</v>
      </c>
      <c r="B173" t="s">
        <v>38</v>
      </c>
      <c r="C173" t="s">
        <v>22</v>
      </c>
      <c r="D173" t="s">
        <v>23</v>
      </c>
      <c r="E173" t="str">
        <f t="shared" si="26"/>
        <v>Chris Williams is in HR Department</v>
      </c>
      <c r="F173" s="6" t="str">
        <f t="shared" si="27"/>
        <v>chriswilliams@gmail.com</v>
      </c>
      <c r="G173">
        <v>83031</v>
      </c>
      <c r="H173" t="str">
        <f t="shared" si="28"/>
        <v>High</v>
      </c>
      <c r="I173" s="3">
        <v>38972</v>
      </c>
      <c r="J173">
        <f t="shared" si="29"/>
        <v>2006</v>
      </c>
      <c r="K173">
        <f t="shared" si="30"/>
        <v>9</v>
      </c>
      <c r="L173">
        <f t="shared" si="31"/>
        <v>12</v>
      </c>
      <c r="M173" s="3">
        <f t="shared" ca="1" si="32"/>
        <v>46100</v>
      </c>
      <c r="N173">
        <f t="shared" ca="1" si="33"/>
        <v>7128</v>
      </c>
      <c r="O173">
        <f t="shared" ca="1" si="34"/>
        <v>7128</v>
      </c>
      <c r="P173">
        <f t="shared" ca="1" si="35"/>
        <v>5093</v>
      </c>
      <c r="Q173">
        <v>33</v>
      </c>
      <c r="R173" t="str">
        <f t="shared" si="36"/>
        <v>Old</v>
      </c>
      <c r="S173" t="s">
        <v>34</v>
      </c>
      <c r="T173">
        <v>4</v>
      </c>
      <c r="U173" t="s">
        <v>25</v>
      </c>
      <c r="V173">
        <v>7105.38</v>
      </c>
      <c r="W173" t="s">
        <v>58</v>
      </c>
      <c r="X173" t="s">
        <v>55</v>
      </c>
      <c r="Y173">
        <v>24</v>
      </c>
      <c r="Z173" t="str">
        <f t="shared" si="37"/>
        <v>Bad Employee</v>
      </c>
      <c r="AA173" t="b">
        <f t="shared" si="38"/>
        <v>0</v>
      </c>
      <c r="AB173" t="b">
        <f>OR(Y173&gt;20, T173&gt;6)</f>
        <v>1</v>
      </c>
      <c r="AC173" t="str">
        <f>IF(OR(Y173&gt;20,T173&gt;6), "Good employee", "Bad Employee")</f>
        <v>Good employee</v>
      </c>
      <c r="AD173" t="s">
        <v>56</v>
      </c>
      <c r="AE173" t="s">
        <v>62</v>
      </c>
      <c r="AF173">
        <v>16</v>
      </c>
      <c r="AG173">
        <v>2013</v>
      </c>
      <c r="AH173" t="s">
        <v>30</v>
      </c>
      <c r="AI173">
        <v>143</v>
      </c>
      <c r="AJ173">
        <v>2.6</v>
      </c>
    </row>
    <row r="174" spans="1:36" x14ac:dyDescent="0.25">
      <c r="A174">
        <v>10173</v>
      </c>
      <c r="B174" t="s">
        <v>50</v>
      </c>
      <c r="C174" t="s">
        <v>61</v>
      </c>
      <c r="D174" t="s">
        <v>23</v>
      </c>
      <c r="E174" t="str">
        <f t="shared" si="26"/>
        <v>Alex Smith is in HR Department</v>
      </c>
      <c r="F174" s="6" t="str">
        <f t="shared" si="27"/>
        <v>alexsmith@gmail.com</v>
      </c>
      <c r="G174">
        <v>67921</v>
      </c>
      <c r="H174" t="str">
        <f t="shared" si="28"/>
        <v>Medium</v>
      </c>
      <c r="I174" s="3">
        <v>42607</v>
      </c>
      <c r="J174">
        <f t="shared" si="29"/>
        <v>2016</v>
      </c>
      <c r="K174">
        <f t="shared" si="30"/>
        <v>8</v>
      </c>
      <c r="L174">
        <f t="shared" si="31"/>
        <v>25</v>
      </c>
      <c r="M174" s="3">
        <f t="shared" ca="1" si="32"/>
        <v>46100</v>
      </c>
      <c r="N174">
        <f t="shared" ca="1" si="33"/>
        <v>3493</v>
      </c>
      <c r="O174">
        <f t="shared" ca="1" si="34"/>
        <v>3493</v>
      </c>
      <c r="P174">
        <f t="shared" ca="1" si="35"/>
        <v>2496</v>
      </c>
      <c r="Q174">
        <v>41</v>
      </c>
      <c r="R174" t="str">
        <f t="shared" si="36"/>
        <v>Old</v>
      </c>
      <c r="S174" t="s">
        <v>24</v>
      </c>
      <c r="T174">
        <v>5</v>
      </c>
      <c r="U174" t="s">
        <v>25</v>
      </c>
      <c r="V174">
        <v>5229.07</v>
      </c>
      <c r="W174" t="s">
        <v>35</v>
      </c>
      <c r="X174" t="s">
        <v>55</v>
      </c>
      <c r="Y174">
        <v>17</v>
      </c>
      <c r="Z174" t="str">
        <f t="shared" si="37"/>
        <v>Bad Employee</v>
      </c>
      <c r="AA174" t="b">
        <f t="shared" si="38"/>
        <v>0</v>
      </c>
      <c r="AB174" t="b">
        <f>OR(Y174&gt;20, T174&gt;6)</f>
        <v>0</v>
      </c>
      <c r="AC174" t="str">
        <f>IF(OR(Y174&gt;20,T174&gt;6), "Good employee", "Bad Employee")</f>
        <v>Bad Employee</v>
      </c>
      <c r="AD174" t="s">
        <v>28</v>
      </c>
      <c r="AE174" t="s">
        <v>62</v>
      </c>
      <c r="AF174">
        <v>14</v>
      </c>
      <c r="AG174">
        <v>2017</v>
      </c>
      <c r="AH174" t="s">
        <v>30</v>
      </c>
      <c r="AI174">
        <v>79</v>
      </c>
      <c r="AJ174">
        <v>4</v>
      </c>
    </row>
    <row r="175" spans="1:36" x14ac:dyDescent="0.25">
      <c r="A175">
        <v>10174</v>
      </c>
      <c r="B175" t="s">
        <v>31</v>
      </c>
      <c r="C175" t="s">
        <v>51</v>
      </c>
      <c r="D175" t="s">
        <v>54</v>
      </c>
      <c r="E175" t="str">
        <f t="shared" si="26"/>
        <v>Emily Brown is in Finance Department</v>
      </c>
      <c r="F175" s="6" t="str">
        <f t="shared" si="27"/>
        <v>emilybrown@gmail.com</v>
      </c>
      <c r="G175">
        <v>102571</v>
      </c>
      <c r="H175" t="str">
        <f t="shared" si="28"/>
        <v>High</v>
      </c>
      <c r="I175" s="3">
        <v>41349</v>
      </c>
      <c r="J175">
        <f t="shared" si="29"/>
        <v>2013</v>
      </c>
      <c r="K175">
        <f t="shared" si="30"/>
        <v>3</v>
      </c>
      <c r="L175">
        <f t="shared" si="31"/>
        <v>16</v>
      </c>
      <c r="M175" s="3">
        <f t="shared" ca="1" si="32"/>
        <v>46100</v>
      </c>
      <c r="N175">
        <f t="shared" ca="1" si="33"/>
        <v>4751</v>
      </c>
      <c r="O175">
        <f t="shared" ca="1" si="34"/>
        <v>4751</v>
      </c>
      <c r="P175">
        <f t="shared" ca="1" si="35"/>
        <v>3394</v>
      </c>
      <c r="Q175">
        <v>35</v>
      </c>
      <c r="R175" t="str">
        <f t="shared" si="36"/>
        <v>Old</v>
      </c>
      <c r="S175" t="s">
        <v>24</v>
      </c>
      <c r="T175">
        <v>8</v>
      </c>
      <c r="U175" t="s">
        <v>45</v>
      </c>
      <c r="V175">
        <v>5092.71</v>
      </c>
      <c r="W175" t="s">
        <v>58</v>
      </c>
      <c r="X175" t="s">
        <v>40</v>
      </c>
      <c r="Y175">
        <v>1</v>
      </c>
      <c r="Z175" t="str">
        <f t="shared" si="37"/>
        <v>Bad Employee</v>
      </c>
      <c r="AA175" t="b">
        <f t="shared" si="38"/>
        <v>0</v>
      </c>
      <c r="AB175" t="b">
        <f>OR(Y175&gt;20, T175&gt;6)</f>
        <v>1</v>
      </c>
      <c r="AC175" t="str">
        <f>IF(OR(Y175&gt;20,T175&gt;6), "Good employee", "Bad Employee")</f>
        <v>Good employee</v>
      </c>
      <c r="AD175" t="s">
        <v>28</v>
      </c>
      <c r="AE175" t="s">
        <v>59</v>
      </c>
      <c r="AF175">
        <v>18</v>
      </c>
      <c r="AG175">
        <v>2010</v>
      </c>
      <c r="AH175" t="s">
        <v>30</v>
      </c>
      <c r="AI175">
        <v>51</v>
      </c>
      <c r="AJ175">
        <v>1</v>
      </c>
    </row>
    <row r="176" spans="1:36" x14ac:dyDescent="0.25">
      <c r="A176">
        <v>10175</v>
      </c>
      <c r="B176" t="s">
        <v>53</v>
      </c>
      <c r="C176" t="s">
        <v>61</v>
      </c>
      <c r="D176" t="s">
        <v>23</v>
      </c>
      <c r="E176" t="str">
        <f t="shared" si="26"/>
        <v>Sarah Smith is in HR Department</v>
      </c>
      <c r="F176" s="6" t="str">
        <f t="shared" si="27"/>
        <v>sarahsmith@gmail.com</v>
      </c>
      <c r="G176">
        <v>107007</v>
      </c>
      <c r="H176" t="str">
        <f t="shared" si="28"/>
        <v>High</v>
      </c>
      <c r="I176" s="3">
        <v>37086</v>
      </c>
      <c r="J176">
        <f t="shared" si="29"/>
        <v>2001</v>
      </c>
      <c r="K176">
        <f t="shared" si="30"/>
        <v>7</v>
      </c>
      <c r="L176">
        <f t="shared" si="31"/>
        <v>14</v>
      </c>
      <c r="M176" s="3">
        <f t="shared" ca="1" si="32"/>
        <v>46100</v>
      </c>
      <c r="N176">
        <f t="shared" ca="1" si="33"/>
        <v>9014</v>
      </c>
      <c r="O176">
        <f t="shared" ca="1" si="34"/>
        <v>9014</v>
      </c>
      <c r="P176">
        <f t="shared" ca="1" si="35"/>
        <v>6439</v>
      </c>
      <c r="Q176">
        <v>43</v>
      </c>
      <c r="R176" t="str">
        <f t="shared" si="36"/>
        <v>Old</v>
      </c>
      <c r="S176" t="s">
        <v>34</v>
      </c>
      <c r="T176">
        <v>9</v>
      </c>
      <c r="U176" t="s">
        <v>25</v>
      </c>
      <c r="V176">
        <v>3995.42</v>
      </c>
      <c r="W176" t="s">
        <v>35</v>
      </c>
      <c r="X176" t="s">
        <v>36</v>
      </c>
      <c r="Y176">
        <v>37</v>
      </c>
      <c r="Z176" t="str">
        <f t="shared" si="37"/>
        <v>Good Employee</v>
      </c>
      <c r="AA176" t="b">
        <f t="shared" si="38"/>
        <v>1</v>
      </c>
      <c r="AB176" t="b">
        <f>OR(Y176&gt;20, T176&gt;6)</f>
        <v>1</v>
      </c>
      <c r="AC176" t="str">
        <f>IF(OR(Y176&gt;20,T176&gt;6), "Good employee", "Bad Employee")</f>
        <v>Good employee</v>
      </c>
      <c r="AD176" t="s">
        <v>41</v>
      </c>
      <c r="AE176" t="s">
        <v>29</v>
      </c>
      <c r="AF176">
        <v>14</v>
      </c>
      <c r="AG176">
        <v>2022</v>
      </c>
      <c r="AH176" t="s">
        <v>30</v>
      </c>
      <c r="AI176">
        <v>108</v>
      </c>
      <c r="AJ176">
        <v>3.7</v>
      </c>
    </row>
    <row r="177" spans="1:36" x14ac:dyDescent="0.25">
      <c r="A177">
        <v>10176</v>
      </c>
      <c r="B177" t="s">
        <v>64</v>
      </c>
      <c r="C177" t="s">
        <v>32</v>
      </c>
      <c r="D177" t="s">
        <v>52</v>
      </c>
      <c r="E177" t="str">
        <f t="shared" si="26"/>
        <v>Katie Wilson is in Operations Department</v>
      </c>
      <c r="F177" s="6" t="str">
        <f t="shared" si="27"/>
        <v>katiewilson@gmail.com</v>
      </c>
      <c r="G177">
        <v>58460</v>
      </c>
      <c r="H177" t="str">
        <f t="shared" si="28"/>
        <v>Medium</v>
      </c>
      <c r="I177" s="3">
        <v>39177</v>
      </c>
      <c r="J177">
        <f t="shared" si="29"/>
        <v>2007</v>
      </c>
      <c r="K177">
        <f t="shared" si="30"/>
        <v>4</v>
      </c>
      <c r="L177">
        <f t="shared" si="31"/>
        <v>5</v>
      </c>
      <c r="M177" s="3">
        <f t="shared" ca="1" si="32"/>
        <v>46100</v>
      </c>
      <c r="N177">
        <f t="shared" ca="1" si="33"/>
        <v>6923</v>
      </c>
      <c r="O177">
        <f t="shared" ca="1" si="34"/>
        <v>6923</v>
      </c>
      <c r="P177">
        <f t="shared" ca="1" si="35"/>
        <v>4946</v>
      </c>
      <c r="Q177">
        <v>37</v>
      </c>
      <c r="R177" t="str">
        <f t="shared" si="36"/>
        <v>Old</v>
      </c>
      <c r="S177" t="s">
        <v>34</v>
      </c>
      <c r="T177">
        <v>2</v>
      </c>
      <c r="U177" t="s">
        <v>25</v>
      </c>
      <c r="V177">
        <v>3078.88</v>
      </c>
      <c r="W177" t="s">
        <v>26</v>
      </c>
      <c r="X177" t="s">
        <v>55</v>
      </c>
      <c r="Y177">
        <v>11</v>
      </c>
      <c r="Z177" t="str">
        <f t="shared" si="37"/>
        <v>Bad Employee</v>
      </c>
      <c r="AA177" t="b">
        <f t="shared" si="38"/>
        <v>0</v>
      </c>
      <c r="AB177" t="b">
        <f>OR(Y177&gt;20, T177&gt;6)</f>
        <v>0</v>
      </c>
      <c r="AC177" t="str">
        <f>IF(OR(Y177&gt;20,T177&gt;6), "Good employee", "Bad Employee")</f>
        <v>Bad Employee</v>
      </c>
      <c r="AD177" t="s">
        <v>56</v>
      </c>
      <c r="AE177" t="s">
        <v>62</v>
      </c>
      <c r="AF177">
        <v>17</v>
      </c>
      <c r="AG177">
        <v>2018</v>
      </c>
      <c r="AH177" t="s">
        <v>43</v>
      </c>
      <c r="AI177">
        <v>28</v>
      </c>
      <c r="AJ177">
        <v>3</v>
      </c>
    </row>
    <row r="178" spans="1:36" x14ac:dyDescent="0.25">
      <c r="A178">
        <v>10177</v>
      </c>
      <c r="B178" t="s">
        <v>50</v>
      </c>
      <c r="C178" t="s">
        <v>61</v>
      </c>
      <c r="D178" t="s">
        <v>33</v>
      </c>
      <c r="E178" t="str">
        <f t="shared" si="26"/>
        <v>Alex Smith is in Marketing Department</v>
      </c>
      <c r="F178" s="6" t="str">
        <f t="shared" si="27"/>
        <v>alexsmith@gmail.com</v>
      </c>
      <c r="G178">
        <v>51071</v>
      </c>
      <c r="H178" t="str">
        <f t="shared" si="28"/>
        <v>Medium</v>
      </c>
      <c r="I178" s="3">
        <v>41774</v>
      </c>
      <c r="J178">
        <f t="shared" si="29"/>
        <v>2014</v>
      </c>
      <c r="K178">
        <f t="shared" si="30"/>
        <v>5</v>
      </c>
      <c r="L178">
        <f t="shared" si="31"/>
        <v>15</v>
      </c>
      <c r="M178" s="3">
        <f t="shared" ca="1" si="32"/>
        <v>46100</v>
      </c>
      <c r="N178">
        <f t="shared" ca="1" si="33"/>
        <v>4326</v>
      </c>
      <c r="O178">
        <f t="shared" ca="1" si="34"/>
        <v>4326</v>
      </c>
      <c r="P178">
        <f t="shared" ca="1" si="35"/>
        <v>3091</v>
      </c>
      <c r="Q178">
        <v>50</v>
      </c>
      <c r="R178" t="str">
        <f t="shared" si="36"/>
        <v>Old</v>
      </c>
      <c r="S178" t="s">
        <v>24</v>
      </c>
      <c r="T178">
        <v>6</v>
      </c>
      <c r="U178" t="s">
        <v>45</v>
      </c>
      <c r="V178">
        <v>9488.9</v>
      </c>
      <c r="W178" t="s">
        <v>35</v>
      </c>
      <c r="X178" t="s">
        <v>27</v>
      </c>
      <c r="Y178">
        <v>6</v>
      </c>
      <c r="Z178" t="str">
        <f t="shared" si="37"/>
        <v>Bad Employee</v>
      </c>
      <c r="AA178" t="b">
        <f t="shared" si="38"/>
        <v>0</v>
      </c>
      <c r="AB178" t="b">
        <f>OR(Y178&gt;20, T178&gt;6)</f>
        <v>0</v>
      </c>
      <c r="AC178" t="str">
        <f>IF(OR(Y178&gt;20,T178&gt;6), "Good employee", "Bad Employee")</f>
        <v>Bad Employee</v>
      </c>
      <c r="AD178" t="s">
        <v>41</v>
      </c>
      <c r="AE178" t="s">
        <v>29</v>
      </c>
      <c r="AF178">
        <v>11</v>
      </c>
      <c r="AG178">
        <v>2016</v>
      </c>
      <c r="AH178" t="s">
        <v>49</v>
      </c>
      <c r="AI178">
        <v>154</v>
      </c>
      <c r="AJ178">
        <v>2.5</v>
      </c>
    </row>
    <row r="179" spans="1:36" x14ac:dyDescent="0.25">
      <c r="A179">
        <v>10178</v>
      </c>
      <c r="B179" t="s">
        <v>50</v>
      </c>
      <c r="C179" t="s">
        <v>32</v>
      </c>
      <c r="D179" t="s">
        <v>54</v>
      </c>
      <c r="E179" t="str">
        <f t="shared" si="26"/>
        <v>Alex Wilson is in Finance Department</v>
      </c>
      <c r="F179" s="6" t="str">
        <f t="shared" si="27"/>
        <v>alexwilson@gmail.com</v>
      </c>
      <c r="G179">
        <v>96118</v>
      </c>
      <c r="H179" t="str">
        <f t="shared" si="28"/>
        <v>High</v>
      </c>
      <c r="I179" s="3">
        <v>40430</v>
      </c>
      <c r="J179">
        <f t="shared" si="29"/>
        <v>2010</v>
      </c>
      <c r="K179">
        <f t="shared" si="30"/>
        <v>9</v>
      </c>
      <c r="L179">
        <f t="shared" si="31"/>
        <v>9</v>
      </c>
      <c r="M179" s="3">
        <f t="shared" ca="1" si="32"/>
        <v>46100</v>
      </c>
      <c r="N179">
        <f t="shared" ca="1" si="33"/>
        <v>5670</v>
      </c>
      <c r="O179">
        <f t="shared" ca="1" si="34"/>
        <v>5670</v>
      </c>
      <c r="P179">
        <f t="shared" ca="1" si="35"/>
        <v>4051</v>
      </c>
      <c r="Q179">
        <v>53</v>
      </c>
      <c r="R179" t="str">
        <f t="shared" si="36"/>
        <v>Old</v>
      </c>
      <c r="S179" t="s">
        <v>34</v>
      </c>
      <c r="T179">
        <v>3</v>
      </c>
      <c r="U179" t="s">
        <v>25</v>
      </c>
      <c r="V179">
        <v>3517.17</v>
      </c>
      <c r="W179" t="s">
        <v>46</v>
      </c>
      <c r="X179" t="s">
        <v>55</v>
      </c>
      <c r="Y179">
        <v>15</v>
      </c>
      <c r="Z179" t="str">
        <f t="shared" si="37"/>
        <v>Bad Employee</v>
      </c>
      <c r="AA179" t="b">
        <f t="shared" si="38"/>
        <v>0</v>
      </c>
      <c r="AB179" t="b">
        <f>OR(Y179&gt;20, T179&gt;6)</f>
        <v>0</v>
      </c>
      <c r="AC179" t="str">
        <f>IF(OR(Y179&gt;20,T179&gt;6), "Good employee", "Bad Employee")</f>
        <v>Bad Employee</v>
      </c>
      <c r="AD179" t="s">
        <v>28</v>
      </c>
      <c r="AE179" t="s">
        <v>62</v>
      </c>
      <c r="AF179">
        <v>11</v>
      </c>
      <c r="AG179">
        <v>2013</v>
      </c>
      <c r="AH179" t="s">
        <v>30</v>
      </c>
      <c r="AI179">
        <v>181</v>
      </c>
      <c r="AJ179">
        <v>2.4</v>
      </c>
    </row>
    <row r="180" spans="1:36" x14ac:dyDescent="0.25">
      <c r="A180">
        <v>10179</v>
      </c>
      <c r="B180" t="s">
        <v>66</v>
      </c>
      <c r="C180" t="s">
        <v>61</v>
      </c>
      <c r="D180" t="s">
        <v>33</v>
      </c>
      <c r="E180" t="str">
        <f t="shared" si="26"/>
        <v>John Smith is in Marketing Department</v>
      </c>
      <c r="F180" s="6" t="str">
        <f t="shared" si="27"/>
        <v>johnsmith@gmail.com</v>
      </c>
      <c r="G180">
        <v>78282</v>
      </c>
      <c r="H180" t="str">
        <f t="shared" si="28"/>
        <v>Medium</v>
      </c>
      <c r="I180" s="3">
        <v>37065</v>
      </c>
      <c r="J180">
        <f t="shared" si="29"/>
        <v>2001</v>
      </c>
      <c r="K180">
        <f t="shared" si="30"/>
        <v>6</v>
      </c>
      <c r="L180">
        <f t="shared" si="31"/>
        <v>23</v>
      </c>
      <c r="M180" s="3">
        <f t="shared" ca="1" si="32"/>
        <v>46100</v>
      </c>
      <c r="N180">
        <f t="shared" ca="1" si="33"/>
        <v>9035</v>
      </c>
      <c r="O180">
        <f t="shared" ca="1" si="34"/>
        <v>9035</v>
      </c>
      <c r="P180">
        <f t="shared" ca="1" si="35"/>
        <v>6454</v>
      </c>
      <c r="Q180">
        <v>40</v>
      </c>
      <c r="R180" t="str">
        <f t="shared" si="36"/>
        <v>Old</v>
      </c>
      <c r="S180" t="s">
        <v>34</v>
      </c>
      <c r="T180">
        <v>2</v>
      </c>
      <c r="U180" t="s">
        <v>25</v>
      </c>
      <c r="V180">
        <v>1102.5</v>
      </c>
      <c r="W180" t="s">
        <v>58</v>
      </c>
      <c r="X180" t="s">
        <v>36</v>
      </c>
      <c r="Y180">
        <v>23</v>
      </c>
      <c r="Z180" t="str">
        <f t="shared" si="37"/>
        <v>Bad Employee</v>
      </c>
      <c r="AA180" t="b">
        <f t="shared" si="38"/>
        <v>0</v>
      </c>
      <c r="AB180" t="b">
        <f>OR(Y180&gt;20, T180&gt;6)</f>
        <v>1</v>
      </c>
      <c r="AC180" t="str">
        <f>IF(OR(Y180&gt;20,T180&gt;6), "Good employee", "Bad Employee")</f>
        <v>Good employee</v>
      </c>
      <c r="AD180" t="s">
        <v>28</v>
      </c>
      <c r="AE180" t="s">
        <v>59</v>
      </c>
      <c r="AF180">
        <v>2</v>
      </c>
      <c r="AG180">
        <v>2017</v>
      </c>
      <c r="AH180" t="s">
        <v>30</v>
      </c>
      <c r="AI180">
        <v>187</v>
      </c>
      <c r="AJ180">
        <v>1.7</v>
      </c>
    </row>
    <row r="181" spans="1:36" x14ac:dyDescent="0.25">
      <c r="A181">
        <v>10180</v>
      </c>
      <c r="B181" t="s">
        <v>50</v>
      </c>
      <c r="C181" t="s">
        <v>65</v>
      </c>
      <c r="D181" t="s">
        <v>33</v>
      </c>
      <c r="E181" t="str">
        <f t="shared" si="26"/>
        <v>Alex Johnson is in Marketing Department</v>
      </c>
      <c r="F181" s="6" t="str">
        <f t="shared" si="27"/>
        <v>alexjohnson@gmail.com</v>
      </c>
      <c r="G181">
        <v>88445</v>
      </c>
      <c r="H181" t="str">
        <f t="shared" si="28"/>
        <v>High</v>
      </c>
      <c r="I181" s="3">
        <v>43025</v>
      </c>
      <c r="J181">
        <f t="shared" si="29"/>
        <v>2017</v>
      </c>
      <c r="K181">
        <f t="shared" si="30"/>
        <v>10</v>
      </c>
      <c r="L181">
        <f t="shared" si="31"/>
        <v>17</v>
      </c>
      <c r="M181" s="3">
        <f t="shared" ca="1" si="32"/>
        <v>46100</v>
      </c>
      <c r="N181">
        <f t="shared" ca="1" si="33"/>
        <v>3075</v>
      </c>
      <c r="O181">
        <f t="shared" ca="1" si="34"/>
        <v>3075</v>
      </c>
      <c r="P181">
        <f t="shared" ca="1" si="35"/>
        <v>2198</v>
      </c>
      <c r="Q181">
        <v>56</v>
      </c>
      <c r="R181" t="str">
        <f t="shared" si="36"/>
        <v>Old</v>
      </c>
      <c r="S181" t="s">
        <v>24</v>
      </c>
      <c r="T181">
        <v>1</v>
      </c>
      <c r="U181" t="s">
        <v>45</v>
      </c>
      <c r="V181">
        <v>2089.21</v>
      </c>
      <c r="W181" t="s">
        <v>35</v>
      </c>
      <c r="X181" t="s">
        <v>27</v>
      </c>
      <c r="Y181">
        <v>23</v>
      </c>
      <c r="Z181" t="str">
        <f t="shared" si="37"/>
        <v>Bad Employee</v>
      </c>
      <c r="AA181" t="b">
        <f t="shared" si="38"/>
        <v>0</v>
      </c>
      <c r="AB181" t="b">
        <f>OR(Y181&gt;20, T181&gt;6)</f>
        <v>1</v>
      </c>
      <c r="AC181" t="str">
        <f>IF(OR(Y181&gt;20,T181&gt;6), "Good employee", "Bad Employee")</f>
        <v>Good employee</v>
      </c>
      <c r="AD181" t="s">
        <v>41</v>
      </c>
      <c r="AE181" t="s">
        <v>37</v>
      </c>
      <c r="AF181">
        <v>10</v>
      </c>
      <c r="AG181">
        <v>2021</v>
      </c>
      <c r="AH181" t="s">
        <v>43</v>
      </c>
      <c r="AI181">
        <v>59</v>
      </c>
      <c r="AJ181">
        <v>2.2999999999999998</v>
      </c>
    </row>
    <row r="182" spans="1:36" x14ac:dyDescent="0.25">
      <c r="A182">
        <v>10181</v>
      </c>
      <c r="B182" t="s">
        <v>38</v>
      </c>
      <c r="C182" t="s">
        <v>57</v>
      </c>
      <c r="D182" t="s">
        <v>39</v>
      </c>
      <c r="E182" t="str">
        <f t="shared" si="26"/>
        <v>Chris Davis is in IT Department</v>
      </c>
      <c r="F182" s="6" t="str">
        <f t="shared" si="27"/>
        <v>chrisdavis@gmail.com</v>
      </c>
      <c r="G182">
        <v>111067</v>
      </c>
      <c r="H182" t="str">
        <f t="shared" si="28"/>
        <v>High</v>
      </c>
      <c r="I182" s="3">
        <v>41281</v>
      </c>
      <c r="J182">
        <f t="shared" si="29"/>
        <v>2013</v>
      </c>
      <c r="K182">
        <f t="shared" si="30"/>
        <v>1</v>
      </c>
      <c r="L182">
        <f t="shared" si="31"/>
        <v>7</v>
      </c>
      <c r="M182" s="3">
        <f t="shared" ca="1" si="32"/>
        <v>46100</v>
      </c>
      <c r="N182">
        <f t="shared" ca="1" si="33"/>
        <v>4819</v>
      </c>
      <c r="O182">
        <f t="shared" ca="1" si="34"/>
        <v>4819</v>
      </c>
      <c r="P182">
        <f t="shared" ca="1" si="35"/>
        <v>3444</v>
      </c>
      <c r="Q182">
        <v>64</v>
      </c>
      <c r="R182" t="str">
        <f t="shared" si="36"/>
        <v>Old</v>
      </c>
      <c r="S182" t="s">
        <v>34</v>
      </c>
      <c r="T182">
        <v>4</v>
      </c>
      <c r="U182" t="s">
        <v>45</v>
      </c>
      <c r="V182">
        <v>8644.1299999999992</v>
      </c>
      <c r="W182" t="s">
        <v>26</v>
      </c>
      <c r="X182" t="s">
        <v>27</v>
      </c>
      <c r="Y182">
        <v>38</v>
      </c>
      <c r="Z182" t="str">
        <f t="shared" si="37"/>
        <v>Bad Employee</v>
      </c>
      <c r="AA182" t="b">
        <f t="shared" si="38"/>
        <v>0</v>
      </c>
      <c r="AB182" t="b">
        <f>OR(Y182&gt;20, T182&gt;6)</f>
        <v>1</v>
      </c>
      <c r="AC182" t="str">
        <f>IF(OR(Y182&gt;20,T182&gt;6), "Good employee", "Bad Employee")</f>
        <v>Good employee</v>
      </c>
      <c r="AD182" t="s">
        <v>41</v>
      </c>
      <c r="AE182" t="s">
        <v>62</v>
      </c>
      <c r="AF182">
        <v>9</v>
      </c>
      <c r="AG182">
        <v>2019</v>
      </c>
      <c r="AH182" t="s">
        <v>30</v>
      </c>
      <c r="AI182">
        <v>74</v>
      </c>
      <c r="AJ182">
        <v>2.6</v>
      </c>
    </row>
    <row r="183" spans="1:36" x14ac:dyDescent="0.25">
      <c r="A183">
        <v>10182</v>
      </c>
      <c r="B183" t="s">
        <v>21</v>
      </c>
      <c r="C183" t="s">
        <v>65</v>
      </c>
      <c r="D183" t="s">
        <v>39</v>
      </c>
      <c r="E183" t="str">
        <f t="shared" si="26"/>
        <v>Michael Johnson is in IT Department</v>
      </c>
      <c r="F183" s="6" t="str">
        <f t="shared" si="27"/>
        <v>michaeljohnson@gmail.com</v>
      </c>
      <c r="G183">
        <v>112208</v>
      </c>
      <c r="H183" t="str">
        <f t="shared" si="28"/>
        <v>High</v>
      </c>
      <c r="I183" s="3">
        <v>43101</v>
      </c>
      <c r="J183">
        <f t="shared" si="29"/>
        <v>2018</v>
      </c>
      <c r="K183">
        <f t="shared" si="30"/>
        <v>1</v>
      </c>
      <c r="L183">
        <f t="shared" si="31"/>
        <v>1</v>
      </c>
      <c r="M183" s="3">
        <f t="shared" ca="1" si="32"/>
        <v>46100</v>
      </c>
      <c r="N183">
        <f t="shared" ca="1" si="33"/>
        <v>2999</v>
      </c>
      <c r="O183">
        <f t="shared" ca="1" si="34"/>
        <v>2999</v>
      </c>
      <c r="P183">
        <f t="shared" ca="1" si="35"/>
        <v>2144</v>
      </c>
      <c r="Q183">
        <v>53</v>
      </c>
      <c r="R183" t="str">
        <f t="shared" si="36"/>
        <v>Old</v>
      </c>
      <c r="S183" t="s">
        <v>34</v>
      </c>
      <c r="T183">
        <v>8</v>
      </c>
      <c r="U183" t="s">
        <v>25</v>
      </c>
      <c r="V183">
        <v>6073.02</v>
      </c>
      <c r="W183" t="s">
        <v>58</v>
      </c>
      <c r="X183" t="s">
        <v>40</v>
      </c>
      <c r="Y183">
        <v>38</v>
      </c>
      <c r="Z183" t="str">
        <f t="shared" si="37"/>
        <v>Good Employee</v>
      </c>
      <c r="AA183" t="b">
        <f t="shared" si="38"/>
        <v>1</v>
      </c>
      <c r="AB183" t="b">
        <f>OR(Y183&gt;20, T183&gt;6)</f>
        <v>1</v>
      </c>
      <c r="AC183" t="str">
        <f>IF(OR(Y183&gt;20,T183&gt;6), "Good employee", "Bad Employee")</f>
        <v>Good employee</v>
      </c>
      <c r="AD183" t="s">
        <v>56</v>
      </c>
      <c r="AE183" t="s">
        <v>48</v>
      </c>
      <c r="AF183">
        <v>14</v>
      </c>
      <c r="AG183">
        <v>2011</v>
      </c>
      <c r="AH183" t="s">
        <v>43</v>
      </c>
      <c r="AI183">
        <v>82</v>
      </c>
      <c r="AJ183">
        <v>2.7</v>
      </c>
    </row>
    <row r="184" spans="1:36" x14ac:dyDescent="0.25">
      <c r="A184">
        <v>10183</v>
      </c>
      <c r="B184" t="s">
        <v>64</v>
      </c>
      <c r="C184" t="s">
        <v>65</v>
      </c>
      <c r="D184" t="s">
        <v>54</v>
      </c>
      <c r="E184" t="str">
        <f t="shared" si="26"/>
        <v>Katie Johnson is in Finance Department</v>
      </c>
      <c r="F184" s="6" t="str">
        <f t="shared" si="27"/>
        <v>katiejohnson@gmail.com</v>
      </c>
      <c r="G184">
        <v>84816</v>
      </c>
      <c r="H184" t="str">
        <f t="shared" si="28"/>
        <v>High</v>
      </c>
      <c r="I184" s="3">
        <v>42485</v>
      </c>
      <c r="J184">
        <f t="shared" si="29"/>
        <v>2016</v>
      </c>
      <c r="K184">
        <f t="shared" si="30"/>
        <v>4</v>
      </c>
      <c r="L184">
        <f t="shared" si="31"/>
        <v>25</v>
      </c>
      <c r="M184" s="3">
        <f t="shared" ca="1" si="32"/>
        <v>46100</v>
      </c>
      <c r="N184">
        <f t="shared" ca="1" si="33"/>
        <v>3615</v>
      </c>
      <c r="O184">
        <f t="shared" ca="1" si="34"/>
        <v>3615</v>
      </c>
      <c r="P184">
        <f t="shared" ca="1" si="35"/>
        <v>2584</v>
      </c>
      <c r="Q184">
        <v>41</v>
      </c>
      <c r="R184" t="str">
        <f t="shared" si="36"/>
        <v>Old</v>
      </c>
      <c r="S184" t="s">
        <v>24</v>
      </c>
      <c r="T184">
        <v>3</v>
      </c>
      <c r="U184" t="s">
        <v>25</v>
      </c>
      <c r="V184">
        <v>7898.42</v>
      </c>
      <c r="W184" t="s">
        <v>46</v>
      </c>
      <c r="X184" t="s">
        <v>40</v>
      </c>
      <c r="Y184">
        <v>12</v>
      </c>
      <c r="Z184" t="str">
        <f t="shared" si="37"/>
        <v>Bad Employee</v>
      </c>
      <c r="AA184" t="b">
        <f t="shared" si="38"/>
        <v>0</v>
      </c>
      <c r="AB184" t="b">
        <f>OR(Y184&gt;20, T184&gt;6)</f>
        <v>0</v>
      </c>
      <c r="AC184" t="str">
        <f>IF(OR(Y184&gt;20,T184&gt;6), "Good employee", "Bad Employee")</f>
        <v>Bad Employee</v>
      </c>
      <c r="AD184" t="s">
        <v>28</v>
      </c>
      <c r="AE184" t="s">
        <v>42</v>
      </c>
      <c r="AF184">
        <v>10</v>
      </c>
      <c r="AG184">
        <v>2023</v>
      </c>
      <c r="AH184" t="s">
        <v>30</v>
      </c>
      <c r="AI184">
        <v>77</v>
      </c>
      <c r="AJ184">
        <v>3.7</v>
      </c>
    </row>
    <row r="185" spans="1:36" x14ac:dyDescent="0.25">
      <c r="A185">
        <v>10184</v>
      </c>
      <c r="B185" t="s">
        <v>50</v>
      </c>
      <c r="C185" t="s">
        <v>63</v>
      </c>
      <c r="D185" t="s">
        <v>44</v>
      </c>
      <c r="E185" t="str">
        <f t="shared" si="26"/>
        <v>Alex Miller is in Sales Department</v>
      </c>
      <c r="F185" s="6" t="str">
        <f t="shared" si="27"/>
        <v>alexmiller@gmail.com</v>
      </c>
      <c r="G185">
        <v>115779</v>
      </c>
      <c r="H185" t="str">
        <f t="shared" si="28"/>
        <v>High</v>
      </c>
      <c r="I185" s="3">
        <v>39662</v>
      </c>
      <c r="J185">
        <f t="shared" si="29"/>
        <v>2008</v>
      </c>
      <c r="K185">
        <f t="shared" si="30"/>
        <v>8</v>
      </c>
      <c r="L185">
        <f t="shared" si="31"/>
        <v>2</v>
      </c>
      <c r="M185" s="3">
        <f t="shared" ca="1" si="32"/>
        <v>46100</v>
      </c>
      <c r="N185">
        <f t="shared" ca="1" si="33"/>
        <v>6438</v>
      </c>
      <c r="O185">
        <f t="shared" ca="1" si="34"/>
        <v>6438</v>
      </c>
      <c r="P185">
        <f t="shared" ca="1" si="35"/>
        <v>4599</v>
      </c>
      <c r="Q185">
        <v>61</v>
      </c>
      <c r="R185" t="str">
        <f t="shared" si="36"/>
        <v>Old</v>
      </c>
      <c r="S185" t="s">
        <v>24</v>
      </c>
      <c r="T185">
        <v>5</v>
      </c>
      <c r="U185" t="s">
        <v>25</v>
      </c>
      <c r="V185">
        <v>8183.42</v>
      </c>
      <c r="W185" t="s">
        <v>35</v>
      </c>
      <c r="X185" t="s">
        <v>47</v>
      </c>
      <c r="Y185">
        <v>7</v>
      </c>
      <c r="Z185" t="str">
        <f t="shared" si="37"/>
        <v>Bad Employee</v>
      </c>
      <c r="AA185" t="b">
        <f t="shared" si="38"/>
        <v>0</v>
      </c>
      <c r="AB185" t="b">
        <f>OR(Y185&gt;20, T185&gt;6)</f>
        <v>0</v>
      </c>
      <c r="AC185" t="str">
        <f>IF(OR(Y185&gt;20,T185&gt;6), "Good employee", "Bad Employee")</f>
        <v>Bad Employee</v>
      </c>
      <c r="AD185" t="s">
        <v>41</v>
      </c>
      <c r="AE185" t="s">
        <v>62</v>
      </c>
      <c r="AF185">
        <v>0</v>
      </c>
      <c r="AG185">
        <v>2017</v>
      </c>
      <c r="AH185" t="s">
        <v>49</v>
      </c>
      <c r="AI185">
        <v>167</v>
      </c>
      <c r="AJ185">
        <v>2.8</v>
      </c>
    </row>
    <row r="186" spans="1:36" x14ac:dyDescent="0.25">
      <c r="A186">
        <v>10185</v>
      </c>
      <c r="B186" t="s">
        <v>66</v>
      </c>
      <c r="C186" t="s">
        <v>63</v>
      </c>
      <c r="D186" t="s">
        <v>39</v>
      </c>
      <c r="E186" t="str">
        <f t="shared" si="26"/>
        <v>John Miller is in IT Department</v>
      </c>
      <c r="F186" s="6" t="str">
        <f t="shared" si="27"/>
        <v>johnmiller@gmail.com</v>
      </c>
      <c r="G186">
        <v>33060</v>
      </c>
      <c r="H186" t="str">
        <f t="shared" si="28"/>
        <v>extremely low</v>
      </c>
      <c r="I186" s="3">
        <v>39815</v>
      </c>
      <c r="J186">
        <f t="shared" si="29"/>
        <v>2009</v>
      </c>
      <c r="K186">
        <f t="shared" si="30"/>
        <v>1</v>
      </c>
      <c r="L186">
        <f t="shared" si="31"/>
        <v>2</v>
      </c>
      <c r="M186" s="3">
        <f t="shared" ca="1" si="32"/>
        <v>46100</v>
      </c>
      <c r="N186">
        <f t="shared" ca="1" si="33"/>
        <v>6285</v>
      </c>
      <c r="O186">
        <f t="shared" ca="1" si="34"/>
        <v>6285</v>
      </c>
      <c r="P186">
        <f t="shared" ca="1" si="35"/>
        <v>4490</v>
      </c>
      <c r="Q186">
        <v>41</v>
      </c>
      <c r="R186" t="str">
        <f t="shared" si="36"/>
        <v>Old</v>
      </c>
      <c r="S186" t="s">
        <v>34</v>
      </c>
      <c r="T186">
        <v>5</v>
      </c>
      <c r="U186" t="s">
        <v>25</v>
      </c>
      <c r="V186">
        <v>8320.75</v>
      </c>
      <c r="W186" t="s">
        <v>46</v>
      </c>
      <c r="X186" t="s">
        <v>36</v>
      </c>
      <c r="Y186">
        <v>37</v>
      </c>
      <c r="Z186" t="str">
        <f t="shared" si="37"/>
        <v>Bad Employee</v>
      </c>
      <c r="AA186" t="b">
        <f t="shared" si="38"/>
        <v>0</v>
      </c>
      <c r="AB186" t="b">
        <f>OR(Y186&gt;20, T186&gt;6)</f>
        <v>1</v>
      </c>
      <c r="AC186" t="str">
        <f>IF(OR(Y186&gt;20,T186&gt;6), "Good employee", "Bad Employee")</f>
        <v>Good employee</v>
      </c>
      <c r="AD186" t="s">
        <v>28</v>
      </c>
      <c r="AE186" t="s">
        <v>42</v>
      </c>
      <c r="AF186">
        <v>19</v>
      </c>
      <c r="AG186">
        <v>2019</v>
      </c>
      <c r="AH186" t="s">
        <v>30</v>
      </c>
      <c r="AI186">
        <v>48</v>
      </c>
      <c r="AJ186">
        <v>4.2</v>
      </c>
    </row>
    <row r="187" spans="1:36" x14ac:dyDescent="0.25">
      <c r="A187">
        <v>10186</v>
      </c>
      <c r="B187" t="s">
        <v>38</v>
      </c>
      <c r="C187" t="s">
        <v>61</v>
      </c>
      <c r="D187" t="s">
        <v>39</v>
      </c>
      <c r="E187" t="str">
        <f t="shared" si="26"/>
        <v>Chris Smith is in IT Department</v>
      </c>
      <c r="F187" s="6" t="str">
        <f t="shared" si="27"/>
        <v>chrissmith@gmail.com</v>
      </c>
      <c r="G187">
        <v>43731</v>
      </c>
      <c r="H187" t="str">
        <f t="shared" si="28"/>
        <v>low</v>
      </c>
      <c r="I187" s="3">
        <v>39136</v>
      </c>
      <c r="J187">
        <f t="shared" si="29"/>
        <v>2007</v>
      </c>
      <c r="K187">
        <f t="shared" si="30"/>
        <v>2</v>
      </c>
      <c r="L187">
        <f t="shared" si="31"/>
        <v>23</v>
      </c>
      <c r="M187" s="3">
        <f t="shared" ca="1" si="32"/>
        <v>46100</v>
      </c>
      <c r="N187">
        <f t="shared" ca="1" si="33"/>
        <v>6964</v>
      </c>
      <c r="O187">
        <f t="shared" ca="1" si="34"/>
        <v>6964</v>
      </c>
      <c r="P187">
        <f t="shared" ca="1" si="35"/>
        <v>4975</v>
      </c>
      <c r="Q187">
        <v>29</v>
      </c>
      <c r="R187" t="str">
        <f t="shared" si="36"/>
        <v>Young</v>
      </c>
      <c r="S187" t="s">
        <v>34</v>
      </c>
      <c r="T187">
        <v>5</v>
      </c>
      <c r="U187" t="s">
        <v>25</v>
      </c>
      <c r="V187">
        <v>5730.83</v>
      </c>
      <c r="W187" t="s">
        <v>26</v>
      </c>
      <c r="X187" t="s">
        <v>27</v>
      </c>
      <c r="Y187">
        <v>16</v>
      </c>
      <c r="Z187" t="str">
        <f t="shared" si="37"/>
        <v>Bad Employee</v>
      </c>
      <c r="AA187" t="b">
        <f t="shared" si="38"/>
        <v>0</v>
      </c>
      <c r="AB187" t="b">
        <f>OR(Y187&gt;20, T187&gt;6)</f>
        <v>0</v>
      </c>
      <c r="AC187" t="str">
        <f>IF(OR(Y187&gt;20,T187&gt;6), "Good employee", "Bad Employee")</f>
        <v>Bad Employee</v>
      </c>
      <c r="AD187" t="s">
        <v>41</v>
      </c>
      <c r="AE187" t="s">
        <v>42</v>
      </c>
      <c r="AF187">
        <v>3</v>
      </c>
      <c r="AG187">
        <v>2015</v>
      </c>
      <c r="AH187" t="s">
        <v>30</v>
      </c>
      <c r="AI187">
        <v>168</v>
      </c>
      <c r="AJ187">
        <v>3.6</v>
      </c>
    </row>
    <row r="188" spans="1:36" x14ac:dyDescent="0.25">
      <c r="A188">
        <v>10187</v>
      </c>
      <c r="B188" t="s">
        <v>60</v>
      </c>
      <c r="C188" t="s">
        <v>32</v>
      </c>
      <c r="D188" t="s">
        <v>39</v>
      </c>
      <c r="E188" t="str">
        <f t="shared" si="26"/>
        <v>Jane Wilson is in IT Department</v>
      </c>
      <c r="F188" s="6" t="str">
        <f t="shared" si="27"/>
        <v>janewilson@gmail.com</v>
      </c>
      <c r="G188">
        <v>107830</v>
      </c>
      <c r="H188" t="str">
        <f t="shared" si="28"/>
        <v>High</v>
      </c>
      <c r="I188" s="3">
        <v>42072</v>
      </c>
      <c r="J188">
        <f t="shared" si="29"/>
        <v>2015</v>
      </c>
      <c r="K188">
        <f t="shared" si="30"/>
        <v>3</v>
      </c>
      <c r="L188">
        <f t="shared" si="31"/>
        <v>9</v>
      </c>
      <c r="M188" s="3">
        <f t="shared" ca="1" si="32"/>
        <v>46100</v>
      </c>
      <c r="N188">
        <f t="shared" ca="1" si="33"/>
        <v>4028</v>
      </c>
      <c r="O188">
        <f t="shared" ca="1" si="34"/>
        <v>4028</v>
      </c>
      <c r="P188">
        <f t="shared" ca="1" si="35"/>
        <v>2879</v>
      </c>
      <c r="Q188">
        <v>56</v>
      </c>
      <c r="R188" t="str">
        <f t="shared" si="36"/>
        <v>Old</v>
      </c>
      <c r="S188" t="s">
        <v>34</v>
      </c>
      <c r="T188">
        <v>9</v>
      </c>
      <c r="U188" t="s">
        <v>25</v>
      </c>
      <c r="V188">
        <v>2182.65</v>
      </c>
      <c r="W188" t="s">
        <v>58</v>
      </c>
      <c r="X188" t="s">
        <v>36</v>
      </c>
      <c r="Y188">
        <v>38</v>
      </c>
      <c r="Z188" t="str">
        <f t="shared" si="37"/>
        <v>Good Employee</v>
      </c>
      <c r="AA188" t="b">
        <f t="shared" si="38"/>
        <v>1</v>
      </c>
      <c r="AB188" t="b">
        <f>OR(Y188&gt;20, T188&gt;6)</f>
        <v>1</v>
      </c>
      <c r="AC188" t="str">
        <f>IF(OR(Y188&gt;20,T188&gt;6), "Good employee", "Bad Employee")</f>
        <v>Good employee</v>
      </c>
      <c r="AD188" t="s">
        <v>56</v>
      </c>
      <c r="AE188" t="s">
        <v>59</v>
      </c>
      <c r="AF188">
        <v>7</v>
      </c>
      <c r="AG188">
        <v>2016</v>
      </c>
      <c r="AH188" t="s">
        <v>43</v>
      </c>
      <c r="AI188">
        <v>93</v>
      </c>
      <c r="AJ188">
        <v>1.8</v>
      </c>
    </row>
    <row r="189" spans="1:36" x14ac:dyDescent="0.25">
      <c r="A189">
        <v>10188</v>
      </c>
      <c r="B189" t="s">
        <v>21</v>
      </c>
      <c r="C189" t="s">
        <v>65</v>
      </c>
      <c r="D189" t="s">
        <v>33</v>
      </c>
      <c r="E189" t="str">
        <f t="shared" si="26"/>
        <v>Michael Johnson is in Marketing Department</v>
      </c>
      <c r="F189" s="6" t="str">
        <f t="shared" si="27"/>
        <v>michaeljohnson@gmail.com</v>
      </c>
      <c r="G189">
        <v>50719</v>
      </c>
      <c r="H189" t="str">
        <f t="shared" si="28"/>
        <v>Medium</v>
      </c>
      <c r="I189" s="3">
        <v>41438</v>
      </c>
      <c r="J189">
        <f t="shared" si="29"/>
        <v>2013</v>
      </c>
      <c r="K189">
        <f t="shared" si="30"/>
        <v>6</v>
      </c>
      <c r="L189">
        <f t="shared" si="31"/>
        <v>13</v>
      </c>
      <c r="M189" s="3">
        <f t="shared" ca="1" si="32"/>
        <v>46100</v>
      </c>
      <c r="N189">
        <f t="shared" ca="1" si="33"/>
        <v>4662</v>
      </c>
      <c r="O189">
        <f t="shared" ca="1" si="34"/>
        <v>4662</v>
      </c>
      <c r="P189">
        <f t="shared" ca="1" si="35"/>
        <v>3331</v>
      </c>
      <c r="Q189">
        <v>63</v>
      </c>
      <c r="R189" t="str">
        <f t="shared" si="36"/>
        <v>Old</v>
      </c>
      <c r="S189" t="s">
        <v>24</v>
      </c>
      <c r="T189">
        <v>8</v>
      </c>
      <c r="U189" t="s">
        <v>25</v>
      </c>
      <c r="V189">
        <v>1908.21</v>
      </c>
      <c r="W189" t="s">
        <v>58</v>
      </c>
      <c r="X189" t="s">
        <v>55</v>
      </c>
      <c r="Y189">
        <v>35</v>
      </c>
      <c r="Z189" t="str">
        <f t="shared" si="37"/>
        <v>Good Employee</v>
      </c>
      <c r="AA189" t="b">
        <f t="shared" si="38"/>
        <v>1</v>
      </c>
      <c r="AB189" t="b">
        <f>OR(Y189&gt;20, T189&gt;6)</f>
        <v>1</v>
      </c>
      <c r="AC189" t="str">
        <f>IF(OR(Y189&gt;20,T189&gt;6), "Good employee", "Bad Employee")</f>
        <v>Good employee</v>
      </c>
      <c r="AD189" t="s">
        <v>28</v>
      </c>
      <c r="AE189" t="s">
        <v>37</v>
      </c>
      <c r="AF189">
        <v>19</v>
      </c>
      <c r="AG189">
        <v>2016</v>
      </c>
      <c r="AH189" t="s">
        <v>30</v>
      </c>
      <c r="AI189">
        <v>19</v>
      </c>
      <c r="AJ189">
        <v>2.1</v>
      </c>
    </row>
    <row r="190" spans="1:36" x14ac:dyDescent="0.25">
      <c r="A190">
        <v>10189</v>
      </c>
      <c r="B190" t="s">
        <v>21</v>
      </c>
      <c r="C190" t="s">
        <v>61</v>
      </c>
      <c r="D190" t="s">
        <v>54</v>
      </c>
      <c r="E190" t="str">
        <f t="shared" si="26"/>
        <v>Michael Smith is in Finance Department</v>
      </c>
      <c r="F190" s="6" t="str">
        <f t="shared" si="27"/>
        <v>michaelsmith@gmail.com</v>
      </c>
      <c r="G190">
        <v>77042</v>
      </c>
      <c r="H190" t="str">
        <f t="shared" si="28"/>
        <v>Medium</v>
      </c>
      <c r="I190" s="3">
        <v>38470</v>
      </c>
      <c r="J190">
        <f t="shared" si="29"/>
        <v>2005</v>
      </c>
      <c r="K190">
        <f t="shared" si="30"/>
        <v>4</v>
      </c>
      <c r="L190">
        <f t="shared" si="31"/>
        <v>28</v>
      </c>
      <c r="M190" s="3">
        <f t="shared" ca="1" si="32"/>
        <v>46100</v>
      </c>
      <c r="N190">
        <f t="shared" ca="1" si="33"/>
        <v>7630</v>
      </c>
      <c r="O190">
        <f t="shared" ca="1" si="34"/>
        <v>7630</v>
      </c>
      <c r="P190">
        <f t="shared" ca="1" si="35"/>
        <v>5451</v>
      </c>
      <c r="Q190">
        <v>34</v>
      </c>
      <c r="R190" t="str">
        <f t="shared" si="36"/>
        <v>Old</v>
      </c>
      <c r="S190" t="s">
        <v>24</v>
      </c>
      <c r="T190">
        <v>8</v>
      </c>
      <c r="U190" t="s">
        <v>45</v>
      </c>
      <c r="V190">
        <v>5952.85</v>
      </c>
      <c r="W190" t="s">
        <v>58</v>
      </c>
      <c r="X190" t="s">
        <v>55</v>
      </c>
      <c r="Y190">
        <v>29</v>
      </c>
      <c r="Z190" t="str">
        <f t="shared" si="37"/>
        <v>Good Employee</v>
      </c>
      <c r="AA190" t="b">
        <f t="shared" si="38"/>
        <v>1</v>
      </c>
      <c r="AB190" t="b">
        <f>OR(Y190&gt;20, T190&gt;6)</f>
        <v>1</v>
      </c>
      <c r="AC190" t="str">
        <f>IF(OR(Y190&gt;20,T190&gt;6), "Good employee", "Bad Employee")</f>
        <v>Good employee</v>
      </c>
      <c r="AD190" t="s">
        <v>56</v>
      </c>
      <c r="AE190" t="s">
        <v>42</v>
      </c>
      <c r="AF190">
        <v>12</v>
      </c>
      <c r="AG190">
        <v>2011</v>
      </c>
      <c r="AH190" t="s">
        <v>43</v>
      </c>
      <c r="AI190">
        <v>49</v>
      </c>
      <c r="AJ190">
        <v>1.3</v>
      </c>
    </row>
    <row r="191" spans="1:36" x14ac:dyDescent="0.25">
      <c r="A191">
        <v>10190</v>
      </c>
      <c r="B191" t="s">
        <v>64</v>
      </c>
      <c r="C191" t="s">
        <v>63</v>
      </c>
      <c r="D191" t="s">
        <v>33</v>
      </c>
      <c r="E191" t="str">
        <f t="shared" si="26"/>
        <v>Katie Miller is in Marketing Department</v>
      </c>
      <c r="F191" s="6" t="str">
        <f t="shared" si="27"/>
        <v>katiemiller@gmail.com</v>
      </c>
      <c r="G191">
        <v>79116</v>
      </c>
      <c r="H191" t="str">
        <f t="shared" si="28"/>
        <v>Medium</v>
      </c>
      <c r="I191" s="3">
        <v>39671</v>
      </c>
      <c r="J191">
        <f t="shared" si="29"/>
        <v>2008</v>
      </c>
      <c r="K191">
        <f t="shared" si="30"/>
        <v>8</v>
      </c>
      <c r="L191">
        <f t="shared" si="31"/>
        <v>11</v>
      </c>
      <c r="M191" s="3">
        <f t="shared" ca="1" si="32"/>
        <v>46100</v>
      </c>
      <c r="N191">
        <f t="shared" ca="1" si="33"/>
        <v>6429</v>
      </c>
      <c r="O191">
        <f t="shared" ca="1" si="34"/>
        <v>6429</v>
      </c>
      <c r="P191">
        <f t="shared" ca="1" si="35"/>
        <v>4594</v>
      </c>
      <c r="Q191">
        <v>62</v>
      </c>
      <c r="R191" t="str">
        <f t="shared" si="36"/>
        <v>Old</v>
      </c>
      <c r="S191" t="s">
        <v>34</v>
      </c>
      <c r="T191">
        <v>1</v>
      </c>
      <c r="U191" t="s">
        <v>25</v>
      </c>
      <c r="V191">
        <v>3981.89</v>
      </c>
      <c r="W191" t="s">
        <v>26</v>
      </c>
      <c r="X191" t="s">
        <v>47</v>
      </c>
      <c r="Y191">
        <v>39</v>
      </c>
      <c r="Z191" t="str">
        <f t="shared" si="37"/>
        <v>Bad Employee</v>
      </c>
      <c r="AA191" t="b">
        <f t="shared" si="38"/>
        <v>0</v>
      </c>
      <c r="AB191" t="b">
        <f>OR(Y191&gt;20, T191&gt;6)</f>
        <v>1</v>
      </c>
      <c r="AC191" t="str">
        <f>IF(OR(Y191&gt;20,T191&gt;6), "Good employee", "Bad Employee")</f>
        <v>Good employee</v>
      </c>
      <c r="AD191" t="s">
        <v>56</v>
      </c>
      <c r="AE191" t="s">
        <v>59</v>
      </c>
      <c r="AF191">
        <v>16</v>
      </c>
      <c r="AG191">
        <v>2023</v>
      </c>
      <c r="AH191" t="s">
        <v>49</v>
      </c>
      <c r="AI191">
        <v>126</v>
      </c>
      <c r="AJ191">
        <v>4.8</v>
      </c>
    </row>
    <row r="192" spans="1:36" x14ac:dyDescent="0.25">
      <c r="A192">
        <v>10191</v>
      </c>
      <c r="B192" t="s">
        <v>21</v>
      </c>
      <c r="C192" t="s">
        <v>57</v>
      </c>
      <c r="D192" t="s">
        <v>52</v>
      </c>
      <c r="E192" t="str">
        <f t="shared" si="26"/>
        <v>Michael Davis is in Operations Department</v>
      </c>
      <c r="F192" s="6" t="str">
        <f t="shared" si="27"/>
        <v>michaeldavis@gmail.com</v>
      </c>
      <c r="G192">
        <v>56325</v>
      </c>
      <c r="H192" t="str">
        <f t="shared" si="28"/>
        <v>Medium</v>
      </c>
      <c r="I192" s="3">
        <v>39284</v>
      </c>
      <c r="J192">
        <f t="shared" si="29"/>
        <v>2007</v>
      </c>
      <c r="K192">
        <f t="shared" si="30"/>
        <v>7</v>
      </c>
      <c r="L192">
        <f t="shared" si="31"/>
        <v>21</v>
      </c>
      <c r="M192" s="3">
        <f t="shared" ca="1" si="32"/>
        <v>46100</v>
      </c>
      <c r="N192">
        <f t="shared" ca="1" si="33"/>
        <v>6816</v>
      </c>
      <c r="O192">
        <f t="shared" ca="1" si="34"/>
        <v>6816</v>
      </c>
      <c r="P192">
        <f t="shared" ca="1" si="35"/>
        <v>4869</v>
      </c>
      <c r="Q192">
        <v>27</v>
      </c>
      <c r="R192" t="str">
        <f t="shared" si="36"/>
        <v>Young</v>
      </c>
      <c r="S192" t="s">
        <v>34</v>
      </c>
      <c r="T192">
        <v>1</v>
      </c>
      <c r="U192" t="s">
        <v>25</v>
      </c>
      <c r="V192">
        <v>5801.46</v>
      </c>
      <c r="W192" t="s">
        <v>35</v>
      </c>
      <c r="X192" t="s">
        <v>27</v>
      </c>
      <c r="Y192">
        <v>17</v>
      </c>
      <c r="Z192" t="str">
        <f t="shared" si="37"/>
        <v>Bad Employee</v>
      </c>
      <c r="AA192" t="b">
        <f t="shared" si="38"/>
        <v>0</v>
      </c>
      <c r="AB192" t="b">
        <f>OR(Y192&gt;20, T192&gt;6)</f>
        <v>0</v>
      </c>
      <c r="AC192" t="str">
        <f>IF(OR(Y192&gt;20,T192&gt;6), "Good employee", "Bad Employee")</f>
        <v>Bad Employee</v>
      </c>
      <c r="AD192" t="s">
        <v>28</v>
      </c>
      <c r="AE192" t="s">
        <v>37</v>
      </c>
      <c r="AF192">
        <v>14</v>
      </c>
      <c r="AG192">
        <v>2020</v>
      </c>
      <c r="AH192" t="s">
        <v>30</v>
      </c>
      <c r="AI192">
        <v>66</v>
      </c>
      <c r="AJ192">
        <v>4.5</v>
      </c>
    </row>
    <row r="193" spans="1:36" x14ac:dyDescent="0.25">
      <c r="A193">
        <v>10192</v>
      </c>
      <c r="B193" t="s">
        <v>50</v>
      </c>
      <c r="C193" t="s">
        <v>51</v>
      </c>
      <c r="D193" t="s">
        <v>33</v>
      </c>
      <c r="E193" t="str">
        <f t="shared" si="26"/>
        <v>Alex Brown is in Marketing Department</v>
      </c>
      <c r="F193" s="6" t="str">
        <f t="shared" si="27"/>
        <v>alexbrown@gmail.com</v>
      </c>
      <c r="G193">
        <v>52597</v>
      </c>
      <c r="H193" t="str">
        <f t="shared" si="28"/>
        <v>Medium</v>
      </c>
      <c r="I193" s="3">
        <v>41837</v>
      </c>
      <c r="J193">
        <f t="shared" si="29"/>
        <v>2014</v>
      </c>
      <c r="K193">
        <f t="shared" si="30"/>
        <v>7</v>
      </c>
      <c r="L193">
        <f t="shared" si="31"/>
        <v>17</v>
      </c>
      <c r="M193" s="3">
        <f t="shared" ca="1" si="32"/>
        <v>46100</v>
      </c>
      <c r="N193">
        <f t="shared" ca="1" si="33"/>
        <v>4263</v>
      </c>
      <c r="O193">
        <f t="shared" ca="1" si="34"/>
        <v>4263</v>
      </c>
      <c r="P193">
        <f t="shared" ca="1" si="35"/>
        <v>3046</v>
      </c>
      <c r="Q193">
        <v>37</v>
      </c>
      <c r="R193" t="str">
        <f t="shared" si="36"/>
        <v>Old</v>
      </c>
      <c r="S193" t="s">
        <v>34</v>
      </c>
      <c r="T193">
        <v>2</v>
      </c>
      <c r="U193" t="s">
        <v>45</v>
      </c>
      <c r="V193">
        <v>5235.54</v>
      </c>
      <c r="W193" t="s">
        <v>35</v>
      </c>
      <c r="X193" t="s">
        <v>27</v>
      </c>
      <c r="Y193">
        <v>26</v>
      </c>
      <c r="Z193" t="str">
        <f t="shared" si="37"/>
        <v>Bad Employee</v>
      </c>
      <c r="AA193" t="b">
        <f t="shared" si="38"/>
        <v>0</v>
      </c>
      <c r="AB193" t="b">
        <f>OR(Y193&gt;20, T193&gt;6)</f>
        <v>1</v>
      </c>
      <c r="AC193" t="str">
        <f>IF(OR(Y193&gt;20,T193&gt;6), "Good employee", "Bad Employee")</f>
        <v>Good employee</v>
      </c>
      <c r="AD193" t="s">
        <v>41</v>
      </c>
      <c r="AE193" t="s">
        <v>62</v>
      </c>
      <c r="AF193">
        <v>0</v>
      </c>
      <c r="AG193">
        <v>2011</v>
      </c>
      <c r="AH193" t="s">
        <v>43</v>
      </c>
      <c r="AI193">
        <v>96</v>
      </c>
      <c r="AJ193">
        <v>1.3</v>
      </c>
    </row>
    <row r="194" spans="1:36" x14ac:dyDescent="0.25">
      <c r="A194">
        <v>10193</v>
      </c>
      <c r="B194" t="s">
        <v>66</v>
      </c>
      <c r="C194" t="s">
        <v>61</v>
      </c>
      <c r="D194" t="s">
        <v>52</v>
      </c>
      <c r="E194" t="str">
        <f t="shared" si="26"/>
        <v>John Smith is in Operations Department</v>
      </c>
      <c r="F194" s="6" t="str">
        <f t="shared" si="27"/>
        <v>johnsmith@gmail.com</v>
      </c>
      <c r="G194">
        <v>97439</v>
      </c>
      <c r="H194" t="str">
        <f t="shared" si="28"/>
        <v>High</v>
      </c>
      <c r="I194" s="3">
        <v>39786</v>
      </c>
      <c r="J194">
        <f t="shared" si="29"/>
        <v>2008</v>
      </c>
      <c r="K194">
        <f t="shared" si="30"/>
        <v>12</v>
      </c>
      <c r="L194">
        <f t="shared" si="31"/>
        <v>4</v>
      </c>
      <c r="M194" s="3">
        <f t="shared" ca="1" si="32"/>
        <v>46100</v>
      </c>
      <c r="N194">
        <f t="shared" ca="1" si="33"/>
        <v>6314</v>
      </c>
      <c r="O194">
        <f t="shared" ca="1" si="34"/>
        <v>6314</v>
      </c>
      <c r="P194">
        <f t="shared" ca="1" si="35"/>
        <v>4511</v>
      </c>
      <c r="Q194">
        <v>26</v>
      </c>
      <c r="R194" t="str">
        <f t="shared" si="36"/>
        <v>Young</v>
      </c>
      <c r="S194" t="s">
        <v>24</v>
      </c>
      <c r="T194">
        <v>8</v>
      </c>
      <c r="U194" t="s">
        <v>25</v>
      </c>
      <c r="V194">
        <v>6220.88</v>
      </c>
      <c r="W194" t="s">
        <v>35</v>
      </c>
      <c r="X194" t="s">
        <v>47</v>
      </c>
      <c r="Y194">
        <v>20</v>
      </c>
      <c r="Z194" t="str">
        <f t="shared" si="37"/>
        <v>Bad Employee</v>
      </c>
      <c r="AA194" t="b">
        <f t="shared" si="38"/>
        <v>0</v>
      </c>
      <c r="AB194" t="b">
        <f>OR(Y194&gt;20, T194&gt;6)</f>
        <v>1</v>
      </c>
      <c r="AC194" t="str">
        <f>IF(OR(Y194&gt;20,T194&gt;6), "Good employee", "Bad Employee")</f>
        <v>Good employee</v>
      </c>
      <c r="AD194" t="s">
        <v>56</v>
      </c>
      <c r="AE194" t="s">
        <v>29</v>
      </c>
      <c r="AF194">
        <v>2</v>
      </c>
      <c r="AG194">
        <v>2013</v>
      </c>
      <c r="AH194" t="s">
        <v>49</v>
      </c>
      <c r="AI194">
        <v>182</v>
      </c>
      <c r="AJ194">
        <v>3.3</v>
      </c>
    </row>
    <row r="195" spans="1:36" x14ac:dyDescent="0.25">
      <c r="A195">
        <v>10194</v>
      </c>
      <c r="B195" t="s">
        <v>21</v>
      </c>
      <c r="C195" t="s">
        <v>57</v>
      </c>
      <c r="D195" t="s">
        <v>23</v>
      </c>
      <c r="E195" t="str">
        <f t="shared" ref="E195:E258" si="39">CONCATENATE(B195, " ", C195, " is in ", D195, " Department")</f>
        <v>Michael Davis is in HR Department</v>
      </c>
      <c r="F195" s="6" t="str">
        <f t="shared" ref="F195:F258" si="40">LOWER(CONCATENATE(B195, C195, "@gmail.com"))</f>
        <v>michaeldavis@gmail.com</v>
      </c>
      <c r="G195">
        <v>44551</v>
      </c>
      <c r="H195" t="str">
        <f t="shared" ref="H195:H258" si="41">IF(G195&gt;80000, "High", IF(G195&gt;50000, "Medium", IF(G195&gt;40000, "low", "extremely low")))</f>
        <v>low</v>
      </c>
      <c r="I195" s="3">
        <v>40633</v>
      </c>
      <c r="J195">
        <f t="shared" ref="J195:J258" si="42">YEAR(I195)</f>
        <v>2011</v>
      </c>
      <c r="K195">
        <f t="shared" ref="K195:K258" si="43">MONTH(I195)</f>
        <v>3</v>
      </c>
      <c r="L195">
        <f t="shared" ref="L195:L258" si="44">DAY(I195)</f>
        <v>31</v>
      </c>
      <c r="M195" s="3">
        <f t="shared" ref="M195:M258" ca="1" si="45">TODAY()</f>
        <v>46100</v>
      </c>
      <c r="N195">
        <f t="shared" ref="N195:N258" ca="1" si="46">M195-I195</f>
        <v>5467</v>
      </c>
      <c r="O195">
        <f t="shared" ref="O195:O258" ca="1" si="47">DATEDIF(I195,M195, "d")</f>
        <v>5467</v>
      </c>
      <c r="P195">
        <f t="shared" ref="P195:P258" ca="1" si="48">NETWORKDAYS(I195, M195)</f>
        <v>3906</v>
      </c>
      <c r="Q195">
        <v>55</v>
      </c>
      <c r="R195" t="str">
        <f t="shared" ref="R195:R258" si="49">IF(Q195&gt;30, "Old", "Young")</f>
        <v>Old</v>
      </c>
      <c r="S195" t="s">
        <v>24</v>
      </c>
      <c r="T195">
        <v>1</v>
      </c>
      <c r="U195" t="s">
        <v>25</v>
      </c>
      <c r="V195">
        <v>805.06</v>
      </c>
      <c r="W195" t="s">
        <v>46</v>
      </c>
      <c r="X195" t="s">
        <v>55</v>
      </c>
      <c r="Y195">
        <v>25</v>
      </c>
      <c r="Z195" t="str">
        <f t="shared" ref="Z195:Z258" si="50" xml:space="preserve"> IF(AND(Y195&gt;20, T195&gt;6), "Good Employee", "Bad Employee")</f>
        <v>Bad Employee</v>
      </c>
      <c r="AA195" t="b">
        <f t="shared" ref="AA195:AA258" si="51">AND(Y195&gt;20, T195&gt;6)</f>
        <v>0</v>
      </c>
      <c r="AB195" t="b">
        <f>OR(Y195&gt;20, T195&gt;6)</f>
        <v>1</v>
      </c>
      <c r="AC195" t="str">
        <f>IF(OR(Y195&gt;20,T195&gt;6), "Good employee", "Bad Employee")</f>
        <v>Good employee</v>
      </c>
      <c r="AD195" t="s">
        <v>56</v>
      </c>
      <c r="AE195" t="s">
        <v>59</v>
      </c>
      <c r="AF195">
        <v>16</v>
      </c>
      <c r="AG195">
        <v>2015</v>
      </c>
      <c r="AH195" t="s">
        <v>49</v>
      </c>
      <c r="AI195">
        <v>17</v>
      </c>
      <c r="AJ195">
        <v>4.8</v>
      </c>
    </row>
    <row r="196" spans="1:36" x14ac:dyDescent="0.25">
      <c r="A196">
        <v>10195</v>
      </c>
      <c r="B196" t="s">
        <v>21</v>
      </c>
      <c r="C196" t="s">
        <v>51</v>
      </c>
      <c r="D196" t="s">
        <v>23</v>
      </c>
      <c r="E196" t="str">
        <f t="shared" si="39"/>
        <v>Michael Brown is in HR Department</v>
      </c>
      <c r="F196" s="6" t="str">
        <f t="shared" si="40"/>
        <v>michaelbrown@gmail.com</v>
      </c>
      <c r="G196">
        <v>54278</v>
      </c>
      <c r="H196" t="str">
        <f t="shared" si="41"/>
        <v>Medium</v>
      </c>
      <c r="I196" s="3">
        <v>42908</v>
      </c>
      <c r="J196">
        <f t="shared" si="42"/>
        <v>2017</v>
      </c>
      <c r="K196">
        <f t="shared" si="43"/>
        <v>6</v>
      </c>
      <c r="L196">
        <f t="shared" si="44"/>
        <v>22</v>
      </c>
      <c r="M196" s="3">
        <f t="shared" ca="1" si="45"/>
        <v>46100</v>
      </c>
      <c r="N196">
        <f t="shared" ca="1" si="46"/>
        <v>3192</v>
      </c>
      <c r="O196">
        <f t="shared" ca="1" si="47"/>
        <v>3192</v>
      </c>
      <c r="P196">
        <f t="shared" ca="1" si="48"/>
        <v>2281</v>
      </c>
      <c r="Q196">
        <v>27</v>
      </c>
      <c r="R196" t="str">
        <f t="shared" si="49"/>
        <v>Young</v>
      </c>
      <c r="S196" t="s">
        <v>34</v>
      </c>
      <c r="T196">
        <v>4</v>
      </c>
      <c r="U196" t="s">
        <v>45</v>
      </c>
      <c r="V196">
        <v>811.95</v>
      </c>
      <c r="W196" t="s">
        <v>26</v>
      </c>
      <c r="X196" t="s">
        <v>27</v>
      </c>
      <c r="Y196">
        <v>38</v>
      </c>
      <c r="Z196" t="str">
        <f t="shared" si="50"/>
        <v>Bad Employee</v>
      </c>
      <c r="AA196" t="b">
        <f t="shared" si="51"/>
        <v>0</v>
      </c>
      <c r="AB196" t="b">
        <f>OR(Y196&gt;20, T196&gt;6)</f>
        <v>1</v>
      </c>
      <c r="AC196" t="str">
        <f>IF(OR(Y196&gt;20,T196&gt;6), "Good employee", "Bad Employee")</f>
        <v>Good employee</v>
      </c>
      <c r="AD196" t="s">
        <v>28</v>
      </c>
      <c r="AE196" t="s">
        <v>42</v>
      </c>
      <c r="AF196">
        <v>3</v>
      </c>
      <c r="AG196">
        <v>2013</v>
      </c>
      <c r="AH196" t="s">
        <v>43</v>
      </c>
      <c r="AI196">
        <v>109</v>
      </c>
      <c r="AJ196">
        <v>4</v>
      </c>
    </row>
    <row r="197" spans="1:36" x14ac:dyDescent="0.25">
      <c r="A197">
        <v>10196</v>
      </c>
      <c r="B197" t="s">
        <v>60</v>
      </c>
      <c r="C197" t="s">
        <v>22</v>
      </c>
      <c r="D197" t="s">
        <v>52</v>
      </c>
      <c r="E197" t="str">
        <f t="shared" si="39"/>
        <v>Jane Williams is in Operations Department</v>
      </c>
      <c r="F197" s="6" t="str">
        <f t="shared" si="40"/>
        <v>janewilliams@gmail.com</v>
      </c>
      <c r="G197">
        <v>45141</v>
      </c>
      <c r="H197" t="str">
        <f t="shared" si="41"/>
        <v>low</v>
      </c>
      <c r="I197" s="3">
        <v>38421</v>
      </c>
      <c r="J197">
        <f t="shared" si="42"/>
        <v>2005</v>
      </c>
      <c r="K197">
        <f t="shared" si="43"/>
        <v>3</v>
      </c>
      <c r="L197">
        <f t="shared" si="44"/>
        <v>10</v>
      </c>
      <c r="M197" s="3">
        <f t="shared" ca="1" si="45"/>
        <v>46100</v>
      </c>
      <c r="N197">
        <f t="shared" ca="1" si="46"/>
        <v>7679</v>
      </c>
      <c r="O197">
        <f t="shared" ca="1" si="47"/>
        <v>7679</v>
      </c>
      <c r="P197">
        <f t="shared" ca="1" si="48"/>
        <v>5486</v>
      </c>
      <c r="Q197">
        <v>54</v>
      </c>
      <c r="R197" t="str">
        <f t="shared" si="49"/>
        <v>Old</v>
      </c>
      <c r="S197" t="s">
        <v>34</v>
      </c>
      <c r="T197">
        <v>9</v>
      </c>
      <c r="U197" t="s">
        <v>25</v>
      </c>
      <c r="V197">
        <v>7355.15</v>
      </c>
      <c r="W197" t="s">
        <v>58</v>
      </c>
      <c r="X197" t="s">
        <v>36</v>
      </c>
      <c r="Y197">
        <v>39</v>
      </c>
      <c r="Z197" t="str">
        <f t="shared" si="50"/>
        <v>Good Employee</v>
      </c>
      <c r="AA197" t="b">
        <f t="shared" si="51"/>
        <v>1</v>
      </c>
      <c r="AB197" t="b">
        <f>OR(Y197&gt;20, T197&gt;6)</f>
        <v>1</v>
      </c>
      <c r="AC197" t="str">
        <f>IF(OR(Y197&gt;20,T197&gt;6), "Good employee", "Bad Employee")</f>
        <v>Good employee</v>
      </c>
      <c r="AD197" t="s">
        <v>28</v>
      </c>
      <c r="AE197" t="s">
        <v>42</v>
      </c>
      <c r="AF197">
        <v>7</v>
      </c>
      <c r="AG197">
        <v>2015</v>
      </c>
      <c r="AH197" t="s">
        <v>43</v>
      </c>
      <c r="AI197">
        <v>163</v>
      </c>
      <c r="AJ197">
        <v>3</v>
      </c>
    </row>
    <row r="198" spans="1:36" x14ac:dyDescent="0.25">
      <c r="A198">
        <v>10197</v>
      </c>
      <c r="B198" t="s">
        <v>60</v>
      </c>
      <c r="C198" t="s">
        <v>61</v>
      </c>
      <c r="D198" t="s">
        <v>52</v>
      </c>
      <c r="E198" t="str">
        <f t="shared" si="39"/>
        <v>Jane Smith is in Operations Department</v>
      </c>
      <c r="F198" s="6" t="str">
        <f t="shared" si="40"/>
        <v>janesmith@gmail.com</v>
      </c>
      <c r="G198">
        <v>97913</v>
      </c>
      <c r="H198" t="str">
        <f t="shared" si="41"/>
        <v>High</v>
      </c>
      <c r="I198" s="3">
        <v>39026</v>
      </c>
      <c r="J198">
        <f t="shared" si="42"/>
        <v>2006</v>
      </c>
      <c r="K198">
        <f t="shared" si="43"/>
        <v>11</v>
      </c>
      <c r="L198">
        <f t="shared" si="44"/>
        <v>5</v>
      </c>
      <c r="M198" s="3">
        <f t="shared" ca="1" si="45"/>
        <v>46100</v>
      </c>
      <c r="N198">
        <f t="shared" ca="1" si="46"/>
        <v>7074</v>
      </c>
      <c r="O198">
        <f t="shared" ca="1" si="47"/>
        <v>7074</v>
      </c>
      <c r="P198">
        <f t="shared" ca="1" si="48"/>
        <v>5054</v>
      </c>
      <c r="Q198">
        <v>36</v>
      </c>
      <c r="R198" t="str">
        <f t="shared" si="49"/>
        <v>Old</v>
      </c>
      <c r="S198" t="s">
        <v>34</v>
      </c>
      <c r="T198">
        <v>2</v>
      </c>
      <c r="U198" t="s">
        <v>45</v>
      </c>
      <c r="V198">
        <v>2334.71</v>
      </c>
      <c r="W198" t="s">
        <v>26</v>
      </c>
      <c r="X198" t="s">
        <v>27</v>
      </c>
      <c r="Y198">
        <v>37</v>
      </c>
      <c r="Z198" t="str">
        <f t="shared" si="50"/>
        <v>Bad Employee</v>
      </c>
      <c r="AA198" t="b">
        <f t="shared" si="51"/>
        <v>0</v>
      </c>
      <c r="AB198" t="b">
        <f>OR(Y198&gt;20, T198&gt;6)</f>
        <v>1</v>
      </c>
      <c r="AC198" t="str">
        <f>IF(OR(Y198&gt;20,T198&gt;6), "Good employee", "Bad Employee")</f>
        <v>Good employee</v>
      </c>
      <c r="AD198" t="s">
        <v>28</v>
      </c>
      <c r="AE198" t="s">
        <v>62</v>
      </c>
      <c r="AF198">
        <v>14</v>
      </c>
      <c r="AG198">
        <v>2014</v>
      </c>
      <c r="AH198" t="s">
        <v>30</v>
      </c>
      <c r="AI198">
        <v>9</v>
      </c>
      <c r="AJ198">
        <v>2</v>
      </c>
    </row>
    <row r="199" spans="1:36" x14ac:dyDescent="0.25">
      <c r="A199">
        <v>10198</v>
      </c>
      <c r="B199" t="s">
        <v>31</v>
      </c>
      <c r="C199" t="s">
        <v>61</v>
      </c>
      <c r="D199" t="s">
        <v>33</v>
      </c>
      <c r="E199" t="str">
        <f t="shared" si="39"/>
        <v>Emily Smith is in Marketing Department</v>
      </c>
      <c r="F199" s="6" t="str">
        <f t="shared" si="40"/>
        <v>emilysmith@gmail.com</v>
      </c>
      <c r="G199">
        <v>63615</v>
      </c>
      <c r="H199" t="str">
        <f t="shared" si="41"/>
        <v>Medium</v>
      </c>
      <c r="I199" s="3">
        <v>43052</v>
      </c>
      <c r="J199">
        <f t="shared" si="42"/>
        <v>2017</v>
      </c>
      <c r="K199">
        <f t="shared" si="43"/>
        <v>11</v>
      </c>
      <c r="L199">
        <f t="shared" si="44"/>
        <v>13</v>
      </c>
      <c r="M199" s="3">
        <f t="shared" ca="1" si="45"/>
        <v>46100</v>
      </c>
      <c r="N199">
        <f t="shared" ca="1" si="46"/>
        <v>3048</v>
      </c>
      <c r="O199">
        <f t="shared" ca="1" si="47"/>
        <v>3048</v>
      </c>
      <c r="P199">
        <f t="shared" ca="1" si="48"/>
        <v>2179</v>
      </c>
      <c r="Q199">
        <v>36</v>
      </c>
      <c r="R199" t="str">
        <f t="shared" si="49"/>
        <v>Old</v>
      </c>
      <c r="S199" t="s">
        <v>34</v>
      </c>
      <c r="T199">
        <v>3</v>
      </c>
      <c r="U199" t="s">
        <v>45</v>
      </c>
      <c r="V199">
        <v>6695.89</v>
      </c>
      <c r="W199" t="s">
        <v>26</v>
      </c>
      <c r="X199" t="s">
        <v>55</v>
      </c>
      <c r="Y199">
        <v>19</v>
      </c>
      <c r="Z199" t="str">
        <f t="shared" si="50"/>
        <v>Bad Employee</v>
      </c>
      <c r="AA199" t="b">
        <f t="shared" si="51"/>
        <v>0</v>
      </c>
      <c r="AB199" t="b">
        <f>OR(Y199&gt;20, T199&gt;6)</f>
        <v>0</v>
      </c>
      <c r="AC199" t="str">
        <f>IF(OR(Y199&gt;20,T199&gt;6), "Good employee", "Bad Employee")</f>
        <v>Bad Employee</v>
      </c>
      <c r="AD199" t="s">
        <v>56</v>
      </c>
      <c r="AE199" t="s">
        <v>59</v>
      </c>
      <c r="AF199">
        <v>7</v>
      </c>
      <c r="AG199">
        <v>2015</v>
      </c>
      <c r="AH199" t="s">
        <v>49</v>
      </c>
      <c r="AI199">
        <v>87</v>
      </c>
      <c r="AJ199">
        <v>2.1</v>
      </c>
    </row>
    <row r="200" spans="1:36" x14ac:dyDescent="0.25">
      <c r="A200">
        <v>10199</v>
      </c>
      <c r="B200" t="s">
        <v>38</v>
      </c>
      <c r="C200" t="s">
        <v>22</v>
      </c>
      <c r="D200" t="s">
        <v>52</v>
      </c>
      <c r="E200" t="str">
        <f t="shared" si="39"/>
        <v>Chris Williams is in Operations Department</v>
      </c>
      <c r="F200" s="6" t="str">
        <f t="shared" si="40"/>
        <v>chriswilliams@gmail.com</v>
      </c>
      <c r="G200">
        <v>92751</v>
      </c>
      <c r="H200" t="str">
        <f t="shared" si="41"/>
        <v>High</v>
      </c>
      <c r="I200" s="3">
        <v>39355</v>
      </c>
      <c r="J200">
        <f t="shared" si="42"/>
        <v>2007</v>
      </c>
      <c r="K200">
        <f t="shared" si="43"/>
        <v>9</v>
      </c>
      <c r="L200">
        <f t="shared" si="44"/>
        <v>30</v>
      </c>
      <c r="M200" s="3">
        <f t="shared" ca="1" si="45"/>
        <v>46100</v>
      </c>
      <c r="N200">
        <f t="shared" ca="1" si="46"/>
        <v>6745</v>
      </c>
      <c r="O200">
        <f t="shared" ca="1" si="47"/>
        <v>6745</v>
      </c>
      <c r="P200">
        <f t="shared" ca="1" si="48"/>
        <v>4819</v>
      </c>
      <c r="Q200">
        <v>35</v>
      </c>
      <c r="R200" t="str">
        <f t="shared" si="49"/>
        <v>Old</v>
      </c>
      <c r="S200" t="s">
        <v>24</v>
      </c>
      <c r="T200">
        <v>6</v>
      </c>
      <c r="U200" t="s">
        <v>45</v>
      </c>
      <c r="V200">
        <v>5692.47</v>
      </c>
      <c r="W200" t="s">
        <v>26</v>
      </c>
      <c r="X200" t="s">
        <v>27</v>
      </c>
      <c r="Y200">
        <v>21</v>
      </c>
      <c r="Z200" t="str">
        <f t="shared" si="50"/>
        <v>Bad Employee</v>
      </c>
      <c r="AA200" t="b">
        <f t="shared" si="51"/>
        <v>0</v>
      </c>
      <c r="AB200" t="b">
        <f>OR(Y200&gt;20, T200&gt;6)</f>
        <v>1</v>
      </c>
      <c r="AC200" t="str">
        <f>IF(OR(Y200&gt;20,T200&gt;6), "Good employee", "Bad Employee")</f>
        <v>Good employee</v>
      </c>
      <c r="AD200" t="s">
        <v>41</v>
      </c>
      <c r="AE200" t="s">
        <v>62</v>
      </c>
      <c r="AF200">
        <v>13</v>
      </c>
      <c r="AG200">
        <v>2018</v>
      </c>
      <c r="AH200" t="s">
        <v>49</v>
      </c>
      <c r="AI200">
        <v>140</v>
      </c>
      <c r="AJ200">
        <v>3.9</v>
      </c>
    </row>
    <row r="201" spans="1:36" x14ac:dyDescent="0.25">
      <c r="A201">
        <v>10200</v>
      </c>
      <c r="B201" t="s">
        <v>50</v>
      </c>
      <c r="C201" t="s">
        <v>22</v>
      </c>
      <c r="D201" t="s">
        <v>54</v>
      </c>
      <c r="E201" t="str">
        <f t="shared" si="39"/>
        <v>Alex Williams is in Finance Department</v>
      </c>
      <c r="F201" s="6" t="str">
        <f t="shared" si="40"/>
        <v>alexwilliams@gmail.com</v>
      </c>
      <c r="G201">
        <v>57452</v>
      </c>
      <c r="H201" t="str">
        <f t="shared" si="41"/>
        <v>Medium</v>
      </c>
      <c r="I201" s="3">
        <v>40399</v>
      </c>
      <c r="J201">
        <f t="shared" si="42"/>
        <v>2010</v>
      </c>
      <c r="K201">
        <f t="shared" si="43"/>
        <v>8</v>
      </c>
      <c r="L201">
        <f t="shared" si="44"/>
        <v>9</v>
      </c>
      <c r="M201" s="3">
        <f t="shared" ca="1" si="45"/>
        <v>46100</v>
      </c>
      <c r="N201">
        <f t="shared" ca="1" si="46"/>
        <v>5701</v>
      </c>
      <c r="O201">
        <f t="shared" ca="1" si="47"/>
        <v>5701</v>
      </c>
      <c r="P201">
        <f t="shared" ca="1" si="48"/>
        <v>4074</v>
      </c>
      <c r="Q201">
        <v>60</v>
      </c>
      <c r="R201" t="str">
        <f t="shared" si="49"/>
        <v>Old</v>
      </c>
      <c r="S201" t="s">
        <v>34</v>
      </c>
      <c r="T201">
        <v>3</v>
      </c>
      <c r="U201" t="s">
        <v>45</v>
      </c>
      <c r="V201">
        <v>9827.0499999999993</v>
      </c>
      <c r="W201" t="s">
        <v>58</v>
      </c>
      <c r="X201" t="s">
        <v>27</v>
      </c>
      <c r="Y201">
        <v>32</v>
      </c>
      <c r="Z201" t="str">
        <f t="shared" si="50"/>
        <v>Bad Employee</v>
      </c>
      <c r="AA201" t="b">
        <f t="shared" si="51"/>
        <v>0</v>
      </c>
      <c r="AB201" t="b">
        <f>OR(Y201&gt;20, T201&gt;6)</f>
        <v>1</v>
      </c>
      <c r="AC201" t="str">
        <f>IF(OR(Y201&gt;20,T201&gt;6), "Good employee", "Bad Employee")</f>
        <v>Good employee</v>
      </c>
      <c r="AD201" t="s">
        <v>41</v>
      </c>
      <c r="AE201" t="s">
        <v>59</v>
      </c>
      <c r="AF201">
        <v>5</v>
      </c>
      <c r="AG201">
        <v>2015</v>
      </c>
      <c r="AH201" t="s">
        <v>43</v>
      </c>
      <c r="AI201">
        <v>145</v>
      </c>
      <c r="AJ201">
        <v>4.0999999999999996</v>
      </c>
    </row>
    <row r="202" spans="1:36" x14ac:dyDescent="0.25">
      <c r="A202">
        <v>10201</v>
      </c>
      <c r="B202" t="s">
        <v>21</v>
      </c>
      <c r="C202" t="s">
        <v>61</v>
      </c>
      <c r="D202" t="s">
        <v>23</v>
      </c>
      <c r="E202" t="str">
        <f t="shared" si="39"/>
        <v>Michael Smith is in HR Department</v>
      </c>
      <c r="F202" s="6" t="str">
        <f t="shared" si="40"/>
        <v>michaelsmith@gmail.com</v>
      </c>
      <c r="G202">
        <v>52725</v>
      </c>
      <c r="H202" t="str">
        <f t="shared" si="41"/>
        <v>Medium</v>
      </c>
      <c r="I202" s="3">
        <v>36573</v>
      </c>
      <c r="J202">
        <f t="shared" si="42"/>
        <v>2000</v>
      </c>
      <c r="K202">
        <f t="shared" si="43"/>
        <v>2</v>
      </c>
      <c r="L202">
        <f t="shared" si="44"/>
        <v>17</v>
      </c>
      <c r="M202" s="3">
        <f t="shared" ca="1" si="45"/>
        <v>46100</v>
      </c>
      <c r="N202">
        <f t="shared" ca="1" si="46"/>
        <v>9527</v>
      </c>
      <c r="O202">
        <f t="shared" ca="1" si="47"/>
        <v>9527</v>
      </c>
      <c r="P202">
        <f t="shared" ca="1" si="48"/>
        <v>6806</v>
      </c>
      <c r="Q202">
        <v>26</v>
      </c>
      <c r="R202" t="str">
        <f t="shared" si="49"/>
        <v>Young</v>
      </c>
      <c r="S202" t="s">
        <v>34</v>
      </c>
      <c r="T202">
        <v>4</v>
      </c>
      <c r="U202" t="s">
        <v>45</v>
      </c>
      <c r="V202">
        <v>8436.36</v>
      </c>
      <c r="W202" t="s">
        <v>58</v>
      </c>
      <c r="X202" t="s">
        <v>40</v>
      </c>
      <c r="Y202">
        <v>28</v>
      </c>
      <c r="Z202" t="str">
        <f t="shared" si="50"/>
        <v>Bad Employee</v>
      </c>
      <c r="AA202" t="b">
        <f t="shared" si="51"/>
        <v>0</v>
      </c>
      <c r="AB202" t="b">
        <f>OR(Y202&gt;20, T202&gt;6)</f>
        <v>1</v>
      </c>
      <c r="AC202" t="str">
        <f>IF(OR(Y202&gt;20,T202&gt;6), "Good employee", "Bad Employee")</f>
        <v>Good employee</v>
      </c>
      <c r="AD202" t="s">
        <v>28</v>
      </c>
      <c r="AE202" t="s">
        <v>29</v>
      </c>
      <c r="AF202">
        <v>14</v>
      </c>
      <c r="AG202">
        <v>2015</v>
      </c>
      <c r="AH202" t="s">
        <v>49</v>
      </c>
      <c r="AI202">
        <v>173</v>
      </c>
      <c r="AJ202">
        <v>3.1</v>
      </c>
    </row>
    <row r="203" spans="1:36" x14ac:dyDescent="0.25">
      <c r="A203">
        <v>10202</v>
      </c>
      <c r="B203" t="s">
        <v>53</v>
      </c>
      <c r="C203" t="s">
        <v>22</v>
      </c>
      <c r="D203" t="s">
        <v>23</v>
      </c>
      <c r="E203" t="str">
        <f t="shared" si="39"/>
        <v>Sarah Williams is in HR Department</v>
      </c>
      <c r="F203" s="6" t="str">
        <f t="shared" si="40"/>
        <v>sarahwilliams@gmail.com</v>
      </c>
      <c r="G203">
        <v>80391</v>
      </c>
      <c r="H203" t="str">
        <f t="shared" si="41"/>
        <v>High</v>
      </c>
      <c r="I203" s="3">
        <v>38890</v>
      </c>
      <c r="J203">
        <f t="shared" si="42"/>
        <v>2006</v>
      </c>
      <c r="K203">
        <f t="shared" si="43"/>
        <v>6</v>
      </c>
      <c r="L203">
        <f t="shared" si="44"/>
        <v>22</v>
      </c>
      <c r="M203" s="3">
        <f t="shared" ca="1" si="45"/>
        <v>46100</v>
      </c>
      <c r="N203">
        <f t="shared" ca="1" si="46"/>
        <v>7210</v>
      </c>
      <c r="O203">
        <f t="shared" ca="1" si="47"/>
        <v>7210</v>
      </c>
      <c r="P203">
        <f t="shared" ca="1" si="48"/>
        <v>5151</v>
      </c>
      <c r="Q203">
        <v>47</v>
      </c>
      <c r="R203" t="str">
        <f t="shared" si="49"/>
        <v>Old</v>
      </c>
      <c r="S203" t="s">
        <v>24</v>
      </c>
      <c r="T203">
        <v>9</v>
      </c>
      <c r="U203" t="s">
        <v>45</v>
      </c>
      <c r="V203">
        <v>4424.78</v>
      </c>
      <c r="W203" t="s">
        <v>46</v>
      </c>
      <c r="X203" t="s">
        <v>27</v>
      </c>
      <c r="Y203">
        <v>39</v>
      </c>
      <c r="Z203" t="str">
        <f t="shared" si="50"/>
        <v>Good Employee</v>
      </c>
      <c r="AA203" t="b">
        <f t="shared" si="51"/>
        <v>1</v>
      </c>
      <c r="AB203" t="b">
        <f>OR(Y203&gt;20, T203&gt;6)</f>
        <v>1</v>
      </c>
      <c r="AC203" t="str">
        <f>IF(OR(Y203&gt;20,T203&gt;6), "Good employee", "Bad Employee")</f>
        <v>Good employee</v>
      </c>
      <c r="AD203" t="s">
        <v>56</v>
      </c>
      <c r="AE203" t="s">
        <v>48</v>
      </c>
      <c r="AF203">
        <v>19</v>
      </c>
      <c r="AG203">
        <v>2020</v>
      </c>
      <c r="AH203" t="s">
        <v>43</v>
      </c>
      <c r="AI203">
        <v>21</v>
      </c>
      <c r="AJ203">
        <v>1.5</v>
      </c>
    </row>
    <row r="204" spans="1:36" x14ac:dyDescent="0.25">
      <c r="A204">
        <v>10203</v>
      </c>
      <c r="B204" t="s">
        <v>21</v>
      </c>
      <c r="C204" t="s">
        <v>65</v>
      </c>
      <c r="D204" t="s">
        <v>44</v>
      </c>
      <c r="E204" t="str">
        <f t="shared" si="39"/>
        <v>Michael Johnson is in Sales Department</v>
      </c>
      <c r="F204" s="6" t="str">
        <f t="shared" si="40"/>
        <v>michaeljohnson@gmail.com</v>
      </c>
      <c r="G204">
        <v>105060</v>
      </c>
      <c r="H204" t="str">
        <f t="shared" si="41"/>
        <v>High</v>
      </c>
      <c r="I204" s="3">
        <v>38782</v>
      </c>
      <c r="J204">
        <f t="shared" si="42"/>
        <v>2006</v>
      </c>
      <c r="K204">
        <f t="shared" si="43"/>
        <v>3</v>
      </c>
      <c r="L204">
        <f t="shared" si="44"/>
        <v>6</v>
      </c>
      <c r="M204" s="3">
        <f t="shared" ca="1" si="45"/>
        <v>46100</v>
      </c>
      <c r="N204">
        <f t="shared" ca="1" si="46"/>
        <v>7318</v>
      </c>
      <c r="O204">
        <f t="shared" ca="1" si="47"/>
        <v>7318</v>
      </c>
      <c r="P204">
        <f t="shared" ca="1" si="48"/>
        <v>5229</v>
      </c>
      <c r="Q204">
        <v>38</v>
      </c>
      <c r="R204" t="str">
        <f t="shared" si="49"/>
        <v>Old</v>
      </c>
      <c r="S204" t="s">
        <v>34</v>
      </c>
      <c r="T204">
        <v>9</v>
      </c>
      <c r="U204" t="s">
        <v>45</v>
      </c>
      <c r="V204">
        <v>6355.92</v>
      </c>
      <c r="W204" t="s">
        <v>26</v>
      </c>
      <c r="X204" t="s">
        <v>47</v>
      </c>
      <c r="Y204">
        <v>12</v>
      </c>
      <c r="Z204" t="str">
        <f t="shared" si="50"/>
        <v>Bad Employee</v>
      </c>
      <c r="AA204" t="b">
        <f t="shared" si="51"/>
        <v>0</v>
      </c>
      <c r="AB204" t="b">
        <f>OR(Y204&gt;20, T204&gt;6)</f>
        <v>1</v>
      </c>
      <c r="AC204" t="str">
        <f>IF(OR(Y204&gt;20,T204&gt;6), "Good employee", "Bad Employee")</f>
        <v>Good employee</v>
      </c>
      <c r="AD204" t="s">
        <v>56</v>
      </c>
      <c r="AE204" t="s">
        <v>62</v>
      </c>
      <c r="AF204">
        <v>8</v>
      </c>
      <c r="AG204">
        <v>2020</v>
      </c>
      <c r="AH204" t="s">
        <v>30</v>
      </c>
      <c r="AI204">
        <v>36</v>
      </c>
      <c r="AJ204">
        <v>4.7</v>
      </c>
    </row>
    <row r="205" spans="1:36" x14ac:dyDescent="0.25">
      <c r="A205">
        <v>10204</v>
      </c>
      <c r="B205" t="s">
        <v>66</v>
      </c>
      <c r="C205" t="s">
        <v>51</v>
      </c>
      <c r="D205" t="s">
        <v>52</v>
      </c>
      <c r="E205" t="str">
        <f t="shared" si="39"/>
        <v>John Brown is in Operations Department</v>
      </c>
      <c r="F205" s="6" t="str">
        <f t="shared" si="40"/>
        <v>johnbrown@gmail.com</v>
      </c>
      <c r="G205">
        <v>41698</v>
      </c>
      <c r="H205" t="str">
        <f t="shared" si="41"/>
        <v>low</v>
      </c>
      <c r="I205" s="3">
        <v>42192</v>
      </c>
      <c r="J205">
        <f t="shared" si="42"/>
        <v>2015</v>
      </c>
      <c r="K205">
        <f t="shared" si="43"/>
        <v>7</v>
      </c>
      <c r="L205">
        <f t="shared" si="44"/>
        <v>7</v>
      </c>
      <c r="M205" s="3">
        <f t="shared" ca="1" si="45"/>
        <v>46100</v>
      </c>
      <c r="N205">
        <f t="shared" ca="1" si="46"/>
        <v>3908</v>
      </c>
      <c r="O205">
        <f t="shared" ca="1" si="47"/>
        <v>3908</v>
      </c>
      <c r="P205">
        <f t="shared" ca="1" si="48"/>
        <v>2793</v>
      </c>
      <c r="Q205">
        <v>64</v>
      </c>
      <c r="R205" t="str">
        <f t="shared" si="49"/>
        <v>Old</v>
      </c>
      <c r="S205" t="s">
        <v>34</v>
      </c>
      <c r="T205">
        <v>5</v>
      </c>
      <c r="U205" t="s">
        <v>25</v>
      </c>
      <c r="V205">
        <v>1614.25</v>
      </c>
      <c r="W205" t="s">
        <v>35</v>
      </c>
      <c r="X205" t="s">
        <v>47</v>
      </c>
      <c r="Y205">
        <v>15</v>
      </c>
      <c r="Z205" t="str">
        <f t="shared" si="50"/>
        <v>Bad Employee</v>
      </c>
      <c r="AA205" t="b">
        <f t="shared" si="51"/>
        <v>0</v>
      </c>
      <c r="AB205" t="b">
        <f>OR(Y205&gt;20, T205&gt;6)</f>
        <v>0</v>
      </c>
      <c r="AC205" t="str">
        <f>IF(OR(Y205&gt;20,T205&gt;6), "Good employee", "Bad Employee")</f>
        <v>Bad Employee</v>
      </c>
      <c r="AD205" t="s">
        <v>56</v>
      </c>
      <c r="AE205" t="s">
        <v>42</v>
      </c>
      <c r="AF205">
        <v>4</v>
      </c>
      <c r="AG205">
        <v>2017</v>
      </c>
      <c r="AH205" t="s">
        <v>43</v>
      </c>
      <c r="AI205">
        <v>9</v>
      </c>
      <c r="AJ205">
        <v>4.4000000000000004</v>
      </c>
    </row>
    <row r="206" spans="1:36" x14ac:dyDescent="0.25">
      <c r="A206">
        <v>10205</v>
      </c>
      <c r="B206" t="s">
        <v>31</v>
      </c>
      <c r="C206" t="s">
        <v>51</v>
      </c>
      <c r="D206" t="s">
        <v>39</v>
      </c>
      <c r="E206" t="str">
        <f t="shared" si="39"/>
        <v>Emily Brown is in IT Department</v>
      </c>
      <c r="F206" s="6" t="str">
        <f t="shared" si="40"/>
        <v>emilybrown@gmail.com</v>
      </c>
      <c r="G206">
        <v>116711</v>
      </c>
      <c r="H206" t="str">
        <f t="shared" si="41"/>
        <v>High</v>
      </c>
      <c r="I206" s="3">
        <v>43812</v>
      </c>
      <c r="J206">
        <f t="shared" si="42"/>
        <v>2019</v>
      </c>
      <c r="K206">
        <f t="shared" si="43"/>
        <v>12</v>
      </c>
      <c r="L206">
        <f t="shared" si="44"/>
        <v>13</v>
      </c>
      <c r="M206" s="3">
        <f t="shared" ca="1" si="45"/>
        <v>46100</v>
      </c>
      <c r="N206">
        <f t="shared" ca="1" si="46"/>
        <v>2288</v>
      </c>
      <c r="O206">
        <f t="shared" ca="1" si="47"/>
        <v>2288</v>
      </c>
      <c r="P206">
        <f t="shared" ca="1" si="48"/>
        <v>1635</v>
      </c>
      <c r="Q206">
        <v>37</v>
      </c>
      <c r="R206" t="str">
        <f t="shared" si="49"/>
        <v>Old</v>
      </c>
      <c r="S206" t="s">
        <v>34</v>
      </c>
      <c r="T206">
        <v>7</v>
      </c>
      <c r="U206" t="s">
        <v>45</v>
      </c>
      <c r="V206">
        <v>4170.67</v>
      </c>
      <c r="W206" t="s">
        <v>46</v>
      </c>
      <c r="X206" t="s">
        <v>36</v>
      </c>
      <c r="Y206">
        <v>28</v>
      </c>
      <c r="Z206" t="str">
        <f t="shared" si="50"/>
        <v>Good Employee</v>
      </c>
      <c r="AA206" t="b">
        <f t="shared" si="51"/>
        <v>1</v>
      </c>
      <c r="AB206" t="b">
        <f>OR(Y206&gt;20, T206&gt;6)</f>
        <v>1</v>
      </c>
      <c r="AC206" t="str">
        <f>IF(OR(Y206&gt;20,T206&gt;6), "Good employee", "Bad Employee")</f>
        <v>Good employee</v>
      </c>
      <c r="AD206" t="s">
        <v>28</v>
      </c>
      <c r="AE206" t="s">
        <v>62</v>
      </c>
      <c r="AF206">
        <v>12</v>
      </c>
      <c r="AG206">
        <v>2014</v>
      </c>
      <c r="AH206" t="s">
        <v>30</v>
      </c>
      <c r="AI206">
        <v>130</v>
      </c>
      <c r="AJ206">
        <v>1.6</v>
      </c>
    </row>
    <row r="207" spans="1:36" x14ac:dyDescent="0.25">
      <c r="A207">
        <v>10206</v>
      </c>
      <c r="B207" t="s">
        <v>38</v>
      </c>
      <c r="C207" t="s">
        <v>51</v>
      </c>
      <c r="D207" t="s">
        <v>39</v>
      </c>
      <c r="E207" t="str">
        <f t="shared" si="39"/>
        <v>Chris Brown is in IT Department</v>
      </c>
      <c r="F207" s="6" t="str">
        <f t="shared" si="40"/>
        <v>chrisbrown@gmail.com</v>
      </c>
      <c r="G207">
        <v>107850</v>
      </c>
      <c r="H207" t="str">
        <f t="shared" si="41"/>
        <v>High</v>
      </c>
      <c r="I207" s="3">
        <v>41198</v>
      </c>
      <c r="J207">
        <f t="shared" si="42"/>
        <v>2012</v>
      </c>
      <c r="K207">
        <f t="shared" si="43"/>
        <v>10</v>
      </c>
      <c r="L207">
        <f t="shared" si="44"/>
        <v>16</v>
      </c>
      <c r="M207" s="3">
        <f t="shared" ca="1" si="45"/>
        <v>46100</v>
      </c>
      <c r="N207">
        <f t="shared" ca="1" si="46"/>
        <v>4902</v>
      </c>
      <c r="O207">
        <f t="shared" ca="1" si="47"/>
        <v>4902</v>
      </c>
      <c r="P207">
        <f t="shared" ca="1" si="48"/>
        <v>3503</v>
      </c>
      <c r="Q207">
        <v>56</v>
      </c>
      <c r="R207" t="str">
        <f t="shared" si="49"/>
        <v>Old</v>
      </c>
      <c r="S207" t="s">
        <v>34</v>
      </c>
      <c r="T207">
        <v>9</v>
      </c>
      <c r="U207" t="s">
        <v>45</v>
      </c>
      <c r="V207">
        <v>7471.93</v>
      </c>
      <c r="W207" t="s">
        <v>58</v>
      </c>
      <c r="X207" t="s">
        <v>27</v>
      </c>
      <c r="Y207">
        <v>21</v>
      </c>
      <c r="Z207" t="str">
        <f t="shared" si="50"/>
        <v>Good Employee</v>
      </c>
      <c r="AA207" t="b">
        <f t="shared" si="51"/>
        <v>1</v>
      </c>
      <c r="AB207" t="b">
        <f>OR(Y207&gt;20, T207&gt;6)</f>
        <v>1</v>
      </c>
      <c r="AC207" t="str">
        <f>IF(OR(Y207&gt;20,T207&gt;6), "Good employee", "Bad Employee")</f>
        <v>Good employee</v>
      </c>
      <c r="AD207" t="s">
        <v>56</v>
      </c>
      <c r="AE207" t="s">
        <v>59</v>
      </c>
      <c r="AF207">
        <v>6</v>
      </c>
      <c r="AG207">
        <v>2014</v>
      </c>
      <c r="AH207" t="s">
        <v>43</v>
      </c>
      <c r="AI207">
        <v>141</v>
      </c>
      <c r="AJ207">
        <v>1.2</v>
      </c>
    </row>
    <row r="208" spans="1:36" x14ac:dyDescent="0.25">
      <c r="A208">
        <v>10207</v>
      </c>
      <c r="B208" t="s">
        <v>53</v>
      </c>
      <c r="C208" t="s">
        <v>65</v>
      </c>
      <c r="D208" t="s">
        <v>52</v>
      </c>
      <c r="E208" t="str">
        <f t="shared" si="39"/>
        <v>Sarah Johnson is in Operations Department</v>
      </c>
      <c r="F208" s="6" t="str">
        <f t="shared" si="40"/>
        <v>sarahjohnson@gmail.com</v>
      </c>
      <c r="G208">
        <v>32365</v>
      </c>
      <c r="H208" t="str">
        <f t="shared" si="41"/>
        <v>extremely low</v>
      </c>
      <c r="I208" s="3">
        <v>42984</v>
      </c>
      <c r="J208">
        <f t="shared" si="42"/>
        <v>2017</v>
      </c>
      <c r="K208">
        <f t="shared" si="43"/>
        <v>9</v>
      </c>
      <c r="L208">
        <f t="shared" si="44"/>
        <v>6</v>
      </c>
      <c r="M208" s="3">
        <f t="shared" ca="1" si="45"/>
        <v>46100</v>
      </c>
      <c r="N208">
        <f t="shared" ca="1" si="46"/>
        <v>3116</v>
      </c>
      <c r="O208">
        <f t="shared" ca="1" si="47"/>
        <v>3116</v>
      </c>
      <c r="P208">
        <f t="shared" ca="1" si="48"/>
        <v>2227</v>
      </c>
      <c r="Q208">
        <v>59</v>
      </c>
      <c r="R208" t="str">
        <f t="shared" si="49"/>
        <v>Old</v>
      </c>
      <c r="S208" t="s">
        <v>34</v>
      </c>
      <c r="T208">
        <v>8</v>
      </c>
      <c r="U208" t="s">
        <v>25</v>
      </c>
      <c r="V208">
        <v>6415.38</v>
      </c>
      <c r="W208" t="s">
        <v>58</v>
      </c>
      <c r="X208" t="s">
        <v>36</v>
      </c>
      <c r="Y208">
        <v>16</v>
      </c>
      <c r="Z208" t="str">
        <f t="shared" si="50"/>
        <v>Bad Employee</v>
      </c>
      <c r="AA208" t="b">
        <f t="shared" si="51"/>
        <v>0</v>
      </c>
      <c r="AB208" t="b">
        <f>OR(Y208&gt;20, T208&gt;6)</f>
        <v>1</v>
      </c>
      <c r="AC208" t="str">
        <f>IF(OR(Y208&gt;20,T208&gt;6), "Good employee", "Bad Employee")</f>
        <v>Good employee</v>
      </c>
      <c r="AD208" t="s">
        <v>56</v>
      </c>
      <c r="AE208" t="s">
        <v>62</v>
      </c>
      <c r="AF208">
        <v>16</v>
      </c>
      <c r="AG208">
        <v>2019</v>
      </c>
      <c r="AH208" t="s">
        <v>30</v>
      </c>
      <c r="AI208">
        <v>111</v>
      </c>
      <c r="AJ208">
        <v>3.1</v>
      </c>
    </row>
    <row r="209" spans="1:36" x14ac:dyDescent="0.25">
      <c r="A209">
        <v>10208</v>
      </c>
      <c r="B209" t="s">
        <v>31</v>
      </c>
      <c r="C209" t="s">
        <v>32</v>
      </c>
      <c r="D209" t="s">
        <v>54</v>
      </c>
      <c r="E209" t="str">
        <f t="shared" si="39"/>
        <v>Emily Wilson is in Finance Department</v>
      </c>
      <c r="F209" s="6" t="str">
        <f t="shared" si="40"/>
        <v>emilywilson@gmail.com</v>
      </c>
      <c r="G209">
        <v>73372</v>
      </c>
      <c r="H209" t="str">
        <f t="shared" si="41"/>
        <v>Medium</v>
      </c>
      <c r="I209" s="3">
        <v>37279</v>
      </c>
      <c r="J209">
        <f t="shared" si="42"/>
        <v>2002</v>
      </c>
      <c r="K209">
        <f t="shared" si="43"/>
        <v>1</v>
      </c>
      <c r="L209">
        <f t="shared" si="44"/>
        <v>23</v>
      </c>
      <c r="M209" s="3">
        <f t="shared" ca="1" si="45"/>
        <v>46100</v>
      </c>
      <c r="N209">
        <f t="shared" ca="1" si="46"/>
        <v>8821</v>
      </c>
      <c r="O209">
        <f t="shared" ca="1" si="47"/>
        <v>8821</v>
      </c>
      <c r="P209">
        <f t="shared" ca="1" si="48"/>
        <v>6302</v>
      </c>
      <c r="Q209">
        <v>44</v>
      </c>
      <c r="R209" t="str">
        <f t="shared" si="49"/>
        <v>Old</v>
      </c>
      <c r="S209" t="s">
        <v>34</v>
      </c>
      <c r="T209">
        <v>7</v>
      </c>
      <c r="U209" t="s">
        <v>25</v>
      </c>
      <c r="V209">
        <v>5102.4799999999996</v>
      </c>
      <c r="W209" t="s">
        <v>46</v>
      </c>
      <c r="X209" t="s">
        <v>55</v>
      </c>
      <c r="Y209">
        <v>23</v>
      </c>
      <c r="Z209" t="str">
        <f t="shared" si="50"/>
        <v>Good Employee</v>
      </c>
      <c r="AA209" t="b">
        <f t="shared" si="51"/>
        <v>1</v>
      </c>
      <c r="AB209" t="b">
        <f>OR(Y209&gt;20, T209&gt;6)</f>
        <v>1</v>
      </c>
      <c r="AC209" t="str">
        <f>IF(OR(Y209&gt;20,T209&gt;6), "Good employee", "Bad Employee")</f>
        <v>Good employee</v>
      </c>
      <c r="AD209" t="s">
        <v>41</v>
      </c>
      <c r="AE209" t="s">
        <v>29</v>
      </c>
      <c r="AF209">
        <v>7</v>
      </c>
      <c r="AG209">
        <v>2022</v>
      </c>
      <c r="AH209" t="s">
        <v>49</v>
      </c>
      <c r="AI209">
        <v>166</v>
      </c>
      <c r="AJ209">
        <v>2.1</v>
      </c>
    </row>
    <row r="210" spans="1:36" x14ac:dyDescent="0.25">
      <c r="A210">
        <v>10209</v>
      </c>
      <c r="B210" t="s">
        <v>64</v>
      </c>
      <c r="C210" t="s">
        <v>22</v>
      </c>
      <c r="D210" t="s">
        <v>39</v>
      </c>
      <c r="E210" t="str">
        <f t="shared" si="39"/>
        <v>Katie Williams is in IT Department</v>
      </c>
      <c r="F210" s="6" t="str">
        <f t="shared" si="40"/>
        <v>katiewilliams@gmail.com</v>
      </c>
      <c r="G210">
        <v>74134</v>
      </c>
      <c r="H210" t="str">
        <f t="shared" si="41"/>
        <v>Medium</v>
      </c>
      <c r="I210" s="3">
        <v>41681</v>
      </c>
      <c r="J210">
        <f t="shared" si="42"/>
        <v>2014</v>
      </c>
      <c r="K210">
        <f t="shared" si="43"/>
        <v>2</v>
      </c>
      <c r="L210">
        <f t="shared" si="44"/>
        <v>11</v>
      </c>
      <c r="M210" s="3">
        <f t="shared" ca="1" si="45"/>
        <v>46100</v>
      </c>
      <c r="N210">
        <f t="shared" ca="1" si="46"/>
        <v>4419</v>
      </c>
      <c r="O210">
        <f t="shared" ca="1" si="47"/>
        <v>4419</v>
      </c>
      <c r="P210">
        <f t="shared" ca="1" si="48"/>
        <v>3158</v>
      </c>
      <c r="Q210">
        <v>34</v>
      </c>
      <c r="R210" t="str">
        <f t="shared" si="49"/>
        <v>Old</v>
      </c>
      <c r="S210" t="s">
        <v>24</v>
      </c>
      <c r="T210">
        <v>8</v>
      </c>
      <c r="U210" t="s">
        <v>45</v>
      </c>
      <c r="V210">
        <v>2177.0300000000002</v>
      </c>
      <c r="W210" t="s">
        <v>35</v>
      </c>
      <c r="X210" t="s">
        <v>55</v>
      </c>
      <c r="Y210">
        <v>26</v>
      </c>
      <c r="Z210" t="str">
        <f t="shared" si="50"/>
        <v>Good Employee</v>
      </c>
      <c r="AA210" t="b">
        <f t="shared" si="51"/>
        <v>1</v>
      </c>
      <c r="AB210" t="b">
        <f>OR(Y210&gt;20, T210&gt;6)</f>
        <v>1</v>
      </c>
      <c r="AC210" t="str">
        <f>IF(OR(Y210&gt;20,T210&gt;6), "Good employee", "Bad Employee")</f>
        <v>Good employee</v>
      </c>
      <c r="AD210" t="s">
        <v>28</v>
      </c>
      <c r="AE210" t="s">
        <v>59</v>
      </c>
      <c r="AF210">
        <v>4</v>
      </c>
      <c r="AG210">
        <v>2020</v>
      </c>
      <c r="AH210" t="s">
        <v>43</v>
      </c>
      <c r="AI210">
        <v>5</v>
      </c>
      <c r="AJ210">
        <v>2.1</v>
      </c>
    </row>
    <row r="211" spans="1:36" x14ac:dyDescent="0.25">
      <c r="A211">
        <v>10210</v>
      </c>
      <c r="B211" t="s">
        <v>38</v>
      </c>
      <c r="C211" t="s">
        <v>57</v>
      </c>
      <c r="D211" t="s">
        <v>44</v>
      </c>
      <c r="E211" t="str">
        <f t="shared" si="39"/>
        <v>Chris Davis is in Sales Department</v>
      </c>
      <c r="F211" s="6" t="str">
        <f t="shared" si="40"/>
        <v>chrisdavis@gmail.com</v>
      </c>
      <c r="G211">
        <v>67823</v>
      </c>
      <c r="H211" t="str">
        <f t="shared" si="41"/>
        <v>Medium</v>
      </c>
      <c r="I211" s="3">
        <v>43584</v>
      </c>
      <c r="J211">
        <f t="shared" si="42"/>
        <v>2019</v>
      </c>
      <c r="K211">
        <f t="shared" si="43"/>
        <v>4</v>
      </c>
      <c r="L211">
        <f t="shared" si="44"/>
        <v>29</v>
      </c>
      <c r="M211" s="3">
        <f t="shared" ca="1" si="45"/>
        <v>46100</v>
      </c>
      <c r="N211">
        <f t="shared" ca="1" si="46"/>
        <v>2516</v>
      </c>
      <c r="O211">
        <f t="shared" ca="1" si="47"/>
        <v>2516</v>
      </c>
      <c r="P211">
        <f t="shared" ca="1" si="48"/>
        <v>1799</v>
      </c>
      <c r="Q211">
        <v>54</v>
      </c>
      <c r="R211" t="str">
        <f t="shared" si="49"/>
        <v>Old</v>
      </c>
      <c r="S211" t="s">
        <v>34</v>
      </c>
      <c r="T211">
        <v>5</v>
      </c>
      <c r="U211" t="s">
        <v>45</v>
      </c>
      <c r="V211">
        <v>8129.89</v>
      </c>
      <c r="W211" t="s">
        <v>26</v>
      </c>
      <c r="X211" t="s">
        <v>40</v>
      </c>
      <c r="Y211">
        <v>15</v>
      </c>
      <c r="Z211" t="str">
        <f t="shared" si="50"/>
        <v>Bad Employee</v>
      </c>
      <c r="AA211" t="b">
        <f t="shared" si="51"/>
        <v>0</v>
      </c>
      <c r="AB211" t="b">
        <f>OR(Y211&gt;20, T211&gt;6)</f>
        <v>0</v>
      </c>
      <c r="AC211" t="str">
        <f>IF(OR(Y211&gt;20,T211&gt;6), "Good employee", "Bad Employee")</f>
        <v>Bad Employee</v>
      </c>
      <c r="AD211" t="s">
        <v>28</v>
      </c>
      <c r="AE211" t="s">
        <v>37</v>
      </c>
      <c r="AF211">
        <v>6</v>
      </c>
      <c r="AG211">
        <v>2010</v>
      </c>
      <c r="AH211" t="s">
        <v>43</v>
      </c>
      <c r="AI211">
        <v>172</v>
      </c>
      <c r="AJ211">
        <v>1.3</v>
      </c>
    </row>
    <row r="212" spans="1:36" x14ac:dyDescent="0.25">
      <c r="A212">
        <v>10211</v>
      </c>
      <c r="B212" t="s">
        <v>21</v>
      </c>
      <c r="C212" t="s">
        <v>22</v>
      </c>
      <c r="D212" t="s">
        <v>52</v>
      </c>
      <c r="E212" t="str">
        <f t="shared" si="39"/>
        <v>Michael Williams is in Operations Department</v>
      </c>
      <c r="F212" s="6" t="str">
        <f t="shared" si="40"/>
        <v>michaelwilliams@gmail.com</v>
      </c>
      <c r="G212">
        <v>101158</v>
      </c>
      <c r="H212" t="str">
        <f t="shared" si="41"/>
        <v>High</v>
      </c>
      <c r="I212" s="3">
        <v>39328</v>
      </c>
      <c r="J212">
        <f t="shared" si="42"/>
        <v>2007</v>
      </c>
      <c r="K212">
        <f t="shared" si="43"/>
        <v>9</v>
      </c>
      <c r="L212">
        <f t="shared" si="44"/>
        <v>3</v>
      </c>
      <c r="M212" s="3">
        <f t="shared" ca="1" si="45"/>
        <v>46100</v>
      </c>
      <c r="N212">
        <f t="shared" ca="1" si="46"/>
        <v>6772</v>
      </c>
      <c r="O212">
        <f t="shared" ca="1" si="47"/>
        <v>6772</v>
      </c>
      <c r="P212">
        <f t="shared" ca="1" si="48"/>
        <v>4839</v>
      </c>
      <c r="Q212">
        <v>50</v>
      </c>
      <c r="R212" t="str">
        <f t="shared" si="49"/>
        <v>Old</v>
      </c>
      <c r="S212" t="s">
        <v>24</v>
      </c>
      <c r="T212">
        <v>5</v>
      </c>
      <c r="U212" t="s">
        <v>45</v>
      </c>
      <c r="V212">
        <v>3095.08</v>
      </c>
      <c r="W212" t="s">
        <v>26</v>
      </c>
      <c r="X212" t="s">
        <v>40</v>
      </c>
      <c r="Y212">
        <v>37</v>
      </c>
      <c r="Z212" t="str">
        <f t="shared" si="50"/>
        <v>Bad Employee</v>
      </c>
      <c r="AA212" t="b">
        <f t="shared" si="51"/>
        <v>0</v>
      </c>
      <c r="AB212" t="b">
        <f>OR(Y212&gt;20, T212&gt;6)</f>
        <v>1</v>
      </c>
      <c r="AC212" t="str">
        <f>IF(OR(Y212&gt;20,T212&gt;6), "Good employee", "Bad Employee")</f>
        <v>Good employee</v>
      </c>
      <c r="AD212" t="s">
        <v>28</v>
      </c>
      <c r="AE212" t="s">
        <v>42</v>
      </c>
      <c r="AF212">
        <v>7</v>
      </c>
      <c r="AG212">
        <v>2015</v>
      </c>
      <c r="AH212" t="s">
        <v>43</v>
      </c>
      <c r="AI212">
        <v>186</v>
      </c>
      <c r="AJ212">
        <v>4.8</v>
      </c>
    </row>
    <row r="213" spans="1:36" x14ac:dyDescent="0.25">
      <c r="A213">
        <v>10212</v>
      </c>
      <c r="B213" t="s">
        <v>21</v>
      </c>
      <c r="C213" t="s">
        <v>61</v>
      </c>
      <c r="D213" t="s">
        <v>54</v>
      </c>
      <c r="E213" t="str">
        <f t="shared" si="39"/>
        <v>Michael Smith is in Finance Department</v>
      </c>
      <c r="F213" s="6" t="str">
        <f t="shared" si="40"/>
        <v>michaelsmith@gmail.com</v>
      </c>
      <c r="G213">
        <v>31949</v>
      </c>
      <c r="H213" t="str">
        <f t="shared" si="41"/>
        <v>extremely low</v>
      </c>
      <c r="I213" s="3">
        <v>41175</v>
      </c>
      <c r="J213">
        <f t="shared" si="42"/>
        <v>2012</v>
      </c>
      <c r="K213">
        <f t="shared" si="43"/>
        <v>9</v>
      </c>
      <c r="L213">
        <f t="shared" si="44"/>
        <v>23</v>
      </c>
      <c r="M213" s="3">
        <f t="shared" ca="1" si="45"/>
        <v>46100</v>
      </c>
      <c r="N213">
        <f t="shared" ca="1" si="46"/>
        <v>4925</v>
      </c>
      <c r="O213">
        <f t="shared" ca="1" si="47"/>
        <v>4925</v>
      </c>
      <c r="P213">
        <f t="shared" ca="1" si="48"/>
        <v>3519</v>
      </c>
      <c r="Q213">
        <v>55</v>
      </c>
      <c r="R213" t="str">
        <f t="shared" si="49"/>
        <v>Old</v>
      </c>
      <c r="S213" t="s">
        <v>24</v>
      </c>
      <c r="T213">
        <v>5</v>
      </c>
      <c r="U213" t="s">
        <v>45</v>
      </c>
      <c r="V213">
        <v>8294.5499999999993</v>
      </c>
      <c r="W213" t="s">
        <v>35</v>
      </c>
      <c r="X213" t="s">
        <v>27</v>
      </c>
      <c r="Y213">
        <v>12</v>
      </c>
      <c r="Z213" t="str">
        <f t="shared" si="50"/>
        <v>Bad Employee</v>
      </c>
      <c r="AA213" t="b">
        <f t="shared" si="51"/>
        <v>0</v>
      </c>
      <c r="AB213" t="b">
        <f>OR(Y213&gt;20, T213&gt;6)</f>
        <v>0</v>
      </c>
      <c r="AC213" t="str">
        <f>IF(OR(Y213&gt;20,T213&gt;6), "Good employee", "Bad Employee")</f>
        <v>Bad Employee</v>
      </c>
      <c r="AD213" t="s">
        <v>56</v>
      </c>
      <c r="AE213" t="s">
        <v>42</v>
      </c>
      <c r="AF213">
        <v>6</v>
      </c>
      <c r="AG213">
        <v>2010</v>
      </c>
      <c r="AH213" t="s">
        <v>30</v>
      </c>
      <c r="AI213">
        <v>130</v>
      </c>
      <c r="AJ213">
        <v>4.3</v>
      </c>
    </row>
    <row r="214" spans="1:36" x14ac:dyDescent="0.25">
      <c r="A214">
        <v>10213</v>
      </c>
      <c r="B214" t="s">
        <v>38</v>
      </c>
      <c r="C214" t="s">
        <v>63</v>
      </c>
      <c r="D214" t="s">
        <v>54</v>
      </c>
      <c r="E214" t="str">
        <f t="shared" si="39"/>
        <v>Chris Miller is in Finance Department</v>
      </c>
      <c r="F214" s="6" t="str">
        <f t="shared" si="40"/>
        <v>chrismiller@gmail.com</v>
      </c>
      <c r="G214">
        <v>79396</v>
      </c>
      <c r="H214" t="str">
        <f t="shared" si="41"/>
        <v>Medium</v>
      </c>
      <c r="I214" s="3">
        <v>40178</v>
      </c>
      <c r="J214">
        <f t="shared" si="42"/>
        <v>2009</v>
      </c>
      <c r="K214">
        <f t="shared" si="43"/>
        <v>12</v>
      </c>
      <c r="L214">
        <f t="shared" si="44"/>
        <v>31</v>
      </c>
      <c r="M214" s="3">
        <f t="shared" ca="1" si="45"/>
        <v>46100</v>
      </c>
      <c r="N214">
        <f t="shared" ca="1" si="46"/>
        <v>5922</v>
      </c>
      <c r="O214">
        <f t="shared" ca="1" si="47"/>
        <v>5922</v>
      </c>
      <c r="P214">
        <f t="shared" ca="1" si="48"/>
        <v>4231</v>
      </c>
      <c r="Q214">
        <v>55</v>
      </c>
      <c r="R214" t="str">
        <f t="shared" si="49"/>
        <v>Old</v>
      </c>
      <c r="S214" t="s">
        <v>24</v>
      </c>
      <c r="T214">
        <v>1</v>
      </c>
      <c r="U214" t="s">
        <v>25</v>
      </c>
      <c r="V214">
        <v>6310.29</v>
      </c>
      <c r="W214" t="s">
        <v>26</v>
      </c>
      <c r="X214" t="s">
        <v>27</v>
      </c>
      <c r="Y214">
        <v>4</v>
      </c>
      <c r="Z214" t="str">
        <f t="shared" si="50"/>
        <v>Bad Employee</v>
      </c>
      <c r="AA214" t="b">
        <f t="shared" si="51"/>
        <v>0</v>
      </c>
      <c r="AB214" t="b">
        <f>OR(Y214&gt;20, T214&gt;6)</f>
        <v>0</v>
      </c>
      <c r="AC214" t="str">
        <f>IF(OR(Y214&gt;20,T214&gt;6), "Good employee", "Bad Employee")</f>
        <v>Bad Employee</v>
      </c>
      <c r="AD214" t="s">
        <v>56</v>
      </c>
      <c r="AE214" t="s">
        <v>59</v>
      </c>
      <c r="AF214">
        <v>11</v>
      </c>
      <c r="AG214">
        <v>2020</v>
      </c>
      <c r="AH214" t="s">
        <v>43</v>
      </c>
      <c r="AI214">
        <v>36</v>
      </c>
      <c r="AJ214">
        <v>1.5</v>
      </c>
    </row>
    <row r="215" spans="1:36" x14ac:dyDescent="0.25">
      <c r="A215">
        <v>10214</v>
      </c>
      <c r="B215" t="s">
        <v>21</v>
      </c>
      <c r="C215" t="s">
        <v>51</v>
      </c>
      <c r="D215" t="s">
        <v>33</v>
      </c>
      <c r="E215" t="str">
        <f t="shared" si="39"/>
        <v>Michael Brown is in Marketing Department</v>
      </c>
      <c r="F215" s="6" t="str">
        <f t="shared" si="40"/>
        <v>michaelbrown@gmail.com</v>
      </c>
      <c r="G215">
        <v>61912</v>
      </c>
      <c r="H215" t="str">
        <f t="shared" si="41"/>
        <v>Medium</v>
      </c>
      <c r="I215" s="3">
        <v>36928</v>
      </c>
      <c r="J215">
        <f t="shared" si="42"/>
        <v>2001</v>
      </c>
      <c r="K215">
        <f t="shared" si="43"/>
        <v>2</v>
      </c>
      <c r="L215">
        <f t="shared" si="44"/>
        <v>6</v>
      </c>
      <c r="M215" s="3">
        <f t="shared" ca="1" si="45"/>
        <v>46100</v>
      </c>
      <c r="N215">
        <f t="shared" ca="1" si="46"/>
        <v>9172</v>
      </c>
      <c r="O215">
        <f t="shared" ca="1" si="47"/>
        <v>9172</v>
      </c>
      <c r="P215">
        <f t="shared" ca="1" si="48"/>
        <v>6553</v>
      </c>
      <c r="Q215">
        <v>48</v>
      </c>
      <c r="R215" t="str">
        <f t="shared" si="49"/>
        <v>Old</v>
      </c>
      <c r="S215" t="s">
        <v>24</v>
      </c>
      <c r="T215">
        <v>6</v>
      </c>
      <c r="U215" t="s">
        <v>25</v>
      </c>
      <c r="V215">
        <v>4040.95</v>
      </c>
      <c r="W215" t="s">
        <v>58</v>
      </c>
      <c r="X215" t="s">
        <v>36</v>
      </c>
      <c r="Y215">
        <v>35</v>
      </c>
      <c r="Z215" t="str">
        <f t="shared" si="50"/>
        <v>Bad Employee</v>
      </c>
      <c r="AA215" t="b">
        <f t="shared" si="51"/>
        <v>0</v>
      </c>
      <c r="AB215" t="b">
        <f>OR(Y215&gt;20, T215&gt;6)</f>
        <v>1</v>
      </c>
      <c r="AC215" t="str">
        <f>IF(OR(Y215&gt;20,T215&gt;6), "Good employee", "Bad Employee")</f>
        <v>Good employee</v>
      </c>
      <c r="AD215" t="s">
        <v>41</v>
      </c>
      <c r="AE215" t="s">
        <v>37</v>
      </c>
      <c r="AF215">
        <v>5</v>
      </c>
      <c r="AG215">
        <v>2017</v>
      </c>
      <c r="AH215" t="s">
        <v>43</v>
      </c>
      <c r="AI215">
        <v>130</v>
      </c>
      <c r="AJ215">
        <v>4.5</v>
      </c>
    </row>
    <row r="216" spans="1:36" x14ac:dyDescent="0.25">
      <c r="A216">
        <v>10215</v>
      </c>
      <c r="B216" t="s">
        <v>50</v>
      </c>
      <c r="C216" t="s">
        <v>22</v>
      </c>
      <c r="D216" t="s">
        <v>54</v>
      </c>
      <c r="E216" t="str">
        <f t="shared" si="39"/>
        <v>Alex Williams is in Finance Department</v>
      </c>
      <c r="F216" s="6" t="str">
        <f t="shared" si="40"/>
        <v>alexwilliams@gmail.com</v>
      </c>
      <c r="G216">
        <v>86947</v>
      </c>
      <c r="H216" t="str">
        <f t="shared" si="41"/>
        <v>High</v>
      </c>
      <c r="I216" s="3">
        <v>41752</v>
      </c>
      <c r="J216">
        <f t="shared" si="42"/>
        <v>2014</v>
      </c>
      <c r="K216">
        <f t="shared" si="43"/>
        <v>4</v>
      </c>
      <c r="L216">
        <f t="shared" si="44"/>
        <v>23</v>
      </c>
      <c r="M216" s="3">
        <f t="shared" ca="1" si="45"/>
        <v>46100</v>
      </c>
      <c r="N216">
        <f t="shared" ca="1" si="46"/>
        <v>4348</v>
      </c>
      <c r="O216">
        <f t="shared" ca="1" si="47"/>
        <v>4348</v>
      </c>
      <c r="P216">
        <f t="shared" ca="1" si="48"/>
        <v>3107</v>
      </c>
      <c r="Q216">
        <v>36</v>
      </c>
      <c r="R216" t="str">
        <f t="shared" si="49"/>
        <v>Old</v>
      </c>
      <c r="S216" t="s">
        <v>34</v>
      </c>
      <c r="T216">
        <v>5</v>
      </c>
      <c r="U216" t="s">
        <v>45</v>
      </c>
      <c r="V216">
        <v>885.75</v>
      </c>
      <c r="W216" t="s">
        <v>46</v>
      </c>
      <c r="X216" t="s">
        <v>36</v>
      </c>
      <c r="Y216">
        <v>31</v>
      </c>
      <c r="Z216" t="str">
        <f t="shared" si="50"/>
        <v>Bad Employee</v>
      </c>
      <c r="AA216" t="b">
        <f t="shared" si="51"/>
        <v>0</v>
      </c>
      <c r="AB216" t="b">
        <f>OR(Y216&gt;20, T216&gt;6)</f>
        <v>1</v>
      </c>
      <c r="AC216" t="str">
        <f>IF(OR(Y216&gt;20,T216&gt;6), "Good employee", "Bad Employee")</f>
        <v>Good employee</v>
      </c>
      <c r="AD216" t="s">
        <v>28</v>
      </c>
      <c r="AE216" t="s">
        <v>29</v>
      </c>
      <c r="AF216">
        <v>3</v>
      </c>
      <c r="AG216">
        <v>2019</v>
      </c>
      <c r="AH216" t="s">
        <v>49</v>
      </c>
      <c r="AI216">
        <v>103</v>
      </c>
      <c r="AJ216">
        <v>3.7</v>
      </c>
    </row>
    <row r="217" spans="1:36" x14ac:dyDescent="0.25">
      <c r="A217">
        <v>10216</v>
      </c>
      <c r="B217" t="s">
        <v>38</v>
      </c>
      <c r="C217" t="s">
        <v>57</v>
      </c>
      <c r="D217" t="s">
        <v>39</v>
      </c>
      <c r="E217" t="str">
        <f t="shared" si="39"/>
        <v>Chris Davis is in IT Department</v>
      </c>
      <c r="F217" s="6" t="str">
        <f t="shared" si="40"/>
        <v>chrisdavis@gmail.com</v>
      </c>
      <c r="G217">
        <v>74387</v>
      </c>
      <c r="H217" t="str">
        <f t="shared" si="41"/>
        <v>Medium</v>
      </c>
      <c r="I217" s="3">
        <v>38612</v>
      </c>
      <c r="J217">
        <f t="shared" si="42"/>
        <v>2005</v>
      </c>
      <c r="K217">
        <f t="shared" si="43"/>
        <v>9</v>
      </c>
      <c r="L217">
        <f t="shared" si="44"/>
        <v>17</v>
      </c>
      <c r="M217" s="3">
        <f t="shared" ca="1" si="45"/>
        <v>46100</v>
      </c>
      <c r="N217">
        <f t="shared" ca="1" si="46"/>
        <v>7488</v>
      </c>
      <c r="O217">
        <f t="shared" ca="1" si="47"/>
        <v>7488</v>
      </c>
      <c r="P217">
        <f t="shared" ca="1" si="48"/>
        <v>5349</v>
      </c>
      <c r="Q217">
        <v>30</v>
      </c>
      <c r="R217" t="str">
        <f t="shared" si="49"/>
        <v>Young</v>
      </c>
      <c r="S217" t="s">
        <v>34</v>
      </c>
      <c r="T217">
        <v>8</v>
      </c>
      <c r="U217" t="s">
        <v>25</v>
      </c>
      <c r="V217">
        <v>2707.98</v>
      </c>
      <c r="W217" t="s">
        <v>35</v>
      </c>
      <c r="X217" t="s">
        <v>27</v>
      </c>
      <c r="Y217">
        <v>27</v>
      </c>
      <c r="Z217" t="str">
        <f t="shared" si="50"/>
        <v>Good Employee</v>
      </c>
      <c r="AA217" t="b">
        <f t="shared" si="51"/>
        <v>1</v>
      </c>
      <c r="AB217" t="b">
        <f>OR(Y217&gt;20, T217&gt;6)</f>
        <v>1</v>
      </c>
      <c r="AC217" t="str">
        <f>IF(OR(Y217&gt;20,T217&gt;6), "Good employee", "Bad Employee")</f>
        <v>Good employee</v>
      </c>
      <c r="AD217" t="s">
        <v>56</v>
      </c>
      <c r="AE217" t="s">
        <v>62</v>
      </c>
      <c r="AF217">
        <v>2</v>
      </c>
      <c r="AG217">
        <v>2018</v>
      </c>
      <c r="AH217" t="s">
        <v>43</v>
      </c>
      <c r="AI217">
        <v>117</v>
      </c>
      <c r="AJ217">
        <v>2.2999999999999998</v>
      </c>
    </row>
    <row r="218" spans="1:36" x14ac:dyDescent="0.25">
      <c r="A218">
        <v>10217</v>
      </c>
      <c r="B218" t="s">
        <v>31</v>
      </c>
      <c r="C218" t="s">
        <v>61</v>
      </c>
      <c r="D218" t="s">
        <v>39</v>
      </c>
      <c r="E218" t="str">
        <f t="shared" si="39"/>
        <v>Emily Smith is in IT Department</v>
      </c>
      <c r="F218" s="6" t="str">
        <f t="shared" si="40"/>
        <v>emilysmith@gmail.com</v>
      </c>
      <c r="G218">
        <v>93965</v>
      </c>
      <c r="H218" t="str">
        <f t="shared" si="41"/>
        <v>High</v>
      </c>
      <c r="I218" s="3">
        <v>43250</v>
      </c>
      <c r="J218">
        <f t="shared" si="42"/>
        <v>2018</v>
      </c>
      <c r="K218">
        <f t="shared" si="43"/>
        <v>5</v>
      </c>
      <c r="L218">
        <f t="shared" si="44"/>
        <v>30</v>
      </c>
      <c r="M218" s="3">
        <f t="shared" ca="1" si="45"/>
        <v>46100</v>
      </c>
      <c r="N218">
        <f t="shared" ca="1" si="46"/>
        <v>2850</v>
      </c>
      <c r="O218">
        <f t="shared" ca="1" si="47"/>
        <v>2850</v>
      </c>
      <c r="P218">
        <f t="shared" ca="1" si="48"/>
        <v>2037</v>
      </c>
      <c r="Q218">
        <v>47</v>
      </c>
      <c r="R218" t="str">
        <f t="shared" si="49"/>
        <v>Old</v>
      </c>
      <c r="S218" t="s">
        <v>34</v>
      </c>
      <c r="T218">
        <v>8</v>
      </c>
      <c r="U218" t="s">
        <v>25</v>
      </c>
      <c r="V218">
        <v>8946.17</v>
      </c>
      <c r="W218" t="s">
        <v>46</v>
      </c>
      <c r="X218" t="s">
        <v>27</v>
      </c>
      <c r="Y218">
        <v>32</v>
      </c>
      <c r="Z218" t="str">
        <f t="shared" si="50"/>
        <v>Good Employee</v>
      </c>
      <c r="AA218" t="b">
        <f t="shared" si="51"/>
        <v>1</v>
      </c>
      <c r="AB218" t="b">
        <f>OR(Y218&gt;20, T218&gt;6)</f>
        <v>1</v>
      </c>
      <c r="AC218" t="str">
        <f>IF(OR(Y218&gt;20,T218&gt;6), "Good employee", "Bad Employee")</f>
        <v>Good employee</v>
      </c>
      <c r="AD218" t="s">
        <v>41</v>
      </c>
      <c r="AE218" t="s">
        <v>48</v>
      </c>
      <c r="AF218">
        <v>4</v>
      </c>
      <c r="AG218">
        <v>2015</v>
      </c>
      <c r="AH218" t="s">
        <v>43</v>
      </c>
      <c r="AI218">
        <v>182</v>
      </c>
      <c r="AJ218">
        <v>4.5</v>
      </c>
    </row>
    <row r="219" spans="1:36" x14ac:dyDescent="0.25">
      <c r="A219">
        <v>10218</v>
      </c>
      <c r="B219" t="s">
        <v>38</v>
      </c>
      <c r="C219" t="s">
        <v>65</v>
      </c>
      <c r="D219" t="s">
        <v>52</v>
      </c>
      <c r="E219" t="str">
        <f t="shared" si="39"/>
        <v>Chris Johnson is in Operations Department</v>
      </c>
      <c r="F219" s="6" t="str">
        <f t="shared" si="40"/>
        <v>chrisjohnson@gmail.com</v>
      </c>
      <c r="G219">
        <v>46508</v>
      </c>
      <c r="H219" t="str">
        <f t="shared" si="41"/>
        <v>low</v>
      </c>
      <c r="I219" s="3">
        <v>38753</v>
      </c>
      <c r="J219">
        <f t="shared" si="42"/>
        <v>2006</v>
      </c>
      <c r="K219">
        <f t="shared" si="43"/>
        <v>2</v>
      </c>
      <c r="L219">
        <f t="shared" si="44"/>
        <v>5</v>
      </c>
      <c r="M219" s="3">
        <f t="shared" ca="1" si="45"/>
        <v>46100</v>
      </c>
      <c r="N219">
        <f t="shared" ca="1" si="46"/>
        <v>7347</v>
      </c>
      <c r="O219">
        <f t="shared" ca="1" si="47"/>
        <v>7347</v>
      </c>
      <c r="P219">
        <f t="shared" ca="1" si="48"/>
        <v>5249</v>
      </c>
      <c r="Q219">
        <v>24</v>
      </c>
      <c r="R219" t="str">
        <f t="shared" si="49"/>
        <v>Young</v>
      </c>
      <c r="S219" t="s">
        <v>34</v>
      </c>
      <c r="T219">
        <v>2</v>
      </c>
      <c r="U219" t="s">
        <v>25</v>
      </c>
      <c r="V219">
        <v>8270.76</v>
      </c>
      <c r="W219" t="s">
        <v>26</v>
      </c>
      <c r="X219" t="s">
        <v>40</v>
      </c>
      <c r="Y219">
        <v>33</v>
      </c>
      <c r="Z219" t="str">
        <f t="shared" si="50"/>
        <v>Bad Employee</v>
      </c>
      <c r="AA219" t="b">
        <f t="shared" si="51"/>
        <v>0</v>
      </c>
      <c r="AB219" t="b">
        <f>OR(Y219&gt;20, T219&gt;6)</f>
        <v>1</v>
      </c>
      <c r="AC219" t="str">
        <f>IF(OR(Y219&gt;20,T219&gt;6), "Good employee", "Bad Employee")</f>
        <v>Good employee</v>
      </c>
      <c r="AD219" t="s">
        <v>56</v>
      </c>
      <c r="AE219" t="s">
        <v>42</v>
      </c>
      <c r="AF219">
        <v>18</v>
      </c>
      <c r="AG219">
        <v>2023</v>
      </c>
      <c r="AH219" t="s">
        <v>43</v>
      </c>
      <c r="AI219">
        <v>191</v>
      </c>
      <c r="AJ219">
        <v>3.4</v>
      </c>
    </row>
    <row r="220" spans="1:36" x14ac:dyDescent="0.25">
      <c r="A220">
        <v>10219</v>
      </c>
      <c r="B220" t="s">
        <v>53</v>
      </c>
      <c r="C220" t="s">
        <v>32</v>
      </c>
      <c r="D220" t="s">
        <v>52</v>
      </c>
      <c r="E220" t="str">
        <f t="shared" si="39"/>
        <v>Sarah Wilson is in Operations Department</v>
      </c>
      <c r="F220" s="6" t="str">
        <f t="shared" si="40"/>
        <v>sarahwilson@gmail.com</v>
      </c>
      <c r="G220">
        <v>75592</v>
      </c>
      <c r="H220" t="str">
        <f t="shared" si="41"/>
        <v>Medium</v>
      </c>
      <c r="I220" s="3">
        <v>42681</v>
      </c>
      <c r="J220">
        <f t="shared" si="42"/>
        <v>2016</v>
      </c>
      <c r="K220">
        <f t="shared" si="43"/>
        <v>11</v>
      </c>
      <c r="L220">
        <f t="shared" si="44"/>
        <v>7</v>
      </c>
      <c r="M220" s="3">
        <f t="shared" ca="1" si="45"/>
        <v>46100</v>
      </c>
      <c r="N220">
        <f t="shared" ca="1" si="46"/>
        <v>3419</v>
      </c>
      <c r="O220">
        <f t="shared" ca="1" si="47"/>
        <v>3419</v>
      </c>
      <c r="P220">
        <f t="shared" ca="1" si="48"/>
        <v>2444</v>
      </c>
      <c r="Q220">
        <v>57</v>
      </c>
      <c r="R220" t="str">
        <f t="shared" si="49"/>
        <v>Old</v>
      </c>
      <c r="S220" t="s">
        <v>24</v>
      </c>
      <c r="T220">
        <v>6</v>
      </c>
      <c r="U220" t="s">
        <v>25</v>
      </c>
      <c r="V220">
        <v>5961.11</v>
      </c>
      <c r="W220" t="s">
        <v>26</v>
      </c>
      <c r="X220" t="s">
        <v>40</v>
      </c>
      <c r="Y220">
        <v>13</v>
      </c>
      <c r="Z220" t="str">
        <f t="shared" si="50"/>
        <v>Bad Employee</v>
      </c>
      <c r="AA220" t="b">
        <f t="shared" si="51"/>
        <v>0</v>
      </c>
      <c r="AB220" t="b">
        <f>OR(Y220&gt;20, T220&gt;6)</f>
        <v>0</v>
      </c>
      <c r="AC220" t="str">
        <f>IF(OR(Y220&gt;20,T220&gt;6), "Good employee", "Bad Employee")</f>
        <v>Bad Employee</v>
      </c>
      <c r="AD220" t="s">
        <v>56</v>
      </c>
      <c r="AE220" t="s">
        <v>29</v>
      </c>
      <c r="AF220">
        <v>7</v>
      </c>
      <c r="AG220">
        <v>2018</v>
      </c>
      <c r="AH220" t="s">
        <v>43</v>
      </c>
      <c r="AI220">
        <v>194</v>
      </c>
      <c r="AJ220">
        <v>4.4000000000000004</v>
      </c>
    </row>
    <row r="221" spans="1:36" x14ac:dyDescent="0.25">
      <c r="A221">
        <v>10220</v>
      </c>
      <c r="B221" t="s">
        <v>21</v>
      </c>
      <c r="C221" t="s">
        <v>65</v>
      </c>
      <c r="D221" t="s">
        <v>54</v>
      </c>
      <c r="E221" t="str">
        <f t="shared" si="39"/>
        <v>Michael Johnson is in Finance Department</v>
      </c>
      <c r="F221" s="6" t="str">
        <f t="shared" si="40"/>
        <v>michaeljohnson@gmail.com</v>
      </c>
      <c r="G221">
        <v>31919</v>
      </c>
      <c r="H221" t="str">
        <f t="shared" si="41"/>
        <v>extremely low</v>
      </c>
      <c r="I221" s="3">
        <v>39936</v>
      </c>
      <c r="J221">
        <f t="shared" si="42"/>
        <v>2009</v>
      </c>
      <c r="K221">
        <f t="shared" si="43"/>
        <v>5</v>
      </c>
      <c r="L221">
        <f t="shared" si="44"/>
        <v>3</v>
      </c>
      <c r="M221" s="3">
        <f t="shared" ca="1" si="45"/>
        <v>46100</v>
      </c>
      <c r="N221">
        <f t="shared" ca="1" si="46"/>
        <v>6164</v>
      </c>
      <c r="O221">
        <f t="shared" ca="1" si="47"/>
        <v>6164</v>
      </c>
      <c r="P221">
        <f t="shared" ca="1" si="48"/>
        <v>4404</v>
      </c>
      <c r="Q221">
        <v>26</v>
      </c>
      <c r="R221" t="str">
        <f t="shared" si="49"/>
        <v>Young</v>
      </c>
      <c r="S221" t="s">
        <v>24</v>
      </c>
      <c r="T221">
        <v>6</v>
      </c>
      <c r="U221" t="s">
        <v>45</v>
      </c>
      <c r="V221">
        <v>4930.0600000000004</v>
      </c>
      <c r="W221" t="s">
        <v>58</v>
      </c>
      <c r="X221" t="s">
        <v>40</v>
      </c>
      <c r="Y221">
        <v>37</v>
      </c>
      <c r="Z221" t="str">
        <f t="shared" si="50"/>
        <v>Bad Employee</v>
      </c>
      <c r="AA221" t="b">
        <f t="shared" si="51"/>
        <v>0</v>
      </c>
      <c r="AB221" t="b">
        <f>OR(Y221&gt;20, T221&gt;6)</f>
        <v>1</v>
      </c>
      <c r="AC221" t="str">
        <f>IF(OR(Y221&gt;20,T221&gt;6), "Good employee", "Bad Employee")</f>
        <v>Good employee</v>
      </c>
      <c r="AD221" t="s">
        <v>28</v>
      </c>
      <c r="AE221" t="s">
        <v>29</v>
      </c>
      <c r="AF221">
        <v>4</v>
      </c>
      <c r="AG221">
        <v>2011</v>
      </c>
      <c r="AH221" t="s">
        <v>49</v>
      </c>
      <c r="AI221">
        <v>15</v>
      </c>
      <c r="AJ221">
        <v>2.9</v>
      </c>
    </row>
    <row r="222" spans="1:36" x14ac:dyDescent="0.25">
      <c r="A222">
        <v>10221</v>
      </c>
      <c r="B222" t="s">
        <v>50</v>
      </c>
      <c r="C222" t="s">
        <v>57</v>
      </c>
      <c r="D222" t="s">
        <v>44</v>
      </c>
      <c r="E222" t="str">
        <f t="shared" si="39"/>
        <v>Alex Davis is in Sales Department</v>
      </c>
      <c r="F222" s="6" t="str">
        <f t="shared" si="40"/>
        <v>alexdavis@gmail.com</v>
      </c>
      <c r="G222">
        <v>72595</v>
      </c>
      <c r="H222" t="str">
        <f t="shared" si="41"/>
        <v>Medium</v>
      </c>
      <c r="I222" s="3">
        <v>39516</v>
      </c>
      <c r="J222">
        <f t="shared" si="42"/>
        <v>2008</v>
      </c>
      <c r="K222">
        <f t="shared" si="43"/>
        <v>3</v>
      </c>
      <c r="L222">
        <f t="shared" si="44"/>
        <v>9</v>
      </c>
      <c r="M222" s="3">
        <f t="shared" ca="1" si="45"/>
        <v>46100</v>
      </c>
      <c r="N222">
        <f t="shared" ca="1" si="46"/>
        <v>6584</v>
      </c>
      <c r="O222">
        <f t="shared" ca="1" si="47"/>
        <v>6584</v>
      </c>
      <c r="P222">
        <f t="shared" ca="1" si="48"/>
        <v>4704</v>
      </c>
      <c r="Q222">
        <v>41</v>
      </c>
      <c r="R222" t="str">
        <f t="shared" si="49"/>
        <v>Old</v>
      </c>
      <c r="S222" t="s">
        <v>24</v>
      </c>
      <c r="T222">
        <v>3</v>
      </c>
      <c r="U222" t="s">
        <v>25</v>
      </c>
      <c r="V222">
        <v>6647.86</v>
      </c>
      <c r="W222" t="s">
        <v>58</v>
      </c>
      <c r="X222" t="s">
        <v>27</v>
      </c>
      <c r="Y222">
        <v>2</v>
      </c>
      <c r="Z222" t="str">
        <f t="shared" si="50"/>
        <v>Bad Employee</v>
      </c>
      <c r="AA222" t="b">
        <f t="shared" si="51"/>
        <v>0</v>
      </c>
      <c r="AB222" t="b">
        <f>OR(Y222&gt;20, T222&gt;6)</f>
        <v>0</v>
      </c>
      <c r="AC222" t="str">
        <f>IF(OR(Y222&gt;20,T222&gt;6), "Good employee", "Bad Employee")</f>
        <v>Bad Employee</v>
      </c>
      <c r="AD222" t="s">
        <v>28</v>
      </c>
      <c r="AE222" t="s">
        <v>29</v>
      </c>
      <c r="AF222">
        <v>12</v>
      </c>
      <c r="AG222">
        <v>2018</v>
      </c>
      <c r="AH222" t="s">
        <v>43</v>
      </c>
      <c r="AI222">
        <v>27</v>
      </c>
      <c r="AJ222">
        <v>3</v>
      </c>
    </row>
    <row r="223" spans="1:36" x14ac:dyDescent="0.25">
      <c r="A223">
        <v>10222</v>
      </c>
      <c r="B223" t="s">
        <v>50</v>
      </c>
      <c r="C223" t="s">
        <v>61</v>
      </c>
      <c r="D223" t="s">
        <v>23</v>
      </c>
      <c r="E223" t="str">
        <f t="shared" si="39"/>
        <v>Alex Smith is in HR Department</v>
      </c>
      <c r="F223" s="6" t="str">
        <f t="shared" si="40"/>
        <v>alexsmith@gmail.com</v>
      </c>
      <c r="G223">
        <v>39617</v>
      </c>
      <c r="H223" t="str">
        <f t="shared" si="41"/>
        <v>extremely low</v>
      </c>
      <c r="I223" s="3">
        <v>41169</v>
      </c>
      <c r="J223">
        <f t="shared" si="42"/>
        <v>2012</v>
      </c>
      <c r="K223">
        <f t="shared" si="43"/>
        <v>9</v>
      </c>
      <c r="L223">
        <f t="shared" si="44"/>
        <v>17</v>
      </c>
      <c r="M223" s="3">
        <f t="shared" ca="1" si="45"/>
        <v>46100</v>
      </c>
      <c r="N223">
        <f t="shared" ca="1" si="46"/>
        <v>4931</v>
      </c>
      <c r="O223">
        <f t="shared" ca="1" si="47"/>
        <v>4931</v>
      </c>
      <c r="P223">
        <f t="shared" ca="1" si="48"/>
        <v>3524</v>
      </c>
      <c r="Q223">
        <v>41</v>
      </c>
      <c r="R223" t="str">
        <f t="shared" si="49"/>
        <v>Old</v>
      </c>
      <c r="S223" t="s">
        <v>34</v>
      </c>
      <c r="T223">
        <v>1</v>
      </c>
      <c r="U223" t="s">
        <v>25</v>
      </c>
      <c r="V223">
        <v>4929.3599999999997</v>
      </c>
      <c r="W223" t="s">
        <v>26</v>
      </c>
      <c r="X223" t="s">
        <v>36</v>
      </c>
      <c r="Y223">
        <v>38</v>
      </c>
      <c r="Z223" t="str">
        <f t="shared" si="50"/>
        <v>Bad Employee</v>
      </c>
      <c r="AA223" t="b">
        <f t="shared" si="51"/>
        <v>0</v>
      </c>
      <c r="AB223" t="b">
        <f>OR(Y223&gt;20, T223&gt;6)</f>
        <v>1</v>
      </c>
      <c r="AC223" t="str">
        <f>IF(OR(Y223&gt;20,T223&gt;6), "Good employee", "Bad Employee")</f>
        <v>Good employee</v>
      </c>
      <c r="AD223" t="s">
        <v>56</v>
      </c>
      <c r="AE223" t="s">
        <v>62</v>
      </c>
      <c r="AF223">
        <v>9</v>
      </c>
      <c r="AG223">
        <v>2013</v>
      </c>
      <c r="AH223" t="s">
        <v>43</v>
      </c>
      <c r="AI223">
        <v>123</v>
      </c>
      <c r="AJ223">
        <v>2.2000000000000002</v>
      </c>
    </row>
    <row r="224" spans="1:36" x14ac:dyDescent="0.25">
      <c r="A224">
        <v>10223</v>
      </c>
      <c r="B224" t="s">
        <v>64</v>
      </c>
      <c r="C224" t="s">
        <v>51</v>
      </c>
      <c r="D224" t="s">
        <v>33</v>
      </c>
      <c r="E224" t="str">
        <f t="shared" si="39"/>
        <v>Katie Brown is in Marketing Department</v>
      </c>
      <c r="F224" s="6" t="str">
        <f t="shared" si="40"/>
        <v>katiebrown@gmail.com</v>
      </c>
      <c r="G224">
        <v>105268</v>
      </c>
      <c r="H224" t="str">
        <f t="shared" si="41"/>
        <v>High</v>
      </c>
      <c r="I224" s="3">
        <v>37675</v>
      </c>
      <c r="J224">
        <f t="shared" si="42"/>
        <v>2003</v>
      </c>
      <c r="K224">
        <f t="shared" si="43"/>
        <v>2</v>
      </c>
      <c r="L224">
        <f t="shared" si="44"/>
        <v>23</v>
      </c>
      <c r="M224" s="3">
        <f t="shared" ca="1" si="45"/>
        <v>46100</v>
      </c>
      <c r="N224">
        <f t="shared" ca="1" si="46"/>
        <v>8425</v>
      </c>
      <c r="O224">
        <f t="shared" ca="1" si="47"/>
        <v>8425</v>
      </c>
      <c r="P224">
        <f t="shared" ca="1" si="48"/>
        <v>6019</v>
      </c>
      <c r="Q224">
        <v>26</v>
      </c>
      <c r="R224" t="str">
        <f t="shared" si="49"/>
        <v>Young</v>
      </c>
      <c r="S224" t="s">
        <v>24</v>
      </c>
      <c r="T224">
        <v>7</v>
      </c>
      <c r="U224" t="s">
        <v>45</v>
      </c>
      <c r="V224">
        <v>6620.9</v>
      </c>
      <c r="W224" t="s">
        <v>26</v>
      </c>
      <c r="X224" t="s">
        <v>47</v>
      </c>
      <c r="Y224">
        <v>37</v>
      </c>
      <c r="Z224" t="str">
        <f t="shared" si="50"/>
        <v>Good Employee</v>
      </c>
      <c r="AA224" t="b">
        <f t="shared" si="51"/>
        <v>1</v>
      </c>
      <c r="AB224" t="b">
        <f>OR(Y224&gt;20, T224&gt;6)</f>
        <v>1</v>
      </c>
      <c r="AC224" t="str">
        <f>IF(OR(Y224&gt;20,T224&gt;6), "Good employee", "Bad Employee")</f>
        <v>Good employee</v>
      </c>
      <c r="AD224" t="s">
        <v>56</v>
      </c>
      <c r="AE224" t="s">
        <v>29</v>
      </c>
      <c r="AF224">
        <v>5</v>
      </c>
      <c r="AG224">
        <v>2012</v>
      </c>
      <c r="AH224" t="s">
        <v>49</v>
      </c>
      <c r="AI224">
        <v>30</v>
      </c>
      <c r="AJ224">
        <v>2.6</v>
      </c>
    </row>
    <row r="225" spans="1:36" x14ac:dyDescent="0.25">
      <c r="A225">
        <v>10224</v>
      </c>
      <c r="B225" t="s">
        <v>31</v>
      </c>
      <c r="C225" t="s">
        <v>22</v>
      </c>
      <c r="D225" t="s">
        <v>23</v>
      </c>
      <c r="E225" t="str">
        <f t="shared" si="39"/>
        <v>Emily Williams is in HR Department</v>
      </c>
      <c r="F225" s="6" t="str">
        <f t="shared" si="40"/>
        <v>emilywilliams@gmail.com</v>
      </c>
      <c r="G225">
        <v>63298</v>
      </c>
      <c r="H225" t="str">
        <f t="shared" si="41"/>
        <v>Medium</v>
      </c>
      <c r="I225" s="3">
        <v>36588</v>
      </c>
      <c r="J225">
        <f t="shared" si="42"/>
        <v>2000</v>
      </c>
      <c r="K225">
        <f t="shared" si="43"/>
        <v>3</v>
      </c>
      <c r="L225">
        <f t="shared" si="44"/>
        <v>3</v>
      </c>
      <c r="M225" s="3">
        <f t="shared" ca="1" si="45"/>
        <v>46100</v>
      </c>
      <c r="N225">
        <f t="shared" ca="1" si="46"/>
        <v>9512</v>
      </c>
      <c r="O225">
        <f t="shared" ca="1" si="47"/>
        <v>9512</v>
      </c>
      <c r="P225">
        <f t="shared" ca="1" si="48"/>
        <v>6795</v>
      </c>
      <c r="Q225">
        <v>31</v>
      </c>
      <c r="R225" t="str">
        <f t="shared" si="49"/>
        <v>Old</v>
      </c>
      <c r="S225" t="s">
        <v>34</v>
      </c>
      <c r="T225">
        <v>5</v>
      </c>
      <c r="U225" t="s">
        <v>25</v>
      </c>
      <c r="V225">
        <v>3420.34</v>
      </c>
      <c r="W225" t="s">
        <v>58</v>
      </c>
      <c r="X225" t="s">
        <v>47</v>
      </c>
      <c r="Y225">
        <v>5</v>
      </c>
      <c r="Z225" t="str">
        <f t="shared" si="50"/>
        <v>Bad Employee</v>
      </c>
      <c r="AA225" t="b">
        <f t="shared" si="51"/>
        <v>0</v>
      </c>
      <c r="AB225" t="b">
        <f>OR(Y225&gt;20, T225&gt;6)</f>
        <v>0</v>
      </c>
      <c r="AC225" t="str">
        <f>IF(OR(Y225&gt;20,T225&gt;6), "Good employee", "Bad Employee")</f>
        <v>Bad Employee</v>
      </c>
      <c r="AD225" t="s">
        <v>56</v>
      </c>
      <c r="AE225" t="s">
        <v>29</v>
      </c>
      <c r="AF225">
        <v>0</v>
      </c>
      <c r="AG225">
        <v>2010</v>
      </c>
      <c r="AH225" t="s">
        <v>30</v>
      </c>
      <c r="AI225">
        <v>67</v>
      </c>
      <c r="AJ225">
        <v>3.3</v>
      </c>
    </row>
    <row r="226" spans="1:36" x14ac:dyDescent="0.25">
      <c r="A226">
        <v>10225</v>
      </c>
      <c r="B226" t="s">
        <v>60</v>
      </c>
      <c r="C226" t="s">
        <v>61</v>
      </c>
      <c r="D226" t="s">
        <v>54</v>
      </c>
      <c r="E226" t="str">
        <f t="shared" si="39"/>
        <v>Jane Smith is in Finance Department</v>
      </c>
      <c r="F226" s="6" t="str">
        <f t="shared" si="40"/>
        <v>janesmith@gmail.com</v>
      </c>
      <c r="G226">
        <v>36929</v>
      </c>
      <c r="H226" t="str">
        <f t="shared" si="41"/>
        <v>extremely low</v>
      </c>
      <c r="I226" s="3">
        <v>41465</v>
      </c>
      <c r="J226">
        <f t="shared" si="42"/>
        <v>2013</v>
      </c>
      <c r="K226">
        <f t="shared" si="43"/>
        <v>7</v>
      </c>
      <c r="L226">
        <f t="shared" si="44"/>
        <v>10</v>
      </c>
      <c r="M226" s="3">
        <f t="shared" ca="1" si="45"/>
        <v>46100</v>
      </c>
      <c r="N226">
        <f t="shared" ca="1" si="46"/>
        <v>4635</v>
      </c>
      <c r="O226">
        <f t="shared" ca="1" si="47"/>
        <v>4635</v>
      </c>
      <c r="P226">
        <f t="shared" ca="1" si="48"/>
        <v>3312</v>
      </c>
      <c r="Q226">
        <v>37</v>
      </c>
      <c r="R226" t="str">
        <f t="shared" si="49"/>
        <v>Old</v>
      </c>
      <c r="S226" t="s">
        <v>24</v>
      </c>
      <c r="T226">
        <v>5</v>
      </c>
      <c r="U226" t="s">
        <v>45</v>
      </c>
      <c r="V226">
        <v>8465.7199999999993</v>
      </c>
      <c r="W226" t="s">
        <v>58</v>
      </c>
      <c r="X226" t="s">
        <v>36</v>
      </c>
      <c r="Y226">
        <v>18</v>
      </c>
      <c r="Z226" t="str">
        <f t="shared" si="50"/>
        <v>Bad Employee</v>
      </c>
      <c r="AA226" t="b">
        <f t="shared" si="51"/>
        <v>0</v>
      </c>
      <c r="AB226" t="b">
        <f>OR(Y226&gt;20, T226&gt;6)</f>
        <v>0</v>
      </c>
      <c r="AC226" t="str">
        <f>IF(OR(Y226&gt;20,T226&gt;6), "Good employee", "Bad Employee")</f>
        <v>Bad Employee</v>
      </c>
      <c r="AD226" t="s">
        <v>56</v>
      </c>
      <c r="AE226" t="s">
        <v>59</v>
      </c>
      <c r="AF226">
        <v>10</v>
      </c>
      <c r="AG226">
        <v>2010</v>
      </c>
      <c r="AH226" t="s">
        <v>30</v>
      </c>
      <c r="AI226">
        <v>178</v>
      </c>
      <c r="AJ226">
        <v>4.8</v>
      </c>
    </row>
    <row r="227" spans="1:36" x14ac:dyDescent="0.25">
      <c r="A227">
        <v>10226</v>
      </c>
      <c r="B227" t="s">
        <v>60</v>
      </c>
      <c r="C227" t="s">
        <v>32</v>
      </c>
      <c r="D227" t="s">
        <v>54</v>
      </c>
      <c r="E227" t="str">
        <f t="shared" si="39"/>
        <v>Jane Wilson is in Finance Department</v>
      </c>
      <c r="F227" s="6" t="str">
        <f t="shared" si="40"/>
        <v>janewilson@gmail.com</v>
      </c>
      <c r="G227">
        <v>44456</v>
      </c>
      <c r="H227" t="str">
        <f t="shared" si="41"/>
        <v>low</v>
      </c>
      <c r="I227" s="3">
        <v>39679</v>
      </c>
      <c r="J227">
        <f t="shared" si="42"/>
        <v>2008</v>
      </c>
      <c r="K227">
        <f t="shared" si="43"/>
        <v>8</v>
      </c>
      <c r="L227">
        <f t="shared" si="44"/>
        <v>19</v>
      </c>
      <c r="M227" s="3">
        <f t="shared" ca="1" si="45"/>
        <v>46100</v>
      </c>
      <c r="N227">
        <f t="shared" ca="1" si="46"/>
        <v>6421</v>
      </c>
      <c r="O227">
        <f t="shared" ca="1" si="47"/>
        <v>6421</v>
      </c>
      <c r="P227">
        <f t="shared" ca="1" si="48"/>
        <v>4588</v>
      </c>
      <c r="Q227">
        <v>46</v>
      </c>
      <c r="R227" t="str">
        <f t="shared" si="49"/>
        <v>Old</v>
      </c>
      <c r="S227" t="s">
        <v>34</v>
      </c>
      <c r="T227">
        <v>8</v>
      </c>
      <c r="U227" t="s">
        <v>45</v>
      </c>
      <c r="V227">
        <v>7168.22</v>
      </c>
      <c r="W227" t="s">
        <v>35</v>
      </c>
      <c r="X227" t="s">
        <v>36</v>
      </c>
      <c r="Y227">
        <v>17</v>
      </c>
      <c r="Z227" t="str">
        <f t="shared" si="50"/>
        <v>Bad Employee</v>
      </c>
      <c r="AA227" t="b">
        <f t="shared" si="51"/>
        <v>0</v>
      </c>
      <c r="AB227" t="b">
        <f>OR(Y227&gt;20, T227&gt;6)</f>
        <v>1</v>
      </c>
      <c r="AC227" t="str">
        <f>IF(OR(Y227&gt;20,T227&gt;6), "Good employee", "Bad Employee")</f>
        <v>Good employee</v>
      </c>
      <c r="AD227" t="s">
        <v>56</v>
      </c>
      <c r="AE227" t="s">
        <v>59</v>
      </c>
      <c r="AF227">
        <v>19</v>
      </c>
      <c r="AG227">
        <v>2017</v>
      </c>
      <c r="AH227" t="s">
        <v>49</v>
      </c>
      <c r="AI227">
        <v>73</v>
      </c>
      <c r="AJ227">
        <v>3.4</v>
      </c>
    </row>
    <row r="228" spans="1:36" x14ac:dyDescent="0.25">
      <c r="A228">
        <v>10227</v>
      </c>
      <c r="B228" t="s">
        <v>38</v>
      </c>
      <c r="C228" t="s">
        <v>65</v>
      </c>
      <c r="D228" t="s">
        <v>23</v>
      </c>
      <c r="E228" t="str">
        <f t="shared" si="39"/>
        <v>Chris Johnson is in HR Department</v>
      </c>
      <c r="F228" s="6" t="str">
        <f t="shared" si="40"/>
        <v>chrisjohnson@gmail.com</v>
      </c>
      <c r="G228">
        <v>116676</v>
      </c>
      <c r="H228" t="str">
        <f t="shared" si="41"/>
        <v>High</v>
      </c>
      <c r="I228" s="3">
        <v>37534</v>
      </c>
      <c r="J228">
        <f t="shared" si="42"/>
        <v>2002</v>
      </c>
      <c r="K228">
        <f t="shared" si="43"/>
        <v>10</v>
      </c>
      <c r="L228">
        <f t="shared" si="44"/>
        <v>5</v>
      </c>
      <c r="M228" s="3">
        <f t="shared" ca="1" si="45"/>
        <v>46100</v>
      </c>
      <c r="N228">
        <f t="shared" ca="1" si="46"/>
        <v>8566</v>
      </c>
      <c r="O228">
        <f t="shared" ca="1" si="47"/>
        <v>8566</v>
      </c>
      <c r="P228">
        <f t="shared" ca="1" si="48"/>
        <v>6119</v>
      </c>
      <c r="Q228">
        <v>46</v>
      </c>
      <c r="R228" t="str">
        <f t="shared" si="49"/>
        <v>Old</v>
      </c>
      <c r="S228" t="s">
        <v>24</v>
      </c>
      <c r="T228">
        <v>5</v>
      </c>
      <c r="U228" t="s">
        <v>25</v>
      </c>
      <c r="V228">
        <v>3634.77</v>
      </c>
      <c r="W228" t="s">
        <v>58</v>
      </c>
      <c r="X228" t="s">
        <v>36</v>
      </c>
      <c r="Y228">
        <v>2</v>
      </c>
      <c r="Z228" t="str">
        <f t="shared" si="50"/>
        <v>Bad Employee</v>
      </c>
      <c r="AA228" t="b">
        <f t="shared" si="51"/>
        <v>0</v>
      </c>
      <c r="AB228" t="b">
        <f>OR(Y228&gt;20, T228&gt;6)</f>
        <v>0</v>
      </c>
      <c r="AC228" t="str">
        <f>IF(OR(Y228&gt;20,T228&gt;6), "Good employee", "Bad Employee")</f>
        <v>Bad Employee</v>
      </c>
      <c r="AD228" t="s">
        <v>28</v>
      </c>
      <c r="AE228" t="s">
        <v>29</v>
      </c>
      <c r="AF228">
        <v>8</v>
      </c>
      <c r="AG228">
        <v>2011</v>
      </c>
      <c r="AH228" t="s">
        <v>49</v>
      </c>
      <c r="AI228">
        <v>94</v>
      </c>
      <c r="AJ228">
        <v>1.6</v>
      </c>
    </row>
    <row r="229" spans="1:36" x14ac:dyDescent="0.25">
      <c r="A229">
        <v>10228</v>
      </c>
      <c r="B229" t="s">
        <v>64</v>
      </c>
      <c r="C229" t="s">
        <v>32</v>
      </c>
      <c r="D229" t="s">
        <v>33</v>
      </c>
      <c r="E229" t="str">
        <f t="shared" si="39"/>
        <v>Katie Wilson is in Marketing Department</v>
      </c>
      <c r="F229" s="6" t="str">
        <f t="shared" si="40"/>
        <v>katiewilson@gmail.com</v>
      </c>
      <c r="G229">
        <v>113721</v>
      </c>
      <c r="H229" t="str">
        <f t="shared" si="41"/>
        <v>High</v>
      </c>
      <c r="I229" s="3">
        <v>42464</v>
      </c>
      <c r="J229">
        <f t="shared" si="42"/>
        <v>2016</v>
      </c>
      <c r="K229">
        <f t="shared" si="43"/>
        <v>4</v>
      </c>
      <c r="L229">
        <f t="shared" si="44"/>
        <v>4</v>
      </c>
      <c r="M229" s="3">
        <f t="shared" ca="1" si="45"/>
        <v>46100</v>
      </c>
      <c r="N229">
        <f t="shared" ca="1" si="46"/>
        <v>3636</v>
      </c>
      <c r="O229">
        <f t="shared" ca="1" si="47"/>
        <v>3636</v>
      </c>
      <c r="P229">
        <f t="shared" ca="1" si="48"/>
        <v>2599</v>
      </c>
      <c r="Q229">
        <v>51</v>
      </c>
      <c r="R229" t="str">
        <f t="shared" si="49"/>
        <v>Old</v>
      </c>
      <c r="S229" t="s">
        <v>24</v>
      </c>
      <c r="T229">
        <v>5</v>
      </c>
      <c r="U229" t="s">
        <v>25</v>
      </c>
      <c r="V229">
        <v>8391.33</v>
      </c>
      <c r="W229" t="s">
        <v>35</v>
      </c>
      <c r="X229" t="s">
        <v>40</v>
      </c>
      <c r="Y229">
        <v>35</v>
      </c>
      <c r="Z229" t="str">
        <f t="shared" si="50"/>
        <v>Bad Employee</v>
      </c>
      <c r="AA229" t="b">
        <f t="shared" si="51"/>
        <v>0</v>
      </c>
      <c r="AB229" t="b">
        <f>OR(Y229&gt;20, T229&gt;6)</f>
        <v>1</v>
      </c>
      <c r="AC229" t="str">
        <f>IF(OR(Y229&gt;20,T229&gt;6), "Good employee", "Bad Employee")</f>
        <v>Good employee</v>
      </c>
      <c r="AD229" t="s">
        <v>28</v>
      </c>
      <c r="AE229" t="s">
        <v>29</v>
      </c>
      <c r="AF229">
        <v>15</v>
      </c>
      <c r="AG229">
        <v>2010</v>
      </c>
      <c r="AH229" t="s">
        <v>30</v>
      </c>
      <c r="AI229">
        <v>138</v>
      </c>
      <c r="AJ229">
        <v>1</v>
      </c>
    </row>
    <row r="230" spans="1:36" x14ac:dyDescent="0.25">
      <c r="A230">
        <v>10229</v>
      </c>
      <c r="B230" t="s">
        <v>66</v>
      </c>
      <c r="C230" t="s">
        <v>32</v>
      </c>
      <c r="D230" t="s">
        <v>23</v>
      </c>
      <c r="E230" t="str">
        <f t="shared" si="39"/>
        <v>John Wilson is in HR Department</v>
      </c>
      <c r="F230" s="6" t="str">
        <f t="shared" si="40"/>
        <v>johnwilson@gmail.com</v>
      </c>
      <c r="G230">
        <v>67924</v>
      </c>
      <c r="H230" t="str">
        <f t="shared" si="41"/>
        <v>Medium</v>
      </c>
      <c r="I230" s="3">
        <v>38557</v>
      </c>
      <c r="J230">
        <f t="shared" si="42"/>
        <v>2005</v>
      </c>
      <c r="K230">
        <f t="shared" si="43"/>
        <v>7</v>
      </c>
      <c r="L230">
        <f t="shared" si="44"/>
        <v>24</v>
      </c>
      <c r="M230" s="3">
        <f t="shared" ca="1" si="45"/>
        <v>46100</v>
      </c>
      <c r="N230">
        <f t="shared" ca="1" si="46"/>
        <v>7543</v>
      </c>
      <c r="O230">
        <f t="shared" ca="1" si="47"/>
        <v>7543</v>
      </c>
      <c r="P230">
        <f t="shared" ca="1" si="48"/>
        <v>5389</v>
      </c>
      <c r="Q230">
        <v>35</v>
      </c>
      <c r="R230" t="str">
        <f t="shared" si="49"/>
        <v>Old</v>
      </c>
      <c r="S230" t="s">
        <v>34</v>
      </c>
      <c r="T230">
        <v>1</v>
      </c>
      <c r="U230" t="s">
        <v>45</v>
      </c>
      <c r="V230">
        <v>5129.75</v>
      </c>
      <c r="W230" t="s">
        <v>35</v>
      </c>
      <c r="X230" t="s">
        <v>55</v>
      </c>
      <c r="Y230">
        <v>14</v>
      </c>
      <c r="Z230" t="str">
        <f t="shared" si="50"/>
        <v>Bad Employee</v>
      </c>
      <c r="AA230" t="b">
        <f t="shared" si="51"/>
        <v>0</v>
      </c>
      <c r="AB230" t="b">
        <f>OR(Y230&gt;20, T230&gt;6)</f>
        <v>0</v>
      </c>
      <c r="AC230" t="str">
        <f>IF(OR(Y230&gt;20,T230&gt;6), "Good employee", "Bad Employee")</f>
        <v>Bad Employee</v>
      </c>
      <c r="AD230" t="s">
        <v>56</v>
      </c>
      <c r="AE230" t="s">
        <v>59</v>
      </c>
      <c r="AF230">
        <v>14</v>
      </c>
      <c r="AG230">
        <v>2011</v>
      </c>
      <c r="AH230" t="s">
        <v>43</v>
      </c>
      <c r="AI230">
        <v>55</v>
      </c>
      <c r="AJ230">
        <v>4.4000000000000004</v>
      </c>
    </row>
    <row r="231" spans="1:36" x14ac:dyDescent="0.25">
      <c r="A231">
        <v>10230</v>
      </c>
      <c r="B231" t="s">
        <v>38</v>
      </c>
      <c r="C231" t="s">
        <v>57</v>
      </c>
      <c r="D231" t="s">
        <v>52</v>
      </c>
      <c r="E231" t="str">
        <f t="shared" si="39"/>
        <v>Chris Davis is in Operations Department</v>
      </c>
      <c r="F231" s="6" t="str">
        <f t="shared" si="40"/>
        <v>chrisdavis@gmail.com</v>
      </c>
      <c r="G231">
        <v>54240</v>
      </c>
      <c r="H231" t="str">
        <f t="shared" si="41"/>
        <v>Medium</v>
      </c>
      <c r="I231" s="3">
        <v>37848</v>
      </c>
      <c r="J231">
        <f t="shared" si="42"/>
        <v>2003</v>
      </c>
      <c r="K231">
        <f t="shared" si="43"/>
        <v>8</v>
      </c>
      <c r="L231">
        <f t="shared" si="44"/>
        <v>15</v>
      </c>
      <c r="M231" s="3">
        <f t="shared" ca="1" si="45"/>
        <v>46100</v>
      </c>
      <c r="N231">
        <f t="shared" ca="1" si="46"/>
        <v>8252</v>
      </c>
      <c r="O231">
        <f t="shared" ca="1" si="47"/>
        <v>8252</v>
      </c>
      <c r="P231">
        <f t="shared" ca="1" si="48"/>
        <v>5895</v>
      </c>
      <c r="Q231">
        <v>43</v>
      </c>
      <c r="R231" t="str">
        <f t="shared" si="49"/>
        <v>Old</v>
      </c>
      <c r="S231" t="s">
        <v>24</v>
      </c>
      <c r="T231">
        <v>2</v>
      </c>
      <c r="U231" t="s">
        <v>25</v>
      </c>
      <c r="V231">
        <v>2159.0700000000002</v>
      </c>
      <c r="W231" t="s">
        <v>46</v>
      </c>
      <c r="X231" t="s">
        <v>27</v>
      </c>
      <c r="Y231">
        <v>12</v>
      </c>
      <c r="Z231" t="str">
        <f t="shared" si="50"/>
        <v>Bad Employee</v>
      </c>
      <c r="AA231" t="b">
        <f t="shared" si="51"/>
        <v>0</v>
      </c>
      <c r="AB231" t="b">
        <f>OR(Y231&gt;20, T231&gt;6)</f>
        <v>0</v>
      </c>
      <c r="AC231" t="str">
        <f>IF(OR(Y231&gt;20,T231&gt;6), "Good employee", "Bad Employee")</f>
        <v>Bad Employee</v>
      </c>
      <c r="AD231" t="s">
        <v>56</v>
      </c>
      <c r="AE231" t="s">
        <v>62</v>
      </c>
      <c r="AF231">
        <v>4</v>
      </c>
      <c r="AG231">
        <v>2012</v>
      </c>
      <c r="AH231" t="s">
        <v>30</v>
      </c>
      <c r="AI231">
        <v>47</v>
      </c>
      <c r="AJ231">
        <v>2.5</v>
      </c>
    </row>
    <row r="232" spans="1:36" x14ac:dyDescent="0.25">
      <c r="A232">
        <v>10231</v>
      </c>
      <c r="B232" t="s">
        <v>64</v>
      </c>
      <c r="C232" t="s">
        <v>57</v>
      </c>
      <c r="D232" t="s">
        <v>39</v>
      </c>
      <c r="E232" t="str">
        <f t="shared" si="39"/>
        <v>Katie Davis is in IT Department</v>
      </c>
      <c r="F232" s="6" t="str">
        <f t="shared" si="40"/>
        <v>katiedavis@gmail.com</v>
      </c>
      <c r="G232">
        <v>117381</v>
      </c>
      <c r="H232" t="str">
        <f t="shared" si="41"/>
        <v>High</v>
      </c>
      <c r="I232" s="3">
        <v>38607</v>
      </c>
      <c r="J232">
        <f t="shared" si="42"/>
        <v>2005</v>
      </c>
      <c r="K232">
        <f t="shared" si="43"/>
        <v>9</v>
      </c>
      <c r="L232">
        <f t="shared" si="44"/>
        <v>12</v>
      </c>
      <c r="M232" s="3">
        <f t="shared" ca="1" si="45"/>
        <v>46100</v>
      </c>
      <c r="N232">
        <f t="shared" ca="1" si="46"/>
        <v>7493</v>
      </c>
      <c r="O232">
        <f t="shared" ca="1" si="47"/>
        <v>7493</v>
      </c>
      <c r="P232">
        <f t="shared" ca="1" si="48"/>
        <v>5354</v>
      </c>
      <c r="Q232">
        <v>64</v>
      </c>
      <c r="R232" t="str">
        <f t="shared" si="49"/>
        <v>Old</v>
      </c>
      <c r="S232" t="s">
        <v>24</v>
      </c>
      <c r="T232">
        <v>5</v>
      </c>
      <c r="U232" t="s">
        <v>45</v>
      </c>
      <c r="V232">
        <v>1238.27</v>
      </c>
      <c r="W232" t="s">
        <v>58</v>
      </c>
      <c r="X232" t="s">
        <v>40</v>
      </c>
      <c r="Y232">
        <v>33</v>
      </c>
      <c r="Z232" t="str">
        <f t="shared" si="50"/>
        <v>Bad Employee</v>
      </c>
      <c r="AA232" t="b">
        <f t="shared" si="51"/>
        <v>0</v>
      </c>
      <c r="AB232" t="b">
        <f>OR(Y232&gt;20, T232&gt;6)</f>
        <v>1</v>
      </c>
      <c r="AC232" t="str">
        <f>IF(OR(Y232&gt;20,T232&gt;6), "Good employee", "Bad Employee")</f>
        <v>Good employee</v>
      </c>
      <c r="AD232" t="s">
        <v>28</v>
      </c>
      <c r="AE232" t="s">
        <v>59</v>
      </c>
      <c r="AF232">
        <v>14</v>
      </c>
      <c r="AG232">
        <v>2013</v>
      </c>
      <c r="AH232" t="s">
        <v>43</v>
      </c>
      <c r="AI232">
        <v>174</v>
      </c>
      <c r="AJ232">
        <v>2.2999999999999998</v>
      </c>
    </row>
    <row r="233" spans="1:36" x14ac:dyDescent="0.25">
      <c r="A233">
        <v>10232</v>
      </c>
      <c r="B233" t="s">
        <v>31</v>
      </c>
      <c r="C233" t="s">
        <v>22</v>
      </c>
      <c r="D233" t="s">
        <v>44</v>
      </c>
      <c r="E233" t="str">
        <f t="shared" si="39"/>
        <v>Emily Williams is in Sales Department</v>
      </c>
      <c r="F233" s="6" t="str">
        <f t="shared" si="40"/>
        <v>emilywilliams@gmail.com</v>
      </c>
      <c r="G233">
        <v>39228</v>
      </c>
      <c r="H233" t="str">
        <f t="shared" si="41"/>
        <v>extremely low</v>
      </c>
      <c r="I233" s="3">
        <v>37277</v>
      </c>
      <c r="J233">
        <f t="shared" si="42"/>
        <v>2002</v>
      </c>
      <c r="K233">
        <f t="shared" si="43"/>
        <v>1</v>
      </c>
      <c r="L233">
        <f t="shared" si="44"/>
        <v>21</v>
      </c>
      <c r="M233" s="3">
        <f t="shared" ca="1" si="45"/>
        <v>46100</v>
      </c>
      <c r="N233">
        <f t="shared" ca="1" si="46"/>
        <v>8823</v>
      </c>
      <c r="O233">
        <f t="shared" ca="1" si="47"/>
        <v>8823</v>
      </c>
      <c r="P233">
        <f t="shared" ca="1" si="48"/>
        <v>6304</v>
      </c>
      <c r="Q233">
        <v>49</v>
      </c>
      <c r="R233" t="str">
        <f t="shared" si="49"/>
        <v>Old</v>
      </c>
      <c r="S233" t="s">
        <v>34</v>
      </c>
      <c r="T233">
        <v>7</v>
      </c>
      <c r="U233" t="s">
        <v>45</v>
      </c>
      <c r="V233">
        <v>7146.25</v>
      </c>
      <c r="W233" t="s">
        <v>35</v>
      </c>
      <c r="X233" t="s">
        <v>47</v>
      </c>
      <c r="Y233">
        <v>7</v>
      </c>
      <c r="Z233" t="str">
        <f t="shared" si="50"/>
        <v>Bad Employee</v>
      </c>
      <c r="AA233" t="b">
        <f t="shared" si="51"/>
        <v>0</v>
      </c>
      <c r="AB233" t="b">
        <f>OR(Y233&gt;20, T233&gt;6)</f>
        <v>1</v>
      </c>
      <c r="AC233" t="str">
        <f>IF(OR(Y233&gt;20,T233&gt;6), "Good employee", "Bad Employee")</f>
        <v>Good employee</v>
      </c>
      <c r="AD233" t="s">
        <v>56</v>
      </c>
      <c r="AE233" t="s">
        <v>59</v>
      </c>
      <c r="AF233">
        <v>0</v>
      </c>
      <c r="AG233">
        <v>2022</v>
      </c>
      <c r="AH233" t="s">
        <v>49</v>
      </c>
      <c r="AI233">
        <v>145</v>
      </c>
      <c r="AJ233">
        <v>4.2</v>
      </c>
    </row>
    <row r="234" spans="1:36" x14ac:dyDescent="0.25">
      <c r="A234">
        <v>10233</v>
      </c>
      <c r="B234" t="s">
        <v>31</v>
      </c>
      <c r="C234" t="s">
        <v>57</v>
      </c>
      <c r="D234" t="s">
        <v>52</v>
      </c>
      <c r="E234" t="str">
        <f t="shared" si="39"/>
        <v>Emily Davis is in Operations Department</v>
      </c>
      <c r="F234" s="6" t="str">
        <f t="shared" si="40"/>
        <v>emilydavis@gmail.com</v>
      </c>
      <c r="G234">
        <v>51686</v>
      </c>
      <c r="H234" t="str">
        <f t="shared" si="41"/>
        <v>Medium</v>
      </c>
      <c r="I234" s="3">
        <v>40670</v>
      </c>
      <c r="J234">
        <f t="shared" si="42"/>
        <v>2011</v>
      </c>
      <c r="K234">
        <f t="shared" si="43"/>
        <v>5</v>
      </c>
      <c r="L234">
        <f t="shared" si="44"/>
        <v>7</v>
      </c>
      <c r="M234" s="3">
        <f t="shared" ca="1" si="45"/>
        <v>46100</v>
      </c>
      <c r="N234">
        <f t="shared" ca="1" si="46"/>
        <v>5430</v>
      </c>
      <c r="O234">
        <f t="shared" ca="1" si="47"/>
        <v>5430</v>
      </c>
      <c r="P234">
        <f t="shared" ca="1" si="48"/>
        <v>3879</v>
      </c>
      <c r="Q234">
        <v>51</v>
      </c>
      <c r="R234" t="str">
        <f t="shared" si="49"/>
        <v>Old</v>
      </c>
      <c r="S234" t="s">
        <v>24</v>
      </c>
      <c r="T234">
        <v>3</v>
      </c>
      <c r="U234" t="s">
        <v>25</v>
      </c>
      <c r="V234">
        <v>8718.65</v>
      </c>
      <c r="W234" t="s">
        <v>46</v>
      </c>
      <c r="X234" t="s">
        <v>27</v>
      </c>
      <c r="Y234">
        <v>39</v>
      </c>
      <c r="Z234" t="str">
        <f t="shared" si="50"/>
        <v>Bad Employee</v>
      </c>
      <c r="AA234" t="b">
        <f t="shared" si="51"/>
        <v>0</v>
      </c>
      <c r="AB234" t="b">
        <f>OR(Y234&gt;20, T234&gt;6)</f>
        <v>1</v>
      </c>
      <c r="AC234" t="str">
        <f>IF(OR(Y234&gt;20,T234&gt;6), "Good employee", "Bad Employee")</f>
        <v>Good employee</v>
      </c>
      <c r="AD234" t="s">
        <v>28</v>
      </c>
      <c r="AE234" t="s">
        <v>59</v>
      </c>
      <c r="AF234">
        <v>14</v>
      </c>
      <c r="AG234">
        <v>2020</v>
      </c>
      <c r="AH234" t="s">
        <v>49</v>
      </c>
      <c r="AI234">
        <v>29</v>
      </c>
      <c r="AJ234">
        <v>4.8</v>
      </c>
    </row>
    <row r="235" spans="1:36" x14ac:dyDescent="0.25">
      <c r="A235">
        <v>10234</v>
      </c>
      <c r="B235" t="s">
        <v>31</v>
      </c>
      <c r="C235" t="s">
        <v>57</v>
      </c>
      <c r="D235" t="s">
        <v>39</v>
      </c>
      <c r="E235" t="str">
        <f t="shared" si="39"/>
        <v>Emily Davis is in IT Department</v>
      </c>
      <c r="F235" s="6" t="str">
        <f t="shared" si="40"/>
        <v>emilydavis@gmail.com</v>
      </c>
      <c r="G235">
        <v>41920</v>
      </c>
      <c r="H235" t="str">
        <f t="shared" si="41"/>
        <v>low</v>
      </c>
      <c r="I235" s="3">
        <v>37183</v>
      </c>
      <c r="J235">
        <f t="shared" si="42"/>
        <v>2001</v>
      </c>
      <c r="K235">
        <f t="shared" si="43"/>
        <v>10</v>
      </c>
      <c r="L235">
        <f t="shared" si="44"/>
        <v>19</v>
      </c>
      <c r="M235" s="3">
        <f t="shared" ca="1" si="45"/>
        <v>46100</v>
      </c>
      <c r="N235">
        <f t="shared" ca="1" si="46"/>
        <v>8917</v>
      </c>
      <c r="O235">
        <f t="shared" ca="1" si="47"/>
        <v>8917</v>
      </c>
      <c r="P235">
        <f t="shared" ca="1" si="48"/>
        <v>6370</v>
      </c>
      <c r="Q235">
        <v>40</v>
      </c>
      <c r="R235" t="str">
        <f t="shared" si="49"/>
        <v>Old</v>
      </c>
      <c r="S235" t="s">
        <v>24</v>
      </c>
      <c r="T235">
        <v>1</v>
      </c>
      <c r="U235" t="s">
        <v>45</v>
      </c>
      <c r="V235">
        <v>8170.7</v>
      </c>
      <c r="W235" t="s">
        <v>46</v>
      </c>
      <c r="X235" t="s">
        <v>36</v>
      </c>
      <c r="Y235">
        <v>9</v>
      </c>
      <c r="Z235" t="str">
        <f t="shared" si="50"/>
        <v>Bad Employee</v>
      </c>
      <c r="AA235" t="b">
        <f t="shared" si="51"/>
        <v>0</v>
      </c>
      <c r="AB235" t="b">
        <f>OR(Y235&gt;20, T235&gt;6)</f>
        <v>0</v>
      </c>
      <c r="AC235" t="str">
        <f>IF(OR(Y235&gt;20,T235&gt;6), "Good employee", "Bad Employee")</f>
        <v>Bad Employee</v>
      </c>
      <c r="AD235" t="s">
        <v>28</v>
      </c>
      <c r="AE235" t="s">
        <v>59</v>
      </c>
      <c r="AF235">
        <v>3</v>
      </c>
      <c r="AG235">
        <v>2018</v>
      </c>
      <c r="AH235" t="s">
        <v>49</v>
      </c>
      <c r="AI235">
        <v>134</v>
      </c>
      <c r="AJ235">
        <v>4</v>
      </c>
    </row>
    <row r="236" spans="1:36" x14ac:dyDescent="0.25">
      <c r="A236">
        <v>10235</v>
      </c>
      <c r="B236" t="s">
        <v>31</v>
      </c>
      <c r="C236" t="s">
        <v>61</v>
      </c>
      <c r="D236" t="s">
        <v>44</v>
      </c>
      <c r="E236" t="str">
        <f t="shared" si="39"/>
        <v>Emily Smith is in Sales Department</v>
      </c>
      <c r="F236" s="6" t="str">
        <f t="shared" si="40"/>
        <v>emilysmith@gmail.com</v>
      </c>
      <c r="G236">
        <v>37432</v>
      </c>
      <c r="H236" t="str">
        <f t="shared" si="41"/>
        <v>extremely low</v>
      </c>
      <c r="I236" s="3">
        <v>38186</v>
      </c>
      <c r="J236">
        <f t="shared" si="42"/>
        <v>2004</v>
      </c>
      <c r="K236">
        <f t="shared" si="43"/>
        <v>7</v>
      </c>
      <c r="L236">
        <f t="shared" si="44"/>
        <v>18</v>
      </c>
      <c r="M236" s="3">
        <f t="shared" ca="1" si="45"/>
        <v>46100</v>
      </c>
      <c r="N236">
        <f t="shared" ca="1" si="46"/>
        <v>7914</v>
      </c>
      <c r="O236">
        <f t="shared" ca="1" si="47"/>
        <v>7914</v>
      </c>
      <c r="P236">
        <f t="shared" ca="1" si="48"/>
        <v>5654</v>
      </c>
      <c r="Q236">
        <v>59</v>
      </c>
      <c r="R236" t="str">
        <f t="shared" si="49"/>
        <v>Old</v>
      </c>
      <c r="S236" t="s">
        <v>24</v>
      </c>
      <c r="T236">
        <v>2</v>
      </c>
      <c r="U236" t="s">
        <v>45</v>
      </c>
      <c r="V236">
        <v>6728.68</v>
      </c>
      <c r="W236" t="s">
        <v>58</v>
      </c>
      <c r="X236" t="s">
        <v>47</v>
      </c>
      <c r="Y236">
        <v>5</v>
      </c>
      <c r="Z236" t="str">
        <f t="shared" si="50"/>
        <v>Bad Employee</v>
      </c>
      <c r="AA236" t="b">
        <f t="shared" si="51"/>
        <v>0</v>
      </c>
      <c r="AB236" t="b">
        <f>OR(Y236&gt;20, T236&gt;6)</f>
        <v>0</v>
      </c>
      <c r="AC236" t="str">
        <f>IF(OR(Y236&gt;20,T236&gt;6), "Good employee", "Bad Employee")</f>
        <v>Bad Employee</v>
      </c>
      <c r="AD236" t="s">
        <v>28</v>
      </c>
      <c r="AE236" t="s">
        <v>48</v>
      </c>
      <c r="AF236">
        <v>15</v>
      </c>
      <c r="AG236">
        <v>2016</v>
      </c>
      <c r="AH236" t="s">
        <v>30</v>
      </c>
      <c r="AI236">
        <v>18</v>
      </c>
      <c r="AJ236">
        <v>1.7</v>
      </c>
    </row>
    <row r="237" spans="1:36" x14ac:dyDescent="0.25">
      <c r="A237">
        <v>10236</v>
      </c>
      <c r="B237" t="s">
        <v>31</v>
      </c>
      <c r="C237" t="s">
        <v>51</v>
      </c>
      <c r="D237" t="s">
        <v>44</v>
      </c>
      <c r="E237" t="str">
        <f t="shared" si="39"/>
        <v>Emily Brown is in Sales Department</v>
      </c>
      <c r="F237" s="6" t="str">
        <f t="shared" si="40"/>
        <v>emilybrown@gmail.com</v>
      </c>
      <c r="G237">
        <v>93575</v>
      </c>
      <c r="H237" t="str">
        <f t="shared" si="41"/>
        <v>High</v>
      </c>
      <c r="I237" s="3">
        <v>37226</v>
      </c>
      <c r="J237">
        <f t="shared" si="42"/>
        <v>2001</v>
      </c>
      <c r="K237">
        <f t="shared" si="43"/>
        <v>12</v>
      </c>
      <c r="L237">
        <f t="shared" si="44"/>
        <v>1</v>
      </c>
      <c r="M237" s="3">
        <f t="shared" ca="1" si="45"/>
        <v>46100</v>
      </c>
      <c r="N237">
        <f t="shared" ca="1" si="46"/>
        <v>8874</v>
      </c>
      <c r="O237">
        <f t="shared" ca="1" si="47"/>
        <v>8874</v>
      </c>
      <c r="P237">
        <f t="shared" ca="1" si="48"/>
        <v>6339</v>
      </c>
      <c r="Q237">
        <v>63</v>
      </c>
      <c r="R237" t="str">
        <f t="shared" si="49"/>
        <v>Old</v>
      </c>
      <c r="S237" t="s">
        <v>24</v>
      </c>
      <c r="T237">
        <v>3</v>
      </c>
      <c r="U237" t="s">
        <v>25</v>
      </c>
      <c r="V237">
        <v>1843.06</v>
      </c>
      <c r="W237" t="s">
        <v>58</v>
      </c>
      <c r="X237" t="s">
        <v>36</v>
      </c>
      <c r="Y237">
        <v>4</v>
      </c>
      <c r="Z237" t="str">
        <f t="shared" si="50"/>
        <v>Bad Employee</v>
      </c>
      <c r="AA237" t="b">
        <f t="shared" si="51"/>
        <v>0</v>
      </c>
      <c r="AB237" t="b">
        <f>OR(Y237&gt;20, T237&gt;6)</f>
        <v>0</v>
      </c>
      <c r="AC237" t="str">
        <f>IF(OR(Y237&gt;20,T237&gt;6), "Good employee", "Bad Employee")</f>
        <v>Bad Employee</v>
      </c>
      <c r="AD237" t="s">
        <v>28</v>
      </c>
      <c r="AE237" t="s">
        <v>42</v>
      </c>
      <c r="AF237">
        <v>6</v>
      </c>
      <c r="AG237">
        <v>2021</v>
      </c>
      <c r="AH237" t="s">
        <v>49</v>
      </c>
      <c r="AI237">
        <v>149</v>
      </c>
      <c r="AJ237">
        <v>2.6</v>
      </c>
    </row>
    <row r="238" spans="1:36" x14ac:dyDescent="0.25">
      <c r="A238">
        <v>10237</v>
      </c>
      <c r="B238" t="s">
        <v>64</v>
      </c>
      <c r="C238" t="s">
        <v>22</v>
      </c>
      <c r="D238" t="s">
        <v>44</v>
      </c>
      <c r="E238" t="str">
        <f t="shared" si="39"/>
        <v>Katie Williams is in Sales Department</v>
      </c>
      <c r="F238" s="6" t="str">
        <f t="shared" si="40"/>
        <v>katiewilliams@gmail.com</v>
      </c>
      <c r="G238">
        <v>101725</v>
      </c>
      <c r="H238" t="str">
        <f t="shared" si="41"/>
        <v>High</v>
      </c>
      <c r="I238" s="3">
        <v>37606</v>
      </c>
      <c r="J238">
        <f t="shared" si="42"/>
        <v>2002</v>
      </c>
      <c r="K238">
        <f t="shared" si="43"/>
        <v>12</v>
      </c>
      <c r="L238">
        <f t="shared" si="44"/>
        <v>16</v>
      </c>
      <c r="M238" s="3">
        <f t="shared" ca="1" si="45"/>
        <v>46100</v>
      </c>
      <c r="N238">
        <f t="shared" ca="1" si="46"/>
        <v>8494</v>
      </c>
      <c r="O238">
        <f t="shared" ca="1" si="47"/>
        <v>8494</v>
      </c>
      <c r="P238">
        <f t="shared" ca="1" si="48"/>
        <v>6069</v>
      </c>
      <c r="Q238">
        <v>41</v>
      </c>
      <c r="R238" t="str">
        <f t="shared" si="49"/>
        <v>Old</v>
      </c>
      <c r="S238" t="s">
        <v>34</v>
      </c>
      <c r="T238">
        <v>9</v>
      </c>
      <c r="U238" t="s">
        <v>25</v>
      </c>
      <c r="V238">
        <v>1393.42</v>
      </c>
      <c r="W238" t="s">
        <v>46</v>
      </c>
      <c r="X238" t="s">
        <v>36</v>
      </c>
      <c r="Y238">
        <v>32</v>
      </c>
      <c r="Z238" t="str">
        <f t="shared" si="50"/>
        <v>Good Employee</v>
      </c>
      <c r="AA238" t="b">
        <f t="shared" si="51"/>
        <v>1</v>
      </c>
      <c r="AB238" t="b">
        <f>OR(Y238&gt;20, T238&gt;6)</f>
        <v>1</v>
      </c>
      <c r="AC238" t="str">
        <f>IF(OR(Y238&gt;20,T238&gt;6), "Good employee", "Bad Employee")</f>
        <v>Good employee</v>
      </c>
      <c r="AD238" t="s">
        <v>41</v>
      </c>
      <c r="AE238" t="s">
        <v>62</v>
      </c>
      <c r="AF238">
        <v>7</v>
      </c>
      <c r="AG238">
        <v>2014</v>
      </c>
      <c r="AH238" t="s">
        <v>30</v>
      </c>
      <c r="AI238">
        <v>109</v>
      </c>
      <c r="AJ238">
        <v>4</v>
      </c>
    </row>
    <row r="239" spans="1:36" x14ac:dyDescent="0.25">
      <c r="A239">
        <v>10238</v>
      </c>
      <c r="B239" t="s">
        <v>64</v>
      </c>
      <c r="C239" t="s">
        <v>61</v>
      </c>
      <c r="D239" t="s">
        <v>54</v>
      </c>
      <c r="E239" t="str">
        <f t="shared" si="39"/>
        <v>Katie Smith is in Finance Department</v>
      </c>
      <c r="F239" s="6" t="str">
        <f t="shared" si="40"/>
        <v>katiesmith@gmail.com</v>
      </c>
      <c r="G239">
        <v>63910</v>
      </c>
      <c r="H239" t="str">
        <f t="shared" si="41"/>
        <v>Medium</v>
      </c>
      <c r="I239" s="3">
        <v>38682</v>
      </c>
      <c r="J239">
        <f t="shared" si="42"/>
        <v>2005</v>
      </c>
      <c r="K239">
        <f t="shared" si="43"/>
        <v>11</v>
      </c>
      <c r="L239">
        <f t="shared" si="44"/>
        <v>26</v>
      </c>
      <c r="M239" s="3">
        <f t="shared" ca="1" si="45"/>
        <v>46100</v>
      </c>
      <c r="N239">
        <f t="shared" ca="1" si="46"/>
        <v>7418</v>
      </c>
      <c r="O239">
        <f t="shared" ca="1" si="47"/>
        <v>7418</v>
      </c>
      <c r="P239">
        <f t="shared" ca="1" si="48"/>
        <v>5299</v>
      </c>
      <c r="Q239">
        <v>56</v>
      </c>
      <c r="R239" t="str">
        <f t="shared" si="49"/>
        <v>Old</v>
      </c>
      <c r="S239" t="s">
        <v>34</v>
      </c>
      <c r="T239">
        <v>8</v>
      </c>
      <c r="U239" t="s">
        <v>45</v>
      </c>
      <c r="V239">
        <v>3777.78</v>
      </c>
      <c r="W239" t="s">
        <v>35</v>
      </c>
      <c r="X239" t="s">
        <v>36</v>
      </c>
      <c r="Y239">
        <v>5</v>
      </c>
      <c r="Z239" t="str">
        <f t="shared" si="50"/>
        <v>Bad Employee</v>
      </c>
      <c r="AA239" t="b">
        <f t="shared" si="51"/>
        <v>0</v>
      </c>
      <c r="AB239" t="b">
        <f>OR(Y239&gt;20, T239&gt;6)</f>
        <v>1</v>
      </c>
      <c r="AC239" t="str">
        <f>IF(OR(Y239&gt;20,T239&gt;6), "Good employee", "Bad Employee")</f>
        <v>Good employee</v>
      </c>
      <c r="AD239" t="s">
        <v>56</v>
      </c>
      <c r="AE239" t="s">
        <v>37</v>
      </c>
      <c r="AF239">
        <v>1</v>
      </c>
      <c r="AG239">
        <v>2014</v>
      </c>
      <c r="AH239" t="s">
        <v>43</v>
      </c>
      <c r="AI239">
        <v>108</v>
      </c>
      <c r="AJ239">
        <v>4.5999999999999996</v>
      </c>
    </row>
    <row r="240" spans="1:36" x14ac:dyDescent="0.25">
      <c r="A240">
        <v>10239</v>
      </c>
      <c r="B240" t="s">
        <v>50</v>
      </c>
      <c r="C240" t="s">
        <v>51</v>
      </c>
      <c r="D240" t="s">
        <v>44</v>
      </c>
      <c r="E240" t="str">
        <f t="shared" si="39"/>
        <v>Alex Brown is in Sales Department</v>
      </c>
      <c r="F240" s="6" t="str">
        <f t="shared" si="40"/>
        <v>alexbrown@gmail.com</v>
      </c>
      <c r="G240">
        <v>60226</v>
      </c>
      <c r="H240" t="str">
        <f t="shared" si="41"/>
        <v>Medium</v>
      </c>
      <c r="I240" s="3">
        <v>38066</v>
      </c>
      <c r="J240">
        <f t="shared" si="42"/>
        <v>2004</v>
      </c>
      <c r="K240">
        <f t="shared" si="43"/>
        <v>3</v>
      </c>
      <c r="L240">
        <f t="shared" si="44"/>
        <v>20</v>
      </c>
      <c r="M240" s="3">
        <f t="shared" ca="1" si="45"/>
        <v>46100</v>
      </c>
      <c r="N240">
        <f t="shared" ca="1" si="46"/>
        <v>8034</v>
      </c>
      <c r="O240">
        <f t="shared" ca="1" si="47"/>
        <v>8034</v>
      </c>
      <c r="P240">
        <f t="shared" ca="1" si="48"/>
        <v>5739</v>
      </c>
      <c r="Q240">
        <v>43</v>
      </c>
      <c r="R240" t="str">
        <f t="shared" si="49"/>
        <v>Old</v>
      </c>
      <c r="S240" t="s">
        <v>24</v>
      </c>
      <c r="T240">
        <v>4</v>
      </c>
      <c r="U240" t="s">
        <v>25</v>
      </c>
      <c r="V240">
        <v>8621.65</v>
      </c>
      <c r="W240" t="s">
        <v>58</v>
      </c>
      <c r="X240" t="s">
        <v>27</v>
      </c>
      <c r="Y240">
        <v>8</v>
      </c>
      <c r="Z240" t="str">
        <f t="shared" si="50"/>
        <v>Bad Employee</v>
      </c>
      <c r="AA240" t="b">
        <f t="shared" si="51"/>
        <v>0</v>
      </c>
      <c r="AB240" t="b">
        <f>OR(Y240&gt;20, T240&gt;6)</f>
        <v>0</v>
      </c>
      <c r="AC240" t="str">
        <f>IF(OR(Y240&gt;20,T240&gt;6), "Good employee", "Bad Employee")</f>
        <v>Bad Employee</v>
      </c>
      <c r="AD240" t="s">
        <v>56</v>
      </c>
      <c r="AE240" t="s">
        <v>62</v>
      </c>
      <c r="AF240">
        <v>11</v>
      </c>
      <c r="AG240">
        <v>2023</v>
      </c>
      <c r="AH240" t="s">
        <v>43</v>
      </c>
      <c r="AI240">
        <v>172</v>
      </c>
      <c r="AJ240">
        <v>5</v>
      </c>
    </row>
    <row r="241" spans="1:36" x14ac:dyDescent="0.25">
      <c r="A241">
        <v>10240</v>
      </c>
      <c r="B241" t="s">
        <v>53</v>
      </c>
      <c r="C241" t="s">
        <v>32</v>
      </c>
      <c r="D241" t="s">
        <v>33</v>
      </c>
      <c r="E241" t="str">
        <f t="shared" si="39"/>
        <v>Sarah Wilson is in Marketing Department</v>
      </c>
      <c r="F241" s="6" t="str">
        <f t="shared" si="40"/>
        <v>sarahwilson@gmail.com</v>
      </c>
      <c r="G241">
        <v>103150</v>
      </c>
      <c r="H241" t="str">
        <f t="shared" si="41"/>
        <v>High</v>
      </c>
      <c r="I241" s="3">
        <v>39558</v>
      </c>
      <c r="J241">
        <f t="shared" si="42"/>
        <v>2008</v>
      </c>
      <c r="K241">
        <f t="shared" si="43"/>
        <v>4</v>
      </c>
      <c r="L241">
        <f t="shared" si="44"/>
        <v>20</v>
      </c>
      <c r="M241" s="3">
        <f t="shared" ca="1" si="45"/>
        <v>46100</v>
      </c>
      <c r="N241">
        <f t="shared" ca="1" si="46"/>
        <v>6542</v>
      </c>
      <c r="O241">
        <f t="shared" ca="1" si="47"/>
        <v>6542</v>
      </c>
      <c r="P241">
        <f t="shared" ca="1" si="48"/>
        <v>4674</v>
      </c>
      <c r="Q241">
        <v>36</v>
      </c>
      <c r="R241" t="str">
        <f t="shared" si="49"/>
        <v>Old</v>
      </c>
      <c r="S241" t="s">
        <v>34</v>
      </c>
      <c r="T241">
        <v>8</v>
      </c>
      <c r="U241" t="s">
        <v>45</v>
      </c>
      <c r="V241">
        <v>9636.49</v>
      </c>
      <c r="W241" t="s">
        <v>46</v>
      </c>
      <c r="X241" t="s">
        <v>47</v>
      </c>
      <c r="Y241">
        <v>13</v>
      </c>
      <c r="Z241" t="str">
        <f t="shared" si="50"/>
        <v>Bad Employee</v>
      </c>
      <c r="AA241" t="b">
        <f t="shared" si="51"/>
        <v>0</v>
      </c>
      <c r="AB241" t="b">
        <f>OR(Y241&gt;20, T241&gt;6)</f>
        <v>1</v>
      </c>
      <c r="AC241" t="str">
        <f>IF(OR(Y241&gt;20,T241&gt;6), "Good employee", "Bad Employee")</f>
        <v>Good employee</v>
      </c>
      <c r="AD241" t="s">
        <v>56</v>
      </c>
      <c r="AE241" t="s">
        <v>29</v>
      </c>
      <c r="AF241">
        <v>1</v>
      </c>
      <c r="AG241">
        <v>2015</v>
      </c>
      <c r="AH241" t="s">
        <v>43</v>
      </c>
      <c r="AI241">
        <v>43</v>
      </c>
      <c r="AJ241">
        <v>3</v>
      </c>
    </row>
    <row r="242" spans="1:36" x14ac:dyDescent="0.25">
      <c r="A242">
        <v>10241</v>
      </c>
      <c r="B242" t="s">
        <v>60</v>
      </c>
      <c r="C242" t="s">
        <v>61</v>
      </c>
      <c r="D242" t="s">
        <v>23</v>
      </c>
      <c r="E242" t="str">
        <f t="shared" si="39"/>
        <v>Jane Smith is in HR Department</v>
      </c>
      <c r="F242" s="6" t="str">
        <f t="shared" si="40"/>
        <v>janesmith@gmail.com</v>
      </c>
      <c r="G242">
        <v>89099</v>
      </c>
      <c r="H242" t="str">
        <f t="shared" si="41"/>
        <v>High</v>
      </c>
      <c r="I242" s="3">
        <v>42693</v>
      </c>
      <c r="J242">
        <f t="shared" si="42"/>
        <v>2016</v>
      </c>
      <c r="K242">
        <f t="shared" si="43"/>
        <v>11</v>
      </c>
      <c r="L242">
        <f t="shared" si="44"/>
        <v>19</v>
      </c>
      <c r="M242" s="3">
        <f t="shared" ca="1" si="45"/>
        <v>46100</v>
      </c>
      <c r="N242">
        <f t="shared" ca="1" si="46"/>
        <v>3407</v>
      </c>
      <c r="O242">
        <f t="shared" ca="1" si="47"/>
        <v>3407</v>
      </c>
      <c r="P242">
        <f t="shared" ca="1" si="48"/>
        <v>2434</v>
      </c>
      <c r="Q242">
        <v>32</v>
      </c>
      <c r="R242" t="str">
        <f t="shared" si="49"/>
        <v>Old</v>
      </c>
      <c r="S242" t="s">
        <v>24</v>
      </c>
      <c r="T242">
        <v>9</v>
      </c>
      <c r="U242" t="s">
        <v>25</v>
      </c>
      <c r="V242">
        <v>2792.93</v>
      </c>
      <c r="W242" t="s">
        <v>46</v>
      </c>
      <c r="X242" t="s">
        <v>47</v>
      </c>
      <c r="Y242">
        <v>4</v>
      </c>
      <c r="Z242" t="str">
        <f t="shared" si="50"/>
        <v>Bad Employee</v>
      </c>
      <c r="AA242" t="b">
        <f t="shared" si="51"/>
        <v>0</v>
      </c>
      <c r="AB242" t="b">
        <f>OR(Y242&gt;20, T242&gt;6)</f>
        <v>1</v>
      </c>
      <c r="AC242" t="str">
        <f>IF(OR(Y242&gt;20,T242&gt;6), "Good employee", "Bad Employee")</f>
        <v>Good employee</v>
      </c>
      <c r="AD242" t="s">
        <v>28</v>
      </c>
      <c r="AE242" t="s">
        <v>48</v>
      </c>
      <c r="AF242">
        <v>13</v>
      </c>
      <c r="AG242">
        <v>2010</v>
      </c>
      <c r="AH242" t="s">
        <v>49</v>
      </c>
      <c r="AI242">
        <v>157</v>
      </c>
      <c r="AJ242">
        <v>4.3</v>
      </c>
    </row>
    <row r="243" spans="1:36" x14ac:dyDescent="0.25">
      <c r="A243">
        <v>10242</v>
      </c>
      <c r="B243" t="s">
        <v>21</v>
      </c>
      <c r="C243" t="s">
        <v>63</v>
      </c>
      <c r="D243" t="s">
        <v>33</v>
      </c>
      <c r="E243" t="str">
        <f t="shared" si="39"/>
        <v>Michael Miller is in Marketing Department</v>
      </c>
      <c r="F243" s="6" t="str">
        <f t="shared" si="40"/>
        <v>michaelmiller@gmail.com</v>
      </c>
      <c r="G243">
        <v>116760</v>
      </c>
      <c r="H243" t="str">
        <f t="shared" si="41"/>
        <v>High</v>
      </c>
      <c r="I243" s="3">
        <v>42890</v>
      </c>
      <c r="J243">
        <f t="shared" si="42"/>
        <v>2017</v>
      </c>
      <c r="K243">
        <f t="shared" si="43"/>
        <v>6</v>
      </c>
      <c r="L243">
        <f t="shared" si="44"/>
        <v>4</v>
      </c>
      <c r="M243" s="3">
        <f t="shared" ca="1" si="45"/>
        <v>46100</v>
      </c>
      <c r="N243">
        <f t="shared" ca="1" si="46"/>
        <v>3210</v>
      </c>
      <c r="O243">
        <f t="shared" ca="1" si="47"/>
        <v>3210</v>
      </c>
      <c r="P243">
        <f t="shared" ca="1" si="48"/>
        <v>2294</v>
      </c>
      <c r="Q243">
        <v>55</v>
      </c>
      <c r="R243" t="str">
        <f t="shared" si="49"/>
        <v>Old</v>
      </c>
      <c r="S243" t="s">
        <v>34</v>
      </c>
      <c r="T243">
        <v>3</v>
      </c>
      <c r="U243" t="s">
        <v>45</v>
      </c>
      <c r="V243">
        <v>7739.91</v>
      </c>
      <c r="W243" t="s">
        <v>35</v>
      </c>
      <c r="X243" t="s">
        <v>36</v>
      </c>
      <c r="Y243">
        <v>11</v>
      </c>
      <c r="Z243" t="str">
        <f t="shared" si="50"/>
        <v>Bad Employee</v>
      </c>
      <c r="AA243" t="b">
        <f t="shared" si="51"/>
        <v>0</v>
      </c>
      <c r="AB243" t="b">
        <f>OR(Y243&gt;20, T243&gt;6)</f>
        <v>0</v>
      </c>
      <c r="AC243" t="str">
        <f>IF(OR(Y243&gt;20,T243&gt;6), "Good employee", "Bad Employee")</f>
        <v>Bad Employee</v>
      </c>
      <c r="AD243" t="s">
        <v>28</v>
      </c>
      <c r="AE243" t="s">
        <v>29</v>
      </c>
      <c r="AF243">
        <v>18</v>
      </c>
      <c r="AG243">
        <v>2015</v>
      </c>
      <c r="AH243" t="s">
        <v>43</v>
      </c>
      <c r="AI243">
        <v>52</v>
      </c>
      <c r="AJ243">
        <v>1.2</v>
      </c>
    </row>
    <row r="244" spans="1:36" x14ac:dyDescent="0.25">
      <c r="A244">
        <v>10243</v>
      </c>
      <c r="B244" t="s">
        <v>31</v>
      </c>
      <c r="C244" t="s">
        <v>61</v>
      </c>
      <c r="D244" t="s">
        <v>23</v>
      </c>
      <c r="E244" t="str">
        <f t="shared" si="39"/>
        <v>Emily Smith is in HR Department</v>
      </c>
      <c r="F244" s="6" t="str">
        <f t="shared" si="40"/>
        <v>emilysmith@gmail.com</v>
      </c>
      <c r="G244">
        <v>48013</v>
      </c>
      <c r="H244" t="str">
        <f t="shared" si="41"/>
        <v>low</v>
      </c>
      <c r="I244" s="3">
        <v>38509</v>
      </c>
      <c r="J244">
        <f t="shared" si="42"/>
        <v>2005</v>
      </c>
      <c r="K244">
        <f t="shared" si="43"/>
        <v>6</v>
      </c>
      <c r="L244">
        <f t="shared" si="44"/>
        <v>6</v>
      </c>
      <c r="M244" s="3">
        <f t="shared" ca="1" si="45"/>
        <v>46100</v>
      </c>
      <c r="N244">
        <f t="shared" ca="1" si="46"/>
        <v>7591</v>
      </c>
      <c r="O244">
        <f t="shared" ca="1" si="47"/>
        <v>7591</v>
      </c>
      <c r="P244">
        <f t="shared" ca="1" si="48"/>
        <v>5424</v>
      </c>
      <c r="Q244">
        <v>45</v>
      </c>
      <c r="R244" t="str">
        <f t="shared" si="49"/>
        <v>Old</v>
      </c>
      <c r="S244" t="s">
        <v>24</v>
      </c>
      <c r="T244">
        <v>6</v>
      </c>
      <c r="U244" t="s">
        <v>25</v>
      </c>
      <c r="V244">
        <v>5951.76</v>
      </c>
      <c r="W244" t="s">
        <v>26</v>
      </c>
      <c r="X244" t="s">
        <v>40</v>
      </c>
      <c r="Y244">
        <v>15</v>
      </c>
      <c r="Z244" t="str">
        <f t="shared" si="50"/>
        <v>Bad Employee</v>
      </c>
      <c r="AA244" t="b">
        <f t="shared" si="51"/>
        <v>0</v>
      </c>
      <c r="AB244" t="b">
        <f>OR(Y244&gt;20, T244&gt;6)</f>
        <v>0</v>
      </c>
      <c r="AC244" t="str">
        <f>IF(OR(Y244&gt;20,T244&gt;6), "Good employee", "Bad Employee")</f>
        <v>Bad Employee</v>
      </c>
      <c r="AD244" t="s">
        <v>28</v>
      </c>
      <c r="AE244" t="s">
        <v>62</v>
      </c>
      <c r="AF244">
        <v>19</v>
      </c>
      <c r="AG244">
        <v>2022</v>
      </c>
      <c r="AH244" t="s">
        <v>49</v>
      </c>
      <c r="AI244">
        <v>119</v>
      </c>
      <c r="AJ244">
        <v>2.1</v>
      </c>
    </row>
    <row r="245" spans="1:36" x14ac:dyDescent="0.25">
      <c r="A245">
        <v>10244</v>
      </c>
      <c r="B245" t="s">
        <v>66</v>
      </c>
      <c r="C245" t="s">
        <v>57</v>
      </c>
      <c r="D245" t="s">
        <v>52</v>
      </c>
      <c r="E245" t="str">
        <f t="shared" si="39"/>
        <v>John Davis is in Operations Department</v>
      </c>
      <c r="F245" s="6" t="str">
        <f t="shared" si="40"/>
        <v>johndavis@gmail.com</v>
      </c>
      <c r="G245">
        <v>51446</v>
      </c>
      <c r="H245" t="str">
        <f t="shared" si="41"/>
        <v>Medium</v>
      </c>
      <c r="I245" s="3">
        <v>36840</v>
      </c>
      <c r="J245">
        <f t="shared" si="42"/>
        <v>2000</v>
      </c>
      <c r="K245">
        <f t="shared" si="43"/>
        <v>11</v>
      </c>
      <c r="L245">
        <f t="shared" si="44"/>
        <v>10</v>
      </c>
      <c r="M245" s="3">
        <f t="shared" ca="1" si="45"/>
        <v>46100</v>
      </c>
      <c r="N245">
        <f t="shared" ca="1" si="46"/>
        <v>9260</v>
      </c>
      <c r="O245">
        <f t="shared" ca="1" si="47"/>
        <v>9260</v>
      </c>
      <c r="P245">
        <f t="shared" ca="1" si="48"/>
        <v>6615</v>
      </c>
      <c r="Q245">
        <v>27</v>
      </c>
      <c r="R245" t="str">
        <f t="shared" si="49"/>
        <v>Young</v>
      </c>
      <c r="S245" t="s">
        <v>24</v>
      </c>
      <c r="T245">
        <v>8</v>
      </c>
      <c r="U245" t="s">
        <v>25</v>
      </c>
      <c r="V245">
        <v>802.17</v>
      </c>
      <c r="W245" t="s">
        <v>35</v>
      </c>
      <c r="X245" t="s">
        <v>55</v>
      </c>
      <c r="Y245">
        <v>18</v>
      </c>
      <c r="Z245" t="str">
        <f t="shared" si="50"/>
        <v>Bad Employee</v>
      </c>
      <c r="AA245" t="b">
        <f t="shared" si="51"/>
        <v>0</v>
      </c>
      <c r="AB245" t="b">
        <f>OR(Y245&gt;20, T245&gt;6)</f>
        <v>1</v>
      </c>
      <c r="AC245" t="str">
        <f>IF(OR(Y245&gt;20,T245&gt;6), "Good employee", "Bad Employee")</f>
        <v>Good employee</v>
      </c>
      <c r="AD245" t="s">
        <v>56</v>
      </c>
      <c r="AE245" t="s">
        <v>62</v>
      </c>
      <c r="AF245">
        <v>5</v>
      </c>
      <c r="AG245">
        <v>2022</v>
      </c>
      <c r="AH245" t="s">
        <v>30</v>
      </c>
      <c r="AI245">
        <v>53</v>
      </c>
      <c r="AJ245">
        <v>2.5</v>
      </c>
    </row>
    <row r="246" spans="1:36" x14ac:dyDescent="0.25">
      <c r="A246">
        <v>10245</v>
      </c>
      <c r="B246" t="s">
        <v>21</v>
      </c>
      <c r="C246" t="s">
        <v>51</v>
      </c>
      <c r="D246" t="s">
        <v>52</v>
      </c>
      <c r="E246" t="str">
        <f t="shared" si="39"/>
        <v>Michael Brown is in Operations Department</v>
      </c>
      <c r="F246" s="6" t="str">
        <f t="shared" si="40"/>
        <v>michaelbrown@gmail.com</v>
      </c>
      <c r="G246">
        <v>100375</v>
      </c>
      <c r="H246" t="str">
        <f t="shared" si="41"/>
        <v>High</v>
      </c>
      <c r="I246" s="3">
        <v>42963</v>
      </c>
      <c r="J246">
        <f t="shared" si="42"/>
        <v>2017</v>
      </c>
      <c r="K246">
        <f t="shared" si="43"/>
        <v>8</v>
      </c>
      <c r="L246">
        <f t="shared" si="44"/>
        <v>16</v>
      </c>
      <c r="M246" s="3">
        <f t="shared" ca="1" si="45"/>
        <v>46100</v>
      </c>
      <c r="N246">
        <f t="shared" ca="1" si="46"/>
        <v>3137</v>
      </c>
      <c r="O246">
        <f t="shared" ca="1" si="47"/>
        <v>3137</v>
      </c>
      <c r="P246">
        <f t="shared" ca="1" si="48"/>
        <v>2242</v>
      </c>
      <c r="Q246">
        <v>38</v>
      </c>
      <c r="R246" t="str">
        <f t="shared" si="49"/>
        <v>Old</v>
      </c>
      <c r="S246" t="s">
        <v>34</v>
      </c>
      <c r="T246">
        <v>7</v>
      </c>
      <c r="U246" t="s">
        <v>25</v>
      </c>
      <c r="V246">
        <v>5657.71</v>
      </c>
      <c r="W246" t="s">
        <v>46</v>
      </c>
      <c r="X246" t="s">
        <v>40</v>
      </c>
      <c r="Y246">
        <v>20</v>
      </c>
      <c r="Z246" t="str">
        <f t="shared" si="50"/>
        <v>Bad Employee</v>
      </c>
      <c r="AA246" t="b">
        <f t="shared" si="51"/>
        <v>0</v>
      </c>
      <c r="AB246" t="b">
        <f>OR(Y246&gt;20, T246&gt;6)</f>
        <v>1</v>
      </c>
      <c r="AC246" t="str">
        <f>IF(OR(Y246&gt;20,T246&gt;6), "Good employee", "Bad Employee")</f>
        <v>Good employee</v>
      </c>
      <c r="AD246" t="s">
        <v>28</v>
      </c>
      <c r="AE246" t="s">
        <v>37</v>
      </c>
      <c r="AF246">
        <v>18</v>
      </c>
      <c r="AG246">
        <v>2020</v>
      </c>
      <c r="AH246" t="s">
        <v>49</v>
      </c>
      <c r="AI246">
        <v>165</v>
      </c>
      <c r="AJ246">
        <v>4.9000000000000004</v>
      </c>
    </row>
    <row r="247" spans="1:36" x14ac:dyDescent="0.25">
      <c r="A247">
        <v>10246</v>
      </c>
      <c r="B247" t="s">
        <v>64</v>
      </c>
      <c r="C247" t="s">
        <v>22</v>
      </c>
      <c r="D247" t="s">
        <v>23</v>
      </c>
      <c r="E247" t="str">
        <f t="shared" si="39"/>
        <v>Katie Williams is in HR Department</v>
      </c>
      <c r="F247" s="6" t="str">
        <f t="shared" si="40"/>
        <v>katiewilliams@gmail.com</v>
      </c>
      <c r="G247">
        <v>92509</v>
      </c>
      <c r="H247" t="str">
        <f t="shared" si="41"/>
        <v>High</v>
      </c>
      <c r="I247" s="3">
        <v>39607</v>
      </c>
      <c r="J247">
        <f t="shared" si="42"/>
        <v>2008</v>
      </c>
      <c r="K247">
        <f t="shared" si="43"/>
        <v>6</v>
      </c>
      <c r="L247">
        <f t="shared" si="44"/>
        <v>8</v>
      </c>
      <c r="M247" s="3">
        <f t="shared" ca="1" si="45"/>
        <v>46100</v>
      </c>
      <c r="N247">
        <f t="shared" ca="1" si="46"/>
        <v>6493</v>
      </c>
      <c r="O247">
        <f t="shared" ca="1" si="47"/>
        <v>6493</v>
      </c>
      <c r="P247">
        <f t="shared" ca="1" si="48"/>
        <v>4639</v>
      </c>
      <c r="Q247">
        <v>49</v>
      </c>
      <c r="R247" t="str">
        <f t="shared" si="49"/>
        <v>Old</v>
      </c>
      <c r="S247" t="s">
        <v>24</v>
      </c>
      <c r="T247">
        <v>9</v>
      </c>
      <c r="U247" t="s">
        <v>25</v>
      </c>
      <c r="V247">
        <v>8156.43</v>
      </c>
      <c r="W247" t="s">
        <v>35</v>
      </c>
      <c r="X247" t="s">
        <v>27</v>
      </c>
      <c r="Y247">
        <v>1</v>
      </c>
      <c r="Z247" t="str">
        <f t="shared" si="50"/>
        <v>Bad Employee</v>
      </c>
      <c r="AA247" t="b">
        <f t="shared" si="51"/>
        <v>0</v>
      </c>
      <c r="AB247" t="b">
        <f>OR(Y247&gt;20, T247&gt;6)</f>
        <v>1</v>
      </c>
      <c r="AC247" t="str">
        <f>IF(OR(Y247&gt;20,T247&gt;6), "Good employee", "Bad Employee")</f>
        <v>Good employee</v>
      </c>
      <c r="AD247" t="s">
        <v>41</v>
      </c>
      <c r="AE247" t="s">
        <v>37</v>
      </c>
      <c r="AF247">
        <v>16</v>
      </c>
      <c r="AG247">
        <v>2015</v>
      </c>
      <c r="AH247" t="s">
        <v>43</v>
      </c>
      <c r="AI247">
        <v>31</v>
      </c>
      <c r="AJ247">
        <v>1</v>
      </c>
    </row>
    <row r="248" spans="1:36" x14ac:dyDescent="0.25">
      <c r="A248">
        <v>10247</v>
      </c>
      <c r="B248" t="s">
        <v>66</v>
      </c>
      <c r="C248" t="s">
        <v>22</v>
      </c>
      <c r="D248" t="s">
        <v>33</v>
      </c>
      <c r="E248" t="str">
        <f t="shared" si="39"/>
        <v>John Williams is in Marketing Department</v>
      </c>
      <c r="F248" s="6" t="str">
        <f t="shared" si="40"/>
        <v>johnwilliams@gmail.com</v>
      </c>
      <c r="G248">
        <v>30557</v>
      </c>
      <c r="H248" t="str">
        <f t="shared" si="41"/>
        <v>extremely low</v>
      </c>
      <c r="I248" s="3">
        <v>42322</v>
      </c>
      <c r="J248">
        <f t="shared" si="42"/>
        <v>2015</v>
      </c>
      <c r="K248">
        <f t="shared" si="43"/>
        <v>11</v>
      </c>
      <c r="L248">
        <f t="shared" si="44"/>
        <v>14</v>
      </c>
      <c r="M248" s="3">
        <f t="shared" ca="1" si="45"/>
        <v>46100</v>
      </c>
      <c r="N248">
        <f t="shared" ca="1" si="46"/>
        <v>3778</v>
      </c>
      <c r="O248">
        <f t="shared" ca="1" si="47"/>
        <v>3778</v>
      </c>
      <c r="P248">
        <f t="shared" ca="1" si="48"/>
        <v>2699</v>
      </c>
      <c r="Q248">
        <v>52</v>
      </c>
      <c r="R248" t="str">
        <f t="shared" si="49"/>
        <v>Old</v>
      </c>
      <c r="S248" t="s">
        <v>24</v>
      </c>
      <c r="T248">
        <v>7</v>
      </c>
      <c r="U248" t="s">
        <v>25</v>
      </c>
      <c r="V248">
        <v>3123.17</v>
      </c>
      <c r="W248" t="s">
        <v>58</v>
      </c>
      <c r="X248" t="s">
        <v>55</v>
      </c>
      <c r="Y248">
        <v>1</v>
      </c>
      <c r="Z248" t="str">
        <f t="shared" si="50"/>
        <v>Bad Employee</v>
      </c>
      <c r="AA248" t="b">
        <f t="shared" si="51"/>
        <v>0</v>
      </c>
      <c r="AB248" t="b">
        <f>OR(Y248&gt;20, T248&gt;6)</f>
        <v>1</v>
      </c>
      <c r="AC248" t="str">
        <f>IF(OR(Y248&gt;20,T248&gt;6), "Good employee", "Bad Employee")</f>
        <v>Good employee</v>
      </c>
      <c r="AD248" t="s">
        <v>56</v>
      </c>
      <c r="AE248" t="s">
        <v>29</v>
      </c>
      <c r="AF248">
        <v>2</v>
      </c>
      <c r="AG248">
        <v>2023</v>
      </c>
      <c r="AH248" t="s">
        <v>49</v>
      </c>
      <c r="AI248">
        <v>49</v>
      </c>
      <c r="AJ248">
        <v>2.2000000000000002</v>
      </c>
    </row>
    <row r="249" spans="1:36" x14ac:dyDescent="0.25">
      <c r="A249">
        <v>10248</v>
      </c>
      <c r="B249" t="s">
        <v>66</v>
      </c>
      <c r="C249" t="s">
        <v>51</v>
      </c>
      <c r="D249" t="s">
        <v>23</v>
      </c>
      <c r="E249" t="str">
        <f t="shared" si="39"/>
        <v>John Brown is in HR Department</v>
      </c>
      <c r="F249" s="6" t="str">
        <f t="shared" si="40"/>
        <v>johnbrown@gmail.com</v>
      </c>
      <c r="G249">
        <v>60666</v>
      </c>
      <c r="H249" t="str">
        <f t="shared" si="41"/>
        <v>Medium</v>
      </c>
      <c r="I249" s="3">
        <v>43689</v>
      </c>
      <c r="J249">
        <f t="shared" si="42"/>
        <v>2019</v>
      </c>
      <c r="K249">
        <f t="shared" si="43"/>
        <v>8</v>
      </c>
      <c r="L249">
        <f t="shared" si="44"/>
        <v>12</v>
      </c>
      <c r="M249" s="3">
        <f t="shared" ca="1" si="45"/>
        <v>46100</v>
      </c>
      <c r="N249">
        <f t="shared" ca="1" si="46"/>
        <v>2411</v>
      </c>
      <c r="O249">
        <f t="shared" ca="1" si="47"/>
        <v>2411</v>
      </c>
      <c r="P249">
        <f t="shared" ca="1" si="48"/>
        <v>1724</v>
      </c>
      <c r="Q249">
        <v>57</v>
      </c>
      <c r="R249" t="str">
        <f t="shared" si="49"/>
        <v>Old</v>
      </c>
      <c r="S249" t="s">
        <v>24</v>
      </c>
      <c r="T249">
        <v>1</v>
      </c>
      <c r="U249" t="s">
        <v>45</v>
      </c>
      <c r="V249">
        <v>9024.94</v>
      </c>
      <c r="W249" t="s">
        <v>46</v>
      </c>
      <c r="X249" t="s">
        <v>40</v>
      </c>
      <c r="Y249">
        <v>11</v>
      </c>
      <c r="Z249" t="str">
        <f t="shared" si="50"/>
        <v>Bad Employee</v>
      </c>
      <c r="AA249" t="b">
        <f t="shared" si="51"/>
        <v>0</v>
      </c>
      <c r="AB249" t="b">
        <f>OR(Y249&gt;20, T249&gt;6)</f>
        <v>0</v>
      </c>
      <c r="AC249" t="str">
        <f>IF(OR(Y249&gt;20,T249&gt;6), "Good employee", "Bad Employee")</f>
        <v>Bad Employee</v>
      </c>
      <c r="AD249" t="s">
        <v>41</v>
      </c>
      <c r="AE249" t="s">
        <v>42</v>
      </c>
      <c r="AF249">
        <v>19</v>
      </c>
      <c r="AG249">
        <v>2020</v>
      </c>
      <c r="AH249" t="s">
        <v>49</v>
      </c>
      <c r="AI249">
        <v>35</v>
      </c>
      <c r="AJ249">
        <v>4.7</v>
      </c>
    </row>
    <row r="250" spans="1:36" x14ac:dyDescent="0.25">
      <c r="A250">
        <v>10249</v>
      </c>
      <c r="B250" t="s">
        <v>66</v>
      </c>
      <c r="C250" t="s">
        <v>57</v>
      </c>
      <c r="D250" t="s">
        <v>44</v>
      </c>
      <c r="E250" t="str">
        <f t="shared" si="39"/>
        <v>John Davis is in Sales Department</v>
      </c>
      <c r="F250" s="6" t="str">
        <f t="shared" si="40"/>
        <v>johndavis@gmail.com</v>
      </c>
      <c r="G250">
        <v>67389</v>
      </c>
      <c r="H250" t="str">
        <f t="shared" si="41"/>
        <v>Medium</v>
      </c>
      <c r="I250" s="3">
        <v>41639</v>
      </c>
      <c r="J250">
        <f t="shared" si="42"/>
        <v>2013</v>
      </c>
      <c r="K250">
        <f t="shared" si="43"/>
        <v>12</v>
      </c>
      <c r="L250">
        <f t="shared" si="44"/>
        <v>31</v>
      </c>
      <c r="M250" s="3">
        <f t="shared" ca="1" si="45"/>
        <v>46100</v>
      </c>
      <c r="N250">
        <f t="shared" ca="1" si="46"/>
        <v>4461</v>
      </c>
      <c r="O250">
        <f t="shared" ca="1" si="47"/>
        <v>4461</v>
      </c>
      <c r="P250">
        <f t="shared" ca="1" si="48"/>
        <v>3188</v>
      </c>
      <c r="Q250">
        <v>30</v>
      </c>
      <c r="R250" t="str">
        <f t="shared" si="49"/>
        <v>Young</v>
      </c>
      <c r="S250" t="s">
        <v>24</v>
      </c>
      <c r="T250">
        <v>9</v>
      </c>
      <c r="U250" t="s">
        <v>45</v>
      </c>
      <c r="V250">
        <v>2744.47</v>
      </c>
      <c r="W250" t="s">
        <v>35</v>
      </c>
      <c r="X250" t="s">
        <v>47</v>
      </c>
      <c r="Y250">
        <v>29</v>
      </c>
      <c r="Z250" t="str">
        <f t="shared" si="50"/>
        <v>Good Employee</v>
      </c>
      <c r="AA250" t="b">
        <f t="shared" si="51"/>
        <v>1</v>
      </c>
      <c r="AB250" t="b">
        <f>OR(Y250&gt;20, T250&gt;6)</f>
        <v>1</v>
      </c>
      <c r="AC250" t="str">
        <f>IF(OR(Y250&gt;20,T250&gt;6), "Good employee", "Bad Employee")</f>
        <v>Good employee</v>
      </c>
      <c r="AD250" t="s">
        <v>41</v>
      </c>
      <c r="AE250" t="s">
        <v>29</v>
      </c>
      <c r="AF250">
        <v>9</v>
      </c>
      <c r="AG250">
        <v>2014</v>
      </c>
      <c r="AH250" t="s">
        <v>30</v>
      </c>
      <c r="AI250">
        <v>67</v>
      </c>
      <c r="AJ250">
        <v>2.2000000000000002</v>
      </c>
    </row>
    <row r="251" spans="1:36" x14ac:dyDescent="0.25">
      <c r="A251">
        <v>10250</v>
      </c>
      <c r="B251" t="s">
        <v>50</v>
      </c>
      <c r="C251" t="s">
        <v>65</v>
      </c>
      <c r="D251" t="s">
        <v>54</v>
      </c>
      <c r="E251" t="str">
        <f t="shared" si="39"/>
        <v>Alex Johnson is in Finance Department</v>
      </c>
      <c r="F251" s="6" t="str">
        <f t="shared" si="40"/>
        <v>alexjohnson@gmail.com</v>
      </c>
      <c r="G251">
        <v>77700</v>
      </c>
      <c r="H251" t="str">
        <f t="shared" si="41"/>
        <v>Medium</v>
      </c>
      <c r="I251" s="3">
        <v>41259</v>
      </c>
      <c r="J251">
        <f t="shared" si="42"/>
        <v>2012</v>
      </c>
      <c r="K251">
        <f t="shared" si="43"/>
        <v>12</v>
      </c>
      <c r="L251">
        <f t="shared" si="44"/>
        <v>16</v>
      </c>
      <c r="M251" s="3">
        <f t="shared" ca="1" si="45"/>
        <v>46100</v>
      </c>
      <c r="N251">
        <f t="shared" ca="1" si="46"/>
        <v>4841</v>
      </c>
      <c r="O251">
        <f t="shared" ca="1" si="47"/>
        <v>4841</v>
      </c>
      <c r="P251">
        <f t="shared" ca="1" si="48"/>
        <v>3459</v>
      </c>
      <c r="Q251">
        <v>31</v>
      </c>
      <c r="R251" t="str">
        <f t="shared" si="49"/>
        <v>Old</v>
      </c>
      <c r="S251" t="s">
        <v>34</v>
      </c>
      <c r="T251">
        <v>5</v>
      </c>
      <c r="U251" t="s">
        <v>25</v>
      </c>
      <c r="V251">
        <v>1226.49</v>
      </c>
      <c r="W251" t="s">
        <v>35</v>
      </c>
      <c r="X251" t="s">
        <v>40</v>
      </c>
      <c r="Y251">
        <v>29</v>
      </c>
      <c r="Z251" t="str">
        <f t="shared" si="50"/>
        <v>Bad Employee</v>
      </c>
      <c r="AA251" t="b">
        <f t="shared" si="51"/>
        <v>0</v>
      </c>
      <c r="AB251" t="b">
        <f>OR(Y251&gt;20, T251&gt;6)</f>
        <v>1</v>
      </c>
      <c r="AC251" t="str">
        <f>IF(OR(Y251&gt;20,T251&gt;6), "Good employee", "Bad Employee")</f>
        <v>Good employee</v>
      </c>
      <c r="AD251" t="s">
        <v>56</v>
      </c>
      <c r="AE251" t="s">
        <v>42</v>
      </c>
      <c r="AF251">
        <v>12</v>
      </c>
      <c r="AG251">
        <v>2019</v>
      </c>
      <c r="AH251" t="s">
        <v>49</v>
      </c>
      <c r="AI251">
        <v>116</v>
      </c>
      <c r="AJ251">
        <v>1.9</v>
      </c>
    </row>
    <row r="252" spans="1:36" x14ac:dyDescent="0.25">
      <c r="A252">
        <v>10251</v>
      </c>
      <c r="B252" t="s">
        <v>64</v>
      </c>
      <c r="C252" t="s">
        <v>61</v>
      </c>
      <c r="D252" t="s">
        <v>52</v>
      </c>
      <c r="E252" t="str">
        <f t="shared" si="39"/>
        <v>Katie Smith is in Operations Department</v>
      </c>
      <c r="F252" s="6" t="str">
        <f t="shared" si="40"/>
        <v>katiesmith@gmail.com</v>
      </c>
      <c r="G252">
        <v>54578</v>
      </c>
      <c r="H252" t="str">
        <f t="shared" si="41"/>
        <v>Medium</v>
      </c>
      <c r="I252" s="3">
        <v>38840</v>
      </c>
      <c r="J252">
        <f t="shared" si="42"/>
        <v>2006</v>
      </c>
      <c r="K252">
        <f t="shared" si="43"/>
        <v>5</v>
      </c>
      <c r="L252">
        <f t="shared" si="44"/>
        <v>3</v>
      </c>
      <c r="M252" s="3">
        <f t="shared" ca="1" si="45"/>
        <v>46100</v>
      </c>
      <c r="N252">
        <f t="shared" ca="1" si="46"/>
        <v>7260</v>
      </c>
      <c r="O252">
        <f t="shared" ca="1" si="47"/>
        <v>7260</v>
      </c>
      <c r="P252">
        <f t="shared" ca="1" si="48"/>
        <v>5187</v>
      </c>
      <c r="Q252">
        <v>42</v>
      </c>
      <c r="R252" t="str">
        <f t="shared" si="49"/>
        <v>Old</v>
      </c>
      <c r="S252" t="s">
        <v>34</v>
      </c>
      <c r="T252">
        <v>6</v>
      </c>
      <c r="U252" t="s">
        <v>45</v>
      </c>
      <c r="V252">
        <v>2019.42</v>
      </c>
      <c r="W252" t="s">
        <v>35</v>
      </c>
      <c r="X252" t="s">
        <v>36</v>
      </c>
      <c r="Y252">
        <v>24</v>
      </c>
      <c r="Z252" t="str">
        <f t="shared" si="50"/>
        <v>Bad Employee</v>
      </c>
      <c r="AA252" t="b">
        <f t="shared" si="51"/>
        <v>0</v>
      </c>
      <c r="AB252" t="b">
        <f>OR(Y252&gt;20, T252&gt;6)</f>
        <v>1</v>
      </c>
      <c r="AC252" t="str">
        <f>IF(OR(Y252&gt;20,T252&gt;6), "Good employee", "Bad Employee")</f>
        <v>Good employee</v>
      </c>
      <c r="AD252" t="s">
        <v>41</v>
      </c>
      <c r="AE252" t="s">
        <v>42</v>
      </c>
      <c r="AF252">
        <v>19</v>
      </c>
      <c r="AG252">
        <v>2018</v>
      </c>
      <c r="AH252" t="s">
        <v>43</v>
      </c>
      <c r="AI252">
        <v>170</v>
      </c>
      <c r="AJ252">
        <v>3.9</v>
      </c>
    </row>
    <row r="253" spans="1:36" x14ac:dyDescent="0.25">
      <c r="A253">
        <v>10252</v>
      </c>
      <c r="B253" t="s">
        <v>66</v>
      </c>
      <c r="C253" t="s">
        <v>57</v>
      </c>
      <c r="D253" t="s">
        <v>54</v>
      </c>
      <c r="E253" t="str">
        <f t="shared" si="39"/>
        <v>John Davis is in Finance Department</v>
      </c>
      <c r="F253" s="6" t="str">
        <f t="shared" si="40"/>
        <v>johndavis@gmail.com</v>
      </c>
      <c r="G253">
        <v>104779</v>
      </c>
      <c r="H253" t="str">
        <f t="shared" si="41"/>
        <v>High</v>
      </c>
      <c r="I253" s="3">
        <v>38661</v>
      </c>
      <c r="J253">
        <f t="shared" si="42"/>
        <v>2005</v>
      </c>
      <c r="K253">
        <f t="shared" si="43"/>
        <v>11</v>
      </c>
      <c r="L253">
        <f t="shared" si="44"/>
        <v>5</v>
      </c>
      <c r="M253" s="3">
        <f t="shared" ca="1" si="45"/>
        <v>46100</v>
      </c>
      <c r="N253">
        <f t="shared" ca="1" si="46"/>
        <v>7439</v>
      </c>
      <c r="O253">
        <f t="shared" ca="1" si="47"/>
        <v>7439</v>
      </c>
      <c r="P253">
        <f t="shared" ca="1" si="48"/>
        <v>5314</v>
      </c>
      <c r="Q253">
        <v>55</v>
      </c>
      <c r="R253" t="str">
        <f t="shared" si="49"/>
        <v>Old</v>
      </c>
      <c r="S253" t="s">
        <v>34</v>
      </c>
      <c r="T253">
        <v>2</v>
      </c>
      <c r="U253" t="s">
        <v>25</v>
      </c>
      <c r="V253">
        <v>8451.5300000000007</v>
      </c>
      <c r="W253" t="s">
        <v>35</v>
      </c>
      <c r="X253" t="s">
        <v>27</v>
      </c>
      <c r="Y253">
        <v>20</v>
      </c>
      <c r="Z253" t="str">
        <f t="shared" si="50"/>
        <v>Bad Employee</v>
      </c>
      <c r="AA253" t="b">
        <f t="shared" si="51"/>
        <v>0</v>
      </c>
      <c r="AB253" t="b">
        <f>OR(Y253&gt;20, T253&gt;6)</f>
        <v>0</v>
      </c>
      <c r="AC253" t="str">
        <f>IF(OR(Y253&gt;20,T253&gt;6), "Good employee", "Bad Employee")</f>
        <v>Bad Employee</v>
      </c>
      <c r="AD253" t="s">
        <v>41</v>
      </c>
      <c r="AE253" t="s">
        <v>59</v>
      </c>
      <c r="AF253">
        <v>17</v>
      </c>
      <c r="AG253">
        <v>2019</v>
      </c>
      <c r="AH253" t="s">
        <v>49</v>
      </c>
      <c r="AI253">
        <v>112</v>
      </c>
      <c r="AJ253">
        <v>4</v>
      </c>
    </row>
    <row r="254" spans="1:36" x14ac:dyDescent="0.25">
      <c r="A254">
        <v>10253</v>
      </c>
      <c r="B254" t="s">
        <v>31</v>
      </c>
      <c r="C254" t="s">
        <v>63</v>
      </c>
      <c r="D254" t="s">
        <v>44</v>
      </c>
      <c r="E254" t="str">
        <f t="shared" si="39"/>
        <v>Emily Miller is in Sales Department</v>
      </c>
      <c r="F254" s="6" t="str">
        <f t="shared" si="40"/>
        <v>emilymiller@gmail.com</v>
      </c>
      <c r="G254">
        <v>39596</v>
      </c>
      <c r="H254" t="str">
        <f t="shared" si="41"/>
        <v>extremely low</v>
      </c>
      <c r="I254" s="3">
        <v>43124</v>
      </c>
      <c r="J254">
        <f t="shared" si="42"/>
        <v>2018</v>
      </c>
      <c r="K254">
        <f t="shared" si="43"/>
        <v>1</v>
      </c>
      <c r="L254">
        <f t="shared" si="44"/>
        <v>24</v>
      </c>
      <c r="M254" s="3">
        <f t="shared" ca="1" si="45"/>
        <v>46100</v>
      </c>
      <c r="N254">
        <f t="shared" ca="1" si="46"/>
        <v>2976</v>
      </c>
      <c r="O254">
        <f t="shared" ca="1" si="47"/>
        <v>2976</v>
      </c>
      <c r="P254">
        <f t="shared" ca="1" si="48"/>
        <v>2127</v>
      </c>
      <c r="Q254">
        <v>52</v>
      </c>
      <c r="R254" t="str">
        <f t="shared" si="49"/>
        <v>Old</v>
      </c>
      <c r="S254" t="s">
        <v>34</v>
      </c>
      <c r="T254">
        <v>2</v>
      </c>
      <c r="U254" t="s">
        <v>45</v>
      </c>
      <c r="V254">
        <v>4464.41</v>
      </c>
      <c r="W254" t="s">
        <v>46</v>
      </c>
      <c r="X254" t="s">
        <v>40</v>
      </c>
      <c r="Y254">
        <v>30</v>
      </c>
      <c r="Z254" t="str">
        <f t="shared" si="50"/>
        <v>Bad Employee</v>
      </c>
      <c r="AA254" t="b">
        <f t="shared" si="51"/>
        <v>0</v>
      </c>
      <c r="AB254" t="b">
        <f>OR(Y254&gt;20, T254&gt;6)</f>
        <v>1</v>
      </c>
      <c r="AC254" t="str">
        <f>IF(OR(Y254&gt;20,T254&gt;6), "Good employee", "Bad Employee")</f>
        <v>Good employee</v>
      </c>
      <c r="AD254" t="s">
        <v>28</v>
      </c>
      <c r="AE254" t="s">
        <v>62</v>
      </c>
      <c r="AF254">
        <v>18</v>
      </c>
      <c r="AG254">
        <v>2019</v>
      </c>
      <c r="AH254" t="s">
        <v>49</v>
      </c>
      <c r="AI254">
        <v>172</v>
      </c>
      <c r="AJ254">
        <v>2.9</v>
      </c>
    </row>
    <row r="255" spans="1:36" x14ac:dyDescent="0.25">
      <c r="A255">
        <v>10254</v>
      </c>
      <c r="B255" t="s">
        <v>38</v>
      </c>
      <c r="C255" t="s">
        <v>32</v>
      </c>
      <c r="D255" t="s">
        <v>44</v>
      </c>
      <c r="E255" t="str">
        <f t="shared" si="39"/>
        <v>Chris Wilson is in Sales Department</v>
      </c>
      <c r="F255" s="6" t="str">
        <f t="shared" si="40"/>
        <v>chriswilson@gmail.com</v>
      </c>
      <c r="G255">
        <v>87500</v>
      </c>
      <c r="H255" t="str">
        <f t="shared" si="41"/>
        <v>High</v>
      </c>
      <c r="I255" s="3">
        <v>38175</v>
      </c>
      <c r="J255">
        <f t="shared" si="42"/>
        <v>2004</v>
      </c>
      <c r="K255">
        <f t="shared" si="43"/>
        <v>7</v>
      </c>
      <c r="L255">
        <f t="shared" si="44"/>
        <v>7</v>
      </c>
      <c r="M255" s="3">
        <f t="shared" ca="1" si="45"/>
        <v>46100</v>
      </c>
      <c r="N255">
        <f t="shared" ca="1" si="46"/>
        <v>7925</v>
      </c>
      <c r="O255">
        <f t="shared" ca="1" si="47"/>
        <v>7925</v>
      </c>
      <c r="P255">
        <f t="shared" ca="1" si="48"/>
        <v>5662</v>
      </c>
      <c r="Q255">
        <v>50</v>
      </c>
      <c r="R255" t="str">
        <f t="shared" si="49"/>
        <v>Old</v>
      </c>
      <c r="S255" t="s">
        <v>24</v>
      </c>
      <c r="T255">
        <v>4</v>
      </c>
      <c r="U255" t="s">
        <v>45</v>
      </c>
      <c r="V255">
        <v>8070.98</v>
      </c>
      <c r="W255" t="s">
        <v>35</v>
      </c>
      <c r="X255" t="s">
        <v>40</v>
      </c>
      <c r="Y255">
        <v>38</v>
      </c>
      <c r="Z255" t="str">
        <f t="shared" si="50"/>
        <v>Bad Employee</v>
      </c>
      <c r="AA255" t="b">
        <f t="shared" si="51"/>
        <v>0</v>
      </c>
      <c r="AB255" t="b">
        <f>OR(Y255&gt;20, T255&gt;6)</f>
        <v>1</v>
      </c>
      <c r="AC255" t="str">
        <f>IF(OR(Y255&gt;20,T255&gt;6), "Good employee", "Bad Employee")</f>
        <v>Good employee</v>
      </c>
      <c r="AD255" t="s">
        <v>41</v>
      </c>
      <c r="AE255" t="s">
        <v>59</v>
      </c>
      <c r="AF255">
        <v>16</v>
      </c>
      <c r="AG255">
        <v>2014</v>
      </c>
      <c r="AH255" t="s">
        <v>43</v>
      </c>
      <c r="AI255">
        <v>190</v>
      </c>
      <c r="AJ255">
        <v>4.8</v>
      </c>
    </row>
    <row r="256" spans="1:36" x14ac:dyDescent="0.25">
      <c r="A256">
        <v>10255</v>
      </c>
      <c r="B256" t="s">
        <v>66</v>
      </c>
      <c r="C256" t="s">
        <v>51</v>
      </c>
      <c r="D256" t="s">
        <v>52</v>
      </c>
      <c r="E256" t="str">
        <f t="shared" si="39"/>
        <v>John Brown is in Operations Department</v>
      </c>
      <c r="F256" s="6" t="str">
        <f t="shared" si="40"/>
        <v>johnbrown@gmail.com</v>
      </c>
      <c r="G256">
        <v>102534</v>
      </c>
      <c r="H256" t="str">
        <f t="shared" si="41"/>
        <v>High</v>
      </c>
      <c r="I256" s="3">
        <v>39745</v>
      </c>
      <c r="J256">
        <f t="shared" si="42"/>
        <v>2008</v>
      </c>
      <c r="K256">
        <f t="shared" si="43"/>
        <v>10</v>
      </c>
      <c r="L256">
        <f t="shared" si="44"/>
        <v>24</v>
      </c>
      <c r="M256" s="3">
        <f t="shared" ca="1" si="45"/>
        <v>46100</v>
      </c>
      <c r="N256">
        <f t="shared" ca="1" si="46"/>
        <v>6355</v>
      </c>
      <c r="O256">
        <f t="shared" ca="1" si="47"/>
        <v>6355</v>
      </c>
      <c r="P256">
        <f t="shared" ca="1" si="48"/>
        <v>4540</v>
      </c>
      <c r="Q256">
        <v>64</v>
      </c>
      <c r="R256" t="str">
        <f t="shared" si="49"/>
        <v>Old</v>
      </c>
      <c r="S256" t="s">
        <v>24</v>
      </c>
      <c r="T256">
        <v>4</v>
      </c>
      <c r="U256" t="s">
        <v>45</v>
      </c>
      <c r="V256">
        <v>5546.71</v>
      </c>
      <c r="W256" t="s">
        <v>58</v>
      </c>
      <c r="X256" t="s">
        <v>55</v>
      </c>
      <c r="Y256">
        <v>5</v>
      </c>
      <c r="Z256" t="str">
        <f t="shared" si="50"/>
        <v>Bad Employee</v>
      </c>
      <c r="AA256" t="b">
        <f t="shared" si="51"/>
        <v>0</v>
      </c>
      <c r="AB256" t="b">
        <f>OR(Y256&gt;20, T256&gt;6)</f>
        <v>0</v>
      </c>
      <c r="AC256" t="str">
        <f>IF(OR(Y256&gt;20,T256&gt;6), "Good employee", "Bad Employee")</f>
        <v>Bad Employee</v>
      </c>
      <c r="AD256" t="s">
        <v>28</v>
      </c>
      <c r="AE256" t="s">
        <v>62</v>
      </c>
      <c r="AF256">
        <v>7</v>
      </c>
      <c r="AG256">
        <v>2018</v>
      </c>
      <c r="AH256" t="s">
        <v>49</v>
      </c>
      <c r="AI256">
        <v>69</v>
      </c>
      <c r="AJ256">
        <v>1.8</v>
      </c>
    </row>
    <row r="257" spans="1:36" x14ac:dyDescent="0.25">
      <c r="A257">
        <v>10256</v>
      </c>
      <c r="B257" t="s">
        <v>50</v>
      </c>
      <c r="C257" t="s">
        <v>61</v>
      </c>
      <c r="D257" t="s">
        <v>52</v>
      </c>
      <c r="E257" t="str">
        <f t="shared" si="39"/>
        <v>Alex Smith is in Operations Department</v>
      </c>
      <c r="F257" s="6" t="str">
        <f t="shared" si="40"/>
        <v>alexsmith@gmail.com</v>
      </c>
      <c r="G257">
        <v>40129</v>
      </c>
      <c r="H257" t="str">
        <f t="shared" si="41"/>
        <v>low</v>
      </c>
      <c r="I257" s="3">
        <v>43426</v>
      </c>
      <c r="J257">
        <f t="shared" si="42"/>
        <v>2018</v>
      </c>
      <c r="K257">
        <f t="shared" si="43"/>
        <v>11</v>
      </c>
      <c r="L257">
        <f t="shared" si="44"/>
        <v>22</v>
      </c>
      <c r="M257" s="3">
        <f t="shared" ca="1" si="45"/>
        <v>46100</v>
      </c>
      <c r="N257">
        <f t="shared" ca="1" si="46"/>
        <v>2674</v>
      </c>
      <c r="O257">
        <f t="shared" ca="1" si="47"/>
        <v>2674</v>
      </c>
      <c r="P257">
        <f t="shared" ca="1" si="48"/>
        <v>1911</v>
      </c>
      <c r="Q257">
        <v>64</v>
      </c>
      <c r="R257" t="str">
        <f t="shared" si="49"/>
        <v>Old</v>
      </c>
      <c r="S257" t="s">
        <v>24</v>
      </c>
      <c r="T257">
        <v>5</v>
      </c>
      <c r="U257" t="s">
        <v>25</v>
      </c>
      <c r="V257">
        <v>5065.3100000000004</v>
      </c>
      <c r="W257" t="s">
        <v>26</v>
      </c>
      <c r="X257" t="s">
        <v>36</v>
      </c>
      <c r="Y257">
        <v>10</v>
      </c>
      <c r="Z257" t="str">
        <f t="shared" si="50"/>
        <v>Bad Employee</v>
      </c>
      <c r="AA257" t="b">
        <f t="shared" si="51"/>
        <v>0</v>
      </c>
      <c r="AB257" t="b">
        <f>OR(Y257&gt;20, T257&gt;6)</f>
        <v>0</v>
      </c>
      <c r="AC257" t="str">
        <f>IF(OR(Y257&gt;20,T257&gt;6), "Good employee", "Bad Employee")</f>
        <v>Bad Employee</v>
      </c>
      <c r="AD257" t="s">
        <v>41</v>
      </c>
      <c r="AE257" t="s">
        <v>59</v>
      </c>
      <c r="AF257">
        <v>17</v>
      </c>
      <c r="AG257">
        <v>2019</v>
      </c>
      <c r="AH257" t="s">
        <v>30</v>
      </c>
      <c r="AI257">
        <v>15</v>
      </c>
      <c r="AJ257">
        <v>4.7</v>
      </c>
    </row>
    <row r="258" spans="1:36" x14ac:dyDescent="0.25">
      <c r="A258">
        <v>10257</v>
      </c>
      <c r="B258" t="s">
        <v>21</v>
      </c>
      <c r="C258" t="s">
        <v>22</v>
      </c>
      <c r="D258" t="s">
        <v>44</v>
      </c>
      <c r="E258" t="str">
        <f t="shared" si="39"/>
        <v>Michael Williams is in Sales Department</v>
      </c>
      <c r="F258" s="6" t="str">
        <f t="shared" si="40"/>
        <v>michaelwilliams@gmail.com</v>
      </c>
      <c r="G258">
        <v>93394</v>
      </c>
      <c r="H258" t="str">
        <f t="shared" si="41"/>
        <v>High</v>
      </c>
      <c r="I258" s="3">
        <v>40326</v>
      </c>
      <c r="J258">
        <f t="shared" si="42"/>
        <v>2010</v>
      </c>
      <c r="K258">
        <f t="shared" si="43"/>
        <v>5</v>
      </c>
      <c r="L258">
        <f t="shared" si="44"/>
        <v>28</v>
      </c>
      <c r="M258" s="3">
        <f t="shared" ca="1" si="45"/>
        <v>46100</v>
      </c>
      <c r="N258">
        <f t="shared" ca="1" si="46"/>
        <v>5774</v>
      </c>
      <c r="O258">
        <f t="shared" ca="1" si="47"/>
        <v>5774</v>
      </c>
      <c r="P258">
        <f t="shared" ca="1" si="48"/>
        <v>4125</v>
      </c>
      <c r="Q258">
        <v>32</v>
      </c>
      <c r="R258" t="str">
        <f t="shared" si="49"/>
        <v>Old</v>
      </c>
      <c r="S258" t="s">
        <v>24</v>
      </c>
      <c r="T258">
        <v>7</v>
      </c>
      <c r="U258" t="s">
        <v>25</v>
      </c>
      <c r="V258">
        <v>8165.67</v>
      </c>
      <c r="W258" t="s">
        <v>26</v>
      </c>
      <c r="X258" t="s">
        <v>55</v>
      </c>
      <c r="Y258">
        <v>6</v>
      </c>
      <c r="Z258" t="str">
        <f t="shared" si="50"/>
        <v>Bad Employee</v>
      </c>
      <c r="AA258" t="b">
        <f t="shared" si="51"/>
        <v>0</v>
      </c>
      <c r="AB258" t="b">
        <f>OR(Y258&gt;20, T258&gt;6)</f>
        <v>1</v>
      </c>
      <c r="AC258" t="str">
        <f>IF(OR(Y258&gt;20,T258&gt;6), "Good employee", "Bad Employee")</f>
        <v>Good employee</v>
      </c>
      <c r="AD258" t="s">
        <v>56</v>
      </c>
      <c r="AE258" t="s">
        <v>42</v>
      </c>
      <c r="AF258">
        <v>6</v>
      </c>
      <c r="AG258">
        <v>2016</v>
      </c>
      <c r="AH258" t="s">
        <v>43</v>
      </c>
      <c r="AI258">
        <v>147</v>
      </c>
      <c r="AJ258">
        <v>4</v>
      </c>
    </row>
    <row r="259" spans="1:36" x14ac:dyDescent="0.25">
      <c r="A259">
        <v>10258</v>
      </c>
      <c r="B259" t="s">
        <v>64</v>
      </c>
      <c r="C259" t="s">
        <v>32</v>
      </c>
      <c r="D259" t="s">
        <v>39</v>
      </c>
      <c r="E259" t="str">
        <f t="shared" ref="E259:E322" si="52">CONCATENATE(B259, " ", C259, " is in ", D259, " Department")</f>
        <v>Katie Wilson is in IT Department</v>
      </c>
      <c r="F259" s="6" t="str">
        <f t="shared" ref="F259:F322" si="53">LOWER(CONCATENATE(B259, C259, "@gmail.com"))</f>
        <v>katiewilson@gmail.com</v>
      </c>
      <c r="G259">
        <v>96046</v>
      </c>
      <c r="H259" t="str">
        <f t="shared" ref="H259:H322" si="54">IF(G259&gt;80000, "High", IF(G259&gt;50000, "Medium", IF(G259&gt;40000, "low", "extremely low")))</f>
        <v>High</v>
      </c>
      <c r="I259" s="3">
        <v>39004</v>
      </c>
      <c r="J259">
        <f t="shared" ref="J259:J322" si="55">YEAR(I259)</f>
        <v>2006</v>
      </c>
      <c r="K259">
        <f t="shared" ref="K259:K322" si="56">MONTH(I259)</f>
        <v>10</v>
      </c>
      <c r="L259">
        <f t="shared" ref="L259:L322" si="57">DAY(I259)</f>
        <v>14</v>
      </c>
      <c r="M259" s="3">
        <f t="shared" ref="M259:M322" ca="1" si="58">TODAY()</f>
        <v>46100</v>
      </c>
      <c r="N259">
        <f t="shared" ref="N259:N322" ca="1" si="59">M259-I259</f>
        <v>7096</v>
      </c>
      <c r="O259">
        <f t="shared" ref="O259:O322" ca="1" si="60">DATEDIF(I259,M259, "d")</f>
        <v>7096</v>
      </c>
      <c r="P259">
        <f t="shared" ref="P259:P322" ca="1" si="61">NETWORKDAYS(I259, M259)</f>
        <v>5069</v>
      </c>
      <c r="Q259">
        <v>54</v>
      </c>
      <c r="R259" t="str">
        <f t="shared" ref="R259:R322" si="62">IF(Q259&gt;30, "Old", "Young")</f>
        <v>Old</v>
      </c>
      <c r="S259" t="s">
        <v>34</v>
      </c>
      <c r="T259">
        <v>1</v>
      </c>
      <c r="U259" t="s">
        <v>45</v>
      </c>
      <c r="V259">
        <v>4523.13</v>
      </c>
      <c r="W259" t="s">
        <v>26</v>
      </c>
      <c r="X259" t="s">
        <v>27</v>
      </c>
      <c r="Y259">
        <v>4</v>
      </c>
      <c r="Z259" t="str">
        <f t="shared" ref="Z259:Z322" si="63" xml:space="preserve"> IF(AND(Y259&gt;20, T259&gt;6), "Good Employee", "Bad Employee")</f>
        <v>Bad Employee</v>
      </c>
      <c r="AA259" t="b">
        <f t="shared" ref="AA259:AA322" si="64">AND(Y259&gt;20, T259&gt;6)</f>
        <v>0</v>
      </c>
      <c r="AB259" t="b">
        <f>OR(Y259&gt;20, T259&gt;6)</f>
        <v>0</v>
      </c>
      <c r="AC259" t="str">
        <f>IF(OR(Y259&gt;20,T259&gt;6), "Good employee", "Bad Employee")</f>
        <v>Bad Employee</v>
      </c>
      <c r="AD259" t="s">
        <v>56</v>
      </c>
      <c r="AE259" t="s">
        <v>59</v>
      </c>
      <c r="AF259">
        <v>10</v>
      </c>
      <c r="AG259">
        <v>2012</v>
      </c>
      <c r="AH259" t="s">
        <v>43</v>
      </c>
      <c r="AI259">
        <v>101</v>
      </c>
      <c r="AJ259">
        <v>2.5</v>
      </c>
    </row>
    <row r="260" spans="1:36" x14ac:dyDescent="0.25">
      <c r="A260">
        <v>10259</v>
      </c>
      <c r="B260" t="s">
        <v>53</v>
      </c>
      <c r="C260" t="s">
        <v>65</v>
      </c>
      <c r="D260" t="s">
        <v>54</v>
      </c>
      <c r="E260" t="str">
        <f t="shared" si="52"/>
        <v>Sarah Johnson is in Finance Department</v>
      </c>
      <c r="F260" s="6" t="str">
        <f t="shared" si="53"/>
        <v>sarahjohnson@gmail.com</v>
      </c>
      <c r="G260">
        <v>41596</v>
      </c>
      <c r="H260" t="str">
        <f t="shared" si="54"/>
        <v>low</v>
      </c>
      <c r="I260" s="3">
        <v>40593</v>
      </c>
      <c r="J260">
        <f t="shared" si="55"/>
        <v>2011</v>
      </c>
      <c r="K260">
        <f t="shared" si="56"/>
        <v>2</v>
      </c>
      <c r="L260">
        <f t="shared" si="57"/>
        <v>19</v>
      </c>
      <c r="M260" s="3">
        <f t="shared" ca="1" si="58"/>
        <v>46100</v>
      </c>
      <c r="N260">
        <f t="shared" ca="1" si="59"/>
        <v>5507</v>
      </c>
      <c r="O260">
        <f t="shared" ca="1" si="60"/>
        <v>5507</v>
      </c>
      <c r="P260">
        <f t="shared" ca="1" si="61"/>
        <v>3934</v>
      </c>
      <c r="Q260">
        <v>22</v>
      </c>
      <c r="R260" t="str">
        <f t="shared" si="62"/>
        <v>Young</v>
      </c>
      <c r="S260" t="s">
        <v>34</v>
      </c>
      <c r="T260">
        <v>4</v>
      </c>
      <c r="U260" t="s">
        <v>45</v>
      </c>
      <c r="V260">
        <v>8119.31</v>
      </c>
      <c r="W260" t="s">
        <v>58</v>
      </c>
      <c r="X260" t="s">
        <v>27</v>
      </c>
      <c r="Y260">
        <v>4</v>
      </c>
      <c r="Z260" t="str">
        <f t="shared" si="63"/>
        <v>Bad Employee</v>
      </c>
      <c r="AA260" t="b">
        <f t="shared" si="64"/>
        <v>0</v>
      </c>
      <c r="AB260" t="b">
        <f>OR(Y260&gt;20, T260&gt;6)</f>
        <v>0</v>
      </c>
      <c r="AC260" t="str">
        <f>IF(OR(Y260&gt;20,T260&gt;6), "Good employee", "Bad Employee")</f>
        <v>Bad Employee</v>
      </c>
      <c r="AD260" t="s">
        <v>56</v>
      </c>
      <c r="AE260" t="s">
        <v>48</v>
      </c>
      <c r="AF260">
        <v>2</v>
      </c>
      <c r="AG260">
        <v>2020</v>
      </c>
      <c r="AH260" t="s">
        <v>49</v>
      </c>
      <c r="AI260">
        <v>189</v>
      </c>
      <c r="AJ260">
        <v>4.2</v>
      </c>
    </row>
    <row r="261" spans="1:36" x14ac:dyDescent="0.25">
      <c r="A261">
        <v>10260</v>
      </c>
      <c r="B261" t="s">
        <v>50</v>
      </c>
      <c r="C261" t="s">
        <v>63</v>
      </c>
      <c r="D261" t="s">
        <v>54</v>
      </c>
      <c r="E261" t="str">
        <f t="shared" si="52"/>
        <v>Alex Miller is in Finance Department</v>
      </c>
      <c r="F261" s="6" t="str">
        <f t="shared" si="53"/>
        <v>alexmiller@gmail.com</v>
      </c>
      <c r="G261">
        <v>95355</v>
      </c>
      <c r="H261" t="str">
        <f t="shared" si="54"/>
        <v>High</v>
      </c>
      <c r="I261" s="3">
        <v>38301</v>
      </c>
      <c r="J261">
        <f t="shared" si="55"/>
        <v>2004</v>
      </c>
      <c r="K261">
        <f t="shared" si="56"/>
        <v>11</v>
      </c>
      <c r="L261">
        <f t="shared" si="57"/>
        <v>10</v>
      </c>
      <c r="M261" s="3">
        <f t="shared" ca="1" si="58"/>
        <v>46100</v>
      </c>
      <c r="N261">
        <f t="shared" ca="1" si="59"/>
        <v>7799</v>
      </c>
      <c r="O261">
        <f t="shared" ca="1" si="60"/>
        <v>7799</v>
      </c>
      <c r="P261">
        <f t="shared" ca="1" si="61"/>
        <v>5572</v>
      </c>
      <c r="Q261">
        <v>42</v>
      </c>
      <c r="R261" t="str">
        <f t="shared" si="62"/>
        <v>Old</v>
      </c>
      <c r="S261" t="s">
        <v>34</v>
      </c>
      <c r="T261">
        <v>9</v>
      </c>
      <c r="U261" t="s">
        <v>45</v>
      </c>
      <c r="V261">
        <v>1456.29</v>
      </c>
      <c r="W261" t="s">
        <v>26</v>
      </c>
      <c r="X261" t="s">
        <v>36</v>
      </c>
      <c r="Y261">
        <v>7</v>
      </c>
      <c r="Z261" t="str">
        <f t="shared" si="63"/>
        <v>Bad Employee</v>
      </c>
      <c r="AA261" t="b">
        <f t="shared" si="64"/>
        <v>0</v>
      </c>
      <c r="AB261" t="b">
        <f>OR(Y261&gt;20, T261&gt;6)</f>
        <v>1</v>
      </c>
      <c r="AC261" t="str">
        <f>IF(OR(Y261&gt;20,T261&gt;6), "Good employee", "Bad Employee")</f>
        <v>Good employee</v>
      </c>
      <c r="AD261" t="s">
        <v>56</v>
      </c>
      <c r="AE261" t="s">
        <v>59</v>
      </c>
      <c r="AF261">
        <v>1</v>
      </c>
      <c r="AG261">
        <v>2018</v>
      </c>
      <c r="AH261" t="s">
        <v>30</v>
      </c>
      <c r="AI261">
        <v>116</v>
      </c>
      <c r="AJ261">
        <v>1.5</v>
      </c>
    </row>
    <row r="262" spans="1:36" x14ac:dyDescent="0.25">
      <c r="A262">
        <v>10261</v>
      </c>
      <c r="B262" t="s">
        <v>66</v>
      </c>
      <c r="C262" t="s">
        <v>22</v>
      </c>
      <c r="D262" t="s">
        <v>39</v>
      </c>
      <c r="E262" t="str">
        <f t="shared" si="52"/>
        <v>John Williams is in IT Department</v>
      </c>
      <c r="F262" s="6" t="str">
        <f t="shared" si="53"/>
        <v>johnwilliams@gmail.com</v>
      </c>
      <c r="G262">
        <v>42974</v>
      </c>
      <c r="H262" t="str">
        <f t="shared" si="54"/>
        <v>low</v>
      </c>
      <c r="I262" s="3">
        <v>38492</v>
      </c>
      <c r="J262">
        <f t="shared" si="55"/>
        <v>2005</v>
      </c>
      <c r="K262">
        <f t="shared" si="56"/>
        <v>5</v>
      </c>
      <c r="L262">
        <f t="shared" si="57"/>
        <v>20</v>
      </c>
      <c r="M262" s="3">
        <f t="shared" ca="1" si="58"/>
        <v>46100</v>
      </c>
      <c r="N262">
        <f t="shared" ca="1" si="59"/>
        <v>7608</v>
      </c>
      <c r="O262">
        <f t="shared" ca="1" si="60"/>
        <v>7608</v>
      </c>
      <c r="P262">
        <f t="shared" ca="1" si="61"/>
        <v>5435</v>
      </c>
      <c r="Q262">
        <v>44</v>
      </c>
      <c r="R262" t="str">
        <f t="shared" si="62"/>
        <v>Old</v>
      </c>
      <c r="S262" t="s">
        <v>24</v>
      </c>
      <c r="T262">
        <v>8</v>
      </c>
      <c r="U262" t="s">
        <v>45</v>
      </c>
      <c r="V262">
        <v>6544.95</v>
      </c>
      <c r="W262" t="s">
        <v>46</v>
      </c>
      <c r="X262" t="s">
        <v>55</v>
      </c>
      <c r="Y262">
        <v>33</v>
      </c>
      <c r="Z262" t="str">
        <f t="shared" si="63"/>
        <v>Good Employee</v>
      </c>
      <c r="AA262" t="b">
        <f t="shared" si="64"/>
        <v>1</v>
      </c>
      <c r="AB262" t="b">
        <f>OR(Y262&gt;20, T262&gt;6)</f>
        <v>1</v>
      </c>
      <c r="AC262" t="str">
        <f>IF(OR(Y262&gt;20,T262&gt;6), "Good employee", "Bad Employee")</f>
        <v>Good employee</v>
      </c>
      <c r="AD262" t="s">
        <v>28</v>
      </c>
      <c r="AE262" t="s">
        <v>37</v>
      </c>
      <c r="AF262">
        <v>18</v>
      </c>
      <c r="AG262">
        <v>2019</v>
      </c>
      <c r="AH262" t="s">
        <v>30</v>
      </c>
      <c r="AI262">
        <v>157</v>
      </c>
      <c r="AJ262">
        <v>1.5</v>
      </c>
    </row>
    <row r="263" spans="1:36" x14ac:dyDescent="0.25">
      <c r="A263">
        <v>10262</v>
      </c>
      <c r="B263" t="s">
        <v>64</v>
      </c>
      <c r="C263" t="s">
        <v>51</v>
      </c>
      <c r="D263" t="s">
        <v>33</v>
      </c>
      <c r="E263" t="str">
        <f t="shared" si="52"/>
        <v>Katie Brown is in Marketing Department</v>
      </c>
      <c r="F263" s="6" t="str">
        <f t="shared" si="53"/>
        <v>katiebrown@gmail.com</v>
      </c>
      <c r="G263">
        <v>96673</v>
      </c>
      <c r="H263" t="str">
        <f t="shared" si="54"/>
        <v>High</v>
      </c>
      <c r="I263" s="3">
        <v>43580</v>
      </c>
      <c r="J263">
        <f t="shared" si="55"/>
        <v>2019</v>
      </c>
      <c r="K263">
        <f t="shared" si="56"/>
        <v>4</v>
      </c>
      <c r="L263">
        <f t="shared" si="57"/>
        <v>25</v>
      </c>
      <c r="M263" s="3">
        <f t="shared" ca="1" si="58"/>
        <v>46100</v>
      </c>
      <c r="N263">
        <f t="shared" ca="1" si="59"/>
        <v>2520</v>
      </c>
      <c r="O263">
        <f t="shared" ca="1" si="60"/>
        <v>2520</v>
      </c>
      <c r="P263">
        <f t="shared" ca="1" si="61"/>
        <v>1801</v>
      </c>
      <c r="Q263">
        <v>30</v>
      </c>
      <c r="R263" t="str">
        <f t="shared" si="62"/>
        <v>Young</v>
      </c>
      <c r="S263" t="s">
        <v>24</v>
      </c>
      <c r="T263">
        <v>3</v>
      </c>
      <c r="U263" t="s">
        <v>25</v>
      </c>
      <c r="V263">
        <v>7174.58</v>
      </c>
      <c r="W263" t="s">
        <v>46</v>
      </c>
      <c r="X263" t="s">
        <v>36</v>
      </c>
      <c r="Y263">
        <v>9</v>
      </c>
      <c r="Z263" t="str">
        <f t="shared" si="63"/>
        <v>Bad Employee</v>
      </c>
      <c r="AA263" t="b">
        <f t="shared" si="64"/>
        <v>0</v>
      </c>
      <c r="AB263" t="b">
        <f>OR(Y263&gt;20, T263&gt;6)</f>
        <v>0</v>
      </c>
      <c r="AC263" t="str">
        <f>IF(OR(Y263&gt;20,T263&gt;6), "Good employee", "Bad Employee")</f>
        <v>Bad Employee</v>
      </c>
      <c r="AD263" t="s">
        <v>41</v>
      </c>
      <c r="AE263" t="s">
        <v>37</v>
      </c>
      <c r="AF263">
        <v>10</v>
      </c>
      <c r="AG263">
        <v>2016</v>
      </c>
      <c r="AH263" t="s">
        <v>43</v>
      </c>
      <c r="AI263">
        <v>171</v>
      </c>
      <c r="AJ263">
        <v>4.7</v>
      </c>
    </row>
    <row r="264" spans="1:36" x14ac:dyDescent="0.25">
      <c r="A264">
        <v>10263</v>
      </c>
      <c r="B264" t="s">
        <v>38</v>
      </c>
      <c r="C264" t="s">
        <v>61</v>
      </c>
      <c r="D264" t="s">
        <v>54</v>
      </c>
      <c r="E264" t="str">
        <f t="shared" si="52"/>
        <v>Chris Smith is in Finance Department</v>
      </c>
      <c r="F264" s="6" t="str">
        <f t="shared" si="53"/>
        <v>chrissmith@gmail.com</v>
      </c>
      <c r="G264">
        <v>100202</v>
      </c>
      <c r="H264" t="str">
        <f t="shared" si="54"/>
        <v>High</v>
      </c>
      <c r="I264" s="3">
        <v>42585</v>
      </c>
      <c r="J264">
        <f t="shared" si="55"/>
        <v>2016</v>
      </c>
      <c r="K264">
        <f t="shared" si="56"/>
        <v>8</v>
      </c>
      <c r="L264">
        <f t="shared" si="57"/>
        <v>3</v>
      </c>
      <c r="M264" s="3">
        <f t="shared" ca="1" si="58"/>
        <v>46100</v>
      </c>
      <c r="N264">
        <f t="shared" ca="1" si="59"/>
        <v>3515</v>
      </c>
      <c r="O264">
        <f t="shared" ca="1" si="60"/>
        <v>3515</v>
      </c>
      <c r="P264">
        <f t="shared" ca="1" si="61"/>
        <v>2512</v>
      </c>
      <c r="Q264">
        <v>22</v>
      </c>
      <c r="R264" t="str">
        <f t="shared" si="62"/>
        <v>Young</v>
      </c>
      <c r="S264" t="s">
        <v>24</v>
      </c>
      <c r="T264">
        <v>6</v>
      </c>
      <c r="U264" t="s">
        <v>25</v>
      </c>
      <c r="V264">
        <v>9041.43</v>
      </c>
      <c r="W264" t="s">
        <v>58</v>
      </c>
      <c r="X264" t="s">
        <v>55</v>
      </c>
      <c r="Y264">
        <v>26</v>
      </c>
      <c r="Z264" t="str">
        <f t="shared" si="63"/>
        <v>Bad Employee</v>
      </c>
      <c r="AA264" t="b">
        <f t="shared" si="64"/>
        <v>0</v>
      </c>
      <c r="AB264" t="b">
        <f>OR(Y264&gt;20, T264&gt;6)</f>
        <v>1</v>
      </c>
      <c r="AC264" t="str">
        <f>IF(OR(Y264&gt;20,T264&gt;6), "Good employee", "Bad Employee")</f>
        <v>Good employee</v>
      </c>
      <c r="AD264" t="s">
        <v>41</v>
      </c>
      <c r="AE264" t="s">
        <v>59</v>
      </c>
      <c r="AF264">
        <v>7</v>
      </c>
      <c r="AG264">
        <v>2013</v>
      </c>
      <c r="AH264" t="s">
        <v>43</v>
      </c>
      <c r="AI264">
        <v>37</v>
      </c>
      <c r="AJ264">
        <v>1.4</v>
      </c>
    </row>
    <row r="265" spans="1:36" x14ac:dyDescent="0.25">
      <c r="A265">
        <v>10264</v>
      </c>
      <c r="B265" t="s">
        <v>66</v>
      </c>
      <c r="C265" t="s">
        <v>51</v>
      </c>
      <c r="D265" t="s">
        <v>23</v>
      </c>
      <c r="E265" t="str">
        <f t="shared" si="52"/>
        <v>John Brown is in HR Department</v>
      </c>
      <c r="F265" s="6" t="str">
        <f t="shared" si="53"/>
        <v>johnbrown@gmail.com</v>
      </c>
      <c r="G265">
        <v>104442</v>
      </c>
      <c r="H265" t="str">
        <f t="shared" si="54"/>
        <v>High</v>
      </c>
      <c r="I265" s="3">
        <v>38293</v>
      </c>
      <c r="J265">
        <f t="shared" si="55"/>
        <v>2004</v>
      </c>
      <c r="K265">
        <f t="shared" si="56"/>
        <v>11</v>
      </c>
      <c r="L265">
        <f t="shared" si="57"/>
        <v>2</v>
      </c>
      <c r="M265" s="3">
        <f t="shared" ca="1" si="58"/>
        <v>46100</v>
      </c>
      <c r="N265">
        <f t="shared" ca="1" si="59"/>
        <v>7807</v>
      </c>
      <c r="O265">
        <f t="shared" ca="1" si="60"/>
        <v>7807</v>
      </c>
      <c r="P265">
        <f t="shared" ca="1" si="61"/>
        <v>5578</v>
      </c>
      <c r="Q265">
        <v>42</v>
      </c>
      <c r="R265" t="str">
        <f t="shared" si="62"/>
        <v>Old</v>
      </c>
      <c r="S265" t="s">
        <v>24</v>
      </c>
      <c r="T265">
        <v>9</v>
      </c>
      <c r="U265" t="s">
        <v>45</v>
      </c>
      <c r="V265">
        <v>2631.08</v>
      </c>
      <c r="W265" t="s">
        <v>58</v>
      </c>
      <c r="X265" t="s">
        <v>47</v>
      </c>
      <c r="Y265">
        <v>21</v>
      </c>
      <c r="Z265" t="str">
        <f t="shared" si="63"/>
        <v>Good Employee</v>
      </c>
      <c r="AA265" t="b">
        <f t="shared" si="64"/>
        <v>1</v>
      </c>
      <c r="AB265" t="b">
        <f>OR(Y265&gt;20, T265&gt;6)</f>
        <v>1</v>
      </c>
      <c r="AC265" t="str">
        <f>IF(OR(Y265&gt;20,T265&gt;6), "Good employee", "Bad Employee")</f>
        <v>Good employee</v>
      </c>
      <c r="AD265" t="s">
        <v>56</v>
      </c>
      <c r="AE265" t="s">
        <v>59</v>
      </c>
      <c r="AF265">
        <v>10</v>
      </c>
      <c r="AG265">
        <v>2023</v>
      </c>
      <c r="AH265" t="s">
        <v>49</v>
      </c>
      <c r="AI265">
        <v>33</v>
      </c>
      <c r="AJ265">
        <v>1</v>
      </c>
    </row>
    <row r="266" spans="1:36" x14ac:dyDescent="0.25">
      <c r="A266">
        <v>10265</v>
      </c>
      <c r="B266" t="s">
        <v>50</v>
      </c>
      <c r="C266" t="s">
        <v>32</v>
      </c>
      <c r="D266" t="s">
        <v>44</v>
      </c>
      <c r="E266" t="str">
        <f t="shared" si="52"/>
        <v>Alex Wilson is in Sales Department</v>
      </c>
      <c r="F266" s="6" t="str">
        <f t="shared" si="53"/>
        <v>alexwilson@gmail.com</v>
      </c>
      <c r="G266">
        <v>51818</v>
      </c>
      <c r="H266" t="str">
        <f t="shared" si="54"/>
        <v>Medium</v>
      </c>
      <c r="I266" s="3">
        <v>40341</v>
      </c>
      <c r="J266">
        <f t="shared" si="55"/>
        <v>2010</v>
      </c>
      <c r="K266">
        <f t="shared" si="56"/>
        <v>6</v>
      </c>
      <c r="L266">
        <f t="shared" si="57"/>
        <v>12</v>
      </c>
      <c r="M266" s="3">
        <f t="shared" ca="1" si="58"/>
        <v>46100</v>
      </c>
      <c r="N266">
        <f t="shared" ca="1" si="59"/>
        <v>5759</v>
      </c>
      <c r="O266">
        <f t="shared" ca="1" si="60"/>
        <v>5759</v>
      </c>
      <c r="P266">
        <f t="shared" ca="1" si="61"/>
        <v>4114</v>
      </c>
      <c r="Q266">
        <v>43</v>
      </c>
      <c r="R266" t="str">
        <f t="shared" si="62"/>
        <v>Old</v>
      </c>
      <c r="S266" t="s">
        <v>34</v>
      </c>
      <c r="T266">
        <v>8</v>
      </c>
      <c r="U266" t="s">
        <v>25</v>
      </c>
      <c r="V266">
        <v>6240.09</v>
      </c>
      <c r="W266" t="s">
        <v>46</v>
      </c>
      <c r="X266" t="s">
        <v>36</v>
      </c>
      <c r="Y266">
        <v>22</v>
      </c>
      <c r="Z266" t="str">
        <f t="shared" si="63"/>
        <v>Good Employee</v>
      </c>
      <c r="AA266" t="b">
        <f t="shared" si="64"/>
        <v>1</v>
      </c>
      <c r="AB266" t="b">
        <f>OR(Y266&gt;20, T266&gt;6)</f>
        <v>1</v>
      </c>
      <c r="AC266" t="str">
        <f>IF(OR(Y266&gt;20,T266&gt;6), "Good employee", "Bad Employee")</f>
        <v>Good employee</v>
      </c>
      <c r="AD266" t="s">
        <v>28</v>
      </c>
      <c r="AE266" t="s">
        <v>48</v>
      </c>
      <c r="AF266">
        <v>1</v>
      </c>
      <c r="AG266">
        <v>2021</v>
      </c>
      <c r="AH266" t="s">
        <v>43</v>
      </c>
      <c r="AI266">
        <v>190</v>
      </c>
      <c r="AJ266">
        <v>2.6</v>
      </c>
    </row>
    <row r="267" spans="1:36" x14ac:dyDescent="0.25">
      <c r="A267">
        <v>10266</v>
      </c>
      <c r="B267" t="s">
        <v>60</v>
      </c>
      <c r="C267" t="s">
        <v>61</v>
      </c>
      <c r="D267" t="s">
        <v>44</v>
      </c>
      <c r="E267" t="str">
        <f t="shared" si="52"/>
        <v>Jane Smith is in Sales Department</v>
      </c>
      <c r="F267" s="6" t="str">
        <f t="shared" si="53"/>
        <v>janesmith@gmail.com</v>
      </c>
      <c r="G267">
        <v>73246</v>
      </c>
      <c r="H267" t="str">
        <f t="shared" si="54"/>
        <v>Medium</v>
      </c>
      <c r="I267" s="3">
        <v>36767</v>
      </c>
      <c r="J267">
        <f t="shared" si="55"/>
        <v>2000</v>
      </c>
      <c r="K267">
        <f t="shared" si="56"/>
        <v>8</v>
      </c>
      <c r="L267">
        <f t="shared" si="57"/>
        <v>29</v>
      </c>
      <c r="M267" s="3">
        <f t="shared" ca="1" si="58"/>
        <v>46100</v>
      </c>
      <c r="N267">
        <f t="shared" ca="1" si="59"/>
        <v>9333</v>
      </c>
      <c r="O267">
        <f t="shared" ca="1" si="60"/>
        <v>9333</v>
      </c>
      <c r="P267">
        <f t="shared" ca="1" si="61"/>
        <v>6668</v>
      </c>
      <c r="Q267">
        <v>25</v>
      </c>
      <c r="R267" t="str">
        <f t="shared" si="62"/>
        <v>Young</v>
      </c>
      <c r="S267" t="s">
        <v>34</v>
      </c>
      <c r="T267">
        <v>7</v>
      </c>
      <c r="U267" t="s">
        <v>45</v>
      </c>
      <c r="V267">
        <v>4615.9399999999996</v>
      </c>
      <c r="W267" t="s">
        <v>58</v>
      </c>
      <c r="X267" t="s">
        <v>27</v>
      </c>
      <c r="Y267">
        <v>33</v>
      </c>
      <c r="Z267" t="str">
        <f t="shared" si="63"/>
        <v>Good Employee</v>
      </c>
      <c r="AA267" t="b">
        <f t="shared" si="64"/>
        <v>1</v>
      </c>
      <c r="AB267" t="b">
        <f>OR(Y267&gt;20, T267&gt;6)</f>
        <v>1</v>
      </c>
      <c r="AC267" t="str">
        <f>IF(OR(Y267&gt;20,T267&gt;6), "Good employee", "Bad Employee")</f>
        <v>Good employee</v>
      </c>
      <c r="AD267" t="s">
        <v>28</v>
      </c>
      <c r="AE267" t="s">
        <v>62</v>
      </c>
      <c r="AF267">
        <v>11</v>
      </c>
      <c r="AG267">
        <v>2018</v>
      </c>
      <c r="AH267" t="s">
        <v>30</v>
      </c>
      <c r="AI267">
        <v>15</v>
      </c>
      <c r="AJ267">
        <v>1.4</v>
      </c>
    </row>
    <row r="268" spans="1:36" x14ac:dyDescent="0.25">
      <c r="A268">
        <v>10267</v>
      </c>
      <c r="B268" t="s">
        <v>31</v>
      </c>
      <c r="C268" t="s">
        <v>57</v>
      </c>
      <c r="D268" t="s">
        <v>39</v>
      </c>
      <c r="E268" t="str">
        <f t="shared" si="52"/>
        <v>Emily Davis is in IT Department</v>
      </c>
      <c r="F268" s="6" t="str">
        <f t="shared" si="53"/>
        <v>emilydavis@gmail.com</v>
      </c>
      <c r="G268">
        <v>85598</v>
      </c>
      <c r="H268" t="str">
        <f t="shared" si="54"/>
        <v>High</v>
      </c>
      <c r="I268" s="3">
        <v>41323</v>
      </c>
      <c r="J268">
        <f t="shared" si="55"/>
        <v>2013</v>
      </c>
      <c r="K268">
        <f t="shared" si="56"/>
        <v>2</v>
      </c>
      <c r="L268">
        <f t="shared" si="57"/>
        <v>18</v>
      </c>
      <c r="M268" s="3">
        <f t="shared" ca="1" si="58"/>
        <v>46100</v>
      </c>
      <c r="N268">
        <f t="shared" ca="1" si="59"/>
        <v>4777</v>
      </c>
      <c r="O268">
        <f t="shared" ca="1" si="60"/>
        <v>4777</v>
      </c>
      <c r="P268">
        <f t="shared" ca="1" si="61"/>
        <v>3414</v>
      </c>
      <c r="Q268">
        <v>22</v>
      </c>
      <c r="R268" t="str">
        <f t="shared" si="62"/>
        <v>Young</v>
      </c>
      <c r="S268" t="s">
        <v>34</v>
      </c>
      <c r="T268">
        <v>7</v>
      </c>
      <c r="U268" t="s">
        <v>25</v>
      </c>
      <c r="V268">
        <v>4136.33</v>
      </c>
      <c r="W268" t="s">
        <v>58</v>
      </c>
      <c r="X268" t="s">
        <v>55</v>
      </c>
      <c r="Y268">
        <v>33</v>
      </c>
      <c r="Z268" t="str">
        <f t="shared" si="63"/>
        <v>Good Employee</v>
      </c>
      <c r="AA268" t="b">
        <f t="shared" si="64"/>
        <v>1</v>
      </c>
      <c r="AB268" t="b">
        <f>OR(Y268&gt;20, T268&gt;6)</f>
        <v>1</v>
      </c>
      <c r="AC268" t="str">
        <f>IF(OR(Y268&gt;20,T268&gt;6), "Good employee", "Bad Employee")</f>
        <v>Good employee</v>
      </c>
      <c r="AD268" t="s">
        <v>56</v>
      </c>
      <c r="AE268" t="s">
        <v>59</v>
      </c>
      <c r="AF268">
        <v>8</v>
      </c>
      <c r="AG268">
        <v>2015</v>
      </c>
      <c r="AH268" t="s">
        <v>49</v>
      </c>
      <c r="AI268">
        <v>145</v>
      </c>
      <c r="AJ268">
        <v>4.5</v>
      </c>
    </row>
    <row r="269" spans="1:36" x14ac:dyDescent="0.25">
      <c r="A269">
        <v>10268</v>
      </c>
      <c r="B269" t="s">
        <v>53</v>
      </c>
      <c r="C269" t="s">
        <v>65</v>
      </c>
      <c r="D269" t="s">
        <v>54</v>
      </c>
      <c r="E269" t="str">
        <f t="shared" si="52"/>
        <v>Sarah Johnson is in Finance Department</v>
      </c>
      <c r="F269" s="6" t="str">
        <f t="shared" si="53"/>
        <v>sarahjohnson@gmail.com</v>
      </c>
      <c r="G269">
        <v>32654</v>
      </c>
      <c r="H269" t="str">
        <f t="shared" si="54"/>
        <v>extremely low</v>
      </c>
      <c r="I269" s="3">
        <v>39475</v>
      </c>
      <c r="J269">
        <f t="shared" si="55"/>
        <v>2008</v>
      </c>
      <c r="K269">
        <f t="shared" si="56"/>
        <v>1</v>
      </c>
      <c r="L269">
        <f t="shared" si="57"/>
        <v>28</v>
      </c>
      <c r="M269" s="3">
        <f t="shared" ca="1" si="58"/>
        <v>46100</v>
      </c>
      <c r="N269">
        <f t="shared" ca="1" si="59"/>
        <v>6625</v>
      </c>
      <c r="O269">
        <f t="shared" ca="1" si="60"/>
        <v>6625</v>
      </c>
      <c r="P269">
        <f t="shared" ca="1" si="61"/>
        <v>4734</v>
      </c>
      <c r="Q269">
        <v>31</v>
      </c>
      <c r="R269" t="str">
        <f t="shared" si="62"/>
        <v>Old</v>
      </c>
      <c r="S269" t="s">
        <v>24</v>
      </c>
      <c r="T269">
        <v>1</v>
      </c>
      <c r="U269" t="s">
        <v>45</v>
      </c>
      <c r="V269">
        <v>1513.78</v>
      </c>
      <c r="W269" t="s">
        <v>46</v>
      </c>
      <c r="X269" t="s">
        <v>47</v>
      </c>
      <c r="Y269">
        <v>5</v>
      </c>
      <c r="Z269" t="str">
        <f t="shared" si="63"/>
        <v>Bad Employee</v>
      </c>
      <c r="AA269" t="b">
        <f t="shared" si="64"/>
        <v>0</v>
      </c>
      <c r="AB269" t="b">
        <f>OR(Y269&gt;20, T269&gt;6)</f>
        <v>0</v>
      </c>
      <c r="AC269" t="str">
        <f>IF(OR(Y269&gt;20,T269&gt;6), "Good employee", "Bad Employee")</f>
        <v>Bad Employee</v>
      </c>
      <c r="AD269" t="s">
        <v>41</v>
      </c>
      <c r="AE269" t="s">
        <v>62</v>
      </c>
      <c r="AF269">
        <v>5</v>
      </c>
      <c r="AG269">
        <v>2018</v>
      </c>
      <c r="AH269" t="s">
        <v>49</v>
      </c>
      <c r="AI269">
        <v>73</v>
      </c>
      <c r="AJ269">
        <v>4.7</v>
      </c>
    </row>
    <row r="270" spans="1:36" x14ac:dyDescent="0.25">
      <c r="A270">
        <v>10269</v>
      </c>
      <c r="B270" t="s">
        <v>21</v>
      </c>
      <c r="C270" t="s">
        <v>57</v>
      </c>
      <c r="D270" t="s">
        <v>33</v>
      </c>
      <c r="E270" t="str">
        <f t="shared" si="52"/>
        <v>Michael Davis is in Marketing Department</v>
      </c>
      <c r="F270" s="6" t="str">
        <f t="shared" si="53"/>
        <v>michaeldavis@gmail.com</v>
      </c>
      <c r="G270">
        <v>63758</v>
      </c>
      <c r="H270" t="str">
        <f t="shared" si="54"/>
        <v>Medium</v>
      </c>
      <c r="I270" s="3">
        <v>41362</v>
      </c>
      <c r="J270">
        <f t="shared" si="55"/>
        <v>2013</v>
      </c>
      <c r="K270">
        <f t="shared" si="56"/>
        <v>3</v>
      </c>
      <c r="L270">
        <f t="shared" si="57"/>
        <v>29</v>
      </c>
      <c r="M270" s="3">
        <f t="shared" ca="1" si="58"/>
        <v>46100</v>
      </c>
      <c r="N270">
        <f t="shared" ca="1" si="59"/>
        <v>4738</v>
      </c>
      <c r="O270">
        <f t="shared" ca="1" si="60"/>
        <v>4738</v>
      </c>
      <c r="P270">
        <f t="shared" ca="1" si="61"/>
        <v>3385</v>
      </c>
      <c r="Q270">
        <v>36</v>
      </c>
      <c r="R270" t="str">
        <f t="shared" si="62"/>
        <v>Old</v>
      </c>
      <c r="S270" t="s">
        <v>34</v>
      </c>
      <c r="T270">
        <v>5</v>
      </c>
      <c r="U270" t="s">
        <v>25</v>
      </c>
      <c r="V270">
        <v>1775.22</v>
      </c>
      <c r="W270" t="s">
        <v>46</v>
      </c>
      <c r="X270" t="s">
        <v>27</v>
      </c>
      <c r="Y270">
        <v>21</v>
      </c>
      <c r="Z270" t="str">
        <f t="shared" si="63"/>
        <v>Bad Employee</v>
      </c>
      <c r="AA270" t="b">
        <f t="shared" si="64"/>
        <v>0</v>
      </c>
      <c r="AB270" t="b">
        <f>OR(Y270&gt;20, T270&gt;6)</f>
        <v>1</v>
      </c>
      <c r="AC270" t="str">
        <f>IF(OR(Y270&gt;20,T270&gt;6), "Good employee", "Bad Employee")</f>
        <v>Good employee</v>
      </c>
      <c r="AD270" t="s">
        <v>56</v>
      </c>
      <c r="AE270" t="s">
        <v>37</v>
      </c>
      <c r="AF270">
        <v>11</v>
      </c>
      <c r="AG270">
        <v>2013</v>
      </c>
      <c r="AH270" t="s">
        <v>30</v>
      </c>
      <c r="AI270">
        <v>25</v>
      </c>
      <c r="AJ270">
        <v>2.9</v>
      </c>
    </row>
    <row r="271" spans="1:36" x14ac:dyDescent="0.25">
      <c r="A271">
        <v>10270</v>
      </c>
      <c r="B271" t="s">
        <v>50</v>
      </c>
      <c r="C271" t="s">
        <v>57</v>
      </c>
      <c r="D271" t="s">
        <v>54</v>
      </c>
      <c r="E271" t="str">
        <f t="shared" si="52"/>
        <v>Alex Davis is in Finance Department</v>
      </c>
      <c r="F271" s="6" t="str">
        <f t="shared" si="53"/>
        <v>alexdavis@gmail.com</v>
      </c>
      <c r="G271">
        <v>54204</v>
      </c>
      <c r="H271" t="str">
        <f t="shared" si="54"/>
        <v>Medium</v>
      </c>
      <c r="I271" s="3">
        <v>42735</v>
      </c>
      <c r="J271">
        <f t="shared" si="55"/>
        <v>2016</v>
      </c>
      <c r="K271">
        <f t="shared" si="56"/>
        <v>12</v>
      </c>
      <c r="L271">
        <f t="shared" si="57"/>
        <v>31</v>
      </c>
      <c r="M271" s="3">
        <f t="shared" ca="1" si="58"/>
        <v>46100</v>
      </c>
      <c r="N271">
        <f t="shared" ca="1" si="59"/>
        <v>3365</v>
      </c>
      <c r="O271">
        <f t="shared" ca="1" si="60"/>
        <v>3365</v>
      </c>
      <c r="P271">
        <f t="shared" ca="1" si="61"/>
        <v>2404</v>
      </c>
      <c r="Q271">
        <v>57</v>
      </c>
      <c r="R271" t="str">
        <f t="shared" si="62"/>
        <v>Old</v>
      </c>
      <c r="S271" t="s">
        <v>24</v>
      </c>
      <c r="T271">
        <v>7</v>
      </c>
      <c r="U271" t="s">
        <v>45</v>
      </c>
      <c r="V271">
        <v>8451.39</v>
      </c>
      <c r="W271" t="s">
        <v>35</v>
      </c>
      <c r="X271" t="s">
        <v>55</v>
      </c>
      <c r="Y271">
        <v>27</v>
      </c>
      <c r="Z271" t="str">
        <f t="shared" si="63"/>
        <v>Good Employee</v>
      </c>
      <c r="AA271" t="b">
        <f t="shared" si="64"/>
        <v>1</v>
      </c>
      <c r="AB271" t="b">
        <f>OR(Y271&gt;20, T271&gt;6)</f>
        <v>1</v>
      </c>
      <c r="AC271" t="str">
        <f>IF(OR(Y271&gt;20,T271&gt;6), "Good employee", "Bad Employee")</f>
        <v>Good employee</v>
      </c>
      <c r="AD271" t="s">
        <v>41</v>
      </c>
      <c r="AE271" t="s">
        <v>29</v>
      </c>
      <c r="AF271">
        <v>17</v>
      </c>
      <c r="AG271">
        <v>2019</v>
      </c>
      <c r="AH271" t="s">
        <v>30</v>
      </c>
      <c r="AI271">
        <v>7</v>
      </c>
      <c r="AJ271">
        <v>2.7</v>
      </c>
    </row>
    <row r="272" spans="1:36" x14ac:dyDescent="0.25">
      <c r="A272">
        <v>10271</v>
      </c>
      <c r="B272" t="s">
        <v>64</v>
      </c>
      <c r="C272" t="s">
        <v>51</v>
      </c>
      <c r="D272" t="s">
        <v>44</v>
      </c>
      <c r="E272" t="str">
        <f t="shared" si="52"/>
        <v>Katie Brown is in Sales Department</v>
      </c>
      <c r="F272" s="6" t="str">
        <f t="shared" si="53"/>
        <v>katiebrown@gmail.com</v>
      </c>
      <c r="G272">
        <v>64928</v>
      </c>
      <c r="H272" t="str">
        <f t="shared" si="54"/>
        <v>Medium</v>
      </c>
      <c r="I272" s="3">
        <v>43641</v>
      </c>
      <c r="J272">
        <f t="shared" si="55"/>
        <v>2019</v>
      </c>
      <c r="K272">
        <f t="shared" si="56"/>
        <v>6</v>
      </c>
      <c r="L272">
        <f t="shared" si="57"/>
        <v>25</v>
      </c>
      <c r="M272" s="3">
        <f t="shared" ca="1" si="58"/>
        <v>46100</v>
      </c>
      <c r="N272">
        <f t="shared" ca="1" si="59"/>
        <v>2459</v>
      </c>
      <c r="O272">
        <f t="shared" ca="1" si="60"/>
        <v>2459</v>
      </c>
      <c r="P272">
        <f t="shared" ca="1" si="61"/>
        <v>1758</v>
      </c>
      <c r="Q272">
        <v>50</v>
      </c>
      <c r="R272" t="str">
        <f t="shared" si="62"/>
        <v>Old</v>
      </c>
      <c r="S272" t="s">
        <v>34</v>
      </c>
      <c r="T272">
        <v>2</v>
      </c>
      <c r="U272" t="s">
        <v>25</v>
      </c>
      <c r="V272">
        <v>7622.66</v>
      </c>
      <c r="W272" t="s">
        <v>35</v>
      </c>
      <c r="X272" t="s">
        <v>47</v>
      </c>
      <c r="Y272">
        <v>1</v>
      </c>
      <c r="Z272" t="str">
        <f t="shared" si="63"/>
        <v>Bad Employee</v>
      </c>
      <c r="AA272" t="b">
        <f t="shared" si="64"/>
        <v>0</v>
      </c>
      <c r="AB272" t="b">
        <f>OR(Y272&gt;20, T272&gt;6)</f>
        <v>0</v>
      </c>
      <c r="AC272" t="str">
        <f>IF(OR(Y272&gt;20,T272&gt;6), "Good employee", "Bad Employee")</f>
        <v>Bad Employee</v>
      </c>
      <c r="AD272" t="s">
        <v>56</v>
      </c>
      <c r="AE272" t="s">
        <v>42</v>
      </c>
      <c r="AF272">
        <v>4</v>
      </c>
      <c r="AG272">
        <v>2011</v>
      </c>
      <c r="AH272" t="s">
        <v>43</v>
      </c>
      <c r="AI272">
        <v>158</v>
      </c>
      <c r="AJ272">
        <v>3.2</v>
      </c>
    </row>
    <row r="273" spans="1:36" x14ac:dyDescent="0.25">
      <c r="A273">
        <v>10272</v>
      </c>
      <c r="B273" t="s">
        <v>53</v>
      </c>
      <c r="C273" t="s">
        <v>32</v>
      </c>
      <c r="D273" t="s">
        <v>52</v>
      </c>
      <c r="E273" t="str">
        <f t="shared" si="52"/>
        <v>Sarah Wilson is in Operations Department</v>
      </c>
      <c r="F273" s="6" t="str">
        <f t="shared" si="53"/>
        <v>sarahwilson@gmail.com</v>
      </c>
      <c r="G273">
        <v>83609</v>
      </c>
      <c r="H273" t="str">
        <f t="shared" si="54"/>
        <v>High</v>
      </c>
      <c r="I273" s="3">
        <v>43047</v>
      </c>
      <c r="J273">
        <f t="shared" si="55"/>
        <v>2017</v>
      </c>
      <c r="K273">
        <f t="shared" si="56"/>
        <v>11</v>
      </c>
      <c r="L273">
        <f t="shared" si="57"/>
        <v>8</v>
      </c>
      <c r="M273" s="3">
        <f t="shared" ca="1" si="58"/>
        <v>46100</v>
      </c>
      <c r="N273">
        <f t="shared" ca="1" si="59"/>
        <v>3053</v>
      </c>
      <c r="O273">
        <f t="shared" ca="1" si="60"/>
        <v>3053</v>
      </c>
      <c r="P273">
        <f t="shared" ca="1" si="61"/>
        <v>2182</v>
      </c>
      <c r="Q273">
        <v>26</v>
      </c>
      <c r="R273" t="str">
        <f t="shared" si="62"/>
        <v>Young</v>
      </c>
      <c r="S273" t="s">
        <v>34</v>
      </c>
      <c r="T273">
        <v>6</v>
      </c>
      <c r="U273" t="s">
        <v>45</v>
      </c>
      <c r="V273">
        <v>4132.24</v>
      </c>
      <c r="W273" t="s">
        <v>26</v>
      </c>
      <c r="X273" t="s">
        <v>27</v>
      </c>
      <c r="Y273">
        <v>16</v>
      </c>
      <c r="Z273" t="str">
        <f t="shared" si="63"/>
        <v>Bad Employee</v>
      </c>
      <c r="AA273" t="b">
        <f t="shared" si="64"/>
        <v>0</v>
      </c>
      <c r="AB273" t="b">
        <f>OR(Y273&gt;20, T273&gt;6)</f>
        <v>0</v>
      </c>
      <c r="AC273" t="str">
        <f>IF(OR(Y273&gt;20,T273&gt;6), "Good employee", "Bad Employee")</f>
        <v>Bad Employee</v>
      </c>
      <c r="AD273" t="s">
        <v>41</v>
      </c>
      <c r="AE273" t="s">
        <v>29</v>
      </c>
      <c r="AF273">
        <v>16</v>
      </c>
      <c r="AG273">
        <v>2022</v>
      </c>
      <c r="AH273" t="s">
        <v>30</v>
      </c>
      <c r="AI273">
        <v>165</v>
      </c>
      <c r="AJ273">
        <v>1.9</v>
      </c>
    </row>
    <row r="274" spans="1:36" x14ac:dyDescent="0.25">
      <c r="A274">
        <v>10273</v>
      </c>
      <c r="B274" t="s">
        <v>53</v>
      </c>
      <c r="C274" t="s">
        <v>65</v>
      </c>
      <c r="D274" t="s">
        <v>23</v>
      </c>
      <c r="E274" t="str">
        <f t="shared" si="52"/>
        <v>Sarah Johnson is in HR Department</v>
      </c>
      <c r="F274" s="6" t="str">
        <f t="shared" si="53"/>
        <v>sarahjohnson@gmail.com</v>
      </c>
      <c r="G274">
        <v>60552</v>
      </c>
      <c r="H274" t="str">
        <f t="shared" si="54"/>
        <v>Medium</v>
      </c>
      <c r="I274" s="3">
        <v>43057</v>
      </c>
      <c r="J274">
        <f t="shared" si="55"/>
        <v>2017</v>
      </c>
      <c r="K274">
        <f t="shared" si="56"/>
        <v>11</v>
      </c>
      <c r="L274">
        <f t="shared" si="57"/>
        <v>18</v>
      </c>
      <c r="M274" s="3">
        <f t="shared" ca="1" si="58"/>
        <v>46100</v>
      </c>
      <c r="N274">
        <f t="shared" ca="1" si="59"/>
        <v>3043</v>
      </c>
      <c r="O274">
        <f t="shared" ca="1" si="60"/>
        <v>3043</v>
      </c>
      <c r="P274">
        <f t="shared" ca="1" si="61"/>
        <v>2174</v>
      </c>
      <c r="Q274">
        <v>50</v>
      </c>
      <c r="R274" t="str">
        <f t="shared" si="62"/>
        <v>Old</v>
      </c>
      <c r="S274" t="s">
        <v>24</v>
      </c>
      <c r="T274">
        <v>2</v>
      </c>
      <c r="U274" t="s">
        <v>25</v>
      </c>
      <c r="V274">
        <v>8370.6200000000008</v>
      </c>
      <c r="W274" t="s">
        <v>58</v>
      </c>
      <c r="X274" t="s">
        <v>27</v>
      </c>
      <c r="Y274">
        <v>35</v>
      </c>
      <c r="Z274" t="str">
        <f t="shared" si="63"/>
        <v>Bad Employee</v>
      </c>
      <c r="AA274" t="b">
        <f t="shared" si="64"/>
        <v>0</v>
      </c>
      <c r="AB274" t="b">
        <f>OR(Y274&gt;20, T274&gt;6)</f>
        <v>1</v>
      </c>
      <c r="AC274" t="str">
        <f>IF(OR(Y274&gt;20,T274&gt;6), "Good employee", "Bad Employee")</f>
        <v>Good employee</v>
      </c>
      <c r="AD274" t="s">
        <v>28</v>
      </c>
      <c r="AE274" t="s">
        <v>48</v>
      </c>
      <c r="AF274">
        <v>15</v>
      </c>
      <c r="AG274">
        <v>2023</v>
      </c>
      <c r="AH274" t="s">
        <v>49</v>
      </c>
      <c r="AI274">
        <v>98</v>
      </c>
      <c r="AJ274">
        <v>2.2000000000000002</v>
      </c>
    </row>
    <row r="275" spans="1:36" x14ac:dyDescent="0.25">
      <c r="A275">
        <v>10274</v>
      </c>
      <c r="B275" t="s">
        <v>53</v>
      </c>
      <c r="C275" t="s">
        <v>61</v>
      </c>
      <c r="D275" t="s">
        <v>39</v>
      </c>
      <c r="E275" t="str">
        <f t="shared" si="52"/>
        <v>Sarah Smith is in IT Department</v>
      </c>
      <c r="F275" s="6" t="str">
        <f t="shared" si="53"/>
        <v>sarahsmith@gmail.com</v>
      </c>
      <c r="G275">
        <v>40336</v>
      </c>
      <c r="H275" t="str">
        <f t="shared" si="54"/>
        <v>low</v>
      </c>
      <c r="I275" s="3">
        <v>42436</v>
      </c>
      <c r="J275">
        <f t="shared" si="55"/>
        <v>2016</v>
      </c>
      <c r="K275">
        <f t="shared" si="56"/>
        <v>3</v>
      </c>
      <c r="L275">
        <f t="shared" si="57"/>
        <v>7</v>
      </c>
      <c r="M275" s="3">
        <f t="shared" ca="1" si="58"/>
        <v>46100</v>
      </c>
      <c r="N275">
        <f t="shared" ca="1" si="59"/>
        <v>3664</v>
      </c>
      <c r="O275">
        <f t="shared" ca="1" si="60"/>
        <v>3664</v>
      </c>
      <c r="P275">
        <f t="shared" ca="1" si="61"/>
        <v>2619</v>
      </c>
      <c r="Q275">
        <v>48</v>
      </c>
      <c r="R275" t="str">
        <f t="shared" si="62"/>
        <v>Old</v>
      </c>
      <c r="S275" t="s">
        <v>24</v>
      </c>
      <c r="T275">
        <v>3</v>
      </c>
      <c r="U275" t="s">
        <v>45</v>
      </c>
      <c r="V275">
        <v>1267.28</v>
      </c>
      <c r="W275" t="s">
        <v>46</v>
      </c>
      <c r="X275" t="s">
        <v>47</v>
      </c>
      <c r="Y275">
        <v>36</v>
      </c>
      <c r="Z275" t="str">
        <f t="shared" si="63"/>
        <v>Bad Employee</v>
      </c>
      <c r="AA275" t="b">
        <f t="shared" si="64"/>
        <v>0</v>
      </c>
      <c r="AB275" t="b">
        <f>OR(Y275&gt;20, T275&gt;6)</f>
        <v>1</v>
      </c>
      <c r="AC275" t="str">
        <f>IF(OR(Y275&gt;20,T275&gt;6), "Good employee", "Bad Employee")</f>
        <v>Good employee</v>
      </c>
      <c r="AD275" t="s">
        <v>56</v>
      </c>
      <c r="AE275" t="s">
        <v>48</v>
      </c>
      <c r="AF275">
        <v>11</v>
      </c>
      <c r="AG275">
        <v>2018</v>
      </c>
      <c r="AH275" t="s">
        <v>49</v>
      </c>
      <c r="AI275">
        <v>26</v>
      </c>
      <c r="AJ275">
        <v>1.4</v>
      </c>
    </row>
    <row r="276" spans="1:36" x14ac:dyDescent="0.25">
      <c r="A276">
        <v>10275</v>
      </c>
      <c r="B276" t="s">
        <v>66</v>
      </c>
      <c r="C276" t="s">
        <v>61</v>
      </c>
      <c r="D276" t="s">
        <v>52</v>
      </c>
      <c r="E276" t="str">
        <f t="shared" si="52"/>
        <v>John Smith is in Operations Department</v>
      </c>
      <c r="F276" s="6" t="str">
        <f t="shared" si="53"/>
        <v>johnsmith@gmail.com</v>
      </c>
      <c r="G276">
        <v>77037</v>
      </c>
      <c r="H276" t="str">
        <f t="shared" si="54"/>
        <v>Medium</v>
      </c>
      <c r="I276" s="3">
        <v>41402</v>
      </c>
      <c r="J276">
        <f t="shared" si="55"/>
        <v>2013</v>
      </c>
      <c r="K276">
        <f t="shared" si="56"/>
        <v>5</v>
      </c>
      <c r="L276">
        <f t="shared" si="57"/>
        <v>8</v>
      </c>
      <c r="M276" s="3">
        <f t="shared" ca="1" si="58"/>
        <v>46100</v>
      </c>
      <c r="N276">
        <f t="shared" ca="1" si="59"/>
        <v>4698</v>
      </c>
      <c r="O276">
        <f t="shared" ca="1" si="60"/>
        <v>4698</v>
      </c>
      <c r="P276">
        <f t="shared" ca="1" si="61"/>
        <v>3357</v>
      </c>
      <c r="Q276">
        <v>46</v>
      </c>
      <c r="R276" t="str">
        <f t="shared" si="62"/>
        <v>Old</v>
      </c>
      <c r="S276" t="s">
        <v>24</v>
      </c>
      <c r="T276">
        <v>1</v>
      </c>
      <c r="U276" t="s">
        <v>45</v>
      </c>
      <c r="V276">
        <v>6435.35</v>
      </c>
      <c r="W276" t="s">
        <v>26</v>
      </c>
      <c r="X276" t="s">
        <v>27</v>
      </c>
      <c r="Y276">
        <v>32</v>
      </c>
      <c r="Z276" t="str">
        <f t="shared" si="63"/>
        <v>Bad Employee</v>
      </c>
      <c r="AA276" t="b">
        <f t="shared" si="64"/>
        <v>0</v>
      </c>
      <c r="AB276" t="b">
        <f>OR(Y276&gt;20, T276&gt;6)</f>
        <v>1</v>
      </c>
      <c r="AC276" t="str">
        <f>IF(OR(Y276&gt;20,T276&gt;6), "Good employee", "Bad Employee")</f>
        <v>Good employee</v>
      </c>
      <c r="AD276" t="s">
        <v>41</v>
      </c>
      <c r="AE276" t="s">
        <v>62</v>
      </c>
      <c r="AF276">
        <v>1</v>
      </c>
      <c r="AG276">
        <v>2019</v>
      </c>
      <c r="AH276" t="s">
        <v>30</v>
      </c>
      <c r="AI276">
        <v>66</v>
      </c>
      <c r="AJ276">
        <v>2.8</v>
      </c>
    </row>
    <row r="277" spans="1:36" x14ac:dyDescent="0.25">
      <c r="A277">
        <v>10276</v>
      </c>
      <c r="B277" t="s">
        <v>31</v>
      </c>
      <c r="C277" t="s">
        <v>63</v>
      </c>
      <c r="D277" t="s">
        <v>33</v>
      </c>
      <c r="E277" t="str">
        <f t="shared" si="52"/>
        <v>Emily Miller is in Marketing Department</v>
      </c>
      <c r="F277" s="6" t="str">
        <f t="shared" si="53"/>
        <v>emilymiller@gmail.com</v>
      </c>
      <c r="G277">
        <v>46206</v>
      </c>
      <c r="H277" t="str">
        <f t="shared" si="54"/>
        <v>low</v>
      </c>
      <c r="I277" s="3">
        <v>38782</v>
      </c>
      <c r="J277">
        <f t="shared" si="55"/>
        <v>2006</v>
      </c>
      <c r="K277">
        <f t="shared" si="56"/>
        <v>3</v>
      </c>
      <c r="L277">
        <f t="shared" si="57"/>
        <v>6</v>
      </c>
      <c r="M277" s="3">
        <f t="shared" ca="1" si="58"/>
        <v>46100</v>
      </c>
      <c r="N277">
        <f t="shared" ca="1" si="59"/>
        <v>7318</v>
      </c>
      <c r="O277">
        <f t="shared" ca="1" si="60"/>
        <v>7318</v>
      </c>
      <c r="P277">
        <f t="shared" ca="1" si="61"/>
        <v>5229</v>
      </c>
      <c r="Q277">
        <v>37</v>
      </c>
      <c r="R277" t="str">
        <f t="shared" si="62"/>
        <v>Old</v>
      </c>
      <c r="S277" t="s">
        <v>34</v>
      </c>
      <c r="T277">
        <v>3</v>
      </c>
      <c r="U277" t="s">
        <v>25</v>
      </c>
      <c r="V277">
        <v>8747.67</v>
      </c>
      <c r="W277" t="s">
        <v>35</v>
      </c>
      <c r="X277" t="s">
        <v>55</v>
      </c>
      <c r="Y277">
        <v>29</v>
      </c>
      <c r="Z277" t="str">
        <f t="shared" si="63"/>
        <v>Bad Employee</v>
      </c>
      <c r="AA277" t="b">
        <f t="shared" si="64"/>
        <v>0</v>
      </c>
      <c r="AB277" t="b">
        <f>OR(Y277&gt;20, T277&gt;6)</f>
        <v>1</v>
      </c>
      <c r="AC277" t="str">
        <f>IF(OR(Y277&gt;20,T277&gt;6), "Good employee", "Bad Employee")</f>
        <v>Good employee</v>
      </c>
      <c r="AD277" t="s">
        <v>41</v>
      </c>
      <c r="AE277" t="s">
        <v>62</v>
      </c>
      <c r="AF277">
        <v>15</v>
      </c>
      <c r="AG277">
        <v>2021</v>
      </c>
      <c r="AH277" t="s">
        <v>43</v>
      </c>
      <c r="AI277">
        <v>9</v>
      </c>
      <c r="AJ277">
        <v>3.4</v>
      </c>
    </row>
    <row r="278" spans="1:36" x14ac:dyDescent="0.25">
      <c r="A278">
        <v>10277</v>
      </c>
      <c r="B278" t="s">
        <v>66</v>
      </c>
      <c r="C278" t="s">
        <v>22</v>
      </c>
      <c r="D278" t="s">
        <v>52</v>
      </c>
      <c r="E278" t="str">
        <f t="shared" si="52"/>
        <v>John Williams is in Operations Department</v>
      </c>
      <c r="F278" s="6" t="str">
        <f t="shared" si="53"/>
        <v>johnwilliams@gmail.com</v>
      </c>
      <c r="G278">
        <v>64831</v>
      </c>
      <c r="H278" t="str">
        <f t="shared" si="54"/>
        <v>Medium</v>
      </c>
      <c r="I278" s="3">
        <v>40637</v>
      </c>
      <c r="J278">
        <f t="shared" si="55"/>
        <v>2011</v>
      </c>
      <c r="K278">
        <f t="shared" si="56"/>
        <v>4</v>
      </c>
      <c r="L278">
        <f t="shared" si="57"/>
        <v>4</v>
      </c>
      <c r="M278" s="3">
        <f t="shared" ca="1" si="58"/>
        <v>46100</v>
      </c>
      <c r="N278">
        <f t="shared" ca="1" si="59"/>
        <v>5463</v>
      </c>
      <c r="O278">
        <f t="shared" ca="1" si="60"/>
        <v>5463</v>
      </c>
      <c r="P278">
        <f t="shared" ca="1" si="61"/>
        <v>3904</v>
      </c>
      <c r="Q278">
        <v>37</v>
      </c>
      <c r="R278" t="str">
        <f t="shared" si="62"/>
        <v>Old</v>
      </c>
      <c r="S278" t="s">
        <v>34</v>
      </c>
      <c r="T278">
        <v>7</v>
      </c>
      <c r="U278" t="s">
        <v>25</v>
      </c>
      <c r="V278">
        <v>8469.2099999999991</v>
      </c>
      <c r="W278" t="s">
        <v>58</v>
      </c>
      <c r="X278" t="s">
        <v>55</v>
      </c>
      <c r="Y278">
        <v>39</v>
      </c>
      <c r="Z278" t="str">
        <f t="shared" si="63"/>
        <v>Good Employee</v>
      </c>
      <c r="AA278" t="b">
        <f t="shared" si="64"/>
        <v>1</v>
      </c>
      <c r="AB278" t="b">
        <f>OR(Y278&gt;20, T278&gt;6)</f>
        <v>1</v>
      </c>
      <c r="AC278" t="str">
        <f>IF(OR(Y278&gt;20,T278&gt;6), "Good employee", "Bad Employee")</f>
        <v>Good employee</v>
      </c>
      <c r="AD278" t="s">
        <v>41</v>
      </c>
      <c r="AE278" t="s">
        <v>59</v>
      </c>
      <c r="AF278">
        <v>0</v>
      </c>
      <c r="AG278">
        <v>2023</v>
      </c>
      <c r="AH278" t="s">
        <v>49</v>
      </c>
      <c r="AI278">
        <v>151</v>
      </c>
      <c r="AJ278">
        <v>4.7</v>
      </c>
    </row>
    <row r="279" spans="1:36" x14ac:dyDescent="0.25">
      <c r="A279">
        <v>10278</v>
      </c>
      <c r="B279" t="s">
        <v>64</v>
      </c>
      <c r="C279" t="s">
        <v>63</v>
      </c>
      <c r="D279" t="s">
        <v>52</v>
      </c>
      <c r="E279" t="str">
        <f t="shared" si="52"/>
        <v>Katie Miller is in Operations Department</v>
      </c>
      <c r="F279" s="6" t="str">
        <f t="shared" si="53"/>
        <v>katiemiller@gmail.com</v>
      </c>
      <c r="G279">
        <v>73563</v>
      </c>
      <c r="H279" t="str">
        <f t="shared" si="54"/>
        <v>Medium</v>
      </c>
      <c r="I279" s="3">
        <v>39894</v>
      </c>
      <c r="J279">
        <f t="shared" si="55"/>
        <v>2009</v>
      </c>
      <c r="K279">
        <f t="shared" si="56"/>
        <v>3</v>
      </c>
      <c r="L279">
        <f t="shared" si="57"/>
        <v>22</v>
      </c>
      <c r="M279" s="3">
        <f t="shared" ca="1" si="58"/>
        <v>46100</v>
      </c>
      <c r="N279">
        <f t="shared" ca="1" si="59"/>
        <v>6206</v>
      </c>
      <c r="O279">
        <f t="shared" ca="1" si="60"/>
        <v>6206</v>
      </c>
      <c r="P279">
        <f t="shared" ca="1" si="61"/>
        <v>4434</v>
      </c>
      <c r="Q279">
        <v>57</v>
      </c>
      <c r="R279" t="str">
        <f t="shared" si="62"/>
        <v>Old</v>
      </c>
      <c r="S279" t="s">
        <v>34</v>
      </c>
      <c r="T279">
        <v>5</v>
      </c>
      <c r="U279" t="s">
        <v>25</v>
      </c>
      <c r="V279">
        <v>4041.44</v>
      </c>
      <c r="W279" t="s">
        <v>26</v>
      </c>
      <c r="X279" t="s">
        <v>27</v>
      </c>
      <c r="Y279">
        <v>23</v>
      </c>
      <c r="Z279" t="str">
        <f t="shared" si="63"/>
        <v>Bad Employee</v>
      </c>
      <c r="AA279" t="b">
        <f t="shared" si="64"/>
        <v>0</v>
      </c>
      <c r="AB279" t="b">
        <f>OR(Y279&gt;20, T279&gt;6)</f>
        <v>1</v>
      </c>
      <c r="AC279" t="str">
        <f>IF(OR(Y279&gt;20,T279&gt;6), "Good employee", "Bad Employee")</f>
        <v>Good employee</v>
      </c>
      <c r="AD279" t="s">
        <v>41</v>
      </c>
      <c r="AE279" t="s">
        <v>29</v>
      </c>
      <c r="AF279">
        <v>19</v>
      </c>
      <c r="AG279">
        <v>2013</v>
      </c>
      <c r="AH279" t="s">
        <v>43</v>
      </c>
      <c r="AI279">
        <v>13</v>
      </c>
      <c r="AJ279">
        <v>4</v>
      </c>
    </row>
    <row r="280" spans="1:36" x14ac:dyDescent="0.25">
      <c r="A280">
        <v>10279</v>
      </c>
      <c r="B280" t="s">
        <v>66</v>
      </c>
      <c r="C280" t="s">
        <v>63</v>
      </c>
      <c r="D280" t="s">
        <v>33</v>
      </c>
      <c r="E280" t="str">
        <f t="shared" si="52"/>
        <v>John Miller is in Marketing Department</v>
      </c>
      <c r="F280" s="6" t="str">
        <f t="shared" si="53"/>
        <v>johnmiller@gmail.com</v>
      </c>
      <c r="G280">
        <v>48361</v>
      </c>
      <c r="H280" t="str">
        <f t="shared" si="54"/>
        <v>low</v>
      </c>
      <c r="I280" s="3">
        <v>41607</v>
      </c>
      <c r="J280">
        <f t="shared" si="55"/>
        <v>2013</v>
      </c>
      <c r="K280">
        <f t="shared" si="56"/>
        <v>11</v>
      </c>
      <c r="L280">
        <f t="shared" si="57"/>
        <v>29</v>
      </c>
      <c r="M280" s="3">
        <f t="shared" ca="1" si="58"/>
        <v>46100</v>
      </c>
      <c r="N280">
        <f t="shared" ca="1" si="59"/>
        <v>4493</v>
      </c>
      <c r="O280">
        <f t="shared" ca="1" si="60"/>
        <v>4493</v>
      </c>
      <c r="P280">
        <f t="shared" ca="1" si="61"/>
        <v>3210</v>
      </c>
      <c r="Q280">
        <v>46</v>
      </c>
      <c r="R280" t="str">
        <f t="shared" si="62"/>
        <v>Old</v>
      </c>
      <c r="S280" t="s">
        <v>34</v>
      </c>
      <c r="T280">
        <v>4</v>
      </c>
      <c r="U280" t="s">
        <v>45</v>
      </c>
      <c r="V280">
        <v>7579.72</v>
      </c>
      <c r="W280" t="s">
        <v>58</v>
      </c>
      <c r="X280" t="s">
        <v>40</v>
      </c>
      <c r="Y280">
        <v>15</v>
      </c>
      <c r="Z280" t="str">
        <f t="shared" si="63"/>
        <v>Bad Employee</v>
      </c>
      <c r="AA280" t="b">
        <f t="shared" si="64"/>
        <v>0</v>
      </c>
      <c r="AB280" t="b">
        <f>OR(Y280&gt;20, T280&gt;6)</f>
        <v>0</v>
      </c>
      <c r="AC280" t="str">
        <f>IF(OR(Y280&gt;20,T280&gt;6), "Good employee", "Bad Employee")</f>
        <v>Bad Employee</v>
      </c>
      <c r="AD280" t="s">
        <v>28</v>
      </c>
      <c r="AE280" t="s">
        <v>62</v>
      </c>
      <c r="AF280">
        <v>1</v>
      </c>
      <c r="AG280">
        <v>2020</v>
      </c>
      <c r="AH280" t="s">
        <v>30</v>
      </c>
      <c r="AI280">
        <v>62</v>
      </c>
      <c r="AJ280">
        <v>3.9</v>
      </c>
    </row>
    <row r="281" spans="1:36" x14ac:dyDescent="0.25">
      <c r="A281">
        <v>10280</v>
      </c>
      <c r="B281" t="s">
        <v>60</v>
      </c>
      <c r="C281" t="s">
        <v>61</v>
      </c>
      <c r="D281" t="s">
        <v>52</v>
      </c>
      <c r="E281" t="str">
        <f t="shared" si="52"/>
        <v>Jane Smith is in Operations Department</v>
      </c>
      <c r="F281" s="6" t="str">
        <f t="shared" si="53"/>
        <v>janesmith@gmail.com</v>
      </c>
      <c r="G281">
        <v>71335</v>
      </c>
      <c r="H281" t="str">
        <f t="shared" si="54"/>
        <v>Medium</v>
      </c>
      <c r="I281" s="3">
        <v>36892</v>
      </c>
      <c r="J281">
        <f t="shared" si="55"/>
        <v>2001</v>
      </c>
      <c r="K281">
        <f t="shared" si="56"/>
        <v>1</v>
      </c>
      <c r="L281">
        <f t="shared" si="57"/>
        <v>1</v>
      </c>
      <c r="M281" s="3">
        <f t="shared" ca="1" si="58"/>
        <v>46100</v>
      </c>
      <c r="N281">
        <f t="shared" ca="1" si="59"/>
        <v>9208</v>
      </c>
      <c r="O281">
        <f t="shared" ca="1" si="60"/>
        <v>9208</v>
      </c>
      <c r="P281">
        <f t="shared" ca="1" si="61"/>
        <v>6579</v>
      </c>
      <c r="Q281">
        <v>62</v>
      </c>
      <c r="R281" t="str">
        <f t="shared" si="62"/>
        <v>Old</v>
      </c>
      <c r="S281" t="s">
        <v>24</v>
      </c>
      <c r="T281">
        <v>8</v>
      </c>
      <c r="U281" t="s">
        <v>45</v>
      </c>
      <c r="V281">
        <v>4560.95</v>
      </c>
      <c r="W281" t="s">
        <v>26</v>
      </c>
      <c r="X281" t="s">
        <v>47</v>
      </c>
      <c r="Y281">
        <v>26</v>
      </c>
      <c r="Z281" t="str">
        <f t="shared" si="63"/>
        <v>Good Employee</v>
      </c>
      <c r="AA281" t="b">
        <f t="shared" si="64"/>
        <v>1</v>
      </c>
      <c r="AB281" t="b">
        <f>OR(Y281&gt;20, T281&gt;6)</f>
        <v>1</v>
      </c>
      <c r="AC281" t="str">
        <f>IF(OR(Y281&gt;20,T281&gt;6), "Good employee", "Bad Employee")</f>
        <v>Good employee</v>
      </c>
      <c r="AD281" t="s">
        <v>41</v>
      </c>
      <c r="AE281" t="s">
        <v>37</v>
      </c>
      <c r="AF281">
        <v>12</v>
      </c>
      <c r="AG281">
        <v>2011</v>
      </c>
      <c r="AH281" t="s">
        <v>43</v>
      </c>
      <c r="AI281">
        <v>28</v>
      </c>
      <c r="AJ281">
        <v>2.2000000000000002</v>
      </c>
    </row>
    <row r="282" spans="1:36" x14ac:dyDescent="0.25">
      <c r="A282">
        <v>10281</v>
      </c>
      <c r="B282" t="s">
        <v>31</v>
      </c>
      <c r="C282" t="s">
        <v>51</v>
      </c>
      <c r="D282" t="s">
        <v>39</v>
      </c>
      <c r="E282" t="str">
        <f t="shared" si="52"/>
        <v>Emily Brown is in IT Department</v>
      </c>
      <c r="F282" s="6" t="str">
        <f t="shared" si="53"/>
        <v>emilybrown@gmail.com</v>
      </c>
      <c r="G282">
        <v>104469</v>
      </c>
      <c r="H282" t="str">
        <f t="shared" si="54"/>
        <v>High</v>
      </c>
      <c r="I282" s="3">
        <v>39353</v>
      </c>
      <c r="J282">
        <f t="shared" si="55"/>
        <v>2007</v>
      </c>
      <c r="K282">
        <f t="shared" si="56"/>
        <v>9</v>
      </c>
      <c r="L282">
        <f t="shared" si="57"/>
        <v>28</v>
      </c>
      <c r="M282" s="3">
        <f t="shared" ca="1" si="58"/>
        <v>46100</v>
      </c>
      <c r="N282">
        <f t="shared" ca="1" si="59"/>
        <v>6747</v>
      </c>
      <c r="O282">
        <f t="shared" ca="1" si="60"/>
        <v>6747</v>
      </c>
      <c r="P282">
        <f t="shared" ca="1" si="61"/>
        <v>4820</v>
      </c>
      <c r="Q282">
        <v>22</v>
      </c>
      <c r="R282" t="str">
        <f t="shared" si="62"/>
        <v>Young</v>
      </c>
      <c r="S282" t="s">
        <v>34</v>
      </c>
      <c r="T282">
        <v>8</v>
      </c>
      <c r="U282" t="s">
        <v>45</v>
      </c>
      <c r="V282">
        <v>8481.31</v>
      </c>
      <c r="W282" t="s">
        <v>58</v>
      </c>
      <c r="X282" t="s">
        <v>40</v>
      </c>
      <c r="Y282">
        <v>37</v>
      </c>
      <c r="Z282" t="str">
        <f t="shared" si="63"/>
        <v>Good Employee</v>
      </c>
      <c r="AA282" t="b">
        <f t="shared" si="64"/>
        <v>1</v>
      </c>
      <c r="AB282" t="b">
        <f>OR(Y282&gt;20, T282&gt;6)</f>
        <v>1</v>
      </c>
      <c r="AC282" t="str">
        <f>IF(OR(Y282&gt;20,T282&gt;6), "Good employee", "Bad Employee")</f>
        <v>Good employee</v>
      </c>
      <c r="AD282" t="s">
        <v>28</v>
      </c>
      <c r="AE282" t="s">
        <v>62</v>
      </c>
      <c r="AF282">
        <v>15</v>
      </c>
      <c r="AG282">
        <v>2016</v>
      </c>
      <c r="AH282" t="s">
        <v>49</v>
      </c>
      <c r="AI282">
        <v>171</v>
      </c>
      <c r="AJ282">
        <v>4.5999999999999996</v>
      </c>
    </row>
    <row r="283" spans="1:36" x14ac:dyDescent="0.25">
      <c r="A283">
        <v>10282</v>
      </c>
      <c r="B283" t="s">
        <v>31</v>
      </c>
      <c r="C283" t="s">
        <v>57</v>
      </c>
      <c r="D283" t="s">
        <v>44</v>
      </c>
      <c r="E283" t="str">
        <f t="shared" si="52"/>
        <v>Emily Davis is in Sales Department</v>
      </c>
      <c r="F283" s="6" t="str">
        <f t="shared" si="53"/>
        <v>emilydavis@gmail.com</v>
      </c>
      <c r="G283">
        <v>55816</v>
      </c>
      <c r="H283" t="str">
        <f t="shared" si="54"/>
        <v>Medium</v>
      </c>
      <c r="I283" s="3">
        <v>37778</v>
      </c>
      <c r="J283">
        <f t="shared" si="55"/>
        <v>2003</v>
      </c>
      <c r="K283">
        <f t="shared" si="56"/>
        <v>6</v>
      </c>
      <c r="L283">
        <f t="shared" si="57"/>
        <v>6</v>
      </c>
      <c r="M283" s="3">
        <f t="shared" ca="1" si="58"/>
        <v>46100</v>
      </c>
      <c r="N283">
        <f t="shared" ca="1" si="59"/>
        <v>8322</v>
      </c>
      <c r="O283">
        <f t="shared" ca="1" si="60"/>
        <v>8322</v>
      </c>
      <c r="P283">
        <f t="shared" ca="1" si="61"/>
        <v>5945</v>
      </c>
      <c r="Q283">
        <v>26</v>
      </c>
      <c r="R283" t="str">
        <f t="shared" si="62"/>
        <v>Young</v>
      </c>
      <c r="S283" t="s">
        <v>24</v>
      </c>
      <c r="T283">
        <v>1</v>
      </c>
      <c r="U283" t="s">
        <v>25</v>
      </c>
      <c r="V283">
        <v>5542.24</v>
      </c>
      <c r="W283" t="s">
        <v>58</v>
      </c>
      <c r="X283" t="s">
        <v>55</v>
      </c>
      <c r="Y283">
        <v>25</v>
      </c>
      <c r="Z283" t="str">
        <f t="shared" si="63"/>
        <v>Bad Employee</v>
      </c>
      <c r="AA283" t="b">
        <f t="shared" si="64"/>
        <v>0</v>
      </c>
      <c r="AB283" t="b">
        <f>OR(Y283&gt;20, T283&gt;6)</f>
        <v>1</v>
      </c>
      <c r="AC283" t="str">
        <f>IF(OR(Y283&gt;20,T283&gt;6), "Good employee", "Bad Employee")</f>
        <v>Good employee</v>
      </c>
      <c r="AD283" t="s">
        <v>41</v>
      </c>
      <c r="AE283" t="s">
        <v>37</v>
      </c>
      <c r="AF283">
        <v>0</v>
      </c>
      <c r="AG283">
        <v>2016</v>
      </c>
      <c r="AH283" t="s">
        <v>30</v>
      </c>
      <c r="AI283">
        <v>65</v>
      </c>
      <c r="AJ283">
        <v>4.8</v>
      </c>
    </row>
    <row r="284" spans="1:36" x14ac:dyDescent="0.25">
      <c r="A284">
        <v>10283</v>
      </c>
      <c r="B284" t="s">
        <v>64</v>
      </c>
      <c r="C284" t="s">
        <v>32</v>
      </c>
      <c r="D284" t="s">
        <v>54</v>
      </c>
      <c r="E284" t="str">
        <f t="shared" si="52"/>
        <v>Katie Wilson is in Finance Department</v>
      </c>
      <c r="F284" s="6" t="str">
        <f t="shared" si="53"/>
        <v>katiewilson@gmail.com</v>
      </c>
      <c r="G284">
        <v>45619</v>
      </c>
      <c r="H284" t="str">
        <f t="shared" si="54"/>
        <v>low</v>
      </c>
      <c r="I284" s="3">
        <v>39013</v>
      </c>
      <c r="J284">
        <f t="shared" si="55"/>
        <v>2006</v>
      </c>
      <c r="K284">
        <f t="shared" si="56"/>
        <v>10</v>
      </c>
      <c r="L284">
        <f t="shared" si="57"/>
        <v>23</v>
      </c>
      <c r="M284" s="3">
        <f t="shared" ca="1" si="58"/>
        <v>46100</v>
      </c>
      <c r="N284">
        <f t="shared" ca="1" si="59"/>
        <v>7087</v>
      </c>
      <c r="O284">
        <f t="shared" ca="1" si="60"/>
        <v>7087</v>
      </c>
      <c r="P284">
        <f t="shared" ca="1" si="61"/>
        <v>5064</v>
      </c>
      <c r="Q284">
        <v>62</v>
      </c>
      <c r="R284" t="str">
        <f t="shared" si="62"/>
        <v>Old</v>
      </c>
      <c r="S284" t="s">
        <v>34</v>
      </c>
      <c r="T284">
        <v>9</v>
      </c>
      <c r="U284" t="s">
        <v>45</v>
      </c>
      <c r="V284">
        <v>7766.14</v>
      </c>
      <c r="W284" t="s">
        <v>46</v>
      </c>
      <c r="X284" t="s">
        <v>27</v>
      </c>
      <c r="Y284">
        <v>2</v>
      </c>
      <c r="Z284" t="str">
        <f t="shared" si="63"/>
        <v>Bad Employee</v>
      </c>
      <c r="AA284" t="b">
        <f t="shared" si="64"/>
        <v>0</v>
      </c>
      <c r="AB284" t="b">
        <f>OR(Y284&gt;20, T284&gt;6)</f>
        <v>1</v>
      </c>
      <c r="AC284" t="str">
        <f>IF(OR(Y284&gt;20,T284&gt;6), "Good employee", "Bad Employee")</f>
        <v>Good employee</v>
      </c>
      <c r="AD284" t="s">
        <v>28</v>
      </c>
      <c r="AE284" t="s">
        <v>62</v>
      </c>
      <c r="AF284">
        <v>18</v>
      </c>
      <c r="AG284">
        <v>2014</v>
      </c>
      <c r="AH284" t="s">
        <v>49</v>
      </c>
      <c r="AI284">
        <v>131</v>
      </c>
      <c r="AJ284">
        <v>4.7</v>
      </c>
    </row>
    <row r="285" spans="1:36" x14ac:dyDescent="0.25">
      <c r="A285">
        <v>10284</v>
      </c>
      <c r="B285" t="s">
        <v>21</v>
      </c>
      <c r="C285" t="s">
        <v>57</v>
      </c>
      <c r="D285" t="s">
        <v>52</v>
      </c>
      <c r="E285" t="str">
        <f t="shared" si="52"/>
        <v>Michael Davis is in Operations Department</v>
      </c>
      <c r="F285" s="6" t="str">
        <f t="shared" si="53"/>
        <v>michaeldavis@gmail.com</v>
      </c>
      <c r="G285">
        <v>56819</v>
      </c>
      <c r="H285" t="str">
        <f t="shared" si="54"/>
        <v>Medium</v>
      </c>
      <c r="I285" s="3">
        <v>41311</v>
      </c>
      <c r="J285">
        <f t="shared" si="55"/>
        <v>2013</v>
      </c>
      <c r="K285">
        <f t="shared" si="56"/>
        <v>2</v>
      </c>
      <c r="L285">
        <f t="shared" si="57"/>
        <v>6</v>
      </c>
      <c r="M285" s="3">
        <f t="shared" ca="1" si="58"/>
        <v>46100</v>
      </c>
      <c r="N285">
        <f t="shared" ca="1" si="59"/>
        <v>4789</v>
      </c>
      <c r="O285">
        <f t="shared" ca="1" si="60"/>
        <v>4789</v>
      </c>
      <c r="P285">
        <f t="shared" ca="1" si="61"/>
        <v>3422</v>
      </c>
      <c r="Q285">
        <v>41</v>
      </c>
      <c r="R285" t="str">
        <f t="shared" si="62"/>
        <v>Old</v>
      </c>
      <c r="S285" t="s">
        <v>24</v>
      </c>
      <c r="T285">
        <v>9</v>
      </c>
      <c r="U285" t="s">
        <v>25</v>
      </c>
      <c r="V285">
        <v>1246.43</v>
      </c>
      <c r="W285" t="s">
        <v>58</v>
      </c>
      <c r="X285" t="s">
        <v>36</v>
      </c>
      <c r="Y285">
        <v>12</v>
      </c>
      <c r="Z285" t="str">
        <f t="shared" si="63"/>
        <v>Bad Employee</v>
      </c>
      <c r="AA285" t="b">
        <f t="shared" si="64"/>
        <v>0</v>
      </c>
      <c r="AB285" t="b">
        <f>OR(Y285&gt;20, T285&gt;6)</f>
        <v>1</v>
      </c>
      <c r="AC285" t="str">
        <f>IF(OR(Y285&gt;20,T285&gt;6), "Good employee", "Bad Employee")</f>
        <v>Good employee</v>
      </c>
      <c r="AD285" t="s">
        <v>28</v>
      </c>
      <c r="AE285" t="s">
        <v>42</v>
      </c>
      <c r="AF285">
        <v>3</v>
      </c>
      <c r="AG285">
        <v>2014</v>
      </c>
      <c r="AH285" t="s">
        <v>49</v>
      </c>
      <c r="AI285">
        <v>52</v>
      </c>
      <c r="AJ285">
        <v>1.2</v>
      </c>
    </row>
    <row r="286" spans="1:36" x14ac:dyDescent="0.25">
      <c r="A286">
        <v>10285</v>
      </c>
      <c r="B286" t="s">
        <v>60</v>
      </c>
      <c r="C286" t="s">
        <v>57</v>
      </c>
      <c r="D286" t="s">
        <v>39</v>
      </c>
      <c r="E286" t="str">
        <f t="shared" si="52"/>
        <v>Jane Davis is in IT Department</v>
      </c>
      <c r="F286" s="6" t="str">
        <f t="shared" si="53"/>
        <v>janedavis@gmail.com</v>
      </c>
      <c r="G286">
        <v>41741</v>
      </c>
      <c r="H286" t="str">
        <f t="shared" si="54"/>
        <v>low</v>
      </c>
      <c r="I286" s="3">
        <v>40129</v>
      </c>
      <c r="J286">
        <f t="shared" si="55"/>
        <v>2009</v>
      </c>
      <c r="K286">
        <f t="shared" si="56"/>
        <v>11</v>
      </c>
      <c r="L286">
        <f t="shared" si="57"/>
        <v>12</v>
      </c>
      <c r="M286" s="3">
        <f t="shared" ca="1" si="58"/>
        <v>46100</v>
      </c>
      <c r="N286">
        <f t="shared" ca="1" si="59"/>
        <v>5971</v>
      </c>
      <c r="O286">
        <f t="shared" ca="1" si="60"/>
        <v>5971</v>
      </c>
      <c r="P286">
        <f t="shared" ca="1" si="61"/>
        <v>4266</v>
      </c>
      <c r="Q286">
        <v>26</v>
      </c>
      <c r="R286" t="str">
        <f t="shared" si="62"/>
        <v>Young</v>
      </c>
      <c r="S286" t="s">
        <v>24</v>
      </c>
      <c r="T286">
        <v>2</v>
      </c>
      <c r="U286" t="s">
        <v>45</v>
      </c>
      <c r="V286">
        <v>6105.25</v>
      </c>
      <c r="W286" t="s">
        <v>35</v>
      </c>
      <c r="X286" t="s">
        <v>36</v>
      </c>
      <c r="Y286">
        <v>19</v>
      </c>
      <c r="Z286" t="str">
        <f t="shared" si="63"/>
        <v>Bad Employee</v>
      </c>
      <c r="AA286" t="b">
        <f t="shared" si="64"/>
        <v>0</v>
      </c>
      <c r="AB286" t="b">
        <f>OR(Y286&gt;20, T286&gt;6)</f>
        <v>0</v>
      </c>
      <c r="AC286" t="str">
        <f>IF(OR(Y286&gt;20,T286&gt;6), "Good employee", "Bad Employee")</f>
        <v>Bad Employee</v>
      </c>
      <c r="AD286" t="s">
        <v>41</v>
      </c>
      <c r="AE286" t="s">
        <v>62</v>
      </c>
      <c r="AF286">
        <v>19</v>
      </c>
      <c r="AG286">
        <v>2017</v>
      </c>
      <c r="AH286" t="s">
        <v>30</v>
      </c>
      <c r="AI286">
        <v>182</v>
      </c>
      <c r="AJ286">
        <v>3.4</v>
      </c>
    </row>
    <row r="287" spans="1:36" x14ac:dyDescent="0.25">
      <c r="A287">
        <v>10286</v>
      </c>
      <c r="B287" t="s">
        <v>50</v>
      </c>
      <c r="C287" t="s">
        <v>65</v>
      </c>
      <c r="D287" t="s">
        <v>54</v>
      </c>
      <c r="E287" t="str">
        <f t="shared" si="52"/>
        <v>Alex Johnson is in Finance Department</v>
      </c>
      <c r="F287" s="6" t="str">
        <f t="shared" si="53"/>
        <v>alexjohnson@gmail.com</v>
      </c>
      <c r="G287">
        <v>38798</v>
      </c>
      <c r="H287" t="str">
        <f t="shared" si="54"/>
        <v>extremely low</v>
      </c>
      <c r="I287" s="3">
        <v>40047</v>
      </c>
      <c r="J287">
        <f t="shared" si="55"/>
        <v>2009</v>
      </c>
      <c r="K287">
        <f t="shared" si="56"/>
        <v>8</v>
      </c>
      <c r="L287">
        <f t="shared" si="57"/>
        <v>22</v>
      </c>
      <c r="M287" s="3">
        <f t="shared" ca="1" si="58"/>
        <v>46100</v>
      </c>
      <c r="N287">
        <f t="shared" ca="1" si="59"/>
        <v>6053</v>
      </c>
      <c r="O287">
        <f t="shared" ca="1" si="60"/>
        <v>6053</v>
      </c>
      <c r="P287">
        <f t="shared" ca="1" si="61"/>
        <v>4324</v>
      </c>
      <c r="Q287">
        <v>57</v>
      </c>
      <c r="R287" t="str">
        <f t="shared" si="62"/>
        <v>Old</v>
      </c>
      <c r="S287" t="s">
        <v>34</v>
      </c>
      <c r="T287">
        <v>2</v>
      </c>
      <c r="U287" t="s">
        <v>45</v>
      </c>
      <c r="V287">
        <v>5727.7</v>
      </c>
      <c r="W287" t="s">
        <v>46</v>
      </c>
      <c r="X287" t="s">
        <v>40</v>
      </c>
      <c r="Y287">
        <v>32</v>
      </c>
      <c r="Z287" t="str">
        <f t="shared" si="63"/>
        <v>Bad Employee</v>
      </c>
      <c r="AA287" t="b">
        <f t="shared" si="64"/>
        <v>0</v>
      </c>
      <c r="AB287" t="b">
        <f>OR(Y287&gt;20, T287&gt;6)</f>
        <v>1</v>
      </c>
      <c r="AC287" t="str">
        <f>IF(OR(Y287&gt;20,T287&gt;6), "Good employee", "Bad Employee")</f>
        <v>Good employee</v>
      </c>
      <c r="AD287" t="s">
        <v>28</v>
      </c>
      <c r="AE287" t="s">
        <v>42</v>
      </c>
      <c r="AF287">
        <v>2</v>
      </c>
      <c r="AG287">
        <v>2015</v>
      </c>
      <c r="AH287" t="s">
        <v>43</v>
      </c>
      <c r="AI287">
        <v>66</v>
      </c>
      <c r="AJ287">
        <v>3.6</v>
      </c>
    </row>
    <row r="288" spans="1:36" x14ac:dyDescent="0.25">
      <c r="A288">
        <v>10287</v>
      </c>
      <c r="B288" t="s">
        <v>66</v>
      </c>
      <c r="C288" t="s">
        <v>61</v>
      </c>
      <c r="D288" t="s">
        <v>54</v>
      </c>
      <c r="E288" t="str">
        <f t="shared" si="52"/>
        <v>John Smith is in Finance Department</v>
      </c>
      <c r="F288" s="6" t="str">
        <f t="shared" si="53"/>
        <v>johnsmith@gmail.com</v>
      </c>
      <c r="G288">
        <v>55143</v>
      </c>
      <c r="H288" t="str">
        <f t="shared" si="54"/>
        <v>Medium</v>
      </c>
      <c r="I288" s="3">
        <v>41681</v>
      </c>
      <c r="J288">
        <f t="shared" si="55"/>
        <v>2014</v>
      </c>
      <c r="K288">
        <f t="shared" si="56"/>
        <v>2</v>
      </c>
      <c r="L288">
        <f t="shared" si="57"/>
        <v>11</v>
      </c>
      <c r="M288" s="3">
        <f t="shared" ca="1" si="58"/>
        <v>46100</v>
      </c>
      <c r="N288">
        <f t="shared" ca="1" si="59"/>
        <v>4419</v>
      </c>
      <c r="O288">
        <f t="shared" ca="1" si="60"/>
        <v>4419</v>
      </c>
      <c r="P288">
        <f t="shared" ca="1" si="61"/>
        <v>3158</v>
      </c>
      <c r="Q288">
        <v>50</v>
      </c>
      <c r="R288" t="str">
        <f t="shared" si="62"/>
        <v>Old</v>
      </c>
      <c r="S288" t="s">
        <v>34</v>
      </c>
      <c r="T288">
        <v>8</v>
      </c>
      <c r="U288" t="s">
        <v>45</v>
      </c>
      <c r="V288">
        <v>6294.78</v>
      </c>
      <c r="W288" t="s">
        <v>58</v>
      </c>
      <c r="X288" t="s">
        <v>40</v>
      </c>
      <c r="Y288">
        <v>23</v>
      </c>
      <c r="Z288" t="str">
        <f t="shared" si="63"/>
        <v>Good Employee</v>
      </c>
      <c r="AA288" t="b">
        <f t="shared" si="64"/>
        <v>1</v>
      </c>
      <c r="AB288" t="b">
        <f>OR(Y288&gt;20, T288&gt;6)</f>
        <v>1</v>
      </c>
      <c r="AC288" t="str">
        <f>IF(OR(Y288&gt;20,T288&gt;6), "Good employee", "Bad Employee")</f>
        <v>Good employee</v>
      </c>
      <c r="AD288" t="s">
        <v>56</v>
      </c>
      <c r="AE288" t="s">
        <v>48</v>
      </c>
      <c r="AF288">
        <v>1</v>
      </c>
      <c r="AG288">
        <v>2010</v>
      </c>
      <c r="AH288" t="s">
        <v>30</v>
      </c>
      <c r="AI288">
        <v>185</v>
      </c>
      <c r="AJ288">
        <v>2.2000000000000002</v>
      </c>
    </row>
    <row r="289" spans="1:36" x14ac:dyDescent="0.25">
      <c r="A289">
        <v>10288</v>
      </c>
      <c r="B289" t="s">
        <v>38</v>
      </c>
      <c r="C289" t="s">
        <v>32</v>
      </c>
      <c r="D289" t="s">
        <v>52</v>
      </c>
      <c r="E289" t="str">
        <f t="shared" si="52"/>
        <v>Chris Wilson is in Operations Department</v>
      </c>
      <c r="F289" s="6" t="str">
        <f t="shared" si="53"/>
        <v>chriswilson@gmail.com</v>
      </c>
      <c r="G289">
        <v>79695</v>
      </c>
      <c r="H289" t="str">
        <f t="shared" si="54"/>
        <v>Medium</v>
      </c>
      <c r="I289" s="3">
        <v>41468</v>
      </c>
      <c r="J289">
        <f t="shared" si="55"/>
        <v>2013</v>
      </c>
      <c r="K289">
        <f t="shared" si="56"/>
        <v>7</v>
      </c>
      <c r="L289">
        <f t="shared" si="57"/>
        <v>13</v>
      </c>
      <c r="M289" s="3">
        <f t="shared" ca="1" si="58"/>
        <v>46100</v>
      </c>
      <c r="N289">
        <f t="shared" ca="1" si="59"/>
        <v>4632</v>
      </c>
      <c r="O289">
        <f t="shared" ca="1" si="60"/>
        <v>4632</v>
      </c>
      <c r="P289">
        <f t="shared" ca="1" si="61"/>
        <v>3309</v>
      </c>
      <c r="Q289">
        <v>55</v>
      </c>
      <c r="R289" t="str">
        <f t="shared" si="62"/>
        <v>Old</v>
      </c>
      <c r="S289" t="s">
        <v>24</v>
      </c>
      <c r="T289">
        <v>6</v>
      </c>
      <c r="U289" t="s">
        <v>25</v>
      </c>
      <c r="V289">
        <v>7108.6</v>
      </c>
      <c r="W289" t="s">
        <v>35</v>
      </c>
      <c r="X289" t="s">
        <v>40</v>
      </c>
      <c r="Y289">
        <v>5</v>
      </c>
      <c r="Z289" t="str">
        <f t="shared" si="63"/>
        <v>Bad Employee</v>
      </c>
      <c r="AA289" t="b">
        <f t="shared" si="64"/>
        <v>0</v>
      </c>
      <c r="AB289" t="b">
        <f>OR(Y289&gt;20, T289&gt;6)</f>
        <v>0</v>
      </c>
      <c r="AC289" t="str">
        <f>IF(OR(Y289&gt;20,T289&gt;6), "Good employee", "Bad Employee")</f>
        <v>Bad Employee</v>
      </c>
      <c r="AD289" t="s">
        <v>41</v>
      </c>
      <c r="AE289" t="s">
        <v>59</v>
      </c>
      <c r="AF289">
        <v>11</v>
      </c>
      <c r="AG289">
        <v>2020</v>
      </c>
      <c r="AH289" t="s">
        <v>49</v>
      </c>
      <c r="AI289">
        <v>153</v>
      </c>
      <c r="AJ289">
        <v>5</v>
      </c>
    </row>
    <row r="290" spans="1:36" x14ac:dyDescent="0.25">
      <c r="A290">
        <v>10289</v>
      </c>
      <c r="B290" t="s">
        <v>66</v>
      </c>
      <c r="C290" t="s">
        <v>51</v>
      </c>
      <c r="D290" t="s">
        <v>39</v>
      </c>
      <c r="E290" t="str">
        <f t="shared" si="52"/>
        <v>John Brown is in IT Department</v>
      </c>
      <c r="F290" s="6" t="str">
        <f t="shared" si="53"/>
        <v>johnbrown@gmail.com</v>
      </c>
      <c r="G290">
        <v>62747</v>
      </c>
      <c r="H290" t="str">
        <f t="shared" si="54"/>
        <v>Medium</v>
      </c>
      <c r="I290" s="3">
        <v>41043</v>
      </c>
      <c r="J290">
        <f t="shared" si="55"/>
        <v>2012</v>
      </c>
      <c r="K290">
        <f t="shared" si="56"/>
        <v>5</v>
      </c>
      <c r="L290">
        <f t="shared" si="57"/>
        <v>14</v>
      </c>
      <c r="M290" s="3">
        <f t="shared" ca="1" si="58"/>
        <v>46100</v>
      </c>
      <c r="N290">
        <f t="shared" ca="1" si="59"/>
        <v>5057</v>
      </c>
      <c r="O290">
        <f t="shared" ca="1" si="60"/>
        <v>5057</v>
      </c>
      <c r="P290">
        <f t="shared" ca="1" si="61"/>
        <v>3614</v>
      </c>
      <c r="Q290">
        <v>39</v>
      </c>
      <c r="R290" t="str">
        <f t="shared" si="62"/>
        <v>Old</v>
      </c>
      <c r="S290" t="s">
        <v>34</v>
      </c>
      <c r="T290">
        <v>3</v>
      </c>
      <c r="U290" t="s">
        <v>45</v>
      </c>
      <c r="V290">
        <v>9222.0400000000009</v>
      </c>
      <c r="W290" t="s">
        <v>35</v>
      </c>
      <c r="X290" t="s">
        <v>55</v>
      </c>
      <c r="Y290">
        <v>25</v>
      </c>
      <c r="Z290" t="str">
        <f t="shared" si="63"/>
        <v>Bad Employee</v>
      </c>
      <c r="AA290" t="b">
        <f t="shared" si="64"/>
        <v>0</v>
      </c>
      <c r="AB290" t="b">
        <f>OR(Y290&gt;20, T290&gt;6)</f>
        <v>1</v>
      </c>
      <c r="AC290" t="str">
        <f>IF(OR(Y290&gt;20,T290&gt;6), "Good employee", "Bad Employee")</f>
        <v>Good employee</v>
      </c>
      <c r="AD290" t="s">
        <v>56</v>
      </c>
      <c r="AE290" t="s">
        <v>29</v>
      </c>
      <c r="AF290">
        <v>12</v>
      </c>
      <c r="AG290">
        <v>2023</v>
      </c>
      <c r="AH290" t="s">
        <v>49</v>
      </c>
      <c r="AI290">
        <v>42</v>
      </c>
      <c r="AJ290">
        <v>2.2000000000000002</v>
      </c>
    </row>
    <row r="291" spans="1:36" x14ac:dyDescent="0.25">
      <c r="A291">
        <v>10290</v>
      </c>
      <c r="B291" t="s">
        <v>53</v>
      </c>
      <c r="C291" t="s">
        <v>65</v>
      </c>
      <c r="D291" t="s">
        <v>44</v>
      </c>
      <c r="E291" t="str">
        <f t="shared" si="52"/>
        <v>Sarah Johnson is in Sales Department</v>
      </c>
      <c r="F291" s="6" t="str">
        <f t="shared" si="53"/>
        <v>sarahjohnson@gmail.com</v>
      </c>
      <c r="G291">
        <v>51182</v>
      </c>
      <c r="H291" t="str">
        <f t="shared" si="54"/>
        <v>Medium</v>
      </c>
      <c r="I291" s="3">
        <v>38169</v>
      </c>
      <c r="J291">
        <f t="shared" si="55"/>
        <v>2004</v>
      </c>
      <c r="K291">
        <f t="shared" si="56"/>
        <v>7</v>
      </c>
      <c r="L291">
        <f t="shared" si="57"/>
        <v>1</v>
      </c>
      <c r="M291" s="3">
        <f t="shared" ca="1" si="58"/>
        <v>46100</v>
      </c>
      <c r="N291">
        <f t="shared" ca="1" si="59"/>
        <v>7931</v>
      </c>
      <c r="O291">
        <f t="shared" ca="1" si="60"/>
        <v>7931</v>
      </c>
      <c r="P291">
        <f t="shared" ca="1" si="61"/>
        <v>5666</v>
      </c>
      <c r="Q291">
        <v>23</v>
      </c>
      <c r="R291" t="str">
        <f t="shared" si="62"/>
        <v>Young</v>
      </c>
      <c r="S291" t="s">
        <v>24</v>
      </c>
      <c r="T291">
        <v>2</v>
      </c>
      <c r="U291" t="s">
        <v>45</v>
      </c>
      <c r="V291">
        <v>7963.98</v>
      </c>
      <c r="W291" t="s">
        <v>26</v>
      </c>
      <c r="X291" t="s">
        <v>55</v>
      </c>
      <c r="Y291">
        <v>35</v>
      </c>
      <c r="Z291" t="str">
        <f t="shared" si="63"/>
        <v>Bad Employee</v>
      </c>
      <c r="AA291" t="b">
        <f t="shared" si="64"/>
        <v>0</v>
      </c>
      <c r="AB291" t="b">
        <f>OR(Y291&gt;20, T291&gt;6)</f>
        <v>1</v>
      </c>
      <c r="AC291" t="str">
        <f>IF(OR(Y291&gt;20,T291&gt;6), "Good employee", "Bad Employee")</f>
        <v>Good employee</v>
      </c>
      <c r="AD291" t="s">
        <v>28</v>
      </c>
      <c r="AE291" t="s">
        <v>62</v>
      </c>
      <c r="AF291">
        <v>17</v>
      </c>
      <c r="AG291">
        <v>2021</v>
      </c>
      <c r="AH291" t="s">
        <v>49</v>
      </c>
      <c r="AI291">
        <v>122</v>
      </c>
      <c r="AJ291">
        <v>1.9</v>
      </c>
    </row>
    <row r="292" spans="1:36" x14ac:dyDescent="0.25">
      <c r="A292">
        <v>10291</v>
      </c>
      <c r="B292" t="s">
        <v>66</v>
      </c>
      <c r="C292" t="s">
        <v>22</v>
      </c>
      <c r="D292" t="s">
        <v>52</v>
      </c>
      <c r="E292" t="str">
        <f t="shared" si="52"/>
        <v>John Williams is in Operations Department</v>
      </c>
      <c r="F292" s="6" t="str">
        <f t="shared" si="53"/>
        <v>johnwilliams@gmail.com</v>
      </c>
      <c r="G292">
        <v>39415</v>
      </c>
      <c r="H292" t="str">
        <f t="shared" si="54"/>
        <v>extremely low</v>
      </c>
      <c r="I292" s="3">
        <v>37738</v>
      </c>
      <c r="J292">
        <f t="shared" si="55"/>
        <v>2003</v>
      </c>
      <c r="K292">
        <f t="shared" si="56"/>
        <v>4</v>
      </c>
      <c r="L292">
        <f t="shared" si="57"/>
        <v>27</v>
      </c>
      <c r="M292" s="3">
        <f t="shared" ca="1" si="58"/>
        <v>46100</v>
      </c>
      <c r="N292">
        <f t="shared" ca="1" si="59"/>
        <v>8362</v>
      </c>
      <c r="O292">
        <f t="shared" ca="1" si="60"/>
        <v>8362</v>
      </c>
      <c r="P292">
        <f t="shared" ca="1" si="61"/>
        <v>5974</v>
      </c>
      <c r="Q292">
        <v>37</v>
      </c>
      <c r="R292" t="str">
        <f t="shared" si="62"/>
        <v>Old</v>
      </c>
      <c r="S292" t="s">
        <v>34</v>
      </c>
      <c r="T292">
        <v>5</v>
      </c>
      <c r="U292" t="s">
        <v>25</v>
      </c>
      <c r="V292">
        <v>2586.56</v>
      </c>
      <c r="W292" t="s">
        <v>46</v>
      </c>
      <c r="X292" t="s">
        <v>27</v>
      </c>
      <c r="Y292">
        <v>29</v>
      </c>
      <c r="Z292" t="str">
        <f t="shared" si="63"/>
        <v>Bad Employee</v>
      </c>
      <c r="AA292" t="b">
        <f t="shared" si="64"/>
        <v>0</v>
      </c>
      <c r="AB292" t="b">
        <f>OR(Y292&gt;20, T292&gt;6)</f>
        <v>1</v>
      </c>
      <c r="AC292" t="str">
        <f>IF(OR(Y292&gt;20,T292&gt;6), "Good employee", "Bad Employee")</f>
        <v>Good employee</v>
      </c>
      <c r="AD292" t="s">
        <v>28</v>
      </c>
      <c r="AE292" t="s">
        <v>42</v>
      </c>
      <c r="AF292">
        <v>4</v>
      </c>
      <c r="AG292">
        <v>2013</v>
      </c>
      <c r="AH292" t="s">
        <v>30</v>
      </c>
      <c r="AI292">
        <v>63</v>
      </c>
      <c r="AJ292">
        <v>2.9</v>
      </c>
    </row>
    <row r="293" spans="1:36" x14ac:dyDescent="0.25">
      <c r="A293">
        <v>10292</v>
      </c>
      <c r="B293" t="s">
        <v>50</v>
      </c>
      <c r="C293" t="s">
        <v>51</v>
      </c>
      <c r="D293" t="s">
        <v>33</v>
      </c>
      <c r="E293" t="str">
        <f t="shared" si="52"/>
        <v>Alex Brown is in Marketing Department</v>
      </c>
      <c r="F293" s="6" t="str">
        <f t="shared" si="53"/>
        <v>alexbrown@gmail.com</v>
      </c>
      <c r="G293">
        <v>41085</v>
      </c>
      <c r="H293" t="str">
        <f t="shared" si="54"/>
        <v>low</v>
      </c>
      <c r="I293" s="3">
        <v>41229</v>
      </c>
      <c r="J293">
        <f t="shared" si="55"/>
        <v>2012</v>
      </c>
      <c r="K293">
        <f t="shared" si="56"/>
        <v>11</v>
      </c>
      <c r="L293">
        <f t="shared" si="57"/>
        <v>16</v>
      </c>
      <c r="M293" s="3">
        <f t="shared" ca="1" si="58"/>
        <v>46100</v>
      </c>
      <c r="N293">
        <f t="shared" ca="1" si="59"/>
        <v>4871</v>
      </c>
      <c r="O293">
        <f t="shared" ca="1" si="60"/>
        <v>4871</v>
      </c>
      <c r="P293">
        <f t="shared" ca="1" si="61"/>
        <v>3480</v>
      </c>
      <c r="Q293">
        <v>50</v>
      </c>
      <c r="R293" t="str">
        <f t="shared" si="62"/>
        <v>Old</v>
      </c>
      <c r="S293" t="s">
        <v>34</v>
      </c>
      <c r="T293">
        <v>8</v>
      </c>
      <c r="U293" t="s">
        <v>45</v>
      </c>
      <c r="V293">
        <v>8346.01</v>
      </c>
      <c r="W293" t="s">
        <v>46</v>
      </c>
      <c r="X293" t="s">
        <v>55</v>
      </c>
      <c r="Y293">
        <v>38</v>
      </c>
      <c r="Z293" t="str">
        <f t="shared" si="63"/>
        <v>Good Employee</v>
      </c>
      <c r="AA293" t="b">
        <f t="shared" si="64"/>
        <v>1</v>
      </c>
      <c r="AB293" t="b">
        <f>OR(Y293&gt;20, T293&gt;6)</f>
        <v>1</v>
      </c>
      <c r="AC293" t="str">
        <f>IF(OR(Y293&gt;20,T293&gt;6), "Good employee", "Bad Employee")</f>
        <v>Good employee</v>
      </c>
      <c r="AD293" t="s">
        <v>56</v>
      </c>
      <c r="AE293" t="s">
        <v>62</v>
      </c>
      <c r="AF293">
        <v>11</v>
      </c>
      <c r="AG293">
        <v>2010</v>
      </c>
      <c r="AH293" t="s">
        <v>30</v>
      </c>
      <c r="AI293">
        <v>101</v>
      </c>
      <c r="AJ293">
        <v>2.2999999999999998</v>
      </c>
    </row>
    <row r="294" spans="1:36" x14ac:dyDescent="0.25">
      <c r="A294">
        <v>10293</v>
      </c>
      <c r="B294" t="s">
        <v>66</v>
      </c>
      <c r="C294" t="s">
        <v>63</v>
      </c>
      <c r="D294" t="s">
        <v>54</v>
      </c>
      <c r="E294" t="str">
        <f t="shared" si="52"/>
        <v>John Miller is in Finance Department</v>
      </c>
      <c r="F294" s="6" t="str">
        <f t="shared" si="53"/>
        <v>johnmiller@gmail.com</v>
      </c>
      <c r="G294">
        <v>45008</v>
      </c>
      <c r="H294" t="str">
        <f t="shared" si="54"/>
        <v>low</v>
      </c>
      <c r="I294" s="3">
        <v>41960</v>
      </c>
      <c r="J294">
        <f t="shared" si="55"/>
        <v>2014</v>
      </c>
      <c r="K294">
        <f t="shared" si="56"/>
        <v>11</v>
      </c>
      <c r="L294">
        <f t="shared" si="57"/>
        <v>17</v>
      </c>
      <c r="M294" s="3">
        <f t="shared" ca="1" si="58"/>
        <v>46100</v>
      </c>
      <c r="N294">
        <f t="shared" ca="1" si="59"/>
        <v>4140</v>
      </c>
      <c r="O294">
        <f t="shared" ca="1" si="60"/>
        <v>4140</v>
      </c>
      <c r="P294">
        <f t="shared" ca="1" si="61"/>
        <v>2959</v>
      </c>
      <c r="Q294">
        <v>54</v>
      </c>
      <c r="R294" t="str">
        <f t="shared" si="62"/>
        <v>Old</v>
      </c>
      <c r="S294" t="s">
        <v>34</v>
      </c>
      <c r="T294">
        <v>6</v>
      </c>
      <c r="U294" t="s">
        <v>25</v>
      </c>
      <c r="V294">
        <v>1659.76</v>
      </c>
      <c r="W294" t="s">
        <v>26</v>
      </c>
      <c r="X294" t="s">
        <v>27</v>
      </c>
      <c r="Y294">
        <v>20</v>
      </c>
      <c r="Z294" t="str">
        <f t="shared" si="63"/>
        <v>Bad Employee</v>
      </c>
      <c r="AA294" t="b">
        <f t="shared" si="64"/>
        <v>0</v>
      </c>
      <c r="AB294" t="b">
        <f>OR(Y294&gt;20, T294&gt;6)</f>
        <v>0</v>
      </c>
      <c r="AC294" t="str">
        <f>IF(OR(Y294&gt;20,T294&gt;6), "Good employee", "Bad Employee")</f>
        <v>Bad Employee</v>
      </c>
      <c r="AD294" t="s">
        <v>41</v>
      </c>
      <c r="AE294" t="s">
        <v>62</v>
      </c>
      <c r="AF294">
        <v>18</v>
      </c>
      <c r="AG294">
        <v>2014</v>
      </c>
      <c r="AH294" t="s">
        <v>30</v>
      </c>
      <c r="AI294">
        <v>175</v>
      </c>
      <c r="AJ294">
        <v>4.7</v>
      </c>
    </row>
    <row r="295" spans="1:36" x14ac:dyDescent="0.25">
      <c r="A295">
        <v>10294</v>
      </c>
      <c r="B295" t="s">
        <v>60</v>
      </c>
      <c r="C295" t="s">
        <v>51</v>
      </c>
      <c r="D295" t="s">
        <v>52</v>
      </c>
      <c r="E295" t="str">
        <f t="shared" si="52"/>
        <v>Jane Brown is in Operations Department</v>
      </c>
      <c r="F295" s="6" t="str">
        <f t="shared" si="53"/>
        <v>janebrown@gmail.com</v>
      </c>
      <c r="G295">
        <v>117638</v>
      </c>
      <c r="H295" t="str">
        <f t="shared" si="54"/>
        <v>High</v>
      </c>
      <c r="I295" s="3">
        <v>36545</v>
      </c>
      <c r="J295">
        <f t="shared" si="55"/>
        <v>2000</v>
      </c>
      <c r="K295">
        <f t="shared" si="56"/>
        <v>1</v>
      </c>
      <c r="L295">
        <f t="shared" si="57"/>
        <v>20</v>
      </c>
      <c r="M295" s="3">
        <f t="shared" ca="1" si="58"/>
        <v>46100</v>
      </c>
      <c r="N295">
        <f t="shared" ca="1" si="59"/>
        <v>9555</v>
      </c>
      <c r="O295">
        <f t="shared" ca="1" si="60"/>
        <v>9555</v>
      </c>
      <c r="P295">
        <f t="shared" ca="1" si="61"/>
        <v>6826</v>
      </c>
      <c r="Q295">
        <v>37</v>
      </c>
      <c r="R295" t="str">
        <f t="shared" si="62"/>
        <v>Old</v>
      </c>
      <c r="S295" t="s">
        <v>34</v>
      </c>
      <c r="T295">
        <v>3</v>
      </c>
      <c r="U295" t="s">
        <v>45</v>
      </c>
      <c r="V295">
        <v>6410.89</v>
      </c>
      <c r="W295" t="s">
        <v>26</v>
      </c>
      <c r="X295" t="s">
        <v>27</v>
      </c>
      <c r="Y295">
        <v>36</v>
      </c>
      <c r="Z295" t="str">
        <f t="shared" si="63"/>
        <v>Bad Employee</v>
      </c>
      <c r="AA295" t="b">
        <f t="shared" si="64"/>
        <v>0</v>
      </c>
      <c r="AB295" t="b">
        <f>OR(Y295&gt;20, T295&gt;6)</f>
        <v>1</v>
      </c>
      <c r="AC295" t="str">
        <f>IF(OR(Y295&gt;20,T295&gt;6), "Good employee", "Bad Employee")</f>
        <v>Good employee</v>
      </c>
      <c r="AD295" t="s">
        <v>56</v>
      </c>
      <c r="AE295" t="s">
        <v>42</v>
      </c>
      <c r="AF295">
        <v>0</v>
      </c>
      <c r="AG295">
        <v>2014</v>
      </c>
      <c r="AH295" t="s">
        <v>30</v>
      </c>
      <c r="AI295">
        <v>21</v>
      </c>
      <c r="AJ295">
        <v>2.8</v>
      </c>
    </row>
    <row r="296" spans="1:36" x14ac:dyDescent="0.25">
      <c r="A296">
        <v>10295</v>
      </c>
      <c r="B296" t="s">
        <v>60</v>
      </c>
      <c r="C296" t="s">
        <v>51</v>
      </c>
      <c r="D296" t="s">
        <v>54</v>
      </c>
      <c r="E296" t="str">
        <f t="shared" si="52"/>
        <v>Jane Brown is in Finance Department</v>
      </c>
      <c r="F296" s="6" t="str">
        <f t="shared" si="53"/>
        <v>janebrown@gmail.com</v>
      </c>
      <c r="G296">
        <v>48452</v>
      </c>
      <c r="H296" t="str">
        <f t="shared" si="54"/>
        <v>low</v>
      </c>
      <c r="I296" s="3">
        <v>37201</v>
      </c>
      <c r="J296">
        <f t="shared" si="55"/>
        <v>2001</v>
      </c>
      <c r="K296">
        <f t="shared" si="56"/>
        <v>11</v>
      </c>
      <c r="L296">
        <f t="shared" si="57"/>
        <v>6</v>
      </c>
      <c r="M296" s="3">
        <f t="shared" ca="1" si="58"/>
        <v>46100</v>
      </c>
      <c r="N296">
        <f t="shared" ca="1" si="59"/>
        <v>8899</v>
      </c>
      <c r="O296">
        <f t="shared" ca="1" si="60"/>
        <v>8899</v>
      </c>
      <c r="P296">
        <f t="shared" ca="1" si="61"/>
        <v>6358</v>
      </c>
      <c r="Q296">
        <v>56</v>
      </c>
      <c r="R296" t="str">
        <f t="shared" si="62"/>
        <v>Old</v>
      </c>
      <c r="S296" t="s">
        <v>34</v>
      </c>
      <c r="T296">
        <v>9</v>
      </c>
      <c r="U296" t="s">
        <v>45</v>
      </c>
      <c r="V296">
        <v>8886.16</v>
      </c>
      <c r="W296" t="s">
        <v>26</v>
      </c>
      <c r="X296" t="s">
        <v>40</v>
      </c>
      <c r="Y296">
        <v>7</v>
      </c>
      <c r="Z296" t="str">
        <f t="shared" si="63"/>
        <v>Bad Employee</v>
      </c>
      <c r="AA296" t="b">
        <f t="shared" si="64"/>
        <v>0</v>
      </c>
      <c r="AB296" t="b">
        <f>OR(Y296&gt;20, T296&gt;6)</f>
        <v>1</v>
      </c>
      <c r="AC296" t="str">
        <f>IF(OR(Y296&gt;20,T296&gt;6), "Good employee", "Bad Employee")</f>
        <v>Good employee</v>
      </c>
      <c r="AD296" t="s">
        <v>28</v>
      </c>
      <c r="AE296" t="s">
        <v>62</v>
      </c>
      <c r="AF296">
        <v>8</v>
      </c>
      <c r="AG296">
        <v>2013</v>
      </c>
      <c r="AH296" t="s">
        <v>43</v>
      </c>
      <c r="AI296">
        <v>73</v>
      </c>
      <c r="AJ296">
        <v>2.6</v>
      </c>
    </row>
    <row r="297" spans="1:36" x14ac:dyDescent="0.25">
      <c r="A297">
        <v>10296</v>
      </c>
      <c r="B297" t="s">
        <v>31</v>
      </c>
      <c r="C297" t="s">
        <v>57</v>
      </c>
      <c r="D297" t="s">
        <v>39</v>
      </c>
      <c r="E297" t="str">
        <f t="shared" si="52"/>
        <v>Emily Davis is in IT Department</v>
      </c>
      <c r="F297" s="6" t="str">
        <f t="shared" si="53"/>
        <v>emilydavis@gmail.com</v>
      </c>
      <c r="G297">
        <v>94075</v>
      </c>
      <c r="H297" t="str">
        <f t="shared" si="54"/>
        <v>High</v>
      </c>
      <c r="I297" s="3">
        <v>41003</v>
      </c>
      <c r="J297">
        <f t="shared" si="55"/>
        <v>2012</v>
      </c>
      <c r="K297">
        <f t="shared" si="56"/>
        <v>4</v>
      </c>
      <c r="L297">
        <f t="shared" si="57"/>
        <v>4</v>
      </c>
      <c r="M297" s="3">
        <f t="shared" ca="1" si="58"/>
        <v>46100</v>
      </c>
      <c r="N297">
        <f t="shared" ca="1" si="59"/>
        <v>5097</v>
      </c>
      <c r="O297">
        <f t="shared" ca="1" si="60"/>
        <v>5097</v>
      </c>
      <c r="P297">
        <f t="shared" ca="1" si="61"/>
        <v>3642</v>
      </c>
      <c r="Q297">
        <v>64</v>
      </c>
      <c r="R297" t="str">
        <f t="shared" si="62"/>
        <v>Old</v>
      </c>
      <c r="S297" t="s">
        <v>24</v>
      </c>
      <c r="T297">
        <v>8</v>
      </c>
      <c r="U297" t="s">
        <v>25</v>
      </c>
      <c r="V297">
        <v>1460.66</v>
      </c>
      <c r="W297" t="s">
        <v>46</v>
      </c>
      <c r="X297" t="s">
        <v>36</v>
      </c>
      <c r="Y297">
        <v>22</v>
      </c>
      <c r="Z297" t="str">
        <f t="shared" si="63"/>
        <v>Good Employee</v>
      </c>
      <c r="AA297" t="b">
        <f t="shared" si="64"/>
        <v>1</v>
      </c>
      <c r="AB297" t="b">
        <f>OR(Y297&gt;20, T297&gt;6)</f>
        <v>1</v>
      </c>
      <c r="AC297" t="str">
        <f>IF(OR(Y297&gt;20,T297&gt;6), "Good employee", "Bad Employee")</f>
        <v>Good employee</v>
      </c>
      <c r="AD297" t="s">
        <v>41</v>
      </c>
      <c r="AE297" t="s">
        <v>29</v>
      </c>
      <c r="AF297">
        <v>0</v>
      </c>
      <c r="AG297">
        <v>2018</v>
      </c>
      <c r="AH297" t="s">
        <v>49</v>
      </c>
      <c r="AI297">
        <v>176</v>
      </c>
      <c r="AJ297">
        <v>3.5</v>
      </c>
    </row>
    <row r="298" spans="1:36" x14ac:dyDescent="0.25">
      <c r="A298">
        <v>10297</v>
      </c>
      <c r="B298" t="s">
        <v>64</v>
      </c>
      <c r="C298" t="s">
        <v>51</v>
      </c>
      <c r="D298" t="s">
        <v>23</v>
      </c>
      <c r="E298" t="str">
        <f t="shared" si="52"/>
        <v>Katie Brown is in HR Department</v>
      </c>
      <c r="F298" s="6" t="str">
        <f t="shared" si="53"/>
        <v>katiebrown@gmail.com</v>
      </c>
      <c r="G298">
        <v>38120</v>
      </c>
      <c r="H298" t="str">
        <f t="shared" si="54"/>
        <v>extremely low</v>
      </c>
      <c r="I298" s="3">
        <v>37134</v>
      </c>
      <c r="J298">
        <f t="shared" si="55"/>
        <v>2001</v>
      </c>
      <c r="K298">
        <f t="shared" si="56"/>
        <v>8</v>
      </c>
      <c r="L298">
        <f t="shared" si="57"/>
        <v>31</v>
      </c>
      <c r="M298" s="3">
        <f t="shared" ca="1" si="58"/>
        <v>46100</v>
      </c>
      <c r="N298">
        <f t="shared" ca="1" si="59"/>
        <v>8966</v>
      </c>
      <c r="O298">
        <f t="shared" ca="1" si="60"/>
        <v>8966</v>
      </c>
      <c r="P298">
        <f t="shared" ca="1" si="61"/>
        <v>6405</v>
      </c>
      <c r="Q298">
        <v>63</v>
      </c>
      <c r="R298" t="str">
        <f t="shared" si="62"/>
        <v>Old</v>
      </c>
      <c r="S298" t="s">
        <v>34</v>
      </c>
      <c r="T298">
        <v>6</v>
      </c>
      <c r="U298" t="s">
        <v>45</v>
      </c>
      <c r="V298">
        <v>8572.08</v>
      </c>
      <c r="W298" t="s">
        <v>35</v>
      </c>
      <c r="X298" t="s">
        <v>40</v>
      </c>
      <c r="Y298">
        <v>18</v>
      </c>
      <c r="Z298" t="str">
        <f t="shared" si="63"/>
        <v>Bad Employee</v>
      </c>
      <c r="AA298" t="b">
        <f t="shared" si="64"/>
        <v>0</v>
      </c>
      <c r="AB298" t="b">
        <f>OR(Y298&gt;20, T298&gt;6)</f>
        <v>0</v>
      </c>
      <c r="AC298" t="str">
        <f>IF(OR(Y298&gt;20,T298&gt;6), "Good employee", "Bad Employee")</f>
        <v>Bad Employee</v>
      </c>
      <c r="AD298" t="s">
        <v>56</v>
      </c>
      <c r="AE298" t="s">
        <v>37</v>
      </c>
      <c r="AF298">
        <v>17</v>
      </c>
      <c r="AG298">
        <v>2017</v>
      </c>
      <c r="AH298" t="s">
        <v>43</v>
      </c>
      <c r="AI298">
        <v>195</v>
      </c>
      <c r="AJ298">
        <v>1.3</v>
      </c>
    </row>
    <row r="299" spans="1:36" x14ac:dyDescent="0.25">
      <c r="A299">
        <v>10298</v>
      </c>
      <c r="B299" t="s">
        <v>21</v>
      </c>
      <c r="C299" t="s">
        <v>63</v>
      </c>
      <c r="D299" t="s">
        <v>52</v>
      </c>
      <c r="E299" t="str">
        <f t="shared" si="52"/>
        <v>Michael Miller is in Operations Department</v>
      </c>
      <c r="F299" s="6" t="str">
        <f t="shared" si="53"/>
        <v>michaelmiller@gmail.com</v>
      </c>
      <c r="G299">
        <v>94385</v>
      </c>
      <c r="H299" t="str">
        <f t="shared" si="54"/>
        <v>High</v>
      </c>
      <c r="I299" s="3">
        <v>42812</v>
      </c>
      <c r="J299">
        <f t="shared" si="55"/>
        <v>2017</v>
      </c>
      <c r="K299">
        <f t="shared" si="56"/>
        <v>3</v>
      </c>
      <c r="L299">
        <f t="shared" si="57"/>
        <v>18</v>
      </c>
      <c r="M299" s="3">
        <f t="shared" ca="1" si="58"/>
        <v>46100</v>
      </c>
      <c r="N299">
        <f t="shared" ca="1" si="59"/>
        <v>3288</v>
      </c>
      <c r="O299">
        <f t="shared" ca="1" si="60"/>
        <v>3288</v>
      </c>
      <c r="P299">
        <f t="shared" ca="1" si="61"/>
        <v>2349</v>
      </c>
      <c r="Q299">
        <v>38</v>
      </c>
      <c r="R299" t="str">
        <f t="shared" si="62"/>
        <v>Old</v>
      </c>
      <c r="S299" t="s">
        <v>24</v>
      </c>
      <c r="T299">
        <v>1</v>
      </c>
      <c r="U299" t="s">
        <v>25</v>
      </c>
      <c r="V299">
        <v>8086.9</v>
      </c>
      <c r="W299" t="s">
        <v>35</v>
      </c>
      <c r="X299" t="s">
        <v>55</v>
      </c>
      <c r="Y299">
        <v>21</v>
      </c>
      <c r="Z299" t="str">
        <f t="shared" si="63"/>
        <v>Bad Employee</v>
      </c>
      <c r="AA299" t="b">
        <f t="shared" si="64"/>
        <v>0</v>
      </c>
      <c r="AB299" t="b">
        <f>OR(Y299&gt;20, T299&gt;6)</f>
        <v>1</v>
      </c>
      <c r="AC299" t="str">
        <f>IF(OR(Y299&gt;20,T299&gt;6), "Good employee", "Bad Employee")</f>
        <v>Good employee</v>
      </c>
      <c r="AD299" t="s">
        <v>56</v>
      </c>
      <c r="AE299" t="s">
        <v>37</v>
      </c>
      <c r="AF299">
        <v>2</v>
      </c>
      <c r="AG299">
        <v>2023</v>
      </c>
      <c r="AH299" t="s">
        <v>49</v>
      </c>
      <c r="AI299">
        <v>27</v>
      </c>
      <c r="AJ299">
        <v>4</v>
      </c>
    </row>
    <row r="300" spans="1:36" x14ac:dyDescent="0.25">
      <c r="A300">
        <v>10299</v>
      </c>
      <c r="B300" t="s">
        <v>38</v>
      </c>
      <c r="C300" t="s">
        <v>63</v>
      </c>
      <c r="D300" t="s">
        <v>44</v>
      </c>
      <c r="E300" t="str">
        <f t="shared" si="52"/>
        <v>Chris Miller is in Sales Department</v>
      </c>
      <c r="F300" s="6" t="str">
        <f t="shared" si="53"/>
        <v>chrismiller@gmail.com</v>
      </c>
      <c r="G300">
        <v>103356</v>
      </c>
      <c r="H300" t="str">
        <f t="shared" si="54"/>
        <v>High</v>
      </c>
      <c r="I300" s="3">
        <v>36587</v>
      </c>
      <c r="J300">
        <f t="shared" si="55"/>
        <v>2000</v>
      </c>
      <c r="K300">
        <f t="shared" si="56"/>
        <v>3</v>
      </c>
      <c r="L300">
        <f t="shared" si="57"/>
        <v>2</v>
      </c>
      <c r="M300" s="3">
        <f t="shared" ca="1" si="58"/>
        <v>46100</v>
      </c>
      <c r="N300">
        <f t="shared" ca="1" si="59"/>
        <v>9513</v>
      </c>
      <c r="O300">
        <f t="shared" ca="1" si="60"/>
        <v>9513</v>
      </c>
      <c r="P300">
        <f t="shared" ca="1" si="61"/>
        <v>6796</v>
      </c>
      <c r="Q300">
        <v>25</v>
      </c>
      <c r="R300" t="str">
        <f t="shared" si="62"/>
        <v>Young</v>
      </c>
      <c r="S300" t="s">
        <v>24</v>
      </c>
      <c r="T300">
        <v>2</v>
      </c>
      <c r="U300" t="s">
        <v>25</v>
      </c>
      <c r="V300">
        <v>5285.87</v>
      </c>
      <c r="W300" t="s">
        <v>58</v>
      </c>
      <c r="X300" t="s">
        <v>47</v>
      </c>
      <c r="Y300">
        <v>22</v>
      </c>
      <c r="Z300" t="str">
        <f t="shared" si="63"/>
        <v>Bad Employee</v>
      </c>
      <c r="AA300" t="b">
        <f t="shared" si="64"/>
        <v>0</v>
      </c>
      <c r="AB300" t="b">
        <f>OR(Y300&gt;20, T300&gt;6)</f>
        <v>1</v>
      </c>
      <c r="AC300" t="str">
        <f>IF(OR(Y300&gt;20,T300&gt;6), "Good employee", "Bad Employee")</f>
        <v>Good employee</v>
      </c>
      <c r="AD300" t="s">
        <v>41</v>
      </c>
      <c r="AE300" t="s">
        <v>37</v>
      </c>
      <c r="AF300">
        <v>5</v>
      </c>
      <c r="AG300">
        <v>2019</v>
      </c>
      <c r="AH300" t="s">
        <v>49</v>
      </c>
      <c r="AI300">
        <v>107</v>
      </c>
      <c r="AJ300">
        <v>4.0999999999999996</v>
      </c>
    </row>
    <row r="301" spans="1:36" x14ac:dyDescent="0.25">
      <c r="A301">
        <v>10300</v>
      </c>
      <c r="B301" t="s">
        <v>53</v>
      </c>
      <c r="C301" t="s">
        <v>61</v>
      </c>
      <c r="D301" t="s">
        <v>52</v>
      </c>
      <c r="E301" t="str">
        <f t="shared" si="52"/>
        <v>Sarah Smith is in Operations Department</v>
      </c>
      <c r="F301" s="6" t="str">
        <f t="shared" si="53"/>
        <v>sarahsmith@gmail.com</v>
      </c>
      <c r="G301">
        <v>48170</v>
      </c>
      <c r="H301" t="str">
        <f t="shared" si="54"/>
        <v>low</v>
      </c>
      <c r="I301" s="3">
        <v>37791</v>
      </c>
      <c r="J301">
        <f t="shared" si="55"/>
        <v>2003</v>
      </c>
      <c r="K301">
        <f t="shared" si="56"/>
        <v>6</v>
      </c>
      <c r="L301">
        <f t="shared" si="57"/>
        <v>19</v>
      </c>
      <c r="M301" s="3">
        <f t="shared" ca="1" si="58"/>
        <v>46100</v>
      </c>
      <c r="N301">
        <f t="shared" ca="1" si="59"/>
        <v>8309</v>
      </c>
      <c r="O301">
        <f t="shared" ca="1" si="60"/>
        <v>8309</v>
      </c>
      <c r="P301">
        <f t="shared" ca="1" si="61"/>
        <v>5936</v>
      </c>
      <c r="Q301">
        <v>25</v>
      </c>
      <c r="R301" t="str">
        <f t="shared" si="62"/>
        <v>Young</v>
      </c>
      <c r="S301" t="s">
        <v>24</v>
      </c>
      <c r="T301">
        <v>4</v>
      </c>
      <c r="U301" t="s">
        <v>45</v>
      </c>
      <c r="V301">
        <v>3434.53</v>
      </c>
      <c r="W301" t="s">
        <v>46</v>
      </c>
      <c r="X301" t="s">
        <v>55</v>
      </c>
      <c r="Y301">
        <v>39</v>
      </c>
      <c r="Z301" t="str">
        <f t="shared" si="63"/>
        <v>Bad Employee</v>
      </c>
      <c r="AA301" t="b">
        <f t="shared" si="64"/>
        <v>0</v>
      </c>
      <c r="AB301" t="b">
        <f>OR(Y301&gt;20, T301&gt;6)</f>
        <v>1</v>
      </c>
      <c r="AC301" t="str">
        <f>IF(OR(Y301&gt;20,T301&gt;6), "Good employee", "Bad Employee")</f>
        <v>Good employee</v>
      </c>
      <c r="AD301" t="s">
        <v>56</v>
      </c>
      <c r="AE301" t="s">
        <v>37</v>
      </c>
      <c r="AF301">
        <v>3</v>
      </c>
      <c r="AG301">
        <v>2023</v>
      </c>
      <c r="AH301" t="s">
        <v>43</v>
      </c>
      <c r="AI301">
        <v>158</v>
      </c>
      <c r="AJ301">
        <v>2.9</v>
      </c>
    </row>
    <row r="302" spans="1:36" x14ac:dyDescent="0.25">
      <c r="A302">
        <v>10301</v>
      </c>
      <c r="B302" t="s">
        <v>66</v>
      </c>
      <c r="C302" t="s">
        <v>51</v>
      </c>
      <c r="D302" t="s">
        <v>54</v>
      </c>
      <c r="E302" t="str">
        <f t="shared" si="52"/>
        <v>John Brown is in Finance Department</v>
      </c>
      <c r="F302" s="6" t="str">
        <f t="shared" si="53"/>
        <v>johnbrown@gmail.com</v>
      </c>
      <c r="G302">
        <v>46259</v>
      </c>
      <c r="H302" t="str">
        <f t="shared" si="54"/>
        <v>low</v>
      </c>
      <c r="I302" s="3">
        <v>38811</v>
      </c>
      <c r="J302">
        <f t="shared" si="55"/>
        <v>2006</v>
      </c>
      <c r="K302">
        <f t="shared" si="56"/>
        <v>4</v>
      </c>
      <c r="L302">
        <f t="shared" si="57"/>
        <v>4</v>
      </c>
      <c r="M302" s="3">
        <f t="shared" ca="1" si="58"/>
        <v>46100</v>
      </c>
      <c r="N302">
        <f t="shared" ca="1" si="59"/>
        <v>7289</v>
      </c>
      <c r="O302">
        <f t="shared" ca="1" si="60"/>
        <v>7289</v>
      </c>
      <c r="P302">
        <f t="shared" ca="1" si="61"/>
        <v>5208</v>
      </c>
      <c r="Q302">
        <v>46</v>
      </c>
      <c r="R302" t="str">
        <f t="shared" si="62"/>
        <v>Old</v>
      </c>
      <c r="S302" t="s">
        <v>34</v>
      </c>
      <c r="T302">
        <v>2</v>
      </c>
      <c r="U302" t="s">
        <v>45</v>
      </c>
      <c r="V302">
        <v>4351.66</v>
      </c>
      <c r="W302" t="s">
        <v>46</v>
      </c>
      <c r="X302" t="s">
        <v>36</v>
      </c>
      <c r="Y302">
        <v>12</v>
      </c>
      <c r="Z302" t="str">
        <f t="shared" si="63"/>
        <v>Bad Employee</v>
      </c>
      <c r="AA302" t="b">
        <f t="shared" si="64"/>
        <v>0</v>
      </c>
      <c r="AB302" t="b">
        <f>OR(Y302&gt;20, T302&gt;6)</f>
        <v>0</v>
      </c>
      <c r="AC302" t="str">
        <f>IF(OR(Y302&gt;20,T302&gt;6), "Good employee", "Bad Employee")</f>
        <v>Bad Employee</v>
      </c>
      <c r="AD302" t="s">
        <v>41</v>
      </c>
      <c r="AE302" t="s">
        <v>48</v>
      </c>
      <c r="AF302">
        <v>11</v>
      </c>
      <c r="AG302">
        <v>2012</v>
      </c>
      <c r="AH302" t="s">
        <v>30</v>
      </c>
      <c r="AI302">
        <v>98</v>
      </c>
      <c r="AJ302">
        <v>4.8</v>
      </c>
    </row>
    <row r="303" spans="1:36" x14ac:dyDescent="0.25">
      <c r="A303">
        <v>10302</v>
      </c>
      <c r="B303" t="s">
        <v>66</v>
      </c>
      <c r="C303" t="s">
        <v>57</v>
      </c>
      <c r="D303" t="s">
        <v>39</v>
      </c>
      <c r="E303" t="str">
        <f t="shared" si="52"/>
        <v>John Davis is in IT Department</v>
      </c>
      <c r="F303" s="6" t="str">
        <f t="shared" si="53"/>
        <v>johndavis@gmail.com</v>
      </c>
      <c r="G303">
        <v>52099</v>
      </c>
      <c r="H303" t="str">
        <f t="shared" si="54"/>
        <v>Medium</v>
      </c>
      <c r="I303" s="3">
        <v>37680</v>
      </c>
      <c r="J303">
        <f t="shared" si="55"/>
        <v>2003</v>
      </c>
      <c r="K303">
        <f t="shared" si="56"/>
        <v>2</v>
      </c>
      <c r="L303">
        <f t="shared" si="57"/>
        <v>28</v>
      </c>
      <c r="M303" s="3">
        <f t="shared" ca="1" si="58"/>
        <v>46100</v>
      </c>
      <c r="N303">
        <f t="shared" ca="1" si="59"/>
        <v>8420</v>
      </c>
      <c r="O303">
        <f t="shared" ca="1" si="60"/>
        <v>8420</v>
      </c>
      <c r="P303">
        <f t="shared" ca="1" si="61"/>
        <v>6015</v>
      </c>
      <c r="Q303">
        <v>54</v>
      </c>
      <c r="R303" t="str">
        <f t="shared" si="62"/>
        <v>Old</v>
      </c>
      <c r="S303" t="s">
        <v>24</v>
      </c>
      <c r="T303">
        <v>3</v>
      </c>
      <c r="U303" t="s">
        <v>45</v>
      </c>
      <c r="V303">
        <v>9702.25</v>
      </c>
      <c r="W303" t="s">
        <v>26</v>
      </c>
      <c r="X303" t="s">
        <v>55</v>
      </c>
      <c r="Y303">
        <v>11</v>
      </c>
      <c r="Z303" t="str">
        <f t="shared" si="63"/>
        <v>Bad Employee</v>
      </c>
      <c r="AA303" t="b">
        <f t="shared" si="64"/>
        <v>0</v>
      </c>
      <c r="AB303" t="b">
        <f>OR(Y303&gt;20, T303&gt;6)</f>
        <v>0</v>
      </c>
      <c r="AC303" t="str">
        <f>IF(OR(Y303&gt;20,T303&gt;6), "Good employee", "Bad Employee")</f>
        <v>Bad Employee</v>
      </c>
      <c r="AD303" t="s">
        <v>41</v>
      </c>
      <c r="AE303" t="s">
        <v>59</v>
      </c>
      <c r="AF303">
        <v>11</v>
      </c>
      <c r="AG303">
        <v>2014</v>
      </c>
      <c r="AH303" t="s">
        <v>49</v>
      </c>
      <c r="AI303">
        <v>180</v>
      </c>
      <c r="AJ303">
        <v>3.3</v>
      </c>
    </row>
    <row r="304" spans="1:36" x14ac:dyDescent="0.25">
      <c r="A304">
        <v>10303</v>
      </c>
      <c r="B304" t="s">
        <v>50</v>
      </c>
      <c r="C304" t="s">
        <v>51</v>
      </c>
      <c r="D304" t="s">
        <v>33</v>
      </c>
      <c r="E304" t="str">
        <f t="shared" si="52"/>
        <v>Alex Brown is in Marketing Department</v>
      </c>
      <c r="F304" s="6" t="str">
        <f t="shared" si="53"/>
        <v>alexbrown@gmail.com</v>
      </c>
      <c r="G304">
        <v>39649</v>
      </c>
      <c r="H304" t="str">
        <f t="shared" si="54"/>
        <v>extremely low</v>
      </c>
      <c r="I304" s="3">
        <v>38154</v>
      </c>
      <c r="J304">
        <f t="shared" si="55"/>
        <v>2004</v>
      </c>
      <c r="K304">
        <f t="shared" si="56"/>
        <v>6</v>
      </c>
      <c r="L304">
        <f t="shared" si="57"/>
        <v>16</v>
      </c>
      <c r="M304" s="3">
        <f t="shared" ca="1" si="58"/>
        <v>46100</v>
      </c>
      <c r="N304">
        <f t="shared" ca="1" si="59"/>
        <v>7946</v>
      </c>
      <c r="O304">
        <f t="shared" ca="1" si="60"/>
        <v>7946</v>
      </c>
      <c r="P304">
        <f t="shared" ca="1" si="61"/>
        <v>5677</v>
      </c>
      <c r="Q304">
        <v>35</v>
      </c>
      <c r="R304" t="str">
        <f t="shared" si="62"/>
        <v>Old</v>
      </c>
      <c r="S304" t="s">
        <v>24</v>
      </c>
      <c r="T304">
        <v>8</v>
      </c>
      <c r="U304" t="s">
        <v>45</v>
      </c>
      <c r="V304">
        <v>2416.13</v>
      </c>
      <c r="W304" t="s">
        <v>46</v>
      </c>
      <c r="X304" t="s">
        <v>36</v>
      </c>
      <c r="Y304">
        <v>12</v>
      </c>
      <c r="Z304" t="str">
        <f t="shared" si="63"/>
        <v>Bad Employee</v>
      </c>
      <c r="AA304" t="b">
        <f t="shared" si="64"/>
        <v>0</v>
      </c>
      <c r="AB304" t="b">
        <f>OR(Y304&gt;20, T304&gt;6)</f>
        <v>1</v>
      </c>
      <c r="AC304" t="str">
        <f>IF(OR(Y304&gt;20,T304&gt;6), "Good employee", "Bad Employee")</f>
        <v>Good employee</v>
      </c>
      <c r="AD304" t="s">
        <v>56</v>
      </c>
      <c r="AE304" t="s">
        <v>62</v>
      </c>
      <c r="AF304">
        <v>4</v>
      </c>
      <c r="AG304">
        <v>2015</v>
      </c>
      <c r="AH304" t="s">
        <v>30</v>
      </c>
      <c r="AI304">
        <v>179</v>
      </c>
      <c r="AJ304">
        <v>3.8</v>
      </c>
    </row>
    <row r="305" spans="1:36" x14ac:dyDescent="0.25">
      <c r="A305">
        <v>10304</v>
      </c>
      <c r="B305" t="s">
        <v>64</v>
      </c>
      <c r="C305" t="s">
        <v>22</v>
      </c>
      <c r="D305" t="s">
        <v>44</v>
      </c>
      <c r="E305" t="str">
        <f t="shared" si="52"/>
        <v>Katie Williams is in Sales Department</v>
      </c>
      <c r="F305" s="6" t="str">
        <f t="shared" si="53"/>
        <v>katiewilliams@gmail.com</v>
      </c>
      <c r="G305">
        <v>89258</v>
      </c>
      <c r="H305" t="str">
        <f t="shared" si="54"/>
        <v>High</v>
      </c>
      <c r="I305" s="3">
        <v>38152</v>
      </c>
      <c r="J305">
        <f t="shared" si="55"/>
        <v>2004</v>
      </c>
      <c r="K305">
        <f t="shared" si="56"/>
        <v>6</v>
      </c>
      <c r="L305">
        <f t="shared" si="57"/>
        <v>14</v>
      </c>
      <c r="M305" s="3">
        <f t="shared" ca="1" si="58"/>
        <v>46100</v>
      </c>
      <c r="N305">
        <f t="shared" ca="1" si="59"/>
        <v>7948</v>
      </c>
      <c r="O305">
        <f t="shared" ca="1" si="60"/>
        <v>7948</v>
      </c>
      <c r="P305">
        <f t="shared" ca="1" si="61"/>
        <v>5679</v>
      </c>
      <c r="Q305">
        <v>45</v>
      </c>
      <c r="R305" t="str">
        <f t="shared" si="62"/>
        <v>Old</v>
      </c>
      <c r="S305" t="s">
        <v>24</v>
      </c>
      <c r="T305">
        <v>9</v>
      </c>
      <c r="U305" t="s">
        <v>45</v>
      </c>
      <c r="V305">
        <v>6006.24</v>
      </c>
      <c r="W305" t="s">
        <v>46</v>
      </c>
      <c r="X305" t="s">
        <v>47</v>
      </c>
      <c r="Y305">
        <v>26</v>
      </c>
      <c r="Z305" t="str">
        <f t="shared" si="63"/>
        <v>Good Employee</v>
      </c>
      <c r="AA305" t="b">
        <f t="shared" si="64"/>
        <v>1</v>
      </c>
      <c r="AB305" t="b">
        <f>OR(Y305&gt;20, T305&gt;6)</f>
        <v>1</v>
      </c>
      <c r="AC305" t="str">
        <f>IF(OR(Y305&gt;20,T305&gt;6), "Good employee", "Bad Employee")</f>
        <v>Good employee</v>
      </c>
      <c r="AD305" t="s">
        <v>41</v>
      </c>
      <c r="AE305" t="s">
        <v>42</v>
      </c>
      <c r="AF305">
        <v>12</v>
      </c>
      <c r="AG305">
        <v>2014</v>
      </c>
      <c r="AH305" t="s">
        <v>43</v>
      </c>
      <c r="AI305">
        <v>50</v>
      </c>
      <c r="AJ305">
        <v>4.7</v>
      </c>
    </row>
    <row r="306" spans="1:36" x14ac:dyDescent="0.25">
      <c r="A306">
        <v>10305</v>
      </c>
      <c r="B306" t="s">
        <v>60</v>
      </c>
      <c r="C306" t="s">
        <v>22</v>
      </c>
      <c r="D306" t="s">
        <v>39</v>
      </c>
      <c r="E306" t="str">
        <f t="shared" si="52"/>
        <v>Jane Williams is in IT Department</v>
      </c>
      <c r="F306" s="6" t="str">
        <f t="shared" si="53"/>
        <v>janewilliams@gmail.com</v>
      </c>
      <c r="G306">
        <v>71037</v>
      </c>
      <c r="H306" t="str">
        <f t="shared" si="54"/>
        <v>Medium</v>
      </c>
      <c r="I306" s="3">
        <v>40242</v>
      </c>
      <c r="J306">
        <f t="shared" si="55"/>
        <v>2010</v>
      </c>
      <c r="K306">
        <f t="shared" si="56"/>
        <v>3</v>
      </c>
      <c r="L306">
        <f t="shared" si="57"/>
        <v>5</v>
      </c>
      <c r="M306" s="3">
        <f t="shared" ca="1" si="58"/>
        <v>46100</v>
      </c>
      <c r="N306">
        <f t="shared" ca="1" si="59"/>
        <v>5858</v>
      </c>
      <c r="O306">
        <f t="shared" ca="1" si="60"/>
        <v>5858</v>
      </c>
      <c r="P306">
        <f t="shared" ca="1" si="61"/>
        <v>4185</v>
      </c>
      <c r="Q306">
        <v>32</v>
      </c>
      <c r="R306" t="str">
        <f t="shared" si="62"/>
        <v>Old</v>
      </c>
      <c r="S306" t="s">
        <v>24</v>
      </c>
      <c r="T306">
        <v>6</v>
      </c>
      <c r="U306" t="s">
        <v>25</v>
      </c>
      <c r="V306">
        <v>1290.79</v>
      </c>
      <c r="W306" t="s">
        <v>35</v>
      </c>
      <c r="X306" t="s">
        <v>47</v>
      </c>
      <c r="Y306">
        <v>30</v>
      </c>
      <c r="Z306" t="str">
        <f t="shared" si="63"/>
        <v>Bad Employee</v>
      </c>
      <c r="AA306" t="b">
        <f t="shared" si="64"/>
        <v>0</v>
      </c>
      <c r="AB306" t="b">
        <f>OR(Y306&gt;20, T306&gt;6)</f>
        <v>1</v>
      </c>
      <c r="AC306" t="str">
        <f>IF(OR(Y306&gt;20,T306&gt;6), "Good employee", "Bad Employee")</f>
        <v>Good employee</v>
      </c>
      <c r="AD306" t="s">
        <v>41</v>
      </c>
      <c r="AE306" t="s">
        <v>29</v>
      </c>
      <c r="AF306">
        <v>11</v>
      </c>
      <c r="AG306">
        <v>2017</v>
      </c>
      <c r="AH306" t="s">
        <v>49</v>
      </c>
      <c r="AI306">
        <v>33</v>
      </c>
      <c r="AJ306">
        <v>3.7</v>
      </c>
    </row>
    <row r="307" spans="1:36" x14ac:dyDescent="0.25">
      <c r="A307">
        <v>10306</v>
      </c>
      <c r="B307" t="s">
        <v>38</v>
      </c>
      <c r="C307" t="s">
        <v>57</v>
      </c>
      <c r="D307" t="s">
        <v>52</v>
      </c>
      <c r="E307" t="str">
        <f t="shared" si="52"/>
        <v>Chris Davis is in Operations Department</v>
      </c>
      <c r="F307" s="6" t="str">
        <f t="shared" si="53"/>
        <v>chrisdavis@gmail.com</v>
      </c>
      <c r="G307">
        <v>41805</v>
      </c>
      <c r="H307" t="str">
        <f t="shared" si="54"/>
        <v>low</v>
      </c>
      <c r="I307" s="3">
        <v>41768</v>
      </c>
      <c r="J307">
        <f t="shared" si="55"/>
        <v>2014</v>
      </c>
      <c r="K307">
        <f t="shared" si="56"/>
        <v>5</v>
      </c>
      <c r="L307">
        <f t="shared" si="57"/>
        <v>9</v>
      </c>
      <c r="M307" s="3">
        <f t="shared" ca="1" si="58"/>
        <v>46100</v>
      </c>
      <c r="N307">
        <f t="shared" ca="1" si="59"/>
        <v>4332</v>
      </c>
      <c r="O307">
        <f t="shared" ca="1" si="60"/>
        <v>4332</v>
      </c>
      <c r="P307">
        <f t="shared" ca="1" si="61"/>
        <v>3095</v>
      </c>
      <c r="Q307">
        <v>46</v>
      </c>
      <c r="R307" t="str">
        <f t="shared" si="62"/>
        <v>Old</v>
      </c>
      <c r="S307" t="s">
        <v>24</v>
      </c>
      <c r="T307">
        <v>4</v>
      </c>
      <c r="U307" t="s">
        <v>25</v>
      </c>
      <c r="V307">
        <v>2569.98</v>
      </c>
      <c r="W307" t="s">
        <v>46</v>
      </c>
      <c r="X307" t="s">
        <v>27</v>
      </c>
      <c r="Y307">
        <v>15</v>
      </c>
      <c r="Z307" t="str">
        <f t="shared" si="63"/>
        <v>Bad Employee</v>
      </c>
      <c r="AA307" t="b">
        <f t="shared" si="64"/>
        <v>0</v>
      </c>
      <c r="AB307" t="b">
        <f>OR(Y307&gt;20, T307&gt;6)</f>
        <v>0</v>
      </c>
      <c r="AC307" t="str">
        <f>IF(OR(Y307&gt;20,T307&gt;6), "Good employee", "Bad Employee")</f>
        <v>Bad Employee</v>
      </c>
      <c r="AD307" t="s">
        <v>28</v>
      </c>
      <c r="AE307" t="s">
        <v>62</v>
      </c>
      <c r="AF307">
        <v>3</v>
      </c>
      <c r="AG307">
        <v>2014</v>
      </c>
      <c r="AH307" t="s">
        <v>30</v>
      </c>
      <c r="AI307">
        <v>38</v>
      </c>
      <c r="AJ307">
        <v>2.7</v>
      </c>
    </row>
    <row r="308" spans="1:36" x14ac:dyDescent="0.25">
      <c r="A308">
        <v>10307</v>
      </c>
      <c r="B308" t="s">
        <v>31</v>
      </c>
      <c r="C308" t="s">
        <v>61</v>
      </c>
      <c r="D308" t="s">
        <v>33</v>
      </c>
      <c r="E308" t="str">
        <f t="shared" si="52"/>
        <v>Emily Smith is in Marketing Department</v>
      </c>
      <c r="F308" s="6" t="str">
        <f t="shared" si="53"/>
        <v>emilysmith@gmail.com</v>
      </c>
      <c r="G308">
        <v>73147</v>
      </c>
      <c r="H308" t="str">
        <f t="shared" si="54"/>
        <v>Medium</v>
      </c>
      <c r="I308" s="3">
        <v>42085</v>
      </c>
      <c r="J308">
        <f t="shared" si="55"/>
        <v>2015</v>
      </c>
      <c r="K308">
        <f t="shared" si="56"/>
        <v>3</v>
      </c>
      <c r="L308">
        <f t="shared" si="57"/>
        <v>22</v>
      </c>
      <c r="M308" s="3">
        <f t="shared" ca="1" si="58"/>
        <v>46100</v>
      </c>
      <c r="N308">
        <f t="shared" ca="1" si="59"/>
        <v>4015</v>
      </c>
      <c r="O308">
        <f t="shared" ca="1" si="60"/>
        <v>4015</v>
      </c>
      <c r="P308">
        <f t="shared" ca="1" si="61"/>
        <v>2869</v>
      </c>
      <c r="Q308">
        <v>49</v>
      </c>
      <c r="R308" t="str">
        <f t="shared" si="62"/>
        <v>Old</v>
      </c>
      <c r="S308" t="s">
        <v>24</v>
      </c>
      <c r="T308">
        <v>2</v>
      </c>
      <c r="U308" t="s">
        <v>25</v>
      </c>
      <c r="V308">
        <v>7751.51</v>
      </c>
      <c r="W308" t="s">
        <v>35</v>
      </c>
      <c r="X308" t="s">
        <v>55</v>
      </c>
      <c r="Y308">
        <v>8</v>
      </c>
      <c r="Z308" t="str">
        <f t="shared" si="63"/>
        <v>Bad Employee</v>
      </c>
      <c r="AA308" t="b">
        <f t="shared" si="64"/>
        <v>0</v>
      </c>
      <c r="AB308" t="b">
        <f>OR(Y308&gt;20, T308&gt;6)</f>
        <v>0</v>
      </c>
      <c r="AC308" t="str">
        <f>IF(OR(Y308&gt;20,T308&gt;6), "Good employee", "Bad Employee")</f>
        <v>Bad Employee</v>
      </c>
      <c r="AD308" t="s">
        <v>28</v>
      </c>
      <c r="AE308" t="s">
        <v>48</v>
      </c>
      <c r="AF308">
        <v>5</v>
      </c>
      <c r="AG308">
        <v>2017</v>
      </c>
      <c r="AH308" t="s">
        <v>43</v>
      </c>
      <c r="AI308">
        <v>14</v>
      </c>
      <c r="AJ308">
        <v>1.1000000000000001</v>
      </c>
    </row>
    <row r="309" spans="1:36" x14ac:dyDescent="0.25">
      <c r="A309">
        <v>10308</v>
      </c>
      <c r="B309" t="s">
        <v>60</v>
      </c>
      <c r="C309" t="s">
        <v>61</v>
      </c>
      <c r="D309" t="s">
        <v>39</v>
      </c>
      <c r="E309" t="str">
        <f t="shared" si="52"/>
        <v>Jane Smith is in IT Department</v>
      </c>
      <c r="F309" s="6" t="str">
        <f t="shared" si="53"/>
        <v>janesmith@gmail.com</v>
      </c>
      <c r="G309">
        <v>104280</v>
      </c>
      <c r="H309" t="str">
        <f t="shared" si="54"/>
        <v>High</v>
      </c>
      <c r="I309" s="3">
        <v>41548</v>
      </c>
      <c r="J309">
        <f t="shared" si="55"/>
        <v>2013</v>
      </c>
      <c r="K309">
        <f t="shared" si="56"/>
        <v>10</v>
      </c>
      <c r="L309">
        <f t="shared" si="57"/>
        <v>1</v>
      </c>
      <c r="M309" s="3">
        <f t="shared" ca="1" si="58"/>
        <v>46100</v>
      </c>
      <c r="N309">
        <f t="shared" ca="1" si="59"/>
        <v>4552</v>
      </c>
      <c r="O309">
        <f t="shared" ca="1" si="60"/>
        <v>4552</v>
      </c>
      <c r="P309">
        <f t="shared" ca="1" si="61"/>
        <v>3253</v>
      </c>
      <c r="Q309">
        <v>28</v>
      </c>
      <c r="R309" t="str">
        <f t="shared" si="62"/>
        <v>Young</v>
      </c>
      <c r="S309" t="s">
        <v>34</v>
      </c>
      <c r="T309">
        <v>7</v>
      </c>
      <c r="U309" t="s">
        <v>25</v>
      </c>
      <c r="V309">
        <v>3374.69</v>
      </c>
      <c r="W309" t="s">
        <v>35</v>
      </c>
      <c r="X309" t="s">
        <v>27</v>
      </c>
      <c r="Y309">
        <v>18</v>
      </c>
      <c r="Z309" t="str">
        <f t="shared" si="63"/>
        <v>Bad Employee</v>
      </c>
      <c r="AA309" t="b">
        <f t="shared" si="64"/>
        <v>0</v>
      </c>
      <c r="AB309" t="b">
        <f>OR(Y309&gt;20, T309&gt;6)</f>
        <v>1</v>
      </c>
      <c r="AC309" t="str">
        <f>IF(OR(Y309&gt;20,T309&gt;6), "Good employee", "Bad Employee")</f>
        <v>Good employee</v>
      </c>
      <c r="AD309" t="s">
        <v>28</v>
      </c>
      <c r="AE309" t="s">
        <v>48</v>
      </c>
      <c r="AF309">
        <v>18</v>
      </c>
      <c r="AG309">
        <v>2019</v>
      </c>
      <c r="AH309" t="s">
        <v>49</v>
      </c>
      <c r="AI309">
        <v>24</v>
      </c>
      <c r="AJ309">
        <v>3.9</v>
      </c>
    </row>
    <row r="310" spans="1:36" x14ac:dyDescent="0.25">
      <c r="A310">
        <v>10309</v>
      </c>
      <c r="B310" t="s">
        <v>53</v>
      </c>
      <c r="C310" t="s">
        <v>63</v>
      </c>
      <c r="D310" t="s">
        <v>23</v>
      </c>
      <c r="E310" t="str">
        <f t="shared" si="52"/>
        <v>Sarah Miller is in HR Department</v>
      </c>
      <c r="F310" s="6" t="str">
        <f t="shared" si="53"/>
        <v>sarahmiller@gmail.com</v>
      </c>
      <c r="G310">
        <v>76053</v>
      </c>
      <c r="H310" t="str">
        <f t="shared" si="54"/>
        <v>Medium</v>
      </c>
      <c r="I310" s="3">
        <v>43011</v>
      </c>
      <c r="J310">
        <f t="shared" si="55"/>
        <v>2017</v>
      </c>
      <c r="K310">
        <f t="shared" si="56"/>
        <v>10</v>
      </c>
      <c r="L310">
        <f t="shared" si="57"/>
        <v>3</v>
      </c>
      <c r="M310" s="3">
        <f t="shared" ca="1" si="58"/>
        <v>46100</v>
      </c>
      <c r="N310">
        <f t="shared" ca="1" si="59"/>
        <v>3089</v>
      </c>
      <c r="O310">
        <f t="shared" ca="1" si="60"/>
        <v>3089</v>
      </c>
      <c r="P310">
        <f t="shared" ca="1" si="61"/>
        <v>2208</v>
      </c>
      <c r="Q310">
        <v>57</v>
      </c>
      <c r="R310" t="str">
        <f t="shared" si="62"/>
        <v>Old</v>
      </c>
      <c r="S310" t="s">
        <v>24</v>
      </c>
      <c r="T310">
        <v>7</v>
      </c>
      <c r="U310" t="s">
        <v>25</v>
      </c>
      <c r="V310">
        <v>9864.7800000000007</v>
      </c>
      <c r="W310" t="s">
        <v>46</v>
      </c>
      <c r="X310" t="s">
        <v>40</v>
      </c>
      <c r="Y310">
        <v>10</v>
      </c>
      <c r="Z310" t="str">
        <f t="shared" si="63"/>
        <v>Bad Employee</v>
      </c>
      <c r="AA310" t="b">
        <f t="shared" si="64"/>
        <v>0</v>
      </c>
      <c r="AB310" t="b">
        <f>OR(Y310&gt;20, T310&gt;6)</f>
        <v>1</v>
      </c>
      <c r="AC310" t="str">
        <f>IF(OR(Y310&gt;20,T310&gt;6), "Good employee", "Bad Employee")</f>
        <v>Good employee</v>
      </c>
      <c r="AD310" t="s">
        <v>56</v>
      </c>
      <c r="AE310" t="s">
        <v>42</v>
      </c>
      <c r="AF310">
        <v>5</v>
      </c>
      <c r="AG310">
        <v>2019</v>
      </c>
      <c r="AH310" t="s">
        <v>43</v>
      </c>
      <c r="AI310">
        <v>38</v>
      </c>
      <c r="AJ310">
        <v>4.9000000000000004</v>
      </c>
    </row>
    <row r="311" spans="1:36" x14ac:dyDescent="0.25">
      <c r="A311">
        <v>10310</v>
      </c>
      <c r="B311" t="s">
        <v>64</v>
      </c>
      <c r="C311" t="s">
        <v>63</v>
      </c>
      <c r="D311" t="s">
        <v>44</v>
      </c>
      <c r="E311" t="str">
        <f t="shared" si="52"/>
        <v>Katie Miller is in Sales Department</v>
      </c>
      <c r="F311" s="6" t="str">
        <f t="shared" si="53"/>
        <v>katiemiller@gmail.com</v>
      </c>
      <c r="G311">
        <v>106215</v>
      </c>
      <c r="H311" t="str">
        <f t="shared" si="54"/>
        <v>High</v>
      </c>
      <c r="I311" s="3">
        <v>37968</v>
      </c>
      <c r="J311">
        <f t="shared" si="55"/>
        <v>2003</v>
      </c>
      <c r="K311">
        <f t="shared" si="56"/>
        <v>12</v>
      </c>
      <c r="L311">
        <f t="shared" si="57"/>
        <v>13</v>
      </c>
      <c r="M311" s="3">
        <f t="shared" ca="1" si="58"/>
        <v>46100</v>
      </c>
      <c r="N311">
        <f t="shared" ca="1" si="59"/>
        <v>8132</v>
      </c>
      <c r="O311">
        <f t="shared" ca="1" si="60"/>
        <v>8132</v>
      </c>
      <c r="P311">
        <f t="shared" ca="1" si="61"/>
        <v>5809</v>
      </c>
      <c r="Q311">
        <v>31</v>
      </c>
      <c r="R311" t="str">
        <f t="shared" si="62"/>
        <v>Old</v>
      </c>
      <c r="S311" t="s">
        <v>24</v>
      </c>
      <c r="T311">
        <v>9</v>
      </c>
      <c r="U311" t="s">
        <v>45</v>
      </c>
      <c r="V311">
        <v>5257.76</v>
      </c>
      <c r="W311" t="s">
        <v>35</v>
      </c>
      <c r="X311" t="s">
        <v>40</v>
      </c>
      <c r="Y311">
        <v>8</v>
      </c>
      <c r="Z311" t="str">
        <f t="shared" si="63"/>
        <v>Bad Employee</v>
      </c>
      <c r="AA311" t="b">
        <f t="shared" si="64"/>
        <v>0</v>
      </c>
      <c r="AB311" t="b">
        <f>OR(Y311&gt;20, T311&gt;6)</f>
        <v>1</v>
      </c>
      <c r="AC311" t="str">
        <f>IF(OR(Y311&gt;20,T311&gt;6), "Good employee", "Bad Employee")</f>
        <v>Good employee</v>
      </c>
      <c r="AD311" t="s">
        <v>56</v>
      </c>
      <c r="AE311" t="s">
        <v>62</v>
      </c>
      <c r="AF311">
        <v>5</v>
      </c>
      <c r="AG311">
        <v>2023</v>
      </c>
      <c r="AH311" t="s">
        <v>30</v>
      </c>
      <c r="AI311">
        <v>105</v>
      </c>
      <c r="AJ311">
        <v>2.9</v>
      </c>
    </row>
    <row r="312" spans="1:36" x14ac:dyDescent="0.25">
      <c r="A312">
        <v>10311</v>
      </c>
      <c r="B312" t="s">
        <v>53</v>
      </c>
      <c r="C312" t="s">
        <v>65</v>
      </c>
      <c r="D312" t="s">
        <v>54</v>
      </c>
      <c r="E312" t="str">
        <f t="shared" si="52"/>
        <v>Sarah Johnson is in Finance Department</v>
      </c>
      <c r="F312" s="6" t="str">
        <f t="shared" si="53"/>
        <v>sarahjohnson@gmail.com</v>
      </c>
      <c r="G312">
        <v>40985</v>
      </c>
      <c r="H312" t="str">
        <f t="shared" si="54"/>
        <v>low</v>
      </c>
      <c r="I312" s="3">
        <v>38179</v>
      </c>
      <c r="J312">
        <f t="shared" si="55"/>
        <v>2004</v>
      </c>
      <c r="K312">
        <f t="shared" si="56"/>
        <v>7</v>
      </c>
      <c r="L312">
        <f t="shared" si="57"/>
        <v>11</v>
      </c>
      <c r="M312" s="3">
        <f t="shared" ca="1" si="58"/>
        <v>46100</v>
      </c>
      <c r="N312">
        <f t="shared" ca="1" si="59"/>
        <v>7921</v>
      </c>
      <c r="O312">
        <f t="shared" ca="1" si="60"/>
        <v>7921</v>
      </c>
      <c r="P312">
        <f t="shared" ca="1" si="61"/>
        <v>5659</v>
      </c>
      <c r="Q312">
        <v>57</v>
      </c>
      <c r="R312" t="str">
        <f t="shared" si="62"/>
        <v>Old</v>
      </c>
      <c r="S312" t="s">
        <v>34</v>
      </c>
      <c r="T312">
        <v>5</v>
      </c>
      <c r="U312" t="s">
        <v>25</v>
      </c>
      <c r="V312">
        <v>5407.12</v>
      </c>
      <c r="W312" t="s">
        <v>26</v>
      </c>
      <c r="X312" t="s">
        <v>40</v>
      </c>
      <c r="Y312">
        <v>38</v>
      </c>
      <c r="Z312" t="str">
        <f t="shared" si="63"/>
        <v>Bad Employee</v>
      </c>
      <c r="AA312" t="b">
        <f t="shared" si="64"/>
        <v>0</v>
      </c>
      <c r="AB312" t="b">
        <f>OR(Y312&gt;20, T312&gt;6)</f>
        <v>1</v>
      </c>
      <c r="AC312" t="str">
        <f>IF(OR(Y312&gt;20,T312&gt;6), "Good employee", "Bad Employee")</f>
        <v>Good employee</v>
      </c>
      <c r="AD312" t="s">
        <v>56</v>
      </c>
      <c r="AE312" t="s">
        <v>37</v>
      </c>
      <c r="AF312">
        <v>10</v>
      </c>
      <c r="AG312">
        <v>2012</v>
      </c>
      <c r="AH312" t="s">
        <v>49</v>
      </c>
      <c r="AI312">
        <v>145</v>
      </c>
      <c r="AJ312">
        <v>2.4</v>
      </c>
    </row>
    <row r="313" spans="1:36" x14ac:dyDescent="0.25">
      <c r="A313">
        <v>10312</v>
      </c>
      <c r="B313" t="s">
        <v>21</v>
      </c>
      <c r="C313" t="s">
        <v>57</v>
      </c>
      <c r="D313" t="s">
        <v>39</v>
      </c>
      <c r="E313" t="str">
        <f t="shared" si="52"/>
        <v>Michael Davis is in IT Department</v>
      </c>
      <c r="F313" s="6" t="str">
        <f t="shared" si="53"/>
        <v>michaeldavis@gmail.com</v>
      </c>
      <c r="G313">
        <v>42391</v>
      </c>
      <c r="H313" t="str">
        <f t="shared" si="54"/>
        <v>low</v>
      </c>
      <c r="I313" s="3">
        <v>39028</v>
      </c>
      <c r="J313">
        <f t="shared" si="55"/>
        <v>2006</v>
      </c>
      <c r="K313">
        <f t="shared" si="56"/>
        <v>11</v>
      </c>
      <c r="L313">
        <f t="shared" si="57"/>
        <v>7</v>
      </c>
      <c r="M313" s="3">
        <f t="shared" ca="1" si="58"/>
        <v>46100</v>
      </c>
      <c r="N313">
        <f t="shared" ca="1" si="59"/>
        <v>7072</v>
      </c>
      <c r="O313">
        <f t="shared" ca="1" si="60"/>
        <v>7072</v>
      </c>
      <c r="P313">
        <f t="shared" ca="1" si="61"/>
        <v>5053</v>
      </c>
      <c r="Q313">
        <v>52</v>
      </c>
      <c r="R313" t="str">
        <f t="shared" si="62"/>
        <v>Old</v>
      </c>
      <c r="S313" t="s">
        <v>24</v>
      </c>
      <c r="T313">
        <v>4</v>
      </c>
      <c r="U313" t="s">
        <v>25</v>
      </c>
      <c r="V313">
        <v>844.99</v>
      </c>
      <c r="W313" t="s">
        <v>35</v>
      </c>
      <c r="X313" t="s">
        <v>40</v>
      </c>
      <c r="Y313">
        <v>35</v>
      </c>
      <c r="Z313" t="str">
        <f t="shared" si="63"/>
        <v>Bad Employee</v>
      </c>
      <c r="AA313" t="b">
        <f t="shared" si="64"/>
        <v>0</v>
      </c>
      <c r="AB313" t="b">
        <f>OR(Y313&gt;20, T313&gt;6)</f>
        <v>1</v>
      </c>
      <c r="AC313" t="str">
        <f>IF(OR(Y313&gt;20,T313&gt;6), "Good employee", "Bad Employee")</f>
        <v>Good employee</v>
      </c>
      <c r="AD313" t="s">
        <v>56</v>
      </c>
      <c r="AE313" t="s">
        <v>62</v>
      </c>
      <c r="AF313">
        <v>13</v>
      </c>
      <c r="AG313">
        <v>2014</v>
      </c>
      <c r="AH313" t="s">
        <v>49</v>
      </c>
      <c r="AI313">
        <v>91</v>
      </c>
      <c r="AJ313">
        <v>3.1</v>
      </c>
    </row>
    <row r="314" spans="1:36" x14ac:dyDescent="0.25">
      <c r="A314">
        <v>10313</v>
      </c>
      <c r="B314" t="s">
        <v>31</v>
      </c>
      <c r="C314" t="s">
        <v>51</v>
      </c>
      <c r="D314" t="s">
        <v>39</v>
      </c>
      <c r="E314" t="str">
        <f t="shared" si="52"/>
        <v>Emily Brown is in IT Department</v>
      </c>
      <c r="F314" s="6" t="str">
        <f t="shared" si="53"/>
        <v>emilybrown@gmail.com</v>
      </c>
      <c r="G314">
        <v>34861</v>
      </c>
      <c r="H314" t="str">
        <f t="shared" si="54"/>
        <v>extremely low</v>
      </c>
      <c r="I314" s="3">
        <v>39795</v>
      </c>
      <c r="J314">
        <f t="shared" si="55"/>
        <v>2008</v>
      </c>
      <c r="K314">
        <f t="shared" si="56"/>
        <v>12</v>
      </c>
      <c r="L314">
        <f t="shared" si="57"/>
        <v>13</v>
      </c>
      <c r="M314" s="3">
        <f t="shared" ca="1" si="58"/>
        <v>46100</v>
      </c>
      <c r="N314">
        <f t="shared" ca="1" si="59"/>
        <v>6305</v>
      </c>
      <c r="O314">
        <f t="shared" ca="1" si="60"/>
        <v>6305</v>
      </c>
      <c r="P314">
        <f t="shared" ca="1" si="61"/>
        <v>4504</v>
      </c>
      <c r="Q314">
        <v>40</v>
      </c>
      <c r="R314" t="str">
        <f t="shared" si="62"/>
        <v>Old</v>
      </c>
      <c r="S314" t="s">
        <v>34</v>
      </c>
      <c r="T314">
        <v>6</v>
      </c>
      <c r="U314" t="s">
        <v>45</v>
      </c>
      <c r="V314">
        <v>9587</v>
      </c>
      <c r="W314" t="s">
        <v>46</v>
      </c>
      <c r="X314" t="s">
        <v>40</v>
      </c>
      <c r="Y314">
        <v>20</v>
      </c>
      <c r="Z314" t="str">
        <f t="shared" si="63"/>
        <v>Bad Employee</v>
      </c>
      <c r="AA314" t="b">
        <f t="shared" si="64"/>
        <v>0</v>
      </c>
      <c r="AB314" t="b">
        <f>OR(Y314&gt;20, T314&gt;6)</f>
        <v>0</v>
      </c>
      <c r="AC314" t="str">
        <f>IF(OR(Y314&gt;20,T314&gt;6), "Good employee", "Bad Employee")</f>
        <v>Bad Employee</v>
      </c>
      <c r="AD314" t="s">
        <v>41</v>
      </c>
      <c r="AE314" t="s">
        <v>62</v>
      </c>
      <c r="AF314">
        <v>2</v>
      </c>
      <c r="AG314">
        <v>2013</v>
      </c>
      <c r="AH314" t="s">
        <v>49</v>
      </c>
      <c r="AI314">
        <v>142</v>
      </c>
      <c r="AJ314">
        <v>3.9</v>
      </c>
    </row>
    <row r="315" spans="1:36" x14ac:dyDescent="0.25">
      <c r="A315">
        <v>10314</v>
      </c>
      <c r="B315" t="s">
        <v>21</v>
      </c>
      <c r="C315" t="s">
        <v>32</v>
      </c>
      <c r="D315" t="s">
        <v>23</v>
      </c>
      <c r="E315" t="str">
        <f t="shared" si="52"/>
        <v>Michael Wilson is in HR Department</v>
      </c>
      <c r="F315" s="6" t="str">
        <f t="shared" si="53"/>
        <v>michaelwilson@gmail.com</v>
      </c>
      <c r="G315">
        <v>93582</v>
      </c>
      <c r="H315" t="str">
        <f t="shared" si="54"/>
        <v>High</v>
      </c>
      <c r="I315" s="3">
        <v>36807</v>
      </c>
      <c r="J315">
        <f t="shared" si="55"/>
        <v>2000</v>
      </c>
      <c r="K315">
        <f t="shared" si="56"/>
        <v>10</v>
      </c>
      <c r="L315">
        <f t="shared" si="57"/>
        <v>8</v>
      </c>
      <c r="M315" s="3">
        <f t="shared" ca="1" si="58"/>
        <v>46100</v>
      </c>
      <c r="N315">
        <f t="shared" ca="1" si="59"/>
        <v>9293</v>
      </c>
      <c r="O315">
        <f t="shared" ca="1" si="60"/>
        <v>9293</v>
      </c>
      <c r="P315">
        <f t="shared" ca="1" si="61"/>
        <v>6639</v>
      </c>
      <c r="Q315">
        <v>39</v>
      </c>
      <c r="R315" t="str">
        <f t="shared" si="62"/>
        <v>Old</v>
      </c>
      <c r="S315" t="s">
        <v>34</v>
      </c>
      <c r="T315">
        <v>2</v>
      </c>
      <c r="U315" t="s">
        <v>45</v>
      </c>
      <c r="V315">
        <v>2155.2199999999998</v>
      </c>
      <c r="W315" t="s">
        <v>26</v>
      </c>
      <c r="X315" t="s">
        <v>55</v>
      </c>
      <c r="Y315">
        <v>12</v>
      </c>
      <c r="Z315" t="str">
        <f t="shared" si="63"/>
        <v>Bad Employee</v>
      </c>
      <c r="AA315" t="b">
        <f t="shared" si="64"/>
        <v>0</v>
      </c>
      <c r="AB315" t="b">
        <f>OR(Y315&gt;20, T315&gt;6)</f>
        <v>0</v>
      </c>
      <c r="AC315" t="str">
        <f>IF(OR(Y315&gt;20,T315&gt;6), "Good employee", "Bad Employee")</f>
        <v>Bad Employee</v>
      </c>
      <c r="AD315" t="s">
        <v>41</v>
      </c>
      <c r="AE315" t="s">
        <v>48</v>
      </c>
      <c r="AF315">
        <v>7</v>
      </c>
      <c r="AG315">
        <v>2022</v>
      </c>
      <c r="AH315" t="s">
        <v>43</v>
      </c>
      <c r="AI315">
        <v>49</v>
      </c>
      <c r="AJ315">
        <v>1</v>
      </c>
    </row>
    <row r="316" spans="1:36" x14ac:dyDescent="0.25">
      <c r="A316">
        <v>10315</v>
      </c>
      <c r="B316" t="s">
        <v>50</v>
      </c>
      <c r="C316" t="s">
        <v>57</v>
      </c>
      <c r="D316" t="s">
        <v>52</v>
      </c>
      <c r="E316" t="str">
        <f t="shared" si="52"/>
        <v>Alex Davis is in Operations Department</v>
      </c>
      <c r="F316" s="6" t="str">
        <f t="shared" si="53"/>
        <v>alexdavis@gmail.com</v>
      </c>
      <c r="G316">
        <v>81928</v>
      </c>
      <c r="H316" t="str">
        <f t="shared" si="54"/>
        <v>High</v>
      </c>
      <c r="I316" s="3">
        <v>41507</v>
      </c>
      <c r="J316">
        <f t="shared" si="55"/>
        <v>2013</v>
      </c>
      <c r="K316">
        <f t="shared" si="56"/>
        <v>8</v>
      </c>
      <c r="L316">
        <f t="shared" si="57"/>
        <v>21</v>
      </c>
      <c r="M316" s="3">
        <f t="shared" ca="1" si="58"/>
        <v>46100</v>
      </c>
      <c r="N316">
        <f t="shared" ca="1" si="59"/>
        <v>4593</v>
      </c>
      <c r="O316">
        <f t="shared" ca="1" si="60"/>
        <v>4593</v>
      </c>
      <c r="P316">
        <f t="shared" ca="1" si="61"/>
        <v>3282</v>
      </c>
      <c r="Q316">
        <v>27</v>
      </c>
      <c r="R316" t="str">
        <f t="shared" si="62"/>
        <v>Young</v>
      </c>
      <c r="S316" t="s">
        <v>24</v>
      </c>
      <c r="T316">
        <v>2</v>
      </c>
      <c r="U316" t="s">
        <v>45</v>
      </c>
      <c r="V316">
        <v>5614.24</v>
      </c>
      <c r="W316" t="s">
        <v>26</v>
      </c>
      <c r="X316" t="s">
        <v>27</v>
      </c>
      <c r="Y316">
        <v>3</v>
      </c>
      <c r="Z316" t="str">
        <f t="shared" si="63"/>
        <v>Bad Employee</v>
      </c>
      <c r="AA316" t="b">
        <f t="shared" si="64"/>
        <v>0</v>
      </c>
      <c r="AB316" t="b">
        <f>OR(Y316&gt;20, T316&gt;6)</f>
        <v>0</v>
      </c>
      <c r="AC316" t="str">
        <f>IF(OR(Y316&gt;20,T316&gt;6), "Good employee", "Bad Employee")</f>
        <v>Bad Employee</v>
      </c>
      <c r="AD316" t="s">
        <v>28</v>
      </c>
      <c r="AE316" t="s">
        <v>62</v>
      </c>
      <c r="AF316">
        <v>3</v>
      </c>
      <c r="AG316">
        <v>2020</v>
      </c>
      <c r="AH316" t="s">
        <v>43</v>
      </c>
      <c r="AI316">
        <v>132</v>
      </c>
      <c r="AJ316">
        <v>4.5</v>
      </c>
    </row>
    <row r="317" spans="1:36" x14ac:dyDescent="0.25">
      <c r="A317">
        <v>10316</v>
      </c>
      <c r="B317" t="s">
        <v>53</v>
      </c>
      <c r="C317" t="s">
        <v>65</v>
      </c>
      <c r="D317" t="s">
        <v>44</v>
      </c>
      <c r="E317" t="str">
        <f t="shared" si="52"/>
        <v>Sarah Johnson is in Sales Department</v>
      </c>
      <c r="F317" s="6" t="str">
        <f t="shared" si="53"/>
        <v>sarahjohnson@gmail.com</v>
      </c>
      <c r="G317">
        <v>64364</v>
      </c>
      <c r="H317" t="str">
        <f t="shared" si="54"/>
        <v>Medium</v>
      </c>
      <c r="I317" s="3">
        <v>37550</v>
      </c>
      <c r="J317">
        <f t="shared" si="55"/>
        <v>2002</v>
      </c>
      <c r="K317">
        <f t="shared" si="56"/>
        <v>10</v>
      </c>
      <c r="L317">
        <f t="shared" si="57"/>
        <v>21</v>
      </c>
      <c r="M317" s="3">
        <f t="shared" ca="1" si="58"/>
        <v>46100</v>
      </c>
      <c r="N317">
        <f t="shared" ca="1" si="59"/>
        <v>8550</v>
      </c>
      <c r="O317">
        <f t="shared" ca="1" si="60"/>
        <v>8550</v>
      </c>
      <c r="P317">
        <f t="shared" ca="1" si="61"/>
        <v>6109</v>
      </c>
      <c r="Q317">
        <v>49</v>
      </c>
      <c r="R317" t="str">
        <f t="shared" si="62"/>
        <v>Old</v>
      </c>
      <c r="S317" t="s">
        <v>24</v>
      </c>
      <c r="T317">
        <v>9</v>
      </c>
      <c r="U317" t="s">
        <v>45</v>
      </c>
      <c r="V317">
        <v>4258.91</v>
      </c>
      <c r="W317" t="s">
        <v>46</v>
      </c>
      <c r="X317" t="s">
        <v>27</v>
      </c>
      <c r="Y317">
        <v>20</v>
      </c>
      <c r="Z317" t="str">
        <f t="shared" si="63"/>
        <v>Bad Employee</v>
      </c>
      <c r="AA317" t="b">
        <f t="shared" si="64"/>
        <v>0</v>
      </c>
      <c r="AB317" t="b">
        <f>OR(Y317&gt;20, T317&gt;6)</f>
        <v>1</v>
      </c>
      <c r="AC317" t="str">
        <f>IF(OR(Y317&gt;20,T317&gt;6), "Good employee", "Bad Employee")</f>
        <v>Good employee</v>
      </c>
      <c r="AD317" t="s">
        <v>41</v>
      </c>
      <c r="AE317" t="s">
        <v>37</v>
      </c>
      <c r="AF317">
        <v>15</v>
      </c>
      <c r="AG317">
        <v>2015</v>
      </c>
      <c r="AH317" t="s">
        <v>43</v>
      </c>
      <c r="AI317">
        <v>93</v>
      </c>
      <c r="AJ317">
        <v>4.5</v>
      </c>
    </row>
    <row r="318" spans="1:36" x14ac:dyDescent="0.25">
      <c r="A318">
        <v>10317</v>
      </c>
      <c r="B318" t="s">
        <v>50</v>
      </c>
      <c r="C318" t="s">
        <v>63</v>
      </c>
      <c r="D318" t="s">
        <v>44</v>
      </c>
      <c r="E318" t="str">
        <f t="shared" si="52"/>
        <v>Alex Miller is in Sales Department</v>
      </c>
      <c r="F318" s="6" t="str">
        <f t="shared" si="53"/>
        <v>alexmiller@gmail.com</v>
      </c>
      <c r="G318">
        <v>112399</v>
      </c>
      <c r="H318" t="str">
        <f t="shared" si="54"/>
        <v>High</v>
      </c>
      <c r="I318" s="3">
        <v>41344</v>
      </c>
      <c r="J318">
        <f t="shared" si="55"/>
        <v>2013</v>
      </c>
      <c r="K318">
        <f t="shared" si="56"/>
        <v>3</v>
      </c>
      <c r="L318">
        <f t="shared" si="57"/>
        <v>11</v>
      </c>
      <c r="M318" s="3">
        <f t="shared" ca="1" si="58"/>
        <v>46100</v>
      </c>
      <c r="N318">
        <f t="shared" ca="1" si="59"/>
        <v>4756</v>
      </c>
      <c r="O318">
        <f t="shared" ca="1" si="60"/>
        <v>4756</v>
      </c>
      <c r="P318">
        <f t="shared" ca="1" si="61"/>
        <v>3399</v>
      </c>
      <c r="Q318">
        <v>28</v>
      </c>
      <c r="R318" t="str">
        <f t="shared" si="62"/>
        <v>Young</v>
      </c>
      <c r="S318" t="s">
        <v>34</v>
      </c>
      <c r="T318">
        <v>7</v>
      </c>
      <c r="U318" t="s">
        <v>25</v>
      </c>
      <c r="V318">
        <v>4448.05</v>
      </c>
      <c r="W318" t="s">
        <v>58</v>
      </c>
      <c r="X318" t="s">
        <v>36</v>
      </c>
      <c r="Y318">
        <v>12</v>
      </c>
      <c r="Z318" t="str">
        <f t="shared" si="63"/>
        <v>Bad Employee</v>
      </c>
      <c r="AA318" t="b">
        <f t="shared" si="64"/>
        <v>0</v>
      </c>
      <c r="AB318" t="b">
        <f>OR(Y318&gt;20, T318&gt;6)</f>
        <v>1</v>
      </c>
      <c r="AC318" t="str">
        <f>IF(OR(Y318&gt;20,T318&gt;6), "Good employee", "Bad Employee")</f>
        <v>Good employee</v>
      </c>
      <c r="AD318" t="s">
        <v>56</v>
      </c>
      <c r="AE318" t="s">
        <v>62</v>
      </c>
      <c r="AF318">
        <v>17</v>
      </c>
      <c r="AG318">
        <v>2012</v>
      </c>
      <c r="AH318" t="s">
        <v>43</v>
      </c>
      <c r="AI318">
        <v>86</v>
      </c>
      <c r="AJ318">
        <v>3.2</v>
      </c>
    </row>
    <row r="319" spans="1:36" x14ac:dyDescent="0.25">
      <c r="A319">
        <v>10318</v>
      </c>
      <c r="B319" t="s">
        <v>66</v>
      </c>
      <c r="C319" t="s">
        <v>57</v>
      </c>
      <c r="D319" t="s">
        <v>54</v>
      </c>
      <c r="E319" t="str">
        <f t="shared" si="52"/>
        <v>John Davis is in Finance Department</v>
      </c>
      <c r="F319" s="6" t="str">
        <f t="shared" si="53"/>
        <v>johndavis@gmail.com</v>
      </c>
      <c r="G319">
        <v>72923</v>
      </c>
      <c r="H319" t="str">
        <f t="shared" si="54"/>
        <v>Medium</v>
      </c>
      <c r="I319" s="3">
        <v>42420</v>
      </c>
      <c r="J319">
        <f t="shared" si="55"/>
        <v>2016</v>
      </c>
      <c r="K319">
        <f t="shared" si="56"/>
        <v>2</v>
      </c>
      <c r="L319">
        <f t="shared" si="57"/>
        <v>20</v>
      </c>
      <c r="M319" s="3">
        <f t="shared" ca="1" si="58"/>
        <v>46100</v>
      </c>
      <c r="N319">
        <f t="shared" ca="1" si="59"/>
        <v>3680</v>
      </c>
      <c r="O319">
        <f t="shared" ca="1" si="60"/>
        <v>3680</v>
      </c>
      <c r="P319">
        <f t="shared" ca="1" si="61"/>
        <v>2629</v>
      </c>
      <c r="Q319">
        <v>59</v>
      </c>
      <c r="R319" t="str">
        <f t="shared" si="62"/>
        <v>Old</v>
      </c>
      <c r="S319" t="s">
        <v>34</v>
      </c>
      <c r="T319">
        <v>7</v>
      </c>
      <c r="U319" t="s">
        <v>45</v>
      </c>
      <c r="V319">
        <v>6611.35</v>
      </c>
      <c r="W319" t="s">
        <v>35</v>
      </c>
      <c r="X319" t="s">
        <v>40</v>
      </c>
      <c r="Y319">
        <v>24</v>
      </c>
      <c r="Z319" t="str">
        <f t="shared" si="63"/>
        <v>Good Employee</v>
      </c>
      <c r="AA319" t="b">
        <f t="shared" si="64"/>
        <v>1</v>
      </c>
      <c r="AB319" t="b">
        <f>OR(Y319&gt;20, T319&gt;6)</f>
        <v>1</v>
      </c>
      <c r="AC319" t="str">
        <f>IF(OR(Y319&gt;20,T319&gt;6), "Good employee", "Bad Employee")</f>
        <v>Good employee</v>
      </c>
      <c r="AD319" t="s">
        <v>41</v>
      </c>
      <c r="AE319" t="s">
        <v>62</v>
      </c>
      <c r="AF319">
        <v>6</v>
      </c>
      <c r="AG319">
        <v>2021</v>
      </c>
      <c r="AH319" t="s">
        <v>30</v>
      </c>
      <c r="AI319">
        <v>123</v>
      </c>
      <c r="AJ319">
        <v>1.5</v>
      </c>
    </row>
    <row r="320" spans="1:36" x14ac:dyDescent="0.25">
      <c r="A320">
        <v>10319</v>
      </c>
      <c r="B320" t="s">
        <v>21</v>
      </c>
      <c r="C320" t="s">
        <v>57</v>
      </c>
      <c r="D320" t="s">
        <v>39</v>
      </c>
      <c r="E320" t="str">
        <f t="shared" si="52"/>
        <v>Michael Davis is in IT Department</v>
      </c>
      <c r="F320" s="6" t="str">
        <f t="shared" si="53"/>
        <v>michaeldavis@gmail.com</v>
      </c>
      <c r="G320">
        <v>37919</v>
      </c>
      <c r="H320" t="str">
        <f t="shared" si="54"/>
        <v>extremely low</v>
      </c>
      <c r="I320" s="3">
        <v>39929</v>
      </c>
      <c r="J320">
        <f t="shared" si="55"/>
        <v>2009</v>
      </c>
      <c r="K320">
        <f t="shared" si="56"/>
        <v>4</v>
      </c>
      <c r="L320">
        <f t="shared" si="57"/>
        <v>26</v>
      </c>
      <c r="M320" s="3">
        <f t="shared" ca="1" si="58"/>
        <v>46100</v>
      </c>
      <c r="N320">
        <f t="shared" ca="1" si="59"/>
        <v>6171</v>
      </c>
      <c r="O320">
        <f t="shared" ca="1" si="60"/>
        <v>6171</v>
      </c>
      <c r="P320">
        <f t="shared" ca="1" si="61"/>
        <v>4409</v>
      </c>
      <c r="Q320">
        <v>33</v>
      </c>
      <c r="R320" t="str">
        <f t="shared" si="62"/>
        <v>Old</v>
      </c>
      <c r="S320" t="s">
        <v>34</v>
      </c>
      <c r="T320">
        <v>5</v>
      </c>
      <c r="U320" t="s">
        <v>25</v>
      </c>
      <c r="V320">
        <v>6789.84</v>
      </c>
      <c r="W320" t="s">
        <v>35</v>
      </c>
      <c r="X320" t="s">
        <v>47</v>
      </c>
      <c r="Y320">
        <v>16</v>
      </c>
      <c r="Z320" t="str">
        <f t="shared" si="63"/>
        <v>Bad Employee</v>
      </c>
      <c r="AA320" t="b">
        <f t="shared" si="64"/>
        <v>0</v>
      </c>
      <c r="AB320" t="b">
        <f>OR(Y320&gt;20, T320&gt;6)</f>
        <v>0</v>
      </c>
      <c r="AC320" t="str">
        <f>IF(OR(Y320&gt;20,T320&gt;6), "Good employee", "Bad Employee")</f>
        <v>Bad Employee</v>
      </c>
      <c r="AD320" t="s">
        <v>28</v>
      </c>
      <c r="AE320" t="s">
        <v>62</v>
      </c>
      <c r="AF320">
        <v>10</v>
      </c>
      <c r="AG320">
        <v>2019</v>
      </c>
      <c r="AH320" t="s">
        <v>43</v>
      </c>
      <c r="AI320">
        <v>96</v>
      </c>
      <c r="AJ320">
        <v>3.7</v>
      </c>
    </row>
    <row r="321" spans="1:36" x14ac:dyDescent="0.25">
      <c r="A321">
        <v>10320</v>
      </c>
      <c r="B321" t="s">
        <v>64</v>
      </c>
      <c r="C321" t="s">
        <v>63</v>
      </c>
      <c r="D321" t="s">
        <v>33</v>
      </c>
      <c r="E321" t="str">
        <f t="shared" si="52"/>
        <v>Katie Miller is in Marketing Department</v>
      </c>
      <c r="F321" s="6" t="str">
        <f t="shared" si="53"/>
        <v>katiemiller@gmail.com</v>
      </c>
      <c r="G321">
        <v>85896</v>
      </c>
      <c r="H321" t="str">
        <f t="shared" si="54"/>
        <v>High</v>
      </c>
      <c r="I321" s="3">
        <v>37761</v>
      </c>
      <c r="J321">
        <f t="shared" si="55"/>
        <v>2003</v>
      </c>
      <c r="K321">
        <f t="shared" si="56"/>
        <v>5</v>
      </c>
      <c r="L321">
        <f t="shared" si="57"/>
        <v>20</v>
      </c>
      <c r="M321" s="3">
        <f t="shared" ca="1" si="58"/>
        <v>46100</v>
      </c>
      <c r="N321">
        <f t="shared" ca="1" si="59"/>
        <v>8339</v>
      </c>
      <c r="O321">
        <f t="shared" ca="1" si="60"/>
        <v>8339</v>
      </c>
      <c r="P321">
        <f t="shared" ca="1" si="61"/>
        <v>5958</v>
      </c>
      <c r="Q321">
        <v>62</v>
      </c>
      <c r="R321" t="str">
        <f t="shared" si="62"/>
        <v>Old</v>
      </c>
      <c r="S321" t="s">
        <v>34</v>
      </c>
      <c r="T321">
        <v>7</v>
      </c>
      <c r="U321" t="s">
        <v>45</v>
      </c>
      <c r="V321">
        <v>1965.74</v>
      </c>
      <c r="W321" t="s">
        <v>58</v>
      </c>
      <c r="X321" t="s">
        <v>36</v>
      </c>
      <c r="Y321">
        <v>10</v>
      </c>
      <c r="Z321" t="str">
        <f t="shared" si="63"/>
        <v>Bad Employee</v>
      </c>
      <c r="AA321" t="b">
        <f t="shared" si="64"/>
        <v>0</v>
      </c>
      <c r="AB321" t="b">
        <f>OR(Y321&gt;20, T321&gt;6)</f>
        <v>1</v>
      </c>
      <c r="AC321" t="str">
        <f>IF(OR(Y321&gt;20,T321&gt;6), "Good employee", "Bad Employee")</f>
        <v>Good employee</v>
      </c>
      <c r="AD321" t="s">
        <v>56</v>
      </c>
      <c r="AE321" t="s">
        <v>37</v>
      </c>
      <c r="AF321">
        <v>7</v>
      </c>
      <c r="AG321">
        <v>2013</v>
      </c>
      <c r="AH321" t="s">
        <v>43</v>
      </c>
      <c r="AI321">
        <v>140</v>
      </c>
      <c r="AJ321">
        <v>1.6</v>
      </c>
    </row>
    <row r="322" spans="1:36" x14ac:dyDescent="0.25">
      <c r="A322">
        <v>10321</v>
      </c>
      <c r="B322" t="s">
        <v>53</v>
      </c>
      <c r="C322" t="s">
        <v>65</v>
      </c>
      <c r="D322" t="s">
        <v>39</v>
      </c>
      <c r="E322" t="str">
        <f t="shared" si="52"/>
        <v>Sarah Johnson is in IT Department</v>
      </c>
      <c r="F322" s="6" t="str">
        <f t="shared" si="53"/>
        <v>sarahjohnson@gmail.com</v>
      </c>
      <c r="G322">
        <v>115818</v>
      </c>
      <c r="H322" t="str">
        <f t="shared" si="54"/>
        <v>High</v>
      </c>
      <c r="I322" s="3">
        <v>40708</v>
      </c>
      <c r="J322">
        <f t="shared" si="55"/>
        <v>2011</v>
      </c>
      <c r="K322">
        <f t="shared" si="56"/>
        <v>6</v>
      </c>
      <c r="L322">
        <f t="shared" si="57"/>
        <v>14</v>
      </c>
      <c r="M322" s="3">
        <f t="shared" ca="1" si="58"/>
        <v>46100</v>
      </c>
      <c r="N322">
        <f t="shared" ca="1" si="59"/>
        <v>5392</v>
      </c>
      <c r="O322">
        <f t="shared" ca="1" si="60"/>
        <v>5392</v>
      </c>
      <c r="P322">
        <f t="shared" ca="1" si="61"/>
        <v>3853</v>
      </c>
      <c r="Q322">
        <v>55</v>
      </c>
      <c r="R322" t="str">
        <f t="shared" si="62"/>
        <v>Old</v>
      </c>
      <c r="S322" t="s">
        <v>24</v>
      </c>
      <c r="T322">
        <v>9</v>
      </c>
      <c r="U322" t="s">
        <v>45</v>
      </c>
      <c r="V322">
        <v>5246.07</v>
      </c>
      <c r="W322" t="s">
        <v>26</v>
      </c>
      <c r="X322" t="s">
        <v>36</v>
      </c>
      <c r="Y322">
        <v>19</v>
      </c>
      <c r="Z322" t="str">
        <f t="shared" si="63"/>
        <v>Bad Employee</v>
      </c>
      <c r="AA322" t="b">
        <f t="shared" si="64"/>
        <v>0</v>
      </c>
      <c r="AB322" t="b">
        <f>OR(Y322&gt;20, T322&gt;6)</f>
        <v>1</v>
      </c>
      <c r="AC322" t="str">
        <f>IF(OR(Y322&gt;20,T322&gt;6), "Good employee", "Bad Employee")</f>
        <v>Good employee</v>
      </c>
      <c r="AD322" t="s">
        <v>41</v>
      </c>
      <c r="AE322" t="s">
        <v>37</v>
      </c>
      <c r="AF322">
        <v>19</v>
      </c>
      <c r="AG322">
        <v>2020</v>
      </c>
      <c r="AH322" t="s">
        <v>43</v>
      </c>
      <c r="AI322">
        <v>9</v>
      </c>
      <c r="AJ322">
        <v>3</v>
      </c>
    </row>
    <row r="323" spans="1:36" x14ac:dyDescent="0.25">
      <c r="A323">
        <v>10322</v>
      </c>
      <c r="B323" t="s">
        <v>38</v>
      </c>
      <c r="C323" t="s">
        <v>63</v>
      </c>
      <c r="D323" t="s">
        <v>54</v>
      </c>
      <c r="E323" t="str">
        <f t="shared" ref="E323:E386" si="65">CONCATENATE(B323, " ", C323, " is in ", D323, " Department")</f>
        <v>Chris Miller is in Finance Department</v>
      </c>
      <c r="F323" s="6" t="str">
        <f t="shared" ref="F323:F386" si="66">LOWER(CONCATENATE(B323, C323, "@gmail.com"))</f>
        <v>chrismiller@gmail.com</v>
      </c>
      <c r="G323">
        <v>77396</v>
      </c>
      <c r="H323" t="str">
        <f t="shared" ref="H323:H386" si="67">IF(G323&gt;80000, "High", IF(G323&gt;50000, "Medium", IF(G323&gt;40000, "low", "extremely low")))</f>
        <v>Medium</v>
      </c>
      <c r="I323" s="3">
        <v>41286</v>
      </c>
      <c r="J323">
        <f t="shared" ref="J323:J386" si="68">YEAR(I323)</f>
        <v>2013</v>
      </c>
      <c r="K323">
        <f t="shared" ref="K323:K386" si="69">MONTH(I323)</f>
        <v>1</v>
      </c>
      <c r="L323">
        <f t="shared" ref="L323:L386" si="70">DAY(I323)</f>
        <v>12</v>
      </c>
      <c r="M323" s="3">
        <f t="shared" ref="M323:M386" ca="1" si="71">TODAY()</f>
        <v>46100</v>
      </c>
      <c r="N323">
        <f t="shared" ref="N323:N386" ca="1" si="72">M323-I323</f>
        <v>4814</v>
      </c>
      <c r="O323">
        <f t="shared" ref="O323:O386" ca="1" si="73">DATEDIF(I323,M323, "d")</f>
        <v>4814</v>
      </c>
      <c r="P323">
        <f t="shared" ref="P323:P386" ca="1" si="74">NETWORKDAYS(I323, M323)</f>
        <v>3439</v>
      </c>
      <c r="Q323">
        <v>46</v>
      </c>
      <c r="R323" t="str">
        <f t="shared" ref="R323:R386" si="75">IF(Q323&gt;30, "Old", "Young")</f>
        <v>Old</v>
      </c>
      <c r="S323" t="s">
        <v>34</v>
      </c>
      <c r="T323">
        <v>5</v>
      </c>
      <c r="U323" t="s">
        <v>25</v>
      </c>
      <c r="V323">
        <v>8009.54</v>
      </c>
      <c r="W323" t="s">
        <v>58</v>
      </c>
      <c r="X323" t="s">
        <v>55</v>
      </c>
      <c r="Y323">
        <v>14</v>
      </c>
      <c r="Z323" t="str">
        <f t="shared" ref="Z323:Z386" si="76" xml:space="preserve"> IF(AND(Y323&gt;20, T323&gt;6), "Good Employee", "Bad Employee")</f>
        <v>Bad Employee</v>
      </c>
      <c r="AA323" t="b">
        <f t="shared" ref="AA323:AA386" si="77">AND(Y323&gt;20, T323&gt;6)</f>
        <v>0</v>
      </c>
      <c r="AB323" t="b">
        <f>OR(Y323&gt;20, T323&gt;6)</f>
        <v>0</v>
      </c>
      <c r="AC323" t="str">
        <f>IF(OR(Y323&gt;20,T323&gt;6), "Good employee", "Bad Employee")</f>
        <v>Bad Employee</v>
      </c>
      <c r="AD323" t="s">
        <v>28</v>
      </c>
      <c r="AE323" t="s">
        <v>42</v>
      </c>
      <c r="AF323">
        <v>5</v>
      </c>
      <c r="AG323">
        <v>2013</v>
      </c>
      <c r="AH323" t="s">
        <v>30</v>
      </c>
      <c r="AI323">
        <v>24</v>
      </c>
      <c r="AJ323">
        <v>1.4</v>
      </c>
    </row>
    <row r="324" spans="1:36" x14ac:dyDescent="0.25">
      <c r="A324">
        <v>10323</v>
      </c>
      <c r="B324" t="s">
        <v>31</v>
      </c>
      <c r="C324" t="s">
        <v>61</v>
      </c>
      <c r="D324" t="s">
        <v>39</v>
      </c>
      <c r="E324" t="str">
        <f t="shared" si="65"/>
        <v>Emily Smith is in IT Department</v>
      </c>
      <c r="F324" s="6" t="str">
        <f t="shared" si="66"/>
        <v>emilysmith@gmail.com</v>
      </c>
      <c r="G324">
        <v>64840</v>
      </c>
      <c r="H324" t="str">
        <f t="shared" si="67"/>
        <v>Medium</v>
      </c>
      <c r="I324" s="3">
        <v>41483</v>
      </c>
      <c r="J324">
        <f t="shared" si="68"/>
        <v>2013</v>
      </c>
      <c r="K324">
        <f t="shared" si="69"/>
        <v>7</v>
      </c>
      <c r="L324">
        <f t="shared" si="70"/>
        <v>28</v>
      </c>
      <c r="M324" s="3">
        <f t="shared" ca="1" si="71"/>
        <v>46100</v>
      </c>
      <c r="N324">
        <f t="shared" ca="1" si="72"/>
        <v>4617</v>
      </c>
      <c r="O324">
        <f t="shared" ca="1" si="73"/>
        <v>4617</v>
      </c>
      <c r="P324">
        <f t="shared" ca="1" si="74"/>
        <v>3299</v>
      </c>
      <c r="Q324">
        <v>38</v>
      </c>
      <c r="R324" t="str">
        <f t="shared" si="75"/>
        <v>Old</v>
      </c>
      <c r="S324" t="s">
        <v>34</v>
      </c>
      <c r="T324">
        <v>9</v>
      </c>
      <c r="U324" t="s">
        <v>25</v>
      </c>
      <c r="V324">
        <v>4711.22</v>
      </c>
      <c r="W324" t="s">
        <v>46</v>
      </c>
      <c r="X324" t="s">
        <v>36</v>
      </c>
      <c r="Y324">
        <v>14</v>
      </c>
      <c r="Z324" t="str">
        <f t="shared" si="76"/>
        <v>Bad Employee</v>
      </c>
      <c r="AA324" t="b">
        <f t="shared" si="77"/>
        <v>0</v>
      </c>
      <c r="AB324" t="b">
        <f>OR(Y324&gt;20, T324&gt;6)</f>
        <v>1</v>
      </c>
      <c r="AC324" t="str">
        <f>IF(OR(Y324&gt;20,T324&gt;6), "Good employee", "Bad Employee")</f>
        <v>Good employee</v>
      </c>
      <c r="AD324" t="s">
        <v>41</v>
      </c>
      <c r="AE324" t="s">
        <v>48</v>
      </c>
      <c r="AF324">
        <v>15</v>
      </c>
      <c r="AG324">
        <v>2014</v>
      </c>
      <c r="AH324" t="s">
        <v>30</v>
      </c>
      <c r="AI324">
        <v>125</v>
      </c>
      <c r="AJ324">
        <v>3.4</v>
      </c>
    </row>
    <row r="325" spans="1:36" x14ac:dyDescent="0.25">
      <c r="A325">
        <v>10324</v>
      </c>
      <c r="B325" t="s">
        <v>60</v>
      </c>
      <c r="C325" t="s">
        <v>51</v>
      </c>
      <c r="D325" t="s">
        <v>23</v>
      </c>
      <c r="E325" t="str">
        <f t="shared" si="65"/>
        <v>Jane Brown is in HR Department</v>
      </c>
      <c r="F325" s="6" t="str">
        <f t="shared" si="66"/>
        <v>janebrown@gmail.com</v>
      </c>
      <c r="G325">
        <v>72255</v>
      </c>
      <c r="H325" t="str">
        <f t="shared" si="67"/>
        <v>Medium</v>
      </c>
      <c r="I325" s="3">
        <v>42344</v>
      </c>
      <c r="J325">
        <f t="shared" si="68"/>
        <v>2015</v>
      </c>
      <c r="K325">
        <f t="shared" si="69"/>
        <v>12</v>
      </c>
      <c r="L325">
        <f t="shared" si="70"/>
        <v>6</v>
      </c>
      <c r="M325" s="3">
        <f t="shared" ca="1" si="71"/>
        <v>46100</v>
      </c>
      <c r="N325">
        <f t="shared" ca="1" si="72"/>
        <v>3756</v>
      </c>
      <c r="O325">
        <f t="shared" ca="1" si="73"/>
        <v>3756</v>
      </c>
      <c r="P325">
        <f t="shared" ca="1" si="74"/>
        <v>2684</v>
      </c>
      <c r="Q325">
        <v>54</v>
      </c>
      <c r="R325" t="str">
        <f t="shared" si="75"/>
        <v>Old</v>
      </c>
      <c r="S325" t="s">
        <v>34</v>
      </c>
      <c r="T325">
        <v>1</v>
      </c>
      <c r="U325" t="s">
        <v>45</v>
      </c>
      <c r="V325">
        <v>2075.14</v>
      </c>
      <c r="W325" t="s">
        <v>58</v>
      </c>
      <c r="X325" t="s">
        <v>47</v>
      </c>
      <c r="Y325">
        <v>22</v>
      </c>
      <c r="Z325" t="str">
        <f t="shared" si="76"/>
        <v>Bad Employee</v>
      </c>
      <c r="AA325" t="b">
        <f t="shared" si="77"/>
        <v>0</v>
      </c>
      <c r="AB325" t="b">
        <f>OR(Y325&gt;20, T325&gt;6)</f>
        <v>1</v>
      </c>
      <c r="AC325" t="str">
        <f>IF(OR(Y325&gt;20,T325&gt;6), "Good employee", "Bad Employee")</f>
        <v>Good employee</v>
      </c>
      <c r="AD325" t="s">
        <v>28</v>
      </c>
      <c r="AE325" t="s">
        <v>59</v>
      </c>
      <c r="AF325">
        <v>4</v>
      </c>
      <c r="AG325">
        <v>2020</v>
      </c>
      <c r="AH325" t="s">
        <v>49</v>
      </c>
      <c r="AI325">
        <v>176</v>
      </c>
      <c r="AJ325">
        <v>2.2999999999999998</v>
      </c>
    </row>
    <row r="326" spans="1:36" x14ac:dyDescent="0.25">
      <c r="A326">
        <v>10325</v>
      </c>
      <c r="B326" t="s">
        <v>64</v>
      </c>
      <c r="C326" t="s">
        <v>63</v>
      </c>
      <c r="D326" t="s">
        <v>39</v>
      </c>
      <c r="E326" t="str">
        <f t="shared" si="65"/>
        <v>Katie Miller is in IT Department</v>
      </c>
      <c r="F326" s="6" t="str">
        <f t="shared" si="66"/>
        <v>katiemiller@gmail.com</v>
      </c>
      <c r="G326">
        <v>101160</v>
      </c>
      <c r="H326" t="str">
        <f t="shared" si="67"/>
        <v>High</v>
      </c>
      <c r="I326" s="3">
        <v>42730</v>
      </c>
      <c r="J326">
        <f t="shared" si="68"/>
        <v>2016</v>
      </c>
      <c r="K326">
        <f t="shared" si="69"/>
        <v>12</v>
      </c>
      <c r="L326">
        <f t="shared" si="70"/>
        <v>26</v>
      </c>
      <c r="M326" s="3">
        <f t="shared" ca="1" si="71"/>
        <v>46100</v>
      </c>
      <c r="N326">
        <f t="shared" ca="1" si="72"/>
        <v>3370</v>
      </c>
      <c r="O326">
        <f t="shared" ca="1" si="73"/>
        <v>3370</v>
      </c>
      <c r="P326">
        <f t="shared" ca="1" si="74"/>
        <v>2409</v>
      </c>
      <c r="Q326">
        <v>44</v>
      </c>
      <c r="R326" t="str">
        <f t="shared" si="75"/>
        <v>Old</v>
      </c>
      <c r="S326" t="s">
        <v>24</v>
      </c>
      <c r="T326">
        <v>3</v>
      </c>
      <c r="U326" t="s">
        <v>25</v>
      </c>
      <c r="V326">
        <v>3475.56</v>
      </c>
      <c r="W326" t="s">
        <v>26</v>
      </c>
      <c r="X326" t="s">
        <v>27</v>
      </c>
      <c r="Y326">
        <v>4</v>
      </c>
      <c r="Z326" t="str">
        <f t="shared" si="76"/>
        <v>Bad Employee</v>
      </c>
      <c r="AA326" t="b">
        <f t="shared" si="77"/>
        <v>0</v>
      </c>
      <c r="AB326" t="b">
        <f>OR(Y326&gt;20, T326&gt;6)</f>
        <v>0</v>
      </c>
      <c r="AC326" t="str">
        <f>IF(OR(Y326&gt;20,T326&gt;6), "Good employee", "Bad Employee")</f>
        <v>Bad Employee</v>
      </c>
      <c r="AD326" t="s">
        <v>28</v>
      </c>
      <c r="AE326" t="s">
        <v>42</v>
      </c>
      <c r="AF326">
        <v>5</v>
      </c>
      <c r="AG326">
        <v>2015</v>
      </c>
      <c r="AH326" t="s">
        <v>43</v>
      </c>
      <c r="AI326">
        <v>62</v>
      </c>
      <c r="AJ326">
        <v>4.3</v>
      </c>
    </row>
    <row r="327" spans="1:36" x14ac:dyDescent="0.25">
      <c r="A327">
        <v>10326</v>
      </c>
      <c r="B327" t="s">
        <v>64</v>
      </c>
      <c r="C327" t="s">
        <v>65</v>
      </c>
      <c r="D327" t="s">
        <v>39</v>
      </c>
      <c r="E327" t="str">
        <f t="shared" si="65"/>
        <v>Katie Johnson is in IT Department</v>
      </c>
      <c r="F327" s="6" t="str">
        <f t="shared" si="66"/>
        <v>katiejohnson@gmail.com</v>
      </c>
      <c r="G327">
        <v>38176</v>
      </c>
      <c r="H327" t="str">
        <f t="shared" si="67"/>
        <v>extremely low</v>
      </c>
      <c r="I327" s="3">
        <v>43466</v>
      </c>
      <c r="J327">
        <f t="shared" si="68"/>
        <v>2019</v>
      </c>
      <c r="K327">
        <f t="shared" si="69"/>
        <v>1</v>
      </c>
      <c r="L327">
        <f t="shared" si="70"/>
        <v>1</v>
      </c>
      <c r="M327" s="3">
        <f t="shared" ca="1" si="71"/>
        <v>46100</v>
      </c>
      <c r="N327">
        <f t="shared" ca="1" si="72"/>
        <v>2634</v>
      </c>
      <c r="O327">
        <f t="shared" ca="1" si="73"/>
        <v>2634</v>
      </c>
      <c r="P327">
        <f t="shared" ca="1" si="74"/>
        <v>1883</v>
      </c>
      <c r="Q327">
        <v>30</v>
      </c>
      <c r="R327" t="str">
        <f t="shared" si="75"/>
        <v>Young</v>
      </c>
      <c r="S327" t="s">
        <v>34</v>
      </c>
      <c r="T327">
        <v>7</v>
      </c>
      <c r="U327" t="s">
        <v>45</v>
      </c>
      <c r="V327">
        <v>2517.61</v>
      </c>
      <c r="W327" t="s">
        <v>46</v>
      </c>
      <c r="X327" t="s">
        <v>36</v>
      </c>
      <c r="Y327">
        <v>34</v>
      </c>
      <c r="Z327" t="str">
        <f t="shared" si="76"/>
        <v>Good Employee</v>
      </c>
      <c r="AA327" t="b">
        <f t="shared" si="77"/>
        <v>1</v>
      </c>
      <c r="AB327" t="b">
        <f>OR(Y327&gt;20, T327&gt;6)</f>
        <v>1</v>
      </c>
      <c r="AC327" t="str">
        <f>IF(OR(Y327&gt;20,T327&gt;6), "Good employee", "Bad Employee")</f>
        <v>Good employee</v>
      </c>
      <c r="AD327" t="s">
        <v>28</v>
      </c>
      <c r="AE327" t="s">
        <v>37</v>
      </c>
      <c r="AF327">
        <v>5</v>
      </c>
      <c r="AG327">
        <v>2011</v>
      </c>
      <c r="AH327" t="s">
        <v>49</v>
      </c>
      <c r="AI327">
        <v>152</v>
      </c>
      <c r="AJ327">
        <v>4.2</v>
      </c>
    </row>
    <row r="328" spans="1:36" x14ac:dyDescent="0.25">
      <c r="A328">
        <v>10327</v>
      </c>
      <c r="B328" t="s">
        <v>50</v>
      </c>
      <c r="C328" t="s">
        <v>22</v>
      </c>
      <c r="D328" t="s">
        <v>33</v>
      </c>
      <c r="E328" t="str">
        <f t="shared" si="65"/>
        <v>Alex Williams is in Marketing Department</v>
      </c>
      <c r="F328" s="6" t="str">
        <f t="shared" si="66"/>
        <v>alexwilliams@gmail.com</v>
      </c>
      <c r="G328">
        <v>63529</v>
      </c>
      <c r="H328" t="str">
        <f t="shared" si="67"/>
        <v>Medium</v>
      </c>
      <c r="I328" s="3">
        <v>42764</v>
      </c>
      <c r="J328">
        <f t="shared" si="68"/>
        <v>2017</v>
      </c>
      <c r="K328">
        <f t="shared" si="69"/>
        <v>1</v>
      </c>
      <c r="L328">
        <f t="shared" si="70"/>
        <v>29</v>
      </c>
      <c r="M328" s="3">
        <f t="shared" ca="1" si="71"/>
        <v>46100</v>
      </c>
      <c r="N328">
        <f t="shared" ca="1" si="72"/>
        <v>3336</v>
      </c>
      <c r="O328">
        <f t="shared" ca="1" si="73"/>
        <v>3336</v>
      </c>
      <c r="P328">
        <f t="shared" ca="1" si="74"/>
        <v>2384</v>
      </c>
      <c r="Q328">
        <v>27</v>
      </c>
      <c r="R328" t="str">
        <f t="shared" si="75"/>
        <v>Young</v>
      </c>
      <c r="S328" t="s">
        <v>34</v>
      </c>
      <c r="T328">
        <v>4</v>
      </c>
      <c r="U328" t="s">
        <v>45</v>
      </c>
      <c r="V328">
        <v>1695.27</v>
      </c>
      <c r="W328" t="s">
        <v>46</v>
      </c>
      <c r="X328" t="s">
        <v>55</v>
      </c>
      <c r="Y328">
        <v>18</v>
      </c>
      <c r="Z328" t="str">
        <f t="shared" si="76"/>
        <v>Bad Employee</v>
      </c>
      <c r="AA328" t="b">
        <f t="shared" si="77"/>
        <v>0</v>
      </c>
      <c r="AB328" t="b">
        <f>OR(Y328&gt;20, T328&gt;6)</f>
        <v>0</v>
      </c>
      <c r="AC328" t="str">
        <f>IF(OR(Y328&gt;20,T328&gt;6), "Good employee", "Bad Employee")</f>
        <v>Bad Employee</v>
      </c>
      <c r="AD328" t="s">
        <v>56</v>
      </c>
      <c r="AE328" t="s">
        <v>62</v>
      </c>
      <c r="AF328">
        <v>1</v>
      </c>
      <c r="AG328">
        <v>2019</v>
      </c>
      <c r="AH328" t="s">
        <v>49</v>
      </c>
      <c r="AI328">
        <v>93</v>
      </c>
      <c r="AJ328">
        <v>5</v>
      </c>
    </row>
    <row r="329" spans="1:36" x14ac:dyDescent="0.25">
      <c r="A329">
        <v>10328</v>
      </c>
      <c r="B329" t="s">
        <v>21</v>
      </c>
      <c r="C329" t="s">
        <v>61</v>
      </c>
      <c r="D329" t="s">
        <v>23</v>
      </c>
      <c r="E329" t="str">
        <f t="shared" si="65"/>
        <v>Michael Smith is in HR Department</v>
      </c>
      <c r="F329" s="6" t="str">
        <f t="shared" si="66"/>
        <v>michaelsmith@gmail.com</v>
      </c>
      <c r="G329">
        <v>86406</v>
      </c>
      <c r="H329" t="str">
        <f t="shared" si="67"/>
        <v>High</v>
      </c>
      <c r="I329" s="3">
        <v>37311</v>
      </c>
      <c r="J329">
        <f t="shared" si="68"/>
        <v>2002</v>
      </c>
      <c r="K329">
        <f t="shared" si="69"/>
        <v>2</v>
      </c>
      <c r="L329">
        <f t="shared" si="70"/>
        <v>24</v>
      </c>
      <c r="M329" s="3">
        <f t="shared" ca="1" si="71"/>
        <v>46100</v>
      </c>
      <c r="N329">
        <f t="shared" ca="1" si="72"/>
        <v>8789</v>
      </c>
      <c r="O329">
        <f t="shared" ca="1" si="73"/>
        <v>8789</v>
      </c>
      <c r="P329">
        <f t="shared" ca="1" si="74"/>
        <v>6279</v>
      </c>
      <c r="Q329">
        <v>23</v>
      </c>
      <c r="R329" t="str">
        <f t="shared" si="75"/>
        <v>Young</v>
      </c>
      <c r="S329" t="s">
        <v>24</v>
      </c>
      <c r="T329">
        <v>2</v>
      </c>
      <c r="U329" t="s">
        <v>25</v>
      </c>
      <c r="V329">
        <v>4087.02</v>
      </c>
      <c r="W329" t="s">
        <v>46</v>
      </c>
      <c r="X329" t="s">
        <v>40</v>
      </c>
      <c r="Y329">
        <v>34</v>
      </c>
      <c r="Z329" t="str">
        <f t="shared" si="76"/>
        <v>Bad Employee</v>
      </c>
      <c r="AA329" t="b">
        <f t="shared" si="77"/>
        <v>0</v>
      </c>
      <c r="AB329" t="b">
        <f>OR(Y329&gt;20, T329&gt;6)</f>
        <v>1</v>
      </c>
      <c r="AC329" t="str">
        <f>IF(OR(Y329&gt;20,T329&gt;6), "Good employee", "Bad Employee")</f>
        <v>Good employee</v>
      </c>
      <c r="AD329" t="s">
        <v>41</v>
      </c>
      <c r="AE329" t="s">
        <v>59</v>
      </c>
      <c r="AF329">
        <v>6</v>
      </c>
      <c r="AG329">
        <v>2021</v>
      </c>
      <c r="AH329" t="s">
        <v>30</v>
      </c>
      <c r="AI329">
        <v>104</v>
      </c>
      <c r="AJ329">
        <v>2</v>
      </c>
    </row>
    <row r="330" spans="1:36" x14ac:dyDescent="0.25">
      <c r="A330">
        <v>10329</v>
      </c>
      <c r="B330" t="s">
        <v>53</v>
      </c>
      <c r="C330" t="s">
        <v>22</v>
      </c>
      <c r="D330" t="s">
        <v>23</v>
      </c>
      <c r="E330" t="str">
        <f t="shared" si="65"/>
        <v>Sarah Williams is in HR Department</v>
      </c>
      <c r="F330" s="6" t="str">
        <f t="shared" si="66"/>
        <v>sarahwilliams@gmail.com</v>
      </c>
      <c r="G330">
        <v>42941</v>
      </c>
      <c r="H330" t="str">
        <f t="shared" si="67"/>
        <v>low</v>
      </c>
      <c r="I330" s="3">
        <v>42198</v>
      </c>
      <c r="J330">
        <f t="shared" si="68"/>
        <v>2015</v>
      </c>
      <c r="K330">
        <f t="shared" si="69"/>
        <v>7</v>
      </c>
      <c r="L330">
        <f t="shared" si="70"/>
        <v>13</v>
      </c>
      <c r="M330" s="3">
        <f t="shared" ca="1" si="71"/>
        <v>46100</v>
      </c>
      <c r="N330">
        <f t="shared" ca="1" si="72"/>
        <v>3902</v>
      </c>
      <c r="O330">
        <f t="shared" ca="1" si="73"/>
        <v>3902</v>
      </c>
      <c r="P330">
        <f t="shared" ca="1" si="74"/>
        <v>2789</v>
      </c>
      <c r="Q330">
        <v>59</v>
      </c>
      <c r="R330" t="str">
        <f t="shared" si="75"/>
        <v>Old</v>
      </c>
      <c r="S330" t="s">
        <v>24</v>
      </c>
      <c r="T330">
        <v>3</v>
      </c>
      <c r="U330" t="s">
        <v>25</v>
      </c>
      <c r="V330">
        <v>5638.89</v>
      </c>
      <c r="W330" t="s">
        <v>35</v>
      </c>
      <c r="X330" t="s">
        <v>47</v>
      </c>
      <c r="Y330">
        <v>18</v>
      </c>
      <c r="Z330" t="str">
        <f t="shared" si="76"/>
        <v>Bad Employee</v>
      </c>
      <c r="AA330" t="b">
        <f t="shared" si="77"/>
        <v>0</v>
      </c>
      <c r="AB330" t="b">
        <f>OR(Y330&gt;20, T330&gt;6)</f>
        <v>0</v>
      </c>
      <c r="AC330" t="str">
        <f>IF(OR(Y330&gt;20,T330&gt;6), "Good employee", "Bad Employee")</f>
        <v>Bad Employee</v>
      </c>
      <c r="AD330" t="s">
        <v>41</v>
      </c>
      <c r="AE330" t="s">
        <v>29</v>
      </c>
      <c r="AF330">
        <v>8</v>
      </c>
      <c r="AG330">
        <v>2017</v>
      </c>
      <c r="AH330" t="s">
        <v>30</v>
      </c>
      <c r="AI330">
        <v>119</v>
      </c>
      <c r="AJ330">
        <v>1.2</v>
      </c>
    </row>
    <row r="331" spans="1:36" x14ac:dyDescent="0.25">
      <c r="A331">
        <v>10330</v>
      </c>
      <c r="B331" t="s">
        <v>53</v>
      </c>
      <c r="C331" t="s">
        <v>32</v>
      </c>
      <c r="D331" t="s">
        <v>39</v>
      </c>
      <c r="E331" t="str">
        <f t="shared" si="65"/>
        <v>Sarah Wilson is in IT Department</v>
      </c>
      <c r="F331" s="6" t="str">
        <f t="shared" si="66"/>
        <v>sarahwilson@gmail.com</v>
      </c>
      <c r="G331">
        <v>31669</v>
      </c>
      <c r="H331" t="str">
        <f t="shared" si="67"/>
        <v>extremely low</v>
      </c>
      <c r="I331" s="3">
        <v>39843</v>
      </c>
      <c r="J331">
        <f t="shared" si="68"/>
        <v>2009</v>
      </c>
      <c r="K331">
        <f t="shared" si="69"/>
        <v>1</v>
      </c>
      <c r="L331">
        <f t="shared" si="70"/>
        <v>30</v>
      </c>
      <c r="M331" s="3">
        <f t="shared" ca="1" si="71"/>
        <v>46100</v>
      </c>
      <c r="N331">
        <f t="shared" ca="1" si="72"/>
        <v>6257</v>
      </c>
      <c r="O331">
        <f t="shared" ca="1" si="73"/>
        <v>6257</v>
      </c>
      <c r="P331">
        <f t="shared" ca="1" si="74"/>
        <v>4470</v>
      </c>
      <c r="Q331">
        <v>30</v>
      </c>
      <c r="R331" t="str">
        <f t="shared" si="75"/>
        <v>Young</v>
      </c>
      <c r="S331" t="s">
        <v>34</v>
      </c>
      <c r="T331">
        <v>7</v>
      </c>
      <c r="U331" t="s">
        <v>25</v>
      </c>
      <c r="V331">
        <v>1191.1400000000001</v>
      </c>
      <c r="W331" t="s">
        <v>35</v>
      </c>
      <c r="X331" t="s">
        <v>40</v>
      </c>
      <c r="Y331">
        <v>31</v>
      </c>
      <c r="Z331" t="str">
        <f t="shared" si="76"/>
        <v>Good Employee</v>
      </c>
      <c r="AA331" t="b">
        <f t="shared" si="77"/>
        <v>1</v>
      </c>
      <c r="AB331" t="b">
        <f>OR(Y331&gt;20, T331&gt;6)</f>
        <v>1</v>
      </c>
      <c r="AC331" t="str">
        <f>IF(OR(Y331&gt;20,T331&gt;6), "Good employee", "Bad Employee")</f>
        <v>Good employee</v>
      </c>
      <c r="AD331" t="s">
        <v>56</v>
      </c>
      <c r="AE331" t="s">
        <v>59</v>
      </c>
      <c r="AF331">
        <v>14</v>
      </c>
      <c r="AG331">
        <v>2013</v>
      </c>
      <c r="AH331" t="s">
        <v>49</v>
      </c>
      <c r="AI331">
        <v>78</v>
      </c>
      <c r="AJ331">
        <v>2.8</v>
      </c>
    </row>
    <row r="332" spans="1:36" x14ac:dyDescent="0.25">
      <c r="A332">
        <v>10331</v>
      </c>
      <c r="B332" t="s">
        <v>66</v>
      </c>
      <c r="C332" t="s">
        <v>63</v>
      </c>
      <c r="D332" t="s">
        <v>44</v>
      </c>
      <c r="E332" t="str">
        <f t="shared" si="65"/>
        <v>John Miller is in Sales Department</v>
      </c>
      <c r="F332" s="6" t="str">
        <f t="shared" si="66"/>
        <v>johnmiller@gmail.com</v>
      </c>
      <c r="G332">
        <v>115782</v>
      </c>
      <c r="H332" t="str">
        <f t="shared" si="67"/>
        <v>High</v>
      </c>
      <c r="I332" s="3">
        <v>38193</v>
      </c>
      <c r="J332">
        <f t="shared" si="68"/>
        <v>2004</v>
      </c>
      <c r="K332">
        <f t="shared" si="69"/>
        <v>7</v>
      </c>
      <c r="L332">
        <f t="shared" si="70"/>
        <v>25</v>
      </c>
      <c r="M332" s="3">
        <f t="shared" ca="1" si="71"/>
        <v>46100</v>
      </c>
      <c r="N332">
        <f t="shared" ca="1" si="72"/>
        <v>7907</v>
      </c>
      <c r="O332">
        <f t="shared" ca="1" si="73"/>
        <v>7907</v>
      </c>
      <c r="P332">
        <f t="shared" ca="1" si="74"/>
        <v>5649</v>
      </c>
      <c r="Q332">
        <v>24</v>
      </c>
      <c r="R332" t="str">
        <f t="shared" si="75"/>
        <v>Young</v>
      </c>
      <c r="S332" t="s">
        <v>34</v>
      </c>
      <c r="T332">
        <v>8</v>
      </c>
      <c r="U332" t="s">
        <v>45</v>
      </c>
      <c r="V332">
        <v>6236.32</v>
      </c>
      <c r="W332" t="s">
        <v>46</v>
      </c>
      <c r="X332" t="s">
        <v>36</v>
      </c>
      <c r="Y332">
        <v>20</v>
      </c>
      <c r="Z332" t="str">
        <f t="shared" si="76"/>
        <v>Bad Employee</v>
      </c>
      <c r="AA332" t="b">
        <f t="shared" si="77"/>
        <v>0</v>
      </c>
      <c r="AB332" t="b">
        <f>OR(Y332&gt;20, T332&gt;6)</f>
        <v>1</v>
      </c>
      <c r="AC332" t="str">
        <f>IF(OR(Y332&gt;20,T332&gt;6), "Good employee", "Bad Employee")</f>
        <v>Good employee</v>
      </c>
      <c r="AD332" t="s">
        <v>56</v>
      </c>
      <c r="AE332" t="s">
        <v>42</v>
      </c>
      <c r="AF332">
        <v>13</v>
      </c>
      <c r="AG332">
        <v>2016</v>
      </c>
      <c r="AH332" t="s">
        <v>49</v>
      </c>
      <c r="AI332">
        <v>172</v>
      </c>
      <c r="AJ332">
        <v>1.3</v>
      </c>
    </row>
    <row r="333" spans="1:36" x14ac:dyDescent="0.25">
      <c r="A333">
        <v>10332</v>
      </c>
      <c r="B333" t="s">
        <v>66</v>
      </c>
      <c r="C333" t="s">
        <v>61</v>
      </c>
      <c r="D333" t="s">
        <v>33</v>
      </c>
      <c r="E333" t="str">
        <f t="shared" si="65"/>
        <v>John Smith is in Marketing Department</v>
      </c>
      <c r="F333" s="6" t="str">
        <f t="shared" si="66"/>
        <v>johnsmith@gmail.com</v>
      </c>
      <c r="G333">
        <v>74859</v>
      </c>
      <c r="H333" t="str">
        <f t="shared" si="67"/>
        <v>Medium</v>
      </c>
      <c r="I333" s="3">
        <v>39534</v>
      </c>
      <c r="J333">
        <f t="shared" si="68"/>
        <v>2008</v>
      </c>
      <c r="K333">
        <f t="shared" si="69"/>
        <v>3</v>
      </c>
      <c r="L333">
        <f t="shared" si="70"/>
        <v>27</v>
      </c>
      <c r="M333" s="3">
        <f t="shared" ca="1" si="71"/>
        <v>46100</v>
      </c>
      <c r="N333">
        <f t="shared" ca="1" si="72"/>
        <v>6566</v>
      </c>
      <c r="O333">
        <f t="shared" ca="1" si="73"/>
        <v>6566</v>
      </c>
      <c r="P333">
        <f t="shared" ca="1" si="74"/>
        <v>4691</v>
      </c>
      <c r="Q333">
        <v>37</v>
      </c>
      <c r="R333" t="str">
        <f t="shared" si="75"/>
        <v>Old</v>
      </c>
      <c r="S333" t="s">
        <v>34</v>
      </c>
      <c r="T333">
        <v>9</v>
      </c>
      <c r="U333" t="s">
        <v>25</v>
      </c>
      <c r="V333">
        <v>9933.73</v>
      </c>
      <c r="W333" t="s">
        <v>58</v>
      </c>
      <c r="X333" t="s">
        <v>27</v>
      </c>
      <c r="Y333">
        <v>36</v>
      </c>
      <c r="Z333" t="str">
        <f t="shared" si="76"/>
        <v>Good Employee</v>
      </c>
      <c r="AA333" t="b">
        <f t="shared" si="77"/>
        <v>1</v>
      </c>
      <c r="AB333" t="b">
        <f>OR(Y333&gt;20, T333&gt;6)</f>
        <v>1</v>
      </c>
      <c r="AC333" t="str">
        <f>IF(OR(Y333&gt;20,T333&gt;6), "Good employee", "Bad Employee")</f>
        <v>Good employee</v>
      </c>
      <c r="AD333" t="s">
        <v>41</v>
      </c>
      <c r="AE333" t="s">
        <v>48</v>
      </c>
      <c r="AF333">
        <v>12</v>
      </c>
      <c r="AG333">
        <v>2016</v>
      </c>
      <c r="AH333" t="s">
        <v>43</v>
      </c>
      <c r="AI333">
        <v>20</v>
      </c>
      <c r="AJ333">
        <v>1.7</v>
      </c>
    </row>
    <row r="334" spans="1:36" x14ac:dyDescent="0.25">
      <c r="A334">
        <v>10333</v>
      </c>
      <c r="B334" t="s">
        <v>31</v>
      </c>
      <c r="C334" t="s">
        <v>51</v>
      </c>
      <c r="D334" t="s">
        <v>39</v>
      </c>
      <c r="E334" t="str">
        <f t="shared" si="65"/>
        <v>Emily Brown is in IT Department</v>
      </c>
      <c r="F334" s="6" t="str">
        <f t="shared" si="66"/>
        <v>emilybrown@gmail.com</v>
      </c>
      <c r="G334">
        <v>85786</v>
      </c>
      <c r="H334" t="str">
        <f t="shared" si="67"/>
        <v>High</v>
      </c>
      <c r="I334" s="3">
        <v>42966</v>
      </c>
      <c r="J334">
        <f t="shared" si="68"/>
        <v>2017</v>
      </c>
      <c r="K334">
        <f t="shared" si="69"/>
        <v>8</v>
      </c>
      <c r="L334">
        <f t="shared" si="70"/>
        <v>19</v>
      </c>
      <c r="M334" s="3">
        <f t="shared" ca="1" si="71"/>
        <v>46100</v>
      </c>
      <c r="N334">
        <f t="shared" ca="1" si="72"/>
        <v>3134</v>
      </c>
      <c r="O334">
        <f t="shared" ca="1" si="73"/>
        <v>3134</v>
      </c>
      <c r="P334">
        <f t="shared" ca="1" si="74"/>
        <v>2239</v>
      </c>
      <c r="Q334">
        <v>46</v>
      </c>
      <c r="R334" t="str">
        <f t="shared" si="75"/>
        <v>Old</v>
      </c>
      <c r="S334" t="s">
        <v>24</v>
      </c>
      <c r="T334">
        <v>6</v>
      </c>
      <c r="U334" t="s">
        <v>25</v>
      </c>
      <c r="V334">
        <v>9659.19</v>
      </c>
      <c r="W334" t="s">
        <v>35</v>
      </c>
      <c r="X334" t="s">
        <v>55</v>
      </c>
      <c r="Y334">
        <v>10</v>
      </c>
      <c r="Z334" t="str">
        <f t="shared" si="76"/>
        <v>Bad Employee</v>
      </c>
      <c r="AA334" t="b">
        <f t="shared" si="77"/>
        <v>0</v>
      </c>
      <c r="AB334" t="b">
        <f>OR(Y334&gt;20, T334&gt;6)</f>
        <v>0</v>
      </c>
      <c r="AC334" t="str">
        <f>IF(OR(Y334&gt;20,T334&gt;6), "Good employee", "Bad Employee")</f>
        <v>Bad Employee</v>
      </c>
      <c r="AD334" t="s">
        <v>56</v>
      </c>
      <c r="AE334" t="s">
        <v>42</v>
      </c>
      <c r="AF334">
        <v>4</v>
      </c>
      <c r="AG334">
        <v>2021</v>
      </c>
      <c r="AH334" t="s">
        <v>30</v>
      </c>
      <c r="AI334">
        <v>8</v>
      </c>
      <c r="AJ334">
        <v>3.4</v>
      </c>
    </row>
    <row r="335" spans="1:36" x14ac:dyDescent="0.25">
      <c r="A335">
        <v>10334</v>
      </c>
      <c r="B335" t="s">
        <v>50</v>
      </c>
      <c r="C335" t="s">
        <v>63</v>
      </c>
      <c r="D335" t="s">
        <v>39</v>
      </c>
      <c r="E335" t="str">
        <f t="shared" si="65"/>
        <v>Alex Miller is in IT Department</v>
      </c>
      <c r="F335" s="6" t="str">
        <f t="shared" si="66"/>
        <v>alexmiller@gmail.com</v>
      </c>
      <c r="G335">
        <v>81083</v>
      </c>
      <c r="H335" t="str">
        <f t="shared" si="67"/>
        <v>High</v>
      </c>
      <c r="I335" s="3">
        <v>39720</v>
      </c>
      <c r="J335">
        <f t="shared" si="68"/>
        <v>2008</v>
      </c>
      <c r="K335">
        <f t="shared" si="69"/>
        <v>9</v>
      </c>
      <c r="L335">
        <f t="shared" si="70"/>
        <v>29</v>
      </c>
      <c r="M335" s="3">
        <f t="shared" ca="1" si="71"/>
        <v>46100</v>
      </c>
      <c r="N335">
        <f t="shared" ca="1" si="72"/>
        <v>6380</v>
      </c>
      <c r="O335">
        <f t="shared" ca="1" si="73"/>
        <v>6380</v>
      </c>
      <c r="P335">
        <f t="shared" ca="1" si="74"/>
        <v>4559</v>
      </c>
      <c r="Q335">
        <v>45</v>
      </c>
      <c r="R335" t="str">
        <f t="shared" si="75"/>
        <v>Old</v>
      </c>
      <c r="S335" t="s">
        <v>24</v>
      </c>
      <c r="T335">
        <v>9</v>
      </c>
      <c r="U335" t="s">
        <v>45</v>
      </c>
      <c r="V335">
        <v>8377.15</v>
      </c>
      <c r="W335" t="s">
        <v>26</v>
      </c>
      <c r="X335" t="s">
        <v>47</v>
      </c>
      <c r="Y335">
        <v>3</v>
      </c>
      <c r="Z335" t="str">
        <f t="shared" si="76"/>
        <v>Bad Employee</v>
      </c>
      <c r="AA335" t="b">
        <f t="shared" si="77"/>
        <v>0</v>
      </c>
      <c r="AB335" t="b">
        <f>OR(Y335&gt;20, T335&gt;6)</f>
        <v>1</v>
      </c>
      <c r="AC335" t="str">
        <f>IF(OR(Y335&gt;20,T335&gt;6), "Good employee", "Bad Employee")</f>
        <v>Good employee</v>
      </c>
      <c r="AD335" t="s">
        <v>56</v>
      </c>
      <c r="AE335" t="s">
        <v>48</v>
      </c>
      <c r="AF335">
        <v>16</v>
      </c>
      <c r="AG335">
        <v>2023</v>
      </c>
      <c r="AH335" t="s">
        <v>30</v>
      </c>
      <c r="AI335">
        <v>14</v>
      </c>
      <c r="AJ335">
        <v>3.4</v>
      </c>
    </row>
    <row r="336" spans="1:36" x14ac:dyDescent="0.25">
      <c r="A336">
        <v>10335</v>
      </c>
      <c r="B336" t="s">
        <v>64</v>
      </c>
      <c r="C336" t="s">
        <v>51</v>
      </c>
      <c r="D336" t="s">
        <v>54</v>
      </c>
      <c r="E336" t="str">
        <f t="shared" si="65"/>
        <v>Katie Brown is in Finance Department</v>
      </c>
      <c r="F336" s="6" t="str">
        <f t="shared" si="66"/>
        <v>katiebrown@gmail.com</v>
      </c>
      <c r="G336">
        <v>70076</v>
      </c>
      <c r="H336" t="str">
        <f t="shared" si="67"/>
        <v>Medium</v>
      </c>
      <c r="I336" s="3">
        <v>41315</v>
      </c>
      <c r="J336">
        <f t="shared" si="68"/>
        <v>2013</v>
      </c>
      <c r="K336">
        <f t="shared" si="69"/>
        <v>2</v>
      </c>
      <c r="L336">
        <f t="shared" si="70"/>
        <v>10</v>
      </c>
      <c r="M336" s="3">
        <f t="shared" ca="1" si="71"/>
        <v>46100</v>
      </c>
      <c r="N336">
        <f t="shared" ca="1" si="72"/>
        <v>4785</v>
      </c>
      <c r="O336">
        <f t="shared" ca="1" si="73"/>
        <v>4785</v>
      </c>
      <c r="P336">
        <f t="shared" ca="1" si="74"/>
        <v>3419</v>
      </c>
      <c r="Q336">
        <v>50</v>
      </c>
      <c r="R336" t="str">
        <f t="shared" si="75"/>
        <v>Old</v>
      </c>
      <c r="S336" t="s">
        <v>34</v>
      </c>
      <c r="T336">
        <v>4</v>
      </c>
      <c r="U336" t="s">
        <v>25</v>
      </c>
      <c r="V336">
        <v>3030.24</v>
      </c>
      <c r="W336" t="s">
        <v>35</v>
      </c>
      <c r="X336" t="s">
        <v>27</v>
      </c>
      <c r="Y336">
        <v>21</v>
      </c>
      <c r="Z336" t="str">
        <f t="shared" si="76"/>
        <v>Bad Employee</v>
      </c>
      <c r="AA336" t="b">
        <f t="shared" si="77"/>
        <v>0</v>
      </c>
      <c r="AB336" t="b">
        <f>OR(Y336&gt;20, T336&gt;6)</f>
        <v>1</v>
      </c>
      <c r="AC336" t="str">
        <f>IF(OR(Y336&gt;20,T336&gt;6), "Good employee", "Bad Employee")</f>
        <v>Good employee</v>
      </c>
      <c r="AD336" t="s">
        <v>41</v>
      </c>
      <c r="AE336" t="s">
        <v>48</v>
      </c>
      <c r="AF336">
        <v>4</v>
      </c>
      <c r="AG336">
        <v>2022</v>
      </c>
      <c r="AH336" t="s">
        <v>49</v>
      </c>
      <c r="AI336">
        <v>183</v>
      </c>
      <c r="AJ336">
        <v>1.2</v>
      </c>
    </row>
    <row r="337" spans="1:36" x14ac:dyDescent="0.25">
      <c r="A337">
        <v>10336</v>
      </c>
      <c r="B337" t="s">
        <v>53</v>
      </c>
      <c r="C337" t="s">
        <v>57</v>
      </c>
      <c r="D337" t="s">
        <v>54</v>
      </c>
      <c r="E337" t="str">
        <f t="shared" si="65"/>
        <v>Sarah Davis is in Finance Department</v>
      </c>
      <c r="F337" s="6" t="str">
        <f t="shared" si="66"/>
        <v>sarahdavis@gmail.com</v>
      </c>
      <c r="G337">
        <v>50323</v>
      </c>
      <c r="H337" t="str">
        <f t="shared" si="67"/>
        <v>Medium</v>
      </c>
      <c r="I337" s="3">
        <v>40301</v>
      </c>
      <c r="J337">
        <f t="shared" si="68"/>
        <v>2010</v>
      </c>
      <c r="K337">
        <f t="shared" si="69"/>
        <v>5</v>
      </c>
      <c r="L337">
        <f t="shared" si="70"/>
        <v>3</v>
      </c>
      <c r="M337" s="3">
        <f t="shared" ca="1" si="71"/>
        <v>46100</v>
      </c>
      <c r="N337">
        <f t="shared" ca="1" si="72"/>
        <v>5799</v>
      </c>
      <c r="O337">
        <f t="shared" ca="1" si="73"/>
        <v>5799</v>
      </c>
      <c r="P337">
        <f t="shared" ca="1" si="74"/>
        <v>4144</v>
      </c>
      <c r="Q337">
        <v>61</v>
      </c>
      <c r="R337" t="str">
        <f t="shared" si="75"/>
        <v>Old</v>
      </c>
      <c r="S337" t="s">
        <v>34</v>
      </c>
      <c r="T337">
        <v>5</v>
      </c>
      <c r="U337" t="s">
        <v>25</v>
      </c>
      <c r="V337">
        <v>712.87</v>
      </c>
      <c r="W337" t="s">
        <v>58</v>
      </c>
      <c r="X337" t="s">
        <v>47</v>
      </c>
      <c r="Y337">
        <v>36</v>
      </c>
      <c r="Z337" t="str">
        <f t="shared" si="76"/>
        <v>Bad Employee</v>
      </c>
      <c r="AA337" t="b">
        <f t="shared" si="77"/>
        <v>0</v>
      </c>
      <c r="AB337" t="b">
        <f>OR(Y337&gt;20, T337&gt;6)</f>
        <v>1</v>
      </c>
      <c r="AC337" t="str">
        <f>IF(OR(Y337&gt;20,T337&gt;6), "Good employee", "Bad Employee")</f>
        <v>Good employee</v>
      </c>
      <c r="AD337" t="s">
        <v>28</v>
      </c>
      <c r="AE337" t="s">
        <v>37</v>
      </c>
      <c r="AF337">
        <v>2</v>
      </c>
      <c r="AG337">
        <v>2019</v>
      </c>
      <c r="AH337" t="s">
        <v>30</v>
      </c>
      <c r="AI337">
        <v>52</v>
      </c>
      <c r="AJ337">
        <v>2.8</v>
      </c>
    </row>
    <row r="338" spans="1:36" x14ac:dyDescent="0.25">
      <c r="A338">
        <v>10337</v>
      </c>
      <c r="B338" t="s">
        <v>38</v>
      </c>
      <c r="C338" t="s">
        <v>22</v>
      </c>
      <c r="D338" t="s">
        <v>44</v>
      </c>
      <c r="E338" t="str">
        <f t="shared" si="65"/>
        <v>Chris Williams is in Sales Department</v>
      </c>
      <c r="F338" s="6" t="str">
        <f t="shared" si="66"/>
        <v>chriswilliams@gmail.com</v>
      </c>
      <c r="G338">
        <v>36021</v>
      </c>
      <c r="H338" t="str">
        <f t="shared" si="67"/>
        <v>extremely low</v>
      </c>
      <c r="I338" s="3">
        <v>38972</v>
      </c>
      <c r="J338">
        <f t="shared" si="68"/>
        <v>2006</v>
      </c>
      <c r="K338">
        <f t="shared" si="69"/>
        <v>9</v>
      </c>
      <c r="L338">
        <f t="shared" si="70"/>
        <v>12</v>
      </c>
      <c r="M338" s="3">
        <f t="shared" ca="1" si="71"/>
        <v>46100</v>
      </c>
      <c r="N338">
        <f t="shared" ca="1" si="72"/>
        <v>7128</v>
      </c>
      <c r="O338">
        <f t="shared" ca="1" si="73"/>
        <v>7128</v>
      </c>
      <c r="P338">
        <f t="shared" ca="1" si="74"/>
        <v>5093</v>
      </c>
      <c r="Q338">
        <v>47</v>
      </c>
      <c r="R338" t="str">
        <f t="shared" si="75"/>
        <v>Old</v>
      </c>
      <c r="S338" t="s">
        <v>34</v>
      </c>
      <c r="T338">
        <v>1</v>
      </c>
      <c r="U338" t="s">
        <v>25</v>
      </c>
      <c r="V338">
        <v>8418.65</v>
      </c>
      <c r="W338" t="s">
        <v>35</v>
      </c>
      <c r="X338" t="s">
        <v>55</v>
      </c>
      <c r="Y338">
        <v>10</v>
      </c>
      <c r="Z338" t="str">
        <f t="shared" si="76"/>
        <v>Bad Employee</v>
      </c>
      <c r="AA338" t="b">
        <f t="shared" si="77"/>
        <v>0</v>
      </c>
      <c r="AB338" t="b">
        <f>OR(Y338&gt;20, T338&gt;6)</f>
        <v>0</v>
      </c>
      <c r="AC338" t="str">
        <f>IF(OR(Y338&gt;20,T338&gt;6), "Good employee", "Bad Employee")</f>
        <v>Bad Employee</v>
      </c>
      <c r="AD338" t="s">
        <v>56</v>
      </c>
      <c r="AE338" t="s">
        <v>48</v>
      </c>
      <c r="AF338">
        <v>8</v>
      </c>
      <c r="AG338">
        <v>2020</v>
      </c>
      <c r="AH338" t="s">
        <v>49</v>
      </c>
      <c r="AI338">
        <v>24</v>
      </c>
      <c r="AJ338">
        <v>3.1</v>
      </c>
    </row>
    <row r="339" spans="1:36" x14ac:dyDescent="0.25">
      <c r="A339">
        <v>10338</v>
      </c>
      <c r="B339" t="s">
        <v>50</v>
      </c>
      <c r="C339" t="s">
        <v>61</v>
      </c>
      <c r="D339" t="s">
        <v>33</v>
      </c>
      <c r="E339" t="str">
        <f t="shared" si="65"/>
        <v>Alex Smith is in Marketing Department</v>
      </c>
      <c r="F339" s="6" t="str">
        <f t="shared" si="66"/>
        <v>alexsmith@gmail.com</v>
      </c>
      <c r="G339">
        <v>69807</v>
      </c>
      <c r="H339" t="str">
        <f t="shared" si="67"/>
        <v>Medium</v>
      </c>
      <c r="I339" s="3">
        <v>40316</v>
      </c>
      <c r="J339">
        <f t="shared" si="68"/>
        <v>2010</v>
      </c>
      <c r="K339">
        <f t="shared" si="69"/>
        <v>5</v>
      </c>
      <c r="L339">
        <f t="shared" si="70"/>
        <v>18</v>
      </c>
      <c r="M339" s="3">
        <f t="shared" ca="1" si="71"/>
        <v>46100</v>
      </c>
      <c r="N339">
        <f t="shared" ca="1" si="72"/>
        <v>5784</v>
      </c>
      <c r="O339">
        <f t="shared" ca="1" si="73"/>
        <v>5784</v>
      </c>
      <c r="P339">
        <f t="shared" ca="1" si="74"/>
        <v>4133</v>
      </c>
      <c r="Q339">
        <v>59</v>
      </c>
      <c r="R339" t="str">
        <f t="shared" si="75"/>
        <v>Old</v>
      </c>
      <c r="S339" t="s">
        <v>24</v>
      </c>
      <c r="T339">
        <v>9</v>
      </c>
      <c r="U339" t="s">
        <v>25</v>
      </c>
      <c r="V339">
        <v>1029.3399999999999</v>
      </c>
      <c r="W339" t="s">
        <v>58</v>
      </c>
      <c r="X339" t="s">
        <v>55</v>
      </c>
      <c r="Y339">
        <v>7</v>
      </c>
      <c r="Z339" t="str">
        <f t="shared" si="76"/>
        <v>Bad Employee</v>
      </c>
      <c r="AA339" t="b">
        <f t="shared" si="77"/>
        <v>0</v>
      </c>
      <c r="AB339" t="b">
        <f>OR(Y339&gt;20, T339&gt;6)</f>
        <v>1</v>
      </c>
      <c r="AC339" t="str">
        <f>IF(OR(Y339&gt;20,T339&gt;6), "Good employee", "Bad Employee")</f>
        <v>Good employee</v>
      </c>
      <c r="AD339" t="s">
        <v>41</v>
      </c>
      <c r="AE339" t="s">
        <v>29</v>
      </c>
      <c r="AF339">
        <v>8</v>
      </c>
      <c r="AG339">
        <v>2020</v>
      </c>
      <c r="AH339" t="s">
        <v>49</v>
      </c>
      <c r="AI339">
        <v>36</v>
      </c>
      <c r="AJ339">
        <v>2.1</v>
      </c>
    </row>
    <row r="340" spans="1:36" x14ac:dyDescent="0.25">
      <c r="A340">
        <v>10339</v>
      </c>
      <c r="B340" t="s">
        <v>31</v>
      </c>
      <c r="C340" t="s">
        <v>51</v>
      </c>
      <c r="D340" t="s">
        <v>52</v>
      </c>
      <c r="E340" t="str">
        <f t="shared" si="65"/>
        <v>Emily Brown is in Operations Department</v>
      </c>
      <c r="F340" s="6" t="str">
        <f t="shared" si="66"/>
        <v>emilybrown@gmail.com</v>
      </c>
      <c r="G340">
        <v>80355</v>
      </c>
      <c r="H340" t="str">
        <f t="shared" si="67"/>
        <v>High</v>
      </c>
      <c r="I340" s="3">
        <v>43615</v>
      </c>
      <c r="J340">
        <f t="shared" si="68"/>
        <v>2019</v>
      </c>
      <c r="K340">
        <f t="shared" si="69"/>
        <v>5</v>
      </c>
      <c r="L340">
        <f t="shared" si="70"/>
        <v>30</v>
      </c>
      <c r="M340" s="3">
        <f t="shared" ca="1" si="71"/>
        <v>46100</v>
      </c>
      <c r="N340">
        <f t="shared" ca="1" si="72"/>
        <v>2485</v>
      </c>
      <c r="O340">
        <f t="shared" ca="1" si="73"/>
        <v>2485</v>
      </c>
      <c r="P340">
        <f t="shared" ca="1" si="74"/>
        <v>1776</v>
      </c>
      <c r="Q340">
        <v>56</v>
      </c>
      <c r="R340" t="str">
        <f t="shared" si="75"/>
        <v>Old</v>
      </c>
      <c r="S340" t="s">
        <v>34</v>
      </c>
      <c r="T340">
        <v>9</v>
      </c>
      <c r="U340" t="s">
        <v>45</v>
      </c>
      <c r="V340">
        <v>2453.4699999999998</v>
      </c>
      <c r="W340" t="s">
        <v>58</v>
      </c>
      <c r="X340" t="s">
        <v>36</v>
      </c>
      <c r="Y340">
        <v>22</v>
      </c>
      <c r="Z340" t="str">
        <f t="shared" si="76"/>
        <v>Good Employee</v>
      </c>
      <c r="AA340" t="b">
        <f t="shared" si="77"/>
        <v>1</v>
      </c>
      <c r="AB340" t="b">
        <f>OR(Y340&gt;20, T340&gt;6)</f>
        <v>1</v>
      </c>
      <c r="AC340" t="str">
        <f>IF(OR(Y340&gt;20,T340&gt;6), "Good employee", "Bad Employee")</f>
        <v>Good employee</v>
      </c>
      <c r="AD340" t="s">
        <v>41</v>
      </c>
      <c r="AE340" t="s">
        <v>59</v>
      </c>
      <c r="AF340">
        <v>3</v>
      </c>
      <c r="AG340">
        <v>2011</v>
      </c>
      <c r="AH340" t="s">
        <v>30</v>
      </c>
      <c r="AI340">
        <v>198</v>
      </c>
      <c r="AJ340">
        <v>4.5</v>
      </c>
    </row>
    <row r="341" spans="1:36" x14ac:dyDescent="0.25">
      <c r="A341">
        <v>10340</v>
      </c>
      <c r="B341" t="s">
        <v>31</v>
      </c>
      <c r="C341" t="s">
        <v>65</v>
      </c>
      <c r="D341" t="s">
        <v>54</v>
      </c>
      <c r="E341" t="str">
        <f t="shared" si="65"/>
        <v>Emily Johnson is in Finance Department</v>
      </c>
      <c r="F341" s="6" t="str">
        <f t="shared" si="66"/>
        <v>emilyjohnson@gmail.com</v>
      </c>
      <c r="G341">
        <v>74732</v>
      </c>
      <c r="H341" t="str">
        <f t="shared" si="67"/>
        <v>Medium</v>
      </c>
      <c r="I341" s="3">
        <v>41876</v>
      </c>
      <c r="J341">
        <f t="shared" si="68"/>
        <v>2014</v>
      </c>
      <c r="K341">
        <f t="shared" si="69"/>
        <v>8</v>
      </c>
      <c r="L341">
        <f t="shared" si="70"/>
        <v>25</v>
      </c>
      <c r="M341" s="3">
        <f t="shared" ca="1" si="71"/>
        <v>46100</v>
      </c>
      <c r="N341">
        <f t="shared" ca="1" si="72"/>
        <v>4224</v>
      </c>
      <c r="O341">
        <f t="shared" ca="1" si="73"/>
        <v>4224</v>
      </c>
      <c r="P341">
        <f t="shared" ca="1" si="74"/>
        <v>3019</v>
      </c>
      <c r="Q341">
        <v>44</v>
      </c>
      <c r="R341" t="str">
        <f t="shared" si="75"/>
        <v>Old</v>
      </c>
      <c r="S341" t="s">
        <v>34</v>
      </c>
      <c r="T341">
        <v>9</v>
      </c>
      <c r="U341" t="s">
        <v>25</v>
      </c>
      <c r="V341">
        <v>5672.31</v>
      </c>
      <c r="W341" t="s">
        <v>35</v>
      </c>
      <c r="X341" t="s">
        <v>47</v>
      </c>
      <c r="Y341">
        <v>23</v>
      </c>
      <c r="Z341" t="str">
        <f t="shared" si="76"/>
        <v>Good Employee</v>
      </c>
      <c r="AA341" t="b">
        <f t="shared" si="77"/>
        <v>1</v>
      </c>
      <c r="AB341" t="b">
        <f>OR(Y341&gt;20, T341&gt;6)</f>
        <v>1</v>
      </c>
      <c r="AC341" t="str">
        <f>IF(OR(Y341&gt;20,T341&gt;6), "Good employee", "Bad Employee")</f>
        <v>Good employee</v>
      </c>
      <c r="AD341" t="s">
        <v>41</v>
      </c>
      <c r="AE341" t="s">
        <v>42</v>
      </c>
      <c r="AF341">
        <v>19</v>
      </c>
      <c r="AG341">
        <v>2023</v>
      </c>
      <c r="AH341" t="s">
        <v>43</v>
      </c>
      <c r="AI341">
        <v>64</v>
      </c>
      <c r="AJ341">
        <v>1.6</v>
      </c>
    </row>
    <row r="342" spans="1:36" x14ac:dyDescent="0.25">
      <c r="A342">
        <v>10341</v>
      </c>
      <c r="B342" t="s">
        <v>50</v>
      </c>
      <c r="C342" t="s">
        <v>51</v>
      </c>
      <c r="D342" t="s">
        <v>52</v>
      </c>
      <c r="E342" t="str">
        <f t="shared" si="65"/>
        <v>Alex Brown is in Operations Department</v>
      </c>
      <c r="F342" s="6" t="str">
        <f t="shared" si="66"/>
        <v>alexbrown@gmail.com</v>
      </c>
      <c r="G342">
        <v>38711</v>
      </c>
      <c r="H342" t="str">
        <f t="shared" si="67"/>
        <v>extremely low</v>
      </c>
      <c r="I342" s="3">
        <v>37059</v>
      </c>
      <c r="J342">
        <f t="shared" si="68"/>
        <v>2001</v>
      </c>
      <c r="K342">
        <f t="shared" si="69"/>
        <v>6</v>
      </c>
      <c r="L342">
        <f t="shared" si="70"/>
        <v>17</v>
      </c>
      <c r="M342" s="3">
        <f t="shared" ca="1" si="71"/>
        <v>46100</v>
      </c>
      <c r="N342">
        <f t="shared" ca="1" si="72"/>
        <v>9041</v>
      </c>
      <c r="O342">
        <f t="shared" ca="1" si="73"/>
        <v>9041</v>
      </c>
      <c r="P342">
        <f t="shared" ca="1" si="74"/>
        <v>6459</v>
      </c>
      <c r="Q342">
        <v>25</v>
      </c>
      <c r="R342" t="str">
        <f t="shared" si="75"/>
        <v>Young</v>
      </c>
      <c r="S342" t="s">
        <v>24</v>
      </c>
      <c r="T342">
        <v>3</v>
      </c>
      <c r="U342" t="s">
        <v>45</v>
      </c>
      <c r="V342">
        <v>2194.59</v>
      </c>
      <c r="W342" t="s">
        <v>58</v>
      </c>
      <c r="X342" t="s">
        <v>36</v>
      </c>
      <c r="Y342">
        <v>12</v>
      </c>
      <c r="Z342" t="str">
        <f t="shared" si="76"/>
        <v>Bad Employee</v>
      </c>
      <c r="AA342" t="b">
        <f t="shared" si="77"/>
        <v>0</v>
      </c>
      <c r="AB342" t="b">
        <f>OR(Y342&gt;20, T342&gt;6)</f>
        <v>0</v>
      </c>
      <c r="AC342" t="str">
        <f>IF(OR(Y342&gt;20,T342&gt;6), "Good employee", "Bad Employee")</f>
        <v>Bad Employee</v>
      </c>
      <c r="AD342" t="s">
        <v>56</v>
      </c>
      <c r="AE342" t="s">
        <v>42</v>
      </c>
      <c r="AF342">
        <v>10</v>
      </c>
      <c r="AG342">
        <v>2016</v>
      </c>
      <c r="AH342" t="s">
        <v>30</v>
      </c>
      <c r="AI342">
        <v>15</v>
      </c>
      <c r="AJ342">
        <v>2</v>
      </c>
    </row>
    <row r="343" spans="1:36" x14ac:dyDescent="0.25">
      <c r="A343">
        <v>10342</v>
      </c>
      <c r="B343" t="s">
        <v>31</v>
      </c>
      <c r="C343" t="s">
        <v>65</v>
      </c>
      <c r="D343" t="s">
        <v>23</v>
      </c>
      <c r="E343" t="str">
        <f t="shared" si="65"/>
        <v>Emily Johnson is in HR Department</v>
      </c>
      <c r="F343" s="6" t="str">
        <f t="shared" si="66"/>
        <v>emilyjohnson@gmail.com</v>
      </c>
      <c r="G343">
        <v>93079</v>
      </c>
      <c r="H343" t="str">
        <f t="shared" si="67"/>
        <v>High</v>
      </c>
      <c r="I343" s="3">
        <v>36927</v>
      </c>
      <c r="J343">
        <f t="shared" si="68"/>
        <v>2001</v>
      </c>
      <c r="K343">
        <f t="shared" si="69"/>
        <v>2</v>
      </c>
      <c r="L343">
        <f t="shared" si="70"/>
        <v>5</v>
      </c>
      <c r="M343" s="3">
        <f t="shared" ca="1" si="71"/>
        <v>46100</v>
      </c>
      <c r="N343">
        <f t="shared" ca="1" si="72"/>
        <v>9173</v>
      </c>
      <c r="O343">
        <f t="shared" ca="1" si="73"/>
        <v>9173</v>
      </c>
      <c r="P343">
        <f t="shared" ca="1" si="74"/>
        <v>6554</v>
      </c>
      <c r="Q343">
        <v>63</v>
      </c>
      <c r="R343" t="str">
        <f t="shared" si="75"/>
        <v>Old</v>
      </c>
      <c r="S343" t="s">
        <v>34</v>
      </c>
      <c r="T343">
        <v>8</v>
      </c>
      <c r="U343" t="s">
        <v>45</v>
      </c>
      <c r="V343">
        <v>8420.99</v>
      </c>
      <c r="W343" t="s">
        <v>58</v>
      </c>
      <c r="X343" t="s">
        <v>47</v>
      </c>
      <c r="Y343">
        <v>39</v>
      </c>
      <c r="Z343" t="str">
        <f t="shared" si="76"/>
        <v>Good Employee</v>
      </c>
      <c r="AA343" t="b">
        <f t="shared" si="77"/>
        <v>1</v>
      </c>
      <c r="AB343" t="b">
        <f>OR(Y343&gt;20, T343&gt;6)</f>
        <v>1</v>
      </c>
      <c r="AC343" t="str">
        <f>IF(OR(Y343&gt;20,T343&gt;6), "Good employee", "Bad Employee")</f>
        <v>Good employee</v>
      </c>
      <c r="AD343" t="s">
        <v>28</v>
      </c>
      <c r="AE343" t="s">
        <v>48</v>
      </c>
      <c r="AF343">
        <v>16</v>
      </c>
      <c r="AG343">
        <v>2021</v>
      </c>
      <c r="AH343" t="s">
        <v>49</v>
      </c>
      <c r="AI343">
        <v>24</v>
      </c>
      <c r="AJ343">
        <v>1.6</v>
      </c>
    </row>
    <row r="344" spans="1:36" x14ac:dyDescent="0.25">
      <c r="A344">
        <v>10343</v>
      </c>
      <c r="B344" t="s">
        <v>50</v>
      </c>
      <c r="C344" t="s">
        <v>63</v>
      </c>
      <c r="D344" t="s">
        <v>54</v>
      </c>
      <c r="E344" t="str">
        <f t="shared" si="65"/>
        <v>Alex Miller is in Finance Department</v>
      </c>
      <c r="F344" s="6" t="str">
        <f t="shared" si="66"/>
        <v>alexmiller@gmail.com</v>
      </c>
      <c r="G344">
        <v>37904</v>
      </c>
      <c r="H344" t="str">
        <f t="shared" si="67"/>
        <v>extremely low</v>
      </c>
      <c r="I344" s="3">
        <v>40189</v>
      </c>
      <c r="J344">
        <f t="shared" si="68"/>
        <v>2010</v>
      </c>
      <c r="K344">
        <f t="shared" si="69"/>
        <v>1</v>
      </c>
      <c r="L344">
        <f t="shared" si="70"/>
        <v>11</v>
      </c>
      <c r="M344" s="3">
        <f t="shared" ca="1" si="71"/>
        <v>46100</v>
      </c>
      <c r="N344">
        <f t="shared" ca="1" si="72"/>
        <v>5911</v>
      </c>
      <c r="O344">
        <f t="shared" ca="1" si="73"/>
        <v>5911</v>
      </c>
      <c r="P344">
        <f t="shared" ca="1" si="74"/>
        <v>4224</v>
      </c>
      <c r="Q344">
        <v>35</v>
      </c>
      <c r="R344" t="str">
        <f t="shared" si="75"/>
        <v>Old</v>
      </c>
      <c r="S344" t="s">
        <v>24</v>
      </c>
      <c r="T344">
        <v>3</v>
      </c>
      <c r="U344" t="s">
        <v>25</v>
      </c>
      <c r="V344">
        <v>7883.02</v>
      </c>
      <c r="W344" t="s">
        <v>26</v>
      </c>
      <c r="X344" t="s">
        <v>47</v>
      </c>
      <c r="Y344">
        <v>13</v>
      </c>
      <c r="Z344" t="str">
        <f t="shared" si="76"/>
        <v>Bad Employee</v>
      </c>
      <c r="AA344" t="b">
        <f t="shared" si="77"/>
        <v>0</v>
      </c>
      <c r="AB344" t="b">
        <f>OR(Y344&gt;20, T344&gt;6)</f>
        <v>0</v>
      </c>
      <c r="AC344" t="str">
        <f>IF(OR(Y344&gt;20,T344&gt;6), "Good employee", "Bad Employee")</f>
        <v>Bad Employee</v>
      </c>
      <c r="AD344" t="s">
        <v>28</v>
      </c>
      <c r="AE344" t="s">
        <v>37</v>
      </c>
      <c r="AF344">
        <v>13</v>
      </c>
      <c r="AG344">
        <v>2010</v>
      </c>
      <c r="AH344" t="s">
        <v>49</v>
      </c>
      <c r="AI344">
        <v>27</v>
      </c>
      <c r="AJ344">
        <v>1.5</v>
      </c>
    </row>
    <row r="345" spans="1:36" x14ac:dyDescent="0.25">
      <c r="A345">
        <v>10344</v>
      </c>
      <c r="B345" t="s">
        <v>60</v>
      </c>
      <c r="C345" t="s">
        <v>61</v>
      </c>
      <c r="D345" t="s">
        <v>54</v>
      </c>
      <c r="E345" t="str">
        <f t="shared" si="65"/>
        <v>Jane Smith is in Finance Department</v>
      </c>
      <c r="F345" s="6" t="str">
        <f t="shared" si="66"/>
        <v>janesmith@gmail.com</v>
      </c>
      <c r="G345">
        <v>94033</v>
      </c>
      <c r="H345" t="str">
        <f t="shared" si="67"/>
        <v>High</v>
      </c>
      <c r="I345" s="3">
        <v>36655</v>
      </c>
      <c r="J345">
        <f t="shared" si="68"/>
        <v>2000</v>
      </c>
      <c r="K345">
        <f t="shared" si="69"/>
        <v>5</v>
      </c>
      <c r="L345">
        <f t="shared" si="70"/>
        <v>9</v>
      </c>
      <c r="M345" s="3">
        <f t="shared" ca="1" si="71"/>
        <v>46100</v>
      </c>
      <c r="N345">
        <f t="shared" ca="1" si="72"/>
        <v>9445</v>
      </c>
      <c r="O345">
        <f t="shared" ca="1" si="73"/>
        <v>9445</v>
      </c>
      <c r="P345">
        <f t="shared" ca="1" si="74"/>
        <v>6748</v>
      </c>
      <c r="Q345">
        <v>60</v>
      </c>
      <c r="R345" t="str">
        <f t="shared" si="75"/>
        <v>Old</v>
      </c>
      <c r="S345" t="s">
        <v>24</v>
      </c>
      <c r="T345">
        <v>6</v>
      </c>
      <c r="U345" t="s">
        <v>45</v>
      </c>
      <c r="V345">
        <v>7679.81</v>
      </c>
      <c r="W345" t="s">
        <v>46</v>
      </c>
      <c r="X345" t="s">
        <v>40</v>
      </c>
      <c r="Y345">
        <v>13</v>
      </c>
      <c r="Z345" t="str">
        <f t="shared" si="76"/>
        <v>Bad Employee</v>
      </c>
      <c r="AA345" t="b">
        <f t="shared" si="77"/>
        <v>0</v>
      </c>
      <c r="AB345" t="b">
        <f>OR(Y345&gt;20, T345&gt;6)</f>
        <v>0</v>
      </c>
      <c r="AC345" t="str">
        <f>IF(OR(Y345&gt;20,T345&gt;6), "Good employee", "Bad Employee")</f>
        <v>Bad Employee</v>
      </c>
      <c r="AD345" t="s">
        <v>41</v>
      </c>
      <c r="AE345" t="s">
        <v>29</v>
      </c>
      <c r="AF345">
        <v>9</v>
      </c>
      <c r="AG345">
        <v>2021</v>
      </c>
      <c r="AH345" t="s">
        <v>43</v>
      </c>
      <c r="AI345">
        <v>131</v>
      </c>
      <c r="AJ345">
        <v>4.5</v>
      </c>
    </row>
    <row r="346" spans="1:36" x14ac:dyDescent="0.25">
      <c r="A346">
        <v>10345</v>
      </c>
      <c r="B346" t="s">
        <v>50</v>
      </c>
      <c r="C346" t="s">
        <v>51</v>
      </c>
      <c r="D346" t="s">
        <v>33</v>
      </c>
      <c r="E346" t="str">
        <f t="shared" si="65"/>
        <v>Alex Brown is in Marketing Department</v>
      </c>
      <c r="F346" s="6" t="str">
        <f t="shared" si="66"/>
        <v>alexbrown@gmail.com</v>
      </c>
      <c r="G346">
        <v>116478</v>
      </c>
      <c r="H346" t="str">
        <f t="shared" si="67"/>
        <v>High</v>
      </c>
      <c r="I346" s="3">
        <v>38865</v>
      </c>
      <c r="J346">
        <f t="shared" si="68"/>
        <v>2006</v>
      </c>
      <c r="K346">
        <f t="shared" si="69"/>
        <v>5</v>
      </c>
      <c r="L346">
        <f t="shared" si="70"/>
        <v>28</v>
      </c>
      <c r="M346" s="3">
        <f t="shared" ca="1" si="71"/>
        <v>46100</v>
      </c>
      <c r="N346">
        <f t="shared" ca="1" si="72"/>
        <v>7235</v>
      </c>
      <c r="O346">
        <f t="shared" ca="1" si="73"/>
        <v>7235</v>
      </c>
      <c r="P346">
        <f t="shared" ca="1" si="74"/>
        <v>5169</v>
      </c>
      <c r="Q346">
        <v>28</v>
      </c>
      <c r="R346" t="str">
        <f t="shared" si="75"/>
        <v>Young</v>
      </c>
      <c r="S346" t="s">
        <v>34</v>
      </c>
      <c r="T346">
        <v>5</v>
      </c>
      <c r="U346" t="s">
        <v>25</v>
      </c>
      <c r="V346">
        <v>8253.2099999999991</v>
      </c>
      <c r="W346" t="s">
        <v>46</v>
      </c>
      <c r="X346" t="s">
        <v>36</v>
      </c>
      <c r="Y346">
        <v>33</v>
      </c>
      <c r="Z346" t="str">
        <f t="shared" si="76"/>
        <v>Bad Employee</v>
      </c>
      <c r="AA346" t="b">
        <f t="shared" si="77"/>
        <v>0</v>
      </c>
      <c r="AB346" t="b">
        <f>OR(Y346&gt;20, T346&gt;6)</f>
        <v>1</v>
      </c>
      <c r="AC346" t="str">
        <f>IF(OR(Y346&gt;20,T346&gt;6), "Good employee", "Bad Employee")</f>
        <v>Good employee</v>
      </c>
      <c r="AD346" t="s">
        <v>56</v>
      </c>
      <c r="AE346" t="s">
        <v>29</v>
      </c>
      <c r="AF346">
        <v>4</v>
      </c>
      <c r="AG346">
        <v>2023</v>
      </c>
      <c r="AH346" t="s">
        <v>49</v>
      </c>
      <c r="AI346">
        <v>81</v>
      </c>
      <c r="AJ346">
        <v>2.1</v>
      </c>
    </row>
    <row r="347" spans="1:36" x14ac:dyDescent="0.25">
      <c r="A347">
        <v>10346</v>
      </c>
      <c r="B347" t="s">
        <v>21</v>
      </c>
      <c r="C347" t="s">
        <v>32</v>
      </c>
      <c r="D347" t="s">
        <v>44</v>
      </c>
      <c r="E347" t="str">
        <f t="shared" si="65"/>
        <v>Michael Wilson is in Sales Department</v>
      </c>
      <c r="F347" s="6" t="str">
        <f t="shared" si="66"/>
        <v>michaelwilson@gmail.com</v>
      </c>
      <c r="G347">
        <v>119787</v>
      </c>
      <c r="H347" t="str">
        <f t="shared" si="67"/>
        <v>High</v>
      </c>
      <c r="I347" s="3">
        <v>40897</v>
      </c>
      <c r="J347">
        <f t="shared" si="68"/>
        <v>2011</v>
      </c>
      <c r="K347">
        <f t="shared" si="69"/>
        <v>12</v>
      </c>
      <c r="L347">
        <f t="shared" si="70"/>
        <v>20</v>
      </c>
      <c r="M347" s="3">
        <f t="shared" ca="1" si="71"/>
        <v>46100</v>
      </c>
      <c r="N347">
        <f t="shared" ca="1" si="72"/>
        <v>5203</v>
      </c>
      <c r="O347">
        <f t="shared" ca="1" si="73"/>
        <v>5203</v>
      </c>
      <c r="P347">
        <f t="shared" ca="1" si="74"/>
        <v>3718</v>
      </c>
      <c r="Q347">
        <v>29</v>
      </c>
      <c r="R347" t="str">
        <f t="shared" si="75"/>
        <v>Young</v>
      </c>
      <c r="S347" t="s">
        <v>24</v>
      </c>
      <c r="T347">
        <v>8</v>
      </c>
      <c r="U347" t="s">
        <v>45</v>
      </c>
      <c r="V347">
        <v>2587.17</v>
      </c>
      <c r="W347" t="s">
        <v>35</v>
      </c>
      <c r="X347" t="s">
        <v>47</v>
      </c>
      <c r="Y347">
        <v>31</v>
      </c>
      <c r="Z347" t="str">
        <f t="shared" si="76"/>
        <v>Good Employee</v>
      </c>
      <c r="AA347" t="b">
        <f t="shared" si="77"/>
        <v>1</v>
      </c>
      <c r="AB347" t="b">
        <f>OR(Y347&gt;20, T347&gt;6)</f>
        <v>1</v>
      </c>
      <c r="AC347" t="str">
        <f>IF(OR(Y347&gt;20,T347&gt;6), "Good employee", "Bad Employee")</f>
        <v>Good employee</v>
      </c>
      <c r="AD347" t="s">
        <v>56</v>
      </c>
      <c r="AE347" t="s">
        <v>62</v>
      </c>
      <c r="AF347">
        <v>16</v>
      </c>
      <c r="AG347">
        <v>2011</v>
      </c>
      <c r="AH347" t="s">
        <v>43</v>
      </c>
      <c r="AI347">
        <v>39</v>
      </c>
      <c r="AJ347">
        <v>3.9</v>
      </c>
    </row>
    <row r="348" spans="1:36" x14ac:dyDescent="0.25">
      <c r="A348">
        <v>10347</v>
      </c>
      <c r="B348" t="s">
        <v>50</v>
      </c>
      <c r="C348" t="s">
        <v>51</v>
      </c>
      <c r="D348" t="s">
        <v>52</v>
      </c>
      <c r="E348" t="str">
        <f t="shared" si="65"/>
        <v>Alex Brown is in Operations Department</v>
      </c>
      <c r="F348" s="6" t="str">
        <f t="shared" si="66"/>
        <v>alexbrown@gmail.com</v>
      </c>
      <c r="G348">
        <v>85096</v>
      </c>
      <c r="H348" t="str">
        <f t="shared" si="67"/>
        <v>High</v>
      </c>
      <c r="I348" s="3">
        <v>39485</v>
      </c>
      <c r="J348">
        <f t="shared" si="68"/>
        <v>2008</v>
      </c>
      <c r="K348">
        <f t="shared" si="69"/>
        <v>2</v>
      </c>
      <c r="L348">
        <f t="shared" si="70"/>
        <v>7</v>
      </c>
      <c r="M348" s="3">
        <f t="shared" ca="1" si="71"/>
        <v>46100</v>
      </c>
      <c r="N348">
        <f t="shared" ca="1" si="72"/>
        <v>6615</v>
      </c>
      <c r="O348">
        <f t="shared" ca="1" si="73"/>
        <v>6615</v>
      </c>
      <c r="P348">
        <f t="shared" ca="1" si="74"/>
        <v>4726</v>
      </c>
      <c r="Q348">
        <v>63</v>
      </c>
      <c r="R348" t="str">
        <f t="shared" si="75"/>
        <v>Old</v>
      </c>
      <c r="S348" t="s">
        <v>24</v>
      </c>
      <c r="T348">
        <v>3</v>
      </c>
      <c r="U348" t="s">
        <v>25</v>
      </c>
      <c r="V348">
        <v>7424.48</v>
      </c>
      <c r="W348" t="s">
        <v>58</v>
      </c>
      <c r="X348" t="s">
        <v>47</v>
      </c>
      <c r="Y348">
        <v>28</v>
      </c>
      <c r="Z348" t="str">
        <f t="shared" si="76"/>
        <v>Bad Employee</v>
      </c>
      <c r="AA348" t="b">
        <f t="shared" si="77"/>
        <v>0</v>
      </c>
      <c r="AB348" t="b">
        <f>OR(Y348&gt;20, T348&gt;6)</f>
        <v>1</v>
      </c>
      <c r="AC348" t="str">
        <f>IF(OR(Y348&gt;20,T348&gt;6), "Good employee", "Bad Employee")</f>
        <v>Good employee</v>
      </c>
      <c r="AD348" t="s">
        <v>28</v>
      </c>
      <c r="AE348" t="s">
        <v>29</v>
      </c>
      <c r="AF348">
        <v>15</v>
      </c>
      <c r="AG348">
        <v>2014</v>
      </c>
      <c r="AH348" t="s">
        <v>30</v>
      </c>
      <c r="AI348">
        <v>149</v>
      </c>
      <c r="AJ348">
        <v>2.7</v>
      </c>
    </row>
    <row r="349" spans="1:36" x14ac:dyDescent="0.25">
      <c r="A349">
        <v>10348</v>
      </c>
      <c r="B349" t="s">
        <v>31</v>
      </c>
      <c r="C349" t="s">
        <v>32</v>
      </c>
      <c r="D349" t="s">
        <v>54</v>
      </c>
      <c r="E349" t="str">
        <f t="shared" si="65"/>
        <v>Emily Wilson is in Finance Department</v>
      </c>
      <c r="F349" s="6" t="str">
        <f t="shared" si="66"/>
        <v>emilywilson@gmail.com</v>
      </c>
      <c r="G349">
        <v>33093</v>
      </c>
      <c r="H349" t="str">
        <f t="shared" si="67"/>
        <v>extremely low</v>
      </c>
      <c r="I349" s="3">
        <v>38384</v>
      </c>
      <c r="J349">
        <f t="shared" si="68"/>
        <v>2005</v>
      </c>
      <c r="K349">
        <f t="shared" si="69"/>
        <v>2</v>
      </c>
      <c r="L349">
        <f t="shared" si="70"/>
        <v>1</v>
      </c>
      <c r="M349" s="3">
        <f t="shared" ca="1" si="71"/>
        <v>46100</v>
      </c>
      <c r="N349">
        <f t="shared" ca="1" si="72"/>
        <v>7716</v>
      </c>
      <c r="O349">
        <f t="shared" ca="1" si="73"/>
        <v>7716</v>
      </c>
      <c r="P349">
        <f t="shared" ca="1" si="74"/>
        <v>5513</v>
      </c>
      <c r="Q349">
        <v>40</v>
      </c>
      <c r="R349" t="str">
        <f t="shared" si="75"/>
        <v>Old</v>
      </c>
      <c r="S349" t="s">
        <v>34</v>
      </c>
      <c r="T349">
        <v>1</v>
      </c>
      <c r="U349" t="s">
        <v>45</v>
      </c>
      <c r="V349">
        <v>3875.17</v>
      </c>
      <c r="W349" t="s">
        <v>35</v>
      </c>
      <c r="X349" t="s">
        <v>55</v>
      </c>
      <c r="Y349">
        <v>19</v>
      </c>
      <c r="Z349" t="str">
        <f t="shared" si="76"/>
        <v>Bad Employee</v>
      </c>
      <c r="AA349" t="b">
        <f t="shared" si="77"/>
        <v>0</v>
      </c>
      <c r="AB349" t="b">
        <f>OR(Y349&gt;20, T349&gt;6)</f>
        <v>0</v>
      </c>
      <c r="AC349" t="str">
        <f>IF(OR(Y349&gt;20,T349&gt;6), "Good employee", "Bad Employee")</f>
        <v>Bad Employee</v>
      </c>
      <c r="AD349" t="s">
        <v>28</v>
      </c>
      <c r="AE349" t="s">
        <v>48</v>
      </c>
      <c r="AF349">
        <v>0</v>
      </c>
      <c r="AG349">
        <v>2017</v>
      </c>
      <c r="AH349" t="s">
        <v>43</v>
      </c>
      <c r="AI349">
        <v>14</v>
      </c>
      <c r="AJ349">
        <v>3.5</v>
      </c>
    </row>
    <row r="350" spans="1:36" x14ac:dyDescent="0.25">
      <c r="A350">
        <v>10349</v>
      </c>
      <c r="B350" t="s">
        <v>53</v>
      </c>
      <c r="C350" t="s">
        <v>61</v>
      </c>
      <c r="D350" t="s">
        <v>54</v>
      </c>
      <c r="E350" t="str">
        <f t="shared" si="65"/>
        <v>Sarah Smith is in Finance Department</v>
      </c>
      <c r="F350" s="6" t="str">
        <f t="shared" si="66"/>
        <v>sarahsmith@gmail.com</v>
      </c>
      <c r="G350">
        <v>54918</v>
      </c>
      <c r="H350" t="str">
        <f t="shared" si="67"/>
        <v>Medium</v>
      </c>
      <c r="I350" s="3">
        <v>39499</v>
      </c>
      <c r="J350">
        <f t="shared" si="68"/>
        <v>2008</v>
      </c>
      <c r="K350">
        <f t="shared" si="69"/>
        <v>2</v>
      </c>
      <c r="L350">
        <f t="shared" si="70"/>
        <v>21</v>
      </c>
      <c r="M350" s="3">
        <f t="shared" ca="1" si="71"/>
        <v>46100</v>
      </c>
      <c r="N350">
        <f t="shared" ca="1" si="72"/>
        <v>6601</v>
      </c>
      <c r="O350">
        <f t="shared" ca="1" si="73"/>
        <v>6601</v>
      </c>
      <c r="P350">
        <f t="shared" ca="1" si="74"/>
        <v>4716</v>
      </c>
      <c r="Q350">
        <v>23</v>
      </c>
      <c r="R350" t="str">
        <f t="shared" si="75"/>
        <v>Young</v>
      </c>
      <c r="S350" t="s">
        <v>24</v>
      </c>
      <c r="T350">
        <v>9</v>
      </c>
      <c r="U350" t="s">
        <v>45</v>
      </c>
      <c r="V350">
        <v>6835.03</v>
      </c>
      <c r="W350" t="s">
        <v>35</v>
      </c>
      <c r="X350" t="s">
        <v>40</v>
      </c>
      <c r="Y350">
        <v>21</v>
      </c>
      <c r="Z350" t="str">
        <f t="shared" si="76"/>
        <v>Good Employee</v>
      </c>
      <c r="AA350" t="b">
        <f t="shared" si="77"/>
        <v>1</v>
      </c>
      <c r="AB350" t="b">
        <f>OR(Y350&gt;20, T350&gt;6)</f>
        <v>1</v>
      </c>
      <c r="AC350" t="str">
        <f>IF(OR(Y350&gt;20,T350&gt;6), "Good employee", "Bad Employee")</f>
        <v>Good employee</v>
      </c>
      <c r="AD350" t="s">
        <v>56</v>
      </c>
      <c r="AE350" t="s">
        <v>48</v>
      </c>
      <c r="AF350">
        <v>9</v>
      </c>
      <c r="AG350">
        <v>2021</v>
      </c>
      <c r="AH350" t="s">
        <v>49</v>
      </c>
      <c r="AI350">
        <v>42</v>
      </c>
      <c r="AJ350">
        <v>4.7</v>
      </c>
    </row>
    <row r="351" spans="1:36" x14ac:dyDescent="0.25">
      <c r="A351">
        <v>10350</v>
      </c>
      <c r="B351" t="s">
        <v>21</v>
      </c>
      <c r="C351" t="s">
        <v>51</v>
      </c>
      <c r="D351" t="s">
        <v>33</v>
      </c>
      <c r="E351" t="str">
        <f t="shared" si="65"/>
        <v>Michael Brown is in Marketing Department</v>
      </c>
      <c r="F351" s="6" t="str">
        <f t="shared" si="66"/>
        <v>michaelbrown@gmail.com</v>
      </c>
      <c r="G351">
        <v>102743</v>
      </c>
      <c r="H351" t="str">
        <f t="shared" si="67"/>
        <v>High</v>
      </c>
      <c r="I351" s="3">
        <v>40676</v>
      </c>
      <c r="J351">
        <f t="shared" si="68"/>
        <v>2011</v>
      </c>
      <c r="K351">
        <f t="shared" si="69"/>
        <v>5</v>
      </c>
      <c r="L351">
        <f t="shared" si="70"/>
        <v>13</v>
      </c>
      <c r="M351" s="3">
        <f t="shared" ca="1" si="71"/>
        <v>46100</v>
      </c>
      <c r="N351">
        <f t="shared" ca="1" si="72"/>
        <v>5424</v>
      </c>
      <c r="O351">
        <f t="shared" ca="1" si="73"/>
        <v>5424</v>
      </c>
      <c r="P351">
        <f t="shared" ca="1" si="74"/>
        <v>3875</v>
      </c>
      <c r="Q351">
        <v>22</v>
      </c>
      <c r="R351" t="str">
        <f t="shared" si="75"/>
        <v>Young</v>
      </c>
      <c r="S351" t="s">
        <v>24</v>
      </c>
      <c r="T351">
        <v>9</v>
      </c>
      <c r="U351" t="s">
        <v>45</v>
      </c>
      <c r="V351">
        <v>1659.21</v>
      </c>
      <c r="W351" t="s">
        <v>46</v>
      </c>
      <c r="X351" t="s">
        <v>55</v>
      </c>
      <c r="Y351">
        <v>32</v>
      </c>
      <c r="Z351" t="str">
        <f t="shared" si="76"/>
        <v>Good Employee</v>
      </c>
      <c r="AA351" t="b">
        <f t="shared" si="77"/>
        <v>1</v>
      </c>
      <c r="AB351" t="b">
        <f>OR(Y351&gt;20, T351&gt;6)</f>
        <v>1</v>
      </c>
      <c r="AC351" t="str">
        <f>IF(OR(Y351&gt;20,T351&gt;6), "Good employee", "Bad Employee")</f>
        <v>Good employee</v>
      </c>
      <c r="AD351" t="s">
        <v>28</v>
      </c>
      <c r="AE351" t="s">
        <v>59</v>
      </c>
      <c r="AF351">
        <v>11</v>
      </c>
      <c r="AG351">
        <v>2016</v>
      </c>
      <c r="AH351" t="s">
        <v>49</v>
      </c>
      <c r="AI351">
        <v>87</v>
      </c>
      <c r="AJ351">
        <v>4.4000000000000004</v>
      </c>
    </row>
    <row r="352" spans="1:36" x14ac:dyDescent="0.25">
      <c r="A352">
        <v>10351</v>
      </c>
      <c r="B352" t="s">
        <v>31</v>
      </c>
      <c r="C352" t="s">
        <v>65</v>
      </c>
      <c r="D352" t="s">
        <v>33</v>
      </c>
      <c r="E352" t="str">
        <f t="shared" si="65"/>
        <v>Emily Johnson is in Marketing Department</v>
      </c>
      <c r="F352" s="6" t="str">
        <f t="shared" si="66"/>
        <v>emilyjohnson@gmail.com</v>
      </c>
      <c r="G352">
        <v>92636</v>
      </c>
      <c r="H352" t="str">
        <f t="shared" si="67"/>
        <v>High</v>
      </c>
      <c r="I352" s="3">
        <v>40175</v>
      </c>
      <c r="J352">
        <f t="shared" si="68"/>
        <v>2009</v>
      </c>
      <c r="K352">
        <f t="shared" si="69"/>
        <v>12</v>
      </c>
      <c r="L352">
        <f t="shared" si="70"/>
        <v>28</v>
      </c>
      <c r="M352" s="3">
        <f t="shared" ca="1" si="71"/>
        <v>46100</v>
      </c>
      <c r="N352">
        <f t="shared" ca="1" si="72"/>
        <v>5925</v>
      </c>
      <c r="O352">
        <f t="shared" ca="1" si="73"/>
        <v>5925</v>
      </c>
      <c r="P352">
        <f t="shared" ca="1" si="74"/>
        <v>4234</v>
      </c>
      <c r="Q352">
        <v>63</v>
      </c>
      <c r="R352" t="str">
        <f t="shared" si="75"/>
        <v>Old</v>
      </c>
      <c r="S352" t="s">
        <v>34</v>
      </c>
      <c r="T352">
        <v>3</v>
      </c>
      <c r="U352" t="s">
        <v>45</v>
      </c>
      <c r="V352">
        <v>7203.07</v>
      </c>
      <c r="W352" t="s">
        <v>58</v>
      </c>
      <c r="X352" t="s">
        <v>36</v>
      </c>
      <c r="Y352">
        <v>26</v>
      </c>
      <c r="Z352" t="str">
        <f t="shared" si="76"/>
        <v>Bad Employee</v>
      </c>
      <c r="AA352" t="b">
        <f t="shared" si="77"/>
        <v>0</v>
      </c>
      <c r="AB352" t="b">
        <f>OR(Y352&gt;20, T352&gt;6)</f>
        <v>1</v>
      </c>
      <c r="AC352" t="str">
        <f>IF(OR(Y352&gt;20,T352&gt;6), "Good employee", "Bad Employee")</f>
        <v>Good employee</v>
      </c>
      <c r="AD352" t="s">
        <v>41</v>
      </c>
      <c r="AE352" t="s">
        <v>48</v>
      </c>
      <c r="AF352">
        <v>17</v>
      </c>
      <c r="AG352">
        <v>2012</v>
      </c>
      <c r="AH352" t="s">
        <v>43</v>
      </c>
      <c r="AI352">
        <v>36</v>
      </c>
      <c r="AJ352">
        <v>1.3</v>
      </c>
    </row>
    <row r="353" spans="1:36" x14ac:dyDescent="0.25">
      <c r="A353">
        <v>10352</v>
      </c>
      <c r="B353" t="s">
        <v>66</v>
      </c>
      <c r="C353" t="s">
        <v>51</v>
      </c>
      <c r="D353" t="s">
        <v>44</v>
      </c>
      <c r="E353" t="str">
        <f t="shared" si="65"/>
        <v>John Brown is in Sales Department</v>
      </c>
      <c r="F353" s="6" t="str">
        <f t="shared" si="66"/>
        <v>johnbrown@gmail.com</v>
      </c>
      <c r="G353">
        <v>88806</v>
      </c>
      <c r="H353" t="str">
        <f t="shared" si="67"/>
        <v>High</v>
      </c>
      <c r="I353" s="3">
        <v>39312</v>
      </c>
      <c r="J353">
        <f t="shared" si="68"/>
        <v>2007</v>
      </c>
      <c r="K353">
        <f t="shared" si="69"/>
        <v>8</v>
      </c>
      <c r="L353">
        <f t="shared" si="70"/>
        <v>18</v>
      </c>
      <c r="M353" s="3">
        <f t="shared" ca="1" si="71"/>
        <v>46100</v>
      </c>
      <c r="N353">
        <f t="shared" ca="1" si="72"/>
        <v>6788</v>
      </c>
      <c r="O353">
        <f t="shared" ca="1" si="73"/>
        <v>6788</v>
      </c>
      <c r="P353">
        <f t="shared" ca="1" si="74"/>
        <v>4849</v>
      </c>
      <c r="Q353">
        <v>59</v>
      </c>
      <c r="R353" t="str">
        <f t="shared" si="75"/>
        <v>Old</v>
      </c>
      <c r="S353" t="s">
        <v>34</v>
      </c>
      <c r="T353">
        <v>2</v>
      </c>
      <c r="U353" t="s">
        <v>45</v>
      </c>
      <c r="V353">
        <v>9735.02</v>
      </c>
      <c r="W353" t="s">
        <v>35</v>
      </c>
      <c r="X353" t="s">
        <v>36</v>
      </c>
      <c r="Y353">
        <v>13</v>
      </c>
      <c r="Z353" t="str">
        <f t="shared" si="76"/>
        <v>Bad Employee</v>
      </c>
      <c r="AA353" t="b">
        <f t="shared" si="77"/>
        <v>0</v>
      </c>
      <c r="AB353" t="b">
        <f>OR(Y353&gt;20, T353&gt;6)</f>
        <v>0</v>
      </c>
      <c r="AC353" t="str">
        <f>IF(OR(Y353&gt;20,T353&gt;6), "Good employee", "Bad Employee")</f>
        <v>Bad Employee</v>
      </c>
      <c r="AD353" t="s">
        <v>28</v>
      </c>
      <c r="AE353" t="s">
        <v>59</v>
      </c>
      <c r="AF353">
        <v>0</v>
      </c>
      <c r="AG353">
        <v>2022</v>
      </c>
      <c r="AH353" t="s">
        <v>30</v>
      </c>
      <c r="AI353">
        <v>58</v>
      </c>
      <c r="AJ353">
        <v>4.4000000000000004</v>
      </c>
    </row>
    <row r="354" spans="1:36" x14ac:dyDescent="0.25">
      <c r="A354">
        <v>10353</v>
      </c>
      <c r="B354" t="s">
        <v>66</v>
      </c>
      <c r="C354" t="s">
        <v>22</v>
      </c>
      <c r="D354" t="s">
        <v>52</v>
      </c>
      <c r="E354" t="str">
        <f t="shared" si="65"/>
        <v>John Williams is in Operations Department</v>
      </c>
      <c r="F354" s="6" t="str">
        <f t="shared" si="66"/>
        <v>johnwilliams@gmail.com</v>
      </c>
      <c r="G354">
        <v>39394</v>
      </c>
      <c r="H354" t="str">
        <f t="shared" si="67"/>
        <v>extremely low</v>
      </c>
      <c r="I354" s="3">
        <v>39623</v>
      </c>
      <c r="J354">
        <f t="shared" si="68"/>
        <v>2008</v>
      </c>
      <c r="K354">
        <f t="shared" si="69"/>
        <v>6</v>
      </c>
      <c r="L354">
        <f t="shared" si="70"/>
        <v>24</v>
      </c>
      <c r="M354" s="3">
        <f t="shared" ca="1" si="71"/>
        <v>46100</v>
      </c>
      <c r="N354">
        <f t="shared" ca="1" si="72"/>
        <v>6477</v>
      </c>
      <c r="O354">
        <f t="shared" ca="1" si="73"/>
        <v>6477</v>
      </c>
      <c r="P354">
        <f t="shared" ca="1" si="74"/>
        <v>4628</v>
      </c>
      <c r="Q354">
        <v>34</v>
      </c>
      <c r="R354" t="str">
        <f t="shared" si="75"/>
        <v>Old</v>
      </c>
      <c r="S354" t="s">
        <v>34</v>
      </c>
      <c r="T354">
        <v>4</v>
      </c>
      <c r="U354" t="s">
        <v>45</v>
      </c>
      <c r="V354">
        <v>914.2</v>
      </c>
      <c r="W354" t="s">
        <v>35</v>
      </c>
      <c r="X354" t="s">
        <v>47</v>
      </c>
      <c r="Y354">
        <v>29</v>
      </c>
      <c r="Z354" t="str">
        <f t="shared" si="76"/>
        <v>Bad Employee</v>
      </c>
      <c r="AA354" t="b">
        <f t="shared" si="77"/>
        <v>0</v>
      </c>
      <c r="AB354" t="b">
        <f>OR(Y354&gt;20, T354&gt;6)</f>
        <v>1</v>
      </c>
      <c r="AC354" t="str">
        <f>IF(OR(Y354&gt;20,T354&gt;6), "Good employee", "Bad Employee")</f>
        <v>Good employee</v>
      </c>
      <c r="AD354" t="s">
        <v>56</v>
      </c>
      <c r="AE354" t="s">
        <v>29</v>
      </c>
      <c r="AF354">
        <v>11</v>
      </c>
      <c r="AG354">
        <v>2019</v>
      </c>
      <c r="AH354" t="s">
        <v>43</v>
      </c>
      <c r="AI354">
        <v>61</v>
      </c>
      <c r="AJ354">
        <v>2.8</v>
      </c>
    </row>
    <row r="355" spans="1:36" x14ac:dyDescent="0.25">
      <c r="A355">
        <v>10354</v>
      </c>
      <c r="B355" t="s">
        <v>53</v>
      </c>
      <c r="C355" t="s">
        <v>63</v>
      </c>
      <c r="D355" t="s">
        <v>23</v>
      </c>
      <c r="E355" t="str">
        <f t="shared" si="65"/>
        <v>Sarah Miller is in HR Department</v>
      </c>
      <c r="F355" s="6" t="str">
        <f t="shared" si="66"/>
        <v>sarahmiller@gmail.com</v>
      </c>
      <c r="G355">
        <v>43280</v>
      </c>
      <c r="H355" t="str">
        <f t="shared" si="67"/>
        <v>low</v>
      </c>
      <c r="I355" s="3">
        <v>40038</v>
      </c>
      <c r="J355">
        <f t="shared" si="68"/>
        <v>2009</v>
      </c>
      <c r="K355">
        <f t="shared" si="69"/>
        <v>8</v>
      </c>
      <c r="L355">
        <f t="shared" si="70"/>
        <v>13</v>
      </c>
      <c r="M355" s="3">
        <f t="shared" ca="1" si="71"/>
        <v>46100</v>
      </c>
      <c r="N355">
        <f t="shared" ca="1" si="72"/>
        <v>6062</v>
      </c>
      <c r="O355">
        <f t="shared" ca="1" si="73"/>
        <v>6062</v>
      </c>
      <c r="P355">
        <f t="shared" ca="1" si="74"/>
        <v>4331</v>
      </c>
      <c r="Q355">
        <v>63</v>
      </c>
      <c r="R355" t="str">
        <f t="shared" si="75"/>
        <v>Old</v>
      </c>
      <c r="S355" t="s">
        <v>34</v>
      </c>
      <c r="T355">
        <v>8</v>
      </c>
      <c r="U355" t="s">
        <v>25</v>
      </c>
      <c r="V355">
        <v>1391.37</v>
      </c>
      <c r="W355" t="s">
        <v>46</v>
      </c>
      <c r="X355" t="s">
        <v>27</v>
      </c>
      <c r="Y355">
        <v>7</v>
      </c>
      <c r="Z355" t="str">
        <f t="shared" si="76"/>
        <v>Bad Employee</v>
      </c>
      <c r="AA355" t="b">
        <f t="shared" si="77"/>
        <v>0</v>
      </c>
      <c r="AB355" t="b">
        <f>OR(Y355&gt;20, T355&gt;6)</f>
        <v>1</v>
      </c>
      <c r="AC355" t="str">
        <f>IF(OR(Y355&gt;20,T355&gt;6), "Good employee", "Bad Employee")</f>
        <v>Good employee</v>
      </c>
      <c r="AD355" t="s">
        <v>41</v>
      </c>
      <c r="AE355" t="s">
        <v>62</v>
      </c>
      <c r="AF355">
        <v>19</v>
      </c>
      <c r="AG355">
        <v>2018</v>
      </c>
      <c r="AH355" t="s">
        <v>49</v>
      </c>
      <c r="AI355">
        <v>111</v>
      </c>
      <c r="AJ355">
        <v>2.4</v>
      </c>
    </row>
    <row r="356" spans="1:36" x14ac:dyDescent="0.25">
      <c r="A356">
        <v>10355</v>
      </c>
      <c r="B356" t="s">
        <v>53</v>
      </c>
      <c r="C356" t="s">
        <v>57</v>
      </c>
      <c r="D356" t="s">
        <v>44</v>
      </c>
      <c r="E356" t="str">
        <f t="shared" si="65"/>
        <v>Sarah Davis is in Sales Department</v>
      </c>
      <c r="F356" s="6" t="str">
        <f t="shared" si="66"/>
        <v>sarahdavis@gmail.com</v>
      </c>
      <c r="G356">
        <v>66303</v>
      </c>
      <c r="H356" t="str">
        <f t="shared" si="67"/>
        <v>Medium</v>
      </c>
      <c r="I356" s="3">
        <v>41386</v>
      </c>
      <c r="J356">
        <f t="shared" si="68"/>
        <v>2013</v>
      </c>
      <c r="K356">
        <f t="shared" si="69"/>
        <v>4</v>
      </c>
      <c r="L356">
        <f t="shared" si="70"/>
        <v>22</v>
      </c>
      <c r="M356" s="3">
        <f t="shared" ca="1" si="71"/>
        <v>46100</v>
      </c>
      <c r="N356">
        <f t="shared" ca="1" si="72"/>
        <v>4714</v>
      </c>
      <c r="O356">
        <f t="shared" ca="1" si="73"/>
        <v>4714</v>
      </c>
      <c r="P356">
        <f t="shared" ca="1" si="74"/>
        <v>3369</v>
      </c>
      <c r="Q356">
        <v>45</v>
      </c>
      <c r="R356" t="str">
        <f t="shared" si="75"/>
        <v>Old</v>
      </c>
      <c r="S356" t="s">
        <v>34</v>
      </c>
      <c r="T356">
        <v>6</v>
      </c>
      <c r="U356" t="s">
        <v>45</v>
      </c>
      <c r="V356">
        <v>1674.55</v>
      </c>
      <c r="W356" t="s">
        <v>46</v>
      </c>
      <c r="X356" t="s">
        <v>55</v>
      </c>
      <c r="Y356">
        <v>26</v>
      </c>
      <c r="Z356" t="str">
        <f t="shared" si="76"/>
        <v>Bad Employee</v>
      </c>
      <c r="AA356" t="b">
        <f t="shared" si="77"/>
        <v>0</v>
      </c>
      <c r="AB356" t="b">
        <f>OR(Y356&gt;20, T356&gt;6)</f>
        <v>1</v>
      </c>
      <c r="AC356" t="str">
        <f>IF(OR(Y356&gt;20,T356&gt;6), "Good employee", "Bad Employee")</f>
        <v>Good employee</v>
      </c>
      <c r="AD356" t="s">
        <v>56</v>
      </c>
      <c r="AE356" t="s">
        <v>37</v>
      </c>
      <c r="AF356">
        <v>5</v>
      </c>
      <c r="AG356">
        <v>2021</v>
      </c>
      <c r="AH356" t="s">
        <v>30</v>
      </c>
      <c r="AI356">
        <v>29</v>
      </c>
      <c r="AJ356">
        <v>3.7</v>
      </c>
    </row>
    <row r="357" spans="1:36" x14ac:dyDescent="0.25">
      <c r="A357">
        <v>10356</v>
      </c>
      <c r="B357" t="s">
        <v>21</v>
      </c>
      <c r="C357" t="s">
        <v>65</v>
      </c>
      <c r="D357" t="s">
        <v>23</v>
      </c>
      <c r="E357" t="str">
        <f t="shared" si="65"/>
        <v>Michael Johnson is in HR Department</v>
      </c>
      <c r="F357" s="6" t="str">
        <f t="shared" si="66"/>
        <v>michaeljohnson@gmail.com</v>
      </c>
      <c r="G357">
        <v>57453</v>
      </c>
      <c r="H357" t="str">
        <f t="shared" si="67"/>
        <v>Medium</v>
      </c>
      <c r="I357" s="3">
        <v>37746</v>
      </c>
      <c r="J357">
        <f t="shared" si="68"/>
        <v>2003</v>
      </c>
      <c r="K357">
        <f t="shared" si="69"/>
        <v>5</v>
      </c>
      <c r="L357">
        <f t="shared" si="70"/>
        <v>5</v>
      </c>
      <c r="M357" s="3">
        <f t="shared" ca="1" si="71"/>
        <v>46100</v>
      </c>
      <c r="N357">
        <f t="shared" ca="1" si="72"/>
        <v>8354</v>
      </c>
      <c r="O357">
        <f t="shared" ca="1" si="73"/>
        <v>8354</v>
      </c>
      <c r="P357">
        <f t="shared" ca="1" si="74"/>
        <v>5969</v>
      </c>
      <c r="Q357">
        <v>53</v>
      </c>
      <c r="R357" t="str">
        <f t="shared" si="75"/>
        <v>Old</v>
      </c>
      <c r="S357" t="s">
        <v>24</v>
      </c>
      <c r="T357">
        <v>1</v>
      </c>
      <c r="U357" t="s">
        <v>25</v>
      </c>
      <c r="V357">
        <v>4590.3599999999997</v>
      </c>
      <c r="W357" t="s">
        <v>46</v>
      </c>
      <c r="X357" t="s">
        <v>36</v>
      </c>
      <c r="Y357">
        <v>6</v>
      </c>
      <c r="Z357" t="str">
        <f t="shared" si="76"/>
        <v>Bad Employee</v>
      </c>
      <c r="AA357" t="b">
        <f t="shared" si="77"/>
        <v>0</v>
      </c>
      <c r="AB357" t="b">
        <f>OR(Y357&gt;20, T357&gt;6)</f>
        <v>0</v>
      </c>
      <c r="AC357" t="str">
        <f>IF(OR(Y357&gt;20,T357&gt;6), "Good employee", "Bad Employee")</f>
        <v>Bad Employee</v>
      </c>
      <c r="AD357" t="s">
        <v>28</v>
      </c>
      <c r="AE357" t="s">
        <v>42</v>
      </c>
      <c r="AF357">
        <v>7</v>
      </c>
      <c r="AG357">
        <v>2022</v>
      </c>
      <c r="AH357" t="s">
        <v>43</v>
      </c>
      <c r="AI357">
        <v>146</v>
      </c>
      <c r="AJ357">
        <v>4.8</v>
      </c>
    </row>
    <row r="358" spans="1:36" x14ac:dyDescent="0.25">
      <c r="A358">
        <v>10357</v>
      </c>
      <c r="B358" t="s">
        <v>60</v>
      </c>
      <c r="C358" t="s">
        <v>22</v>
      </c>
      <c r="D358" t="s">
        <v>39</v>
      </c>
      <c r="E358" t="str">
        <f t="shared" si="65"/>
        <v>Jane Williams is in IT Department</v>
      </c>
      <c r="F358" s="6" t="str">
        <f t="shared" si="66"/>
        <v>janewilliams@gmail.com</v>
      </c>
      <c r="G358">
        <v>90695</v>
      </c>
      <c r="H358" t="str">
        <f t="shared" si="67"/>
        <v>High</v>
      </c>
      <c r="I358" s="3">
        <v>37167</v>
      </c>
      <c r="J358">
        <f t="shared" si="68"/>
        <v>2001</v>
      </c>
      <c r="K358">
        <f t="shared" si="69"/>
        <v>10</v>
      </c>
      <c r="L358">
        <f t="shared" si="70"/>
        <v>3</v>
      </c>
      <c r="M358" s="3">
        <f t="shared" ca="1" si="71"/>
        <v>46100</v>
      </c>
      <c r="N358">
        <f t="shared" ca="1" si="72"/>
        <v>8933</v>
      </c>
      <c r="O358">
        <f t="shared" ca="1" si="73"/>
        <v>8933</v>
      </c>
      <c r="P358">
        <f t="shared" ca="1" si="74"/>
        <v>6382</v>
      </c>
      <c r="Q358">
        <v>51</v>
      </c>
      <c r="R358" t="str">
        <f t="shared" si="75"/>
        <v>Old</v>
      </c>
      <c r="S358" t="s">
        <v>24</v>
      </c>
      <c r="T358">
        <v>8</v>
      </c>
      <c r="U358" t="s">
        <v>45</v>
      </c>
      <c r="V358">
        <v>3262.41</v>
      </c>
      <c r="W358" t="s">
        <v>35</v>
      </c>
      <c r="X358" t="s">
        <v>47</v>
      </c>
      <c r="Y358">
        <v>32</v>
      </c>
      <c r="Z358" t="str">
        <f t="shared" si="76"/>
        <v>Good Employee</v>
      </c>
      <c r="AA358" t="b">
        <f t="shared" si="77"/>
        <v>1</v>
      </c>
      <c r="AB358" t="b">
        <f>OR(Y358&gt;20, T358&gt;6)</f>
        <v>1</v>
      </c>
      <c r="AC358" t="str">
        <f>IF(OR(Y358&gt;20,T358&gt;6), "Good employee", "Bad Employee")</f>
        <v>Good employee</v>
      </c>
      <c r="AD358" t="s">
        <v>28</v>
      </c>
      <c r="AE358" t="s">
        <v>48</v>
      </c>
      <c r="AF358">
        <v>13</v>
      </c>
      <c r="AG358">
        <v>2014</v>
      </c>
      <c r="AH358" t="s">
        <v>43</v>
      </c>
      <c r="AI358">
        <v>49</v>
      </c>
      <c r="AJ358">
        <v>1.4</v>
      </c>
    </row>
    <row r="359" spans="1:36" x14ac:dyDescent="0.25">
      <c r="A359">
        <v>10358</v>
      </c>
      <c r="B359" t="s">
        <v>53</v>
      </c>
      <c r="C359" t="s">
        <v>32</v>
      </c>
      <c r="D359" t="s">
        <v>54</v>
      </c>
      <c r="E359" t="str">
        <f t="shared" si="65"/>
        <v>Sarah Wilson is in Finance Department</v>
      </c>
      <c r="F359" s="6" t="str">
        <f t="shared" si="66"/>
        <v>sarahwilson@gmail.com</v>
      </c>
      <c r="G359">
        <v>98449</v>
      </c>
      <c r="H359" t="str">
        <f t="shared" si="67"/>
        <v>High</v>
      </c>
      <c r="I359" s="3">
        <v>39840</v>
      </c>
      <c r="J359">
        <f t="shared" si="68"/>
        <v>2009</v>
      </c>
      <c r="K359">
        <f t="shared" si="69"/>
        <v>1</v>
      </c>
      <c r="L359">
        <f t="shared" si="70"/>
        <v>27</v>
      </c>
      <c r="M359" s="3">
        <f t="shared" ca="1" si="71"/>
        <v>46100</v>
      </c>
      <c r="N359">
        <f t="shared" ca="1" si="72"/>
        <v>6260</v>
      </c>
      <c r="O359">
        <f t="shared" ca="1" si="73"/>
        <v>6260</v>
      </c>
      <c r="P359">
        <f t="shared" ca="1" si="74"/>
        <v>4473</v>
      </c>
      <c r="Q359">
        <v>27</v>
      </c>
      <c r="R359" t="str">
        <f t="shared" si="75"/>
        <v>Young</v>
      </c>
      <c r="S359" t="s">
        <v>24</v>
      </c>
      <c r="T359">
        <v>5</v>
      </c>
      <c r="U359" t="s">
        <v>25</v>
      </c>
      <c r="V359">
        <v>8165.74</v>
      </c>
      <c r="W359" t="s">
        <v>58</v>
      </c>
      <c r="X359" t="s">
        <v>47</v>
      </c>
      <c r="Y359">
        <v>36</v>
      </c>
      <c r="Z359" t="str">
        <f t="shared" si="76"/>
        <v>Bad Employee</v>
      </c>
      <c r="AA359" t="b">
        <f t="shared" si="77"/>
        <v>0</v>
      </c>
      <c r="AB359" t="b">
        <f>OR(Y359&gt;20, T359&gt;6)</f>
        <v>1</v>
      </c>
      <c r="AC359" t="str">
        <f>IF(OR(Y359&gt;20,T359&gt;6), "Good employee", "Bad Employee")</f>
        <v>Good employee</v>
      </c>
      <c r="AD359" t="s">
        <v>41</v>
      </c>
      <c r="AE359" t="s">
        <v>29</v>
      </c>
      <c r="AF359">
        <v>4</v>
      </c>
      <c r="AG359">
        <v>2012</v>
      </c>
      <c r="AH359" t="s">
        <v>43</v>
      </c>
      <c r="AI359">
        <v>176</v>
      </c>
      <c r="AJ359">
        <v>4.0999999999999996</v>
      </c>
    </row>
    <row r="360" spans="1:36" x14ac:dyDescent="0.25">
      <c r="A360">
        <v>10359</v>
      </c>
      <c r="B360" t="s">
        <v>66</v>
      </c>
      <c r="C360" t="s">
        <v>63</v>
      </c>
      <c r="D360" t="s">
        <v>52</v>
      </c>
      <c r="E360" t="str">
        <f t="shared" si="65"/>
        <v>John Miller is in Operations Department</v>
      </c>
      <c r="F360" s="6" t="str">
        <f t="shared" si="66"/>
        <v>johnmiller@gmail.com</v>
      </c>
      <c r="G360">
        <v>55765</v>
      </c>
      <c r="H360" t="str">
        <f t="shared" si="67"/>
        <v>Medium</v>
      </c>
      <c r="I360" s="3">
        <v>42469</v>
      </c>
      <c r="J360">
        <f t="shared" si="68"/>
        <v>2016</v>
      </c>
      <c r="K360">
        <f t="shared" si="69"/>
        <v>4</v>
      </c>
      <c r="L360">
        <f t="shared" si="70"/>
        <v>9</v>
      </c>
      <c r="M360" s="3">
        <f t="shared" ca="1" si="71"/>
        <v>46100</v>
      </c>
      <c r="N360">
        <f t="shared" ca="1" si="72"/>
        <v>3631</v>
      </c>
      <c r="O360">
        <f t="shared" ca="1" si="73"/>
        <v>3631</v>
      </c>
      <c r="P360">
        <f t="shared" ca="1" si="74"/>
        <v>2594</v>
      </c>
      <c r="Q360">
        <v>59</v>
      </c>
      <c r="R360" t="str">
        <f t="shared" si="75"/>
        <v>Old</v>
      </c>
      <c r="S360" t="s">
        <v>24</v>
      </c>
      <c r="T360">
        <v>6</v>
      </c>
      <c r="U360" t="s">
        <v>45</v>
      </c>
      <c r="V360">
        <v>5000.9799999999996</v>
      </c>
      <c r="W360" t="s">
        <v>46</v>
      </c>
      <c r="X360" t="s">
        <v>55</v>
      </c>
      <c r="Y360">
        <v>23</v>
      </c>
      <c r="Z360" t="str">
        <f t="shared" si="76"/>
        <v>Bad Employee</v>
      </c>
      <c r="AA360" t="b">
        <f t="shared" si="77"/>
        <v>0</v>
      </c>
      <c r="AB360" t="b">
        <f>OR(Y360&gt;20, T360&gt;6)</f>
        <v>1</v>
      </c>
      <c r="AC360" t="str">
        <f>IF(OR(Y360&gt;20,T360&gt;6), "Good employee", "Bad Employee")</f>
        <v>Good employee</v>
      </c>
      <c r="AD360" t="s">
        <v>41</v>
      </c>
      <c r="AE360" t="s">
        <v>48</v>
      </c>
      <c r="AF360">
        <v>3</v>
      </c>
      <c r="AG360">
        <v>2016</v>
      </c>
      <c r="AH360" t="s">
        <v>49</v>
      </c>
      <c r="AI360">
        <v>122</v>
      </c>
      <c r="AJ360">
        <v>1.8</v>
      </c>
    </row>
    <row r="361" spans="1:36" x14ac:dyDescent="0.25">
      <c r="A361">
        <v>10360</v>
      </c>
      <c r="B361" t="s">
        <v>50</v>
      </c>
      <c r="C361" t="s">
        <v>61</v>
      </c>
      <c r="D361" t="s">
        <v>44</v>
      </c>
      <c r="E361" t="str">
        <f t="shared" si="65"/>
        <v>Alex Smith is in Sales Department</v>
      </c>
      <c r="F361" s="6" t="str">
        <f t="shared" si="66"/>
        <v>alexsmith@gmail.com</v>
      </c>
      <c r="G361">
        <v>32340</v>
      </c>
      <c r="H361" t="str">
        <f t="shared" si="67"/>
        <v>extremely low</v>
      </c>
      <c r="I361" s="3">
        <v>37249</v>
      </c>
      <c r="J361">
        <f t="shared" si="68"/>
        <v>2001</v>
      </c>
      <c r="K361">
        <f t="shared" si="69"/>
        <v>12</v>
      </c>
      <c r="L361">
        <f t="shared" si="70"/>
        <v>24</v>
      </c>
      <c r="M361" s="3">
        <f t="shared" ca="1" si="71"/>
        <v>46100</v>
      </c>
      <c r="N361">
        <f t="shared" ca="1" si="72"/>
        <v>8851</v>
      </c>
      <c r="O361">
        <f t="shared" ca="1" si="73"/>
        <v>8851</v>
      </c>
      <c r="P361">
        <f t="shared" ca="1" si="74"/>
        <v>6324</v>
      </c>
      <c r="Q361">
        <v>54</v>
      </c>
      <c r="R361" t="str">
        <f t="shared" si="75"/>
        <v>Old</v>
      </c>
      <c r="S361" t="s">
        <v>24</v>
      </c>
      <c r="T361">
        <v>5</v>
      </c>
      <c r="U361" t="s">
        <v>45</v>
      </c>
      <c r="V361">
        <v>5103.1000000000004</v>
      </c>
      <c r="W361" t="s">
        <v>46</v>
      </c>
      <c r="X361" t="s">
        <v>47</v>
      </c>
      <c r="Y361">
        <v>11</v>
      </c>
      <c r="Z361" t="str">
        <f t="shared" si="76"/>
        <v>Bad Employee</v>
      </c>
      <c r="AA361" t="b">
        <f t="shared" si="77"/>
        <v>0</v>
      </c>
      <c r="AB361" t="b">
        <f>OR(Y361&gt;20, T361&gt;6)</f>
        <v>0</v>
      </c>
      <c r="AC361" t="str">
        <f>IF(OR(Y361&gt;20,T361&gt;6), "Good employee", "Bad Employee")</f>
        <v>Bad Employee</v>
      </c>
      <c r="AD361" t="s">
        <v>41</v>
      </c>
      <c r="AE361" t="s">
        <v>59</v>
      </c>
      <c r="AF361">
        <v>15</v>
      </c>
      <c r="AG361">
        <v>2013</v>
      </c>
      <c r="AH361" t="s">
        <v>49</v>
      </c>
      <c r="AI361">
        <v>42</v>
      </c>
      <c r="AJ361">
        <v>2.5</v>
      </c>
    </row>
    <row r="362" spans="1:36" x14ac:dyDescent="0.25">
      <c r="A362">
        <v>10361</v>
      </c>
      <c r="B362" t="s">
        <v>31</v>
      </c>
      <c r="C362" t="s">
        <v>65</v>
      </c>
      <c r="D362" t="s">
        <v>54</v>
      </c>
      <c r="E362" t="str">
        <f t="shared" si="65"/>
        <v>Emily Johnson is in Finance Department</v>
      </c>
      <c r="F362" s="6" t="str">
        <f t="shared" si="66"/>
        <v>emilyjohnson@gmail.com</v>
      </c>
      <c r="G362">
        <v>68057</v>
      </c>
      <c r="H362" t="str">
        <f t="shared" si="67"/>
        <v>Medium</v>
      </c>
      <c r="I362" s="3">
        <v>41835</v>
      </c>
      <c r="J362">
        <f t="shared" si="68"/>
        <v>2014</v>
      </c>
      <c r="K362">
        <f t="shared" si="69"/>
        <v>7</v>
      </c>
      <c r="L362">
        <f t="shared" si="70"/>
        <v>15</v>
      </c>
      <c r="M362" s="3">
        <f t="shared" ca="1" si="71"/>
        <v>46100</v>
      </c>
      <c r="N362">
        <f t="shared" ca="1" si="72"/>
        <v>4265</v>
      </c>
      <c r="O362">
        <f t="shared" ca="1" si="73"/>
        <v>4265</v>
      </c>
      <c r="P362">
        <f t="shared" ca="1" si="74"/>
        <v>3048</v>
      </c>
      <c r="Q362">
        <v>44</v>
      </c>
      <c r="R362" t="str">
        <f t="shared" si="75"/>
        <v>Old</v>
      </c>
      <c r="S362" t="s">
        <v>34</v>
      </c>
      <c r="T362">
        <v>5</v>
      </c>
      <c r="U362" t="s">
        <v>45</v>
      </c>
      <c r="V362">
        <v>7311.86</v>
      </c>
      <c r="W362" t="s">
        <v>58</v>
      </c>
      <c r="X362" t="s">
        <v>40</v>
      </c>
      <c r="Y362">
        <v>21</v>
      </c>
      <c r="Z362" t="str">
        <f t="shared" si="76"/>
        <v>Bad Employee</v>
      </c>
      <c r="AA362" t="b">
        <f t="shared" si="77"/>
        <v>0</v>
      </c>
      <c r="AB362" t="b">
        <f>OR(Y362&gt;20, T362&gt;6)</f>
        <v>1</v>
      </c>
      <c r="AC362" t="str">
        <f>IF(OR(Y362&gt;20,T362&gt;6), "Good employee", "Bad Employee")</f>
        <v>Good employee</v>
      </c>
      <c r="AD362" t="s">
        <v>41</v>
      </c>
      <c r="AE362" t="s">
        <v>29</v>
      </c>
      <c r="AF362">
        <v>5</v>
      </c>
      <c r="AG362">
        <v>2010</v>
      </c>
      <c r="AH362" t="s">
        <v>49</v>
      </c>
      <c r="AI362">
        <v>129</v>
      </c>
      <c r="AJ362">
        <v>4.5</v>
      </c>
    </row>
    <row r="363" spans="1:36" x14ac:dyDescent="0.25">
      <c r="A363">
        <v>10362</v>
      </c>
      <c r="B363" t="s">
        <v>66</v>
      </c>
      <c r="C363" t="s">
        <v>57</v>
      </c>
      <c r="D363" t="s">
        <v>52</v>
      </c>
      <c r="E363" t="str">
        <f t="shared" si="65"/>
        <v>John Davis is in Operations Department</v>
      </c>
      <c r="F363" s="6" t="str">
        <f t="shared" si="66"/>
        <v>johndavis@gmail.com</v>
      </c>
      <c r="G363">
        <v>30597</v>
      </c>
      <c r="H363" t="str">
        <f t="shared" si="67"/>
        <v>extremely low</v>
      </c>
      <c r="I363" s="3">
        <v>41423</v>
      </c>
      <c r="J363">
        <f t="shared" si="68"/>
        <v>2013</v>
      </c>
      <c r="K363">
        <f t="shared" si="69"/>
        <v>5</v>
      </c>
      <c r="L363">
        <f t="shared" si="70"/>
        <v>29</v>
      </c>
      <c r="M363" s="3">
        <f t="shared" ca="1" si="71"/>
        <v>46100</v>
      </c>
      <c r="N363">
        <f t="shared" ca="1" si="72"/>
        <v>4677</v>
      </c>
      <c r="O363">
        <f t="shared" ca="1" si="73"/>
        <v>4677</v>
      </c>
      <c r="P363">
        <f t="shared" ca="1" si="74"/>
        <v>3342</v>
      </c>
      <c r="Q363">
        <v>31</v>
      </c>
      <c r="R363" t="str">
        <f t="shared" si="75"/>
        <v>Old</v>
      </c>
      <c r="S363" t="s">
        <v>34</v>
      </c>
      <c r="T363">
        <v>3</v>
      </c>
      <c r="U363" t="s">
        <v>45</v>
      </c>
      <c r="V363">
        <v>3938.71</v>
      </c>
      <c r="W363" t="s">
        <v>35</v>
      </c>
      <c r="X363" t="s">
        <v>27</v>
      </c>
      <c r="Y363">
        <v>19</v>
      </c>
      <c r="Z363" t="str">
        <f t="shared" si="76"/>
        <v>Bad Employee</v>
      </c>
      <c r="AA363" t="b">
        <f t="shared" si="77"/>
        <v>0</v>
      </c>
      <c r="AB363" t="b">
        <f>OR(Y363&gt;20, T363&gt;6)</f>
        <v>0</v>
      </c>
      <c r="AC363" t="str">
        <f>IF(OR(Y363&gt;20,T363&gt;6), "Good employee", "Bad Employee")</f>
        <v>Bad Employee</v>
      </c>
      <c r="AD363" t="s">
        <v>28</v>
      </c>
      <c r="AE363" t="s">
        <v>42</v>
      </c>
      <c r="AF363">
        <v>2</v>
      </c>
      <c r="AG363">
        <v>2014</v>
      </c>
      <c r="AH363" t="s">
        <v>30</v>
      </c>
      <c r="AI363">
        <v>40</v>
      </c>
      <c r="AJ363">
        <v>3.2</v>
      </c>
    </row>
    <row r="364" spans="1:36" x14ac:dyDescent="0.25">
      <c r="A364">
        <v>10363</v>
      </c>
      <c r="B364" t="s">
        <v>66</v>
      </c>
      <c r="C364" t="s">
        <v>63</v>
      </c>
      <c r="D364" t="s">
        <v>52</v>
      </c>
      <c r="E364" t="str">
        <f t="shared" si="65"/>
        <v>John Miller is in Operations Department</v>
      </c>
      <c r="F364" s="6" t="str">
        <f t="shared" si="66"/>
        <v>johnmiller@gmail.com</v>
      </c>
      <c r="G364">
        <v>87988</v>
      </c>
      <c r="H364" t="str">
        <f t="shared" si="67"/>
        <v>High</v>
      </c>
      <c r="I364" s="3">
        <v>37263</v>
      </c>
      <c r="J364">
        <f t="shared" si="68"/>
        <v>2002</v>
      </c>
      <c r="K364">
        <f t="shared" si="69"/>
        <v>1</v>
      </c>
      <c r="L364">
        <f t="shared" si="70"/>
        <v>7</v>
      </c>
      <c r="M364" s="3">
        <f t="shared" ca="1" si="71"/>
        <v>46100</v>
      </c>
      <c r="N364">
        <f t="shared" ca="1" si="72"/>
        <v>8837</v>
      </c>
      <c r="O364">
        <f t="shared" ca="1" si="73"/>
        <v>8837</v>
      </c>
      <c r="P364">
        <f t="shared" ca="1" si="74"/>
        <v>6314</v>
      </c>
      <c r="Q364">
        <v>36</v>
      </c>
      <c r="R364" t="str">
        <f t="shared" si="75"/>
        <v>Old</v>
      </c>
      <c r="S364" t="s">
        <v>34</v>
      </c>
      <c r="T364">
        <v>4</v>
      </c>
      <c r="U364" t="s">
        <v>45</v>
      </c>
      <c r="V364">
        <v>3855.47</v>
      </c>
      <c r="W364" t="s">
        <v>35</v>
      </c>
      <c r="X364" t="s">
        <v>55</v>
      </c>
      <c r="Y364">
        <v>34</v>
      </c>
      <c r="Z364" t="str">
        <f t="shared" si="76"/>
        <v>Bad Employee</v>
      </c>
      <c r="AA364" t="b">
        <f t="shared" si="77"/>
        <v>0</v>
      </c>
      <c r="AB364" t="b">
        <f>OR(Y364&gt;20, T364&gt;6)</f>
        <v>1</v>
      </c>
      <c r="AC364" t="str">
        <f>IF(OR(Y364&gt;20,T364&gt;6), "Good employee", "Bad Employee")</f>
        <v>Good employee</v>
      </c>
      <c r="AD364" t="s">
        <v>56</v>
      </c>
      <c r="AE364" t="s">
        <v>59</v>
      </c>
      <c r="AF364">
        <v>3</v>
      </c>
      <c r="AG364">
        <v>2020</v>
      </c>
      <c r="AH364" t="s">
        <v>30</v>
      </c>
      <c r="AI364">
        <v>92</v>
      </c>
      <c r="AJ364">
        <v>1.3</v>
      </c>
    </row>
    <row r="365" spans="1:36" x14ac:dyDescent="0.25">
      <c r="A365">
        <v>10364</v>
      </c>
      <c r="B365" t="s">
        <v>60</v>
      </c>
      <c r="C365" t="s">
        <v>32</v>
      </c>
      <c r="D365" t="s">
        <v>52</v>
      </c>
      <c r="E365" t="str">
        <f t="shared" si="65"/>
        <v>Jane Wilson is in Operations Department</v>
      </c>
      <c r="F365" s="6" t="str">
        <f t="shared" si="66"/>
        <v>janewilson@gmail.com</v>
      </c>
      <c r="G365">
        <v>45025</v>
      </c>
      <c r="H365" t="str">
        <f t="shared" si="67"/>
        <v>low</v>
      </c>
      <c r="I365" s="3">
        <v>41379</v>
      </c>
      <c r="J365">
        <f t="shared" si="68"/>
        <v>2013</v>
      </c>
      <c r="K365">
        <f t="shared" si="69"/>
        <v>4</v>
      </c>
      <c r="L365">
        <f t="shared" si="70"/>
        <v>15</v>
      </c>
      <c r="M365" s="3">
        <f t="shared" ca="1" si="71"/>
        <v>46100</v>
      </c>
      <c r="N365">
        <f t="shared" ca="1" si="72"/>
        <v>4721</v>
      </c>
      <c r="O365">
        <f t="shared" ca="1" si="73"/>
        <v>4721</v>
      </c>
      <c r="P365">
        <f t="shared" ca="1" si="74"/>
        <v>3374</v>
      </c>
      <c r="Q365">
        <v>44</v>
      </c>
      <c r="R365" t="str">
        <f t="shared" si="75"/>
        <v>Old</v>
      </c>
      <c r="S365" t="s">
        <v>34</v>
      </c>
      <c r="T365">
        <v>5</v>
      </c>
      <c r="U365" t="s">
        <v>45</v>
      </c>
      <c r="V365">
        <v>7690.8</v>
      </c>
      <c r="W365" t="s">
        <v>58</v>
      </c>
      <c r="X365" t="s">
        <v>55</v>
      </c>
      <c r="Y365">
        <v>35</v>
      </c>
      <c r="Z365" t="str">
        <f t="shared" si="76"/>
        <v>Bad Employee</v>
      </c>
      <c r="AA365" t="b">
        <f t="shared" si="77"/>
        <v>0</v>
      </c>
      <c r="AB365" t="b">
        <f>OR(Y365&gt;20, T365&gt;6)</f>
        <v>1</v>
      </c>
      <c r="AC365" t="str">
        <f>IF(OR(Y365&gt;20,T365&gt;6), "Good employee", "Bad Employee")</f>
        <v>Good employee</v>
      </c>
      <c r="AD365" t="s">
        <v>28</v>
      </c>
      <c r="AE365" t="s">
        <v>29</v>
      </c>
      <c r="AF365">
        <v>7</v>
      </c>
      <c r="AG365">
        <v>2017</v>
      </c>
      <c r="AH365" t="s">
        <v>30</v>
      </c>
      <c r="AI365">
        <v>128</v>
      </c>
      <c r="AJ365">
        <v>3</v>
      </c>
    </row>
    <row r="366" spans="1:36" x14ac:dyDescent="0.25">
      <c r="A366">
        <v>10365</v>
      </c>
      <c r="B366" t="s">
        <v>21</v>
      </c>
      <c r="C366" t="s">
        <v>57</v>
      </c>
      <c r="D366" t="s">
        <v>54</v>
      </c>
      <c r="E366" t="str">
        <f t="shared" si="65"/>
        <v>Michael Davis is in Finance Department</v>
      </c>
      <c r="F366" s="6" t="str">
        <f t="shared" si="66"/>
        <v>michaeldavis@gmail.com</v>
      </c>
      <c r="G366">
        <v>37145</v>
      </c>
      <c r="H366" t="str">
        <f t="shared" si="67"/>
        <v>extremely low</v>
      </c>
      <c r="I366" s="3">
        <v>42213</v>
      </c>
      <c r="J366">
        <f t="shared" si="68"/>
        <v>2015</v>
      </c>
      <c r="K366">
        <f t="shared" si="69"/>
        <v>7</v>
      </c>
      <c r="L366">
        <f t="shared" si="70"/>
        <v>28</v>
      </c>
      <c r="M366" s="3">
        <f t="shared" ca="1" si="71"/>
        <v>46100</v>
      </c>
      <c r="N366">
        <f t="shared" ca="1" si="72"/>
        <v>3887</v>
      </c>
      <c r="O366">
        <f t="shared" ca="1" si="73"/>
        <v>3887</v>
      </c>
      <c r="P366">
        <f t="shared" ca="1" si="74"/>
        <v>2778</v>
      </c>
      <c r="Q366">
        <v>57</v>
      </c>
      <c r="R366" t="str">
        <f t="shared" si="75"/>
        <v>Old</v>
      </c>
      <c r="S366" t="s">
        <v>24</v>
      </c>
      <c r="T366">
        <v>2</v>
      </c>
      <c r="U366" t="s">
        <v>45</v>
      </c>
      <c r="V366">
        <v>7910.4</v>
      </c>
      <c r="W366" t="s">
        <v>46</v>
      </c>
      <c r="X366" t="s">
        <v>55</v>
      </c>
      <c r="Y366">
        <v>31</v>
      </c>
      <c r="Z366" t="str">
        <f t="shared" si="76"/>
        <v>Bad Employee</v>
      </c>
      <c r="AA366" t="b">
        <f t="shared" si="77"/>
        <v>0</v>
      </c>
      <c r="AB366" t="b">
        <f>OR(Y366&gt;20, T366&gt;6)</f>
        <v>1</v>
      </c>
      <c r="AC366" t="str">
        <f>IF(OR(Y366&gt;20,T366&gt;6), "Good employee", "Bad Employee")</f>
        <v>Good employee</v>
      </c>
      <c r="AD366" t="s">
        <v>28</v>
      </c>
      <c r="AE366" t="s">
        <v>37</v>
      </c>
      <c r="AF366">
        <v>13</v>
      </c>
      <c r="AG366">
        <v>2021</v>
      </c>
      <c r="AH366" t="s">
        <v>49</v>
      </c>
      <c r="AI366">
        <v>171</v>
      </c>
      <c r="AJ366">
        <v>4.2</v>
      </c>
    </row>
    <row r="367" spans="1:36" x14ac:dyDescent="0.25">
      <c r="A367">
        <v>10366</v>
      </c>
      <c r="B367" t="s">
        <v>21</v>
      </c>
      <c r="C367" t="s">
        <v>61</v>
      </c>
      <c r="D367" t="s">
        <v>44</v>
      </c>
      <c r="E367" t="str">
        <f t="shared" si="65"/>
        <v>Michael Smith is in Sales Department</v>
      </c>
      <c r="F367" s="6" t="str">
        <f t="shared" si="66"/>
        <v>michaelsmith@gmail.com</v>
      </c>
      <c r="G367">
        <v>85797</v>
      </c>
      <c r="H367" t="str">
        <f t="shared" si="67"/>
        <v>High</v>
      </c>
      <c r="I367" s="3">
        <v>43236</v>
      </c>
      <c r="J367">
        <f t="shared" si="68"/>
        <v>2018</v>
      </c>
      <c r="K367">
        <f t="shared" si="69"/>
        <v>5</v>
      </c>
      <c r="L367">
        <f t="shared" si="70"/>
        <v>16</v>
      </c>
      <c r="M367" s="3">
        <f t="shared" ca="1" si="71"/>
        <v>46100</v>
      </c>
      <c r="N367">
        <f t="shared" ca="1" si="72"/>
        <v>2864</v>
      </c>
      <c r="O367">
        <f t="shared" ca="1" si="73"/>
        <v>2864</v>
      </c>
      <c r="P367">
        <f t="shared" ca="1" si="74"/>
        <v>2047</v>
      </c>
      <c r="Q367">
        <v>22</v>
      </c>
      <c r="R367" t="str">
        <f t="shared" si="75"/>
        <v>Young</v>
      </c>
      <c r="S367" t="s">
        <v>34</v>
      </c>
      <c r="T367">
        <v>6</v>
      </c>
      <c r="U367" t="s">
        <v>45</v>
      </c>
      <c r="V367">
        <v>636.79</v>
      </c>
      <c r="W367" t="s">
        <v>26</v>
      </c>
      <c r="X367" t="s">
        <v>47</v>
      </c>
      <c r="Y367">
        <v>29</v>
      </c>
      <c r="Z367" t="str">
        <f t="shared" si="76"/>
        <v>Bad Employee</v>
      </c>
      <c r="AA367" t="b">
        <f t="shared" si="77"/>
        <v>0</v>
      </c>
      <c r="AB367" t="b">
        <f>OR(Y367&gt;20, T367&gt;6)</f>
        <v>1</v>
      </c>
      <c r="AC367" t="str">
        <f>IF(OR(Y367&gt;20,T367&gt;6), "Good employee", "Bad Employee")</f>
        <v>Good employee</v>
      </c>
      <c r="AD367" t="s">
        <v>41</v>
      </c>
      <c r="AE367" t="s">
        <v>37</v>
      </c>
      <c r="AF367">
        <v>6</v>
      </c>
      <c r="AG367">
        <v>2013</v>
      </c>
      <c r="AH367" t="s">
        <v>30</v>
      </c>
      <c r="AI367">
        <v>171</v>
      </c>
      <c r="AJ367">
        <v>3.1</v>
      </c>
    </row>
    <row r="368" spans="1:36" x14ac:dyDescent="0.25">
      <c r="A368">
        <v>10367</v>
      </c>
      <c r="B368" t="s">
        <v>64</v>
      </c>
      <c r="C368" t="s">
        <v>61</v>
      </c>
      <c r="D368" t="s">
        <v>33</v>
      </c>
      <c r="E368" t="str">
        <f t="shared" si="65"/>
        <v>Katie Smith is in Marketing Department</v>
      </c>
      <c r="F368" s="6" t="str">
        <f t="shared" si="66"/>
        <v>katiesmith@gmail.com</v>
      </c>
      <c r="G368">
        <v>71723</v>
      </c>
      <c r="H368" t="str">
        <f t="shared" si="67"/>
        <v>Medium</v>
      </c>
      <c r="I368" s="3">
        <v>37825</v>
      </c>
      <c r="J368">
        <f t="shared" si="68"/>
        <v>2003</v>
      </c>
      <c r="K368">
        <f t="shared" si="69"/>
        <v>7</v>
      </c>
      <c r="L368">
        <f t="shared" si="70"/>
        <v>23</v>
      </c>
      <c r="M368" s="3">
        <f t="shared" ca="1" si="71"/>
        <v>46100</v>
      </c>
      <c r="N368">
        <f t="shared" ca="1" si="72"/>
        <v>8275</v>
      </c>
      <c r="O368">
        <f t="shared" ca="1" si="73"/>
        <v>8275</v>
      </c>
      <c r="P368">
        <f t="shared" ca="1" si="74"/>
        <v>5912</v>
      </c>
      <c r="Q368">
        <v>29</v>
      </c>
      <c r="R368" t="str">
        <f t="shared" si="75"/>
        <v>Young</v>
      </c>
      <c r="S368" t="s">
        <v>34</v>
      </c>
      <c r="T368">
        <v>2</v>
      </c>
      <c r="U368" t="s">
        <v>25</v>
      </c>
      <c r="V368">
        <v>1866.01</v>
      </c>
      <c r="W368" t="s">
        <v>58</v>
      </c>
      <c r="X368" t="s">
        <v>47</v>
      </c>
      <c r="Y368">
        <v>6</v>
      </c>
      <c r="Z368" t="str">
        <f t="shared" si="76"/>
        <v>Bad Employee</v>
      </c>
      <c r="AA368" t="b">
        <f t="shared" si="77"/>
        <v>0</v>
      </c>
      <c r="AB368" t="b">
        <f>OR(Y368&gt;20, T368&gt;6)</f>
        <v>0</v>
      </c>
      <c r="AC368" t="str">
        <f>IF(OR(Y368&gt;20,T368&gt;6), "Good employee", "Bad Employee")</f>
        <v>Bad Employee</v>
      </c>
      <c r="AD368" t="s">
        <v>41</v>
      </c>
      <c r="AE368" t="s">
        <v>42</v>
      </c>
      <c r="AF368">
        <v>3</v>
      </c>
      <c r="AG368">
        <v>2016</v>
      </c>
      <c r="AH368" t="s">
        <v>30</v>
      </c>
      <c r="AI368">
        <v>17</v>
      </c>
      <c r="AJ368">
        <v>1.7</v>
      </c>
    </row>
    <row r="369" spans="1:36" x14ac:dyDescent="0.25">
      <c r="A369">
        <v>10368</v>
      </c>
      <c r="B369" t="s">
        <v>60</v>
      </c>
      <c r="C369" t="s">
        <v>32</v>
      </c>
      <c r="D369" t="s">
        <v>54</v>
      </c>
      <c r="E369" t="str">
        <f t="shared" si="65"/>
        <v>Jane Wilson is in Finance Department</v>
      </c>
      <c r="F369" s="6" t="str">
        <f t="shared" si="66"/>
        <v>janewilson@gmail.com</v>
      </c>
      <c r="G369">
        <v>103230</v>
      </c>
      <c r="H369" t="str">
        <f t="shared" si="67"/>
        <v>High</v>
      </c>
      <c r="I369" s="3">
        <v>42463</v>
      </c>
      <c r="J369">
        <f t="shared" si="68"/>
        <v>2016</v>
      </c>
      <c r="K369">
        <f t="shared" si="69"/>
        <v>4</v>
      </c>
      <c r="L369">
        <f t="shared" si="70"/>
        <v>3</v>
      </c>
      <c r="M369" s="3">
        <f t="shared" ca="1" si="71"/>
        <v>46100</v>
      </c>
      <c r="N369">
        <f t="shared" ca="1" si="72"/>
        <v>3637</v>
      </c>
      <c r="O369">
        <f t="shared" ca="1" si="73"/>
        <v>3637</v>
      </c>
      <c r="P369">
        <f t="shared" ca="1" si="74"/>
        <v>2599</v>
      </c>
      <c r="Q369">
        <v>24</v>
      </c>
      <c r="R369" t="str">
        <f t="shared" si="75"/>
        <v>Young</v>
      </c>
      <c r="S369" t="s">
        <v>24</v>
      </c>
      <c r="T369">
        <v>4</v>
      </c>
      <c r="U369" t="s">
        <v>25</v>
      </c>
      <c r="V369">
        <v>2524.4299999999998</v>
      </c>
      <c r="W369" t="s">
        <v>26</v>
      </c>
      <c r="X369" t="s">
        <v>55</v>
      </c>
      <c r="Y369">
        <v>36</v>
      </c>
      <c r="Z369" t="str">
        <f t="shared" si="76"/>
        <v>Bad Employee</v>
      </c>
      <c r="AA369" t="b">
        <f t="shared" si="77"/>
        <v>0</v>
      </c>
      <c r="AB369" t="b">
        <f>OR(Y369&gt;20, T369&gt;6)</f>
        <v>1</v>
      </c>
      <c r="AC369" t="str">
        <f>IF(OR(Y369&gt;20,T369&gt;6), "Good employee", "Bad Employee")</f>
        <v>Good employee</v>
      </c>
      <c r="AD369" t="s">
        <v>56</v>
      </c>
      <c r="AE369" t="s">
        <v>37</v>
      </c>
      <c r="AF369">
        <v>18</v>
      </c>
      <c r="AG369">
        <v>2017</v>
      </c>
      <c r="AH369" t="s">
        <v>43</v>
      </c>
      <c r="AI369">
        <v>198</v>
      </c>
      <c r="AJ369">
        <v>2.8</v>
      </c>
    </row>
    <row r="370" spans="1:36" x14ac:dyDescent="0.25">
      <c r="A370">
        <v>10369</v>
      </c>
      <c r="B370" t="s">
        <v>50</v>
      </c>
      <c r="C370" t="s">
        <v>65</v>
      </c>
      <c r="D370" t="s">
        <v>52</v>
      </c>
      <c r="E370" t="str">
        <f t="shared" si="65"/>
        <v>Alex Johnson is in Operations Department</v>
      </c>
      <c r="F370" s="6" t="str">
        <f t="shared" si="66"/>
        <v>alexjohnson@gmail.com</v>
      </c>
      <c r="G370">
        <v>34830</v>
      </c>
      <c r="H370" t="str">
        <f t="shared" si="67"/>
        <v>extremely low</v>
      </c>
      <c r="I370" s="3">
        <v>40006</v>
      </c>
      <c r="J370">
        <f t="shared" si="68"/>
        <v>2009</v>
      </c>
      <c r="K370">
        <f t="shared" si="69"/>
        <v>7</v>
      </c>
      <c r="L370">
        <f t="shared" si="70"/>
        <v>12</v>
      </c>
      <c r="M370" s="3">
        <f t="shared" ca="1" si="71"/>
        <v>46100</v>
      </c>
      <c r="N370">
        <f t="shared" ca="1" si="72"/>
        <v>6094</v>
      </c>
      <c r="O370">
        <f t="shared" ca="1" si="73"/>
        <v>6094</v>
      </c>
      <c r="P370">
        <f t="shared" ca="1" si="74"/>
        <v>4354</v>
      </c>
      <c r="Q370">
        <v>35</v>
      </c>
      <c r="R370" t="str">
        <f t="shared" si="75"/>
        <v>Old</v>
      </c>
      <c r="S370" t="s">
        <v>24</v>
      </c>
      <c r="T370">
        <v>1</v>
      </c>
      <c r="U370" t="s">
        <v>45</v>
      </c>
      <c r="V370">
        <v>3840.2</v>
      </c>
      <c r="W370" t="s">
        <v>35</v>
      </c>
      <c r="X370" t="s">
        <v>55</v>
      </c>
      <c r="Y370">
        <v>31</v>
      </c>
      <c r="Z370" t="str">
        <f t="shared" si="76"/>
        <v>Bad Employee</v>
      </c>
      <c r="AA370" t="b">
        <f t="shared" si="77"/>
        <v>0</v>
      </c>
      <c r="AB370" t="b">
        <f>OR(Y370&gt;20, T370&gt;6)</f>
        <v>1</v>
      </c>
      <c r="AC370" t="str">
        <f>IF(OR(Y370&gt;20,T370&gt;6), "Good employee", "Bad Employee")</f>
        <v>Good employee</v>
      </c>
      <c r="AD370" t="s">
        <v>56</v>
      </c>
      <c r="AE370" t="s">
        <v>59</v>
      </c>
      <c r="AF370">
        <v>10</v>
      </c>
      <c r="AG370">
        <v>2018</v>
      </c>
      <c r="AH370" t="s">
        <v>49</v>
      </c>
      <c r="AI370">
        <v>166</v>
      </c>
      <c r="AJ370">
        <v>4.7</v>
      </c>
    </row>
    <row r="371" spans="1:36" x14ac:dyDescent="0.25">
      <c r="A371">
        <v>10370</v>
      </c>
      <c r="B371" t="s">
        <v>21</v>
      </c>
      <c r="C371" t="s">
        <v>32</v>
      </c>
      <c r="D371" t="s">
        <v>44</v>
      </c>
      <c r="E371" t="str">
        <f t="shared" si="65"/>
        <v>Michael Wilson is in Sales Department</v>
      </c>
      <c r="F371" s="6" t="str">
        <f t="shared" si="66"/>
        <v>michaelwilson@gmail.com</v>
      </c>
      <c r="G371">
        <v>53930</v>
      </c>
      <c r="H371" t="str">
        <f t="shared" si="67"/>
        <v>Medium</v>
      </c>
      <c r="I371" s="3">
        <v>36865</v>
      </c>
      <c r="J371">
        <f t="shared" si="68"/>
        <v>2000</v>
      </c>
      <c r="K371">
        <f t="shared" si="69"/>
        <v>12</v>
      </c>
      <c r="L371">
        <f t="shared" si="70"/>
        <v>5</v>
      </c>
      <c r="M371" s="3">
        <f t="shared" ca="1" si="71"/>
        <v>46100</v>
      </c>
      <c r="N371">
        <f t="shared" ca="1" si="72"/>
        <v>9235</v>
      </c>
      <c r="O371">
        <f t="shared" ca="1" si="73"/>
        <v>9235</v>
      </c>
      <c r="P371">
        <f t="shared" ca="1" si="74"/>
        <v>6598</v>
      </c>
      <c r="Q371">
        <v>38</v>
      </c>
      <c r="R371" t="str">
        <f t="shared" si="75"/>
        <v>Old</v>
      </c>
      <c r="S371" t="s">
        <v>34</v>
      </c>
      <c r="T371">
        <v>4</v>
      </c>
      <c r="U371" t="s">
        <v>25</v>
      </c>
      <c r="V371">
        <v>3268.76</v>
      </c>
      <c r="W371" t="s">
        <v>35</v>
      </c>
      <c r="X371" t="s">
        <v>40</v>
      </c>
      <c r="Y371">
        <v>32</v>
      </c>
      <c r="Z371" t="str">
        <f t="shared" si="76"/>
        <v>Bad Employee</v>
      </c>
      <c r="AA371" t="b">
        <f t="shared" si="77"/>
        <v>0</v>
      </c>
      <c r="AB371" t="b">
        <f>OR(Y371&gt;20, T371&gt;6)</f>
        <v>1</v>
      </c>
      <c r="AC371" t="str">
        <f>IF(OR(Y371&gt;20,T371&gt;6), "Good employee", "Bad Employee")</f>
        <v>Good employee</v>
      </c>
      <c r="AD371" t="s">
        <v>28</v>
      </c>
      <c r="AE371" t="s">
        <v>42</v>
      </c>
      <c r="AF371">
        <v>14</v>
      </c>
      <c r="AG371">
        <v>2020</v>
      </c>
      <c r="AH371" t="s">
        <v>43</v>
      </c>
      <c r="AI371">
        <v>128</v>
      </c>
      <c r="AJ371">
        <v>3.6</v>
      </c>
    </row>
    <row r="372" spans="1:36" x14ac:dyDescent="0.25">
      <c r="A372">
        <v>10371</v>
      </c>
      <c r="B372" t="s">
        <v>31</v>
      </c>
      <c r="C372" t="s">
        <v>51</v>
      </c>
      <c r="D372" t="s">
        <v>39</v>
      </c>
      <c r="E372" t="str">
        <f t="shared" si="65"/>
        <v>Emily Brown is in IT Department</v>
      </c>
      <c r="F372" s="6" t="str">
        <f t="shared" si="66"/>
        <v>emilybrown@gmail.com</v>
      </c>
      <c r="G372">
        <v>53752</v>
      </c>
      <c r="H372" t="str">
        <f t="shared" si="67"/>
        <v>Medium</v>
      </c>
      <c r="I372" s="3">
        <v>36678</v>
      </c>
      <c r="J372">
        <f t="shared" si="68"/>
        <v>2000</v>
      </c>
      <c r="K372">
        <f t="shared" si="69"/>
        <v>6</v>
      </c>
      <c r="L372">
        <f t="shared" si="70"/>
        <v>1</v>
      </c>
      <c r="M372" s="3">
        <f t="shared" ca="1" si="71"/>
        <v>46100</v>
      </c>
      <c r="N372">
        <f t="shared" ca="1" si="72"/>
        <v>9422</v>
      </c>
      <c r="O372">
        <f t="shared" ca="1" si="73"/>
        <v>9422</v>
      </c>
      <c r="P372">
        <f t="shared" ca="1" si="74"/>
        <v>6731</v>
      </c>
      <c r="Q372">
        <v>55</v>
      </c>
      <c r="R372" t="str">
        <f t="shared" si="75"/>
        <v>Old</v>
      </c>
      <c r="S372" t="s">
        <v>24</v>
      </c>
      <c r="T372">
        <v>7</v>
      </c>
      <c r="U372" t="s">
        <v>45</v>
      </c>
      <c r="V372">
        <v>6850.94</v>
      </c>
      <c r="W372" t="s">
        <v>26</v>
      </c>
      <c r="X372" t="s">
        <v>36</v>
      </c>
      <c r="Y372">
        <v>20</v>
      </c>
      <c r="Z372" t="str">
        <f t="shared" si="76"/>
        <v>Bad Employee</v>
      </c>
      <c r="AA372" t="b">
        <f t="shared" si="77"/>
        <v>0</v>
      </c>
      <c r="AB372" t="b">
        <f>OR(Y372&gt;20, T372&gt;6)</f>
        <v>1</v>
      </c>
      <c r="AC372" t="str">
        <f>IF(OR(Y372&gt;20,T372&gt;6), "Good employee", "Bad Employee")</f>
        <v>Good employee</v>
      </c>
      <c r="AD372" t="s">
        <v>56</v>
      </c>
      <c r="AE372" t="s">
        <v>29</v>
      </c>
      <c r="AF372">
        <v>15</v>
      </c>
      <c r="AG372">
        <v>2018</v>
      </c>
      <c r="AH372" t="s">
        <v>49</v>
      </c>
      <c r="AI372">
        <v>19</v>
      </c>
      <c r="AJ372">
        <v>3.9</v>
      </c>
    </row>
    <row r="373" spans="1:36" x14ac:dyDescent="0.25">
      <c r="A373">
        <v>10372</v>
      </c>
      <c r="B373" t="s">
        <v>53</v>
      </c>
      <c r="C373" t="s">
        <v>61</v>
      </c>
      <c r="D373" t="s">
        <v>23</v>
      </c>
      <c r="E373" t="str">
        <f t="shared" si="65"/>
        <v>Sarah Smith is in HR Department</v>
      </c>
      <c r="F373" s="6" t="str">
        <f t="shared" si="66"/>
        <v>sarahsmith@gmail.com</v>
      </c>
      <c r="G373">
        <v>106025</v>
      </c>
      <c r="H373" t="str">
        <f t="shared" si="67"/>
        <v>High</v>
      </c>
      <c r="I373" s="3">
        <v>42210</v>
      </c>
      <c r="J373">
        <f t="shared" si="68"/>
        <v>2015</v>
      </c>
      <c r="K373">
        <f t="shared" si="69"/>
        <v>7</v>
      </c>
      <c r="L373">
        <f t="shared" si="70"/>
        <v>25</v>
      </c>
      <c r="M373" s="3">
        <f t="shared" ca="1" si="71"/>
        <v>46100</v>
      </c>
      <c r="N373">
        <f t="shared" ca="1" si="72"/>
        <v>3890</v>
      </c>
      <c r="O373">
        <f t="shared" ca="1" si="73"/>
        <v>3890</v>
      </c>
      <c r="P373">
        <f t="shared" ca="1" si="74"/>
        <v>2779</v>
      </c>
      <c r="Q373">
        <v>27</v>
      </c>
      <c r="R373" t="str">
        <f t="shared" si="75"/>
        <v>Young</v>
      </c>
      <c r="S373" t="s">
        <v>24</v>
      </c>
      <c r="T373">
        <v>8</v>
      </c>
      <c r="U373" t="s">
        <v>25</v>
      </c>
      <c r="V373">
        <v>8367.2800000000007</v>
      </c>
      <c r="W373" t="s">
        <v>46</v>
      </c>
      <c r="X373" t="s">
        <v>40</v>
      </c>
      <c r="Y373">
        <v>22</v>
      </c>
      <c r="Z373" t="str">
        <f t="shared" si="76"/>
        <v>Good Employee</v>
      </c>
      <c r="AA373" t="b">
        <f t="shared" si="77"/>
        <v>1</v>
      </c>
      <c r="AB373" t="b">
        <f>OR(Y373&gt;20, T373&gt;6)</f>
        <v>1</v>
      </c>
      <c r="AC373" t="str">
        <f>IF(OR(Y373&gt;20,T373&gt;6), "Good employee", "Bad Employee")</f>
        <v>Good employee</v>
      </c>
      <c r="AD373" t="s">
        <v>41</v>
      </c>
      <c r="AE373" t="s">
        <v>59</v>
      </c>
      <c r="AF373">
        <v>5</v>
      </c>
      <c r="AG373">
        <v>2014</v>
      </c>
      <c r="AH373" t="s">
        <v>49</v>
      </c>
      <c r="AI373">
        <v>62</v>
      </c>
      <c r="AJ373">
        <v>4.0999999999999996</v>
      </c>
    </row>
    <row r="374" spans="1:36" x14ac:dyDescent="0.25">
      <c r="A374">
        <v>10373</v>
      </c>
      <c r="B374" t="s">
        <v>60</v>
      </c>
      <c r="C374" t="s">
        <v>63</v>
      </c>
      <c r="D374" t="s">
        <v>52</v>
      </c>
      <c r="E374" t="str">
        <f t="shared" si="65"/>
        <v>Jane Miller is in Operations Department</v>
      </c>
      <c r="F374" s="6" t="str">
        <f t="shared" si="66"/>
        <v>janemiller@gmail.com</v>
      </c>
      <c r="G374">
        <v>111304</v>
      </c>
      <c r="H374" t="str">
        <f t="shared" si="67"/>
        <v>High</v>
      </c>
      <c r="I374" s="3">
        <v>37947</v>
      </c>
      <c r="J374">
        <f t="shared" si="68"/>
        <v>2003</v>
      </c>
      <c r="K374">
        <f t="shared" si="69"/>
        <v>11</v>
      </c>
      <c r="L374">
        <f t="shared" si="70"/>
        <v>22</v>
      </c>
      <c r="M374" s="3">
        <f t="shared" ca="1" si="71"/>
        <v>46100</v>
      </c>
      <c r="N374">
        <f t="shared" ca="1" si="72"/>
        <v>8153</v>
      </c>
      <c r="O374">
        <f t="shared" ca="1" si="73"/>
        <v>8153</v>
      </c>
      <c r="P374">
        <f t="shared" ca="1" si="74"/>
        <v>5824</v>
      </c>
      <c r="Q374">
        <v>26</v>
      </c>
      <c r="R374" t="str">
        <f t="shared" si="75"/>
        <v>Young</v>
      </c>
      <c r="S374" t="s">
        <v>34</v>
      </c>
      <c r="T374">
        <v>2</v>
      </c>
      <c r="U374" t="s">
        <v>45</v>
      </c>
      <c r="V374">
        <v>2324.83</v>
      </c>
      <c r="W374" t="s">
        <v>26</v>
      </c>
      <c r="X374" t="s">
        <v>55</v>
      </c>
      <c r="Y374">
        <v>3</v>
      </c>
      <c r="Z374" t="str">
        <f t="shared" si="76"/>
        <v>Bad Employee</v>
      </c>
      <c r="AA374" t="b">
        <f t="shared" si="77"/>
        <v>0</v>
      </c>
      <c r="AB374" t="b">
        <f>OR(Y374&gt;20, T374&gt;6)</f>
        <v>0</v>
      </c>
      <c r="AC374" t="str">
        <f>IF(OR(Y374&gt;20,T374&gt;6), "Good employee", "Bad Employee")</f>
        <v>Bad Employee</v>
      </c>
      <c r="AD374" t="s">
        <v>41</v>
      </c>
      <c r="AE374" t="s">
        <v>37</v>
      </c>
      <c r="AF374">
        <v>11</v>
      </c>
      <c r="AG374">
        <v>2015</v>
      </c>
      <c r="AH374" t="s">
        <v>30</v>
      </c>
      <c r="AI374">
        <v>116</v>
      </c>
      <c r="AJ374">
        <v>1.4</v>
      </c>
    </row>
    <row r="375" spans="1:36" x14ac:dyDescent="0.25">
      <c r="A375">
        <v>10374</v>
      </c>
      <c r="B375" t="s">
        <v>53</v>
      </c>
      <c r="C375" t="s">
        <v>51</v>
      </c>
      <c r="D375" t="s">
        <v>39</v>
      </c>
      <c r="E375" t="str">
        <f t="shared" si="65"/>
        <v>Sarah Brown is in IT Department</v>
      </c>
      <c r="F375" s="6" t="str">
        <f t="shared" si="66"/>
        <v>sarahbrown@gmail.com</v>
      </c>
      <c r="G375">
        <v>92040</v>
      </c>
      <c r="H375" t="str">
        <f t="shared" si="67"/>
        <v>High</v>
      </c>
      <c r="I375" s="3">
        <v>42089</v>
      </c>
      <c r="J375">
        <f t="shared" si="68"/>
        <v>2015</v>
      </c>
      <c r="K375">
        <f t="shared" si="69"/>
        <v>3</v>
      </c>
      <c r="L375">
        <f t="shared" si="70"/>
        <v>26</v>
      </c>
      <c r="M375" s="3">
        <f t="shared" ca="1" si="71"/>
        <v>46100</v>
      </c>
      <c r="N375">
        <f t="shared" ca="1" si="72"/>
        <v>4011</v>
      </c>
      <c r="O375">
        <f t="shared" ca="1" si="73"/>
        <v>4011</v>
      </c>
      <c r="P375">
        <f t="shared" ca="1" si="74"/>
        <v>2866</v>
      </c>
      <c r="Q375">
        <v>62</v>
      </c>
      <c r="R375" t="str">
        <f t="shared" si="75"/>
        <v>Old</v>
      </c>
      <c r="S375" t="s">
        <v>24</v>
      </c>
      <c r="T375">
        <v>3</v>
      </c>
      <c r="U375" t="s">
        <v>25</v>
      </c>
      <c r="V375">
        <v>5848.31</v>
      </c>
      <c r="W375" t="s">
        <v>46</v>
      </c>
      <c r="X375" t="s">
        <v>47</v>
      </c>
      <c r="Y375">
        <v>8</v>
      </c>
      <c r="Z375" t="str">
        <f t="shared" si="76"/>
        <v>Bad Employee</v>
      </c>
      <c r="AA375" t="b">
        <f t="shared" si="77"/>
        <v>0</v>
      </c>
      <c r="AB375" t="b">
        <f>OR(Y375&gt;20, T375&gt;6)</f>
        <v>0</v>
      </c>
      <c r="AC375" t="str">
        <f>IF(OR(Y375&gt;20,T375&gt;6), "Good employee", "Bad Employee")</f>
        <v>Bad Employee</v>
      </c>
      <c r="AD375" t="s">
        <v>41</v>
      </c>
      <c r="AE375" t="s">
        <v>62</v>
      </c>
      <c r="AF375">
        <v>7</v>
      </c>
      <c r="AG375">
        <v>2016</v>
      </c>
      <c r="AH375" t="s">
        <v>43</v>
      </c>
      <c r="AI375">
        <v>63</v>
      </c>
      <c r="AJ375">
        <v>3.3</v>
      </c>
    </row>
    <row r="376" spans="1:36" x14ac:dyDescent="0.25">
      <c r="A376">
        <v>10375</v>
      </c>
      <c r="B376" t="s">
        <v>66</v>
      </c>
      <c r="C376" t="s">
        <v>22</v>
      </c>
      <c r="D376" t="s">
        <v>33</v>
      </c>
      <c r="E376" t="str">
        <f t="shared" si="65"/>
        <v>John Williams is in Marketing Department</v>
      </c>
      <c r="F376" s="6" t="str">
        <f t="shared" si="66"/>
        <v>johnwilliams@gmail.com</v>
      </c>
      <c r="G376">
        <v>97696</v>
      </c>
      <c r="H376" t="str">
        <f t="shared" si="67"/>
        <v>High</v>
      </c>
      <c r="I376" s="3">
        <v>39577</v>
      </c>
      <c r="J376">
        <f t="shared" si="68"/>
        <v>2008</v>
      </c>
      <c r="K376">
        <f t="shared" si="69"/>
        <v>5</v>
      </c>
      <c r="L376">
        <f t="shared" si="70"/>
        <v>9</v>
      </c>
      <c r="M376" s="3">
        <f t="shared" ca="1" si="71"/>
        <v>46100</v>
      </c>
      <c r="N376">
        <f t="shared" ca="1" si="72"/>
        <v>6523</v>
      </c>
      <c r="O376">
        <f t="shared" ca="1" si="73"/>
        <v>6523</v>
      </c>
      <c r="P376">
        <f t="shared" ca="1" si="74"/>
        <v>4660</v>
      </c>
      <c r="Q376">
        <v>61</v>
      </c>
      <c r="R376" t="str">
        <f t="shared" si="75"/>
        <v>Old</v>
      </c>
      <c r="S376" t="s">
        <v>34</v>
      </c>
      <c r="T376">
        <v>1</v>
      </c>
      <c r="U376" t="s">
        <v>25</v>
      </c>
      <c r="V376">
        <v>3994.25</v>
      </c>
      <c r="W376" t="s">
        <v>58</v>
      </c>
      <c r="X376" t="s">
        <v>47</v>
      </c>
      <c r="Y376">
        <v>19</v>
      </c>
      <c r="Z376" t="str">
        <f t="shared" si="76"/>
        <v>Bad Employee</v>
      </c>
      <c r="AA376" t="b">
        <f t="shared" si="77"/>
        <v>0</v>
      </c>
      <c r="AB376" t="b">
        <f>OR(Y376&gt;20, T376&gt;6)</f>
        <v>0</v>
      </c>
      <c r="AC376" t="str">
        <f>IF(OR(Y376&gt;20,T376&gt;6), "Good employee", "Bad Employee")</f>
        <v>Bad Employee</v>
      </c>
      <c r="AD376" t="s">
        <v>28</v>
      </c>
      <c r="AE376" t="s">
        <v>48</v>
      </c>
      <c r="AF376">
        <v>9</v>
      </c>
      <c r="AG376">
        <v>2019</v>
      </c>
      <c r="AH376" t="s">
        <v>43</v>
      </c>
      <c r="AI376">
        <v>198</v>
      </c>
      <c r="AJ376">
        <v>2.5</v>
      </c>
    </row>
    <row r="377" spans="1:36" x14ac:dyDescent="0.25">
      <c r="A377">
        <v>10376</v>
      </c>
      <c r="B377" t="s">
        <v>31</v>
      </c>
      <c r="C377" t="s">
        <v>57</v>
      </c>
      <c r="D377" t="s">
        <v>52</v>
      </c>
      <c r="E377" t="str">
        <f t="shared" si="65"/>
        <v>Emily Davis is in Operations Department</v>
      </c>
      <c r="F377" s="6" t="str">
        <f t="shared" si="66"/>
        <v>emilydavis@gmail.com</v>
      </c>
      <c r="G377">
        <v>94648</v>
      </c>
      <c r="H377" t="str">
        <f t="shared" si="67"/>
        <v>High</v>
      </c>
      <c r="I377" s="3">
        <v>36952</v>
      </c>
      <c r="J377">
        <f t="shared" si="68"/>
        <v>2001</v>
      </c>
      <c r="K377">
        <f t="shared" si="69"/>
        <v>3</v>
      </c>
      <c r="L377">
        <f t="shared" si="70"/>
        <v>2</v>
      </c>
      <c r="M377" s="3">
        <f t="shared" ca="1" si="71"/>
        <v>46100</v>
      </c>
      <c r="N377">
        <f t="shared" ca="1" si="72"/>
        <v>9148</v>
      </c>
      <c r="O377">
        <f t="shared" ca="1" si="73"/>
        <v>9148</v>
      </c>
      <c r="P377">
        <f t="shared" ca="1" si="74"/>
        <v>6535</v>
      </c>
      <c r="Q377">
        <v>50</v>
      </c>
      <c r="R377" t="str">
        <f t="shared" si="75"/>
        <v>Old</v>
      </c>
      <c r="S377" t="s">
        <v>24</v>
      </c>
      <c r="T377">
        <v>7</v>
      </c>
      <c r="U377" t="s">
        <v>45</v>
      </c>
      <c r="V377">
        <v>5304.89</v>
      </c>
      <c r="W377" t="s">
        <v>35</v>
      </c>
      <c r="X377" t="s">
        <v>55</v>
      </c>
      <c r="Y377">
        <v>31</v>
      </c>
      <c r="Z377" t="str">
        <f t="shared" si="76"/>
        <v>Good Employee</v>
      </c>
      <c r="AA377" t="b">
        <f t="shared" si="77"/>
        <v>1</v>
      </c>
      <c r="AB377" t="b">
        <f>OR(Y377&gt;20, T377&gt;6)</f>
        <v>1</v>
      </c>
      <c r="AC377" t="str">
        <f>IF(OR(Y377&gt;20,T377&gt;6), "Good employee", "Bad Employee")</f>
        <v>Good employee</v>
      </c>
      <c r="AD377" t="s">
        <v>56</v>
      </c>
      <c r="AE377" t="s">
        <v>37</v>
      </c>
      <c r="AF377">
        <v>10</v>
      </c>
      <c r="AG377">
        <v>2011</v>
      </c>
      <c r="AH377" t="s">
        <v>30</v>
      </c>
      <c r="AI377">
        <v>56</v>
      </c>
      <c r="AJ377">
        <v>1.6</v>
      </c>
    </row>
    <row r="378" spans="1:36" x14ac:dyDescent="0.25">
      <c r="A378">
        <v>10377</v>
      </c>
      <c r="B378" t="s">
        <v>31</v>
      </c>
      <c r="C378" t="s">
        <v>51</v>
      </c>
      <c r="D378" t="s">
        <v>39</v>
      </c>
      <c r="E378" t="str">
        <f t="shared" si="65"/>
        <v>Emily Brown is in IT Department</v>
      </c>
      <c r="F378" s="6" t="str">
        <f t="shared" si="66"/>
        <v>emilybrown@gmail.com</v>
      </c>
      <c r="G378">
        <v>85030</v>
      </c>
      <c r="H378" t="str">
        <f t="shared" si="67"/>
        <v>High</v>
      </c>
      <c r="I378" s="3">
        <v>43672</v>
      </c>
      <c r="J378">
        <f t="shared" si="68"/>
        <v>2019</v>
      </c>
      <c r="K378">
        <f t="shared" si="69"/>
        <v>7</v>
      </c>
      <c r="L378">
        <f t="shared" si="70"/>
        <v>26</v>
      </c>
      <c r="M378" s="3">
        <f t="shared" ca="1" si="71"/>
        <v>46100</v>
      </c>
      <c r="N378">
        <f t="shared" ca="1" si="72"/>
        <v>2428</v>
      </c>
      <c r="O378">
        <f t="shared" ca="1" si="73"/>
        <v>2428</v>
      </c>
      <c r="P378">
        <f t="shared" ca="1" si="74"/>
        <v>1735</v>
      </c>
      <c r="Q378">
        <v>56</v>
      </c>
      <c r="R378" t="str">
        <f t="shared" si="75"/>
        <v>Old</v>
      </c>
      <c r="S378" t="s">
        <v>24</v>
      </c>
      <c r="T378">
        <v>4</v>
      </c>
      <c r="U378" t="s">
        <v>25</v>
      </c>
      <c r="V378">
        <v>6397.2</v>
      </c>
      <c r="W378" t="s">
        <v>35</v>
      </c>
      <c r="X378" t="s">
        <v>36</v>
      </c>
      <c r="Y378">
        <v>32</v>
      </c>
      <c r="Z378" t="str">
        <f t="shared" si="76"/>
        <v>Bad Employee</v>
      </c>
      <c r="AA378" t="b">
        <f t="shared" si="77"/>
        <v>0</v>
      </c>
      <c r="AB378" t="b">
        <f>OR(Y378&gt;20, T378&gt;6)</f>
        <v>1</v>
      </c>
      <c r="AC378" t="str">
        <f>IF(OR(Y378&gt;20,T378&gt;6), "Good employee", "Bad Employee")</f>
        <v>Good employee</v>
      </c>
      <c r="AD378" t="s">
        <v>41</v>
      </c>
      <c r="AE378" t="s">
        <v>62</v>
      </c>
      <c r="AF378">
        <v>8</v>
      </c>
      <c r="AG378">
        <v>2018</v>
      </c>
      <c r="AH378" t="s">
        <v>43</v>
      </c>
      <c r="AI378">
        <v>73</v>
      </c>
      <c r="AJ378">
        <v>1.8</v>
      </c>
    </row>
    <row r="379" spans="1:36" x14ac:dyDescent="0.25">
      <c r="A379">
        <v>10378</v>
      </c>
      <c r="B379" t="s">
        <v>66</v>
      </c>
      <c r="C379" t="s">
        <v>57</v>
      </c>
      <c r="D379" t="s">
        <v>52</v>
      </c>
      <c r="E379" t="str">
        <f t="shared" si="65"/>
        <v>John Davis is in Operations Department</v>
      </c>
      <c r="F379" s="6" t="str">
        <f t="shared" si="66"/>
        <v>johndavis@gmail.com</v>
      </c>
      <c r="G379">
        <v>86815</v>
      </c>
      <c r="H379" t="str">
        <f t="shared" si="67"/>
        <v>High</v>
      </c>
      <c r="I379" s="3">
        <v>40084</v>
      </c>
      <c r="J379">
        <f t="shared" si="68"/>
        <v>2009</v>
      </c>
      <c r="K379">
        <f t="shared" si="69"/>
        <v>9</v>
      </c>
      <c r="L379">
        <f t="shared" si="70"/>
        <v>28</v>
      </c>
      <c r="M379" s="3">
        <f t="shared" ca="1" si="71"/>
        <v>46100</v>
      </c>
      <c r="N379">
        <f t="shared" ca="1" si="72"/>
        <v>6016</v>
      </c>
      <c r="O379">
        <f t="shared" ca="1" si="73"/>
        <v>6016</v>
      </c>
      <c r="P379">
        <f t="shared" ca="1" si="74"/>
        <v>4299</v>
      </c>
      <c r="Q379">
        <v>39</v>
      </c>
      <c r="R379" t="str">
        <f t="shared" si="75"/>
        <v>Old</v>
      </c>
      <c r="S379" t="s">
        <v>24</v>
      </c>
      <c r="T379">
        <v>8</v>
      </c>
      <c r="U379" t="s">
        <v>45</v>
      </c>
      <c r="V379">
        <v>8989.2000000000007</v>
      </c>
      <c r="W379" t="s">
        <v>26</v>
      </c>
      <c r="X379" t="s">
        <v>27</v>
      </c>
      <c r="Y379">
        <v>15</v>
      </c>
      <c r="Z379" t="str">
        <f t="shared" si="76"/>
        <v>Bad Employee</v>
      </c>
      <c r="AA379" t="b">
        <f t="shared" si="77"/>
        <v>0</v>
      </c>
      <c r="AB379" t="b">
        <f>OR(Y379&gt;20, T379&gt;6)</f>
        <v>1</v>
      </c>
      <c r="AC379" t="str">
        <f>IF(OR(Y379&gt;20,T379&gt;6), "Good employee", "Bad Employee")</f>
        <v>Good employee</v>
      </c>
      <c r="AD379" t="s">
        <v>28</v>
      </c>
      <c r="AE379" t="s">
        <v>42</v>
      </c>
      <c r="AF379">
        <v>16</v>
      </c>
      <c r="AG379">
        <v>2010</v>
      </c>
      <c r="AH379" t="s">
        <v>43</v>
      </c>
      <c r="AI379">
        <v>107</v>
      </c>
      <c r="AJ379">
        <v>4.0999999999999996</v>
      </c>
    </row>
    <row r="380" spans="1:36" x14ac:dyDescent="0.25">
      <c r="A380">
        <v>10379</v>
      </c>
      <c r="B380" t="s">
        <v>60</v>
      </c>
      <c r="C380" t="s">
        <v>32</v>
      </c>
      <c r="D380" t="s">
        <v>54</v>
      </c>
      <c r="E380" t="str">
        <f t="shared" si="65"/>
        <v>Jane Wilson is in Finance Department</v>
      </c>
      <c r="F380" s="6" t="str">
        <f t="shared" si="66"/>
        <v>janewilson@gmail.com</v>
      </c>
      <c r="G380">
        <v>115669</v>
      </c>
      <c r="H380" t="str">
        <f t="shared" si="67"/>
        <v>High</v>
      </c>
      <c r="I380" s="3">
        <v>42873</v>
      </c>
      <c r="J380">
        <f t="shared" si="68"/>
        <v>2017</v>
      </c>
      <c r="K380">
        <f t="shared" si="69"/>
        <v>5</v>
      </c>
      <c r="L380">
        <f t="shared" si="70"/>
        <v>18</v>
      </c>
      <c r="M380" s="3">
        <f t="shared" ca="1" si="71"/>
        <v>46100</v>
      </c>
      <c r="N380">
        <f t="shared" ca="1" si="72"/>
        <v>3227</v>
      </c>
      <c r="O380">
        <f t="shared" ca="1" si="73"/>
        <v>3227</v>
      </c>
      <c r="P380">
        <f t="shared" ca="1" si="74"/>
        <v>2306</v>
      </c>
      <c r="Q380">
        <v>61</v>
      </c>
      <c r="R380" t="str">
        <f t="shared" si="75"/>
        <v>Old</v>
      </c>
      <c r="S380" t="s">
        <v>24</v>
      </c>
      <c r="T380">
        <v>5</v>
      </c>
      <c r="U380" t="s">
        <v>45</v>
      </c>
      <c r="V380">
        <v>2326.7800000000002</v>
      </c>
      <c r="W380" t="s">
        <v>58</v>
      </c>
      <c r="X380" t="s">
        <v>27</v>
      </c>
      <c r="Y380">
        <v>39</v>
      </c>
      <c r="Z380" t="str">
        <f t="shared" si="76"/>
        <v>Bad Employee</v>
      </c>
      <c r="AA380" t="b">
        <f t="shared" si="77"/>
        <v>0</v>
      </c>
      <c r="AB380" t="b">
        <f>OR(Y380&gt;20, T380&gt;6)</f>
        <v>1</v>
      </c>
      <c r="AC380" t="str">
        <f>IF(OR(Y380&gt;20,T380&gt;6), "Good employee", "Bad Employee")</f>
        <v>Good employee</v>
      </c>
      <c r="AD380" t="s">
        <v>28</v>
      </c>
      <c r="AE380" t="s">
        <v>29</v>
      </c>
      <c r="AF380">
        <v>13</v>
      </c>
      <c r="AG380">
        <v>2023</v>
      </c>
      <c r="AH380" t="s">
        <v>49</v>
      </c>
      <c r="AI380">
        <v>9</v>
      </c>
      <c r="AJ380">
        <v>1.6</v>
      </c>
    </row>
    <row r="381" spans="1:36" x14ac:dyDescent="0.25">
      <c r="A381">
        <v>10380</v>
      </c>
      <c r="B381" t="s">
        <v>66</v>
      </c>
      <c r="C381" t="s">
        <v>51</v>
      </c>
      <c r="D381" t="s">
        <v>44</v>
      </c>
      <c r="E381" t="str">
        <f t="shared" si="65"/>
        <v>John Brown is in Sales Department</v>
      </c>
      <c r="F381" s="6" t="str">
        <f t="shared" si="66"/>
        <v>johnbrown@gmail.com</v>
      </c>
      <c r="G381">
        <v>65690</v>
      </c>
      <c r="H381" t="str">
        <f t="shared" si="67"/>
        <v>Medium</v>
      </c>
      <c r="I381" s="3">
        <v>37661</v>
      </c>
      <c r="J381">
        <f t="shared" si="68"/>
        <v>2003</v>
      </c>
      <c r="K381">
        <f t="shared" si="69"/>
        <v>2</v>
      </c>
      <c r="L381">
        <f t="shared" si="70"/>
        <v>9</v>
      </c>
      <c r="M381" s="3">
        <f t="shared" ca="1" si="71"/>
        <v>46100</v>
      </c>
      <c r="N381">
        <f t="shared" ca="1" si="72"/>
        <v>8439</v>
      </c>
      <c r="O381">
        <f t="shared" ca="1" si="73"/>
        <v>8439</v>
      </c>
      <c r="P381">
        <f t="shared" ca="1" si="74"/>
        <v>6029</v>
      </c>
      <c r="Q381">
        <v>51</v>
      </c>
      <c r="R381" t="str">
        <f t="shared" si="75"/>
        <v>Old</v>
      </c>
      <c r="S381" t="s">
        <v>34</v>
      </c>
      <c r="T381">
        <v>9</v>
      </c>
      <c r="U381" t="s">
        <v>25</v>
      </c>
      <c r="V381">
        <v>1326.56</v>
      </c>
      <c r="W381" t="s">
        <v>26</v>
      </c>
      <c r="X381" t="s">
        <v>40</v>
      </c>
      <c r="Y381">
        <v>31</v>
      </c>
      <c r="Z381" t="str">
        <f t="shared" si="76"/>
        <v>Good Employee</v>
      </c>
      <c r="AA381" t="b">
        <f t="shared" si="77"/>
        <v>1</v>
      </c>
      <c r="AB381" t="b">
        <f>OR(Y381&gt;20, T381&gt;6)</f>
        <v>1</v>
      </c>
      <c r="AC381" t="str">
        <f>IF(OR(Y381&gt;20,T381&gt;6), "Good employee", "Bad Employee")</f>
        <v>Good employee</v>
      </c>
      <c r="AD381" t="s">
        <v>28</v>
      </c>
      <c r="AE381" t="s">
        <v>48</v>
      </c>
      <c r="AF381">
        <v>2</v>
      </c>
      <c r="AG381">
        <v>2015</v>
      </c>
      <c r="AH381" t="s">
        <v>43</v>
      </c>
      <c r="AI381">
        <v>47</v>
      </c>
      <c r="AJ381">
        <v>2.2000000000000002</v>
      </c>
    </row>
    <row r="382" spans="1:36" x14ac:dyDescent="0.25">
      <c r="A382">
        <v>10381</v>
      </c>
      <c r="B382" t="s">
        <v>53</v>
      </c>
      <c r="C382" t="s">
        <v>32</v>
      </c>
      <c r="D382" t="s">
        <v>39</v>
      </c>
      <c r="E382" t="str">
        <f t="shared" si="65"/>
        <v>Sarah Wilson is in IT Department</v>
      </c>
      <c r="F382" s="6" t="str">
        <f t="shared" si="66"/>
        <v>sarahwilson@gmail.com</v>
      </c>
      <c r="G382">
        <v>118406</v>
      </c>
      <c r="H382" t="str">
        <f t="shared" si="67"/>
        <v>High</v>
      </c>
      <c r="I382" s="3">
        <v>38898</v>
      </c>
      <c r="J382">
        <f t="shared" si="68"/>
        <v>2006</v>
      </c>
      <c r="K382">
        <f t="shared" si="69"/>
        <v>6</v>
      </c>
      <c r="L382">
        <f t="shared" si="70"/>
        <v>30</v>
      </c>
      <c r="M382" s="3">
        <f t="shared" ca="1" si="71"/>
        <v>46100</v>
      </c>
      <c r="N382">
        <f t="shared" ca="1" si="72"/>
        <v>7202</v>
      </c>
      <c r="O382">
        <f t="shared" ca="1" si="73"/>
        <v>7202</v>
      </c>
      <c r="P382">
        <f t="shared" ca="1" si="74"/>
        <v>5145</v>
      </c>
      <c r="Q382">
        <v>36</v>
      </c>
      <c r="R382" t="str">
        <f t="shared" si="75"/>
        <v>Old</v>
      </c>
      <c r="S382" t="s">
        <v>24</v>
      </c>
      <c r="T382">
        <v>6</v>
      </c>
      <c r="U382" t="s">
        <v>45</v>
      </c>
      <c r="V382">
        <v>6458.51</v>
      </c>
      <c r="W382" t="s">
        <v>26</v>
      </c>
      <c r="X382" t="s">
        <v>36</v>
      </c>
      <c r="Y382">
        <v>3</v>
      </c>
      <c r="Z382" t="str">
        <f t="shared" si="76"/>
        <v>Bad Employee</v>
      </c>
      <c r="AA382" t="b">
        <f t="shared" si="77"/>
        <v>0</v>
      </c>
      <c r="AB382" t="b">
        <f>OR(Y382&gt;20, T382&gt;6)</f>
        <v>0</v>
      </c>
      <c r="AC382" t="str">
        <f>IF(OR(Y382&gt;20,T382&gt;6), "Good employee", "Bad Employee")</f>
        <v>Bad Employee</v>
      </c>
      <c r="AD382" t="s">
        <v>56</v>
      </c>
      <c r="AE382" t="s">
        <v>29</v>
      </c>
      <c r="AF382">
        <v>8</v>
      </c>
      <c r="AG382">
        <v>2015</v>
      </c>
      <c r="AH382" t="s">
        <v>43</v>
      </c>
      <c r="AI382">
        <v>12</v>
      </c>
      <c r="AJ382">
        <v>2.1</v>
      </c>
    </row>
    <row r="383" spans="1:36" x14ac:dyDescent="0.25">
      <c r="A383">
        <v>10382</v>
      </c>
      <c r="B383" t="s">
        <v>64</v>
      </c>
      <c r="C383" t="s">
        <v>22</v>
      </c>
      <c r="D383" t="s">
        <v>44</v>
      </c>
      <c r="E383" t="str">
        <f t="shared" si="65"/>
        <v>Katie Williams is in Sales Department</v>
      </c>
      <c r="F383" s="6" t="str">
        <f t="shared" si="66"/>
        <v>katiewilliams@gmail.com</v>
      </c>
      <c r="G383">
        <v>87923</v>
      </c>
      <c r="H383" t="str">
        <f t="shared" si="67"/>
        <v>High</v>
      </c>
      <c r="I383" s="3">
        <v>39855</v>
      </c>
      <c r="J383">
        <f t="shared" si="68"/>
        <v>2009</v>
      </c>
      <c r="K383">
        <f t="shared" si="69"/>
        <v>2</v>
      </c>
      <c r="L383">
        <f t="shared" si="70"/>
        <v>11</v>
      </c>
      <c r="M383" s="3">
        <f t="shared" ca="1" si="71"/>
        <v>46100</v>
      </c>
      <c r="N383">
        <f t="shared" ca="1" si="72"/>
        <v>6245</v>
      </c>
      <c r="O383">
        <f t="shared" ca="1" si="73"/>
        <v>6245</v>
      </c>
      <c r="P383">
        <f t="shared" ca="1" si="74"/>
        <v>4462</v>
      </c>
      <c r="Q383">
        <v>36</v>
      </c>
      <c r="R383" t="str">
        <f t="shared" si="75"/>
        <v>Old</v>
      </c>
      <c r="S383" t="s">
        <v>34</v>
      </c>
      <c r="T383">
        <v>2</v>
      </c>
      <c r="U383" t="s">
        <v>25</v>
      </c>
      <c r="V383">
        <v>4244.24</v>
      </c>
      <c r="W383" t="s">
        <v>26</v>
      </c>
      <c r="X383" t="s">
        <v>27</v>
      </c>
      <c r="Y383">
        <v>32</v>
      </c>
      <c r="Z383" t="str">
        <f t="shared" si="76"/>
        <v>Bad Employee</v>
      </c>
      <c r="AA383" t="b">
        <f t="shared" si="77"/>
        <v>0</v>
      </c>
      <c r="AB383" t="b">
        <f>OR(Y383&gt;20, T383&gt;6)</f>
        <v>1</v>
      </c>
      <c r="AC383" t="str">
        <f>IF(OR(Y383&gt;20,T383&gt;6), "Good employee", "Bad Employee")</f>
        <v>Good employee</v>
      </c>
      <c r="AD383" t="s">
        <v>56</v>
      </c>
      <c r="AE383" t="s">
        <v>42</v>
      </c>
      <c r="AF383">
        <v>19</v>
      </c>
      <c r="AG383">
        <v>2023</v>
      </c>
      <c r="AH383" t="s">
        <v>49</v>
      </c>
      <c r="AI383">
        <v>82</v>
      </c>
      <c r="AJ383">
        <v>1.2</v>
      </c>
    </row>
    <row r="384" spans="1:36" x14ac:dyDescent="0.25">
      <c r="A384">
        <v>10383</v>
      </c>
      <c r="B384" t="s">
        <v>31</v>
      </c>
      <c r="C384" t="s">
        <v>61</v>
      </c>
      <c r="D384" t="s">
        <v>54</v>
      </c>
      <c r="E384" t="str">
        <f t="shared" si="65"/>
        <v>Emily Smith is in Finance Department</v>
      </c>
      <c r="F384" s="6" t="str">
        <f t="shared" si="66"/>
        <v>emilysmith@gmail.com</v>
      </c>
      <c r="G384">
        <v>66572</v>
      </c>
      <c r="H384" t="str">
        <f t="shared" si="67"/>
        <v>Medium</v>
      </c>
      <c r="I384" s="3">
        <v>37475</v>
      </c>
      <c r="J384">
        <f t="shared" si="68"/>
        <v>2002</v>
      </c>
      <c r="K384">
        <f t="shared" si="69"/>
        <v>8</v>
      </c>
      <c r="L384">
        <f t="shared" si="70"/>
        <v>7</v>
      </c>
      <c r="M384" s="3">
        <f t="shared" ca="1" si="71"/>
        <v>46100</v>
      </c>
      <c r="N384">
        <f t="shared" ca="1" si="72"/>
        <v>8625</v>
      </c>
      <c r="O384">
        <f t="shared" ca="1" si="73"/>
        <v>8625</v>
      </c>
      <c r="P384">
        <f t="shared" ca="1" si="74"/>
        <v>6162</v>
      </c>
      <c r="Q384">
        <v>37</v>
      </c>
      <c r="R384" t="str">
        <f t="shared" si="75"/>
        <v>Old</v>
      </c>
      <c r="S384" t="s">
        <v>34</v>
      </c>
      <c r="T384">
        <v>1</v>
      </c>
      <c r="U384" t="s">
        <v>25</v>
      </c>
      <c r="V384">
        <v>2047.58</v>
      </c>
      <c r="W384" t="s">
        <v>46</v>
      </c>
      <c r="X384" t="s">
        <v>36</v>
      </c>
      <c r="Y384">
        <v>10</v>
      </c>
      <c r="Z384" t="str">
        <f t="shared" si="76"/>
        <v>Bad Employee</v>
      </c>
      <c r="AA384" t="b">
        <f t="shared" si="77"/>
        <v>0</v>
      </c>
      <c r="AB384" t="b">
        <f>OR(Y384&gt;20, T384&gt;6)</f>
        <v>0</v>
      </c>
      <c r="AC384" t="str">
        <f>IF(OR(Y384&gt;20,T384&gt;6), "Good employee", "Bad Employee")</f>
        <v>Bad Employee</v>
      </c>
      <c r="AD384" t="s">
        <v>56</v>
      </c>
      <c r="AE384" t="s">
        <v>29</v>
      </c>
      <c r="AF384">
        <v>17</v>
      </c>
      <c r="AG384">
        <v>2016</v>
      </c>
      <c r="AH384" t="s">
        <v>30</v>
      </c>
      <c r="AI384">
        <v>97</v>
      </c>
      <c r="AJ384">
        <v>2.8</v>
      </c>
    </row>
    <row r="385" spans="1:36" x14ac:dyDescent="0.25">
      <c r="A385">
        <v>10384</v>
      </c>
      <c r="B385" t="s">
        <v>38</v>
      </c>
      <c r="C385" t="s">
        <v>22</v>
      </c>
      <c r="D385" t="s">
        <v>54</v>
      </c>
      <c r="E385" t="str">
        <f t="shared" si="65"/>
        <v>Chris Williams is in Finance Department</v>
      </c>
      <c r="F385" s="6" t="str">
        <f t="shared" si="66"/>
        <v>chriswilliams@gmail.com</v>
      </c>
      <c r="G385">
        <v>84030</v>
      </c>
      <c r="H385" t="str">
        <f t="shared" si="67"/>
        <v>High</v>
      </c>
      <c r="I385" s="3">
        <v>43620</v>
      </c>
      <c r="J385">
        <f t="shared" si="68"/>
        <v>2019</v>
      </c>
      <c r="K385">
        <f t="shared" si="69"/>
        <v>6</v>
      </c>
      <c r="L385">
        <f t="shared" si="70"/>
        <v>4</v>
      </c>
      <c r="M385" s="3">
        <f t="shared" ca="1" si="71"/>
        <v>46100</v>
      </c>
      <c r="N385">
        <f t="shared" ca="1" si="72"/>
        <v>2480</v>
      </c>
      <c r="O385">
        <f t="shared" ca="1" si="73"/>
        <v>2480</v>
      </c>
      <c r="P385">
        <f t="shared" ca="1" si="74"/>
        <v>1773</v>
      </c>
      <c r="Q385">
        <v>54</v>
      </c>
      <c r="R385" t="str">
        <f t="shared" si="75"/>
        <v>Old</v>
      </c>
      <c r="S385" t="s">
        <v>24</v>
      </c>
      <c r="T385">
        <v>1</v>
      </c>
      <c r="U385" t="s">
        <v>25</v>
      </c>
      <c r="V385">
        <v>1612.33</v>
      </c>
      <c r="W385" t="s">
        <v>35</v>
      </c>
      <c r="X385" t="s">
        <v>47</v>
      </c>
      <c r="Y385">
        <v>28</v>
      </c>
      <c r="Z385" t="str">
        <f t="shared" si="76"/>
        <v>Bad Employee</v>
      </c>
      <c r="AA385" t="b">
        <f t="shared" si="77"/>
        <v>0</v>
      </c>
      <c r="AB385" t="b">
        <f>OR(Y385&gt;20, T385&gt;6)</f>
        <v>1</v>
      </c>
      <c r="AC385" t="str">
        <f>IF(OR(Y385&gt;20,T385&gt;6), "Good employee", "Bad Employee")</f>
        <v>Good employee</v>
      </c>
      <c r="AD385" t="s">
        <v>28</v>
      </c>
      <c r="AE385" t="s">
        <v>59</v>
      </c>
      <c r="AF385">
        <v>16</v>
      </c>
      <c r="AG385">
        <v>2011</v>
      </c>
      <c r="AH385" t="s">
        <v>49</v>
      </c>
      <c r="AI385">
        <v>67</v>
      </c>
      <c r="AJ385">
        <v>4.0999999999999996</v>
      </c>
    </row>
    <row r="386" spans="1:36" x14ac:dyDescent="0.25">
      <c r="A386">
        <v>10385</v>
      </c>
      <c r="B386" t="s">
        <v>38</v>
      </c>
      <c r="C386" t="s">
        <v>61</v>
      </c>
      <c r="D386" t="s">
        <v>44</v>
      </c>
      <c r="E386" t="str">
        <f t="shared" si="65"/>
        <v>Chris Smith is in Sales Department</v>
      </c>
      <c r="F386" s="6" t="str">
        <f t="shared" si="66"/>
        <v>chrissmith@gmail.com</v>
      </c>
      <c r="G386">
        <v>97904</v>
      </c>
      <c r="H386" t="str">
        <f t="shared" si="67"/>
        <v>High</v>
      </c>
      <c r="I386" s="3">
        <v>37899</v>
      </c>
      <c r="J386">
        <f t="shared" si="68"/>
        <v>2003</v>
      </c>
      <c r="K386">
        <f t="shared" si="69"/>
        <v>10</v>
      </c>
      <c r="L386">
        <f t="shared" si="70"/>
        <v>5</v>
      </c>
      <c r="M386" s="3">
        <f t="shared" ca="1" si="71"/>
        <v>46100</v>
      </c>
      <c r="N386">
        <f t="shared" ca="1" si="72"/>
        <v>8201</v>
      </c>
      <c r="O386">
        <f t="shared" ca="1" si="73"/>
        <v>8201</v>
      </c>
      <c r="P386">
        <f t="shared" ca="1" si="74"/>
        <v>5859</v>
      </c>
      <c r="Q386">
        <v>31</v>
      </c>
      <c r="R386" t="str">
        <f t="shared" si="75"/>
        <v>Old</v>
      </c>
      <c r="S386" t="s">
        <v>24</v>
      </c>
      <c r="T386">
        <v>9</v>
      </c>
      <c r="U386" t="s">
        <v>25</v>
      </c>
      <c r="V386">
        <v>5809.64</v>
      </c>
      <c r="W386" t="s">
        <v>35</v>
      </c>
      <c r="X386" t="s">
        <v>47</v>
      </c>
      <c r="Y386">
        <v>27</v>
      </c>
      <c r="Z386" t="str">
        <f t="shared" si="76"/>
        <v>Good Employee</v>
      </c>
      <c r="AA386" t="b">
        <f t="shared" si="77"/>
        <v>1</v>
      </c>
      <c r="AB386" t="b">
        <f>OR(Y386&gt;20, T386&gt;6)</f>
        <v>1</v>
      </c>
      <c r="AC386" t="str">
        <f>IF(OR(Y386&gt;20,T386&gt;6), "Good employee", "Bad Employee")</f>
        <v>Good employee</v>
      </c>
      <c r="AD386" t="s">
        <v>28</v>
      </c>
      <c r="AE386" t="s">
        <v>59</v>
      </c>
      <c r="AF386">
        <v>4</v>
      </c>
      <c r="AG386">
        <v>2022</v>
      </c>
      <c r="AH386" t="s">
        <v>30</v>
      </c>
      <c r="AI386">
        <v>167</v>
      </c>
      <c r="AJ386">
        <v>1.1000000000000001</v>
      </c>
    </row>
    <row r="387" spans="1:36" x14ac:dyDescent="0.25">
      <c r="A387">
        <v>10386</v>
      </c>
      <c r="B387" t="s">
        <v>53</v>
      </c>
      <c r="C387" t="s">
        <v>32</v>
      </c>
      <c r="D387" t="s">
        <v>39</v>
      </c>
      <c r="E387" t="str">
        <f t="shared" ref="E387:E450" si="78">CONCATENATE(B387, " ", C387, " is in ", D387, " Department")</f>
        <v>Sarah Wilson is in IT Department</v>
      </c>
      <c r="F387" s="6" t="str">
        <f t="shared" ref="F387:F450" si="79">LOWER(CONCATENATE(B387, C387, "@gmail.com"))</f>
        <v>sarahwilson@gmail.com</v>
      </c>
      <c r="G387">
        <v>59203</v>
      </c>
      <c r="H387" t="str">
        <f t="shared" ref="H387:H450" si="80">IF(G387&gt;80000, "High", IF(G387&gt;50000, "Medium", IF(G387&gt;40000, "low", "extremely low")))</f>
        <v>Medium</v>
      </c>
      <c r="I387" s="3">
        <v>42652</v>
      </c>
      <c r="J387">
        <f t="shared" ref="J387:J450" si="81">YEAR(I387)</f>
        <v>2016</v>
      </c>
      <c r="K387">
        <f t="shared" ref="K387:K450" si="82">MONTH(I387)</f>
        <v>10</v>
      </c>
      <c r="L387">
        <f t="shared" ref="L387:L450" si="83">DAY(I387)</f>
        <v>9</v>
      </c>
      <c r="M387" s="3">
        <f t="shared" ref="M387:M450" ca="1" si="84">TODAY()</f>
        <v>46100</v>
      </c>
      <c r="N387">
        <f t="shared" ref="N387:N450" ca="1" si="85">M387-I387</f>
        <v>3448</v>
      </c>
      <c r="O387">
        <f t="shared" ref="O387:O450" ca="1" si="86">DATEDIF(I387,M387, "d")</f>
        <v>3448</v>
      </c>
      <c r="P387">
        <f t="shared" ref="P387:P450" ca="1" si="87">NETWORKDAYS(I387, M387)</f>
        <v>2464</v>
      </c>
      <c r="Q387">
        <v>40</v>
      </c>
      <c r="R387" t="str">
        <f t="shared" ref="R387:R450" si="88">IF(Q387&gt;30, "Old", "Young")</f>
        <v>Old</v>
      </c>
      <c r="S387" t="s">
        <v>34</v>
      </c>
      <c r="T387">
        <v>1</v>
      </c>
      <c r="U387" t="s">
        <v>25</v>
      </c>
      <c r="V387">
        <v>3354.47</v>
      </c>
      <c r="W387" t="s">
        <v>26</v>
      </c>
      <c r="X387" t="s">
        <v>36</v>
      </c>
      <c r="Y387">
        <v>31</v>
      </c>
      <c r="Z387" t="str">
        <f t="shared" ref="Z387:Z450" si="89" xml:space="preserve"> IF(AND(Y387&gt;20, T387&gt;6), "Good Employee", "Bad Employee")</f>
        <v>Bad Employee</v>
      </c>
      <c r="AA387" t="b">
        <f t="shared" ref="AA387:AA450" si="90">AND(Y387&gt;20, T387&gt;6)</f>
        <v>0</v>
      </c>
      <c r="AB387" t="b">
        <f>OR(Y387&gt;20, T387&gt;6)</f>
        <v>1</v>
      </c>
      <c r="AC387" t="str">
        <f>IF(OR(Y387&gt;20,T387&gt;6), "Good employee", "Bad Employee")</f>
        <v>Good employee</v>
      </c>
      <c r="AD387" t="s">
        <v>56</v>
      </c>
      <c r="AE387" t="s">
        <v>37</v>
      </c>
      <c r="AF387">
        <v>19</v>
      </c>
      <c r="AG387">
        <v>2015</v>
      </c>
      <c r="AH387" t="s">
        <v>30</v>
      </c>
      <c r="AI387">
        <v>36</v>
      </c>
      <c r="AJ387">
        <v>1.5</v>
      </c>
    </row>
    <row r="388" spans="1:36" x14ac:dyDescent="0.25">
      <c r="A388">
        <v>10387</v>
      </c>
      <c r="B388" t="s">
        <v>50</v>
      </c>
      <c r="C388" t="s">
        <v>61</v>
      </c>
      <c r="D388" t="s">
        <v>44</v>
      </c>
      <c r="E388" t="str">
        <f t="shared" si="78"/>
        <v>Alex Smith is in Sales Department</v>
      </c>
      <c r="F388" s="6" t="str">
        <f t="shared" si="79"/>
        <v>alexsmith@gmail.com</v>
      </c>
      <c r="G388">
        <v>107088</v>
      </c>
      <c r="H388" t="str">
        <f t="shared" si="80"/>
        <v>High</v>
      </c>
      <c r="I388" s="3">
        <v>43608</v>
      </c>
      <c r="J388">
        <f t="shared" si="81"/>
        <v>2019</v>
      </c>
      <c r="K388">
        <f t="shared" si="82"/>
        <v>5</v>
      </c>
      <c r="L388">
        <f t="shared" si="83"/>
        <v>23</v>
      </c>
      <c r="M388" s="3">
        <f t="shared" ca="1" si="84"/>
        <v>46100</v>
      </c>
      <c r="N388">
        <f t="shared" ca="1" si="85"/>
        <v>2492</v>
      </c>
      <c r="O388">
        <f t="shared" ca="1" si="86"/>
        <v>2492</v>
      </c>
      <c r="P388">
        <f t="shared" ca="1" si="87"/>
        <v>1781</v>
      </c>
      <c r="Q388">
        <v>58</v>
      </c>
      <c r="R388" t="str">
        <f t="shared" si="88"/>
        <v>Old</v>
      </c>
      <c r="S388" t="s">
        <v>24</v>
      </c>
      <c r="T388">
        <v>3</v>
      </c>
      <c r="U388" t="s">
        <v>25</v>
      </c>
      <c r="V388">
        <v>9975.5499999999993</v>
      </c>
      <c r="W388" t="s">
        <v>46</v>
      </c>
      <c r="X388" t="s">
        <v>55</v>
      </c>
      <c r="Y388">
        <v>34</v>
      </c>
      <c r="Z388" t="str">
        <f t="shared" si="89"/>
        <v>Bad Employee</v>
      </c>
      <c r="AA388" t="b">
        <f t="shared" si="90"/>
        <v>0</v>
      </c>
      <c r="AB388" t="b">
        <f>OR(Y388&gt;20, T388&gt;6)</f>
        <v>1</v>
      </c>
      <c r="AC388" t="str">
        <f>IF(OR(Y388&gt;20,T388&gt;6), "Good employee", "Bad Employee")</f>
        <v>Good employee</v>
      </c>
      <c r="AD388" t="s">
        <v>41</v>
      </c>
      <c r="AE388" t="s">
        <v>37</v>
      </c>
      <c r="AF388">
        <v>5</v>
      </c>
      <c r="AG388">
        <v>2015</v>
      </c>
      <c r="AH388" t="s">
        <v>49</v>
      </c>
      <c r="AI388">
        <v>101</v>
      </c>
      <c r="AJ388">
        <v>3.9</v>
      </c>
    </row>
    <row r="389" spans="1:36" x14ac:dyDescent="0.25">
      <c r="A389">
        <v>10388</v>
      </c>
      <c r="B389" t="s">
        <v>21</v>
      </c>
      <c r="C389" t="s">
        <v>57</v>
      </c>
      <c r="D389" t="s">
        <v>44</v>
      </c>
      <c r="E389" t="str">
        <f t="shared" si="78"/>
        <v>Michael Davis is in Sales Department</v>
      </c>
      <c r="F389" s="6" t="str">
        <f t="shared" si="79"/>
        <v>michaeldavis@gmail.com</v>
      </c>
      <c r="G389">
        <v>35608</v>
      </c>
      <c r="H389" t="str">
        <f t="shared" si="80"/>
        <v>extremely low</v>
      </c>
      <c r="I389" s="3">
        <v>37482</v>
      </c>
      <c r="J389">
        <f t="shared" si="81"/>
        <v>2002</v>
      </c>
      <c r="K389">
        <f t="shared" si="82"/>
        <v>8</v>
      </c>
      <c r="L389">
        <f t="shared" si="83"/>
        <v>14</v>
      </c>
      <c r="M389" s="3">
        <f t="shared" ca="1" si="84"/>
        <v>46100</v>
      </c>
      <c r="N389">
        <f t="shared" ca="1" si="85"/>
        <v>8618</v>
      </c>
      <c r="O389">
        <f t="shared" ca="1" si="86"/>
        <v>8618</v>
      </c>
      <c r="P389">
        <f t="shared" ca="1" si="87"/>
        <v>6157</v>
      </c>
      <c r="Q389">
        <v>24</v>
      </c>
      <c r="R389" t="str">
        <f t="shared" si="88"/>
        <v>Young</v>
      </c>
      <c r="S389" t="s">
        <v>24</v>
      </c>
      <c r="T389">
        <v>2</v>
      </c>
      <c r="U389" t="s">
        <v>45</v>
      </c>
      <c r="V389">
        <v>4356.0600000000004</v>
      </c>
      <c r="W389" t="s">
        <v>35</v>
      </c>
      <c r="X389" t="s">
        <v>27</v>
      </c>
      <c r="Y389">
        <v>5</v>
      </c>
      <c r="Z389" t="str">
        <f t="shared" si="89"/>
        <v>Bad Employee</v>
      </c>
      <c r="AA389" t="b">
        <f t="shared" si="90"/>
        <v>0</v>
      </c>
      <c r="AB389" t="b">
        <f>OR(Y389&gt;20, T389&gt;6)</f>
        <v>0</v>
      </c>
      <c r="AC389" t="str">
        <f>IF(OR(Y389&gt;20,T389&gt;6), "Good employee", "Bad Employee")</f>
        <v>Bad Employee</v>
      </c>
      <c r="AD389" t="s">
        <v>56</v>
      </c>
      <c r="AE389" t="s">
        <v>37</v>
      </c>
      <c r="AF389">
        <v>2</v>
      </c>
      <c r="AG389">
        <v>2018</v>
      </c>
      <c r="AH389" t="s">
        <v>49</v>
      </c>
      <c r="AI389">
        <v>122</v>
      </c>
      <c r="AJ389">
        <v>3.4</v>
      </c>
    </row>
    <row r="390" spans="1:36" x14ac:dyDescent="0.25">
      <c r="A390">
        <v>10389</v>
      </c>
      <c r="B390" t="s">
        <v>66</v>
      </c>
      <c r="C390" t="s">
        <v>63</v>
      </c>
      <c r="D390" t="s">
        <v>23</v>
      </c>
      <c r="E390" t="str">
        <f t="shared" si="78"/>
        <v>John Miller is in HR Department</v>
      </c>
      <c r="F390" s="6" t="str">
        <f t="shared" si="79"/>
        <v>johnmiller@gmail.com</v>
      </c>
      <c r="G390">
        <v>75667</v>
      </c>
      <c r="H390" t="str">
        <f t="shared" si="80"/>
        <v>Medium</v>
      </c>
      <c r="I390" s="3">
        <v>38227</v>
      </c>
      <c r="J390">
        <f t="shared" si="81"/>
        <v>2004</v>
      </c>
      <c r="K390">
        <f t="shared" si="82"/>
        <v>8</v>
      </c>
      <c r="L390">
        <f t="shared" si="83"/>
        <v>28</v>
      </c>
      <c r="M390" s="3">
        <f t="shared" ca="1" si="84"/>
        <v>46100</v>
      </c>
      <c r="N390">
        <f t="shared" ca="1" si="85"/>
        <v>7873</v>
      </c>
      <c r="O390">
        <f t="shared" ca="1" si="86"/>
        <v>7873</v>
      </c>
      <c r="P390">
        <f t="shared" ca="1" si="87"/>
        <v>5624</v>
      </c>
      <c r="Q390">
        <v>57</v>
      </c>
      <c r="R390" t="str">
        <f t="shared" si="88"/>
        <v>Old</v>
      </c>
      <c r="S390" t="s">
        <v>34</v>
      </c>
      <c r="T390">
        <v>4</v>
      </c>
      <c r="U390" t="s">
        <v>25</v>
      </c>
      <c r="V390">
        <v>2516.7199999999998</v>
      </c>
      <c r="W390" t="s">
        <v>46</v>
      </c>
      <c r="X390" t="s">
        <v>27</v>
      </c>
      <c r="Y390">
        <v>11</v>
      </c>
      <c r="Z390" t="str">
        <f t="shared" si="89"/>
        <v>Bad Employee</v>
      </c>
      <c r="AA390" t="b">
        <f t="shared" si="90"/>
        <v>0</v>
      </c>
      <c r="AB390" t="b">
        <f>OR(Y390&gt;20, T390&gt;6)</f>
        <v>0</v>
      </c>
      <c r="AC390" t="str">
        <f>IF(OR(Y390&gt;20,T390&gt;6), "Good employee", "Bad Employee")</f>
        <v>Bad Employee</v>
      </c>
      <c r="AD390" t="s">
        <v>28</v>
      </c>
      <c r="AE390" t="s">
        <v>37</v>
      </c>
      <c r="AF390">
        <v>15</v>
      </c>
      <c r="AG390">
        <v>2023</v>
      </c>
      <c r="AH390" t="s">
        <v>30</v>
      </c>
      <c r="AI390">
        <v>28</v>
      </c>
      <c r="AJ390">
        <v>3.9</v>
      </c>
    </row>
    <row r="391" spans="1:36" x14ac:dyDescent="0.25">
      <c r="A391">
        <v>10390</v>
      </c>
      <c r="B391" t="s">
        <v>66</v>
      </c>
      <c r="C391" t="s">
        <v>22</v>
      </c>
      <c r="D391" t="s">
        <v>39</v>
      </c>
      <c r="E391" t="str">
        <f t="shared" si="78"/>
        <v>John Williams is in IT Department</v>
      </c>
      <c r="F391" s="6" t="str">
        <f t="shared" si="79"/>
        <v>johnwilliams@gmail.com</v>
      </c>
      <c r="G391">
        <v>85547</v>
      </c>
      <c r="H391" t="str">
        <f t="shared" si="80"/>
        <v>High</v>
      </c>
      <c r="I391" s="3">
        <v>39467</v>
      </c>
      <c r="J391">
        <f t="shared" si="81"/>
        <v>2008</v>
      </c>
      <c r="K391">
        <f t="shared" si="82"/>
        <v>1</v>
      </c>
      <c r="L391">
        <f t="shared" si="83"/>
        <v>20</v>
      </c>
      <c r="M391" s="3">
        <f t="shared" ca="1" si="84"/>
        <v>46100</v>
      </c>
      <c r="N391">
        <f t="shared" ca="1" si="85"/>
        <v>6633</v>
      </c>
      <c r="O391">
        <f t="shared" ca="1" si="86"/>
        <v>6633</v>
      </c>
      <c r="P391">
        <f t="shared" ca="1" si="87"/>
        <v>4739</v>
      </c>
      <c r="Q391">
        <v>25</v>
      </c>
      <c r="R391" t="str">
        <f t="shared" si="88"/>
        <v>Young</v>
      </c>
      <c r="S391" t="s">
        <v>24</v>
      </c>
      <c r="T391">
        <v>1</v>
      </c>
      <c r="U391" t="s">
        <v>25</v>
      </c>
      <c r="V391">
        <v>6474.07</v>
      </c>
      <c r="W391" t="s">
        <v>58</v>
      </c>
      <c r="X391" t="s">
        <v>47</v>
      </c>
      <c r="Y391">
        <v>7</v>
      </c>
      <c r="Z391" t="str">
        <f t="shared" si="89"/>
        <v>Bad Employee</v>
      </c>
      <c r="AA391" t="b">
        <f t="shared" si="90"/>
        <v>0</v>
      </c>
      <c r="AB391" t="b">
        <f>OR(Y391&gt;20, T391&gt;6)</f>
        <v>0</v>
      </c>
      <c r="AC391" t="str">
        <f>IF(OR(Y391&gt;20,T391&gt;6), "Good employee", "Bad Employee")</f>
        <v>Bad Employee</v>
      </c>
      <c r="AD391" t="s">
        <v>28</v>
      </c>
      <c r="AE391" t="s">
        <v>42</v>
      </c>
      <c r="AF391">
        <v>14</v>
      </c>
      <c r="AG391">
        <v>2017</v>
      </c>
      <c r="AH391" t="s">
        <v>49</v>
      </c>
      <c r="AI391">
        <v>54</v>
      </c>
      <c r="AJ391">
        <v>1.9</v>
      </c>
    </row>
    <row r="392" spans="1:36" x14ac:dyDescent="0.25">
      <c r="A392">
        <v>10391</v>
      </c>
      <c r="B392" t="s">
        <v>50</v>
      </c>
      <c r="C392" t="s">
        <v>51</v>
      </c>
      <c r="D392" t="s">
        <v>23</v>
      </c>
      <c r="E392" t="str">
        <f t="shared" si="78"/>
        <v>Alex Brown is in HR Department</v>
      </c>
      <c r="F392" s="6" t="str">
        <f t="shared" si="79"/>
        <v>alexbrown@gmail.com</v>
      </c>
      <c r="G392">
        <v>52485</v>
      </c>
      <c r="H392" t="str">
        <f t="shared" si="80"/>
        <v>Medium</v>
      </c>
      <c r="I392" s="3">
        <v>39008</v>
      </c>
      <c r="J392">
        <f t="shared" si="81"/>
        <v>2006</v>
      </c>
      <c r="K392">
        <f t="shared" si="82"/>
        <v>10</v>
      </c>
      <c r="L392">
        <f t="shared" si="83"/>
        <v>18</v>
      </c>
      <c r="M392" s="3">
        <f t="shared" ca="1" si="84"/>
        <v>46100</v>
      </c>
      <c r="N392">
        <f t="shared" ca="1" si="85"/>
        <v>7092</v>
      </c>
      <c r="O392">
        <f t="shared" ca="1" si="86"/>
        <v>7092</v>
      </c>
      <c r="P392">
        <f t="shared" ca="1" si="87"/>
        <v>5067</v>
      </c>
      <c r="Q392">
        <v>32</v>
      </c>
      <c r="R392" t="str">
        <f t="shared" si="88"/>
        <v>Old</v>
      </c>
      <c r="S392" t="s">
        <v>34</v>
      </c>
      <c r="T392">
        <v>1</v>
      </c>
      <c r="U392" t="s">
        <v>25</v>
      </c>
      <c r="V392">
        <v>2820.42</v>
      </c>
      <c r="W392" t="s">
        <v>46</v>
      </c>
      <c r="X392" t="s">
        <v>40</v>
      </c>
      <c r="Y392">
        <v>8</v>
      </c>
      <c r="Z392" t="str">
        <f t="shared" si="89"/>
        <v>Bad Employee</v>
      </c>
      <c r="AA392" t="b">
        <f t="shared" si="90"/>
        <v>0</v>
      </c>
      <c r="AB392" t="b">
        <f>OR(Y392&gt;20, T392&gt;6)</f>
        <v>0</v>
      </c>
      <c r="AC392" t="str">
        <f>IF(OR(Y392&gt;20,T392&gt;6), "Good employee", "Bad Employee")</f>
        <v>Bad Employee</v>
      </c>
      <c r="AD392" t="s">
        <v>28</v>
      </c>
      <c r="AE392" t="s">
        <v>29</v>
      </c>
      <c r="AF392">
        <v>7</v>
      </c>
      <c r="AG392">
        <v>2014</v>
      </c>
      <c r="AH392" t="s">
        <v>49</v>
      </c>
      <c r="AI392">
        <v>122</v>
      </c>
      <c r="AJ392">
        <v>4.2</v>
      </c>
    </row>
    <row r="393" spans="1:36" x14ac:dyDescent="0.25">
      <c r="A393">
        <v>10392</v>
      </c>
      <c r="B393" t="s">
        <v>50</v>
      </c>
      <c r="C393" t="s">
        <v>22</v>
      </c>
      <c r="D393" t="s">
        <v>52</v>
      </c>
      <c r="E393" t="str">
        <f t="shared" si="78"/>
        <v>Alex Williams is in Operations Department</v>
      </c>
      <c r="F393" s="6" t="str">
        <f t="shared" si="79"/>
        <v>alexwilliams@gmail.com</v>
      </c>
      <c r="G393">
        <v>39862</v>
      </c>
      <c r="H393" t="str">
        <f t="shared" si="80"/>
        <v>extremely low</v>
      </c>
      <c r="I393" s="3">
        <v>37829</v>
      </c>
      <c r="J393">
        <f t="shared" si="81"/>
        <v>2003</v>
      </c>
      <c r="K393">
        <f t="shared" si="82"/>
        <v>7</v>
      </c>
      <c r="L393">
        <f t="shared" si="83"/>
        <v>27</v>
      </c>
      <c r="M393" s="3">
        <f t="shared" ca="1" si="84"/>
        <v>46100</v>
      </c>
      <c r="N393">
        <f t="shared" ca="1" si="85"/>
        <v>8271</v>
      </c>
      <c r="O393">
        <f t="shared" ca="1" si="86"/>
        <v>8271</v>
      </c>
      <c r="P393">
        <f t="shared" ca="1" si="87"/>
        <v>5909</v>
      </c>
      <c r="Q393">
        <v>62</v>
      </c>
      <c r="R393" t="str">
        <f t="shared" si="88"/>
        <v>Old</v>
      </c>
      <c r="S393" t="s">
        <v>24</v>
      </c>
      <c r="T393">
        <v>4</v>
      </c>
      <c r="U393" t="s">
        <v>45</v>
      </c>
      <c r="V393">
        <v>5193.82</v>
      </c>
      <c r="W393" t="s">
        <v>46</v>
      </c>
      <c r="X393" t="s">
        <v>27</v>
      </c>
      <c r="Y393">
        <v>17</v>
      </c>
      <c r="Z393" t="str">
        <f t="shared" si="89"/>
        <v>Bad Employee</v>
      </c>
      <c r="AA393" t="b">
        <f t="shared" si="90"/>
        <v>0</v>
      </c>
      <c r="AB393" t="b">
        <f>OR(Y393&gt;20, T393&gt;6)</f>
        <v>0</v>
      </c>
      <c r="AC393" t="str">
        <f>IF(OR(Y393&gt;20,T393&gt;6), "Good employee", "Bad Employee")</f>
        <v>Bad Employee</v>
      </c>
      <c r="AD393" t="s">
        <v>28</v>
      </c>
      <c r="AE393" t="s">
        <v>37</v>
      </c>
      <c r="AF393">
        <v>8</v>
      </c>
      <c r="AG393">
        <v>2016</v>
      </c>
      <c r="AH393" t="s">
        <v>43</v>
      </c>
      <c r="AI393">
        <v>191</v>
      </c>
      <c r="AJ393">
        <v>2.9</v>
      </c>
    </row>
    <row r="394" spans="1:36" x14ac:dyDescent="0.25">
      <c r="A394">
        <v>10393</v>
      </c>
      <c r="B394" t="s">
        <v>53</v>
      </c>
      <c r="C394" t="s">
        <v>57</v>
      </c>
      <c r="D394" t="s">
        <v>44</v>
      </c>
      <c r="E394" t="str">
        <f t="shared" si="78"/>
        <v>Sarah Davis is in Sales Department</v>
      </c>
      <c r="F394" s="6" t="str">
        <f t="shared" si="79"/>
        <v>sarahdavis@gmail.com</v>
      </c>
      <c r="G394">
        <v>105948</v>
      </c>
      <c r="H394" t="str">
        <f t="shared" si="80"/>
        <v>High</v>
      </c>
      <c r="I394" s="3">
        <v>36896</v>
      </c>
      <c r="J394">
        <f t="shared" si="81"/>
        <v>2001</v>
      </c>
      <c r="K394">
        <f t="shared" si="82"/>
        <v>1</v>
      </c>
      <c r="L394">
        <f t="shared" si="83"/>
        <v>5</v>
      </c>
      <c r="M394" s="3">
        <f t="shared" ca="1" si="84"/>
        <v>46100</v>
      </c>
      <c r="N394">
        <f t="shared" ca="1" si="85"/>
        <v>9204</v>
      </c>
      <c r="O394">
        <f t="shared" ca="1" si="86"/>
        <v>9204</v>
      </c>
      <c r="P394">
        <f t="shared" ca="1" si="87"/>
        <v>6575</v>
      </c>
      <c r="Q394">
        <v>54</v>
      </c>
      <c r="R394" t="str">
        <f t="shared" si="88"/>
        <v>Old</v>
      </c>
      <c r="S394" t="s">
        <v>24</v>
      </c>
      <c r="T394">
        <v>4</v>
      </c>
      <c r="U394" t="s">
        <v>45</v>
      </c>
      <c r="V394">
        <v>5084.47</v>
      </c>
      <c r="W394" t="s">
        <v>58</v>
      </c>
      <c r="X394" t="s">
        <v>47</v>
      </c>
      <c r="Y394">
        <v>39</v>
      </c>
      <c r="Z394" t="str">
        <f t="shared" si="89"/>
        <v>Bad Employee</v>
      </c>
      <c r="AA394" t="b">
        <f t="shared" si="90"/>
        <v>0</v>
      </c>
      <c r="AB394" t="b">
        <f>OR(Y394&gt;20, T394&gt;6)</f>
        <v>1</v>
      </c>
      <c r="AC394" t="str">
        <f>IF(OR(Y394&gt;20,T394&gt;6), "Good employee", "Bad Employee")</f>
        <v>Good employee</v>
      </c>
      <c r="AD394" t="s">
        <v>28</v>
      </c>
      <c r="AE394" t="s">
        <v>42</v>
      </c>
      <c r="AF394">
        <v>3</v>
      </c>
      <c r="AG394">
        <v>2016</v>
      </c>
      <c r="AH394" t="s">
        <v>49</v>
      </c>
      <c r="AI394">
        <v>197</v>
      </c>
      <c r="AJ394">
        <v>3.4</v>
      </c>
    </row>
    <row r="395" spans="1:36" x14ac:dyDescent="0.25">
      <c r="A395">
        <v>10394</v>
      </c>
      <c r="B395" t="s">
        <v>53</v>
      </c>
      <c r="C395" t="s">
        <v>61</v>
      </c>
      <c r="D395" t="s">
        <v>52</v>
      </c>
      <c r="E395" t="str">
        <f t="shared" si="78"/>
        <v>Sarah Smith is in Operations Department</v>
      </c>
      <c r="F395" s="6" t="str">
        <f t="shared" si="79"/>
        <v>sarahsmith@gmail.com</v>
      </c>
      <c r="G395">
        <v>116890</v>
      </c>
      <c r="H395" t="str">
        <f t="shared" si="80"/>
        <v>High</v>
      </c>
      <c r="I395" s="3">
        <v>39506</v>
      </c>
      <c r="J395">
        <f t="shared" si="81"/>
        <v>2008</v>
      </c>
      <c r="K395">
        <f t="shared" si="82"/>
        <v>2</v>
      </c>
      <c r="L395">
        <f t="shared" si="83"/>
        <v>28</v>
      </c>
      <c r="M395" s="3">
        <f t="shared" ca="1" si="84"/>
        <v>46100</v>
      </c>
      <c r="N395">
        <f t="shared" ca="1" si="85"/>
        <v>6594</v>
      </c>
      <c r="O395">
        <f t="shared" ca="1" si="86"/>
        <v>6594</v>
      </c>
      <c r="P395">
        <f t="shared" ca="1" si="87"/>
        <v>4711</v>
      </c>
      <c r="Q395">
        <v>49</v>
      </c>
      <c r="R395" t="str">
        <f t="shared" si="88"/>
        <v>Old</v>
      </c>
      <c r="S395" t="s">
        <v>24</v>
      </c>
      <c r="T395">
        <v>7</v>
      </c>
      <c r="U395" t="s">
        <v>45</v>
      </c>
      <c r="V395">
        <v>4808.8</v>
      </c>
      <c r="W395" t="s">
        <v>35</v>
      </c>
      <c r="X395" t="s">
        <v>47</v>
      </c>
      <c r="Y395">
        <v>14</v>
      </c>
      <c r="Z395" t="str">
        <f t="shared" si="89"/>
        <v>Bad Employee</v>
      </c>
      <c r="AA395" t="b">
        <f t="shared" si="90"/>
        <v>0</v>
      </c>
      <c r="AB395" t="b">
        <f>OR(Y395&gt;20, T395&gt;6)</f>
        <v>1</v>
      </c>
      <c r="AC395" t="str">
        <f>IF(OR(Y395&gt;20,T395&gt;6), "Good employee", "Bad Employee")</f>
        <v>Good employee</v>
      </c>
      <c r="AD395" t="s">
        <v>28</v>
      </c>
      <c r="AE395" t="s">
        <v>48</v>
      </c>
      <c r="AF395">
        <v>12</v>
      </c>
      <c r="AG395">
        <v>2014</v>
      </c>
      <c r="AH395" t="s">
        <v>49</v>
      </c>
      <c r="AI395">
        <v>132</v>
      </c>
      <c r="AJ395">
        <v>1.4</v>
      </c>
    </row>
    <row r="396" spans="1:36" x14ac:dyDescent="0.25">
      <c r="A396">
        <v>10395</v>
      </c>
      <c r="B396" t="s">
        <v>50</v>
      </c>
      <c r="C396" t="s">
        <v>57</v>
      </c>
      <c r="D396" t="s">
        <v>39</v>
      </c>
      <c r="E396" t="str">
        <f t="shared" si="78"/>
        <v>Alex Davis is in IT Department</v>
      </c>
      <c r="F396" s="6" t="str">
        <f t="shared" si="79"/>
        <v>alexdavis@gmail.com</v>
      </c>
      <c r="G396">
        <v>101880</v>
      </c>
      <c r="H396" t="str">
        <f t="shared" si="80"/>
        <v>High</v>
      </c>
      <c r="I396" s="3">
        <v>38822</v>
      </c>
      <c r="J396">
        <f t="shared" si="81"/>
        <v>2006</v>
      </c>
      <c r="K396">
        <f t="shared" si="82"/>
        <v>4</v>
      </c>
      <c r="L396">
        <f t="shared" si="83"/>
        <v>15</v>
      </c>
      <c r="M396" s="3">
        <f t="shared" ca="1" si="84"/>
        <v>46100</v>
      </c>
      <c r="N396">
        <f t="shared" ca="1" si="85"/>
        <v>7278</v>
      </c>
      <c r="O396">
        <f t="shared" ca="1" si="86"/>
        <v>7278</v>
      </c>
      <c r="P396">
        <f t="shared" ca="1" si="87"/>
        <v>5199</v>
      </c>
      <c r="Q396">
        <v>53</v>
      </c>
      <c r="R396" t="str">
        <f t="shared" si="88"/>
        <v>Old</v>
      </c>
      <c r="S396" t="s">
        <v>24</v>
      </c>
      <c r="T396">
        <v>8</v>
      </c>
      <c r="U396" t="s">
        <v>25</v>
      </c>
      <c r="V396">
        <v>8062.81</v>
      </c>
      <c r="W396" t="s">
        <v>35</v>
      </c>
      <c r="X396" t="s">
        <v>36</v>
      </c>
      <c r="Y396">
        <v>24</v>
      </c>
      <c r="Z396" t="str">
        <f t="shared" si="89"/>
        <v>Good Employee</v>
      </c>
      <c r="AA396" t="b">
        <f t="shared" si="90"/>
        <v>1</v>
      </c>
      <c r="AB396" t="b">
        <f>OR(Y396&gt;20, T396&gt;6)</f>
        <v>1</v>
      </c>
      <c r="AC396" t="str">
        <f>IF(OR(Y396&gt;20,T396&gt;6), "Good employee", "Bad Employee")</f>
        <v>Good employee</v>
      </c>
      <c r="AD396" t="s">
        <v>56</v>
      </c>
      <c r="AE396" t="s">
        <v>37</v>
      </c>
      <c r="AF396">
        <v>2</v>
      </c>
      <c r="AG396">
        <v>2016</v>
      </c>
      <c r="AH396" t="s">
        <v>43</v>
      </c>
      <c r="AI396">
        <v>116</v>
      </c>
      <c r="AJ396">
        <v>1.8</v>
      </c>
    </row>
    <row r="397" spans="1:36" x14ac:dyDescent="0.25">
      <c r="A397">
        <v>10396</v>
      </c>
      <c r="B397" t="s">
        <v>31</v>
      </c>
      <c r="C397" t="s">
        <v>65</v>
      </c>
      <c r="D397" t="s">
        <v>44</v>
      </c>
      <c r="E397" t="str">
        <f t="shared" si="78"/>
        <v>Emily Johnson is in Sales Department</v>
      </c>
      <c r="F397" s="6" t="str">
        <f t="shared" si="79"/>
        <v>emilyjohnson@gmail.com</v>
      </c>
      <c r="G397">
        <v>87560</v>
      </c>
      <c r="H397" t="str">
        <f t="shared" si="80"/>
        <v>High</v>
      </c>
      <c r="I397" s="3">
        <v>43560</v>
      </c>
      <c r="J397">
        <f t="shared" si="81"/>
        <v>2019</v>
      </c>
      <c r="K397">
        <f t="shared" si="82"/>
        <v>4</v>
      </c>
      <c r="L397">
        <f t="shared" si="83"/>
        <v>5</v>
      </c>
      <c r="M397" s="3">
        <f t="shared" ca="1" si="84"/>
        <v>46100</v>
      </c>
      <c r="N397">
        <f t="shared" ca="1" si="85"/>
        <v>2540</v>
      </c>
      <c r="O397">
        <f t="shared" ca="1" si="86"/>
        <v>2540</v>
      </c>
      <c r="P397">
        <f t="shared" ca="1" si="87"/>
        <v>1815</v>
      </c>
      <c r="Q397">
        <v>37</v>
      </c>
      <c r="R397" t="str">
        <f t="shared" si="88"/>
        <v>Old</v>
      </c>
      <c r="S397" t="s">
        <v>24</v>
      </c>
      <c r="T397">
        <v>8</v>
      </c>
      <c r="U397" t="s">
        <v>25</v>
      </c>
      <c r="V397">
        <v>2557.8200000000002</v>
      </c>
      <c r="W397" t="s">
        <v>46</v>
      </c>
      <c r="X397" t="s">
        <v>36</v>
      </c>
      <c r="Y397">
        <v>30</v>
      </c>
      <c r="Z397" t="str">
        <f t="shared" si="89"/>
        <v>Good Employee</v>
      </c>
      <c r="AA397" t="b">
        <f t="shared" si="90"/>
        <v>1</v>
      </c>
      <c r="AB397" t="b">
        <f>OR(Y397&gt;20, T397&gt;6)</f>
        <v>1</v>
      </c>
      <c r="AC397" t="str">
        <f>IF(OR(Y397&gt;20,T397&gt;6), "Good employee", "Bad Employee")</f>
        <v>Good employee</v>
      </c>
      <c r="AD397" t="s">
        <v>28</v>
      </c>
      <c r="AE397" t="s">
        <v>29</v>
      </c>
      <c r="AF397">
        <v>6</v>
      </c>
      <c r="AG397">
        <v>2012</v>
      </c>
      <c r="AH397" t="s">
        <v>30</v>
      </c>
      <c r="AI397">
        <v>42</v>
      </c>
      <c r="AJ397">
        <v>4.0999999999999996</v>
      </c>
    </row>
    <row r="398" spans="1:36" x14ac:dyDescent="0.25">
      <c r="A398">
        <v>10397</v>
      </c>
      <c r="B398" t="s">
        <v>53</v>
      </c>
      <c r="C398" t="s">
        <v>65</v>
      </c>
      <c r="D398" t="s">
        <v>52</v>
      </c>
      <c r="E398" t="str">
        <f t="shared" si="78"/>
        <v>Sarah Johnson is in Operations Department</v>
      </c>
      <c r="F398" s="6" t="str">
        <f t="shared" si="79"/>
        <v>sarahjohnson@gmail.com</v>
      </c>
      <c r="G398">
        <v>113529</v>
      </c>
      <c r="H398" t="str">
        <f t="shared" si="80"/>
        <v>High</v>
      </c>
      <c r="I398" s="3">
        <v>42850</v>
      </c>
      <c r="J398">
        <f t="shared" si="81"/>
        <v>2017</v>
      </c>
      <c r="K398">
        <f t="shared" si="82"/>
        <v>4</v>
      </c>
      <c r="L398">
        <f t="shared" si="83"/>
        <v>25</v>
      </c>
      <c r="M398" s="3">
        <f t="shared" ca="1" si="84"/>
        <v>46100</v>
      </c>
      <c r="N398">
        <f t="shared" ca="1" si="85"/>
        <v>3250</v>
      </c>
      <c r="O398">
        <f t="shared" ca="1" si="86"/>
        <v>3250</v>
      </c>
      <c r="P398">
        <f t="shared" ca="1" si="87"/>
        <v>2323</v>
      </c>
      <c r="Q398">
        <v>30</v>
      </c>
      <c r="R398" t="str">
        <f t="shared" si="88"/>
        <v>Young</v>
      </c>
      <c r="S398" t="s">
        <v>24</v>
      </c>
      <c r="T398">
        <v>8</v>
      </c>
      <c r="U398" t="s">
        <v>25</v>
      </c>
      <c r="V398">
        <v>9090.92</v>
      </c>
      <c r="W398" t="s">
        <v>46</v>
      </c>
      <c r="X398" t="s">
        <v>36</v>
      </c>
      <c r="Y398">
        <v>15</v>
      </c>
      <c r="Z398" t="str">
        <f t="shared" si="89"/>
        <v>Bad Employee</v>
      </c>
      <c r="AA398" t="b">
        <f t="shared" si="90"/>
        <v>0</v>
      </c>
      <c r="AB398" t="b">
        <f>OR(Y398&gt;20, T398&gt;6)</f>
        <v>1</v>
      </c>
      <c r="AC398" t="str">
        <f>IF(OR(Y398&gt;20,T398&gt;6), "Good employee", "Bad Employee")</f>
        <v>Good employee</v>
      </c>
      <c r="AD398" t="s">
        <v>28</v>
      </c>
      <c r="AE398" t="s">
        <v>59</v>
      </c>
      <c r="AF398">
        <v>15</v>
      </c>
      <c r="AG398">
        <v>2016</v>
      </c>
      <c r="AH398" t="s">
        <v>30</v>
      </c>
      <c r="AI398">
        <v>170</v>
      </c>
      <c r="AJ398">
        <v>1.9</v>
      </c>
    </row>
    <row r="399" spans="1:36" x14ac:dyDescent="0.25">
      <c r="A399">
        <v>10398</v>
      </c>
      <c r="B399" t="s">
        <v>64</v>
      </c>
      <c r="C399" t="s">
        <v>51</v>
      </c>
      <c r="D399" t="s">
        <v>33</v>
      </c>
      <c r="E399" t="str">
        <f t="shared" si="78"/>
        <v>Katie Brown is in Marketing Department</v>
      </c>
      <c r="F399" s="6" t="str">
        <f t="shared" si="79"/>
        <v>katiebrown@gmail.com</v>
      </c>
      <c r="G399">
        <v>58415</v>
      </c>
      <c r="H399" t="str">
        <f t="shared" si="80"/>
        <v>Medium</v>
      </c>
      <c r="I399" s="3">
        <v>41324</v>
      </c>
      <c r="J399">
        <f t="shared" si="81"/>
        <v>2013</v>
      </c>
      <c r="K399">
        <f t="shared" si="82"/>
        <v>2</v>
      </c>
      <c r="L399">
        <f t="shared" si="83"/>
        <v>19</v>
      </c>
      <c r="M399" s="3">
        <f t="shared" ca="1" si="84"/>
        <v>46100</v>
      </c>
      <c r="N399">
        <f t="shared" ca="1" si="85"/>
        <v>4776</v>
      </c>
      <c r="O399">
        <f t="shared" ca="1" si="86"/>
        <v>4776</v>
      </c>
      <c r="P399">
        <f t="shared" ca="1" si="87"/>
        <v>3413</v>
      </c>
      <c r="Q399">
        <v>32</v>
      </c>
      <c r="R399" t="str">
        <f t="shared" si="88"/>
        <v>Old</v>
      </c>
      <c r="S399" t="s">
        <v>34</v>
      </c>
      <c r="T399">
        <v>9</v>
      </c>
      <c r="U399" t="s">
        <v>45</v>
      </c>
      <c r="V399">
        <v>8017.73</v>
      </c>
      <c r="W399" t="s">
        <v>58</v>
      </c>
      <c r="X399" t="s">
        <v>40</v>
      </c>
      <c r="Y399">
        <v>4</v>
      </c>
      <c r="Z399" t="str">
        <f t="shared" si="89"/>
        <v>Bad Employee</v>
      </c>
      <c r="AA399" t="b">
        <f t="shared" si="90"/>
        <v>0</v>
      </c>
      <c r="AB399" t="b">
        <f>OR(Y399&gt;20, T399&gt;6)</f>
        <v>1</v>
      </c>
      <c r="AC399" t="str">
        <f>IF(OR(Y399&gt;20,T399&gt;6), "Good employee", "Bad Employee")</f>
        <v>Good employee</v>
      </c>
      <c r="AD399" t="s">
        <v>28</v>
      </c>
      <c r="AE399" t="s">
        <v>62</v>
      </c>
      <c r="AF399">
        <v>16</v>
      </c>
      <c r="AG399">
        <v>2022</v>
      </c>
      <c r="AH399" t="s">
        <v>49</v>
      </c>
      <c r="AI399">
        <v>153</v>
      </c>
      <c r="AJ399">
        <v>1.4</v>
      </c>
    </row>
    <row r="400" spans="1:36" x14ac:dyDescent="0.25">
      <c r="A400">
        <v>10399</v>
      </c>
      <c r="B400" t="s">
        <v>53</v>
      </c>
      <c r="C400" t="s">
        <v>57</v>
      </c>
      <c r="D400" t="s">
        <v>54</v>
      </c>
      <c r="E400" t="str">
        <f t="shared" si="78"/>
        <v>Sarah Davis is in Finance Department</v>
      </c>
      <c r="F400" s="6" t="str">
        <f t="shared" si="79"/>
        <v>sarahdavis@gmail.com</v>
      </c>
      <c r="G400">
        <v>94523</v>
      </c>
      <c r="H400" t="str">
        <f t="shared" si="80"/>
        <v>High</v>
      </c>
      <c r="I400" s="3">
        <v>43668</v>
      </c>
      <c r="J400">
        <f t="shared" si="81"/>
        <v>2019</v>
      </c>
      <c r="K400">
        <f t="shared" si="82"/>
        <v>7</v>
      </c>
      <c r="L400">
        <f t="shared" si="83"/>
        <v>22</v>
      </c>
      <c r="M400" s="3">
        <f t="shared" ca="1" si="84"/>
        <v>46100</v>
      </c>
      <c r="N400">
        <f t="shared" ca="1" si="85"/>
        <v>2432</v>
      </c>
      <c r="O400">
        <f t="shared" ca="1" si="86"/>
        <v>2432</v>
      </c>
      <c r="P400">
        <f t="shared" ca="1" si="87"/>
        <v>1739</v>
      </c>
      <c r="Q400">
        <v>27</v>
      </c>
      <c r="R400" t="str">
        <f t="shared" si="88"/>
        <v>Young</v>
      </c>
      <c r="S400" t="s">
        <v>34</v>
      </c>
      <c r="T400">
        <v>1</v>
      </c>
      <c r="U400" t="s">
        <v>45</v>
      </c>
      <c r="V400">
        <v>3664.66</v>
      </c>
      <c r="W400" t="s">
        <v>58</v>
      </c>
      <c r="X400" t="s">
        <v>27</v>
      </c>
      <c r="Y400">
        <v>13</v>
      </c>
      <c r="Z400" t="str">
        <f t="shared" si="89"/>
        <v>Bad Employee</v>
      </c>
      <c r="AA400" t="b">
        <f t="shared" si="90"/>
        <v>0</v>
      </c>
      <c r="AB400" t="b">
        <f>OR(Y400&gt;20, T400&gt;6)</f>
        <v>0</v>
      </c>
      <c r="AC400" t="str">
        <f>IF(OR(Y400&gt;20,T400&gt;6), "Good employee", "Bad Employee")</f>
        <v>Bad Employee</v>
      </c>
      <c r="AD400" t="s">
        <v>28</v>
      </c>
      <c r="AE400" t="s">
        <v>59</v>
      </c>
      <c r="AF400">
        <v>16</v>
      </c>
      <c r="AG400">
        <v>2015</v>
      </c>
      <c r="AH400" t="s">
        <v>49</v>
      </c>
      <c r="AI400">
        <v>155</v>
      </c>
      <c r="AJ400">
        <v>3.4</v>
      </c>
    </row>
    <row r="401" spans="1:36" x14ac:dyDescent="0.25">
      <c r="A401">
        <v>10400</v>
      </c>
      <c r="B401" t="s">
        <v>66</v>
      </c>
      <c r="C401" t="s">
        <v>32</v>
      </c>
      <c r="D401" t="s">
        <v>44</v>
      </c>
      <c r="E401" t="str">
        <f t="shared" si="78"/>
        <v>John Wilson is in Sales Department</v>
      </c>
      <c r="F401" s="6" t="str">
        <f t="shared" si="79"/>
        <v>johnwilson@gmail.com</v>
      </c>
      <c r="G401">
        <v>49323</v>
      </c>
      <c r="H401" t="str">
        <f t="shared" si="80"/>
        <v>low</v>
      </c>
      <c r="I401" s="3">
        <v>42296</v>
      </c>
      <c r="J401">
        <f t="shared" si="81"/>
        <v>2015</v>
      </c>
      <c r="K401">
        <f t="shared" si="82"/>
        <v>10</v>
      </c>
      <c r="L401">
        <f t="shared" si="83"/>
        <v>19</v>
      </c>
      <c r="M401" s="3">
        <f t="shared" ca="1" si="84"/>
        <v>46100</v>
      </c>
      <c r="N401">
        <f t="shared" ca="1" si="85"/>
        <v>3804</v>
      </c>
      <c r="O401">
        <f t="shared" ca="1" si="86"/>
        <v>3804</v>
      </c>
      <c r="P401">
        <f t="shared" ca="1" si="87"/>
        <v>2719</v>
      </c>
      <c r="Q401">
        <v>48</v>
      </c>
      <c r="R401" t="str">
        <f t="shared" si="88"/>
        <v>Old</v>
      </c>
      <c r="S401" t="s">
        <v>24</v>
      </c>
      <c r="T401">
        <v>9</v>
      </c>
      <c r="U401" t="s">
        <v>45</v>
      </c>
      <c r="V401">
        <v>2215.7199999999998</v>
      </c>
      <c r="W401" t="s">
        <v>35</v>
      </c>
      <c r="X401" t="s">
        <v>40</v>
      </c>
      <c r="Y401">
        <v>5</v>
      </c>
      <c r="Z401" t="str">
        <f t="shared" si="89"/>
        <v>Bad Employee</v>
      </c>
      <c r="AA401" t="b">
        <f t="shared" si="90"/>
        <v>0</v>
      </c>
      <c r="AB401" t="b">
        <f>OR(Y401&gt;20, T401&gt;6)</f>
        <v>1</v>
      </c>
      <c r="AC401" t="str">
        <f>IF(OR(Y401&gt;20,T401&gt;6), "Good employee", "Bad Employee")</f>
        <v>Good employee</v>
      </c>
      <c r="AD401" t="s">
        <v>28</v>
      </c>
      <c r="AE401" t="s">
        <v>29</v>
      </c>
      <c r="AF401">
        <v>18</v>
      </c>
      <c r="AG401">
        <v>2021</v>
      </c>
      <c r="AH401" t="s">
        <v>30</v>
      </c>
      <c r="AI401">
        <v>178</v>
      </c>
      <c r="AJ401">
        <v>3.2</v>
      </c>
    </row>
    <row r="402" spans="1:36" x14ac:dyDescent="0.25">
      <c r="A402">
        <v>10401</v>
      </c>
      <c r="B402" t="s">
        <v>53</v>
      </c>
      <c r="C402" t="s">
        <v>51</v>
      </c>
      <c r="D402" t="s">
        <v>54</v>
      </c>
      <c r="E402" t="str">
        <f t="shared" si="78"/>
        <v>Sarah Brown is in Finance Department</v>
      </c>
      <c r="F402" s="6" t="str">
        <f t="shared" si="79"/>
        <v>sarahbrown@gmail.com</v>
      </c>
      <c r="G402">
        <v>83214</v>
      </c>
      <c r="H402" t="str">
        <f t="shared" si="80"/>
        <v>High</v>
      </c>
      <c r="I402" s="3">
        <v>38651</v>
      </c>
      <c r="J402">
        <f t="shared" si="81"/>
        <v>2005</v>
      </c>
      <c r="K402">
        <f t="shared" si="82"/>
        <v>10</v>
      </c>
      <c r="L402">
        <f t="shared" si="83"/>
        <v>26</v>
      </c>
      <c r="M402" s="3">
        <f t="shared" ca="1" si="84"/>
        <v>46100</v>
      </c>
      <c r="N402">
        <f t="shared" ca="1" si="85"/>
        <v>7449</v>
      </c>
      <c r="O402">
        <f t="shared" ca="1" si="86"/>
        <v>7449</v>
      </c>
      <c r="P402">
        <f t="shared" ca="1" si="87"/>
        <v>5322</v>
      </c>
      <c r="Q402">
        <v>33</v>
      </c>
      <c r="R402" t="str">
        <f t="shared" si="88"/>
        <v>Old</v>
      </c>
      <c r="S402" t="s">
        <v>24</v>
      </c>
      <c r="T402">
        <v>8</v>
      </c>
      <c r="U402" t="s">
        <v>25</v>
      </c>
      <c r="V402">
        <v>3155.58</v>
      </c>
      <c r="W402" t="s">
        <v>35</v>
      </c>
      <c r="X402" t="s">
        <v>40</v>
      </c>
      <c r="Y402">
        <v>31</v>
      </c>
      <c r="Z402" t="str">
        <f t="shared" si="89"/>
        <v>Good Employee</v>
      </c>
      <c r="AA402" t="b">
        <f t="shared" si="90"/>
        <v>1</v>
      </c>
      <c r="AB402" t="b">
        <f>OR(Y402&gt;20, T402&gt;6)</f>
        <v>1</v>
      </c>
      <c r="AC402" t="str">
        <f>IF(OR(Y402&gt;20,T402&gt;6), "Good employee", "Bad Employee")</f>
        <v>Good employee</v>
      </c>
      <c r="AD402" t="s">
        <v>41</v>
      </c>
      <c r="AE402" t="s">
        <v>29</v>
      </c>
      <c r="AF402">
        <v>19</v>
      </c>
      <c r="AG402">
        <v>2015</v>
      </c>
      <c r="AH402" t="s">
        <v>49</v>
      </c>
      <c r="AI402">
        <v>162</v>
      </c>
      <c r="AJ402">
        <v>3.4</v>
      </c>
    </row>
    <row r="403" spans="1:36" x14ac:dyDescent="0.25">
      <c r="A403">
        <v>10402</v>
      </c>
      <c r="B403" t="s">
        <v>31</v>
      </c>
      <c r="C403" t="s">
        <v>32</v>
      </c>
      <c r="D403" t="s">
        <v>23</v>
      </c>
      <c r="E403" t="str">
        <f t="shared" si="78"/>
        <v>Emily Wilson is in HR Department</v>
      </c>
      <c r="F403" s="6" t="str">
        <f t="shared" si="79"/>
        <v>emilywilson@gmail.com</v>
      </c>
      <c r="G403">
        <v>47997</v>
      </c>
      <c r="H403" t="str">
        <f t="shared" si="80"/>
        <v>low</v>
      </c>
      <c r="I403" s="3">
        <v>39492</v>
      </c>
      <c r="J403">
        <f t="shared" si="81"/>
        <v>2008</v>
      </c>
      <c r="K403">
        <f t="shared" si="82"/>
        <v>2</v>
      </c>
      <c r="L403">
        <f t="shared" si="83"/>
        <v>14</v>
      </c>
      <c r="M403" s="3">
        <f t="shared" ca="1" si="84"/>
        <v>46100</v>
      </c>
      <c r="N403">
        <f t="shared" ca="1" si="85"/>
        <v>6608</v>
      </c>
      <c r="O403">
        <f t="shared" ca="1" si="86"/>
        <v>6608</v>
      </c>
      <c r="P403">
        <f t="shared" ca="1" si="87"/>
        <v>4721</v>
      </c>
      <c r="Q403">
        <v>43</v>
      </c>
      <c r="R403" t="str">
        <f t="shared" si="88"/>
        <v>Old</v>
      </c>
      <c r="S403" t="s">
        <v>34</v>
      </c>
      <c r="T403">
        <v>1</v>
      </c>
      <c r="U403" t="s">
        <v>25</v>
      </c>
      <c r="V403">
        <v>3660.04</v>
      </c>
      <c r="W403" t="s">
        <v>58</v>
      </c>
      <c r="X403" t="s">
        <v>36</v>
      </c>
      <c r="Y403">
        <v>12</v>
      </c>
      <c r="Z403" t="str">
        <f t="shared" si="89"/>
        <v>Bad Employee</v>
      </c>
      <c r="AA403" t="b">
        <f t="shared" si="90"/>
        <v>0</v>
      </c>
      <c r="AB403" t="b">
        <f>OR(Y403&gt;20, T403&gt;6)</f>
        <v>0</v>
      </c>
      <c r="AC403" t="str">
        <f>IF(OR(Y403&gt;20,T403&gt;6), "Good employee", "Bad Employee")</f>
        <v>Bad Employee</v>
      </c>
      <c r="AD403" t="s">
        <v>56</v>
      </c>
      <c r="AE403" t="s">
        <v>29</v>
      </c>
      <c r="AF403">
        <v>16</v>
      </c>
      <c r="AG403">
        <v>2011</v>
      </c>
      <c r="AH403" t="s">
        <v>30</v>
      </c>
      <c r="AI403">
        <v>172</v>
      </c>
      <c r="AJ403">
        <v>3.5</v>
      </c>
    </row>
    <row r="404" spans="1:36" x14ac:dyDescent="0.25">
      <c r="A404">
        <v>10403</v>
      </c>
      <c r="B404" t="s">
        <v>50</v>
      </c>
      <c r="C404" t="s">
        <v>51</v>
      </c>
      <c r="D404" t="s">
        <v>52</v>
      </c>
      <c r="E404" t="str">
        <f t="shared" si="78"/>
        <v>Alex Brown is in Operations Department</v>
      </c>
      <c r="F404" s="6" t="str">
        <f t="shared" si="79"/>
        <v>alexbrown@gmail.com</v>
      </c>
      <c r="G404">
        <v>87003</v>
      </c>
      <c r="H404" t="str">
        <f t="shared" si="80"/>
        <v>High</v>
      </c>
      <c r="I404" s="3">
        <v>43554</v>
      </c>
      <c r="J404">
        <f t="shared" si="81"/>
        <v>2019</v>
      </c>
      <c r="K404">
        <f t="shared" si="82"/>
        <v>3</v>
      </c>
      <c r="L404">
        <f t="shared" si="83"/>
        <v>30</v>
      </c>
      <c r="M404" s="3">
        <f t="shared" ca="1" si="84"/>
        <v>46100</v>
      </c>
      <c r="N404">
        <f t="shared" ca="1" si="85"/>
        <v>2546</v>
      </c>
      <c r="O404">
        <f t="shared" ca="1" si="86"/>
        <v>2546</v>
      </c>
      <c r="P404">
        <f t="shared" ca="1" si="87"/>
        <v>1819</v>
      </c>
      <c r="Q404">
        <v>61</v>
      </c>
      <c r="R404" t="str">
        <f t="shared" si="88"/>
        <v>Old</v>
      </c>
      <c r="S404" t="s">
        <v>34</v>
      </c>
      <c r="T404">
        <v>7</v>
      </c>
      <c r="U404" t="s">
        <v>45</v>
      </c>
      <c r="V404">
        <v>5790.87</v>
      </c>
      <c r="W404" t="s">
        <v>46</v>
      </c>
      <c r="X404" t="s">
        <v>47</v>
      </c>
      <c r="Y404">
        <v>30</v>
      </c>
      <c r="Z404" t="str">
        <f t="shared" si="89"/>
        <v>Good Employee</v>
      </c>
      <c r="AA404" t="b">
        <f t="shared" si="90"/>
        <v>1</v>
      </c>
      <c r="AB404" t="b">
        <f>OR(Y404&gt;20, T404&gt;6)</f>
        <v>1</v>
      </c>
      <c r="AC404" t="str">
        <f>IF(OR(Y404&gt;20,T404&gt;6), "Good employee", "Bad Employee")</f>
        <v>Good employee</v>
      </c>
      <c r="AD404" t="s">
        <v>56</v>
      </c>
      <c r="AE404" t="s">
        <v>29</v>
      </c>
      <c r="AF404">
        <v>1</v>
      </c>
      <c r="AG404">
        <v>2011</v>
      </c>
      <c r="AH404" t="s">
        <v>30</v>
      </c>
      <c r="AI404">
        <v>86</v>
      </c>
      <c r="AJ404">
        <v>3</v>
      </c>
    </row>
    <row r="405" spans="1:36" x14ac:dyDescent="0.25">
      <c r="A405">
        <v>10404</v>
      </c>
      <c r="B405" t="s">
        <v>66</v>
      </c>
      <c r="C405" t="s">
        <v>65</v>
      </c>
      <c r="D405" t="s">
        <v>23</v>
      </c>
      <c r="E405" t="str">
        <f t="shared" si="78"/>
        <v>John Johnson is in HR Department</v>
      </c>
      <c r="F405" s="6" t="str">
        <f t="shared" si="79"/>
        <v>johnjohnson@gmail.com</v>
      </c>
      <c r="G405">
        <v>33679</v>
      </c>
      <c r="H405" t="str">
        <f t="shared" si="80"/>
        <v>extremely low</v>
      </c>
      <c r="I405" s="3">
        <v>43005</v>
      </c>
      <c r="J405">
        <f t="shared" si="81"/>
        <v>2017</v>
      </c>
      <c r="K405">
        <f t="shared" si="82"/>
        <v>9</v>
      </c>
      <c r="L405">
        <f t="shared" si="83"/>
        <v>27</v>
      </c>
      <c r="M405" s="3">
        <f t="shared" ca="1" si="84"/>
        <v>46100</v>
      </c>
      <c r="N405">
        <f t="shared" ca="1" si="85"/>
        <v>3095</v>
      </c>
      <c r="O405">
        <f t="shared" ca="1" si="86"/>
        <v>3095</v>
      </c>
      <c r="P405">
        <f t="shared" ca="1" si="87"/>
        <v>2212</v>
      </c>
      <c r="Q405">
        <v>58</v>
      </c>
      <c r="R405" t="str">
        <f t="shared" si="88"/>
        <v>Old</v>
      </c>
      <c r="S405" t="s">
        <v>34</v>
      </c>
      <c r="T405">
        <v>9</v>
      </c>
      <c r="U405" t="s">
        <v>25</v>
      </c>
      <c r="V405">
        <v>940.5</v>
      </c>
      <c r="W405" t="s">
        <v>58</v>
      </c>
      <c r="X405" t="s">
        <v>55</v>
      </c>
      <c r="Y405">
        <v>10</v>
      </c>
      <c r="Z405" t="str">
        <f t="shared" si="89"/>
        <v>Bad Employee</v>
      </c>
      <c r="AA405" t="b">
        <f t="shared" si="90"/>
        <v>0</v>
      </c>
      <c r="AB405" t="b">
        <f>OR(Y405&gt;20, T405&gt;6)</f>
        <v>1</v>
      </c>
      <c r="AC405" t="str">
        <f>IF(OR(Y405&gt;20,T405&gt;6), "Good employee", "Bad Employee")</f>
        <v>Good employee</v>
      </c>
      <c r="AD405" t="s">
        <v>41</v>
      </c>
      <c r="AE405" t="s">
        <v>37</v>
      </c>
      <c r="AF405">
        <v>4</v>
      </c>
      <c r="AG405">
        <v>2016</v>
      </c>
      <c r="AH405" t="s">
        <v>43</v>
      </c>
      <c r="AI405">
        <v>74</v>
      </c>
      <c r="AJ405">
        <v>3</v>
      </c>
    </row>
    <row r="406" spans="1:36" x14ac:dyDescent="0.25">
      <c r="A406">
        <v>10405</v>
      </c>
      <c r="B406" t="s">
        <v>53</v>
      </c>
      <c r="C406" t="s">
        <v>51</v>
      </c>
      <c r="D406" t="s">
        <v>44</v>
      </c>
      <c r="E406" t="str">
        <f t="shared" si="78"/>
        <v>Sarah Brown is in Sales Department</v>
      </c>
      <c r="F406" s="6" t="str">
        <f t="shared" si="79"/>
        <v>sarahbrown@gmail.com</v>
      </c>
      <c r="G406">
        <v>70308</v>
      </c>
      <c r="H406" t="str">
        <f t="shared" si="80"/>
        <v>Medium</v>
      </c>
      <c r="I406" s="3">
        <v>40671</v>
      </c>
      <c r="J406">
        <f t="shared" si="81"/>
        <v>2011</v>
      </c>
      <c r="K406">
        <f t="shared" si="82"/>
        <v>5</v>
      </c>
      <c r="L406">
        <f t="shared" si="83"/>
        <v>8</v>
      </c>
      <c r="M406" s="3">
        <f t="shared" ca="1" si="84"/>
        <v>46100</v>
      </c>
      <c r="N406">
        <f t="shared" ca="1" si="85"/>
        <v>5429</v>
      </c>
      <c r="O406">
        <f t="shared" ca="1" si="86"/>
        <v>5429</v>
      </c>
      <c r="P406">
        <f t="shared" ca="1" si="87"/>
        <v>3879</v>
      </c>
      <c r="Q406">
        <v>42</v>
      </c>
      <c r="R406" t="str">
        <f t="shared" si="88"/>
        <v>Old</v>
      </c>
      <c r="S406" t="s">
        <v>24</v>
      </c>
      <c r="T406">
        <v>4</v>
      </c>
      <c r="U406" t="s">
        <v>45</v>
      </c>
      <c r="V406">
        <v>9186.41</v>
      </c>
      <c r="W406" t="s">
        <v>35</v>
      </c>
      <c r="X406" t="s">
        <v>47</v>
      </c>
      <c r="Y406">
        <v>30</v>
      </c>
      <c r="Z406" t="str">
        <f t="shared" si="89"/>
        <v>Bad Employee</v>
      </c>
      <c r="AA406" t="b">
        <f t="shared" si="90"/>
        <v>0</v>
      </c>
      <c r="AB406" t="b">
        <f>OR(Y406&gt;20, T406&gt;6)</f>
        <v>1</v>
      </c>
      <c r="AC406" t="str">
        <f>IF(OR(Y406&gt;20,T406&gt;6), "Good employee", "Bad Employee")</f>
        <v>Good employee</v>
      </c>
      <c r="AD406" t="s">
        <v>41</v>
      </c>
      <c r="AE406" t="s">
        <v>48</v>
      </c>
      <c r="AF406">
        <v>15</v>
      </c>
      <c r="AG406">
        <v>2010</v>
      </c>
      <c r="AH406" t="s">
        <v>43</v>
      </c>
      <c r="AI406">
        <v>73</v>
      </c>
      <c r="AJ406">
        <v>4.7</v>
      </c>
    </row>
    <row r="407" spans="1:36" x14ac:dyDescent="0.25">
      <c r="A407">
        <v>10406</v>
      </c>
      <c r="B407" t="s">
        <v>31</v>
      </c>
      <c r="C407" t="s">
        <v>65</v>
      </c>
      <c r="D407" t="s">
        <v>54</v>
      </c>
      <c r="E407" t="str">
        <f t="shared" si="78"/>
        <v>Emily Johnson is in Finance Department</v>
      </c>
      <c r="F407" s="6" t="str">
        <f t="shared" si="79"/>
        <v>emilyjohnson@gmail.com</v>
      </c>
      <c r="G407">
        <v>105024</v>
      </c>
      <c r="H407" t="str">
        <f t="shared" si="80"/>
        <v>High</v>
      </c>
      <c r="I407" s="3">
        <v>42754</v>
      </c>
      <c r="J407">
        <f t="shared" si="81"/>
        <v>2017</v>
      </c>
      <c r="K407">
        <f t="shared" si="82"/>
        <v>1</v>
      </c>
      <c r="L407">
        <f t="shared" si="83"/>
        <v>19</v>
      </c>
      <c r="M407" s="3">
        <f t="shared" ca="1" si="84"/>
        <v>46100</v>
      </c>
      <c r="N407">
        <f t="shared" ca="1" si="85"/>
        <v>3346</v>
      </c>
      <c r="O407">
        <f t="shared" ca="1" si="86"/>
        <v>3346</v>
      </c>
      <c r="P407">
        <f t="shared" ca="1" si="87"/>
        <v>2391</v>
      </c>
      <c r="Q407">
        <v>54</v>
      </c>
      <c r="R407" t="str">
        <f t="shared" si="88"/>
        <v>Old</v>
      </c>
      <c r="S407" t="s">
        <v>24</v>
      </c>
      <c r="T407">
        <v>9</v>
      </c>
      <c r="U407" t="s">
        <v>45</v>
      </c>
      <c r="V407">
        <v>1437.41</v>
      </c>
      <c r="W407" t="s">
        <v>46</v>
      </c>
      <c r="X407" t="s">
        <v>47</v>
      </c>
      <c r="Y407">
        <v>26</v>
      </c>
      <c r="Z407" t="str">
        <f t="shared" si="89"/>
        <v>Good Employee</v>
      </c>
      <c r="AA407" t="b">
        <f t="shared" si="90"/>
        <v>1</v>
      </c>
      <c r="AB407" t="b">
        <f>OR(Y407&gt;20, T407&gt;6)</f>
        <v>1</v>
      </c>
      <c r="AC407" t="str">
        <f>IF(OR(Y407&gt;20,T407&gt;6), "Good employee", "Bad Employee")</f>
        <v>Good employee</v>
      </c>
      <c r="AD407" t="s">
        <v>28</v>
      </c>
      <c r="AE407" t="s">
        <v>62</v>
      </c>
      <c r="AF407">
        <v>10</v>
      </c>
      <c r="AG407">
        <v>2018</v>
      </c>
      <c r="AH407" t="s">
        <v>49</v>
      </c>
      <c r="AI407">
        <v>174</v>
      </c>
      <c r="AJ407">
        <v>3.1</v>
      </c>
    </row>
    <row r="408" spans="1:36" x14ac:dyDescent="0.25">
      <c r="A408">
        <v>10407</v>
      </c>
      <c r="B408" t="s">
        <v>64</v>
      </c>
      <c r="C408" t="s">
        <v>61</v>
      </c>
      <c r="D408" t="s">
        <v>54</v>
      </c>
      <c r="E408" t="str">
        <f t="shared" si="78"/>
        <v>Katie Smith is in Finance Department</v>
      </c>
      <c r="F408" s="6" t="str">
        <f t="shared" si="79"/>
        <v>katiesmith@gmail.com</v>
      </c>
      <c r="G408">
        <v>69842</v>
      </c>
      <c r="H408" t="str">
        <f t="shared" si="80"/>
        <v>Medium</v>
      </c>
      <c r="I408" s="3">
        <v>39268</v>
      </c>
      <c r="J408">
        <f t="shared" si="81"/>
        <v>2007</v>
      </c>
      <c r="K408">
        <f t="shared" si="82"/>
        <v>7</v>
      </c>
      <c r="L408">
        <f t="shared" si="83"/>
        <v>5</v>
      </c>
      <c r="M408" s="3">
        <f t="shared" ca="1" si="84"/>
        <v>46100</v>
      </c>
      <c r="N408">
        <f t="shared" ca="1" si="85"/>
        <v>6832</v>
      </c>
      <c r="O408">
        <f t="shared" ca="1" si="86"/>
        <v>6832</v>
      </c>
      <c r="P408">
        <f t="shared" ca="1" si="87"/>
        <v>4881</v>
      </c>
      <c r="Q408">
        <v>38</v>
      </c>
      <c r="R408" t="str">
        <f t="shared" si="88"/>
        <v>Old</v>
      </c>
      <c r="S408" t="s">
        <v>24</v>
      </c>
      <c r="T408">
        <v>1</v>
      </c>
      <c r="U408" t="s">
        <v>45</v>
      </c>
      <c r="V408">
        <v>3153.1</v>
      </c>
      <c r="W408" t="s">
        <v>26</v>
      </c>
      <c r="X408" t="s">
        <v>47</v>
      </c>
      <c r="Y408">
        <v>6</v>
      </c>
      <c r="Z408" t="str">
        <f t="shared" si="89"/>
        <v>Bad Employee</v>
      </c>
      <c r="AA408" t="b">
        <f t="shared" si="90"/>
        <v>0</v>
      </c>
      <c r="AB408" t="b">
        <f>OR(Y408&gt;20, T408&gt;6)</f>
        <v>0</v>
      </c>
      <c r="AC408" t="str">
        <f>IF(OR(Y408&gt;20,T408&gt;6), "Good employee", "Bad Employee")</f>
        <v>Bad Employee</v>
      </c>
      <c r="AD408" t="s">
        <v>56</v>
      </c>
      <c r="AE408" t="s">
        <v>37</v>
      </c>
      <c r="AF408">
        <v>5</v>
      </c>
      <c r="AG408">
        <v>2012</v>
      </c>
      <c r="AH408" t="s">
        <v>49</v>
      </c>
      <c r="AI408">
        <v>150</v>
      </c>
      <c r="AJ408">
        <v>3.5</v>
      </c>
    </row>
    <row r="409" spans="1:36" x14ac:dyDescent="0.25">
      <c r="A409">
        <v>10408</v>
      </c>
      <c r="B409" t="s">
        <v>53</v>
      </c>
      <c r="C409" t="s">
        <v>32</v>
      </c>
      <c r="D409" t="s">
        <v>52</v>
      </c>
      <c r="E409" t="str">
        <f t="shared" si="78"/>
        <v>Sarah Wilson is in Operations Department</v>
      </c>
      <c r="F409" s="6" t="str">
        <f t="shared" si="79"/>
        <v>sarahwilson@gmail.com</v>
      </c>
      <c r="G409">
        <v>95408</v>
      </c>
      <c r="H409" t="str">
        <f t="shared" si="80"/>
        <v>High</v>
      </c>
      <c r="I409" s="3">
        <v>42673</v>
      </c>
      <c r="J409">
        <f t="shared" si="81"/>
        <v>2016</v>
      </c>
      <c r="K409">
        <f t="shared" si="82"/>
        <v>10</v>
      </c>
      <c r="L409">
        <f t="shared" si="83"/>
        <v>30</v>
      </c>
      <c r="M409" s="3">
        <f t="shared" ca="1" si="84"/>
        <v>46100</v>
      </c>
      <c r="N409">
        <f t="shared" ca="1" si="85"/>
        <v>3427</v>
      </c>
      <c r="O409">
        <f t="shared" ca="1" si="86"/>
        <v>3427</v>
      </c>
      <c r="P409">
        <f t="shared" ca="1" si="87"/>
        <v>2449</v>
      </c>
      <c r="Q409">
        <v>50</v>
      </c>
      <c r="R409" t="str">
        <f t="shared" si="88"/>
        <v>Old</v>
      </c>
      <c r="S409" t="s">
        <v>34</v>
      </c>
      <c r="T409">
        <v>9</v>
      </c>
      <c r="U409" t="s">
        <v>25</v>
      </c>
      <c r="V409">
        <v>1538.23</v>
      </c>
      <c r="W409" t="s">
        <v>26</v>
      </c>
      <c r="X409" t="s">
        <v>47</v>
      </c>
      <c r="Y409">
        <v>27</v>
      </c>
      <c r="Z409" t="str">
        <f t="shared" si="89"/>
        <v>Good Employee</v>
      </c>
      <c r="AA409" t="b">
        <f t="shared" si="90"/>
        <v>1</v>
      </c>
      <c r="AB409" t="b">
        <f>OR(Y409&gt;20, T409&gt;6)</f>
        <v>1</v>
      </c>
      <c r="AC409" t="str">
        <f>IF(OR(Y409&gt;20,T409&gt;6), "Good employee", "Bad Employee")</f>
        <v>Good employee</v>
      </c>
      <c r="AD409" t="s">
        <v>56</v>
      </c>
      <c r="AE409" t="s">
        <v>59</v>
      </c>
      <c r="AF409">
        <v>10</v>
      </c>
      <c r="AG409">
        <v>2015</v>
      </c>
      <c r="AH409" t="s">
        <v>30</v>
      </c>
      <c r="AI409">
        <v>191</v>
      </c>
      <c r="AJ409">
        <v>2.1</v>
      </c>
    </row>
    <row r="410" spans="1:36" x14ac:dyDescent="0.25">
      <c r="A410">
        <v>10409</v>
      </c>
      <c r="B410" t="s">
        <v>31</v>
      </c>
      <c r="C410" t="s">
        <v>57</v>
      </c>
      <c r="D410" t="s">
        <v>44</v>
      </c>
      <c r="E410" t="str">
        <f t="shared" si="78"/>
        <v>Emily Davis is in Sales Department</v>
      </c>
      <c r="F410" s="6" t="str">
        <f t="shared" si="79"/>
        <v>emilydavis@gmail.com</v>
      </c>
      <c r="G410">
        <v>99532</v>
      </c>
      <c r="H410" t="str">
        <f t="shared" si="80"/>
        <v>High</v>
      </c>
      <c r="I410" s="3">
        <v>41614</v>
      </c>
      <c r="J410">
        <f t="shared" si="81"/>
        <v>2013</v>
      </c>
      <c r="K410">
        <f t="shared" si="82"/>
        <v>12</v>
      </c>
      <c r="L410">
        <f t="shared" si="83"/>
        <v>6</v>
      </c>
      <c r="M410" s="3">
        <f t="shared" ca="1" si="84"/>
        <v>46100</v>
      </c>
      <c r="N410">
        <f t="shared" ca="1" si="85"/>
        <v>4486</v>
      </c>
      <c r="O410">
        <f t="shared" ca="1" si="86"/>
        <v>4486</v>
      </c>
      <c r="P410">
        <f t="shared" ca="1" si="87"/>
        <v>3205</v>
      </c>
      <c r="Q410">
        <v>61</v>
      </c>
      <c r="R410" t="str">
        <f t="shared" si="88"/>
        <v>Old</v>
      </c>
      <c r="S410" t="s">
        <v>34</v>
      </c>
      <c r="T410">
        <v>6</v>
      </c>
      <c r="U410" t="s">
        <v>45</v>
      </c>
      <c r="V410">
        <v>2938.39</v>
      </c>
      <c r="W410" t="s">
        <v>58</v>
      </c>
      <c r="X410" t="s">
        <v>40</v>
      </c>
      <c r="Y410">
        <v>20</v>
      </c>
      <c r="Z410" t="str">
        <f t="shared" si="89"/>
        <v>Bad Employee</v>
      </c>
      <c r="AA410" t="b">
        <f t="shared" si="90"/>
        <v>0</v>
      </c>
      <c r="AB410" t="b">
        <f>OR(Y410&gt;20, T410&gt;6)</f>
        <v>0</v>
      </c>
      <c r="AC410" t="str">
        <f>IF(OR(Y410&gt;20,T410&gt;6), "Good employee", "Bad Employee")</f>
        <v>Bad Employee</v>
      </c>
      <c r="AD410" t="s">
        <v>41</v>
      </c>
      <c r="AE410" t="s">
        <v>48</v>
      </c>
      <c r="AF410">
        <v>0</v>
      </c>
      <c r="AG410">
        <v>2012</v>
      </c>
      <c r="AH410" t="s">
        <v>49</v>
      </c>
      <c r="AI410">
        <v>17</v>
      </c>
      <c r="AJ410">
        <v>4.5</v>
      </c>
    </row>
    <row r="411" spans="1:36" x14ac:dyDescent="0.25">
      <c r="A411">
        <v>10410</v>
      </c>
      <c r="B411" t="s">
        <v>64</v>
      </c>
      <c r="C411" t="s">
        <v>51</v>
      </c>
      <c r="D411" t="s">
        <v>33</v>
      </c>
      <c r="E411" t="str">
        <f t="shared" si="78"/>
        <v>Katie Brown is in Marketing Department</v>
      </c>
      <c r="F411" s="6" t="str">
        <f t="shared" si="79"/>
        <v>katiebrown@gmail.com</v>
      </c>
      <c r="G411">
        <v>83938</v>
      </c>
      <c r="H411" t="str">
        <f t="shared" si="80"/>
        <v>High</v>
      </c>
      <c r="I411" s="3">
        <v>40547</v>
      </c>
      <c r="J411">
        <f t="shared" si="81"/>
        <v>2011</v>
      </c>
      <c r="K411">
        <f t="shared" si="82"/>
        <v>1</v>
      </c>
      <c r="L411">
        <f t="shared" si="83"/>
        <v>4</v>
      </c>
      <c r="M411" s="3">
        <f t="shared" ca="1" si="84"/>
        <v>46100</v>
      </c>
      <c r="N411">
        <f t="shared" ca="1" si="85"/>
        <v>5553</v>
      </c>
      <c r="O411">
        <f t="shared" ca="1" si="86"/>
        <v>5553</v>
      </c>
      <c r="P411">
        <f t="shared" ca="1" si="87"/>
        <v>3968</v>
      </c>
      <c r="Q411">
        <v>31</v>
      </c>
      <c r="R411" t="str">
        <f t="shared" si="88"/>
        <v>Old</v>
      </c>
      <c r="S411" t="s">
        <v>24</v>
      </c>
      <c r="T411">
        <v>4</v>
      </c>
      <c r="U411" t="s">
        <v>45</v>
      </c>
      <c r="V411">
        <v>8457.9</v>
      </c>
      <c r="W411" t="s">
        <v>35</v>
      </c>
      <c r="X411" t="s">
        <v>36</v>
      </c>
      <c r="Y411">
        <v>28</v>
      </c>
      <c r="Z411" t="str">
        <f t="shared" si="89"/>
        <v>Bad Employee</v>
      </c>
      <c r="AA411" t="b">
        <f t="shared" si="90"/>
        <v>0</v>
      </c>
      <c r="AB411" t="b">
        <f>OR(Y411&gt;20, T411&gt;6)</f>
        <v>1</v>
      </c>
      <c r="AC411" t="str">
        <f>IF(OR(Y411&gt;20,T411&gt;6), "Good employee", "Bad Employee")</f>
        <v>Good employee</v>
      </c>
      <c r="AD411" t="s">
        <v>56</v>
      </c>
      <c r="AE411" t="s">
        <v>42</v>
      </c>
      <c r="AF411">
        <v>18</v>
      </c>
      <c r="AG411">
        <v>2021</v>
      </c>
      <c r="AH411" t="s">
        <v>43</v>
      </c>
      <c r="AI411">
        <v>123</v>
      </c>
      <c r="AJ411">
        <v>1.1000000000000001</v>
      </c>
    </row>
    <row r="412" spans="1:36" x14ac:dyDescent="0.25">
      <c r="A412">
        <v>10411</v>
      </c>
      <c r="B412" t="s">
        <v>50</v>
      </c>
      <c r="C412" t="s">
        <v>65</v>
      </c>
      <c r="D412" t="s">
        <v>33</v>
      </c>
      <c r="E412" t="str">
        <f t="shared" si="78"/>
        <v>Alex Johnson is in Marketing Department</v>
      </c>
      <c r="F412" s="6" t="str">
        <f t="shared" si="79"/>
        <v>alexjohnson@gmail.com</v>
      </c>
      <c r="G412">
        <v>35695</v>
      </c>
      <c r="H412" t="str">
        <f t="shared" si="80"/>
        <v>extremely low</v>
      </c>
      <c r="I412" s="3">
        <v>38890</v>
      </c>
      <c r="J412">
        <f t="shared" si="81"/>
        <v>2006</v>
      </c>
      <c r="K412">
        <f t="shared" si="82"/>
        <v>6</v>
      </c>
      <c r="L412">
        <f t="shared" si="83"/>
        <v>22</v>
      </c>
      <c r="M412" s="3">
        <f t="shared" ca="1" si="84"/>
        <v>46100</v>
      </c>
      <c r="N412">
        <f t="shared" ca="1" si="85"/>
        <v>7210</v>
      </c>
      <c r="O412">
        <f t="shared" ca="1" si="86"/>
        <v>7210</v>
      </c>
      <c r="P412">
        <f t="shared" ca="1" si="87"/>
        <v>5151</v>
      </c>
      <c r="Q412">
        <v>39</v>
      </c>
      <c r="R412" t="str">
        <f t="shared" si="88"/>
        <v>Old</v>
      </c>
      <c r="S412" t="s">
        <v>34</v>
      </c>
      <c r="T412">
        <v>5</v>
      </c>
      <c r="U412" t="s">
        <v>25</v>
      </c>
      <c r="V412">
        <v>6344.17</v>
      </c>
      <c r="W412" t="s">
        <v>46</v>
      </c>
      <c r="X412" t="s">
        <v>36</v>
      </c>
      <c r="Y412">
        <v>20</v>
      </c>
      <c r="Z412" t="str">
        <f t="shared" si="89"/>
        <v>Bad Employee</v>
      </c>
      <c r="AA412" t="b">
        <f t="shared" si="90"/>
        <v>0</v>
      </c>
      <c r="AB412" t="b">
        <f>OR(Y412&gt;20, T412&gt;6)</f>
        <v>0</v>
      </c>
      <c r="AC412" t="str">
        <f>IF(OR(Y412&gt;20,T412&gt;6), "Good employee", "Bad Employee")</f>
        <v>Bad Employee</v>
      </c>
      <c r="AD412" t="s">
        <v>56</v>
      </c>
      <c r="AE412" t="s">
        <v>29</v>
      </c>
      <c r="AF412">
        <v>2</v>
      </c>
      <c r="AG412">
        <v>2018</v>
      </c>
      <c r="AH412" t="s">
        <v>30</v>
      </c>
      <c r="AI412">
        <v>106</v>
      </c>
      <c r="AJ412">
        <v>3.2</v>
      </c>
    </row>
    <row r="413" spans="1:36" x14ac:dyDescent="0.25">
      <c r="A413">
        <v>10412</v>
      </c>
      <c r="B413" t="s">
        <v>53</v>
      </c>
      <c r="C413" t="s">
        <v>22</v>
      </c>
      <c r="D413" t="s">
        <v>52</v>
      </c>
      <c r="E413" t="str">
        <f t="shared" si="78"/>
        <v>Sarah Williams is in Operations Department</v>
      </c>
      <c r="F413" s="6" t="str">
        <f t="shared" si="79"/>
        <v>sarahwilliams@gmail.com</v>
      </c>
      <c r="G413">
        <v>88499</v>
      </c>
      <c r="H413" t="str">
        <f t="shared" si="80"/>
        <v>High</v>
      </c>
      <c r="I413" s="3">
        <v>41756</v>
      </c>
      <c r="J413">
        <f t="shared" si="81"/>
        <v>2014</v>
      </c>
      <c r="K413">
        <f t="shared" si="82"/>
        <v>4</v>
      </c>
      <c r="L413">
        <f t="shared" si="83"/>
        <v>27</v>
      </c>
      <c r="M413" s="3">
        <f t="shared" ca="1" si="84"/>
        <v>46100</v>
      </c>
      <c r="N413">
        <f t="shared" ca="1" si="85"/>
        <v>4344</v>
      </c>
      <c r="O413">
        <f t="shared" ca="1" si="86"/>
        <v>4344</v>
      </c>
      <c r="P413">
        <f t="shared" ca="1" si="87"/>
        <v>3104</v>
      </c>
      <c r="Q413">
        <v>34</v>
      </c>
      <c r="R413" t="str">
        <f t="shared" si="88"/>
        <v>Old</v>
      </c>
      <c r="S413" t="s">
        <v>24</v>
      </c>
      <c r="T413">
        <v>7</v>
      </c>
      <c r="U413" t="s">
        <v>25</v>
      </c>
      <c r="V413">
        <v>2659.57</v>
      </c>
      <c r="W413" t="s">
        <v>26</v>
      </c>
      <c r="X413" t="s">
        <v>47</v>
      </c>
      <c r="Y413">
        <v>12</v>
      </c>
      <c r="Z413" t="str">
        <f t="shared" si="89"/>
        <v>Bad Employee</v>
      </c>
      <c r="AA413" t="b">
        <f t="shared" si="90"/>
        <v>0</v>
      </c>
      <c r="AB413" t="b">
        <f>OR(Y413&gt;20, T413&gt;6)</f>
        <v>1</v>
      </c>
      <c r="AC413" t="str">
        <f>IF(OR(Y413&gt;20,T413&gt;6), "Good employee", "Bad Employee")</f>
        <v>Good employee</v>
      </c>
      <c r="AD413" t="s">
        <v>28</v>
      </c>
      <c r="AE413" t="s">
        <v>59</v>
      </c>
      <c r="AF413">
        <v>7</v>
      </c>
      <c r="AG413">
        <v>2019</v>
      </c>
      <c r="AH413" t="s">
        <v>30</v>
      </c>
      <c r="AI413">
        <v>25</v>
      </c>
      <c r="AJ413">
        <v>2.5</v>
      </c>
    </row>
    <row r="414" spans="1:36" x14ac:dyDescent="0.25">
      <c r="A414">
        <v>10413</v>
      </c>
      <c r="B414" t="s">
        <v>64</v>
      </c>
      <c r="C414" t="s">
        <v>32</v>
      </c>
      <c r="D414" t="s">
        <v>44</v>
      </c>
      <c r="E414" t="str">
        <f t="shared" si="78"/>
        <v>Katie Wilson is in Sales Department</v>
      </c>
      <c r="F414" s="6" t="str">
        <f t="shared" si="79"/>
        <v>katiewilson@gmail.com</v>
      </c>
      <c r="G414">
        <v>53382</v>
      </c>
      <c r="H414" t="str">
        <f t="shared" si="80"/>
        <v>Medium</v>
      </c>
      <c r="I414" s="3">
        <v>41979</v>
      </c>
      <c r="J414">
        <f t="shared" si="81"/>
        <v>2014</v>
      </c>
      <c r="K414">
        <f t="shared" si="82"/>
        <v>12</v>
      </c>
      <c r="L414">
        <f t="shared" si="83"/>
        <v>6</v>
      </c>
      <c r="M414" s="3">
        <f t="shared" ca="1" si="84"/>
        <v>46100</v>
      </c>
      <c r="N414">
        <f t="shared" ca="1" si="85"/>
        <v>4121</v>
      </c>
      <c r="O414">
        <f t="shared" ca="1" si="86"/>
        <v>4121</v>
      </c>
      <c r="P414">
        <f t="shared" ca="1" si="87"/>
        <v>2944</v>
      </c>
      <c r="Q414">
        <v>48</v>
      </c>
      <c r="R414" t="str">
        <f t="shared" si="88"/>
        <v>Old</v>
      </c>
      <c r="S414" t="s">
        <v>24</v>
      </c>
      <c r="T414">
        <v>4</v>
      </c>
      <c r="U414" t="s">
        <v>45</v>
      </c>
      <c r="V414">
        <v>8781.7099999999991</v>
      </c>
      <c r="W414" t="s">
        <v>46</v>
      </c>
      <c r="X414" t="s">
        <v>55</v>
      </c>
      <c r="Y414">
        <v>21</v>
      </c>
      <c r="Z414" t="str">
        <f t="shared" si="89"/>
        <v>Bad Employee</v>
      </c>
      <c r="AA414" t="b">
        <f t="shared" si="90"/>
        <v>0</v>
      </c>
      <c r="AB414" t="b">
        <f>OR(Y414&gt;20, T414&gt;6)</f>
        <v>1</v>
      </c>
      <c r="AC414" t="str">
        <f>IF(OR(Y414&gt;20,T414&gt;6), "Good employee", "Bad Employee")</f>
        <v>Good employee</v>
      </c>
      <c r="AD414" t="s">
        <v>28</v>
      </c>
      <c r="AE414" t="s">
        <v>42</v>
      </c>
      <c r="AF414">
        <v>17</v>
      </c>
      <c r="AG414">
        <v>2021</v>
      </c>
      <c r="AH414" t="s">
        <v>49</v>
      </c>
      <c r="AI414">
        <v>81</v>
      </c>
      <c r="AJ414">
        <v>3.4</v>
      </c>
    </row>
    <row r="415" spans="1:36" x14ac:dyDescent="0.25">
      <c r="A415">
        <v>10414</v>
      </c>
      <c r="B415" t="s">
        <v>66</v>
      </c>
      <c r="C415" t="s">
        <v>51</v>
      </c>
      <c r="D415" t="s">
        <v>52</v>
      </c>
      <c r="E415" t="str">
        <f t="shared" si="78"/>
        <v>John Brown is in Operations Department</v>
      </c>
      <c r="F415" s="6" t="str">
        <f t="shared" si="79"/>
        <v>johnbrown@gmail.com</v>
      </c>
      <c r="G415">
        <v>44235</v>
      </c>
      <c r="H415" t="str">
        <f t="shared" si="80"/>
        <v>low</v>
      </c>
      <c r="I415" s="3">
        <v>42496</v>
      </c>
      <c r="J415">
        <f t="shared" si="81"/>
        <v>2016</v>
      </c>
      <c r="K415">
        <f t="shared" si="82"/>
        <v>5</v>
      </c>
      <c r="L415">
        <f t="shared" si="83"/>
        <v>6</v>
      </c>
      <c r="M415" s="3">
        <f t="shared" ca="1" si="84"/>
        <v>46100</v>
      </c>
      <c r="N415">
        <f t="shared" ca="1" si="85"/>
        <v>3604</v>
      </c>
      <c r="O415">
        <f t="shared" ca="1" si="86"/>
        <v>3604</v>
      </c>
      <c r="P415">
        <f t="shared" ca="1" si="87"/>
        <v>2575</v>
      </c>
      <c r="Q415">
        <v>31</v>
      </c>
      <c r="R415" t="str">
        <f t="shared" si="88"/>
        <v>Old</v>
      </c>
      <c r="S415" t="s">
        <v>34</v>
      </c>
      <c r="T415">
        <v>8</v>
      </c>
      <c r="U415" t="s">
        <v>25</v>
      </c>
      <c r="V415">
        <v>8106.76</v>
      </c>
      <c r="W415" t="s">
        <v>46</v>
      </c>
      <c r="X415" t="s">
        <v>27</v>
      </c>
      <c r="Y415">
        <v>30</v>
      </c>
      <c r="Z415" t="str">
        <f t="shared" si="89"/>
        <v>Good Employee</v>
      </c>
      <c r="AA415" t="b">
        <f t="shared" si="90"/>
        <v>1</v>
      </c>
      <c r="AB415" t="b">
        <f>OR(Y415&gt;20, T415&gt;6)</f>
        <v>1</v>
      </c>
      <c r="AC415" t="str">
        <f>IF(OR(Y415&gt;20,T415&gt;6), "Good employee", "Bad Employee")</f>
        <v>Good employee</v>
      </c>
      <c r="AD415" t="s">
        <v>28</v>
      </c>
      <c r="AE415" t="s">
        <v>62</v>
      </c>
      <c r="AF415">
        <v>12</v>
      </c>
      <c r="AG415">
        <v>2016</v>
      </c>
      <c r="AH415" t="s">
        <v>30</v>
      </c>
      <c r="AI415">
        <v>86</v>
      </c>
      <c r="AJ415">
        <v>2.4</v>
      </c>
    </row>
    <row r="416" spans="1:36" x14ac:dyDescent="0.25">
      <c r="A416">
        <v>10415</v>
      </c>
      <c r="B416" t="s">
        <v>50</v>
      </c>
      <c r="C416" t="s">
        <v>63</v>
      </c>
      <c r="D416" t="s">
        <v>44</v>
      </c>
      <c r="E416" t="str">
        <f t="shared" si="78"/>
        <v>Alex Miller is in Sales Department</v>
      </c>
      <c r="F416" s="6" t="str">
        <f t="shared" si="79"/>
        <v>alexmiller@gmail.com</v>
      </c>
      <c r="G416">
        <v>92223</v>
      </c>
      <c r="H416" t="str">
        <f t="shared" si="80"/>
        <v>High</v>
      </c>
      <c r="I416" s="3">
        <v>37288</v>
      </c>
      <c r="J416">
        <f t="shared" si="81"/>
        <v>2002</v>
      </c>
      <c r="K416">
        <f t="shared" si="82"/>
        <v>2</v>
      </c>
      <c r="L416">
        <f t="shared" si="83"/>
        <v>1</v>
      </c>
      <c r="M416" s="3">
        <f t="shared" ca="1" si="84"/>
        <v>46100</v>
      </c>
      <c r="N416">
        <f t="shared" ca="1" si="85"/>
        <v>8812</v>
      </c>
      <c r="O416">
        <f t="shared" ca="1" si="86"/>
        <v>8812</v>
      </c>
      <c r="P416">
        <f t="shared" ca="1" si="87"/>
        <v>6295</v>
      </c>
      <c r="Q416">
        <v>53</v>
      </c>
      <c r="R416" t="str">
        <f t="shared" si="88"/>
        <v>Old</v>
      </c>
      <c r="S416" t="s">
        <v>24</v>
      </c>
      <c r="T416">
        <v>3</v>
      </c>
      <c r="U416" t="s">
        <v>25</v>
      </c>
      <c r="V416">
        <v>7659.67</v>
      </c>
      <c r="W416" t="s">
        <v>46</v>
      </c>
      <c r="X416" t="s">
        <v>47</v>
      </c>
      <c r="Y416">
        <v>10</v>
      </c>
      <c r="Z416" t="str">
        <f t="shared" si="89"/>
        <v>Bad Employee</v>
      </c>
      <c r="AA416" t="b">
        <f t="shared" si="90"/>
        <v>0</v>
      </c>
      <c r="AB416" t="b">
        <f>OR(Y416&gt;20, T416&gt;6)</f>
        <v>0</v>
      </c>
      <c r="AC416" t="str">
        <f>IF(OR(Y416&gt;20,T416&gt;6), "Good employee", "Bad Employee")</f>
        <v>Bad Employee</v>
      </c>
      <c r="AD416" t="s">
        <v>56</v>
      </c>
      <c r="AE416" t="s">
        <v>59</v>
      </c>
      <c r="AF416">
        <v>0</v>
      </c>
      <c r="AG416">
        <v>2010</v>
      </c>
      <c r="AH416" t="s">
        <v>30</v>
      </c>
      <c r="AI416">
        <v>81</v>
      </c>
      <c r="AJ416">
        <v>3.9</v>
      </c>
    </row>
    <row r="417" spans="1:36" x14ac:dyDescent="0.25">
      <c r="A417">
        <v>10416</v>
      </c>
      <c r="B417" t="s">
        <v>66</v>
      </c>
      <c r="C417" t="s">
        <v>61</v>
      </c>
      <c r="D417" t="s">
        <v>23</v>
      </c>
      <c r="E417" t="str">
        <f t="shared" si="78"/>
        <v>John Smith is in HR Department</v>
      </c>
      <c r="F417" s="6" t="str">
        <f t="shared" si="79"/>
        <v>johnsmith@gmail.com</v>
      </c>
      <c r="G417">
        <v>32366</v>
      </c>
      <c r="H417" t="str">
        <f t="shared" si="80"/>
        <v>extremely low</v>
      </c>
      <c r="I417" s="3">
        <v>43281</v>
      </c>
      <c r="J417">
        <f t="shared" si="81"/>
        <v>2018</v>
      </c>
      <c r="K417">
        <f t="shared" si="82"/>
        <v>6</v>
      </c>
      <c r="L417">
        <f t="shared" si="83"/>
        <v>30</v>
      </c>
      <c r="M417" s="3">
        <f t="shared" ca="1" si="84"/>
        <v>46100</v>
      </c>
      <c r="N417">
        <f t="shared" ca="1" si="85"/>
        <v>2819</v>
      </c>
      <c r="O417">
        <f t="shared" ca="1" si="86"/>
        <v>2819</v>
      </c>
      <c r="P417">
        <f t="shared" ca="1" si="87"/>
        <v>2014</v>
      </c>
      <c r="Q417">
        <v>62</v>
      </c>
      <c r="R417" t="str">
        <f t="shared" si="88"/>
        <v>Old</v>
      </c>
      <c r="S417" t="s">
        <v>34</v>
      </c>
      <c r="T417">
        <v>2</v>
      </c>
      <c r="U417" t="s">
        <v>25</v>
      </c>
      <c r="V417">
        <v>8552.51</v>
      </c>
      <c r="W417" t="s">
        <v>46</v>
      </c>
      <c r="X417" t="s">
        <v>47</v>
      </c>
      <c r="Y417">
        <v>5</v>
      </c>
      <c r="Z417" t="str">
        <f t="shared" si="89"/>
        <v>Bad Employee</v>
      </c>
      <c r="AA417" t="b">
        <f t="shared" si="90"/>
        <v>0</v>
      </c>
      <c r="AB417" t="b">
        <f>OR(Y417&gt;20, T417&gt;6)</f>
        <v>0</v>
      </c>
      <c r="AC417" t="str">
        <f>IF(OR(Y417&gt;20,T417&gt;6), "Good employee", "Bad Employee")</f>
        <v>Bad Employee</v>
      </c>
      <c r="AD417" t="s">
        <v>56</v>
      </c>
      <c r="AE417" t="s">
        <v>48</v>
      </c>
      <c r="AF417">
        <v>19</v>
      </c>
      <c r="AG417">
        <v>2013</v>
      </c>
      <c r="AH417" t="s">
        <v>30</v>
      </c>
      <c r="AI417">
        <v>193</v>
      </c>
      <c r="AJ417">
        <v>1.1000000000000001</v>
      </c>
    </row>
    <row r="418" spans="1:36" x14ac:dyDescent="0.25">
      <c r="A418">
        <v>10417</v>
      </c>
      <c r="B418" t="s">
        <v>38</v>
      </c>
      <c r="C418" t="s">
        <v>61</v>
      </c>
      <c r="D418" t="s">
        <v>52</v>
      </c>
      <c r="E418" t="str">
        <f t="shared" si="78"/>
        <v>Chris Smith is in Operations Department</v>
      </c>
      <c r="F418" s="6" t="str">
        <f t="shared" si="79"/>
        <v>chrissmith@gmail.com</v>
      </c>
      <c r="G418">
        <v>57467</v>
      </c>
      <c r="H418" t="str">
        <f t="shared" si="80"/>
        <v>Medium</v>
      </c>
      <c r="I418" s="3">
        <v>40588</v>
      </c>
      <c r="J418">
        <f t="shared" si="81"/>
        <v>2011</v>
      </c>
      <c r="K418">
        <f t="shared" si="82"/>
        <v>2</v>
      </c>
      <c r="L418">
        <f t="shared" si="83"/>
        <v>14</v>
      </c>
      <c r="M418" s="3">
        <f t="shared" ca="1" si="84"/>
        <v>46100</v>
      </c>
      <c r="N418">
        <f t="shared" ca="1" si="85"/>
        <v>5512</v>
      </c>
      <c r="O418">
        <f t="shared" ca="1" si="86"/>
        <v>5512</v>
      </c>
      <c r="P418">
        <f t="shared" ca="1" si="87"/>
        <v>3939</v>
      </c>
      <c r="Q418">
        <v>24</v>
      </c>
      <c r="R418" t="str">
        <f t="shared" si="88"/>
        <v>Young</v>
      </c>
      <c r="S418" t="s">
        <v>34</v>
      </c>
      <c r="T418">
        <v>1</v>
      </c>
      <c r="U418" t="s">
        <v>25</v>
      </c>
      <c r="V418">
        <v>6386.67</v>
      </c>
      <c r="W418" t="s">
        <v>58</v>
      </c>
      <c r="X418" t="s">
        <v>55</v>
      </c>
      <c r="Y418">
        <v>37</v>
      </c>
      <c r="Z418" t="str">
        <f t="shared" si="89"/>
        <v>Bad Employee</v>
      </c>
      <c r="AA418" t="b">
        <f t="shared" si="90"/>
        <v>0</v>
      </c>
      <c r="AB418" t="b">
        <f>OR(Y418&gt;20, T418&gt;6)</f>
        <v>1</v>
      </c>
      <c r="AC418" t="str">
        <f>IF(OR(Y418&gt;20,T418&gt;6), "Good employee", "Bad Employee")</f>
        <v>Good employee</v>
      </c>
      <c r="AD418" t="s">
        <v>28</v>
      </c>
      <c r="AE418" t="s">
        <v>37</v>
      </c>
      <c r="AF418">
        <v>16</v>
      </c>
      <c r="AG418">
        <v>2023</v>
      </c>
      <c r="AH418" t="s">
        <v>43</v>
      </c>
      <c r="AI418">
        <v>103</v>
      </c>
      <c r="AJ418">
        <v>2.6</v>
      </c>
    </row>
    <row r="419" spans="1:36" x14ac:dyDescent="0.25">
      <c r="A419">
        <v>10418</v>
      </c>
      <c r="B419" t="s">
        <v>60</v>
      </c>
      <c r="C419" t="s">
        <v>22</v>
      </c>
      <c r="D419" t="s">
        <v>44</v>
      </c>
      <c r="E419" t="str">
        <f t="shared" si="78"/>
        <v>Jane Williams is in Sales Department</v>
      </c>
      <c r="F419" s="6" t="str">
        <f t="shared" si="79"/>
        <v>janewilliams@gmail.com</v>
      </c>
      <c r="G419">
        <v>89316</v>
      </c>
      <c r="H419" t="str">
        <f t="shared" si="80"/>
        <v>High</v>
      </c>
      <c r="I419" s="3">
        <v>37530</v>
      </c>
      <c r="J419">
        <f t="shared" si="81"/>
        <v>2002</v>
      </c>
      <c r="K419">
        <f t="shared" si="82"/>
        <v>10</v>
      </c>
      <c r="L419">
        <f t="shared" si="83"/>
        <v>1</v>
      </c>
      <c r="M419" s="3">
        <f t="shared" ca="1" si="84"/>
        <v>46100</v>
      </c>
      <c r="N419">
        <f t="shared" ca="1" si="85"/>
        <v>8570</v>
      </c>
      <c r="O419">
        <f t="shared" ca="1" si="86"/>
        <v>8570</v>
      </c>
      <c r="P419">
        <f t="shared" ca="1" si="87"/>
        <v>6123</v>
      </c>
      <c r="Q419">
        <v>43</v>
      </c>
      <c r="R419" t="str">
        <f t="shared" si="88"/>
        <v>Old</v>
      </c>
      <c r="S419" t="s">
        <v>24</v>
      </c>
      <c r="T419">
        <v>6</v>
      </c>
      <c r="U419" t="s">
        <v>45</v>
      </c>
      <c r="V419">
        <v>5263.65</v>
      </c>
      <c r="W419" t="s">
        <v>46</v>
      </c>
      <c r="X419" t="s">
        <v>40</v>
      </c>
      <c r="Y419">
        <v>8</v>
      </c>
      <c r="Z419" t="str">
        <f t="shared" si="89"/>
        <v>Bad Employee</v>
      </c>
      <c r="AA419" t="b">
        <f t="shared" si="90"/>
        <v>0</v>
      </c>
      <c r="AB419" t="b">
        <f>OR(Y419&gt;20, T419&gt;6)</f>
        <v>0</v>
      </c>
      <c r="AC419" t="str">
        <f>IF(OR(Y419&gt;20,T419&gt;6), "Good employee", "Bad Employee")</f>
        <v>Bad Employee</v>
      </c>
      <c r="AD419" t="s">
        <v>28</v>
      </c>
      <c r="AE419" t="s">
        <v>42</v>
      </c>
      <c r="AF419">
        <v>4</v>
      </c>
      <c r="AG419">
        <v>2014</v>
      </c>
      <c r="AH419" t="s">
        <v>30</v>
      </c>
      <c r="AI419">
        <v>170</v>
      </c>
      <c r="AJ419">
        <v>4.3</v>
      </c>
    </row>
    <row r="420" spans="1:36" x14ac:dyDescent="0.25">
      <c r="A420">
        <v>10419</v>
      </c>
      <c r="B420" t="s">
        <v>53</v>
      </c>
      <c r="C420" t="s">
        <v>65</v>
      </c>
      <c r="D420" t="s">
        <v>33</v>
      </c>
      <c r="E420" t="str">
        <f t="shared" si="78"/>
        <v>Sarah Johnson is in Marketing Department</v>
      </c>
      <c r="F420" s="6" t="str">
        <f t="shared" si="79"/>
        <v>sarahjohnson@gmail.com</v>
      </c>
      <c r="G420">
        <v>36764</v>
      </c>
      <c r="H420" t="str">
        <f t="shared" si="80"/>
        <v>extremely low</v>
      </c>
      <c r="I420" s="3">
        <v>43583</v>
      </c>
      <c r="J420">
        <f t="shared" si="81"/>
        <v>2019</v>
      </c>
      <c r="K420">
        <f t="shared" si="82"/>
        <v>4</v>
      </c>
      <c r="L420">
        <f t="shared" si="83"/>
        <v>28</v>
      </c>
      <c r="M420" s="3">
        <f t="shared" ca="1" si="84"/>
        <v>46100</v>
      </c>
      <c r="N420">
        <f t="shared" ca="1" si="85"/>
        <v>2517</v>
      </c>
      <c r="O420">
        <f t="shared" ca="1" si="86"/>
        <v>2517</v>
      </c>
      <c r="P420">
        <f t="shared" ca="1" si="87"/>
        <v>1799</v>
      </c>
      <c r="Q420">
        <v>48</v>
      </c>
      <c r="R420" t="str">
        <f t="shared" si="88"/>
        <v>Old</v>
      </c>
      <c r="S420" t="s">
        <v>24</v>
      </c>
      <c r="T420">
        <v>2</v>
      </c>
      <c r="U420" t="s">
        <v>25</v>
      </c>
      <c r="V420">
        <v>4052.38</v>
      </c>
      <c r="W420" t="s">
        <v>26</v>
      </c>
      <c r="X420" t="s">
        <v>47</v>
      </c>
      <c r="Y420">
        <v>30</v>
      </c>
      <c r="Z420" t="str">
        <f t="shared" si="89"/>
        <v>Bad Employee</v>
      </c>
      <c r="AA420" t="b">
        <f t="shared" si="90"/>
        <v>0</v>
      </c>
      <c r="AB420" t="b">
        <f>OR(Y420&gt;20, T420&gt;6)</f>
        <v>1</v>
      </c>
      <c r="AC420" t="str">
        <f>IF(OR(Y420&gt;20,T420&gt;6), "Good employee", "Bad Employee")</f>
        <v>Good employee</v>
      </c>
      <c r="AD420" t="s">
        <v>56</v>
      </c>
      <c r="AE420" t="s">
        <v>59</v>
      </c>
      <c r="AF420">
        <v>11</v>
      </c>
      <c r="AG420">
        <v>2016</v>
      </c>
      <c r="AH420" t="s">
        <v>43</v>
      </c>
      <c r="AI420">
        <v>172</v>
      </c>
      <c r="AJ420">
        <v>2</v>
      </c>
    </row>
    <row r="421" spans="1:36" x14ac:dyDescent="0.25">
      <c r="A421">
        <v>10420</v>
      </c>
      <c r="B421" t="s">
        <v>64</v>
      </c>
      <c r="C421" t="s">
        <v>51</v>
      </c>
      <c r="D421" t="s">
        <v>44</v>
      </c>
      <c r="E421" t="str">
        <f t="shared" si="78"/>
        <v>Katie Brown is in Sales Department</v>
      </c>
      <c r="F421" s="6" t="str">
        <f t="shared" si="79"/>
        <v>katiebrown@gmail.com</v>
      </c>
      <c r="G421">
        <v>91836</v>
      </c>
      <c r="H421" t="str">
        <f t="shared" si="80"/>
        <v>High</v>
      </c>
      <c r="I421" s="3">
        <v>40281</v>
      </c>
      <c r="J421">
        <f t="shared" si="81"/>
        <v>2010</v>
      </c>
      <c r="K421">
        <f t="shared" si="82"/>
        <v>4</v>
      </c>
      <c r="L421">
        <f t="shared" si="83"/>
        <v>13</v>
      </c>
      <c r="M421" s="3">
        <f t="shared" ca="1" si="84"/>
        <v>46100</v>
      </c>
      <c r="N421">
        <f t="shared" ca="1" si="85"/>
        <v>5819</v>
      </c>
      <c r="O421">
        <f t="shared" ca="1" si="86"/>
        <v>5819</v>
      </c>
      <c r="P421">
        <f t="shared" ca="1" si="87"/>
        <v>4158</v>
      </c>
      <c r="Q421">
        <v>24</v>
      </c>
      <c r="R421" t="str">
        <f t="shared" si="88"/>
        <v>Young</v>
      </c>
      <c r="S421" t="s">
        <v>34</v>
      </c>
      <c r="T421">
        <v>8</v>
      </c>
      <c r="U421" t="s">
        <v>45</v>
      </c>
      <c r="V421">
        <v>2625.76</v>
      </c>
      <c r="W421" t="s">
        <v>26</v>
      </c>
      <c r="X421" t="s">
        <v>55</v>
      </c>
      <c r="Y421">
        <v>17</v>
      </c>
      <c r="Z421" t="str">
        <f t="shared" si="89"/>
        <v>Bad Employee</v>
      </c>
      <c r="AA421" t="b">
        <f t="shared" si="90"/>
        <v>0</v>
      </c>
      <c r="AB421" t="b">
        <f>OR(Y421&gt;20, T421&gt;6)</f>
        <v>1</v>
      </c>
      <c r="AC421" t="str">
        <f>IF(OR(Y421&gt;20,T421&gt;6), "Good employee", "Bad Employee")</f>
        <v>Good employee</v>
      </c>
      <c r="AD421" t="s">
        <v>56</v>
      </c>
      <c r="AE421" t="s">
        <v>37</v>
      </c>
      <c r="AF421">
        <v>10</v>
      </c>
      <c r="AG421">
        <v>2016</v>
      </c>
      <c r="AH421" t="s">
        <v>30</v>
      </c>
      <c r="AI421">
        <v>159</v>
      </c>
      <c r="AJ421">
        <v>1.2</v>
      </c>
    </row>
    <row r="422" spans="1:36" x14ac:dyDescent="0.25">
      <c r="A422">
        <v>10421</v>
      </c>
      <c r="B422" t="s">
        <v>60</v>
      </c>
      <c r="C422" t="s">
        <v>32</v>
      </c>
      <c r="D422" t="s">
        <v>44</v>
      </c>
      <c r="E422" t="str">
        <f t="shared" si="78"/>
        <v>Jane Wilson is in Sales Department</v>
      </c>
      <c r="F422" s="6" t="str">
        <f t="shared" si="79"/>
        <v>janewilson@gmail.com</v>
      </c>
      <c r="G422">
        <v>61923</v>
      </c>
      <c r="H422" t="str">
        <f t="shared" si="80"/>
        <v>Medium</v>
      </c>
      <c r="I422" s="3">
        <v>39372</v>
      </c>
      <c r="J422">
        <f t="shared" si="81"/>
        <v>2007</v>
      </c>
      <c r="K422">
        <f t="shared" si="82"/>
        <v>10</v>
      </c>
      <c r="L422">
        <f t="shared" si="83"/>
        <v>17</v>
      </c>
      <c r="M422" s="3">
        <f t="shared" ca="1" si="84"/>
        <v>46100</v>
      </c>
      <c r="N422">
        <f t="shared" ca="1" si="85"/>
        <v>6728</v>
      </c>
      <c r="O422">
        <f t="shared" ca="1" si="86"/>
        <v>6728</v>
      </c>
      <c r="P422">
        <f t="shared" ca="1" si="87"/>
        <v>4807</v>
      </c>
      <c r="Q422">
        <v>54</v>
      </c>
      <c r="R422" t="str">
        <f t="shared" si="88"/>
        <v>Old</v>
      </c>
      <c r="S422" t="s">
        <v>24</v>
      </c>
      <c r="T422">
        <v>4</v>
      </c>
      <c r="U422" t="s">
        <v>25</v>
      </c>
      <c r="V422">
        <v>5795.41</v>
      </c>
      <c r="W422" t="s">
        <v>58</v>
      </c>
      <c r="X422" t="s">
        <v>40</v>
      </c>
      <c r="Y422">
        <v>3</v>
      </c>
      <c r="Z422" t="str">
        <f t="shared" si="89"/>
        <v>Bad Employee</v>
      </c>
      <c r="AA422" t="b">
        <f t="shared" si="90"/>
        <v>0</v>
      </c>
      <c r="AB422" t="b">
        <f>OR(Y422&gt;20, T422&gt;6)</f>
        <v>0</v>
      </c>
      <c r="AC422" t="str">
        <f>IF(OR(Y422&gt;20,T422&gt;6), "Good employee", "Bad Employee")</f>
        <v>Bad Employee</v>
      </c>
      <c r="AD422" t="s">
        <v>41</v>
      </c>
      <c r="AE422" t="s">
        <v>37</v>
      </c>
      <c r="AF422">
        <v>17</v>
      </c>
      <c r="AG422">
        <v>2014</v>
      </c>
      <c r="AH422" t="s">
        <v>49</v>
      </c>
      <c r="AI422">
        <v>190</v>
      </c>
      <c r="AJ422">
        <v>3</v>
      </c>
    </row>
    <row r="423" spans="1:36" x14ac:dyDescent="0.25">
      <c r="A423">
        <v>10422</v>
      </c>
      <c r="B423" t="s">
        <v>60</v>
      </c>
      <c r="C423" t="s">
        <v>65</v>
      </c>
      <c r="D423" t="s">
        <v>52</v>
      </c>
      <c r="E423" t="str">
        <f t="shared" si="78"/>
        <v>Jane Johnson is in Operations Department</v>
      </c>
      <c r="F423" s="6" t="str">
        <f t="shared" si="79"/>
        <v>janejohnson@gmail.com</v>
      </c>
      <c r="G423">
        <v>46292</v>
      </c>
      <c r="H423" t="str">
        <f t="shared" si="80"/>
        <v>low</v>
      </c>
      <c r="I423" s="3">
        <v>42788</v>
      </c>
      <c r="J423">
        <f t="shared" si="81"/>
        <v>2017</v>
      </c>
      <c r="K423">
        <f t="shared" si="82"/>
        <v>2</v>
      </c>
      <c r="L423">
        <f t="shared" si="83"/>
        <v>22</v>
      </c>
      <c r="M423" s="3">
        <f t="shared" ca="1" si="84"/>
        <v>46100</v>
      </c>
      <c r="N423">
        <f t="shared" ca="1" si="85"/>
        <v>3312</v>
      </c>
      <c r="O423">
        <f t="shared" ca="1" si="86"/>
        <v>3312</v>
      </c>
      <c r="P423">
        <f t="shared" ca="1" si="87"/>
        <v>2367</v>
      </c>
      <c r="Q423">
        <v>23</v>
      </c>
      <c r="R423" t="str">
        <f t="shared" si="88"/>
        <v>Young</v>
      </c>
      <c r="S423" t="s">
        <v>34</v>
      </c>
      <c r="T423">
        <v>9</v>
      </c>
      <c r="U423" t="s">
        <v>25</v>
      </c>
      <c r="V423">
        <v>8950.18</v>
      </c>
      <c r="W423" t="s">
        <v>26</v>
      </c>
      <c r="X423" t="s">
        <v>40</v>
      </c>
      <c r="Y423">
        <v>21</v>
      </c>
      <c r="Z423" t="str">
        <f t="shared" si="89"/>
        <v>Good Employee</v>
      </c>
      <c r="AA423" t="b">
        <f t="shared" si="90"/>
        <v>1</v>
      </c>
      <c r="AB423" t="b">
        <f>OR(Y423&gt;20, T423&gt;6)</f>
        <v>1</v>
      </c>
      <c r="AC423" t="str">
        <f>IF(OR(Y423&gt;20,T423&gt;6), "Good employee", "Bad Employee")</f>
        <v>Good employee</v>
      </c>
      <c r="AD423" t="s">
        <v>28</v>
      </c>
      <c r="AE423" t="s">
        <v>37</v>
      </c>
      <c r="AF423">
        <v>7</v>
      </c>
      <c r="AG423">
        <v>2021</v>
      </c>
      <c r="AH423" t="s">
        <v>49</v>
      </c>
      <c r="AI423">
        <v>198</v>
      </c>
      <c r="AJ423">
        <v>4.9000000000000004</v>
      </c>
    </row>
    <row r="424" spans="1:36" x14ac:dyDescent="0.25">
      <c r="A424">
        <v>10423</v>
      </c>
      <c r="B424" t="s">
        <v>64</v>
      </c>
      <c r="C424" t="s">
        <v>61</v>
      </c>
      <c r="D424" t="s">
        <v>23</v>
      </c>
      <c r="E424" t="str">
        <f t="shared" si="78"/>
        <v>Katie Smith is in HR Department</v>
      </c>
      <c r="F424" s="6" t="str">
        <f t="shared" si="79"/>
        <v>katiesmith@gmail.com</v>
      </c>
      <c r="G424">
        <v>31614</v>
      </c>
      <c r="H424" t="str">
        <f t="shared" si="80"/>
        <v>extremely low</v>
      </c>
      <c r="I424" s="3">
        <v>36875</v>
      </c>
      <c r="J424">
        <f t="shared" si="81"/>
        <v>2000</v>
      </c>
      <c r="K424">
        <f t="shared" si="82"/>
        <v>12</v>
      </c>
      <c r="L424">
        <f t="shared" si="83"/>
        <v>15</v>
      </c>
      <c r="M424" s="3">
        <f t="shared" ca="1" si="84"/>
        <v>46100</v>
      </c>
      <c r="N424">
        <f t="shared" ca="1" si="85"/>
        <v>9225</v>
      </c>
      <c r="O424">
        <f t="shared" ca="1" si="86"/>
        <v>9225</v>
      </c>
      <c r="P424">
        <f t="shared" ca="1" si="87"/>
        <v>6590</v>
      </c>
      <c r="Q424">
        <v>32</v>
      </c>
      <c r="R424" t="str">
        <f t="shared" si="88"/>
        <v>Old</v>
      </c>
      <c r="S424" t="s">
        <v>24</v>
      </c>
      <c r="T424">
        <v>4</v>
      </c>
      <c r="U424" t="s">
        <v>45</v>
      </c>
      <c r="V424">
        <v>6142.83</v>
      </c>
      <c r="W424" t="s">
        <v>46</v>
      </c>
      <c r="X424" t="s">
        <v>47</v>
      </c>
      <c r="Y424">
        <v>16</v>
      </c>
      <c r="Z424" t="str">
        <f t="shared" si="89"/>
        <v>Bad Employee</v>
      </c>
      <c r="AA424" t="b">
        <f t="shared" si="90"/>
        <v>0</v>
      </c>
      <c r="AB424" t="b">
        <f>OR(Y424&gt;20, T424&gt;6)</f>
        <v>0</v>
      </c>
      <c r="AC424" t="str">
        <f>IF(OR(Y424&gt;20,T424&gt;6), "Good employee", "Bad Employee")</f>
        <v>Bad Employee</v>
      </c>
      <c r="AD424" t="s">
        <v>28</v>
      </c>
      <c r="AE424" t="s">
        <v>48</v>
      </c>
      <c r="AF424">
        <v>12</v>
      </c>
      <c r="AG424">
        <v>2010</v>
      </c>
      <c r="AH424" t="s">
        <v>30</v>
      </c>
      <c r="AI424">
        <v>47</v>
      </c>
      <c r="AJ424">
        <v>1.3</v>
      </c>
    </row>
    <row r="425" spans="1:36" x14ac:dyDescent="0.25">
      <c r="A425">
        <v>10424</v>
      </c>
      <c r="B425" t="s">
        <v>50</v>
      </c>
      <c r="C425" t="s">
        <v>65</v>
      </c>
      <c r="D425" t="s">
        <v>23</v>
      </c>
      <c r="E425" t="str">
        <f t="shared" si="78"/>
        <v>Alex Johnson is in HR Department</v>
      </c>
      <c r="F425" s="6" t="str">
        <f t="shared" si="79"/>
        <v>alexjohnson@gmail.com</v>
      </c>
      <c r="G425">
        <v>50939</v>
      </c>
      <c r="H425" t="str">
        <f t="shared" si="80"/>
        <v>Medium</v>
      </c>
      <c r="I425" s="3">
        <v>39490</v>
      </c>
      <c r="J425">
        <f t="shared" si="81"/>
        <v>2008</v>
      </c>
      <c r="K425">
        <f t="shared" si="82"/>
        <v>2</v>
      </c>
      <c r="L425">
        <f t="shared" si="83"/>
        <v>12</v>
      </c>
      <c r="M425" s="3">
        <f t="shared" ca="1" si="84"/>
        <v>46100</v>
      </c>
      <c r="N425">
        <f t="shared" ca="1" si="85"/>
        <v>6610</v>
      </c>
      <c r="O425">
        <f t="shared" ca="1" si="86"/>
        <v>6610</v>
      </c>
      <c r="P425">
        <f t="shared" ca="1" si="87"/>
        <v>4723</v>
      </c>
      <c r="Q425">
        <v>31</v>
      </c>
      <c r="R425" t="str">
        <f t="shared" si="88"/>
        <v>Old</v>
      </c>
      <c r="S425" t="s">
        <v>34</v>
      </c>
      <c r="T425">
        <v>4</v>
      </c>
      <c r="U425" t="s">
        <v>25</v>
      </c>
      <c r="V425">
        <v>9236.27</v>
      </c>
      <c r="W425" t="s">
        <v>26</v>
      </c>
      <c r="X425" t="s">
        <v>40</v>
      </c>
      <c r="Y425">
        <v>32</v>
      </c>
      <c r="Z425" t="str">
        <f t="shared" si="89"/>
        <v>Bad Employee</v>
      </c>
      <c r="AA425" t="b">
        <f t="shared" si="90"/>
        <v>0</v>
      </c>
      <c r="AB425" t="b">
        <f>OR(Y425&gt;20, T425&gt;6)</f>
        <v>1</v>
      </c>
      <c r="AC425" t="str">
        <f>IF(OR(Y425&gt;20,T425&gt;6), "Good employee", "Bad Employee")</f>
        <v>Good employee</v>
      </c>
      <c r="AD425" t="s">
        <v>28</v>
      </c>
      <c r="AE425" t="s">
        <v>29</v>
      </c>
      <c r="AF425">
        <v>1</v>
      </c>
      <c r="AG425">
        <v>2014</v>
      </c>
      <c r="AH425" t="s">
        <v>49</v>
      </c>
      <c r="AI425">
        <v>126</v>
      </c>
      <c r="AJ425">
        <v>1.3</v>
      </c>
    </row>
    <row r="426" spans="1:36" x14ac:dyDescent="0.25">
      <c r="A426">
        <v>10425</v>
      </c>
      <c r="B426" t="s">
        <v>53</v>
      </c>
      <c r="C426" t="s">
        <v>61</v>
      </c>
      <c r="D426" t="s">
        <v>23</v>
      </c>
      <c r="E426" t="str">
        <f t="shared" si="78"/>
        <v>Sarah Smith is in HR Department</v>
      </c>
      <c r="F426" s="6" t="str">
        <f t="shared" si="79"/>
        <v>sarahsmith@gmail.com</v>
      </c>
      <c r="G426">
        <v>48800</v>
      </c>
      <c r="H426" t="str">
        <f t="shared" si="80"/>
        <v>low</v>
      </c>
      <c r="I426" s="3">
        <v>37212</v>
      </c>
      <c r="J426">
        <f t="shared" si="81"/>
        <v>2001</v>
      </c>
      <c r="K426">
        <f t="shared" si="82"/>
        <v>11</v>
      </c>
      <c r="L426">
        <f t="shared" si="83"/>
        <v>17</v>
      </c>
      <c r="M426" s="3">
        <f t="shared" ca="1" si="84"/>
        <v>46100</v>
      </c>
      <c r="N426">
        <f t="shared" ca="1" si="85"/>
        <v>8888</v>
      </c>
      <c r="O426">
        <f t="shared" ca="1" si="86"/>
        <v>8888</v>
      </c>
      <c r="P426">
        <f t="shared" ca="1" si="87"/>
        <v>6349</v>
      </c>
      <c r="Q426">
        <v>60</v>
      </c>
      <c r="R426" t="str">
        <f t="shared" si="88"/>
        <v>Old</v>
      </c>
      <c r="S426" t="s">
        <v>34</v>
      </c>
      <c r="T426">
        <v>8</v>
      </c>
      <c r="U426" t="s">
        <v>25</v>
      </c>
      <c r="V426">
        <v>3890.72</v>
      </c>
      <c r="W426" t="s">
        <v>35</v>
      </c>
      <c r="X426" t="s">
        <v>47</v>
      </c>
      <c r="Y426">
        <v>27</v>
      </c>
      <c r="Z426" t="str">
        <f t="shared" si="89"/>
        <v>Good Employee</v>
      </c>
      <c r="AA426" t="b">
        <f t="shared" si="90"/>
        <v>1</v>
      </c>
      <c r="AB426" t="b">
        <f>OR(Y426&gt;20, T426&gt;6)</f>
        <v>1</v>
      </c>
      <c r="AC426" t="str">
        <f>IF(OR(Y426&gt;20,T426&gt;6), "Good employee", "Bad Employee")</f>
        <v>Good employee</v>
      </c>
      <c r="AD426" t="s">
        <v>56</v>
      </c>
      <c r="AE426" t="s">
        <v>59</v>
      </c>
      <c r="AF426">
        <v>15</v>
      </c>
      <c r="AG426">
        <v>2014</v>
      </c>
      <c r="AH426" t="s">
        <v>43</v>
      </c>
      <c r="AI426">
        <v>128</v>
      </c>
      <c r="AJ426">
        <v>3.4</v>
      </c>
    </row>
    <row r="427" spans="1:36" x14ac:dyDescent="0.25">
      <c r="A427">
        <v>10426</v>
      </c>
      <c r="B427" t="s">
        <v>38</v>
      </c>
      <c r="C427" t="s">
        <v>65</v>
      </c>
      <c r="D427" t="s">
        <v>23</v>
      </c>
      <c r="E427" t="str">
        <f t="shared" si="78"/>
        <v>Chris Johnson is in HR Department</v>
      </c>
      <c r="F427" s="6" t="str">
        <f t="shared" si="79"/>
        <v>chrisjohnson@gmail.com</v>
      </c>
      <c r="G427">
        <v>86440</v>
      </c>
      <c r="H427" t="str">
        <f t="shared" si="80"/>
        <v>High</v>
      </c>
      <c r="I427" s="3">
        <v>41163</v>
      </c>
      <c r="J427">
        <f t="shared" si="81"/>
        <v>2012</v>
      </c>
      <c r="K427">
        <f t="shared" si="82"/>
        <v>9</v>
      </c>
      <c r="L427">
        <f t="shared" si="83"/>
        <v>11</v>
      </c>
      <c r="M427" s="3">
        <f t="shared" ca="1" si="84"/>
        <v>46100</v>
      </c>
      <c r="N427">
        <f t="shared" ca="1" si="85"/>
        <v>4937</v>
      </c>
      <c r="O427">
        <f t="shared" ca="1" si="86"/>
        <v>4937</v>
      </c>
      <c r="P427">
        <f t="shared" ca="1" si="87"/>
        <v>3528</v>
      </c>
      <c r="Q427">
        <v>54</v>
      </c>
      <c r="R427" t="str">
        <f t="shared" si="88"/>
        <v>Old</v>
      </c>
      <c r="S427" t="s">
        <v>24</v>
      </c>
      <c r="T427">
        <v>8</v>
      </c>
      <c r="U427" t="s">
        <v>45</v>
      </c>
      <c r="V427">
        <v>7103.81</v>
      </c>
      <c r="W427" t="s">
        <v>46</v>
      </c>
      <c r="X427" t="s">
        <v>47</v>
      </c>
      <c r="Y427">
        <v>6</v>
      </c>
      <c r="Z427" t="str">
        <f t="shared" si="89"/>
        <v>Bad Employee</v>
      </c>
      <c r="AA427" t="b">
        <f t="shared" si="90"/>
        <v>0</v>
      </c>
      <c r="AB427" t="b">
        <f>OR(Y427&gt;20, T427&gt;6)</f>
        <v>1</v>
      </c>
      <c r="AC427" t="str">
        <f>IF(OR(Y427&gt;20,T427&gt;6), "Good employee", "Bad Employee")</f>
        <v>Good employee</v>
      </c>
      <c r="AD427" t="s">
        <v>56</v>
      </c>
      <c r="AE427" t="s">
        <v>37</v>
      </c>
      <c r="AF427">
        <v>11</v>
      </c>
      <c r="AG427">
        <v>2013</v>
      </c>
      <c r="AH427" t="s">
        <v>30</v>
      </c>
      <c r="AI427">
        <v>24</v>
      </c>
      <c r="AJ427">
        <v>2</v>
      </c>
    </row>
    <row r="428" spans="1:36" x14ac:dyDescent="0.25">
      <c r="A428">
        <v>10427</v>
      </c>
      <c r="B428" t="s">
        <v>66</v>
      </c>
      <c r="C428" t="s">
        <v>22</v>
      </c>
      <c r="D428" t="s">
        <v>39</v>
      </c>
      <c r="E428" t="str">
        <f t="shared" si="78"/>
        <v>John Williams is in IT Department</v>
      </c>
      <c r="F428" s="6" t="str">
        <f t="shared" si="79"/>
        <v>johnwilliams@gmail.com</v>
      </c>
      <c r="G428">
        <v>53246</v>
      </c>
      <c r="H428" t="str">
        <f t="shared" si="80"/>
        <v>Medium</v>
      </c>
      <c r="I428" s="3">
        <v>39652</v>
      </c>
      <c r="J428">
        <f t="shared" si="81"/>
        <v>2008</v>
      </c>
      <c r="K428">
        <f t="shared" si="82"/>
        <v>7</v>
      </c>
      <c r="L428">
        <f t="shared" si="83"/>
        <v>23</v>
      </c>
      <c r="M428" s="3">
        <f t="shared" ca="1" si="84"/>
        <v>46100</v>
      </c>
      <c r="N428">
        <f t="shared" ca="1" si="85"/>
        <v>6448</v>
      </c>
      <c r="O428">
        <f t="shared" ca="1" si="86"/>
        <v>6448</v>
      </c>
      <c r="P428">
        <f t="shared" ca="1" si="87"/>
        <v>4607</v>
      </c>
      <c r="Q428">
        <v>28</v>
      </c>
      <c r="R428" t="str">
        <f t="shared" si="88"/>
        <v>Young</v>
      </c>
      <c r="S428" t="s">
        <v>24</v>
      </c>
      <c r="T428">
        <v>5</v>
      </c>
      <c r="U428" t="s">
        <v>45</v>
      </c>
      <c r="V428">
        <v>6662.32</v>
      </c>
      <c r="W428" t="s">
        <v>58</v>
      </c>
      <c r="X428" t="s">
        <v>36</v>
      </c>
      <c r="Y428">
        <v>16</v>
      </c>
      <c r="Z428" t="str">
        <f t="shared" si="89"/>
        <v>Bad Employee</v>
      </c>
      <c r="AA428" t="b">
        <f t="shared" si="90"/>
        <v>0</v>
      </c>
      <c r="AB428" t="b">
        <f>OR(Y428&gt;20, T428&gt;6)</f>
        <v>0</v>
      </c>
      <c r="AC428" t="str">
        <f>IF(OR(Y428&gt;20,T428&gt;6), "Good employee", "Bad Employee")</f>
        <v>Bad Employee</v>
      </c>
      <c r="AD428" t="s">
        <v>41</v>
      </c>
      <c r="AE428" t="s">
        <v>29</v>
      </c>
      <c r="AF428">
        <v>7</v>
      </c>
      <c r="AG428">
        <v>2022</v>
      </c>
      <c r="AH428" t="s">
        <v>43</v>
      </c>
      <c r="AI428">
        <v>167</v>
      </c>
      <c r="AJ428">
        <v>2.6</v>
      </c>
    </row>
    <row r="429" spans="1:36" x14ac:dyDescent="0.25">
      <c r="A429">
        <v>10428</v>
      </c>
      <c r="B429" t="s">
        <v>31</v>
      </c>
      <c r="C429" t="s">
        <v>57</v>
      </c>
      <c r="D429" t="s">
        <v>52</v>
      </c>
      <c r="E429" t="str">
        <f t="shared" si="78"/>
        <v>Emily Davis is in Operations Department</v>
      </c>
      <c r="F429" s="6" t="str">
        <f t="shared" si="79"/>
        <v>emilydavis@gmail.com</v>
      </c>
      <c r="G429">
        <v>82805</v>
      </c>
      <c r="H429" t="str">
        <f t="shared" si="80"/>
        <v>High</v>
      </c>
      <c r="I429" s="3">
        <v>40982</v>
      </c>
      <c r="J429">
        <f t="shared" si="81"/>
        <v>2012</v>
      </c>
      <c r="K429">
        <f t="shared" si="82"/>
        <v>3</v>
      </c>
      <c r="L429">
        <f t="shared" si="83"/>
        <v>14</v>
      </c>
      <c r="M429" s="3">
        <f t="shared" ca="1" si="84"/>
        <v>46100</v>
      </c>
      <c r="N429">
        <f t="shared" ca="1" si="85"/>
        <v>5118</v>
      </c>
      <c r="O429">
        <f t="shared" ca="1" si="86"/>
        <v>5118</v>
      </c>
      <c r="P429">
        <f t="shared" ca="1" si="87"/>
        <v>3657</v>
      </c>
      <c r="Q429">
        <v>36</v>
      </c>
      <c r="R429" t="str">
        <f t="shared" si="88"/>
        <v>Old</v>
      </c>
      <c r="S429" t="s">
        <v>34</v>
      </c>
      <c r="T429">
        <v>3</v>
      </c>
      <c r="U429" t="s">
        <v>45</v>
      </c>
      <c r="V429">
        <v>6869.12</v>
      </c>
      <c r="W429" t="s">
        <v>35</v>
      </c>
      <c r="X429" t="s">
        <v>27</v>
      </c>
      <c r="Y429">
        <v>3</v>
      </c>
      <c r="Z429" t="str">
        <f t="shared" si="89"/>
        <v>Bad Employee</v>
      </c>
      <c r="AA429" t="b">
        <f t="shared" si="90"/>
        <v>0</v>
      </c>
      <c r="AB429" t="b">
        <f>OR(Y429&gt;20, T429&gt;6)</f>
        <v>0</v>
      </c>
      <c r="AC429" t="str">
        <f>IF(OR(Y429&gt;20,T429&gt;6), "Good employee", "Bad Employee")</f>
        <v>Bad Employee</v>
      </c>
      <c r="AD429" t="s">
        <v>41</v>
      </c>
      <c r="AE429" t="s">
        <v>37</v>
      </c>
      <c r="AF429">
        <v>3</v>
      </c>
      <c r="AG429">
        <v>2015</v>
      </c>
      <c r="AH429" t="s">
        <v>30</v>
      </c>
      <c r="AI429">
        <v>59</v>
      </c>
      <c r="AJ429">
        <v>4.3</v>
      </c>
    </row>
    <row r="430" spans="1:36" x14ac:dyDescent="0.25">
      <c r="A430">
        <v>10429</v>
      </c>
      <c r="B430" t="s">
        <v>66</v>
      </c>
      <c r="C430" t="s">
        <v>22</v>
      </c>
      <c r="D430" t="s">
        <v>54</v>
      </c>
      <c r="E430" t="str">
        <f t="shared" si="78"/>
        <v>John Williams is in Finance Department</v>
      </c>
      <c r="F430" s="6" t="str">
        <f t="shared" si="79"/>
        <v>johnwilliams@gmail.com</v>
      </c>
      <c r="G430">
        <v>79648</v>
      </c>
      <c r="H430" t="str">
        <f t="shared" si="80"/>
        <v>Medium</v>
      </c>
      <c r="I430" s="3">
        <v>39281</v>
      </c>
      <c r="J430">
        <f t="shared" si="81"/>
        <v>2007</v>
      </c>
      <c r="K430">
        <f t="shared" si="82"/>
        <v>7</v>
      </c>
      <c r="L430">
        <f t="shared" si="83"/>
        <v>18</v>
      </c>
      <c r="M430" s="3">
        <f t="shared" ca="1" si="84"/>
        <v>46100</v>
      </c>
      <c r="N430">
        <f t="shared" ca="1" si="85"/>
        <v>6819</v>
      </c>
      <c r="O430">
        <f t="shared" ca="1" si="86"/>
        <v>6819</v>
      </c>
      <c r="P430">
        <f t="shared" ca="1" si="87"/>
        <v>4872</v>
      </c>
      <c r="Q430">
        <v>47</v>
      </c>
      <c r="R430" t="str">
        <f t="shared" si="88"/>
        <v>Old</v>
      </c>
      <c r="S430" t="s">
        <v>34</v>
      </c>
      <c r="T430">
        <v>2</v>
      </c>
      <c r="U430" t="s">
        <v>25</v>
      </c>
      <c r="V430">
        <v>6627.9</v>
      </c>
      <c r="W430" t="s">
        <v>26</v>
      </c>
      <c r="X430" t="s">
        <v>27</v>
      </c>
      <c r="Y430">
        <v>20</v>
      </c>
      <c r="Z430" t="str">
        <f t="shared" si="89"/>
        <v>Bad Employee</v>
      </c>
      <c r="AA430" t="b">
        <f t="shared" si="90"/>
        <v>0</v>
      </c>
      <c r="AB430" t="b">
        <f>OR(Y430&gt;20, T430&gt;6)</f>
        <v>0</v>
      </c>
      <c r="AC430" t="str">
        <f>IF(OR(Y430&gt;20,T430&gt;6), "Good employee", "Bad Employee")</f>
        <v>Bad Employee</v>
      </c>
      <c r="AD430" t="s">
        <v>28</v>
      </c>
      <c r="AE430" t="s">
        <v>42</v>
      </c>
      <c r="AF430">
        <v>13</v>
      </c>
      <c r="AG430">
        <v>2017</v>
      </c>
      <c r="AH430" t="s">
        <v>43</v>
      </c>
      <c r="AI430">
        <v>78</v>
      </c>
      <c r="AJ430">
        <v>1.8</v>
      </c>
    </row>
    <row r="431" spans="1:36" x14ac:dyDescent="0.25">
      <c r="A431">
        <v>10430</v>
      </c>
      <c r="B431" t="s">
        <v>31</v>
      </c>
      <c r="C431" t="s">
        <v>22</v>
      </c>
      <c r="D431" t="s">
        <v>52</v>
      </c>
      <c r="E431" t="str">
        <f t="shared" si="78"/>
        <v>Emily Williams is in Operations Department</v>
      </c>
      <c r="F431" s="6" t="str">
        <f t="shared" si="79"/>
        <v>emilywilliams@gmail.com</v>
      </c>
      <c r="G431">
        <v>86851</v>
      </c>
      <c r="H431" t="str">
        <f t="shared" si="80"/>
        <v>High</v>
      </c>
      <c r="I431" s="3">
        <v>40050</v>
      </c>
      <c r="J431">
        <f t="shared" si="81"/>
        <v>2009</v>
      </c>
      <c r="K431">
        <f t="shared" si="82"/>
        <v>8</v>
      </c>
      <c r="L431">
        <f t="shared" si="83"/>
        <v>25</v>
      </c>
      <c r="M431" s="3">
        <f t="shared" ca="1" si="84"/>
        <v>46100</v>
      </c>
      <c r="N431">
        <f t="shared" ca="1" si="85"/>
        <v>6050</v>
      </c>
      <c r="O431">
        <f t="shared" ca="1" si="86"/>
        <v>6050</v>
      </c>
      <c r="P431">
        <f t="shared" ca="1" si="87"/>
        <v>4323</v>
      </c>
      <c r="Q431">
        <v>32</v>
      </c>
      <c r="R431" t="str">
        <f t="shared" si="88"/>
        <v>Old</v>
      </c>
      <c r="S431" t="s">
        <v>34</v>
      </c>
      <c r="T431">
        <v>9</v>
      </c>
      <c r="U431" t="s">
        <v>25</v>
      </c>
      <c r="V431">
        <v>2605.7199999999998</v>
      </c>
      <c r="W431" t="s">
        <v>35</v>
      </c>
      <c r="X431" t="s">
        <v>36</v>
      </c>
      <c r="Y431">
        <v>7</v>
      </c>
      <c r="Z431" t="str">
        <f t="shared" si="89"/>
        <v>Bad Employee</v>
      </c>
      <c r="AA431" t="b">
        <f t="shared" si="90"/>
        <v>0</v>
      </c>
      <c r="AB431" t="b">
        <f>OR(Y431&gt;20, T431&gt;6)</f>
        <v>1</v>
      </c>
      <c r="AC431" t="str">
        <f>IF(OR(Y431&gt;20,T431&gt;6), "Good employee", "Bad Employee")</f>
        <v>Good employee</v>
      </c>
      <c r="AD431" t="s">
        <v>41</v>
      </c>
      <c r="AE431" t="s">
        <v>42</v>
      </c>
      <c r="AF431">
        <v>8</v>
      </c>
      <c r="AG431">
        <v>2019</v>
      </c>
      <c r="AH431" t="s">
        <v>49</v>
      </c>
      <c r="AI431">
        <v>76</v>
      </c>
      <c r="AJ431">
        <v>3.9</v>
      </c>
    </row>
    <row r="432" spans="1:36" x14ac:dyDescent="0.25">
      <c r="A432">
        <v>10431</v>
      </c>
      <c r="B432" t="s">
        <v>66</v>
      </c>
      <c r="C432" t="s">
        <v>57</v>
      </c>
      <c r="D432" t="s">
        <v>39</v>
      </c>
      <c r="E432" t="str">
        <f t="shared" si="78"/>
        <v>John Davis is in IT Department</v>
      </c>
      <c r="F432" s="6" t="str">
        <f t="shared" si="79"/>
        <v>johndavis@gmail.com</v>
      </c>
      <c r="G432">
        <v>61688</v>
      </c>
      <c r="H432" t="str">
        <f t="shared" si="80"/>
        <v>Medium</v>
      </c>
      <c r="I432" s="3">
        <v>40150</v>
      </c>
      <c r="J432">
        <f t="shared" si="81"/>
        <v>2009</v>
      </c>
      <c r="K432">
        <f t="shared" si="82"/>
        <v>12</v>
      </c>
      <c r="L432">
        <f t="shared" si="83"/>
        <v>3</v>
      </c>
      <c r="M432" s="3">
        <f t="shared" ca="1" si="84"/>
        <v>46100</v>
      </c>
      <c r="N432">
        <f t="shared" ca="1" si="85"/>
        <v>5950</v>
      </c>
      <c r="O432">
        <f t="shared" ca="1" si="86"/>
        <v>5950</v>
      </c>
      <c r="P432">
        <f t="shared" ca="1" si="87"/>
        <v>4251</v>
      </c>
      <c r="Q432">
        <v>59</v>
      </c>
      <c r="R432" t="str">
        <f t="shared" si="88"/>
        <v>Old</v>
      </c>
      <c r="S432" t="s">
        <v>34</v>
      </c>
      <c r="T432">
        <v>9</v>
      </c>
      <c r="U432" t="s">
        <v>25</v>
      </c>
      <c r="V432">
        <v>1864.11</v>
      </c>
      <c r="W432" t="s">
        <v>26</v>
      </c>
      <c r="X432" t="s">
        <v>47</v>
      </c>
      <c r="Y432">
        <v>11</v>
      </c>
      <c r="Z432" t="str">
        <f t="shared" si="89"/>
        <v>Bad Employee</v>
      </c>
      <c r="AA432" t="b">
        <f t="shared" si="90"/>
        <v>0</v>
      </c>
      <c r="AB432" t="b">
        <f>OR(Y432&gt;20, T432&gt;6)</f>
        <v>1</v>
      </c>
      <c r="AC432" t="str">
        <f>IF(OR(Y432&gt;20,T432&gt;6), "Good employee", "Bad Employee")</f>
        <v>Good employee</v>
      </c>
      <c r="AD432" t="s">
        <v>56</v>
      </c>
      <c r="AE432" t="s">
        <v>42</v>
      </c>
      <c r="AF432">
        <v>10</v>
      </c>
      <c r="AG432">
        <v>2014</v>
      </c>
      <c r="AH432" t="s">
        <v>43</v>
      </c>
      <c r="AI432">
        <v>172</v>
      </c>
      <c r="AJ432">
        <v>3</v>
      </c>
    </row>
    <row r="433" spans="1:36" x14ac:dyDescent="0.25">
      <c r="A433">
        <v>10432</v>
      </c>
      <c r="B433" t="s">
        <v>64</v>
      </c>
      <c r="C433" t="s">
        <v>57</v>
      </c>
      <c r="D433" t="s">
        <v>23</v>
      </c>
      <c r="E433" t="str">
        <f t="shared" si="78"/>
        <v>Katie Davis is in HR Department</v>
      </c>
      <c r="F433" s="6" t="str">
        <f t="shared" si="79"/>
        <v>katiedavis@gmail.com</v>
      </c>
      <c r="G433">
        <v>59764</v>
      </c>
      <c r="H433" t="str">
        <f t="shared" si="80"/>
        <v>Medium</v>
      </c>
      <c r="I433" s="3">
        <v>39258</v>
      </c>
      <c r="J433">
        <f t="shared" si="81"/>
        <v>2007</v>
      </c>
      <c r="K433">
        <f t="shared" si="82"/>
        <v>6</v>
      </c>
      <c r="L433">
        <f t="shared" si="83"/>
        <v>25</v>
      </c>
      <c r="M433" s="3">
        <f t="shared" ca="1" si="84"/>
        <v>46100</v>
      </c>
      <c r="N433">
        <f t="shared" ca="1" si="85"/>
        <v>6842</v>
      </c>
      <c r="O433">
        <f t="shared" ca="1" si="86"/>
        <v>6842</v>
      </c>
      <c r="P433">
        <f t="shared" ca="1" si="87"/>
        <v>4889</v>
      </c>
      <c r="Q433">
        <v>48</v>
      </c>
      <c r="R433" t="str">
        <f t="shared" si="88"/>
        <v>Old</v>
      </c>
      <c r="S433" t="s">
        <v>24</v>
      </c>
      <c r="T433">
        <v>5</v>
      </c>
      <c r="U433" t="s">
        <v>45</v>
      </c>
      <c r="V433">
        <v>9796.9699999999993</v>
      </c>
      <c r="W433" t="s">
        <v>26</v>
      </c>
      <c r="X433" t="s">
        <v>55</v>
      </c>
      <c r="Y433">
        <v>29</v>
      </c>
      <c r="Z433" t="str">
        <f t="shared" si="89"/>
        <v>Bad Employee</v>
      </c>
      <c r="AA433" t="b">
        <f t="shared" si="90"/>
        <v>0</v>
      </c>
      <c r="AB433" t="b">
        <f>OR(Y433&gt;20, T433&gt;6)</f>
        <v>1</v>
      </c>
      <c r="AC433" t="str">
        <f>IF(OR(Y433&gt;20,T433&gt;6), "Good employee", "Bad Employee")</f>
        <v>Good employee</v>
      </c>
      <c r="AD433" t="s">
        <v>41</v>
      </c>
      <c r="AE433" t="s">
        <v>29</v>
      </c>
      <c r="AF433">
        <v>15</v>
      </c>
      <c r="AG433">
        <v>2023</v>
      </c>
      <c r="AH433" t="s">
        <v>43</v>
      </c>
      <c r="AI433">
        <v>50</v>
      </c>
      <c r="AJ433">
        <v>4.5999999999999996</v>
      </c>
    </row>
    <row r="434" spans="1:36" x14ac:dyDescent="0.25">
      <c r="A434">
        <v>10433</v>
      </c>
      <c r="B434" t="s">
        <v>38</v>
      </c>
      <c r="C434" t="s">
        <v>51</v>
      </c>
      <c r="D434" t="s">
        <v>39</v>
      </c>
      <c r="E434" t="str">
        <f t="shared" si="78"/>
        <v>Chris Brown is in IT Department</v>
      </c>
      <c r="F434" s="6" t="str">
        <f t="shared" si="79"/>
        <v>chrisbrown@gmail.com</v>
      </c>
      <c r="G434">
        <v>62470</v>
      </c>
      <c r="H434" t="str">
        <f t="shared" si="80"/>
        <v>Medium</v>
      </c>
      <c r="I434" s="3">
        <v>42999</v>
      </c>
      <c r="J434">
        <f t="shared" si="81"/>
        <v>2017</v>
      </c>
      <c r="K434">
        <f t="shared" si="82"/>
        <v>9</v>
      </c>
      <c r="L434">
        <f t="shared" si="83"/>
        <v>21</v>
      </c>
      <c r="M434" s="3">
        <f t="shared" ca="1" si="84"/>
        <v>46100</v>
      </c>
      <c r="N434">
        <f t="shared" ca="1" si="85"/>
        <v>3101</v>
      </c>
      <c r="O434">
        <f t="shared" ca="1" si="86"/>
        <v>3101</v>
      </c>
      <c r="P434">
        <f t="shared" ca="1" si="87"/>
        <v>2216</v>
      </c>
      <c r="Q434">
        <v>60</v>
      </c>
      <c r="R434" t="str">
        <f t="shared" si="88"/>
        <v>Old</v>
      </c>
      <c r="S434" t="s">
        <v>24</v>
      </c>
      <c r="T434">
        <v>8</v>
      </c>
      <c r="U434" t="s">
        <v>25</v>
      </c>
      <c r="V434">
        <v>930.3</v>
      </c>
      <c r="W434" t="s">
        <v>26</v>
      </c>
      <c r="X434" t="s">
        <v>40</v>
      </c>
      <c r="Y434">
        <v>3</v>
      </c>
      <c r="Z434" t="str">
        <f t="shared" si="89"/>
        <v>Bad Employee</v>
      </c>
      <c r="AA434" t="b">
        <f t="shared" si="90"/>
        <v>0</v>
      </c>
      <c r="AB434" t="b">
        <f>OR(Y434&gt;20, T434&gt;6)</f>
        <v>1</v>
      </c>
      <c r="AC434" t="str">
        <f>IF(OR(Y434&gt;20,T434&gt;6), "Good employee", "Bad Employee")</f>
        <v>Good employee</v>
      </c>
      <c r="AD434" t="s">
        <v>41</v>
      </c>
      <c r="AE434" t="s">
        <v>29</v>
      </c>
      <c r="AF434">
        <v>5</v>
      </c>
      <c r="AG434">
        <v>2017</v>
      </c>
      <c r="AH434" t="s">
        <v>49</v>
      </c>
      <c r="AI434">
        <v>83</v>
      </c>
      <c r="AJ434">
        <v>4.9000000000000004</v>
      </c>
    </row>
    <row r="435" spans="1:36" x14ac:dyDescent="0.25">
      <c r="A435">
        <v>10434</v>
      </c>
      <c r="B435" t="s">
        <v>53</v>
      </c>
      <c r="C435" t="s">
        <v>32</v>
      </c>
      <c r="D435" t="s">
        <v>33</v>
      </c>
      <c r="E435" t="str">
        <f t="shared" si="78"/>
        <v>Sarah Wilson is in Marketing Department</v>
      </c>
      <c r="F435" s="6" t="str">
        <f t="shared" si="79"/>
        <v>sarahwilson@gmail.com</v>
      </c>
      <c r="G435">
        <v>68501</v>
      </c>
      <c r="H435" t="str">
        <f t="shared" si="80"/>
        <v>Medium</v>
      </c>
      <c r="I435" s="3">
        <v>42888</v>
      </c>
      <c r="J435">
        <f t="shared" si="81"/>
        <v>2017</v>
      </c>
      <c r="K435">
        <f t="shared" si="82"/>
        <v>6</v>
      </c>
      <c r="L435">
        <f t="shared" si="83"/>
        <v>2</v>
      </c>
      <c r="M435" s="3">
        <f t="shared" ca="1" si="84"/>
        <v>46100</v>
      </c>
      <c r="N435">
        <f t="shared" ca="1" si="85"/>
        <v>3212</v>
      </c>
      <c r="O435">
        <f t="shared" ca="1" si="86"/>
        <v>3212</v>
      </c>
      <c r="P435">
        <f t="shared" ca="1" si="87"/>
        <v>2295</v>
      </c>
      <c r="Q435">
        <v>28</v>
      </c>
      <c r="R435" t="str">
        <f t="shared" si="88"/>
        <v>Young</v>
      </c>
      <c r="S435" t="s">
        <v>24</v>
      </c>
      <c r="T435">
        <v>7</v>
      </c>
      <c r="U435" t="s">
        <v>45</v>
      </c>
      <c r="V435">
        <v>4943.5</v>
      </c>
      <c r="W435" t="s">
        <v>58</v>
      </c>
      <c r="X435" t="s">
        <v>36</v>
      </c>
      <c r="Y435">
        <v>21</v>
      </c>
      <c r="Z435" t="str">
        <f t="shared" si="89"/>
        <v>Good Employee</v>
      </c>
      <c r="AA435" t="b">
        <f t="shared" si="90"/>
        <v>1</v>
      </c>
      <c r="AB435" t="b">
        <f>OR(Y435&gt;20, T435&gt;6)</f>
        <v>1</v>
      </c>
      <c r="AC435" t="str">
        <f>IF(OR(Y435&gt;20,T435&gt;6), "Good employee", "Bad Employee")</f>
        <v>Good employee</v>
      </c>
      <c r="AD435" t="s">
        <v>56</v>
      </c>
      <c r="AE435" t="s">
        <v>37</v>
      </c>
      <c r="AF435">
        <v>11</v>
      </c>
      <c r="AG435">
        <v>2021</v>
      </c>
      <c r="AH435" t="s">
        <v>49</v>
      </c>
      <c r="AI435">
        <v>174</v>
      </c>
      <c r="AJ435">
        <v>2.9</v>
      </c>
    </row>
    <row r="436" spans="1:36" x14ac:dyDescent="0.25">
      <c r="A436">
        <v>10435</v>
      </c>
      <c r="B436" t="s">
        <v>31</v>
      </c>
      <c r="C436" t="s">
        <v>32</v>
      </c>
      <c r="D436" t="s">
        <v>33</v>
      </c>
      <c r="E436" t="str">
        <f t="shared" si="78"/>
        <v>Emily Wilson is in Marketing Department</v>
      </c>
      <c r="F436" s="6" t="str">
        <f t="shared" si="79"/>
        <v>emilywilson@gmail.com</v>
      </c>
      <c r="G436">
        <v>87207</v>
      </c>
      <c r="H436" t="str">
        <f t="shared" si="80"/>
        <v>High</v>
      </c>
      <c r="I436" s="3">
        <v>42877</v>
      </c>
      <c r="J436">
        <f t="shared" si="81"/>
        <v>2017</v>
      </c>
      <c r="K436">
        <f t="shared" si="82"/>
        <v>5</v>
      </c>
      <c r="L436">
        <f t="shared" si="83"/>
        <v>22</v>
      </c>
      <c r="M436" s="3">
        <f t="shared" ca="1" si="84"/>
        <v>46100</v>
      </c>
      <c r="N436">
        <f t="shared" ca="1" si="85"/>
        <v>3223</v>
      </c>
      <c r="O436">
        <f t="shared" ca="1" si="86"/>
        <v>3223</v>
      </c>
      <c r="P436">
        <f t="shared" ca="1" si="87"/>
        <v>2304</v>
      </c>
      <c r="Q436">
        <v>22</v>
      </c>
      <c r="R436" t="str">
        <f t="shared" si="88"/>
        <v>Young</v>
      </c>
      <c r="S436" t="s">
        <v>34</v>
      </c>
      <c r="T436">
        <v>3</v>
      </c>
      <c r="U436" t="s">
        <v>45</v>
      </c>
      <c r="V436">
        <v>4538.26</v>
      </c>
      <c r="W436" t="s">
        <v>35</v>
      </c>
      <c r="X436" t="s">
        <v>36</v>
      </c>
      <c r="Y436">
        <v>32</v>
      </c>
      <c r="Z436" t="str">
        <f t="shared" si="89"/>
        <v>Bad Employee</v>
      </c>
      <c r="AA436" t="b">
        <f t="shared" si="90"/>
        <v>0</v>
      </c>
      <c r="AB436" t="b">
        <f>OR(Y436&gt;20, T436&gt;6)</f>
        <v>1</v>
      </c>
      <c r="AC436" t="str">
        <f>IF(OR(Y436&gt;20,T436&gt;6), "Good employee", "Bad Employee")</f>
        <v>Good employee</v>
      </c>
      <c r="AD436" t="s">
        <v>28</v>
      </c>
      <c r="AE436" t="s">
        <v>48</v>
      </c>
      <c r="AF436">
        <v>18</v>
      </c>
      <c r="AG436">
        <v>2014</v>
      </c>
      <c r="AH436" t="s">
        <v>30</v>
      </c>
      <c r="AI436">
        <v>150</v>
      </c>
      <c r="AJ436">
        <v>3.3</v>
      </c>
    </row>
    <row r="437" spans="1:36" x14ac:dyDescent="0.25">
      <c r="A437">
        <v>10436</v>
      </c>
      <c r="B437" t="s">
        <v>53</v>
      </c>
      <c r="C437" t="s">
        <v>51</v>
      </c>
      <c r="D437" t="s">
        <v>52</v>
      </c>
      <c r="E437" t="str">
        <f t="shared" si="78"/>
        <v>Sarah Brown is in Operations Department</v>
      </c>
      <c r="F437" s="6" t="str">
        <f t="shared" si="79"/>
        <v>sarahbrown@gmail.com</v>
      </c>
      <c r="G437">
        <v>92157</v>
      </c>
      <c r="H437" t="str">
        <f t="shared" si="80"/>
        <v>High</v>
      </c>
      <c r="I437" s="3">
        <v>38219</v>
      </c>
      <c r="J437">
        <f t="shared" si="81"/>
        <v>2004</v>
      </c>
      <c r="K437">
        <f t="shared" si="82"/>
        <v>8</v>
      </c>
      <c r="L437">
        <f t="shared" si="83"/>
        <v>20</v>
      </c>
      <c r="M437" s="3">
        <f t="shared" ca="1" si="84"/>
        <v>46100</v>
      </c>
      <c r="N437">
        <f t="shared" ca="1" si="85"/>
        <v>7881</v>
      </c>
      <c r="O437">
        <f t="shared" ca="1" si="86"/>
        <v>7881</v>
      </c>
      <c r="P437">
        <f t="shared" ca="1" si="87"/>
        <v>5630</v>
      </c>
      <c r="Q437">
        <v>31</v>
      </c>
      <c r="R437" t="str">
        <f t="shared" si="88"/>
        <v>Old</v>
      </c>
      <c r="S437" t="s">
        <v>24</v>
      </c>
      <c r="T437">
        <v>5</v>
      </c>
      <c r="U437" t="s">
        <v>45</v>
      </c>
      <c r="V437">
        <v>3920.18</v>
      </c>
      <c r="W437" t="s">
        <v>58</v>
      </c>
      <c r="X437" t="s">
        <v>36</v>
      </c>
      <c r="Y437">
        <v>30</v>
      </c>
      <c r="Z437" t="str">
        <f t="shared" si="89"/>
        <v>Bad Employee</v>
      </c>
      <c r="AA437" t="b">
        <f t="shared" si="90"/>
        <v>0</v>
      </c>
      <c r="AB437" t="b">
        <f>OR(Y437&gt;20, T437&gt;6)</f>
        <v>1</v>
      </c>
      <c r="AC437" t="str">
        <f>IF(OR(Y437&gt;20,T437&gt;6), "Good employee", "Bad Employee")</f>
        <v>Good employee</v>
      </c>
      <c r="AD437" t="s">
        <v>28</v>
      </c>
      <c r="AE437" t="s">
        <v>59</v>
      </c>
      <c r="AF437">
        <v>15</v>
      </c>
      <c r="AG437">
        <v>2022</v>
      </c>
      <c r="AH437" t="s">
        <v>30</v>
      </c>
      <c r="AI437">
        <v>19</v>
      </c>
      <c r="AJ437">
        <v>4</v>
      </c>
    </row>
    <row r="438" spans="1:36" x14ac:dyDescent="0.25">
      <c r="A438">
        <v>10437</v>
      </c>
      <c r="B438" t="s">
        <v>53</v>
      </c>
      <c r="C438" t="s">
        <v>22</v>
      </c>
      <c r="D438" t="s">
        <v>52</v>
      </c>
      <c r="E438" t="str">
        <f t="shared" si="78"/>
        <v>Sarah Williams is in Operations Department</v>
      </c>
      <c r="F438" s="6" t="str">
        <f t="shared" si="79"/>
        <v>sarahwilliams@gmail.com</v>
      </c>
      <c r="G438">
        <v>33216</v>
      </c>
      <c r="H438" t="str">
        <f t="shared" si="80"/>
        <v>extremely low</v>
      </c>
      <c r="I438" s="3">
        <v>39418</v>
      </c>
      <c r="J438">
        <f t="shared" si="81"/>
        <v>2007</v>
      </c>
      <c r="K438">
        <f t="shared" si="82"/>
        <v>12</v>
      </c>
      <c r="L438">
        <f t="shared" si="83"/>
        <v>2</v>
      </c>
      <c r="M438" s="3">
        <f t="shared" ca="1" si="84"/>
        <v>46100</v>
      </c>
      <c r="N438">
        <f t="shared" ca="1" si="85"/>
        <v>6682</v>
      </c>
      <c r="O438">
        <f t="shared" ca="1" si="86"/>
        <v>6682</v>
      </c>
      <c r="P438">
        <f t="shared" ca="1" si="87"/>
        <v>4774</v>
      </c>
      <c r="Q438">
        <v>42</v>
      </c>
      <c r="R438" t="str">
        <f t="shared" si="88"/>
        <v>Old</v>
      </c>
      <c r="S438" t="s">
        <v>34</v>
      </c>
      <c r="T438">
        <v>9</v>
      </c>
      <c r="U438" t="s">
        <v>45</v>
      </c>
      <c r="V438">
        <v>7928.85</v>
      </c>
      <c r="W438" t="s">
        <v>26</v>
      </c>
      <c r="X438" t="s">
        <v>36</v>
      </c>
      <c r="Y438">
        <v>39</v>
      </c>
      <c r="Z438" t="str">
        <f t="shared" si="89"/>
        <v>Good Employee</v>
      </c>
      <c r="AA438" t="b">
        <f t="shared" si="90"/>
        <v>1</v>
      </c>
      <c r="AB438" t="b">
        <f>OR(Y438&gt;20, T438&gt;6)</f>
        <v>1</v>
      </c>
      <c r="AC438" t="str">
        <f>IF(OR(Y438&gt;20,T438&gt;6), "Good employee", "Bad Employee")</f>
        <v>Good employee</v>
      </c>
      <c r="AD438" t="s">
        <v>41</v>
      </c>
      <c r="AE438" t="s">
        <v>48</v>
      </c>
      <c r="AF438">
        <v>12</v>
      </c>
      <c r="AG438">
        <v>2012</v>
      </c>
      <c r="AH438" t="s">
        <v>43</v>
      </c>
      <c r="AI438">
        <v>103</v>
      </c>
      <c r="AJ438">
        <v>2.2999999999999998</v>
      </c>
    </row>
    <row r="439" spans="1:36" x14ac:dyDescent="0.25">
      <c r="A439">
        <v>10438</v>
      </c>
      <c r="B439" t="s">
        <v>53</v>
      </c>
      <c r="C439" t="s">
        <v>22</v>
      </c>
      <c r="D439" t="s">
        <v>54</v>
      </c>
      <c r="E439" t="str">
        <f t="shared" si="78"/>
        <v>Sarah Williams is in Finance Department</v>
      </c>
      <c r="F439" s="6" t="str">
        <f t="shared" si="79"/>
        <v>sarahwilliams@gmail.com</v>
      </c>
      <c r="G439">
        <v>52072</v>
      </c>
      <c r="H439" t="str">
        <f t="shared" si="80"/>
        <v>Medium</v>
      </c>
      <c r="I439" s="3">
        <v>40337</v>
      </c>
      <c r="J439">
        <f t="shared" si="81"/>
        <v>2010</v>
      </c>
      <c r="K439">
        <f t="shared" si="82"/>
        <v>6</v>
      </c>
      <c r="L439">
        <f t="shared" si="83"/>
        <v>8</v>
      </c>
      <c r="M439" s="3">
        <f t="shared" ca="1" si="84"/>
        <v>46100</v>
      </c>
      <c r="N439">
        <f t="shared" ca="1" si="85"/>
        <v>5763</v>
      </c>
      <c r="O439">
        <f t="shared" ca="1" si="86"/>
        <v>5763</v>
      </c>
      <c r="P439">
        <f t="shared" ca="1" si="87"/>
        <v>4118</v>
      </c>
      <c r="Q439">
        <v>36</v>
      </c>
      <c r="R439" t="str">
        <f t="shared" si="88"/>
        <v>Old</v>
      </c>
      <c r="S439" t="s">
        <v>34</v>
      </c>
      <c r="T439">
        <v>4</v>
      </c>
      <c r="U439" t="s">
        <v>45</v>
      </c>
      <c r="V439">
        <v>7580.83</v>
      </c>
      <c r="W439" t="s">
        <v>46</v>
      </c>
      <c r="X439" t="s">
        <v>27</v>
      </c>
      <c r="Y439">
        <v>11</v>
      </c>
      <c r="Z439" t="str">
        <f t="shared" si="89"/>
        <v>Bad Employee</v>
      </c>
      <c r="AA439" t="b">
        <f t="shared" si="90"/>
        <v>0</v>
      </c>
      <c r="AB439" t="b">
        <f>OR(Y439&gt;20, T439&gt;6)</f>
        <v>0</v>
      </c>
      <c r="AC439" t="str">
        <f>IF(OR(Y439&gt;20,T439&gt;6), "Good employee", "Bad Employee")</f>
        <v>Bad Employee</v>
      </c>
      <c r="AD439" t="s">
        <v>56</v>
      </c>
      <c r="AE439" t="s">
        <v>29</v>
      </c>
      <c r="AF439">
        <v>3</v>
      </c>
      <c r="AG439">
        <v>2017</v>
      </c>
      <c r="AH439" t="s">
        <v>30</v>
      </c>
      <c r="AI439">
        <v>70</v>
      </c>
      <c r="AJ439">
        <v>1.9</v>
      </c>
    </row>
    <row r="440" spans="1:36" x14ac:dyDescent="0.25">
      <c r="A440">
        <v>10439</v>
      </c>
      <c r="B440" t="s">
        <v>21</v>
      </c>
      <c r="C440" t="s">
        <v>61</v>
      </c>
      <c r="D440" t="s">
        <v>54</v>
      </c>
      <c r="E440" t="str">
        <f t="shared" si="78"/>
        <v>Michael Smith is in Finance Department</v>
      </c>
      <c r="F440" s="6" t="str">
        <f t="shared" si="79"/>
        <v>michaelsmith@gmail.com</v>
      </c>
      <c r="G440">
        <v>67132</v>
      </c>
      <c r="H440" t="str">
        <f t="shared" si="80"/>
        <v>Medium</v>
      </c>
      <c r="I440" s="3">
        <v>40706</v>
      </c>
      <c r="J440">
        <f t="shared" si="81"/>
        <v>2011</v>
      </c>
      <c r="K440">
        <f t="shared" si="82"/>
        <v>6</v>
      </c>
      <c r="L440">
        <f t="shared" si="83"/>
        <v>12</v>
      </c>
      <c r="M440" s="3">
        <f t="shared" ca="1" si="84"/>
        <v>46100</v>
      </c>
      <c r="N440">
        <f t="shared" ca="1" si="85"/>
        <v>5394</v>
      </c>
      <c r="O440">
        <f t="shared" ca="1" si="86"/>
        <v>5394</v>
      </c>
      <c r="P440">
        <f t="shared" ca="1" si="87"/>
        <v>3854</v>
      </c>
      <c r="Q440">
        <v>51</v>
      </c>
      <c r="R440" t="str">
        <f t="shared" si="88"/>
        <v>Old</v>
      </c>
      <c r="S440" t="s">
        <v>24</v>
      </c>
      <c r="T440">
        <v>3</v>
      </c>
      <c r="U440" t="s">
        <v>25</v>
      </c>
      <c r="V440">
        <v>9099.64</v>
      </c>
      <c r="W440" t="s">
        <v>46</v>
      </c>
      <c r="X440" t="s">
        <v>47</v>
      </c>
      <c r="Y440">
        <v>17</v>
      </c>
      <c r="Z440" t="str">
        <f t="shared" si="89"/>
        <v>Bad Employee</v>
      </c>
      <c r="AA440" t="b">
        <f t="shared" si="90"/>
        <v>0</v>
      </c>
      <c r="AB440" t="b">
        <f>OR(Y440&gt;20, T440&gt;6)</f>
        <v>0</v>
      </c>
      <c r="AC440" t="str">
        <f>IF(OR(Y440&gt;20,T440&gt;6), "Good employee", "Bad Employee")</f>
        <v>Bad Employee</v>
      </c>
      <c r="AD440" t="s">
        <v>56</v>
      </c>
      <c r="AE440" t="s">
        <v>59</v>
      </c>
      <c r="AF440">
        <v>11</v>
      </c>
      <c r="AG440">
        <v>2021</v>
      </c>
      <c r="AH440" t="s">
        <v>43</v>
      </c>
      <c r="AI440">
        <v>145</v>
      </c>
      <c r="AJ440">
        <v>4.9000000000000004</v>
      </c>
    </row>
    <row r="441" spans="1:36" x14ac:dyDescent="0.25">
      <c r="A441">
        <v>10440</v>
      </c>
      <c r="B441" t="s">
        <v>50</v>
      </c>
      <c r="C441" t="s">
        <v>61</v>
      </c>
      <c r="D441" t="s">
        <v>33</v>
      </c>
      <c r="E441" t="str">
        <f t="shared" si="78"/>
        <v>Alex Smith is in Marketing Department</v>
      </c>
      <c r="F441" s="6" t="str">
        <f t="shared" si="79"/>
        <v>alexsmith@gmail.com</v>
      </c>
      <c r="G441">
        <v>47861</v>
      </c>
      <c r="H441" t="str">
        <f t="shared" si="80"/>
        <v>low</v>
      </c>
      <c r="I441" s="3">
        <v>37210</v>
      </c>
      <c r="J441">
        <f t="shared" si="81"/>
        <v>2001</v>
      </c>
      <c r="K441">
        <f t="shared" si="82"/>
        <v>11</v>
      </c>
      <c r="L441">
        <f t="shared" si="83"/>
        <v>15</v>
      </c>
      <c r="M441" s="3">
        <f t="shared" ca="1" si="84"/>
        <v>46100</v>
      </c>
      <c r="N441">
        <f t="shared" ca="1" si="85"/>
        <v>8890</v>
      </c>
      <c r="O441">
        <f t="shared" ca="1" si="86"/>
        <v>8890</v>
      </c>
      <c r="P441">
        <f t="shared" ca="1" si="87"/>
        <v>6351</v>
      </c>
      <c r="Q441">
        <v>51</v>
      </c>
      <c r="R441" t="str">
        <f t="shared" si="88"/>
        <v>Old</v>
      </c>
      <c r="S441" t="s">
        <v>24</v>
      </c>
      <c r="T441">
        <v>7</v>
      </c>
      <c r="U441" t="s">
        <v>45</v>
      </c>
      <c r="V441">
        <v>4257.13</v>
      </c>
      <c r="W441" t="s">
        <v>58</v>
      </c>
      <c r="X441" t="s">
        <v>36</v>
      </c>
      <c r="Y441">
        <v>25</v>
      </c>
      <c r="Z441" t="str">
        <f t="shared" si="89"/>
        <v>Good Employee</v>
      </c>
      <c r="AA441" t="b">
        <f t="shared" si="90"/>
        <v>1</v>
      </c>
      <c r="AB441" t="b">
        <f>OR(Y441&gt;20, T441&gt;6)</f>
        <v>1</v>
      </c>
      <c r="AC441" t="str">
        <f>IF(OR(Y441&gt;20,T441&gt;6), "Good employee", "Bad Employee")</f>
        <v>Good employee</v>
      </c>
      <c r="AD441" t="s">
        <v>41</v>
      </c>
      <c r="AE441" t="s">
        <v>42</v>
      </c>
      <c r="AF441">
        <v>3</v>
      </c>
      <c r="AG441">
        <v>2013</v>
      </c>
      <c r="AH441" t="s">
        <v>30</v>
      </c>
      <c r="AI441">
        <v>113</v>
      </c>
      <c r="AJ441">
        <v>2.7</v>
      </c>
    </row>
    <row r="442" spans="1:36" x14ac:dyDescent="0.25">
      <c r="A442">
        <v>10441</v>
      </c>
      <c r="B442" t="s">
        <v>66</v>
      </c>
      <c r="C442" t="s">
        <v>32</v>
      </c>
      <c r="D442" t="s">
        <v>23</v>
      </c>
      <c r="E442" t="str">
        <f t="shared" si="78"/>
        <v>John Wilson is in HR Department</v>
      </c>
      <c r="F442" s="6" t="str">
        <f t="shared" si="79"/>
        <v>johnwilson@gmail.com</v>
      </c>
      <c r="G442">
        <v>94186</v>
      </c>
      <c r="H442" t="str">
        <f t="shared" si="80"/>
        <v>High</v>
      </c>
      <c r="I442" s="3">
        <v>40866</v>
      </c>
      <c r="J442">
        <f t="shared" si="81"/>
        <v>2011</v>
      </c>
      <c r="K442">
        <f t="shared" si="82"/>
        <v>11</v>
      </c>
      <c r="L442">
        <f t="shared" si="83"/>
        <v>19</v>
      </c>
      <c r="M442" s="3">
        <f t="shared" ca="1" si="84"/>
        <v>46100</v>
      </c>
      <c r="N442">
        <f t="shared" ca="1" si="85"/>
        <v>5234</v>
      </c>
      <c r="O442">
        <f t="shared" ca="1" si="86"/>
        <v>5234</v>
      </c>
      <c r="P442">
        <f t="shared" ca="1" si="87"/>
        <v>3739</v>
      </c>
      <c r="Q442">
        <v>29</v>
      </c>
      <c r="R442" t="str">
        <f t="shared" si="88"/>
        <v>Young</v>
      </c>
      <c r="S442" t="s">
        <v>34</v>
      </c>
      <c r="T442">
        <v>8</v>
      </c>
      <c r="U442" t="s">
        <v>45</v>
      </c>
      <c r="V442">
        <v>5859.71</v>
      </c>
      <c r="W442" t="s">
        <v>46</v>
      </c>
      <c r="X442" t="s">
        <v>36</v>
      </c>
      <c r="Y442">
        <v>25</v>
      </c>
      <c r="Z442" t="str">
        <f t="shared" si="89"/>
        <v>Good Employee</v>
      </c>
      <c r="AA442" t="b">
        <f t="shared" si="90"/>
        <v>1</v>
      </c>
      <c r="AB442" t="b">
        <f>OR(Y442&gt;20, T442&gt;6)</f>
        <v>1</v>
      </c>
      <c r="AC442" t="str">
        <f>IF(OR(Y442&gt;20,T442&gt;6), "Good employee", "Bad Employee")</f>
        <v>Good employee</v>
      </c>
      <c r="AD442" t="s">
        <v>28</v>
      </c>
      <c r="AE442" t="s">
        <v>48</v>
      </c>
      <c r="AF442">
        <v>16</v>
      </c>
      <c r="AG442">
        <v>2023</v>
      </c>
      <c r="AH442" t="s">
        <v>49</v>
      </c>
      <c r="AI442">
        <v>61</v>
      </c>
      <c r="AJ442">
        <v>1</v>
      </c>
    </row>
    <row r="443" spans="1:36" x14ac:dyDescent="0.25">
      <c r="A443">
        <v>10442</v>
      </c>
      <c r="B443" t="s">
        <v>53</v>
      </c>
      <c r="C443" t="s">
        <v>51</v>
      </c>
      <c r="D443" t="s">
        <v>39</v>
      </c>
      <c r="E443" t="str">
        <f t="shared" si="78"/>
        <v>Sarah Brown is in IT Department</v>
      </c>
      <c r="F443" s="6" t="str">
        <f t="shared" si="79"/>
        <v>sarahbrown@gmail.com</v>
      </c>
      <c r="G443">
        <v>34960</v>
      </c>
      <c r="H443" t="str">
        <f t="shared" si="80"/>
        <v>extremely low</v>
      </c>
      <c r="I443" s="3">
        <v>39445</v>
      </c>
      <c r="J443">
        <f t="shared" si="81"/>
        <v>2007</v>
      </c>
      <c r="K443">
        <f t="shared" si="82"/>
        <v>12</v>
      </c>
      <c r="L443">
        <f t="shared" si="83"/>
        <v>29</v>
      </c>
      <c r="M443" s="3">
        <f t="shared" ca="1" si="84"/>
        <v>46100</v>
      </c>
      <c r="N443">
        <f t="shared" ca="1" si="85"/>
        <v>6655</v>
      </c>
      <c r="O443">
        <f t="shared" ca="1" si="86"/>
        <v>6655</v>
      </c>
      <c r="P443">
        <f t="shared" ca="1" si="87"/>
        <v>4754</v>
      </c>
      <c r="Q443">
        <v>45</v>
      </c>
      <c r="R443" t="str">
        <f t="shared" si="88"/>
        <v>Old</v>
      </c>
      <c r="S443" t="s">
        <v>34</v>
      </c>
      <c r="T443">
        <v>5</v>
      </c>
      <c r="U443" t="s">
        <v>45</v>
      </c>
      <c r="V443">
        <v>8976.92</v>
      </c>
      <c r="W443" t="s">
        <v>35</v>
      </c>
      <c r="X443" t="s">
        <v>36</v>
      </c>
      <c r="Y443">
        <v>9</v>
      </c>
      <c r="Z443" t="str">
        <f t="shared" si="89"/>
        <v>Bad Employee</v>
      </c>
      <c r="AA443" t="b">
        <f t="shared" si="90"/>
        <v>0</v>
      </c>
      <c r="AB443" t="b">
        <f>OR(Y443&gt;20, T443&gt;6)</f>
        <v>0</v>
      </c>
      <c r="AC443" t="str">
        <f>IF(OR(Y443&gt;20,T443&gt;6), "Good employee", "Bad Employee")</f>
        <v>Bad Employee</v>
      </c>
      <c r="AD443" t="s">
        <v>28</v>
      </c>
      <c r="AE443" t="s">
        <v>48</v>
      </c>
      <c r="AF443">
        <v>13</v>
      </c>
      <c r="AG443">
        <v>2012</v>
      </c>
      <c r="AH443" t="s">
        <v>49</v>
      </c>
      <c r="AI443">
        <v>141</v>
      </c>
      <c r="AJ443">
        <v>4.4000000000000004</v>
      </c>
    </row>
    <row r="444" spans="1:36" x14ac:dyDescent="0.25">
      <c r="A444">
        <v>10443</v>
      </c>
      <c r="B444" t="s">
        <v>66</v>
      </c>
      <c r="C444" t="s">
        <v>63</v>
      </c>
      <c r="D444" t="s">
        <v>54</v>
      </c>
      <c r="E444" t="str">
        <f t="shared" si="78"/>
        <v>John Miller is in Finance Department</v>
      </c>
      <c r="F444" s="6" t="str">
        <f t="shared" si="79"/>
        <v>johnmiller@gmail.com</v>
      </c>
      <c r="G444">
        <v>48781</v>
      </c>
      <c r="H444" t="str">
        <f t="shared" si="80"/>
        <v>low</v>
      </c>
      <c r="I444" s="3">
        <v>43692</v>
      </c>
      <c r="J444">
        <f t="shared" si="81"/>
        <v>2019</v>
      </c>
      <c r="K444">
        <f t="shared" si="82"/>
        <v>8</v>
      </c>
      <c r="L444">
        <f t="shared" si="83"/>
        <v>15</v>
      </c>
      <c r="M444" s="3">
        <f t="shared" ca="1" si="84"/>
        <v>46100</v>
      </c>
      <c r="N444">
        <f t="shared" ca="1" si="85"/>
        <v>2408</v>
      </c>
      <c r="O444">
        <f t="shared" ca="1" si="86"/>
        <v>2408</v>
      </c>
      <c r="P444">
        <f t="shared" ca="1" si="87"/>
        <v>1721</v>
      </c>
      <c r="Q444">
        <v>40</v>
      </c>
      <c r="R444" t="str">
        <f t="shared" si="88"/>
        <v>Old</v>
      </c>
      <c r="S444" t="s">
        <v>24</v>
      </c>
      <c r="T444">
        <v>8</v>
      </c>
      <c r="U444" t="s">
        <v>45</v>
      </c>
      <c r="V444">
        <v>9941.56</v>
      </c>
      <c r="W444" t="s">
        <v>46</v>
      </c>
      <c r="X444" t="s">
        <v>55</v>
      </c>
      <c r="Y444">
        <v>29</v>
      </c>
      <c r="Z444" t="str">
        <f t="shared" si="89"/>
        <v>Good Employee</v>
      </c>
      <c r="AA444" t="b">
        <f t="shared" si="90"/>
        <v>1</v>
      </c>
      <c r="AB444" t="b">
        <f>OR(Y444&gt;20, T444&gt;6)</f>
        <v>1</v>
      </c>
      <c r="AC444" t="str">
        <f>IF(OR(Y444&gt;20,T444&gt;6), "Good employee", "Bad Employee")</f>
        <v>Good employee</v>
      </c>
      <c r="AD444" t="s">
        <v>28</v>
      </c>
      <c r="AE444" t="s">
        <v>48</v>
      </c>
      <c r="AF444">
        <v>16</v>
      </c>
      <c r="AG444">
        <v>2012</v>
      </c>
      <c r="AH444" t="s">
        <v>49</v>
      </c>
      <c r="AI444">
        <v>125</v>
      </c>
      <c r="AJ444">
        <v>3.4</v>
      </c>
    </row>
    <row r="445" spans="1:36" x14ac:dyDescent="0.25">
      <c r="A445">
        <v>10444</v>
      </c>
      <c r="B445" t="s">
        <v>53</v>
      </c>
      <c r="C445" t="s">
        <v>63</v>
      </c>
      <c r="D445" t="s">
        <v>44</v>
      </c>
      <c r="E445" t="str">
        <f t="shared" si="78"/>
        <v>Sarah Miller is in Sales Department</v>
      </c>
      <c r="F445" s="6" t="str">
        <f t="shared" si="79"/>
        <v>sarahmiller@gmail.com</v>
      </c>
      <c r="G445">
        <v>61126</v>
      </c>
      <c r="H445" t="str">
        <f t="shared" si="80"/>
        <v>Medium</v>
      </c>
      <c r="I445" s="3">
        <v>40282</v>
      </c>
      <c r="J445">
        <f t="shared" si="81"/>
        <v>2010</v>
      </c>
      <c r="K445">
        <f t="shared" si="82"/>
        <v>4</v>
      </c>
      <c r="L445">
        <f t="shared" si="83"/>
        <v>14</v>
      </c>
      <c r="M445" s="3">
        <f t="shared" ca="1" si="84"/>
        <v>46100</v>
      </c>
      <c r="N445">
        <f t="shared" ca="1" si="85"/>
        <v>5818</v>
      </c>
      <c r="O445">
        <f t="shared" ca="1" si="86"/>
        <v>5818</v>
      </c>
      <c r="P445">
        <f t="shared" ca="1" si="87"/>
        <v>4157</v>
      </c>
      <c r="Q445">
        <v>24</v>
      </c>
      <c r="R445" t="str">
        <f t="shared" si="88"/>
        <v>Young</v>
      </c>
      <c r="S445" t="s">
        <v>34</v>
      </c>
      <c r="T445">
        <v>5</v>
      </c>
      <c r="U445" t="s">
        <v>25</v>
      </c>
      <c r="V445">
        <v>9708.2999999999993</v>
      </c>
      <c r="W445" t="s">
        <v>46</v>
      </c>
      <c r="X445" t="s">
        <v>55</v>
      </c>
      <c r="Y445">
        <v>15</v>
      </c>
      <c r="Z445" t="str">
        <f t="shared" si="89"/>
        <v>Bad Employee</v>
      </c>
      <c r="AA445" t="b">
        <f t="shared" si="90"/>
        <v>0</v>
      </c>
      <c r="AB445" t="b">
        <f>OR(Y445&gt;20, T445&gt;6)</f>
        <v>0</v>
      </c>
      <c r="AC445" t="str">
        <f>IF(OR(Y445&gt;20,T445&gt;6), "Good employee", "Bad Employee")</f>
        <v>Bad Employee</v>
      </c>
      <c r="AD445" t="s">
        <v>56</v>
      </c>
      <c r="AE445" t="s">
        <v>29</v>
      </c>
      <c r="AF445">
        <v>0</v>
      </c>
      <c r="AG445">
        <v>2015</v>
      </c>
      <c r="AH445" t="s">
        <v>49</v>
      </c>
      <c r="AI445">
        <v>103</v>
      </c>
      <c r="AJ445">
        <v>1.7</v>
      </c>
    </row>
    <row r="446" spans="1:36" x14ac:dyDescent="0.25">
      <c r="A446">
        <v>10445</v>
      </c>
      <c r="B446" t="s">
        <v>31</v>
      </c>
      <c r="C446" t="s">
        <v>51</v>
      </c>
      <c r="D446" t="s">
        <v>54</v>
      </c>
      <c r="E446" t="str">
        <f t="shared" si="78"/>
        <v>Emily Brown is in Finance Department</v>
      </c>
      <c r="F446" s="6" t="str">
        <f t="shared" si="79"/>
        <v>emilybrown@gmail.com</v>
      </c>
      <c r="G446">
        <v>52578</v>
      </c>
      <c r="H446" t="str">
        <f t="shared" si="80"/>
        <v>Medium</v>
      </c>
      <c r="I446" s="3">
        <v>41980</v>
      </c>
      <c r="J446">
        <f t="shared" si="81"/>
        <v>2014</v>
      </c>
      <c r="K446">
        <f t="shared" si="82"/>
        <v>12</v>
      </c>
      <c r="L446">
        <f t="shared" si="83"/>
        <v>7</v>
      </c>
      <c r="M446" s="3">
        <f t="shared" ca="1" si="84"/>
        <v>46100</v>
      </c>
      <c r="N446">
        <f t="shared" ca="1" si="85"/>
        <v>4120</v>
      </c>
      <c r="O446">
        <f t="shared" ca="1" si="86"/>
        <v>4120</v>
      </c>
      <c r="P446">
        <f t="shared" ca="1" si="87"/>
        <v>2944</v>
      </c>
      <c r="Q446">
        <v>36</v>
      </c>
      <c r="R446" t="str">
        <f t="shared" si="88"/>
        <v>Old</v>
      </c>
      <c r="S446" t="s">
        <v>24</v>
      </c>
      <c r="T446">
        <v>9</v>
      </c>
      <c r="U446" t="s">
        <v>25</v>
      </c>
      <c r="V446">
        <v>7319.52</v>
      </c>
      <c r="W446" t="s">
        <v>26</v>
      </c>
      <c r="X446" t="s">
        <v>40</v>
      </c>
      <c r="Y446">
        <v>19</v>
      </c>
      <c r="Z446" t="str">
        <f t="shared" si="89"/>
        <v>Bad Employee</v>
      </c>
      <c r="AA446" t="b">
        <f t="shared" si="90"/>
        <v>0</v>
      </c>
      <c r="AB446" t="b">
        <f>OR(Y446&gt;20, T446&gt;6)</f>
        <v>1</v>
      </c>
      <c r="AC446" t="str">
        <f>IF(OR(Y446&gt;20,T446&gt;6), "Good employee", "Bad Employee")</f>
        <v>Good employee</v>
      </c>
      <c r="AD446" t="s">
        <v>56</v>
      </c>
      <c r="AE446" t="s">
        <v>59</v>
      </c>
      <c r="AF446">
        <v>19</v>
      </c>
      <c r="AG446">
        <v>2017</v>
      </c>
      <c r="AH446" t="s">
        <v>43</v>
      </c>
      <c r="AI446">
        <v>70</v>
      </c>
      <c r="AJ446">
        <v>1.1000000000000001</v>
      </c>
    </row>
    <row r="447" spans="1:36" x14ac:dyDescent="0.25">
      <c r="A447">
        <v>10446</v>
      </c>
      <c r="B447" t="s">
        <v>50</v>
      </c>
      <c r="C447" t="s">
        <v>61</v>
      </c>
      <c r="D447" t="s">
        <v>23</v>
      </c>
      <c r="E447" t="str">
        <f t="shared" si="78"/>
        <v>Alex Smith is in HR Department</v>
      </c>
      <c r="F447" s="6" t="str">
        <f t="shared" si="79"/>
        <v>alexsmith@gmail.com</v>
      </c>
      <c r="G447">
        <v>47883</v>
      </c>
      <c r="H447" t="str">
        <f t="shared" si="80"/>
        <v>low</v>
      </c>
      <c r="I447" s="3">
        <v>39809</v>
      </c>
      <c r="J447">
        <f t="shared" si="81"/>
        <v>2008</v>
      </c>
      <c r="K447">
        <f t="shared" si="82"/>
        <v>12</v>
      </c>
      <c r="L447">
        <f t="shared" si="83"/>
        <v>27</v>
      </c>
      <c r="M447" s="3">
        <f t="shared" ca="1" si="84"/>
        <v>46100</v>
      </c>
      <c r="N447">
        <f t="shared" ca="1" si="85"/>
        <v>6291</v>
      </c>
      <c r="O447">
        <f t="shared" ca="1" si="86"/>
        <v>6291</v>
      </c>
      <c r="P447">
        <f t="shared" ca="1" si="87"/>
        <v>4494</v>
      </c>
      <c r="Q447">
        <v>57</v>
      </c>
      <c r="R447" t="str">
        <f t="shared" si="88"/>
        <v>Old</v>
      </c>
      <c r="S447" t="s">
        <v>24</v>
      </c>
      <c r="T447">
        <v>7</v>
      </c>
      <c r="U447" t="s">
        <v>25</v>
      </c>
      <c r="V447">
        <v>1860.66</v>
      </c>
      <c r="W447" t="s">
        <v>35</v>
      </c>
      <c r="X447" t="s">
        <v>47</v>
      </c>
      <c r="Y447">
        <v>15</v>
      </c>
      <c r="Z447" t="str">
        <f t="shared" si="89"/>
        <v>Bad Employee</v>
      </c>
      <c r="AA447" t="b">
        <f t="shared" si="90"/>
        <v>0</v>
      </c>
      <c r="AB447" t="b">
        <f>OR(Y447&gt;20, T447&gt;6)</f>
        <v>1</v>
      </c>
      <c r="AC447" t="str">
        <f>IF(OR(Y447&gt;20,T447&gt;6), "Good employee", "Bad Employee")</f>
        <v>Good employee</v>
      </c>
      <c r="AD447" t="s">
        <v>56</v>
      </c>
      <c r="AE447" t="s">
        <v>42</v>
      </c>
      <c r="AF447">
        <v>0</v>
      </c>
      <c r="AG447">
        <v>2019</v>
      </c>
      <c r="AH447" t="s">
        <v>49</v>
      </c>
      <c r="AI447">
        <v>148</v>
      </c>
      <c r="AJ447">
        <v>2.2000000000000002</v>
      </c>
    </row>
    <row r="448" spans="1:36" x14ac:dyDescent="0.25">
      <c r="A448">
        <v>10447</v>
      </c>
      <c r="B448" t="s">
        <v>50</v>
      </c>
      <c r="C448" t="s">
        <v>32</v>
      </c>
      <c r="D448" t="s">
        <v>23</v>
      </c>
      <c r="E448" t="str">
        <f t="shared" si="78"/>
        <v>Alex Wilson is in HR Department</v>
      </c>
      <c r="F448" s="6" t="str">
        <f t="shared" si="79"/>
        <v>alexwilson@gmail.com</v>
      </c>
      <c r="G448">
        <v>59782</v>
      </c>
      <c r="H448" t="str">
        <f t="shared" si="80"/>
        <v>Medium</v>
      </c>
      <c r="I448" s="3">
        <v>41217</v>
      </c>
      <c r="J448">
        <f t="shared" si="81"/>
        <v>2012</v>
      </c>
      <c r="K448">
        <f t="shared" si="82"/>
        <v>11</v>
      </c>
      <c r="L448">
        <f t="shared" si="83"/>
        <v>4</v>
      </c>
      <c r="M448" s="3">
        <f t="shared" ca="1" si="84"/>
        <v>46100</v>
      </c>
      <c r="N448">
        <f t="shared" ca="1" si="85"/>
        <v>4883</v>
      </c>
      <c r="O448">
        <f t="shared" ca="1" si="86"/>
        <v>4883</v>
      </c>
      <c r="P448">
        <f t="shared" ca="1" si="87"/>
        <v>3489</v>
      </c>
      <c r="Q448">
        <v>27</v>
      </c>
      <c r="R448" t="str">
        <f t="shared" si="88"/>
        <v>Young</v>
      </c>
      <c r="S448" t="s">
        <v>34</v>
      </c>
      <c r="T448">
        <v>5</v>
      </c>
      <c r="U448" t="s">
        <v>45</v>
      </c>
      <c r="V448">
        <v>720.27</v>
      </c>
      <c r="W448" t="s">
        <v>35</v>
      </c>
      <c r="X448" t="s">
        <v>36</v>
      </c>
      <c r="Y448">
        <v>39</v>
      </c>
      <c r="Z448" t="str">
        <f t="shared" si="89"/>
        <v>Bad Employee</v>
      </c>
      <c r="AA448" t="b">
        <f t="shared" si="90"/>
        <v>0</v>
      </c>
      <c r="AB448" t="b">
        <f>OR(Y448&gt;20, T448&gt;6)</f>
        <v>1</v>
      </c>
      <c r="AC448" t="str">
        <f>IF(OR(Y448&gt;20,T448&gt;6), "Good employee", "Bad Employee")</f>
        <v>Good employee</v>
      </c>
      <c r="AD448" t="s">
        <v>28</v>
      </c>
      <c r="AE448" t="s">
        <v>29</v>
      </c>
      <c r="AF448">
        <v>1</v>
      </c>
      <c r="AG448">
        <v>2014</v>
      </c>
      <c r="AH448" t="s">
        <v>49</v>
      </c>
      <c r="AI448">
        <v>114</v>
      </c>
      <c r="AJ448">
        <v>4.7</v>
      </c>
    </row>
    <row r="449" spans="1:36" x14ac:dyDescent="0.25">
      <c r="A449">
        <v>10448</v>
      </c>
      <c r="B449" t="s">
        <v>64</v>
      </c>
      <c r="C449" t="s">
        <v>32</v>
      </c>
      <c r="D449" t="s">
        <v>52</v>
      </c>
      <c r="E449" t="str">
        <f t="shared" si="78"/>
        <v>Katie Wilson is in Operations Department</v>
      </c>
      <c r="F449" s="6" t="str">
        <f t="shared" si="79"/>
        <v>katiewilson@gmail.com</v>
      </c>
      <c r="G449">
        <v>86387</v>
      </c>
      <c r="H449" t="str">
        <f t="shared" si="80"/>
        <v>High</v>
      </c>
      <c r="I449" s="3">
        <v>43354</v>
      </c>
      <c r="J449">
        <f t="shared" si="81"/>
        <v>2018</v>
      </c>
      <c r="K449">
        <f t="shared" si="82"/>
        <v>9</v>
      </c>
      <c r="L449">
        <f t="shared" si="83"/>
        <v>11</v>
      </c>
      <c r="M449" s="3">
        <f t="shared" ca="1" si="84"/>
        <v>46100</v>
      </c>
      <c r="N449">
        <f t="shared" ca="1" si="85"/>
        <v>2746</v>
      </c>
      <c r="O449">
        <f t="shared" ca="1" si="86"/>
        <v>2746</v>
      </c>
      <c r="P449">
        <f t="shared" ca="1" si="87"/>
        <v>1963</v>
      </c>
      <c r="Q449">
        <v>63</v>
      </c>
      <c r="R449" t="str">
        <f t="shared" si="88"/>
        <v>Old</v>
      </c>
      <c r="S449" t="s">
        <v>34</v>
      </c>
      <c r="T449">
        <v>9</v>
      </c>
      <c r="U449" t="s">
        <v>25</v>
      </c>
      <c r="V449">
        <v>8339.57</v>
      </c>
      <c r="W449" t="s">
        <v>46</v>
      </c>
      <c r="X449" t="s">
        <v>40</v>
      </c>
      <c r="Y449">
        <v>35</v>
      </c>
      <c r="Z449" t="str">
        <f t="shared" si="89"/>
        <v>Good Employee</v>
      </c>
      <c r="AA449" t="b">
        <f t="shared" si="90"/>
        <v>1</v>
      </c>
      <c r="AB449" t="b">
        <f>OR(Y449&gt;20, T449&gt;6)</f>
        <v>1</v>
      </c>
      <c r="AC449" t="str">
        <f>IF(OR(Y449&gt;20,T449&gt;6), "Good employee", "Bad Employee")</f>
        <v>Good employee</v>
      </c>
      <c r="AD449" t="s">
        <v>41</v>
      </c>
      <c r="AE449" t="s">
        <v>42</v>
      </c>
      <c r="AF449">
        <v>16</v>
      </c>
      <c r="AG449">
        <v>2010</v>
      </c>
      <c r="AH449" t="s">
        <v>49</v>
      </c>
      <c r="AI449">
        <v>134</v>
      </c>
      <c r="AJ449">
        <v>4.7</v>
      </c>
    </row>
    <row r="450" spans="1:36" x14ac:dyDescent="0.25">
      <c r="A450">
        <v>10449</v>
      </c>
      <c r="B450" t="s">
        <v>21</v>
      </c>
      <c r="C450" t="s">
        <v>61</v>
      </c>
      <c r="D450" t="s">
        <v>39</v>
      </c>
      <c r="E450" t="str">
        <f t="shared" si="78"/>
        <v>Michael Smith is in IT Department</v>
      </c>
      <c r="F450" s="6" t="str">
        <f t="shared" si="79"/>
        <v>michaelsmith@gmail.com</v>
      </c>
      <c r="G450">
        <v>46979</v>
      </c>
      <c r="H450" t="str">
        <f t="shared" si="80"/>
        <v>low</v>
      </c>
      <c r="I450" s="3">
        <v>40552</v>
      </c>
      <c r="J450">
        <f t="shared" si="81"/>
        <v>2011</v>
      </c>
      <c r="K450">
        <f t="shared" si="82"/>
        <v>1</v>
      </c>
      <c r="L450">
        <f t="shared" si="83"/>
        <v>9</v>
      </c>
      <c r="M450" s="3">
        <f t="shared" ca="1" si="84"/>
        <v>46100</v>
      </c>
      <c r="N450">
        <f t="shared" ca="1" si="85"/>
        <v>5548</v>
      </c>
      <c r="O450">
        <f t="shared" ca="1" si="86"/>
        <v>5548</v>
      </c>
      <c r="P450">
        <f t="shared" ca="1" si="87"/>
        <v>3964</v>
      </c>
      <c r="Q450">
        <v>39</v>
      </c>
      <c r="R450" t="str">
        <f t="shared" si="88"/>
        <v>Old</v>
      </c>
      <c r="S450" t="s">
        <v>34</v>
      </c>
      <c r="T450">
        <v>5</v>
      </c>
      <c r="U450" t="s">
        <v>25</v>
      </c>
      <c r="V450">
        <v>8488.9500000000007</v>
      </c>
      <c r="W450" t="s">
        <v>26</v>
      </c>
      <c r="X450" t="s">
        <v>40</v>
      </c>
      <c r="Y450">
        <v>13</v>
      </c>
      <c r="Z450" t="str">
        <f t="shared" si="89"/>
        <v>Bad Employee</v>
      </c>
      <c r="AA450" t="b">
        <f t="shared" si="90"/>
        <v>0</v>
      </c>
      <c r="AB450" t="b">
        <f>OR(Y450&gt;20, T450&gt;6)</f>
        <v>0</v>
      </c>
      <c r="AC450" t="str">
        <f>IF(OR(Y450&gt;20,T450&gt;6), "Good employee", "Bad Employee")</f>
        <v>Bad Employee</v>
      </c>
      <c r="AD450" t="s">
        <v>56</v>
      </c>
      <c r="AE450" t="s">
        <v>62</v>
      </c>
      <c r="AF450">
        <v>0</v>
      </c>
      <c r="AG450">
        <v>2010</v>
      </c>
      <c r="AH450" t="s">
        <v>49</v>
      </c>
      <c r="AI450">
        <v>148</v>
      </c>
      <c r="AJ450">
        <v>2.2000000000000002</v>
      </c>
    </row>
    <row r="451" spans="1:36" x14ac:dyDescent="0.25">
      <c r="A451">
        <v>10450</v>
      </c>
      <c r="B451" t="s">
        <v>64</v>
      </c>
      <c r="C451" t="s">
        <v>63</v>
      </c>
      <c r="D451" t="s">
        <v>23</v>
      </c>
      <c r="E451" t="str">
        <f t="shared" ref="E451:E514" si="91">CONCATENATE(B451, " ", C451, " is in ", D451, " Department")</f>
        <v>Katie Miller is in HR Department</v>
      </c>
      <c r="F451" s="6" t="str">
        <f t="shared" ref="F451:F514" si="92">LOWER(CONCATENATE(B451, C451, "@gmail.com"))</f>
        <v>katiemiller@gmail.com</v>
      </c>
      <c r="G451">
        <v>63746</v>
      </c>
      <c r="H451" t="str">
        <f t="shared" ref="H451:H514" si="93">IF(G451&gt;80000, "High", IF(G451&gt;50000, "Medium", IF(G451&gt;40000, "low", "extremely low")))</f>
        <v>Medium</v>
      </c>
      <c r="I451" s="3">
        <v>37682</v>
      </c>
      <c r="J451">
        <f t="shared" ref="J451:J514" si="94">YEAR(I451)</f>
        <v>2003</v>
      </c>
      <c r="K451">
        <f t="shared" ref="K451:K514" si="95">MONTH(I451)</f>
        <v>3</v>
      </c>
      <c r="L451">
        <f t="shared" ref="L451:L514" si="96">DAY(I451)</f>
        <v>2</v>
      </c>
      <c r="M451" s="3">
        <f t="shared" ref="M451:M514" ca="1" si="97">TODAY()</f>
        <v>46100</v>
      </c>
      <c r="N451">
        <f t="shared" ref="N451:N514" ca="1" si="98">M451-I451</f>
        <v>8418</v>
      </c>
      <c r="O451">
        <f t="shared" ref="O451:O514" ca="1" si="99">DATEDIF(I451,M451, "d")</f>
        <v>8418</v>
      </c>
      <c r="P451">
        <f t="shared" ref="P451:P514" ca="1" si="100">NETWORKDAYS(I451, M451)</f>
        <v>6014</v>
      </c>
      <c r="Q451">
        <v>59</v>
      </c>
      <c r="R451" t="str">
        <f t="shared" ref="R451:R514" si="101">IF(Q451&gt;30, "Old", "Young")</f>
        <v>Old</v>
      </c>
      <c r="S451" t="s">
        <v>34</v>
      </c>
      <c r="T451">
        <v>8</v>
      </c>
      <c r="U451" t="s">
        <v>45</v>
      </c>
      <c r="V451">
        <v>7590.43</v>
      </c>
      <c r="W451" t="s">
        <v>46</v>
      </c>
      <c r="X451" t="s">
        <v>47</v>
      </c>
      <c r="Y451">
        <v>16</v>
      </c>
      <c r="Z451" t="str">
        <f t="shared" ref="Z451:Z514" si="102" xml:space="preserve"> IF(AND(Y451&gt;20, T451&gt;6), "Good Employee", "Bad Employee")</f>
        <v>Bad Employee</v>
      </c>
      <c r="AA451" t="b">
        <f t="shared" ref="AA451:AA514" si="103">AND(Y451&gt;20, T451&gt;6)</f>
        <v>0</v>
      </c>
      <c r="AB451" t="b">
        <f>OR(Y451&gt;20, T451&gt;6)</f>
        <v>1</v>
      </c>
      <c r="AC451" t="str">
        <f>IF(OR(Y451&gt;20,T451&gt;6), "Good employee", "Bad Employee")</f>
        <v>Good employee</v>
      </c>
      <c r="AD451" t="s">
        <v>56</v>
      </c>
      <c r="AE451" t="s">
        <v>62</v>
      </c>
      <c r="AF451">
        <v>11</v>
      </c>
      <c r="AG451">
        <v>2012</v>
      </c>
      <c r="AH451" t="s">
        <v>30</v>
      </c>
      <c r="AI451">
        <v>76</v>
      </c>
      <c r="AJ451">
        <v>4.3</v>
      </c>
    </row>
    <row r="452" spans="1:36" x14ac:dyDescent="0.25">
      <c r="A452">
        <v>10451</v>
      </c>
      <c r="B452" t="s">
        <v>64</v>
      </c>
      <c r="C452" t="s">
        <v>65</v>
      </c>
      <c r="D452" t="s">
        <v>54</v>
      </c>
      <c r="E452" t="str">
        <f t="shared" si="91"/>
        <v>Katie Johnson is in Finance Department</v>
      </c>
      <c r="F452" s="6" t="str">
        <f t="shared" si="92"/>
        <v>katiejohnson@gmail.com</v>
      </c>
      <c r="G452">
        <v>96266</v>
      </c>
      <c r="H452" t="str">
        <f t="shared" si="93"/>
        <v>High</v>
      </c>
      <c r="I452" s="3">
        <v>39587</v>
      </c>
      <c r="J452">
        <f t="shared" si="94"/>
        <v>2008</v>
      </c>
      <c r="K452">
        <f t="shared" si="95"/>
        <v>5</v>
      </c>
      <c r="L452">
        <f t="shared" si="96"/>
        <v>19</v>
      </c>
      <c r="M452" s="3">
        <f t="shared" ca="1" si="97"/>
        <v>46100</v>
      </c>
      <c r="N452">
        <f t="shared" ca="1" si="98"/>
        <v>6513</v>
      </c>
      <c r="O452">
        <f t="shared" ca="1" si="99"/>
        <v>6513</v>
      </c>
      <c r="P452">
        <f t="shared" ca="1" si="100"/>
        <v>4654</v>
      </c>
      <c r="Q452">
        <v>40</v>
      </c>
      <c r="R452" t="str">
        <f t="shared" si="101"/>
        <v>Old</v>
      </c>
      <c r="S452" t="s">
        <v>34</v>
      </c>
      <c r="T452">
        <v>4</v>
      </c>
      <c r="U452" t="s">
        <v>45</v>
      </c>
      <c r="V452">
        <v>3159.27</v>
      </c>
      <c r="W452" t="s">
        <v>46</v>
      </c>
      <c r="X452" t="s">
        <v>55</v>
      </c>
      <c r="Y452">
        <v>3</v>
      </c>
      <c r="Z452" t="str">
        <f t="shared" si="102"/>
        <v>Bad Employee</v>
      </c>
      <c r="AA452" t="b">
        <f t="shared" si="103"/>
        <v>0</v>
      </c>
      <c r="AB452" t="b">
        <f>OR(Y452&gt;20, T452&gt;6)</f>
        <v>0</v>
      </c>
      <c r="AC452" t="str">
        <f>IF(OR(Y452&gt;20,T452&gt;6), "Good employee", "Bad Employee")</f>
        <v>Bad Employee</v>
      </c>
      <c r="AD452" t="s">
        <v>41</v>
      </c>
      <c r="AE452" t="s">
        <v>42</v>
      </c>
      <c r="AF452">
        <v>12</v>
      </c>
      <c r="AG452">
        <v>2021</v>
      </c>
      <c r="AH452" t="s">
        <v>43</v>
      </c>
      <c r="AI452">
        <v>5</v>
      </c>
      <c r="AJ452">
        <v>2.8</v>
      </c>
    </row>
    <row r="453" spans="1:36" x14ac:dyDescent="0.25">
      <c r="A453">
        <v>10452</v>
      </c>
      <c r="B453" t="s">
        <v>64</v>
      </c>
      <c r="C453" t="s">
        <v>65</v>
      </c>
      <c r="D453" t="s">
        <v>54</v>
      </c>
      <c r="E453" t="str">
        <f t="shared" si="91"/>
        <v>Katie Johnson is in Finance Department</v>
      </c>
      <c r="F453" s="6" t="str">
        <f t="shared" si="92"/>
        <v>katiejohnson@gmail.com</v>
      </c>
      <c r="G453">
        <v>30056</v>
      </c>
      <c r="H453" t="str">
        <f t="shared" si="93"/>
        <v>extremely low</v>
      </c>
      <c r="I453" s="3">
        <v>43683</v>
      </c>
      <c r="J453">
        <f t="shared" si="94"/>
        <v>2019</v>
      </c>
      <c r="K453">
        <f t="shared" si="95"/>
        <v>8</v>
      </c>
      <c r="L453">
        <f t="shared" si="96"/>
        <v>6</v>
      </c>
      <c r="M453" s="3">
        <f t="shared" ca="1" si="97"/>
        <v>46100</v>
      </c>
      <c r="N453">
        <f t="shared" ca="1" si="98"/>
        <v>2417</v>
      </c>
      <c r="O453">
        <f t="shared" ca="1" si="99"/>
        <v>2417</v>
      </c>
      <c r="P453">
        <f t="shared" ca="1" si="100"/>
        <v>1728</v>
      </c>
      <c r="Q453">
        <v>51</v>
      </c>
      <c r="R453" t="str">
        <f t="shared" si="101"/>
        <v>Old</v>
      </c>
      <c r="S453" t="s">
        <v>24</v>
      </c>
      <c r="T453">
        <v>9</v>
      </c>
      <c r="U453" t="s">
        <v>45</v>
      </c>
      <c r="V453">
        <v>6578.27</v>
      </c>
      <c r="W453" t="s">
        <v>58</v>
      </c>
      <c r="X453" t="s">
        <v>47</v>
      </c>
      <c r="Y453">
        <v>31</v>
      </c>
      <c r="Z453" t="str">
        <f t="shared" si="102"/>
        <v>Good Employee</v>
      </c>
      <c r="AA453" t="b">
        <f t="shared" si="103"/>
        <v>1</v>
      </c>
      <c r="AB453" t="b">
        <f>OR(Y453&gt;20, T453&gt;6)</f>
        <v>1</v>
      </c>
      <c r="AC453" t="str">
        <f>IF(OR(Y453&gt;20,T453&gt;6), "Good employee", "Bad Employee")</f>
        <v>Good employee</v>
      </c>
      <c r="AD453" t="s">
        <v>28</v>
      </c>
      <c r="AE453" t="s">
        <v>62</v>
      </c>
      <c r="AF453">
        <v>13</v>
      </c>
      <c r="AG453">
        <v>2021</v>
      </c>
      <c r="AH453" t="s">
        <v>43</v>
      </c>
      <c r="AI453">
        <v>109</v>
      </c>
      <c r="AJ453">
        <v>3.6</v>
      </c>
    </row>
    <row r="454" spans="1:36" x14ac:dyDescent="0.25">
      <c r="A454">
        <v>10453</v>
      </c>
      <c r="B454" t="s">
        <v>64</v>
      </c>
      <c r="C454" t="s">
        <v>61</v>
      </c>
      <c r="D454" t="s">
        <v>33</v>
      </c>
      <c r="E454" t="str">
        <f t="shared" si="91"/>
        <v>Katie Smith is in Marketing Department</v>
      </c>
      <c r="F454" s="6" t="str">
        <f t="shared" si="92"/>
        <v>katiesmith@gmail.com</v>
      </c>
      <c r="G454">
        <v>61457</v>
      </c>
      <c r="H454" t="str">
        <f t="shared" si="93"/>
        <v>Medium</v>
      </c>
      <c r="I454" s="3">
        <v>42445</v>
      </c>
      <c r="J454">
        <f t="shared" si="94"/>
        <v>2016</v>
      </c>
      <c r="K454">
        <f t="shared" si="95"/>
        <v>3</v>
      </c>
      <c r="L454">
        <f t="shared" si="96"/>
        <v>16</v>
      </c>
      <c r="M454" s="3">
        <f t="shared" ca="1" si="97"/>
        <v>46100</v>
      </c>
      <c r="N454">
        <f t="shared" ca="1" si="98"/>
        <v>3655</v>
      </c>
      <c r="O454">
        <f t="shared" ca="1" si="99"/>
        <v>3655</v>
      </c>
      <c r="P454">
        <f t="shared" ca="1" si="100"/>
        <v>2612</v>
      </c>
      <c r="Q454">
        <v>34</v>
      </c>
      <c r="R454" t="str">
        <f t="shared" si="101"/>
        <v>Old</v>
      </c>
      <c r="S454" t="s">
        <v>24</v>
      </c>
      <c r="T454">
        <v>6</v>
      </c>
      <c r="U454" t="s">
        <v>45</v>
      </c>
      <c r="V454">
        <v>3504.36</v>
      </c>
      <c r="W454" t="s">
        <v>26</v>
      </c>
      <c r="X454" t="s">
        <v>40</v>
      </c>
      <c r="Y454">
        <v>1</v>
      </c>
      <c r="Z454" t="str">
        <f t="shared" si="102"/>
        <v>Bad Employee</v>
      </c>
      <c r="AA454" t="b">
        <f t="shared" si="103"/>
        <v>0</v>
      </c>
      <c r="AB454" t="b">
        <f>OR(Y454&gt;20, T454&gt;6)</f>
        <v>0</v>
      </c>
      <c r="AC454" t="str">
        <f>IF(OR(Y454&gt;20,T454&gt;6), "Good employee", "Bad Employee")</f>
        <v>Bad Employee</v>
      </c>
      <c r="AD454" t="s">
        <v>56</v>
      </c>
      <c r="AE454" t="s">
        <v>59</v>
      </c>
      <c r="AF454">
        <v>9</v>
      </c>
      <c r="AG454">
        <v>2015</v>
      </c>
      <c r="AH454" t="s">
        <v>30</v>
      </c>
      <c r="AI454">
        <v>158</v>
      </c>
      <c r="AJ454">
        <v>2.2999999999999998</v>
      </c>
    </row>
    <row r="455" spans="1:36" x14ac:dyDescent="0.25">
      <c r="A455">
        <v>10454</v>
      </c>
      <c r="B455" t="s">
        <v>64</v>
      </c>
      <c r="C455" t="s">
        <v>65</v>
      </c>
      <c r="D455" t="s">
        <v>23</v>
      </c>
      <c r="E455" t="str">
        <f t="shared" si="91"/>
        <v>Katie Johnson is in HR Department</v>
      </c>
      <c r="F455" s="6" t="str">
        <f t="shared" si="92"/>
        <v>katiejohnson@gmail.com</v>
      </c>
      <c r="G455">
        <v>32243</v>
      </c>
      <c r="H455" t="str">
        <f t="shared" si="93"/>
        <v>extremely low</v>
      </c>
      <c r="I455" s="3">
        <v>42419</v>
      </c>
      <c r="J455">
        <f t="shared" si="94"/>
        <v>2016</v>
      </c>
      <c r="K455">
        <f t="shared" si="95"/>
        <v>2</v>
      </c>
      <c r="L455">
        <f t="shared" si="96"/>
        <v>19</v>
      </c>
      <c r="M455" s="3">
        <f t="shared" ca="1" si="97"/>
        <v>46100</v>
      </c>
      <c r="N455">
        <f t="shared" ca="1" si="98"/>
        <v>3681</v>
      </c>
      <c r="O455">
        <f t="shared" ca="1" si="99"/>
        <v>3681</v>
      </c>
      <c r="P455">
        <f t="shared" ca="1" si="100"/>
        <v>2630</v>
      </c>
      <c r="Q455">
        <v>60</v>
      </c>
      <c r="R455" t="str">
        <f t="shared" si="101"/>
        <v>Old</v>
      </c>
      <c r="S455" t="s">
        <v>24</v>
      </c>
      <c r="T455">
        <v>6</v>
      </c>
      <c r="U455" t="s">
        <v>45</v>
      </c>
      <c r="V455">
        <v>4781.16</v>
      </c>
      <c r="W455" t="s">
        <v>58</v>
      </c>
      <c r="X455" t="s">
        <v>47</v>
      </c>
      <c r="Y455">
        <v>35</v>
      </c>
      <c r="Z455" t="str">
        <f t="shared" si="102"/>
        <v>Bad Employee</v>
      </c>
      <c r="AA455" t="b">
        <f t="shared" si="103"/>
        <v>0</v>
      </c>
      <c r="AB455" t="b">
        <f>OR(Y455&gt;20, T455&gt;6)</f>
        <v>1</v>
      </c>
      <c r="AC455" t="str">
        <f>IF(OR(Y455&gt;20,T455&gt;6), "Good employee", "Bad Employee")</f>
        <v>Good employee</v>
      </c>
      <c r="AD455" t="s">
        <v>28</v>
      </c>
      <c r="AE455" t="s">
        <v>59</v>
      </c>
      <c r="AF455">
        <v>11</v>
      </c>
      <c r="AG455">
        <v>2011</v>
      </c>
      <c r="AH455" t="s">
        <v>30</v>
      </c>
      <c r="AI455">
        <v>176</v>
      </c>
      <c r="AJ455">
        <v>3.1</v>
      </c>
    </row>
    <row r="456" spans="1:36" x14ac:dyDescent="0.25">
      <c r="A456">
        <v>10455</v>
      </c>
      <c r="B456" t="s">
        <v>38</v>
      </c>
      <c r="C456" t="s">
        <v>57</v>
      </c>
      <c r="D456" t="s">
        <v>44</v>
      </c>
      <c r="E456" t="str">
        <f t="shared" si="91"/>
        <v>Chris Davis is in Sales Department</v>
      </c>
      <c r="F456" s="6" t="str">
        <f t="shared" si="92"/>
        <v>chrisdavis@gmail.com</v>
      </c>
      <c r="G456">
        <v>85031</v>
      </c>
      <c r="H456" t="str">
        <f t="shared" si="93"/>
        <v>High</v>
      </c>
      <c r="I456" s="3">
        <v>40971</v>
      </c>
      <c r="J456">
        <f t="shared" si="94"/>
        <v>2012</v>
      </c>
      <c r="K456">
        <f t="shared" si="95"/>
        <v>3</v>
      </c>
      <c r="L456">
        <f t="shared" si="96"/>
        <v>3</v>
      </c>
      <c r="M456" s="3">
        <f t="shared" ca="1" si="97"/>
        <v>46100</v>
      </c>
      <c r="N456">
        <f t="shared" ca="1" si="98"/>
        <v>5129</v>
      </c>
      <c r="O456">
        <f t="shared" ca="1" si="99"/>
        <v>5129</v>
      </c>
      <c r="P456">
        <f t="shared" ca="1" si="100"/>
        <v>3664</v>
      </c>
      <c r="Q456">
        <v>33</v>
      </c>
      <c r="R456" t="str">
        <f t="shared" si="101"/>
        <v>Old</v>
      </c>
      <c r="S456" t="s">
        <v>24</v>
      </c>
      <c r="T456">
        <v>3</v>
      </c>
      <c r="U456" t="s">
        <v>25</v>
      </c>
      <c r="V456">
        <v>4133.13</v>
      </c>
      <c r="W456" t="s">
        <v>46</v>
      </c>
      <c r="X456" t="s">
        <v>55</v>
      </c>
      <c r="Y456">
        <v>16</v>
      </c>
      <c r="Z456" t="str">
        <f t="shared" si="102"/>
        <v>Bad Employee</v>
      </c>
      <c r="AA456" t="b">
        <f t="shared" si="103"/>
        <v>0</v>
      </c>
      <c r="AB456" t="b">
        <f>OR(Y456&gt;20, T456&gt;6)</f>
        <v>0</v>
      </c>
      <c r="AC456" t="str">
        <f>IF(OR(Y456&gt;20,T456&gt;6), "Good employee", "Bad Employee")</f>
        <v>Bad Employee</v>
      </c>
      <c r="AD456" t="s">
        <v>56</v>
      </c>
      <c r="AE456" t="s">
        <v>29</v>
      </c>
      <c r="AF456">
        <v>17</v>
      </c>
      <c r="AG456">
        <v>2010</v>
      </c>
      <c r="AH456" t="s">
        <v>43</v>
      </c>
      <c r="AI456">
        <v>137</v>
      </c>
      <c r="AJ456">
        <v>2.2000000000000002</v>
      </c>
    </row>
    <row r="457" spans="1:36" x14ac:dyDescent="0.25">
      <c r="A457">
        <v>10456</v>
      </c>
      <c r="B457" t="s">
        <v>50</v>
      </c>
      <c r="C457" t="s">
        <v>51</v>
      </c>
      <c r="D457" t="s">
        <v>52</v>
      </c>
      <c r="E457" t="str">
        <f t="shared" si="91"/>
        <v>Alex Brown is in Operations Department</v>
      </c>
      <c r="F457" s="6" t="str">
        <f t="shared" si="92"/>
        <v>alexbrown@gmail.com</v>
      </c>
      <c r="G457">
        <v>31701</v>
      </c>
      <c r="H457" t="str">
        <f t="shared" si="93"/>
        <v>extremely low</v>
      </c>
      <c r="I457" s="3">
        <v>38855</v>
      </c>
      <c r="J457">
        <f t="shared" si="94"/>
        <v>2006</v>
      </c>
      <c r="K457">
        <f t="shared" si="95"/>
        <v>5</v>
      </c>
      <c r="L457">
        <f t="shared" si="96"/>
        <v>18</v>
      </c>
      <c r="M457" s="3">
        <f t="shared" ca="1" si="97"/>
        <v>46100</v>
      </c>
      <c r="N457">
        <f t="shared" ca="1" si="98"/>
        <v>7245</v>
      </c>
      <c r="O457">
        <f t="shared" ca="1" si="99"/>
        <v>7245</v>
      </c>
      <c r="P457">
        <f t="shared" ca="1" si="100"/>
        <v>5176</v>
      </c>
      <c r="Q457">
        <v>55</v>
      </c>
      <c r="R457" t="str">
        <f t="shared" si="101"/>
        <v>Old</v>
      </c>
      <c r="S457" t="s">
        <v>34</v>
      </c>
      <c r="T457">
        <v>3</v>
      </c>
      <c r="U457" t="s">
        <v>25</v>
      </c>
      <c r="V457">
        <v>9179.58</v>
      </c>
      <c r="W457" t="s">
        <v>46</v>
      </c>
      <c r="X457" t="s">
        <v>40</v>
      </c>
      <c r="Y457">
        <v>1</v>
      </c>
      <c r="Z457" t="str">
        <f t="shared" si="102"/>
        <v>Bad Employee</v>
      </c>
      <c r="AA457" t="b">
        <f t="shared" si="103"/>
        <v>0</v>
      </c>
      <c r="AB457" t="b">
        <f>OR(Y457&gt;20, T457&gt;6)</f>
        <v>0</v>
      </c>
      <c r="AC457" t="str">
        <f>IF(OR(Y457&gt;20,T457&gt;6), "Good employee", "Bad Employee")</f>
        <v>Bad Employee</v>
      </c>
      <c r="AD457" t="s">
        <v>56</v>
      </c>
      <c r="AE457" t="s">
        <v>42</v>
      </c>
      <c r="AF457">
        <v>6</v>
      </c>
      <c r="AG457">
        <v>2016</v>
      </c>
      <c r="AH457" t="s">
        <v>43</v>
      </c>
      <c r="AI457">
        <v>25</v>
      </c>
      <c r="AJ457">
        <v>1.2</v>
      </c>
    </row>
    <row r="458" spans="1:36" x14ac:dyDescent="0.25">
      <c r="A458">
        <v>10457</v>
      </c>
      <c r="B458" t="s">
        <v>64</v>
      </c>
      <c r="C458" t="s">
        <v>51</v>
      </c>
      <c r="D458" t="s">
        <v>39</v>
      </c>
      <c r="E458" t="str">
        <f t="shared" si="91"/>
        <v>Katie Brown is in IT Department</v>
      </c>
      <c r="F458" s="6" t="str">
        <f t="shared" si="92"/>
        <v>katiebrown@gmail.com</v>
      </c>
      <c r="G458">
        <v>86381</v>
      </c>
      <c r="H458" t="str">
        <f t="shared" si="93"/>
        <v>High</v>
      </c>
      <c r="I458" s="3">
        <v>42962</v>
      </c>
      <c r="J458">
        <f t="shared" si="94"/>
        <v>2017</v>
      </c>
      <c r="K458">
        <f t="shared" si="95"/>
        <v>8</v>
      </c>
      <c r="L458">
        <f t="shared" si="96"/>
        <v>15</v>
      </c>
      <c r="M458" s="3">
        <f t="shared" ca="1" si="97"/>
        <v>46100</v>
      </c>
      <c r="N458">
        <f t="shared" ca="1" si="98"/>
        <v>3138</v>
      </c>
      <c r="O458">
        <f t="shared" ca="1" si="99"/>
        <v>3138</v>
      </c>
      <c r="P458">
        <f t="shared" ca="1" si="100"/>
        <v>2243</v>
      </c>
      <c r="Q458">
        <v>33</v>
      </c>
      <c r="R458" t="str">
        <f t="shared" si="101"/>
        <v>Old</v>
      </c>
      <c r="S458" t="s">
        <v>24</v>
      </c>
      <c r="T458">
        <v>4</v>
      </c>
      <c r="U458" t="s">
        <v>25</v>
      </c>
      <c r="V458">
        <v>2724.49</v>
      </c>
      <c r="W458" t="s">
        <v>26</v>
      </c>
      <c r="X458" t="s">
        <v>47</v>
      </c>
      <c r="Y458">
        <v>14</v>
      </c>
      <c r="Z458" t="str">
        <f t="shared" si="102"/>
        <v>Bad Employee</v>
      </c>
      <c r="AA458" t="b">
        <f t="shared" si="103"/>
        <v>0</v>
      </c>
      <c r="AB458" t="b">
        <f>OR(Y458&gt;20, T458&gt;6)</f>
        <v>0</v>
      </c>
      <c r="AC458" t="str">
        <f>IF(OR(Y458&gt;20,T458&gt;6), "Good employee", "Bad Employee")</f>
        <v>Bad Employee</v>
      </c>
      <c r="AD458" t="s">
        <v>41</v>
      </c>
      <c r="AE458" t="s">
        <v>29</v>
      </c>
      <c r="AF458">
        <v>18</v>
      </c>
      <c r="AG458">
        <v>2023</v>
      </c>
      <c r="AH458" t="s">
        <v>30</v>
      </c>
      <c r="AI458">
        <v>39</v>
      </c>
      <c r="AJ458">
        <v>1.6</v>
      </c>
    </row>
    <row r="459" spans="1:36" x14ac:dyDescent="0.25">
      <c r="A459">
        <v>10458</v>
      </c>
      <c r="B459" t="s">
        <v>53</v>
      </c>
      <c r="C459" t="s">
        <v>61</v>
      </c>
      <c r="D459" t="s">
        <v>44</v>
      </c>
      <c r="E459" t="str">
        <f t="shared" si="91"/>
        <v>Sarah Smith is in Sales Department</v>
      </c>
      <c r="F459" s="6" t="str">
        <f t="shared" si="92"/>
        <v>sarahsmith@gmail.com</v>
      </c>
      <c r="G459">
        <v>80438</v>
      </c>
      <c r="H459" t="str">
        <f t="shared" si="93"/>
        <v>High</v>
      </c>
      <c r="I459" s="3">
        <v>37818</v>
      </c>
      <c r="J459">
        <f t="shared" si="94"/>
        <v>2003</v>
      </c>
      <c r="K459">
        <f t="shared" si="95"/>
        <v>7</v>
      </c>
      <c r="L459">
        <f t="shared" si="96"/>
        <v>16</v>
      </c>
      <c r="M459" s="3">
        <f t="shared" ca="1" si="97"/>
        <v>46100</v>
      </c>
      <c r="N459">
        <f t="shared" ca="1" si="98"/>
        <v>8282</v>
      </c>
      <c r="O459">
        <f t="shared" ca="1" si="99"/>
        <v>8282</v>
      </c>
      <c r="P459">
        <f t="shared" ca="1" si="100"/>
        <v>5917</v>
      </c>
      <c r="Q459">
        <v>45</v>
      </c>
      <c r="R459" t="str">
        <f t="shared" si="101"/>
        <v>Old</v>
      </c>
      <c r="S459" t="s">
        <v>34</v>
      </c>
      <c r="T459">
        <v>1</v>
      </c>
      <c r="U459" t="s">
        <v>25</v>
      </c>
      <c r="V459">
        <v>5987.3</v>
      </c>
      <c r="W459" t="s">
        <v>35</v>
      </c>
      <c r="X459" t="s">
        <v>36</v>
      </c>
      <c r="Y459">
        <v>7</v>
      </c>
      <c r="Z459" t="str">
        <f t="shared" si="102"/>
        <v>Bad Employee</v>
      </c>
      <c r="AA459" t="b">
        <f t="shared" si="103"/>
        <v>0</v>
      </c>
      <c r="AB459" t="b">
        <f>OR(Y459&gt;20, T459&gt;6)</f>
        <v>0</v>
      </c>
      <c r="AC459" t="str">
        <f>IF(OR(Y459&gt;20,T459&gt;6), "Good employee", "Bad Employee")</f>
        <v>Bad Employee</v>
      </c>
      <c r="AD459" t="s">
        <v>41</v>
      </c>
      <c r="AE459" t="s">
        <v>59</v>
      </c>
      <c r="AF459">
        <v>14</v>
      </c>
      <c r="AG459">
        <v>2023</v>
      </c>
      <c r="AH459" t="s">
        <v>49</v>
      </c>
      <c r="AI459">
        <v>108</v>
      </c>
      <c r="AJ459">
        <v>2.2000000000000002</v>
      </c>
    </row>
    <row r="460" spans="1:36" x14ac:dyDescent="0.25">
      <c r="A460">
        <v>10459</v>
      </c>
      <c r="B460" t="s">
        <v>50</v>
      </c>
      <c r="C460" t="s">
        <v>22</v>
      </c>
      <c r="D460" t="s">
        <v>52</v>
      </c>
      <c r="E460" t="str">
        <f t="shared" si="91"/>
        <v>Alex Williams is in Operations Department</v>
      </c>
      <c r="F460" s="6" t="str">
        <f t="shared" si="92"/>
        <v>alexwilliams@gmail.com</v>
      </c>
      <c r="G460">
        <v>103839</v>
      </c>
      <c r="H460" t="str">
        <f t="shared" si="93"/>
        <v>High</v>
      </c>
      <c r="I460" s="3">
        <v>38410</v>
      </c>
      <c r="J460">
        <f t="shared" si="94"/>
        <v>2005</v>
      </c>
      <c r="K460">
        <f t="shared" si="95"/>
        <v>2</v>
      </c>
      <c r="L460">
        <f t="shared" si="96"/>
        <v>27</v>
      </c>
      <c r="M460" s="3">
        <f t="shared" ca="1" si="97"/>
        <v>46100</v>
      </c>
      <c r="N460">
        <f t="shared" ca="1" si="98"/>
        <v>7690</v>
      </c>
      <c r="O460">
        <f t="shared" ca="1" si="99"/>
        <v>7690</v>
      </c>
      <c r="P460">
        <f t="shared" ca="1" si="100"/>
        <v>5494</v>
      </c>
      <c r="Q460">
        <v>25</v>
      </c>
      <c r="R460" t="str">
        <f t="shared" si="101"/>
        <v>Young</v>
      </c>
      <c r="S460" t="s">
        <v>34</v>
      </c>
      <c r="T460">
        <v>6</v>
      </c>
      <c r="U460" t="s">
        <v>25</v>
      </c>
      <c r="V460">
        <v>3929.32</v>
      </c>
      <c r="W460" t="s">
        <v>46</v>
      </c>
      <c r="X460" t="s">
        <v>36</v>
      </c>
      <c r="Y460">
        <v>23</v>
      </c>
      <c r="Z460" t="str">
        <f t="shared" si="102"/>
        <v>Bad Employee</v>
      </c>
      <c r="AA460" t="b">
        <f t="shared" si="103"/>
        <v>0</v>
      </c>
      <c r="AB460" t="b">
        <f>OR(Y460&gt;20, T460&gt;6)</f>
        <v>1</v>
      </c>
      <c r="AC460" t="str">
        <f>IF(OR(Y460&gt;20,T460&gt;6), "Good employee", "Bad Employee")</f>
        <v>Good employee</v>
      </c>
      <c r="AD460" t="s">
        <v>41</v>
      </c>
      <c r="AE460" t="s">
        <v>59</v>
      </c>
      <c r="AF460">
        <v>6</v>
      </c>
      <c r="AG460">
        <v>2021</v>
      </c>
      <c r="AH460" t="s">
        <v>43</v>
      </c>
      <c r="AI460">
        <v>58</v>
      </c>
      <c r="AJ460">
        <v>4.9000000000000004</v>
      </c>
    </row>
    <row r="461" spans="1:36" x14ac:dyDescent="0.25">
      <c r="A461">
        <v>10460</v>
      </c>
      <c r="B461" t="s">
        <v>50</v>
      </c>
      <c r="C461" t="s">
        <v>63</v>
      </c>
      <c r="D461" t="s">
        <v>54</v>
      </c>
      <c r="E461" t="str">
        <f t="shared" si="91"/>
        <v>Alex Miller is in Finance Department</v>
      </c>
      <c r="F461" s="6" t="str">
        <f t="shared" si="92"/>
        <v>alexmiller@gmail.com</v>
      </c>
      <c r="G461">
        <v>110636</v>
      </c>
      <c r="H461" t="str">
        <f t="shared" si="93"/>
        <v>High</v>
      </c>
      <c r="I461" s="3">
        <v>38086</v>
      </c>
      <c r="J461">
        <f t="shared" si="94"/>
        <v>2004</v>
      </c>
      <c r="K461">
        <f t="shared" si="95"/>
        <v>4</v>
      </c>
      <c r="L461">
        <f t="shared" si="96"/>
        <v>9</v>
      </c>
      <c r="M461" s="3">
        <f t="shared" ca="1" si="97"/>
        <v>46100</v>
      </c>
      <c r="N461">
        <f t="shared" ca="1" si="98"/>
        <v>8014</v>
      </c>
      <c r="O461">
        <f t="shared" ca="1" si="99"/>
        <v>8014</v>
      </c>
      <c r="P461">
        <f t="shared" ca="1" si="100"/>
        <v>5725</v>
      </c>
      <c r="Q461">
        <v>57</v>
      </c>
      <c r="R461" t="str">
        <f t="shared" si="101"/>
        <v>Old</v>
      </c>
      <c r="S461" t="s">
        <v>34</v>
      </c>
      <c r="T461">
        <v>1</v>
      </c>
      <c r="U461" t="s">
        <v>45</v>
      </c>
      <c r="V461">
        <v>6799.18</v>
      </c>
      <c r="W461" t="s">
        <v>46</v>
      </c>
      <c r="X461" t="s">
        <v>47</v>
      </c>
      <c r="Y461">
        <v>35</v>
      </c>
      <c r="Z461" t="str">
        <f t="shared" si="102"/>
        <v>Bad Employee</v>
      </c>
      <c r="AA461" t="b">
        <f t="shared" si="103"/>
        <v>0</v>
      </c>
      <c r="AB461" t="b">
        <f>OR(Y461&gt;20, T461&gt;6)</f>
        <v>1</v>
      </c>
      <c r="AC461" t="str">
        <f>IF(OR(Y461&gt;20,T461&gt;6), "Good employee", "Bad Employee")</f>
        <v>Good employee</v>
      </c>
      <c r="AD461" t="s">
        <v>41</v>
      </c>
      <c r="AE461" t="s">
        <v>59</v>
      </c>
      <c r="AF461">
        <v>13</v>
      </c>
      <c r="AG461">
        <v>2011</v>
      </c>
      <c r="AH461" t="s">
        <v>30</v>
      </c>
      <c r="AI461">
        <v>128</v>
      </c>
      <c r="AJ461">
        <v>4.9000000000000004</v>
      </c>
    </row>
    <row r="462" spans="1:36" x14ac:dyDescent="0.25">
      <c r="A462">
        <v>10461</v>
      </c>
      <c r="B462" t="s">
        <v>60</v>
      </c>
      <c r="C462" t="s">
        <v>61</v>
      </c>
      <c r="D462" t="s">
        <v>44</v>
      </c>
      <c r="E462" t="str">
        <f t="shared" si="91"/>
        <v>Jane Smith is in Sales Department</v>
      </c>
      <c r="F462" s="6" t="str">
        <f t="shared" si="92"/>
        <v>janesmith@gmail.com</v>
      </c>
      <c r="G462">
        <v>96483</v>
      </c>
      <c r="H462" t="str">
        <f t="shared" si="93"/>
        <v>High</v>
      </c>
      <c r="I462" s="3">
        <v>37509</v>
      </c>
      <c r="J462">
        <f t="shared" si="94"/>
        <v>2002</v>
      </c>
      <c r="K462">
        <f t="shared" si="95"/>
        <v>9</v>
      </c>
      <c r="L462">
        <f t="shared" si="96"/>
        <v>10</v>
      </c>
      <c r="M462" s="3">
        <f t="shared" ca="1" si="97"/>
        <v>46100</v>
      </c>
      <c r="N462">
        <f t="shared" ca="1" si="98"/>
        <v>8591</v>
      </c>
      <c r="O462">
        <f t="shared" ca="1" si="99"/>
        <v>8591</v>
      </c>
      <c r="P462">
        <f t="shared" ca="1" si="100"/>
        <v>6138</v>
      </c>
      <c r="Q462">
        <v>35</v>
      </c>
      <c r="R462" t="str">
        <f t="shared" si="101"/>
        <v>Old</v>
      </c>
      <c r="S462" t="s">
        <v>34</v>
      </c>
      <c r="T462">
        <v>4</v>
      </c>
      <c r="U462" t="s">
        <v>25</v>
      </c>
      <c r="V462">
        <v>5863.35</v>
      </c>
      <c r="W462" t="s">
        <v>58</v>
      </c>
      <c r="X462" t="s">
        <v>47</v>
      </c>
      <c r="Y462">
        <v>29</v>
      </c>
      <c r="Z462" t="str">
        <f t="shared" si="102"/>
        <v>Bad Employee</v>
      </c>
      <c r="AA462" t="b">
        <f t="shared" si="103"/>
        <v>0</v>
      </c>
      <c r="AB462" t="b">
        <f>OR(Y462&gt;20, T462&gt;6)</f>
        <v>1</v>
      </c>
      <c r="AC462" t="str">
        <f>IF(OR(Y462&gt;20,T462&gt;6), "Good employee", "Bad Employee")</f>
        <v>Good employee</v>
      </c>
      <c r="AD462" t="s">
        <v>28</v>
      </c>
      <c r="AE462" t="s">
        <v>48</v>
      </c>
      <c r="AF462">
        <v>8</v>
      </c>
      <c r="AG462">
        <v>2017</v>
      </c>
      <c r="AH462" t="s">
        <v>49</v>
      </c>
      <c r="AI462">
        <v>182</v>
      </c>
      <c r="AJ462">
        <v>4.3</v>
      </c>
    </row>
    <row r="463" spans="1:36" x14ac:dyDescent="0.25">
      <c r="A463">
        <v>10462</v>
      </c>
      <c r="B463" t="s">
        <v>38</v>
      </c>
      <c r="C463" t="s">
        <v>65</v>
      </c>
      <c r="D463" t="s">
        <v>52</v>
      </c>
      <c r="E463" t="str">
        <f t="shared" si="91"/>
        <v>Chris Johnson is in Operations Department</v>
      </c>
      <c r="F463" s="6" t="str">
        <f t="shared" si="92"/>
        <v>chrisjohnson@gmail.com</v>
      </c>
      <c r="G463">
        <v>50505</v>
      </c>
      <c r="H463" t="str">
        <f t="shared" si="93"/>
        <v>Medium</v>
      </c>
      <c r="I463" s="3">
        <v>38593</v>
      </c>
      <c r="J463">
        <f t="shared" si="94"/>
        <v>2005</v>
      </c>
      <c r="K463">
        <f t="shared" si="95"/>
        <v>8</v>
      </c>
      <c r="L463">
        <f t="shared" si="96"/>
        <v>29</v>
      </c>
      <c r="M463" s="3">
        <f t="shared" ca="1" si="97"/>
        <v>46100</v>
      </c>
      <c r="N463">
        <f t="shared" ca="1" si="98"/>
        <v>7507</v>
      </c>
      <c r="O463">
        <f t="shared" ca="1" si="99"/>
        <v>7507</v>
      </c>
      <c r="P463">
        <f t="shared" ca="1" si="100"/>
        <v>5364</v>
      </c>
      <c r="Q463">
        <v>38</v>
      </c>
      <c r="R463" t="str">
        <f t="shared" si="101"/>
        <v>Old</v>
      </c>
      <c r="S463" t="s">
        <v>34</v>
      </c>
      <c r="T463">
        <v>7</v>
      </c>
      <c r="U463" t="s">
        <v>25</v>
      </c>
      <c r="V463">
        <v>9277.7900000000009</v>
      </c>
      <c r="W463" t="s">
        <v>58</v>
      </c>
      <c r="X463" t="s">
        <v>55</v>
      </c>
      <c r="Y463">
        <v>22</v>
      </c>
      <c r="Z463" t="str">
        <f t="shared" si="102"/>
        <v>Good Employee</v>
      </c>
      <c r="AA463" t="b">
        <f t="shared" si="103"/>
        <v>1</v>
      </c>
      <c r="AB463" t="b">
        <f>OR(Y463&gt;20, T463&gt;6)</f>
        <v>1</v>
      </c>
      <c r="AC463" t="str">
        <f>IF(OR(Y463&gt;20,T463&gt;6), "Good employee", "Bad Employee")</f>
        <v>Good employee</v>
      </c>
      <c r="AD463" t="s">
        <v>28</v>
      </c>
      <c r="AE463" t="s">
        <v>62</v>
      </c>
      <c r="AF463">
        <v>4</v>
      </c>
      <c r="AG463">
        <v>2011</v>
      </c>
      <c r="AH463" t="s">
        <v>49</v>
      </c>
      <c r="AI463">
        <v>112</v>
      </c>
      <c r="AJ463">
        <v>1.9</v>
      </c>
    </row>
    <row r="464" spans="1:36" x14ac:dyDescent="0.25">
      <c r="A464">
        <v>10463</v>
      </c>
      <c r="B464" t="s">
        <v>64</v>
      </c>
      <c r="C464" t="s">
        <v>63</v>
      </c>
      <c r="D464" t="s">
        <v>54</v>
      </c>
      <c r="E464" t="str">
        <f t="shared" si="91"/>
        <v>Katie Miller is in Finance Department</v>
      </c>
      <c r="F464" s="6" t="str">
        <f t="shared" si="92"/>
        <v>katiemiller@gmail.com</v>
      </c>
      <c r="G464">
        <v>36553</v>
      </c>
      <c r="H464" t="str">
        <f t="shared" si="93"/>
        <v>extremely low</v>
      </c>
      <c r="I464" s="3">
        <v>43428</v>
      </c>
      <c r="J464">
        <f t="shared" si="94"/>
        <v>2018</v>
      </c>
      <c r="K464">
        <f t="shared" si="95"/>
        <v>11</v>
      </c>
      <c r="L464">
        <f t="shared" si="96"/>
        <v>24</v>
      </c>
      <c r="M464" s="3">
        <f t="shared" ca="1" si="97"/>
        <v>46100</v>
      </c>
      <c r="N464">
        <f t="shared" ca="1" si="98"/>
        <v>2672</v>
      </c>
      <c r="O464">
        <f t="shared" ca="1" si="99"/>
        <v>2672</v>
      </c>
      <c r="P464">
        <f t="shared" ca="1" si="100"/>
        <v>1909</v>
      </c>
      <c r="Q464">
        <v>24</v>
      </c>
      <c r="R464" t="str">
        <f t="shared" si="101"/>
        <v>Young</v>
      </c>
      <c r="S464" t="s">
        <v>24</v>
      </c>
      <c r="T464">
        <v>6</v>
      </c>
      <c r="U464" t="s">
        <v>25</v>
      </c>
      <c r="V464">
        <v>1465.32</v>
      </c>
      <c r="W464" t="s">
        <v>26</v>
      </c>
      <c r="X464" t="s">
        <v>40</v>
      </c>
      <c r="Y464">
        <v>16</v>
      </c>
      <c r="Z464" t="str">
        <f t="shared" si="102"/>
        <v>Bad Employee</v>
      </c>
      <c r="AA464" t="b">
        <f t="shared" si="103"/>
        <v>0</v>
      </c>
      <c r="AB464" t="b">
        <f>OR(Y464&gt;20, T464&gt;6)</f>
        <v>0</v>
      </c>
      <c r="AC464" t="str">
        <f>IF(OR(Y464&gt;20,T464&gt;6), "Good employee", "Bad Employee")</f>
        <v>Bad Employee</v>
      </c>
      <c r="AD464" t="s">
        <v>28</v>
      </c>
      <c r="AE464" t="s">
        <v>29</v>
      </c>
      <c r="AF464">
        <v>0</v>
      </c>
      <c r="AG464">
        <v>2020</v>
      </c>
      <c r="AH464" t="s">
        <v>30</v>
      </c>
      <c r="AI464">
        <v>48</v>
      </c>
      <c r="AJ464">
        <v>2.8</v>
      </c>
    </row>
    <row r="465" spans="1:36" x14ac:dyDescent="0.25">
      <c r="A465">
        <v>10464</v>
      </c>
      <c r="B465" t="s">
        <v>66</v>
      </c>
      <c r="C465" t="s">
        <v>22</v>
      </c>
      <c r="D465" t="s">
        <v>54</v>
      </c>
      <c r="E465" t="str">
        <f t="shared" si="91"/>
        <v>John Williams is in Finance Department</v>
      </c>
      <c r="F465" s="6" t="str">
        <f t="shared" si="92"/>
        <v>johnwilliams@gmail.com</v>
      </c>
      <c r="G465">
        <v>63525</v>
      </c>
      <c r="H465" t="str">
        <f t="shared" si="93"/>
        <v>Medium</v>
      </c>
      <c r="I465" s="3">
        <v>38389</v>
      </c>
      <c r="J465">
        <f t="shared" si="94"/>
        <v>2005</v>
      </c>
      <c r="K465">
        <f t="shared" si="95"/>
        <v>2</v>
      </c>
      <c r="L465">
        <f t="shared" si="96"/>
        <v>6</v>
      </c>
      <c r="M465" s="3">
        <f t="shared" ca="1" si="97"/>
        <v>46100</v>
      </c>
      <c r="N465">
        <f t="shared" ca="1" si="98"/>
        <v>7711</v>
      </c>
      <c r="O465">
        <f t="shared" ca="1" si="99"/>
        <v>7711</v>
      </c>
      <c r="P465">
        <f t="shared" ca="1" si="100"/>
        <v>5509</v>
      </c>
      <c r="Q465">
        <v>59</v>
      </c>
      <c r="R465" t="str">
        <f t="shared" si="101"/>
        <v>Old</v>
      </c>
      <c r="S465" t="s">
        <v>34</v>
      </c>
      <c r="T465">
        <v>8</v>
      </c>
      <c r="U465" t="s">
        <v>25</v>
      </c>
      <c r="V465">
        <v>2596.09</v>
      </c>
      <c r="W465" t="s">
        <v>58</v>
      </c>
      <c r="X465" t="s">
        <v>47</v>
      </c>
      <c r="Y465">
        <v>29</v>
      </c>
      <c r="Z465" t="str">
        <f t="shared" si="102"/>
        <v>Good Employee</v>
      </c>
      <c r="AA465" t="b">
        <f t="shared" si="103"/>
        <v>1</v>
      </c>
      <c r="AB465" t="b">
        <f>OR(Y465&gt;20, T465&gt;6)</f>
        <v>1</v>
      </c>
      <c r="AC465" t="str">
        <f>IF(OR(Y465&gt;20,T465&gt;6), "Good employee", "Bad Employee")</f>
        <v>Good employee</v>
      </c>
      <c r="AD465" t="s">
        <v>41</v>
      </c>
      <c r="AE465" t="s">
        <v>29</v>
      </c>
      <c r="AF465">
        <v>15</v>
      </c>
      <c r="AG465">
        <v>2010</v>
      </c>
      <c r="AH465" t="s">
        <v>43</v>
      </c>
      <c r="AI465">
        <v>89</v>
      </c>
      <c r="AJ465">
        <v>2.8</v>
      </c>
    </row>
    <row r="466" spans="1:36" x14ac:dyDescent="0.25">
      <c r="A466">
        <v>10465</v>
      </c>
      <c r="B466" t="s">
        <v>31</v>
      </c>
      <c r="C466" t="s">
        <v>65</v>
      </c>
      <c r="D466" t="s">
        <v>54</v>
      </c>
      <c r="E466" t="str">
        <f t="shared" si="91"/>
        <v>Emily Johnson is in Finance Department</v>
      </c>
      <c r="F466" s="6" t="str">
        <f t="shared" si="92"/>
        <v>emilyjohnson@gmail.com</v>
      </c>
      <c r="G466">
        <v>110402</v>
      </c>
      <c r="H466" t="str">
        <f t="shared" si="93"/>
        <v>High</v>
      </c>
      <c r="I466" s="3">
        <v>38505</v>
      </c>
      <c r="J466">
        <f t="shared" si="94"/>
        <v>2005</v>
      </c>
      <c r="K466">
        <f t="shared" si="95"/>
        <v>6</v>
      </c>
      <c r="L466">
        <f t="shared" si="96"/>
        <v>2</v>
      </c>
      <c r="M466" s="3">
        <f t="shared" ca="1" si="97"/>
        <v>46100</v>
      </c>
      <c r="N466">
        <f t="shared" ca="1" si="98"/>
        <v>7595</v>
      </c>
      <c r="O466">
        <f t="shared" ca="1" si="99"/>
        <v>7595</v>
      </c>
      <c r="P466">
        <f t="shared" ca="1" si="100"/>
        <v>5426</v>
      </c>
      <c r="Q466">
        <v>44</v>
      </c>
      <c r="R466" t="str">
        <f t="shared" si="101"/>
        <v>Old</v>
      </c>
      <c r="S466" t="s">
        <v>34</v>
      </c>
      <c r="T466">
        <v>4</v>
      </c>
      <c r="U466" t="s">
        <v>25</v>
      </c>
      <c r="V466">
        <v>7780.31</v>
      </c>
      <c r="W466" t="s">
        <v>35</v>
      </c>
      <c r="X466" t="s">
        <v>40</v>
      </c>
      <c r="Y466">
        <v>6</v>
      </c>
      <c r="Z466" t="str">
        <f t="shared" si="102"/>
        <v>Bad Employee</v>
      </c>
      <c r="AA466" t="b">
        <f t="shared" si="103"/>
        <v>0</v>
      </c>
      <c r="AB466" t="b">
        <f>OR(Y466&gt;20, T466&gt;6)</f>
        <v>0</v>
      </c>
      <c r="AC466" t="str">
        <f>IF(OR(Y466&gt;20,T466&gt;6), "Good employee", "Bad Employee")</f>
        <v>Bad Employee</v>
      </c>
      <c r="AD466" t="s">
        <v>56</v>
      </c>
      <c r="AE466" t="s">
        <v>59</v>
      </c>
      <c r="AF466">
        <v>4</v>
      </c>
      <c r="AG466">
        <v>2019</v>
      </c>
      <c r="AH466" t="s">
        <v>43</v>
      </c>
      <c r="AI466">
        <v>8</v>
      </c>
      <c r="AJ466">
        <v>2.5</v>
      </c>
    </row>
    <row r="467" spans="1:36" x14ac:dyDescent="0.25">
      <c r="A467">
        <v>10466</v>
      </c>
      <c r="B467" t="s">
        <v>21</v>
      </c>
      <c r="C467" t="s">
        <v>32</v>
      </c>
      <c r="D467" t="s">
        <v>54</v>
      </c>
      <c r="E467" t="str">
        <f t="shared" si="91"/>
        <v>Michael Wilson is in Finance Department</v>
      </c>
      <c r="F467" s="6" t="str">
        <f t="shared" si="92"/>
        <v>michaelwilson@gmail.com</v>
      </c>
      <c r="G467">
        <v>74348</v>
      </c>
      <c r="H467" t="str">
        <f t="shared" si="93"/>
        <v>Medium</v>
      </c>
      <c r="I467" s="3">
        <v>38262</v>
      </c>
      <c r="J467">
        <f t="shared" si="94"/>
        <v>2004</v>
      </c>
      <c r="K467">
        <f t="shared" si="95"/>
        <v>10</v>
      </c>
      <c r="L467">
        <f t="shared" si="96"/>
        <v>2</v>
      </c>
      <c r="M467" s="3">
        <f t="shared" ca="1" si="97"/>
        <v>46100</v>
      </c>
      <c r="N467">
        <f t="shared" ca="1" si="98"/>
        <v>7838</v>
      </c>
      <c r="O467">
        <f t="shared" ca="1" si="99"/>
        <v>7838</v>
      </c>
      <c r="P467">
        <f t="shared" ca="1" si="100"/>
        <v>5599</v>
      </c>
      <c r="Q467">
        <v>34</v>
      </c>
      <c r="R467" t="str">
        <f t="shared" si="101"/>
        <v>Old</v>
      </c>
      <c r="S467" t="s">
        <v>24</v>
      </c>
      <c r="T467">
        <v>9</v>
      </c>
      <c r="U467" t="s">
        <v>45</v>
      </c>
      <c r="V467">
        <v>4003.47</v>
      </c>
      <c r="W467" t="s">
        <v>46</v>
      </c>
      <c r="X467" t="s">
        <v>36</v>
      </c>
      <c r="Y467">
        <v>18</v>
      </c>
      <c r="Z467" t="str">
        <f t="shared" si="102"/>
        <v>Bad Employee</v>
      </c>
      <c r="AA467" t="b">
        <f t="shared" si="103"/>
        <v>0</v>
      </c>
      <c r="AB467" t="b">
        <f>OR(Y467&gt;20, T467&gt;6)</f>
        <v>1</v>
      </c>
      <c r="AC467" t="str">
        <f>IF(OR(Y467&gt;20,T467&gt;6), "Good employee", "Bad Employee")</f>
        <v>Good employee</v>
      </c>
      <c r="AD467" t="s">
        <v>28</v>
      </c>
      <c r="AE467" t="s">
        <v>48</v>
      </c>
      <c r="AF467">
        <v>7</v>
      </c>
      <c r="AG467">
        <v>2011</v>
      </c>
      <c r="AH467" t="s">
        <v>49</v>
      </c>
      <c r="AI467">
        <v>127</v>
      </c>
      <c r="AJ467">
        <v>1.2</v>
      </c>
    </row>
    <row r="468" spans="1:36" x14ac:dyDescent="0.25">
      <c r="A468">
        <v>10467</v>
      </c>
      <c r="B468" t="s">
        <v>53</v>
      </c>
      <c r="C468" t="s">
        <v>57</v>
      </c>
      <c r="D468" t="s">
        <v>54</v>
      </c>
      <c r="E468" t="str">
        <f t="shared" si="91"/>
        <v>Sarah Davis is in Finance Department</v>
      </c>
      <c r="F468" s="6" t="str">
        <f t="shared" si="92"/>
        <v>sarahdavis@gmail.com</v>
      </c>
      <c r="G468">
        <v>101187</v>
      </c>
      <c r="H468" t="str">
        <f t="shared" si="93"/>
        <v>High</v>
      </c>
      <c r="I468" s="3">
        <v>38978</v>
      </c>
      <c r="J468">
        <f t="shared" si="94"/>
        <v>2006</v>
      </c>
      <c r="K468">
        <f t="shared" si="95"/>
        <v>9</v>
      </c>
      <c r="L468">
        <f t="shared" si="96"/>
        <v>18</v>
      </c>
      <c r="M468" s="3">
        <f t="shared" ca="1" si="97"/>
        <v>46100</v>
      </c>
      <c r="N468">
        <f t="shared" ca="1" si="98"/>
        <v>7122</v>
      </c>
      <c r="O468">
        <f t="shared" ca="1" si="99"/>
        <v>7122</v>
      </c>
      <c r="P468">
        <f t="shared" ca="1" si="100"/>
        <v>5089</v>
      </c>
      <c r="Q468">
        <v>30</v>
      </c>
      <c r="R468" t="str">
        <f t="shared" si="101"/>
        <v>Young</v>
      </c>
      <c r="S468" t="s">
        <v>24</v>
      </c>
      <c r="T468">
        <v>8</v>
      </c>
      <c r="U468" t="s">
        <v>45</v>
      </c>
      <c r="V468">
        <v>2074.9499999999998</v>
      </c>
      <c r="W468" t="s">
        <v>58</v>
      </c>
      <c r="X468" t="s">
        <v>40</v>
      </c>
      <c r="Y468">
        <v>29</v>
      </c>
      <c r="Z468" t="str">
        <f t="shared" si="102"/>
        <v>Good Employee</v>
      </c>
      <c r="AA468" t="b">
        <f t="shared" si="103"/>
        <v>1</v>
      </c>
      <c r="AB468" t="b">
        <f>OR(Y468&gt;20, T468&gt;6)</f>
        <v>1</v>
      </c>
      <c r="AC468" t="str">
        <f>IF(OR(Y468&gt;20,T468&gt;6), "Good employee", "Bad Employee")</f>
        <v>Good employee</v>
      </c>
      <c r="AD468" t="s">
        <v>41</v>
      </c>
      <c r="AE468" t="s">
        <v>29</v>
      </c>
      <c r="AF468">
        <v>18</v>
      </c>
      <c r="AG468">
        <v>2011</v>
      </c>
      <c r="AH468" t="s">
        <v>30</v>
      </c>
      <c r="AI468">
        <v>46</v>
      </c>
      <c r="AJ468">
        <v>3.1</v>
      </c>
    </row>
    <row r="469" spans="1:36" x14ac:dyDescent="0.25">
      <c r="A469">
        <v>10468</v>
      </c>
      <c r="B469" t="s">
        <v>66</v>
      </c>
      <c r="C469" t="s">
        <v>65</v>
      </c>
      <c r="D469" t="s">
        <v>33</v>
      </c>
      <c r="E469" t="str">
        <f t="shared" si="91"/>
        <v>John Johnson is in Marketing Department</v>
      </c>
      <c r="F469" s="6" t="str">
        <f t="shared" si="92"/>
        <v>johnjohnson@gmail.com</v>
      </c>
      <c r="G469">
        <v>37273</v>
      </c>
      <c r="H469" t="str">
        <f t="shared" si="93"/>
        <v>extremely low</v>
      </c>
      <c r="I469" s="3">
        <v>41760</v>
      </c>
      <c r="J469">
        <f t="shared" si="94"/>
        <v>2014</v>
      </c>
      <c r="K469">
        <f t="shared" si="95"/>
        <v>5</v>
      </c>
      <c r="L469">
        <f t="shared" si="96"/>
        <v>1</v>
      </c>
      <c r="M469" s="3">
        <f t="shared" ca="1" si="97"/>
        <v>46100</v>
      </c>
      <c r="N469">
        <f t="shared" ca="1" si="98"/>
        <v>4340</v>
      </c>
      <c r="O469">
        <f t="shared" ca="1" si="99"/>
        <v>4340</v>
      </c>
      <c r="P469">
        <f t="shared" ca="1" si="100"/>
        <v>3101</v>
      </c>
      <c r="Q469">
        <v>42</v>
      </c>
      <c r="R469" t="str">
        <f t="shared" si="101"/>
        <v>Old</v>
      </c>
      <c r="S469" t="s">
        <v>24</v>
      </c>
      <c r="T469">
        <v>5</v>
      </c>
      <c r="U469" t="s">
        <v>25</v>
      </c>
      <c r="V469">
        <v>5281.55</v>
      </c>
      <c r="W469" t="s">
        <v>35</v>
      </c>
      <c r="X469" t="s">
        <v>27</v>
      </c>
      <c r="Y469">
        <v>25</v>
      </c>
      <c r="Z469" t="str">
        <f t="shared" si="102"/>
        <v>Bad Employee</v>
      </c>
      <c r="AA469" t="b">
        <f t="shared" si="103"/>
        <v>0</v>
      </c>
      <c r="AB469" t="b">
        <f>OR(Y469&gt;20, T469&gt;6)</f>
        <v>1</v>
      </c>
      <c r="AC469" t="str">
        <f>IF(OR(Y469&gt;20,T469&gt;6), "Good employee", "Bad Employee")</f>
        <v>Good employee</v>
      </c>
      <c r="AD469" t="s">
        <v>41</v>
      </c>
      <c r="AE469" t="s">
        <v>37</v>
      </c>
      <c r="AF469">
        <v>19</v>
      </c>
      <c r="AG469">
        <v>2016</v>
      </c>
      <c r="AH469" t="s">
        <v>49</v>
      </c>
      <c r="AI469">
        <v>173</v>
      </c>
      <c r="AJ469">
        <v>1.3</v>
      </c>
    </row>
    <row r="470" spans="1:36" x14ac:dyDescent="0.25">
      <c r="A470">
        <v>10469</v>
      </c>
      <c r="B470" t="s">
        <v>38</v>
      </c>
      <c r="C470" t="s">
        <v>57</v>
      </c>
      <c r="D470" t="s">
        <v>44</v>
      </c>
      <c r="E470" t="str">
        <f t="shared" si="91"/>
        <v>Chris Davis is in Sales Department</v>
      </c>
      <c r="F470" s="6" t="str">
        <f t="shared" si="92"/>
        <v>chrisdavis@gmail.com</v>
      </c>
      <c r="G470">
        <v>94236</v>
      </c>
      <c r="H470" t="str">
        <f t="shared" si="93"/>
        <v>High</v>
      </c>
      <c r="I470" s="3">
        <v>38444</v>
      </c>
      <c r="J470">
        <f t="shared" si="94"/>
        <v>2005</v>
      </c>
      <c r="K470">
        <f t="shared" si="95"/>
        <v>4</v>
      </c>
      <c r="L470">
        <f t="shared" si="96"/>
        <v>2</v>
      </c>
      <c r="M470" s="3">
        <f t="shared" ca="1" si="97"/>
        <v>46100</v>
      </c>
      <c r="N470">
        <f t="shared" ca="1" si="98"/>
        <v>7656</v>
      </c>
      <c r="O470">
        <f t="shared" ca="1" si="99"/>
        <v>7656</v>
      </c>
      <c r="P470">
        <f t="shared" ca="1" si="100"/>
        <v>5469</v>
      </c>
      <c r="Q470">
        <v>62</v>
      </c>
      <c r="R470" t="str">
        <f t="shared" si="101"/>
        <v>Old</v>
      </c>
      <c r="S470" t="s">
        <v>34</v>
      </c>
      <c r="T470">
        <v>6</v>
      </c>
      <c r="U470" t="s">
        <v>45</v>
      </c>
      <c r="V470">
        <v>6695.35</v>
      </c>
      <c r="W470" t="s">
        <v>46</v>
      </c>
      <c r="X470" t="s">
        <v>55</v>
      </c>
      <c r="Y470">
        <v>2</v>
      </c>
      <c r="Z470" t="str">
        <f t="shared" si="102"/>
        <v>Bad Employee</v>
      </c>
      <c r="AA470" t="b">
        <f t="shared" si="103"/>
        <v>0</v>
      </c>
      <c r="AB470" t="b">
        <f>OR(Y470&gt;20, T470&gt;6)</f>
        <v>0</v>
      </c>
      <c r="AC470" t="str">
        <f>IF(OR(Y470&gt;20,T470&gt;6), "Good employee", "Bad Employee")</f>
        <v>Bad Employee</v>
      </c>
      <c r="AD470" t="s">
        <v>41</v>
      </c>
      <c r="AE470" t="s">
        <v>29</v>
      </c>
      <c r="AF470">
        <v>11</v>
      </c>
      <c r="AG470">
        <v>2010</v>
      </c>
      <c r="AH470" t="s">
        <v>49</v>
      </c>
      <c r="AI470">
        <v>168</v>
      </c>
      <c r="AJ470">
        <v>4.2</v>
      </c>
    </row>
    <row r="471" spans="1:36" x14ac:dyDescent="0.25">
      <c r="A471">
        <v>10470</v>
      </c>
      <c r="B471" t="s">
        <v>31</v>
      </c>
      <c r="C471" t="s">
        <v>63</v>
      </c>
      <c r="D471" t="s">
        <v>52</v>
      </c>
      <c r="E471" t="str">
        <f t="shared" si="91"/>
        <v>Emily Miller is in Operations Department</v>
      </c>
      <c r="F471" s="6" t="str">
        <f t="shared" si="92"/>
        <v>emilymiller@gmail.com</v>
      </c>
      <c r="G471">
        <v>105569</v>
      </c>
      <c r="H471" t="str">
        <f t="shared" si="93"/>
        <v>High</v>
      </c>
      <c r="I471" s="3">
        <v>37226</v>
      </c>
      <c r="J471">
        <f t="shared" si="94"/>
        <v>2001</v>
      </c>
      <c r="K471">
        <f t="shared" si="95"/>
        <v>12</v>
      </c>
      <c r="L471">
        <f t="shared" si="96"/>
        <v>1</v>
      </c>
      <c r="M471" s="3">
        <f t="shared" ca="1" si="97"/>
        <v>46100</v>
      </c>
      <c r="N471">
        <f t="shared" ca="1" si="98"/>
        <v>8874</v>
      </c>
      <c r="O471">
        <f t="shared" ca="1" si="99"/>
        <v>8874</v>
      </c>
      <c r="P471">
        <f t="shared" ca="1" si="100"/>
        <v>6339</v>
      </c>
      <c r="Q471">
        <v>29</v>
      </c>
      <c r="R471" t="str">
        <f t="shared" si="101"/>
        <v>Young</v>
      </c>
      <c r="S471" t="s">
        <v>34</v>
      </c>
      <c r="T471">
        <v>5</v>
      </c>
      <c r="U471" t="s">
        <v>25</v>
      </c>
      <c r="V471">
        <v>925.85</v>
      </c>
      <c r="W471" t="s">
        <v>46</v>
      </c>
      <c r="X471" t="s">
        <v>55</v>
      </c>
      <c r="Y471">
        <v>32</v>
      </c>
      <c r="Z471" t="str">
        <f t="shared" si="102"/>
        <v>Bad Employee</v>
      </c>
      <c r="AA471" t="b">
        <f t="shared" si="103"/>
        <v>0</v>
      </c>
      <c r="AB471" t="b">
        <f>OR(Y471&gt;20, T471&gt;6)</f>
        <v>1</v>
      </c>
      <c r="AC471" t="str">
        <f>IF(OR(Y471&gt;20,T471&gt;6), "Good employee", "Bad Employee")</f>
        <v>Good employee</v>
      </c>
      <c r="AD471" t="s">
        <v>28</v>
      </c>
      <c r="AE471" t="s">
        <v>48</v>
      </c>
      <c r="AF471">
        <v>7</v>
      </c>
      <c r="AG471">
        <v>2012</v>
      </c>
      <c r="AH471" t="s">
        <v>49</v>
      </c>
      <c r="AI471">
        <v>28</v>
      </c>
      <c r="AJ471">
        <v>3.8</v>
      </c>
    </row>
    <row r="472" spans="1:36" x14ac:dyDescent="0.25">
      <c r="A472">
        <v>10471</v>
      </c>
      <c r="B472" t="s">
        <v>38</v>
      </c>
      <c r="C472" t="s">
        <v>57</v>
      </c>
      <c r="D472" t="s">
        <v>33</v>
      </c>
      <c r="E472" t="str">
        <f t="shared" si="91"/>
        <v>Chris Davis is in Marketing Department</v>
      </c>
      <c r="F472" s="6" t="str">
        <f t="shared" si="92"/>
        <v>chrisdavis@gmail.com</v>
      </c>
      <c r="G472">
        <v>33535</v>
      </c>
      <c r="H472" t="str">
        <f t="shared" si="93"/>
        <v>extremely low</v>
      </c>
      <c r="I472" s="3">
        <v>43649</v>
      </c>
      <c r="J472">
        <f t="shared" si="94"/>
        <v>2019</v>
      </c>
      <c r="K472">
        <f t="shared" si="95"/>
        <v>7</v>
      </c>
      <c r="L472">
        <f t="shared" si="96"/>
        <v>3</v>
      </c>
      <c r="M472" s="3">
        <f t="shared" ca="1" si="97"/>
        <v>46100</v>
      </c>
      <c r="N472">
        <f t="shared" ca="1" si="98"/>
        <v>2451</v>
      </c>
      <c r="O472">
        <f t="shared" ca="1" si="99"/>
        <v>2451</v>
      </c>
      <c r="P472">
        <f t="shared" ca="1" si="100"/>
        <v>1752</v>
      </c>
      <c r="Q472">
        <v>38</v>
      </c>
      <c r="R472" t="str">
        <f t="shared" si="101"/>
        <v>Old</v>
      </c>
      <c r="S472" t="s">
        <v>34</v>
      </c>
      <c r="T472">
        <v>6</v>
      </c>
      <c r="U472" t="s">
        <v>25</v>
      </c>
      <c r="V472">
        <v>3270.41</v>
      </c>
      <c r="W472" t="s">
        <v>35</v>
      </c>
      <c r="X472" t="s">
        <v>40</v>
      </c>
      <c r="Y472">
        <v>36</v>
      </c>
      <c r="Z472" t="str">
        <f t="shared" si="102"/>
        <v>Bad Employee</v>
      </c>
      <c r="AA472" t="b">
        <f t="shared" si="103"/>
        <v>0</v>
      </c>
      <c r="AB472" t="b">
        <f>OR(Y472&gt;20, T472&gt;6)</f>
        <v>1</v>
      </c>
      <c r="AC472" t="str">
        <f>IF(OR(Y472&gt;20,T472&gt;6), "Good employee", "Bad Employee")</f>
        <v>Good employee</v>
      </c>
      <c r="AD472" t="s">
        <v>56</v>
      </c>
      <c r="AE472" t="s">
        <v>59</v>
      </c>
      <c r="AF472">
        <v>7</v>
      </c>
      <c r="AG472">
        <v>2014</v>
      </c>
      <c r="AH472" t="s">
        <v>30</v>
      </c>
      <c r="AI472">
        <v>137</v>
      </c>
      <c r="AJ472">
        <v>2.4</v>
      </c>
    </row>
    <row r="473" spans="1:36" x14ac:dyDescent="0.25">
      <c r="A473">
        <v>10472</v>
      </c>
      <c r="B473" t="s">
        <v>53</v>
      </c>
      <c r="C473" t="s">
        <v>63</v>
      </c>
      <c r="D473" t="s">
        <v>33</v>
      </c>
      <c r="E473" t="str">
        <f t="shared" si="91"/>
        <v>Sarah Miller is in Marketing Department</v>
      </c>
      <c r="F473" s="6" t="str">
        <f t="shared" si="92"/>
        <v>sarahmiller@gmail.com</v>
      </c>
      <c r="G473">
        <v>48677</v>
      </c>
      <c r="H473" t="str">
        <f t="shared" si="93"/>
        <v>low</v>
      </c>
      <c r="I473" s="3">
        <v>40572</v>
      </c>
      <c r="J473">
        <f t="shared" si="94"/>
        <v>2011</v>
      </c>
      <c r="K473">
        <f t="shared" si="95"/>
        <v>1</v>
      </c>
      <c r="L473">
        <f t="shared" si="96"/>
        <v>29</v>
      </c>
      <c r="M473" s="3">
        <f t="shared" ca="1" si="97"/>
        <v>46100</v>
      </c>
      <c r="N473">
        <f t="shared" ca="1" si="98"/>
        <v>5528</v>
      </c>
      <c r="O473">
        <f t="shared" ca="1" si="99"/>
        <v>5528</v>
      </c>
      <c r="P473">
        <f t="shared" ca="1" si="100"/>
        <v>3949</v>
      </c>
      <c r="Q473">
        <v>37</v>
      </c>
      <c r="R473" t="str">
        <f t="shared" si="101"/>
        <v>Old</v>
      </c>
      <c r="S473" t="s">
        <v>34</v>
      </c>
      <c r="T473">
        <v>1</v>
      </c>
      <c r="U473" t="s">
        <v>45</v>
      </c>
      <c r="V473">
        <v>8189.51</v>
      </c>
      <c r="W473" t="s">
        <v>46</v>
      </c>
      <c r="X473" t="s">
        <v>55</v>
      </c>
      <c r="Y473">
        <v>32</v>
      </c>
      <c r="Z473" t="str">
        <f t="shared" si="102"/>
        <v>Bad Employee</v>
      </c>
      <c r="AA473" t="b">
        <f t="shared" si="103"/>
        <v>0</v>
      </c>
      <c r="AB473" t="b">
        <f>OR(Y473&gt;20, T473&gt;6)</f>
        <v>1</v>
      </c>
      <c r="AC473" t="str">
        <f>IF(OR(Y473&gt;20,T473&gt;6), "Good employee", "Bad Employee")</f>
        <v>Good employee</v>
      </c>
      <c r="AD473" t="s">
        <v>28</v>
      </c>
      <c r="AE473" t="s">
        <v>48</v>
      </c>
      <c r="AF473">
        <v>5</v>
      </c>
      <c r="AG473">
        <v>2021</v>
      </c>
      <c r="AH473" t="s">
        <v>43</v>
      </c>
      <c r="AI473">
        <v>189</v>
      </c>
      <c r="AJ473">
        <v>3.6</v>
      </c>
    </row>
    <row r="474" spans="1:36" x14ac:dyDescent="0.25">
      <c r="A474">
        <v>10473</v>
      </c>
      <c r="B474" t="s">
        <v>50</v>
      </c>
      <c r="C474" t="s">
        <v>63</v>
      </c>
      <c r="D474" t="s">
        <v>23</v>
      </c>
      <c r="E474" t="str">
        <f t="shared" si="91"/>
        <v>Alex Miller is in HR Department</v>
      </c>
      <c r="F474" s="6" t="str">
        <f t="shared" si="92"/>
        <v>alexmiller@gmail.com</v>
      </c>
      <c r="G474">
        <v>113024</v>
      </c>
      <c r="H474" t="str">
        <f t="shared" si="93"/>
        <v>High</v>
      </c>
      <c r="I474" s="3">
        <v>38599</v>
      </c>
      <c r="J474">
        <f t="shared" si="94"/>
        <v>2005</v>
      </c>
      <c r="K474">
        <f t="shared" si="95"/>
        <v>9</v>
      </c>
      <c r="L474">
        <f t="shared" si="96"/>
        <v>4</v>
      </c>
      <c r="M474" s="3">
        <f t="shared" ca="1" si="97"/>
        <v>46100</v>
      </c>
      <c r="N474">
        <f t="shared" ca="1" si="98"/>
        <v>7501</v>
      </c>
      <c r="O474">
        <f t="shared" ca="1" si="99"/>
        <v>7501</v>
      </c>
      <c r="P474">
        <f t="shared" ca="1" si="100"/>
        <v>5359</v>
      </c>
      <c r="Q474">
        <v>37</v>
      </c>
      <c r="R474" t="str">
        <f t="shared" si="101"/>
        <v>Old</v>
      </c>
      <c r="S474" t="s">
        <v>24</v>
      </c>
      <c r="T474">
        <v>4</v>
      </c>
      <c r="U474" t="s">
        <v>45</v>
      </c>
      <c r="V474">
        <v>5442.32</v>
      </c>
      <c r="W474" t="s">
        <v>35</v>
      </c>
      <c r="X474" t="s">
        <v>40</v>
      </c>
      <c r="Y474">
        <v>20</v>
      </c>
      <c r="Z474" t="str">
        <f t="shared" si="102"/>
        <v>Bad Employee</v>
      </c>
      <c r="AA474" t="b">
        <f t="shared" si="103"/>
        <v>0</v>
      </c>
      <c r="AB474" t="b">
        <f>OR(Y474&gt;20, T474&gt;6)</f>
        <v>0</v>
      </c>
      <c r="AC474" t="str">
        <f>IF(OR(Y474&gt;20,T474&gt;6), "Good employee", "Bad Employee")</f>
        <v>Bad Employee</v>
      </c>
      <c r="AD474" t="s">
        <v>41</v>
      </c>
      <c r="AE474" t="s">
        <v>62</v>
      </c>
      <c r="AF474">
        <v>19</v>
      </c>
      <c r="AG474">
        <v>2016</v>
      </c>
      <c r="AH474" t="s">
        <v>49</v>
      </c>
      <c r="AI474">
        <v>71</v>
      </c>
      <c r="AJ474">
        <v>1.9</v>
      </c>
    </row>
    <row r="475" spans="1:36" x14ac:dyDescent="0.25">
      <c r="A475">
        <v>10474</v>
      </c>
      <c r="B475" t="s">
        <v>31</v>
      </c>
      <c r="C475" t="s">
        <v>63</v>
      </c>
      <c r="D475" t="s">
        <v>23</v>
      </c>
      <c r="E475" t="str">
        <f t="shared" si="91"/>
        <v>Emily Miller is in HR Department</v>
      </c>
      <c r="F475" s="6" t="str">
        <f t="shared" si="92"/>
        <v>emilymiller@gmail.com</v>
      </c>
      <c r="G475">
        <v>30908</v>
      </c>
      <c r="H475" t="str">
        <f t="shared" si="93"/>
        <v>extremely low</v>
      </c>
      <c r="I475" s="3">
        <v>41187</v>
      </c>
      <c r="J475">
        <f t="shared" si="94"/>
        <v>2012</v>
      </c>
      <c r="K475">
        <f t="shared" si="95"/>
        <v>10</v>
      </c>
      <c r="L475">
        <f t="shared" si="96"/>
        <v>5</v>
      </c>
      <c r="M475" s="3">
        <f t="shared" ca="1" si="97"/>
        <v>46100</v>
      </c>
      <c r="N475">
        <f t="shared" ca="1" si="98"/>
        <v>4913</v>
      </c>
      <c r="O475">
        <f t="shared" ca="1" si="99"/>
        <v>4913</v>
      </c>
      <c r="P475">
        <f t="shared" ca="1" si="100"/>
        <v>3510</v>
      </c>
      <c r="Q475">
        <v>49</v>
      </c>
      <c r="R475" t="str">
        <f t="shared" si="101"/>
        <v>Old</v>
      </c>
      <c r="S475" t="s">
        <v>24</v>
      </c>
      <c r="T475">
        <v>9</v>
      </c>
      <c r="U475" t="s">
        <v>45</v>
      </c>
      <c r="V475">
        <v>836.1</v>
      </c>
      <c r="W475" t="s">
        <v>35</v>
      </c>
      <c r="X475" t="s">
        <v>40</v>
      </c>
      <c r="Y475">
        <v>37</v>
      </c>
      <c r="Z475" t="str">
        <f t="shared" si="102"/>
        <v>Good Employee</v>
      </c>
      <c r="AA475" t="b">
        <f t="shared" si="103"/>
        <v>1</v>
      </c>
      <c r="AB475" t="b">
        <f>OR(Y475&gt;20, T475&gt;6)</f>
        <v>1</v>
      </c>
      <c r="AC475" t="str">
        <f>IF(OR(Y475&gt;20,T475&gt;6), "Good employee", "Bad Employee")</f>
        <v>Good employee</v>
      </c>
      <c r="AD475" t="s">
        <v>41</v>
      </c>
      <c r="AE475" t="s">
        <v>29</v>
      </c>
      <c r="AF475">
        <v>8</v>
      </c>
      <c r="AG475">
        <v>2023</v>
      </c>
      <c r="AH475" t="s">
        <v>43</v>
      </c>
      <c r="AI475">
        <v>15</v>
      </c>
      <c r="AJ475">
        <v>2.1</v>
      </c>
    </row>
    <row r="476" spans="1:36" x14ac:dyDescent="0.25">
      <c r="A476">
        <v>10475</v>
      </c>
      <c r="B476" t="s">
        <v>50</v>
      </c>
      <c r="C476" t="s">
        <v>63</v>
      </c>
      <c r="D476" t="s">
        <v>23</v>
      </c>
      <c r="E476" t="str">
        <f t="shared" si="91"/>
        <v>Alex Miller is in HR Department</v>
      </c>
      <c r="F476" s="6" t="str">
        <f t="shared" si="92"/>
        <v>alexmiller@gmail.com</v>
      </c>
      <c r="G476">
        <v>100153</v>
      </c>
      <c r="H476" t="str">
        <f t="shared" si="93"/>
        <v>High</v>
      </c>
      <c r="I476" s="3">
        <v>40279</v>
      </c>
      <c r="J476">
        <f t="shared" si="94"/>
        <v>2010</v>
      </c>
      <c r="K476">
        <f t="shared" si="95"/>
        <v>4</v>
      </c>
      <c r="L476">
        <f t="shared" si="96"/>
        <v>11</v>
      </c>
      <c r="M476" s="3">
        <f t="shared" ca="1" si="97"/>
        <v>46100</v>
      </c>
      <c r="N476">
        <f t="shared" ca="1" si="98"/>
        <v>5821</v>
      </c>
      <c r="O476">
        <f t="shared" ca="1" si="99"/>
        <v>5821</v>
      </c>
      <c r="P476">
        <f t="shared" ca="1" si="100"/>
        <v>4159</v>
      </c>
      <c r="Q476">
        <v>37</v>
      </c>
      <c r="R476" t="str">
        <f t="shared" si="101"/>
        <v>Old</v>
      </c>
      <c r="S476" t="s">
        <v>24</v>
      </c>
      <c r="T476">
        <v>4</v>
      </c>
      <c r="U476" t="s">
        <v>25</v>
      </c>
      <c r="V476">
        <v>3178.53</v>
      </c>
      <c r="W476" t="s">
        <v>58</v>
      </c>
      <c r="X476" t="s">
        <v>36</v>
      </c>
      <c r="Y476">
        <v>38</v>
      </c>
      <c r="Z476" t="str">
        <f t="shared" si="102"/>
        <v>Bad Employee</v>
      </c>
      <c r="AA476" t="b">
        <f t="shared" si="103"/>
        <v>0</v>
      </c>
      <c r="AB476" t="b">
        <f>OR(Y476&gt;20, T476&gt;6)</f>
        <v>1</v>
      </c>
      <c r="AC476" t="str">
        <f>IF(OR(Y476&gt;20,T476&gt;6), "Good employee", "Bad Employee")</f>
        <v>Good employee</v>
      </c>
      <c r="AD476" t="s">
        <v>41</v>
      </c>
      <c r="AE476" t="s">
        <v>62</v>
      </c>
      <c r="AF476">
        <v>1</v>
      </c>
      <c r="AG476">
        <v>2015</v>
      </c>
      <c r="AH476" t="s">
        <v>43</v>
      </c>
      <c r="AI476">
        <v>177</v>
      </c>
      <c r="AJ476">
        <v>2.2999999999999998</v>
      </c>
    </row>
    <row r="477" spans="1:36" x14ac:dyDescent="0.25">
      <c r="A477">
        <v>10476</v>
      </c>
      <c r="B477" t="s">
        <v>53</v>
      </c>
      <c r="C477" t="s">
        <v>63</v>
      </c>
      <c r="D477" t="s">
        <v>39</v>
      </c>
      <c r="E477" t="str">
        <f t="shared" si="91"/>
        <v>Sarah Miller is in IT Department</v>
      </c>
      <c r="F477" s="6" t="str">
        <f t="shared" si="92"/>
        <v>sarahmiller@gmail.com</v>
      </c>
      <c r="G477">
        <v>118989</v>
      </c>
      <c r="H477" t="str">
        <f t="shared" si="93"/>
        <v>High</v>
      </c>
      <c r="I477" s="3">
        <v>36920</v>
      </c>
      <c r="J477">
        <f t="shared" si="94"/>
        <v>2001</v>
      </c>
      <c r="K477">
        <f t="shared" si="95"/>
        <v>1</v>
      </c>
      <c r="L477">
        <f t="shared" si="96"/>
        <v>29</v>
      </c>
      <c r="M477" s="3">
        <f t="shared" ca="1" si="97"/>
        <v>46100</v>
      </c>
      <c r="N477">
        <f t="shared" ca="1" si="98"/>
        <v>9180</v>
      </c>
      <c r="O477">
        <f t="shared" ca="1" si="99"/>
        <v>9180</v>
      </c>
      <c r="P477">
        <f t="shared" ca="1" si="100"/>
        <v>6559</v>
      </c>
      <c r="Q477">
        <v>35</v>
      </c>
      <c r="R477" t="str">
        <f t="shared" si="101"/>
        <v>Old</v>
      </c>
      <c r="S477" t="s">
        <v>24</v>
      </c>
      <c r="T477">
        <v>2</v>
      </c>
      <c r="U477" t="s">
        <v>25</v>
      </c>
      <c r="V477">
        <v>6571.84</v>
      </c>
      <c r="W477" t="s">
        <v>26</v>
      </c>
      <c r="X477" t="s">
        <v>40</v>
      </c>
      <c r="Y477">
        <v>33</v>
      </c>
      <c r="Z477" t="str">
        <f t="shared" si="102"/>
        <v>Bad Employee</v>
      </c>
      <c r="AA477" t="b">
        <f t="shared" si="103"/>
        <v>0</v>
      </c>
      <c r="AB477" t="b">
        <f>OR(Y477&gt;20, T477&gt;6)</f>
        <v>1</v>
      </c>
      <c r="AC477" t="str">
        <f>IF(OR(Y477&gt;20,T477&gt;6), "Good employee", "Bad Employee")</f>
        <v>Good employee</v>
      </c>
      <c r="AD477" t="s">
        <v>28</v>
      </c>
      <c r="AE477" t="s">
        <v>29</v>
      </c>
      <c r="AF477">
        <v>17</v>
      </c>
      <c r="AG477">
        <v>2017</v>
      </c>
      <c r="AH477" t="s">
        <v>30</v>
      </c>
      <c r="AI477">
        <v>100</v>
      </c>
      <c r="AJ477">
        <v>4.2</v>
      </c>
    </row>
    <row r="478" spans="1:36" x14ac:dyDescent="0.25">
      <c r="A478">
        <v>10477</v>
      </c>
      <c r="B478" t="s">
        <v>66</v>
      </c>
      <c r="C478" t="s">
        <v>65</v>
      </c>
      <c r="D478" t="s">
        <v>23</v>
      </c>
      <c r="E478" t="str">
        <f t="shared" si="91"/>
        <v>John Johnson is in HR Department</v>
      </c>
      <c r="F478" s="6" t="str">
        <f t="shared" si="92"/>
        <v>johnjohnson@gmail.com</v>
      </c>
      <c r="G478">
        <v>65079</v>
      </c>
      <c r="H478" t="str">
        <f t="shared" si="93"/>
        <v>Medium</v>
      </c>
      <c r="I478" s="3">
        <v>38482</v>
      </c>
      <c r="J478">
        <f t="shared" si="94"/>
        <v>2005</v>
      </c>
      <c r="K478">
        <f t="shared" si="95"/>
        <v>5</v>
      </c>
      <c r="L478">
        <f t="shared" si="96"/>
        <v>10</v>
      </c>
      <c r="M478" s="3">
        <f t="shared" ca="1" si="97"/>
        <v>46100</v>
      </c>
      <c r="N478">
        <f t="shared" ca="1" si="98"/>
        <v>7618</v>
      </c>
      <c r="O478">
        <f t="shared" ca="1" si="99"/>
        <v>7618</v>
      </c>
      <c r="P478">
        <f t="shared" ca="1" si="100"/>
        <v>5443</v>
      </c>
      <c r="Q478">
        <v>59</v>
      </c>
      <c r="R478" t="str">
        <f t="shared" si="101"/>
        <v>Old</v>
      </c>
      <c r="S478" t="s">
        <v>24</v>
      </c>
      <c r="T478">
        <v>6</v>
      </c>
      <c r="U478" t="s">
        <v>25</v>
      </c>
      <c r="V478">
        <v>2393.91</v>
      </c>
      <c r="W478" t="s">
        <v>35</v>
      </c>
      <c r="X478" t="s">
        <v>55</v>
      </c>
      <c r="Y478">
        <v>5</v>
      </c>
      <c r="Z478" t="str">
        <f t="shared" si="102"/>
        <v>Bad Employee</v>
      </c>
      <c r="AA478" t="b">
        <f t="shared" si="103"/>
        <v>0</v>
      </c>
      <c r="AB478" t="b">
        <f>OR(Y478&gt;20, T478&gt;6)</f>
        <v>0</v>
      </c>
      <c r="AC478" t="str">
        <f>IF(OR(Y478&gt;20,T478&gt;6), "Good employee", "Bad Employee")</f>
        <v>Bad Employee</v>
      </c>
      <c r="AD478" t="s">
        <v>56</v>
      </c>
      <c r="AE478" t="s">
        <v>62</v>
      </c>
      <c r="AF478">
        <v>0</v>
      </c>
      <c r="AG478">
        <v>2010</v>
      </c>
      <c r="AH478" t="s">
        <v>43</v>
      </c>
      <c r="AI478">
        <v>26</v>
      </c>
      <c r="AJ478">
        <v>1.8</v>
      </c>
    </row>
    <row r="479" spans="1:36" x14ac:dyDescent="0.25">
      <c r="A479">
        <v>10478</v>
      </c>
      <c r="B479" t="s">
        <v>53</v>
      </c>
      <c r="C479" t="s">
        <v>63</v>
      </c>
      <c r="D479" t="s">
        <v>52</v>
      </c>
      <c r="E479" t="str">
        <f t="shared" si="91"/>
        <v>Sarah Miller is in Operations Department</v>
      </c>
      <c r="F479" s="6" t="str">
        <f t="shared" si="92"/>
        <v>sarahmiller@gmail.com</v>
      </c>
      <c r="G479">
        <v>111556</v>
      </c>
      <c r="H479" t="str">
        <f t="shared" si="93"/>
        <v>High</v>
      </c>
      <c r="I479" s="3">
        <v>39574</v>
      </c>
      <c r="J479">
        <f t="shared" si="94"/>
        <v>2008</v>
      </c>
      <c r="K479">
        <f t="shared" si="95"/>
        <v>5</v>
      </c>
      <c r="L479">
        <f t="shared" si="96"/>
        <v>6</v>
      </c>
      <c r="M479" s="3">
        <f t="shared" ca="1" si="97"/>
        <v>46100</v>
      </c>
      <c r="N479">
        <f t="shared" ca="1" si="98"/>
        <v>6526</v>
      </c>
      <c r="O479">
        <f t="shared" ca="1" si="99"/>
        <v>6526</v>
      </c>
      <c r="P479">
        <f t="shared" ca="1" si="100"/>
        <v>4663</v>
      </c>
      <c r="Q479">
        <v>41</v>
      </c>
      <c r="R479" t="str">
        <f t="shared" si="101"/>
        <v>Old</v>
      </c>
      <c r="S479" t="s">
        <v>24</v>
      </c>
      <c r="T479">
        <v>2</v>
      </c>
      <c r="U479" t="s">
        <v>45</v>
      </c>
      <c r="V479">
        <v>8360.2199999999993</v>
      </c>
      <c r="W479" t="s">
        <v>58</v>
      </c>
      <c r="X479" t="s">
        <v>27</v>
      </c>
      <c r="Y479">
        <v>6</v>
      </c>
      <c r="Z479" t="str">
        <f t="shared" si="102"/>
        <v>Bad Employee</v>
      </c>
      <c r="AA479" t="b">
        <f t="shared" si="103"/>
        <v>0</v>
      </c>
      <c r="AB479" t="b">
        <f>OR(Y479&gt;20, T479&gt;6)</f>
        <v>0</v>
      </c>
      <c r="AC479" t="str">
        <f>IF(OR(Y479&gt;20,T479&gt;6), "Good employee", "Bad Employee")</f>
        <v>Bad Employee</v>
      </c>
      <c r="AD479" t="s">
        <v>28</v>
      </c>
      <c r="AE479" t="s">
        <v>29</v>
      </c>
      <c r="AF479">
        <v>10</v>
      </c>
      <c r="AG479">
        <v>2016</v>
      </c>
      <c r="AH479" t="s">
        <v>43</v>
      </c>
      <c r="AI479">
        <v>143</v>
      </c>
      <c r="AJ479">
        <v>3.3</v>
      </c>
    </row>
    <row r="480" spans="1:36" x14ac:dyDescent="0.25">
      <c r="A480">
        <v>10479</v>
      </c>
      <c r="B480" t="s">
        <v>66</v>
      </c>
      <c r="C480" t="s">
        <v>65</v>
      </c>
      <c r="D480" t="s">
        <v>33</v>
      </c>
      <c r="E480" t="str">
        <f t="shared" si="91"/>
        <v>John Johnson is in Marketing Department</v>
      </c>
      <c r="F480" s="6" t="str">
        <f t="shared" si="92"/>
        <v>johnjohnson@gmail.com</v>
      </c>
      <c r="G480">
        <v>79323</v>
      </c>
      <c r="H480" t="str">
        <f t="shared" si="93"/>
        <v>Medium</v>
      </c>
      <c r="I480" s="3">
        <v>39978</v>
      </c>
      <c r="J480">
        <f t="shared" si="94"/>
        <v>2009</v>
      </c>
      <c r="K480">
        <f t="shared" si="95"/>
        <v>6</v>
      </c>
      <c r="L480">
        <f t="shared" si="96"/>
        <v>14</v>
      </c>
      <c r="M480" s="3">
        <f t="shared" ca="1" si="97"/>
        <v>46100</v>
      </c>
      <c r="N480">
        <f t="shared" ca="1" si="98"/>
        <v>6122</v>
      </c>
      <c r="O480">
        <f t="shared" ca="1" si="99"/>
        <v>6122</v>
      </c>
      <c r="P480">
        <f t="shared" ca="1" si="100"/>
        <v>4374</v>
      </c>
      <c r="Q480">
        <v>62</v>
      </c>
      <c r="R480" t="str">
        <f t="shared" si="101"/>
        <v>Old</v>
      </c>
      <c r="S480" t="s">
        <v>34</v>
      </c>
      <c r="T480">
        <v>3</v>
      </c>
      <c r="U480" t="s">
        <v>45</v>
      </c>
      <c r="V480">
        <v>6927.47</v>
      </c>
      <c r="W480" t="s">
        <v>46</v>
      </c>
      <c r="X480" t="s">
        <v>47</v>
      </c>
      <c r="Y480">
        <v>22</v>
      </c>
      <c r="Z480" t="str">
        <f t="shared" si="102"/>
        <v>Bad Employee</v>
      </c>
      <c r="AA480" t="b">
        <f t="shared" si="103"/>
        <v>0</v>
      </c>
      <c r="AB480" t="b">
        <f>OR(Y480&gt;20, T480&gt;6)</f>
        <v>1</v>
      </c>
      <c r="AC480" t="str">
        <f>IF(OR(Y480&gt;20,T480&gt;6), "Good employee", "Bad Employee")</f>
        <v>Good employee</v>
      </c>
      <c r="AD480" t="s">
        <v>41</v>
      </c>
      <c r="AE480" t="s">
        <v>37</v>
      </c>
      <c r="AF480">
        <v>14</v>
      </c>
      <c r="AG480">
        <v>2018</v>
      </c>
      <c r="AH480" t="s">
        <v>49</v>
      </c>
      <c r="AI480">
        <v>170</v>
      </c>
      <c r="AJ480">
        <v>1.8</v>
      </c>
    </row>
    <row r="481" spans="1:36" x14ac:dyDescent="0.25">
      <c r="A481">
        <v>10480</v>
      </c>
      <c r="B481" t="s">
        <v>31</v>
      </c>
      <c r="C481" t="s">
        <v>63</v>
      </c>
      <c r="D481" t="s">
        <v>52</v>
      </c>
      <c r="E481" t="str">
        <f t="shared" si="91"/>
        <v>Emily Miller is in Operations Department</v>
      </c>
      <c r="F481" s="6" t="str">
        <f t="shared" si="92"/>
        <v>emilymiller@gmail.com</v>
      </c>
      <c r="G481">
        <v>75320</v>
      </c>
      <c r="H481" t="str">
        <f t="shared" si="93"/>
        <v>Medium</v>
      </c>
      <c r="I481" s="3">
        <v>37048</v>
      </c>
      <c r="J481">
        <f t="shared" si="94"/>
        <v>2001</v>
      </c>
      <c r="K481">
        <f t="shared" si="95"/>
        <v>6</v>
      </c>
      <c r="L481">
        <f t="shared" si="96"/>
        <v>6</v>
      </c>
      <c r="M481" s="3">
        <f t="shared" ca="1" si="97"/>
        <v>46100</v>
      </c>
      <c r="N481">
        <f t="shared" ca="1" si="98"/>
        <v>9052</v>
      </c>
      <c r="O481">
        <f t="shared" ca="1" si="99"/>
        <v>9052</v>
      </c>
      <c r="P481">
        <f t="shared" ca="1" si="100"/>
        <v>6467</v>
      </c>
      <c r="Q481">
        <v>55</v>
      </c>
      <c r="R481" t="str">
        <f t="shared" si="101"/>
        <v>Old</v>
      </c>
      <c r="S481" t="s">
        <v>34</v>
      </c>
      <c r="T481">
        <v>7</v>
      </c>
      <c r="U481" t="s">
        <v>25</v>
      </c>
      <c r="V481">
        <v>4978.1000000000004</v>
      </c>
      <c r="W481" t="s">
        <v>58</v>
      </c>
      <c r="X481" t="s">
        <v>55</v>
      </c>
      <c r="Y481">
        <v>21</v>
      </c>
      <c r="Z481" t="str">
        <f t="shared" si="102"/>
        <v>Good Employee</v>
      </c>
      <c r="AA481" t="b">
        <f t="shared" si="103"/>
        <v>1</v>
      </c>
      <c r="AB481" t="b">
        <f>OR(Y481&gt;20, T481&gt;6)</f>
        <v>1</v>
      </c>
      <c r="AC481" t="str">
        <f>IF(OR(Y481&gt;20,T481&gt;6), "Good employee", "Bad Employee")</f>
        <v>Good employee</v>
      </c>
      <c r="AD481" t="s">
        <v>41</v>
      </c>
      <c r="AE481" t="s">
        <v>59</v>
      </c>
      <c r="AF481">
        <v>11</v>
      </c>
      <c r="AG481">
        <v>2016</v>
      </c>
      <c r="AH481" t="s">
        <v>30</v>
      </c>
      <c r="AI481">
        <v>191</v>
      </c>
      <c r="AJ481">
        <v>2.1</v>
      </c>
    </row>
    <row r="482" spans="1:36" x14ac:dyDescent="0.25">
      <c r="A482">
        <v>10481</v>
      </c>
      <c r="B482" t="s">
        <v>31</v>
      </c>
      <c r="C482" t="s">
        <v>57</v>
      </c>
      <c r="D482" t="s">
        <v>44</v>
      </c>
      <c r="E482" t="str">
        <f t="shared" si="91"/>
        <v>Emily Davis is in Sales Department</v>
      </c>
      <c r="F482" s="6" t="str">
        <f t="shared" si="92"/>
        <v>emilydavis@gmail.com</v>
      </c>
      <c r="G482">
        <v>119909</v>
      </c>
      <c r="H482" t="str">
        <f t="shared" si="93"/>
        <v>High</v>
      </c>
      <c r="I482" s="3">
        <v>38088</v>
      </c>
      <c r="J482">
        <f t="shared" si="94"/>
        <v>2004</v>
      </c>
      <c r="K482">
        <f t="shared" si="95"/>
        <v>4</v>
      </c>
      <c r="L482">
        <f t="shared" si="96"/>
        <v>11</v>
      </c>
      <c r="M482" s="3">
        <f t="shared" ca="1" si="97"/>
        <v>46100</v>
      </c>
      <c r="N482">
        <f t="shared" ca="1" si="98"/>
        <v>8012</v>
      </c>
      <c r="O482">
        <f t="shared" ca="1" si="99"/>
        <v>8012</v>
      </c>
      <c r="P482">
        <f t="shared" ca="1" si="100"/>
        <v>5724</v>
      </c>
      <c r="Q482">
        <v>50</v>
      </c>
      <c r="R482" t="str">
        <f t="shared" si="101"/>
        <v>Old</v>
      </c>
      <c r="S482" t="s">
        <v>24</v>
      </c>
      <c r="T482">
        <v>4</v>
      </c>
      <c r="U482" t="s">
        <v>45</v>
      </c>
      <c r="V482">
        <v>9198.43</v>
      </c>
      <c r="W482" t="s">
        <v>35</v>
      </c>
      <c r="X482" t="s">
        <v>27</v>
      </c>
      <c r="Y482">
        <v>19</v>
      </c>
      <c r="Z482" t="str">
        <f t="shared" si="102"/>
        <v>Bad Employee</v>
      </c>
      <c r="AA482" t="b">
        <f t="shared" si="103"/>
        <v>0</v>
      </c>
      <c r="AB482" t="b">
        <f>OR(Y482&gt;20, T482&gt;6)</f>
        <v>0</v>
      </c>
      <c r="AC482" t="str">
        <f>IF(OR(Y482&gt;20,T482&gt;6), "Good employee", "Bad Employee")</f>
        <v>Bad Employee</v>
      </c>
      <c r="AD482" t="s">
        <v>41</v>
      </c>
      <c r="AE482" t="s">
        <v>37</v>
      </c>
      <c r="AF482">
        <v>2</v>
      </c>
      <c r="AG482">
        <v>2015</v>
      </c>
      <c r="AH482" t="s">
        <v>30</v>
      </c>
      <c r="AI482">
        <v>90</v>
      </c>
      <c r="AJ482">
        <v>1.9</v>
      </c>
    </row>
    <row r="483" spans="1:36" x14ac:dyDescent="0.25">
      <c r="A483">
        <v>10482</v>
      </c>
      <c r="B483" t="s">
        <v>64</v>
      </c>
      <c r="C483" t="s">
        <v>32</v>
      </c>
      <c r="D483" t="s">
        <v>23</v>
      </c>
      <c r="E483" t="str">
        <f t="shared" si="91"/>
        <v>Katie Wilson is in HR Department</v>
      </c>
      <c r="F483" s="6" t="str">
        <f t="shared" si="92"/>
        <v>katiewilson@gmail.com</v>
      </c>
      <c r="G483">
        <v>76105</v>
      </c>
      <c r="H483" t="str">
        <f t="shared" si="93"/>
        <v>Medium</v>
      </c>
      <c r="I483" s="3">
        <v>39435</v>
      </c>
      <c r="J483">
        <f t="shared" si="94"/>
        <v>2007</v>
      </c>
      <c r="K483">
        <f t="shared" si="95"/>
        <v>12</v>
      </c>
      <c r="L483">
        <f t="shared" si="96"/>
        <v>19</v>
      </c>
      <c r="M483" s="3">
        <f t="shared" ca="1" si="97"/>
        <v>46100</v>
      </c>
      <c r="N483">
        <f t="shared" ca="1" si="98"/>
        <v>6665</v>
      </c>
      <c r="O483">
        <f t="shared" ca="1" si="99"/>
        <v>6665</v>
      </c>
      <c r="P483">
        <f t="shared" ca="1" si="100"/>
        <v>4762</v>
      </c>
      <c r="Q483">
        <v>24</v>
      </c>
      <c r="R483" t="str">
        <f t="shared" si="101"/>
        <v>Young</v>
      </c>
      <c r="S483" t="s">
        <v>24</v>
      </c>
      <c r="T483">
        <v>1</v>
      </c>
      <c r="U483" t="s">
        <v>45</v>
      </c>
      <c r="V483">
        <v>4222.1099999999997</v>
      </c>
      <c r="W483" t="s">
        <v>58</v>
      </c>
      <c r="X483" t="s">
        <v>55</v>
      </c>
      <c r="Y483">
        <v>15</v>
      </c>
      <c r="Z483" t="str">
        <f t="shared" si="102"/>
        <v>Bad Employee</v>
      </c>
      <c r="AA483" t="b">
        <f t="shared" si="103"/>
        <v>0</v>
      </c>
      <c r="AB483" t="b">
        <f>OR(Y483&gt;20, T483&gt;6)</f>
        <v>0</v>
      </c>
      <c r="AC483" t="str">
        <f>IF(OR(Y483&gt;20,T483&gt;6), "Good employee", "Bad Employee")</f>
        <v>Bad Employee</v>
      </c>
      <c r="AD483" t="s">
        <v>28</v>
      </c>
      <c r="AE483" t="s">
        <v>42</v>
      </c>
      <c r="AF483">
        <v>18</v>
      </c>
      <c r="AG483">
        <v>2018</v>
      </c>
      <c r="AH483" t="s">
        <v>49</v>
      </c>
      <c r="AI483">
        <v>136</v>
      </c>
      <c r="AJ483">
        <v>3.6</v>
      </c>
    </row>
    <row r="484" spans="1:36" x14ac:dyDescent="0.25">
      <c r="A484">
        <v>10483</v>
      </c>
      <c r="B484" t="s">
        <v>38</v>
      </c>
      <c r="C484" t="s">
        <v>63</v>
      </c>
      <c r="D484" t="s">
        <v>39</v>
      </c>
      <c r="E484" t="str">
        <f t="shared" si="91"/>
        <v>Chris Miller is in IT Department</v>
      </c>
      <c r="F484" s="6" t="str">
        <f t="shared" si="92"/>
        <v>chrismiller@gmail.com</v>
      </c>
      <c r="G484">
        <v>60164</v>
      </c>
      <c r="H484" t="str">
        <f t="shared" si="93"/>
        <v>Medium</v>
      </c>
      <c r="I484" s="3">
        <v>41728</v>
      </c>
      <c r="J484">
        <f t="shared" si="94"/>
        <v>2014</v>
      </c>
      <c r="K484">
        <f t="shared" si="95"/>
        <v>3</v>
      </c>
      <c r="L484">
        <f t="shared" si="96"/>
        <v>30</v>
      </c>
      <c r="M484" s="3">
        <f t="shared" ca="1" si="97"/>
        <v>46100</v>
      </c>
      <c r="N484">
        <f t="shared" ca="1" si="98"/>
        <v>4372</v>
      </c>
      <c r="O484">
        <f t="shared" ca="1" si="99"/>
        <v>4372</v>
      </c>
      <c r="P484">
        <f t="shared" ca="1" si="100"/>
        <v>3124</v>
      </c>
      <c r="Q484">
        <v>31</v>
      </c>
      <c r="R484" t="str">
        <f t="shared" si="101"/>
        <v>Old</v>
      </c>
      <c r="S484" t="s">
        <v>24</v>
      </c>
      <c r="T484">
        <v>9</v>
      </c>
      <c r="U484" t="s">
        <v>25</v>
      </c>
      <c r="V484">
        <v>2733.2</v>
      </c>
      <c r="W484" t="s">
        <v>26</v>
      </c>
      <c r="X484" t="s">
        <v>27</v>
      </c>
      <c r="Y484">
        <v>34</v>
      </c>
      <c r="Z484" t="str">
        <f t="shared" si="102"/>
        <v>Good Employee</v>
      </c>
      <c r="AA484" t="b">
        <f t="shared" si="103"/>
        <v>1</v>
      </c>
      <c r="AB484" t="b">
        <f>OR(Y484&gt;20, T484&gt;6)</f>
        <v>1</v>
      </c>
      <c r="AC484" t="str">
        <f>IF(OR(Y484&gt;20,T484&gt;6), "Good employee", "Bad Employee")</f>
        <v>Good employee</v>
      </c>
      <c r="AD484" t="s">
        <v>28</v>
      </c>
      <c r="AE484" t="s">
        <v>48</v>
      </c>
      <c r="AF484">
        <v>19</v>
      </c>
      <c r="AG484">
        <v>2022</v>
      </c>
      <c r="AH484" t="s">
        <v>49</v>
      </c>
      <c r="AI484">
        <v>199</v>
      </c>
      <c r="AJ484">
        <v>3.1</v>
      </c>
    </row>
    <row r="485" spans="1:36" x14ac:dyDescent="0.25">
      <c r="A485">
        <v>10484</v>
      </c>
      <c r="B485" t="s">
        <v>64</v>
      </c>
      <c r="C485" t="s">
        <v>22</v>
      </c>
      <c r="D485" t="s">
        <v>44</v>
      </c>
      <c r="E485" t="str">
        <f t="shared" si="91"/>
        <v>Katie Williams is in Sales Department</v>
      </c>
      <c r="F485" s="6" t="str">
        <f t="shared" si="92"/>
        <v>katiewilliams@gmail.com</v>
      </c>
      <c r="G485">
        <v>31885</v>
      </c>
      <c r="H485" t="str">
        <f t="shared" si="93"/>
        <v>extremely low</v>
      </c>
      <c r="I485" s="3">
        <v>39375</v>
      </c>
      <c r="J485">
        <f t="shared" si="94"/>
        <v>2007</v>
      </c>
      <c r="K485">
        <f t="shared" si="95"/>
        <v>10</v>
      </c>
      <c r="L485">
        <f t="shared" si="96"/>
        <v>20</v>
      </c>
      <c r="M485" s="3">
        <f t="shared" ca="1" si="97"/>
        <v>46100</v>
      </c>
      <c r="N485">
        <f t="shared" ca="1" si="98"/>
        <v>6725</v>
      </c>
      <c r="O485">
        <f t="shared" ca="1" si="99"/>
        <v>6725</v>
      </c>
      <c r="P485">
        <f t="shared" ca="1" si="100"/>
        <v>4804</v>
      </c>
      <c r="Q485">
        <v>41</v>
      </c>
      <c r="R485" t="str">
        <f t="shared" si="101"/>
        <v>Old</v>
      </c>
      <c r="S485" t="s">
        <v>24</v>
      </c>
      <c r="T485">
        <v>6</v>
      </c>
      <c r="U485" t="s">
        <v>45</v>
      </c>
      <c r="V485">
        <v>6783.33</v>
      </c>
      <c r="W485" t="s">
        <v>46</v>
      </c>
      <c r="X485" t="s">
        <v>55</v>
      </c>
      <c r="Y485">
        <v>7</v>
      </c>
      <c r="Z485" t="str">
        <f t="shared" si="102"/>
        <v>Bad Employee</v>
      </c>
      <c r="AA485" t="b">
        <f t="shared" si="103"/>
        <v>0</v>
      </c>
      <c r="AB485" t="b">
        <f>OR(Y485&gt;20, T485&gt;6)</f>
        <v>0</v>
      </c>
      <c r="AC485" t="str">
        <f>IF(OR(Y485&gt;20,T485&gt;6), "Good employee", "Bad Employee")</f>
        <v>Bad Employee</v>
      </c>
      <c r="AD485" t="s">
        <v>28</v>
      </c>
      <c r="AE485" t="s">
        <v>29</v>
      </c>
      <c r="AF485">
        <v>18</v>
      </c>
      <c r="AG485">
        <v>2013</v>
      </c>
      <c r="AH485" t="s">
        <v>43</v>
      </c>
      <c r="AI485">
        <v>142</v>
      </c>
      <c r="AJ485">
        <v>3.9</v>
      </c>
    </row>
    <row r="486" spans="1:36" x14ac:dyDescent="0.25">
      <c r="A486">
        <v>10485</v>
      </c>
      <c r="B486" t="s">
        <v>38</v>
      </c>
      <c r="C486" t="s">
        <v>63</v>
      </c>
      <c r="D486" t="s">
        <v>39</v>
      </c>
      <c r="E486" t="str">
        <f t="shared" si="91"/>
        <v>Chris Miller is in IT Department</v>
      </c>
      <c r="F486" s="6" t="str">
        <f t="shared" si="92"/>
        <v>chrismiller@gmail.com</v>
      </c>
      <c r="G486">
        <v>87819</v>
      </c>
      <c r="H486" t="str">
        <f t="shared" si="93"/>
        <v>High</v>
      </c>
      <c r="I486" s="3">
        <v>37075</v>
      </c>
      <c r="J486">
        <f t="shared" si="94"/>
        <v>2001</v>
      </c>
      <c r="K486">
        <f t="shared" si="95"/>
        <v>7</v>
      </c>
      <c r="L486">
        <f t="shared" si="96"/>
        <v>3</v>
      </c>
      <c r="M486" s="3">
        <f t="shared" ca="1" si="97"/>
        <v>46100</v>
      </c>
      <c r="N486">
        <f t="shared" ca="1" si="98"/>
        <v>9025</v>
      </c>
      <c r="O486">
        <f t="shared" ca="1" si="99"/>
        <v>9025</v>
      </c>
      <c r="P486">
        <f t="shared" ca="1" si="100"/>
        <v>6448</v>
      </c>
      <c r="Q486">
        <v>23</v>
      </c>
      <c r="R486" t="str">
        <f t="shared" si="101"/>
        <v>Young</v>
      </c>
      <c r="S486" t="s">
        <v>34</v>
      </c>
      <c r="T486">
        <v>9</v>
      </c>
      <c r="U486" t="s">
        <v>45</v>
      </c>
      <c r="V486">
        <v>5946.3</v>
      </c>
      <c r="W486" t="s">
        <v>58</v>
      </c>
      <c r="X486" t="s">
        <v>47</v>
      </c>
      <c r="Y486">
        <v>17</v>
      </c>
      <c r="Z486" t="str">
        <f t="shared" si="102"/>
        <v>Bad Employee</v>
      </c>
      <c r="AA486" t="b">
        <f t="shared" si="103"/>
        <v>0</v>
      </c>
      <c r="AB486" t="b">
        <f>OR(Y486&gt;20, T486&gt;6)</f>
        <v>1</v>
      </c>
      <c r="AC486" t="str">
        <f>IF(OR(Y486&gt;20,T486&gt;6), "Good employee", "Bad Employee")</f>
        <v>Good employee</v>
      </c>
      <c r="AD486" t="s">
        <v>41</v>
      </c>
      <c r="AE486" t="s">
        <v>48</v>
      </c>
      <c r="AF486">
        <v>9</v>
      </c>
      <c r="AG486">
        <v>2021</v>
      </c>
      <c r="AH486" t="s">
        <v>43</v>
      </c>
      <c r="AI486">
        <v>23</v>
      </c>
      <c r="AJ486">
        <v>1.9</v>
      </c>
    </row>
    <row r="487" spans="1:36" x14ac:dyDescent="0.25">
      <c r="A487">
        <v>10486</v>
      </c>
      <c r="B487" t="s">
        <v>64</v>
      </c>
      <c r="C487" t="s">
        <v>63</v>
      </c>
      <c r="D487" t="s">
        <v>44</v>
      </c>
      <c r="E487" t="str">
        <f t="shared" si="91"/>
        <v>Katie Miller is in Sales Department</v>
      </c>
      <c r="F487" s="6" t="str">
        <f t="shared" si="92"/>
        <v>katiemiller@gmail.com</v>
      </c>
      <c r="G487">
        <v>31049</v>
      </c>
      <c r="H487" t="str">
        <f t="shared" si="93"/>
        <v>extremely low</v>
      </c>
      <c r="I487" s="3">
        <v>37994</v>
      </c>
      <c r="J487">
        <f t="shared" si="94"/>
        <v>2004</v>
      </c>
      <c r="K487">
        <f t="shared" si="95"/>
        <v>1</v>
      </c>
      <c r="L487">
        <f t="shared" si="96"/>
        <v>8</v>
      </c>
      <c r="M487" s="3">
        <f t="shared" ca="1" si="97"/>
        <v>46100</v>
      </c>
      <c r="N487">
        <f t="shared" ca="1" si="98"/>
        <v>8106</v>
      </c>
      <c r="O487">
        <f t="shared" ca="1" si="99"/>
        <v>8106</v>
      </c>
      <c r="P487">
        <f t="shared" ca="1" si="100"/>
        <v>5791</v>
      </c>
      <c r="Q487">
        <v>48</v>
      </c>
      <c r="R487" t="str">
        <f t="shared" si="101"/>
        <v>Old</v>
      </c>
      <c r="S487" t="s">
        <v>34</v>
      </c>
      <c r="T487">
        <v>3</v>
      </c>
      <c r="U487" t="s">
        <v>25</v>
      </c>
      <c r="V487">
        <v>3684.86</v>
      </c>
      <c r="W487" t="s">
        <v>46</v>
      </c>
      <c r="X487" t="s">
        <v>36</v>
      </c>
      <c r="Y487">
        <v>5</v>
      </c>
      <c r="Z487" t="str">
        <f t="shared" si="102"/>
        <v>Bad Employee</v>
      </c>
      <c r="AA487" t="b">
        <f t="shared" si="103"/>
        <v>0</v>
      </c>
      <c r="AB487" t="b">
        <f>OR(Y487&gt;20, T487&gt;6)</f>
        <v>0</v>
      </c>
      <c r="AC487" t="str">
        <f>IF(OR(Y487&gt;20,T487&gt;6), "Good employee", "Bad Employee")</f>
        <v>Bad Employee</v>
      </c>
      <c r="AD487" t="s">
        <v>28</v>
      </c>
      <c r="AE487" t="s">
        <v>29</v>
      </c>
      <c r="AF487">
        <v>15</v>
      </c>
      <c r="AG487">
        <v>2019</v>
      </c>
      <c r="AH487" t="s">
        <v>30</v>
      </c>
      <c r="AI487">
        <v>86</v>
      </c>
      <c r="AJ487">
        <v>1</v>
      </c>
    </row>
    <row r="488" spans="1:36" x14ac:dyDescent="0.25">
      <c r="A488">
        <v>10487</v>
      </c>
      <c r="B488" t="s">
        <v>50</v>
      </c>
      <c r="C488" t="s">
        <v>57</v>
      </c>
      <c r="D488" t="s">
        <v>33</v>
      </c>
      <c r="E488" t="str">
        <f t="shared" si="91"/>
        <v>Alex Davis is in Marketing Department</v>
      </c>
      <c r="F488" s="6" t="str">
        <f t="shared" si="92"/>
        <v>alexdavis@gmail.com</v>
      </c>
      <c r="G488">
        <v>83281</v>
      </c>
      <c r="H488" t="str">
        <f t="shared" si="93"/>
        <v>High</v>
      </c>
      <c r="I488" s="3">
        <v>42756</v>
      </c>
      <c r="J488">
        <f t="shared" si="94"/>
        <v>2017</v>
      </c>
      <c r="K488">
        <f t="shared" si="95"/>
        <v>1</v>
      </c>
      <c r="L488">
        <f t="shared" si="96"/>
        <v>21</v>
      </c>
      <c r="M488" s="3">
        <f t="shared" ca="1" si="97"/>
        <v>46100</v>
      </c>
      <c r="N488">
        <f t="shared" ca="1" si="98"/>
        <v>3344</v>
      </c>
      <c r="O488">
        <f t="shared" ca="1" si="99"/>
        <v>3344</v>
      </c>
      <c r="P488">
        <f t="shared" ca="1" si="100"/>
        <v>2389</v>
      </c>
      <c r="Q488">
        <v>53</v>
      </c>
      <c r="R488" t="str">
        <f t="shared" si="101"/>
        <v>Old</v>
      </c>
      <c r="S488" t="s">
        <v>34</v>
      </c>
      <c r="T488">
        <v>5</v>
      </c>
      <c r="U488" t="s">
        <v>25</v>
      </c>
      <c r="V488">
        <v>3764.81</v>
      </c>
      <c r="W488" t="s">
        <v>35</v>
      </c>
      <c r="X488" t="s">
        <v>36</v>
      </c>
      <c r="Y488">
        <v>39</v>
      </c>
      <c r="Z488" t="str">
        <f t="shared" si="102"/>
        <v>Bad Employee</v>
      </c>
      <c r="AA488" t="b">
        <f t="shared" si="103"/>
        <v>0</v>
      </c>
      <c r="AB488" t="b">
        <f>OR(Y488&gt;20, T488&gt;6)</f>
        <v>1</v>
      </c>
      <c r="AC488" t="str">
        <f>IF(OR(Y488&gt;20,T488&gt;6), "Good employee", "Bad Employee")</f>
        <v>Good employee</v>
      </c>
      <c r="AD488" t="s">
        <v>56</v>
      </c>
      <c r="AE488" t="s">
        <v>42</v>
      </c>
      <c r="AF488">
        <v>5</v>
      </c>
      <c r="AG488">
        <v>2015</v>
      </c>
      <c r="AH488" t="s">
        <v>30</v>
      </c>
      <c r="AI488">
        <v>160</v>
      </c>
      <c r="AJ488">
        <v>3.7</v>
      </c>
    </row>
    <row r="489" spans="1:36" x14ac:dyDescent="0.25">
      <c r="A489">
        <v>10488</v>
      </c>
      <c r="B489" t="s">
        <v>31</v>
      </c>
      <c r="C489" t="s">
        <v>51</v>
      </c>
      <c r="D489" t="s">
        <v>52</v>
      </c>
      <c r="E489" t="str">
        <f t="shared" si="91"/>
        <v>Emily Brown is in Operations Department</v>
      </c>
      <c r="F489" s="6" t="str">
        <f t="shared" si="92"/>
        <v>emilybrown@gmail.com</v>
      </c>
      <c r="G489">
        <v>73271</v>
      </c>
      <c r="H489" t="str">
        <f t="shared" si="93"/>
        <v>Medium</v>
      </c>
      <c r="I489" s="3">
        <v>37358</v>
      </c>
      <c r="J489">
        <f t="shared" si="94"/>
        <v>2002</v>
      </c>
      <c r="K489">
        <f t="shared" si="95"/>
        <v>4</v>
      </c>
      <c r="L489">
        <f t="shared" si="96"/>
        <v>12</v>
      </c>
      <c r="M489" s="3">
        <f t="shared" ca="1" si="97"/>
        <v>46100</v>
      </c>
      <c r="N489">
        <f t="shared" ca="1" si="98"/>
        <v>8742</v>
      </c>
      <c r="O489">
        <f t="shared" ca="1" si="99"/>
        <v>8742</v>
      </c>
      <c r="P489">
        <f t="shared" ca="1" si="100"/>
        <v>6245</v>
      </c>
      <c r="Q489">
        <v>31</v>
      </c>
      <c r="R489" t="str">
        <f t="shared" si="101"/>
        <v>Old</v>
      </c>
      <c r="S489" t="s">
        <v>24</v>
      </c>
      <c r="T489">
        <v>9</v>
      </c>
      <c r="U489" t="s">
        <v>25</v>
      </c>
      <c r="V489">
        <v>4283</v>
      </c>
      <c r="W489" t="s">
        <v>26</v>
      </c>
      <c r="X489" t="s">
        <v>47</v>
      </c>
      <c r="Y489">
        <v>2</v>
      </c>
      <c r="Z489" t="str">
        <f t="shared" si="102"/>
        <v>Bad Employee</v>
      </c>
      <c r="AA489" t="b">
        <f t="shared" si="103"/>
        <v>0</v>
      </c>
      <c r="AB489" t="b">
        <f>OR(Y489&gt;20, T489&gt;6)</f>
        <v>1</v>
      </c>
      <c r="AC489" t="str">
        <f>IF(OR(Y489&gt;20,T489&gt;6), "Good employee", "Bad Employee")</f>
        <v>Good employee</v>
      </c>
      <c r="AD489" t="s">
        <v>56</v>
      </c>
      <c r="AE489" t="s">
        <v>59</v>
      </c>
      <c r="AF489">
        <v>8</v>
      </c>
      <c r="AG489">
        <v>2015</v>
      </c>
      <c r="AH489" t="s">
        <v>43</v>
      </c>
      <c r="AI489">
        <v>99</v>
      </c>
      <c r="AJ489">
        <v>1.5</v>
      </c>
    </row>
    <row r="490" spans="1:36" x14ac:dyDescent="0.25">
      <c r="A490">
        <v>10489</v>
      </c>
      <c r="B490" t="s">
        <v>66</v>
      </c>
      <c r="C490" t="s">
        <v>57</v>
      </c>
      <c r="D490" t="s">
        <v>54</v>
      </c>
      <c r="E490" t="str">
        <f t="shared" si="91"/>
        <v>John Davis is in Finance Department</v>
      </c>
      <c r="F490" s="6" t="str">
        <f t="shared" si="92"/>
        <v>johndavis@gmail.com</v>
      </c>
      <c r="G490">
        <v>96697</v>
      </c>
      <c r="H490" t="str">
        <f t="shared" si="93"/>
        <v>High</v>
      </c>
      <c r="I490" s="3">
        <v>41008</v>
      </c>
      <c r="J490">
        <f t="shared" si="94"/>
        <v>2012</v>
      </c>
      <c r="K490">
        <f t="shared" si="95"/>
        <v>4</v>
      </c>
      <c r="L490">
        <f t="shared" si="96"/>
        <v>9</v>
      </c>
      <c r="M490" s="3">
        <f t="shared" ca="1" si="97"/>
        <v>46100</v>
      </c>
      <c r="N490">
        <f t="shared" ca="1" si="98"/>
        <v>5092</v>
      </c>
      <c r="O490">
        <f t="shared" ca="1" si="99"/>
        <v>5092</v>
      </c>
      <c r="P490">
        <f t="shared" ca="1" si="100"/>
        <v>3639</v>
      </c>
      <c r="Q490">
        <v>61</v>
      </c>
      <c r="R490" t="str">
        <f t="shared" si="101"/>
        <v>Old</v>
      </c>
      <c r="S490" t="s">
        <v>24</v>
      </c>
      <c r="T490">
        <v>6</v>
      </c>
      <c r="U490" t="s">
        <v>45</v>
      </c>
      <c r="V490">
        <v>3265.82</v>
      </c>
      <c r="W490" t="s">
        <v>26</v>
      </c>
      <c r="X490" t="s">
        <v>55</v>
      </c>
      <c r="Y490">
        <v>27</v>
      </c>
      <c r="Z490" t="str">
        <f t="shared" si="102"/>
        <v>Bad Employee</v>
      </c>
      <c r="AA490" t="b">
        <f t="shared" si="103"/>
        <v>0</v>
      </c>
      <c r="AB490" t="b">
        <f>OR(Y490&gt;20, T490&gt;6)</f>
        <v>1</v>
      </c>
      <c r="AC490" t="str">
        <f>IF(OR(Y490&gt;20,T490&gt;6), "Good employee", "Bad Employee")</f>
        <v>Good employee</v>
      </c>
      <c r="AD490" t="s">
        <v>56</v>
      </c>
      <c r="AE490" t="s">
        <v>59</v>
      </c>
      <c r="AF490">
        <v>7</v>
      </c>
      <c r="AG490">
        <v>2023</v>
      </c>
      <c r="AH490" t="s">
        <v>49</v>
      </c>
      <c r="AI490">
        <v>21</v>
      </c>
      <c r="AJ490">
        <v>2</v>
      </c>
    </row>
    <row r="491" spans="1:36" x14ac:dyDescent="0.25">
      <c r="A491">
        <v>10490</v>
      </c>
      <c r="B491" t="s">
        <v>38</v>
      </c>
      <c r="C491" t="s">
        <v>22</v>
      </c>
      <c r="D491" t="s">
        <v>52</v>
      </c>
      <c r="E491" t="str">
        <f t="shared" si="91"/>
        <v>Chris Williams is in Operations Department</v>
      </c>
      <c r="F491" s="6" t="str">
        <f t="shared" si="92"/>
        <v>chriswilliams@gmail.com</v>
      </c>
      <c r="G491">
        <v>96351</v>
      </c>
      <c r="H491" t="str">
        <f t="shared" si="93"/>
        <v>High</v>
      </c>
      <c r="I491" s="3">
        <v>41584</v>
      </c>
      <c r="J491">
        <f t="shared" si="94"/>
        <v>2013</v>
      </c>
      <c r="K491">
        <f t="shared" si="95"/>
        <v>11</v>
      </c>
      <c r="L491">
        <f t="shared" si="96"/>
        <v>6</v>
      </c>
      <c r="M491" s="3">
        <f t="shared" ca="1" si="97"/>
        <v>46100</v>
      </c>
      <c r="N491">
        <f t="shared" ca="1" si="98"/>
        <v>4516</v>
      </c>
      <c r="O491">
        <f t="shared" ca="1" si="99"/>
        <v>4516</v>
      </c>
      <c r="P491">
        <f t="shared" ca="1" si="100"/>
        <v>3227</v>
      </c>
      <c r="Q491">
        <v>38</v>
      </c>
      <c r="R491" t="str">
        <f t="shared" si="101"/>
        <v>Old</v>
      </c>
      <c r="S491" t="s">
        <v>24</v>
      </c>
      <c r="T491">
        <v>2</v>
      </c>
      <c r="U491" t="s">
        <v>25</v>
      </c>
      <c r="V491">
        <v>7247.29</v>
      </c>
      <c r="W491" t="s">
        <v>58</v>
      </c>
      <c r="X491" t="s">
        <v>27</v>
      </c>
      <c r="Y491">
        <v>24</v>
      </c>
      <c r="Z491" t="str">
        <f t="shared" si="102"/>
        <v>Bad Employee</v>
      </c>
      <c r="AA491" t="b">
        <f t="shared" si="103"/>
        <v>0</v>
      </c>
      <c r="AB491" t="b">
        <f>OR(Y491&gt;20, T491&gt;6)</f>
        <v>1</v>
      </c>
      <c r="AC491" t="str">
        <f>IF(OR(Y491&gt;20,T491&gt;6), "Good employee", "Bad Employee")</f>
        <v>Good employee</v>
      </c>
      <c r="AD491" t="s">
        <v>28</v>
      </c>
      <c r="AE491" t="s">
        <v>48</v>
      </c>
      <c r="AF491">
        <v>15</v>
      </c>
      <c r="AG491">
        <v>2019</v>
      </c>
      <c r="AH491" t="s">
        <v>30</v>
      </c>
      <c r="AI491">
        <v>28</v>
      </c>
      <c r="AJ491">
        <v>2.2000000000000002</v>
      </c>
    </row>
    <row r="492" spans="1:36" x14ac:dyDescent="0.25">
      <c r="A492">
        <v>10491</v>
      </c>
      <c r="B492" t="s">
        <v>53</v>
      </c>
      <c r="C492" t="s">
        <v>51</v>
      </c>
      <c r="D492" t="s">
        <v>23</v>
      </c>
      <c r="E492" t="str">
        <f t="shared" si="91"/>
        <v>Sarah Brown is in HR Department</v>
      </c>
      <c r="F492" s="6" t="str">
        <f t="shared" si="92"/>
        <v>sarahbrown@gmail.com</v>
      </c>
      <c r="G492">
        <v>66534</v>
      </c>
      <c r="H492" t="str">
        <f t="shared" si="93"/>
        <v>Medium</v>
      </c>
      <c r="I492" s="3">
        <v>43337</v>
      </c>
      <c r="J492">
        <f t="shared" si="94"/>
        <v>2018</v>
      </c>
      <c r="K492">
        <f t="shared" si="95"/>
        <v>8</v>
      </c>
      <c r="L492">
        <f t="shared" si="96"/>
        <v>25</v>
      </c>
      <c r="M492" s="3">
        <f t="shared" ca="1" si="97"/>
        <v>46100</v>
      </c>
      <c r="N492">
        <f t="shared" ca="1" si="98"/>
        <v>2763</v>
      </c>
      <c r="O492">
        <f t="shared" ca="1" si="99"/>
        <v>2763</v>
      </c>
      <c r="P492">
        <f t="shared" ca="1" si="100"/>
        <v>1974</v>
      </c>
      <c r="Q492">
        <v>54</v>
      </c>
      <c r="R492" t="str">
        <f t="shared" si="101"/>
        <v>Old</v>
      </c>
      <c r="S492" t="s">
        <v>34</v>
      </c>
      <c r="T492">
        <v>1</v>
      </c>
      <c r="U492" t="s">
        <v>45</v>
      </c>
      <c r="V492">
        <v>6687.9</v>
      </c>
      <c r="W492" t="s">
        <v>46</v>
      </c>
      <c r="X492" t="s">
        <v>40</v>
      </c>
      <c r="Y492">
        <v>28</v>
      </c>
      <c r="Z492" t="str">
        <f t="shared" si="102"/>
        <v>Bad Employee</v>
      </c>
      <c r="AA492" t="b">
        <f t="shared" si="103"/>
        <v>0</v>
      </c>
      <c r="AB492" t="b">
        <f>OR(Y492&gt;20, T492&gt;6)</f>
        <v>1</v>
      </c>
      <c r="AC492" t="str">
        <f>IF(OR(Y492&gt;20,T492&gt;6), "Good employee", "Bad Employee")</f>
        <v>Good employee</v>
      </c>
      <c r="AD492" t="s">
        <v>41</v>
      </c>
      <c r="AE492" t="s">
        <v>37</v>
      </c>
      <c r="AF492">
        <v>7</v>
      </c>
      <c r="AG492">
        <v>2023</v>
      </c>
      <c r="AH492" t="s">
        <v>49</v>
      </c>
      <c r="AI492">
        <v>133</v>
      </c>
      <c r="AJ492">
        <v>4</v>
      </c>
    </row>
    <row r="493" spans="1:36" x14ac:dyDescent="0.25">
      <c r="A493">
        <v>10492</v>
      </c>
      <c r="B493" t="s">
        <v>38</v>
      </c>
      <c r="C493" t="s">
        <v>61</v>
      </c>
      <c r="D493" t="s">
        <v>54</v>
      </c>
      <c r="E493" t="str">
        <f t="shared" si="91"/>
        <v>Chris Smith is in Finance Department</v>
      </c>
      <c r="F493" s="6" t="str">
        <f t="shared" si="92"/>
        <v>chrissmith@gmail.com</v>
      </c>
      <c r="G493">
        <v>88097</v>
      </c>
      <c r="H493" t="str">
        <f t="shared" si="93"/>
        <v>High</v>
      </c>
      <c r="I493" s="3">
        <v>37947</v>
      </c>
      <c r="J493">
        <f t="shared" si="94"/>
        <v>2003</v>
      </c>
      <c r="K493">
        <f t="shared" si="95"/>
        <v>11</v>
      </c>
      <c r="L493">
        <f t="shared" si="96"/>
        <v>22</v>
      </c>
      <c r="M493" s="3">
        <f t="shared" ca="1" si="97"/>
        <v>46100</v>
      </c>
      <c r="N493">
        <f t="shared" ca="1" si="98"/>
        <v>8153</v>
      </c>
      <c r="O493">
        <f t="shared" ca="1" si="99"/>
        <v>8153</v>
      </c>
      <c r="P493">
        <f t="shared" ca="1" si="100"/>
        <v>5824</v>
      </c>
      <c r="Q493">
        <v>27</v>
      </c>
      <c r="R493" t="str">
        <f t="shared" si="101"/>
        <v>Young</v>
      </c>
      <c r="S493" t="s">
        <v>34</v>
      </c>
      <c r="T493">
        <v>9</v>
      </c>
      <c r="U493" t="s">
        <v>25</v>
      </c>
      <c r="V493">
        <v>4687.3900000000003</v>
      </c>
      <c r="W493" t="s">
        <v>46</v>
      </c>
      <c r="X493" t="s">
        <v>55</v>
      </c>
      <c r="Y493">
        <v>1</v>
      </c>
      <c r="Z493" t="str">
        <f t="shared" si="102"/>
        <v>Bad Employee</v>
      </c>
      <c r="AA493" t="b">
        <f t="shared" si="103"/>
        <v>0</v>
      </c>
      <c r="AB493" t="b">
        <f>OR(Y493&gt;20, T493&gt;6)</f>
        <v>1</v>
      </c>
      <c r="AC493" t="str">
        <f>IF(OR(Y493&gt;20,T493&gt;6), "Good employee", "Bad Employee")</f>
        <v>Good employee</v>
      </c>
      <c r="AD493" t="s">
        <v>41</v>
      </c>
      <c r="AE493" t="s">
        <v>42</v>
      </c>
      <c r="AF493">
        <v>17</v>
      </c>
      <c r="AG493">
        <v>2012</v>
      </c>
      <c r="AH493" t="s">
        <v>43</v>
      </c>
      <c r="AI493">
        <v>9</v>
      </c>
      <c r="AJ493">
        <v>3.5</v>
      </c>
    </row>
    <row r="494" spans="1:36" x14ac:dyDescent="0.25">
      <c r="A494">
        <v>10493</v>
      </c>
      <c r="B494" t="s">
        <v>66</v>
      </c>
      <c r="C494" t="s">
        <v>61</v>
      </c>
      <c r="D494" t="s">
        <v>39</v>
      </c>
      <c r="E494" t="str">
        <f t="shared" si="91"/>
        <v>John Smith is in IT Department</v>
      </c>
      <c r="F494" s="6" t="str">
        <f t="shared" si="92"/>
        <v>johnsmith@gmail.com</v>
      </c>
      <c r="G494">
        <v>83813</v>
      </c>
      <c r="H494" t="str">
        <f t="shared" si="93"/>
        <v>High</v>
      </c>
      <c r="I494" s="3">
        <v>36811</v>
      </c>
      <c r="J494">
        <f t="shared" si="94"/>
        <v>2000</v>
      </c>
      <c r="K494">
        <f t="shared" si="95"/>
        <v>10</v>
      </c>
      <c r="L494">
        <f t="shared" si="96"/>
        <v>12</v>
      </c>
      <c r="M494" s="3">
        <f t="shared" ca="1" si="97"/>
        <v>46100</v>
      </c>
      <c r="N494">
        <f t="shared" ca="1" si="98"/>
        <v>9289</v>
      </c>
      <c r="O494">
        <f t="shared" ca="1" si="99"/>
        <v>9289</v>
      </c>
      <c r="P494">
        <f t="shared" ca="1" si="100"/>
        <v>6636</v>
      </c>
      <c r="Q494">
        <v>60</v>
      </c>
      <c r="R494" t="str">
        <f t="shared" si="101"/>
        <v>Old</v>
      </c>
      <c r="S494" t="s">
        <v>34</v>
      </c>
      <c r="T494">
        <v>1</v>
      </c>
      <c r="U494" t="s">
        <v>25</v>
      </c>
      <c r="V494">
        <v>4279.62</v>
      </c>
      <c r="W494" t="s">
        <v>58</v>
      </c>
      <c r="X494" t="s">
        <v>47</v>
      </c>
      <c r="Y494">
        <v>21</v>
      </c>
      <c r="Z494" t="str">
        <f t="shared" si="102"/>
        <v>Bad Employee</v>
      </c>
      <c r="AA494" t="b">
        <f t="shared" si="103"/>
        <v>0</v>
      </c>
      <c r="AB494" t="b">
        <f>OR(Y494&gt;20, T494&gt;6)</f>
        <v>1</v>
      </c>
      <c r="AC494" t="str">
        <f>IF(OR(Y494&gt;20,T494&gt;6), "Good employee", "Bad Employee")</f>
        <v>Good employee</v>
      </c>
      <c r="AD494" t="s">
        <v>41</v>
      </c>
      <c r="AE494" t="s">
        <v>48</v>
      </c>
      <c r="AF494">
        <v>4</v>
      </c>
      <c r="AG494">
        <v>2016</v>
      </c>
      <c r="AH494" t="s">
        <v>30</v>
      </c>
      <c r="AI494">
        <v>164</v>
      </c>
      <c r="AJ494">
        <v>1.7</v>
      </c>
    </row>
    <row r="495" spans="1:36" x14ac:dyDescent="0.25">
      <c r="A495">
        <v>10494</v>
      </c>
      <c r="B495" t="s">
        <v>64</v>
      </c>
      <c r="C495" t="s">
        <v>22</v>
      </c>
      <c r="D495" t="s">
        <v>33</v>
      </c>
      <c r="E495" t="str">
        <f t="shared" si="91"/>
        <v>Katie Williams is in Marketing Department</v>
      </c>
      <c r="F495" s="6" t="str">
        <f t="shared" si="92"/>
        <v>katiewilliams@gmail.com</v>
      </c>
      <c r="G495">
        <v>55037</v>
      </c>
      <c r="H495" t="str">
        <f t="shared" si="93"/>
        <v>Medium</v>
      </c>
      <c r="I495" s="3">
        <v>39271</v>
      </c>
      <c r="J495">
        <f t="shared" si="94"/>
        <v>2007</v>
      </c>
      <c r="K495">
        <f t="shared" si="95"/>
        <v>7</v>
      </c>
      <c r="L495">
        <f t="shared" si="96"/>
        <v>8</v>
      </c>
      <c r="M495" s="3">
        <f t="shared" ca="1" si="97"/>
        <v>46100</v>
      </c>
      <c r="N495">
        <f t="shared" ca="1" si="98"/>
        <v>6829</v>
      </c>
      <c r="O495">
        <f t="shared" ca="1" si="99"/>
        <v>6829</v>
      </c>
      <c r="P495">
        <f t="shared" ca="1" si="100"/>
        <v>4879</v>
      </c>
      <c r="Q495">
        <v>39</v>
      </c>
      <c r="R495" t="str">
        <f t="shared" si="101"/>
        <v>Old</v>
      </c>
      <c r="S495" t="s">
        <v>24</v>
      </c>
      <c r="T495">
        <v>5</v>
      </c>
      <c r="U495" t="s">
        <v>25</v>
      </c>
      <c r="V495">
        <v>3967.99</v>
      </c>
      <c r="W495" t="s">
        <v>58</v>
      </c>
      <c r="X495" t="s">
        <v>36</v>
      </c>
      <c r="Y495">
        <v>28</v>
      </c>
      <c r="Z495" t="str">
        <f t="shared" si="102"/>
        <v>Bad Employee</v>
      </c>
      <c r="AA495" t="b">
        <f t="shared" si="103"/>
        <v>0</v>
      </c>
      <c r="AB495" t="b">
        <f>OR(Y495&gt;20, T495&gt;6)</f>
        <v>1</v>
      </c>
      <c r="AC495" t="str">
        <f>IF(OR(Y495&gt;20,T495&gt;6), "Good employee", "Bad Employee")</f>
        <v>Good employee</v>
      </c>
      <c r="AD495" t="s">
        <v>41</v>
      </c>
      <c r="AE495" t="s">
        <v>59</v>
      </c>
      <c r="AF495">
        <v>19</v>
      </c>
      <c r="AG495">
        <v>2010</v>
      </c>
      <c r="AH495" t="s">
        <v>30</v>
      </c>
      <c r="AI495">
        <v>57</v>
      </c>
      <c r="AJ495">
        <v>3.4</v>
      </c>
    </row>
    <row r="496" spans="1:36" x14ac:dyDescent="0.25">
      <c r="A496">
        <v>10495</v>
      </c>
      <c r="B496" t="s">
        <v>38</v>
      </c>
      <c r="C496" t="s">
        <v>57</v>
      </c>
      <c r="D496" t="s">
        <v>33</v>
      </c>
      <c r="E496" t="str">
        <f t="shared" si="91"/>
        <v>Chris Davis is in Marketing Department</v>
      </c>
      <c r="F496" s="6" t="str">
        <f t="shared" si="92"/>
        <v>chrisdavis@gmail.com</v>
      </c>
      <c r="G496">
        <v>66007</v>
      </c>
      <c r="H496" t="str">
        <f t="shared" si="93"/>
        <v>Medium</v>
      </c>
      <c r="I496" s="3">
        <v>40291</v>
      </c>
      <c r="J496">
        <f t="shared" si="94"/>
        <v>2010</v>
      </c>
      <c r="K496">
        <f t="shared" si="95"/>
        <v>4</v>
      </c>
      <c r="L496">
        <f t="shared" si="96"/>
        <v>23</v>
      </c>
      <c r="M496" s="3">
        <f t="shared" ca="1" si="97"/>
        <v>46100</v>
      </c>
      <c r="N496">
        <f t="shared" ca="1" si="98"/>
        <v>5809</v>
      </c>
      <c r="O496">
        <f t="shared" ca="1" si="99"/>
        <v>5809</v>
      </c>
      <c r="P496">
        <f t="shared" ca="1" si="100"/>
        <v>4150</v>
      </c>
      <c r="Q496">
        <v>30</v>
      </c>
      <c r="R496" t="str">
        <f t="shared" si="101"/>
        <v>Young</v>
      </c>
      <c r="S496" t="s">
        <v>34</v>
      </c>
      <c r="T496">
        <v>1</v>
      </c>
      <c r="U496" t="s">
        <v>45</v>
      </c>
      <c r="V496">
        <v>3192.95</v>
      </c>
      <c r="W496" t="s">
        <v>58</v>
      </c>
      <c r="X496" t="s">
        <v>36</v>
      </c>
      <c r="Y496">
        <v>3</v>
      </c>
      <c r="Z496" t="str">
        <f t="shared" si="102"/>
        <v>Bad Employee</v>
      </c>
      <c r="AA496" t="b">
        <f t="shared" si="103"/>
        <v>0</v>
      </c>
      <c r="AB496" t="b">
        <f>OR(Y496&gt;20, T496&gt;6)</f>
        <v>0</v>
      </c>
      <c r="AC496" t="str">
        <f>IF(OR(Y496&gt;20,T496&gt;6), "Good employee", "Bad Employee")</f>
        <v>Bad Employee</v>
      </c>
      <c r="AD496" t="s">
        <v>41</v>
      </c>
      <c r="AE496" t="s">
        <v>62</v>
      </c>
      <c r="AF496">
        <v>11</v>
      </c>
      <c r="AG496">
        <v>2020</v>
      </c>
      <c r="AH496" t="s">
        <v>43</v>
      </c>
      <c r="AI496">
        <v>85</v>
      </c>
      <c r="AJ496">
        <v>3.8</v>
      </c>
    </row>
    <row r="497" spans="1:36" x14ac:dyDescent="0.25">
      <c r="A497">
        <v>10496</v>
      </c>
      <c r="B497" t="s">
        <v>21</v>
      </c>
      <c r="C497" t="s">
        <v>65</v>
      </c>
      <c r="D497" t="s">
        <v>39</v>
      </c>
      <c r="E497" t="str">
        <f t="shared" si="91"/>
        <v>Michael Johnson is in IT Department</v>
      </c>
      <c r="F497" s="6" t="str">
        <f t="shared" si="92"/>
        <v>michaeljohnson@gmail.com</v>
      </c>
      <c r="G497">
        <v>109478</v>
      </c>
      <c r="H497" t="str">
        <f t="shared" si="93"/>
        <v>High</v>
      </c>
      <c r="I497" s="3">
        <v>43634</v>
      </c>
      <c r="J497">
        <f t="shared" si="94"/>
        <v>2019</v>
      </c>
      <c r="K497">
        <f t="shared" si="95"/>
        <v>6</v>
      </c>
      <c r="L497">
        <f t="shared" si="96"/>
        <v>18</v>
      </c>
      <c r="M497" s="3">
        <f t="shared" ca="1" si="97"/>
        <v>46100</v>
      </c>
      <c r="N497">
        <f t="shared" ca="1" si="98"/>
        <v>2466</v>
      </c>
      <c r="O497">
        <f t="shared" ca="1" si="99"/>
        <v>2466</v>
      </c>
      <c r="P497">
        <f t="shared" ca="1" si="100"/>
        <v>1763</v>
      </c>
      <c r="Q497">
        <v>29</v>
      </c>
      <c r="R497" t="str">
        <f t="shared" si="101"/>
        <v>Young</v>
      </c>
      <c r="S497" t="s">
        <v>34</v>
      </c>
      <c r="T497">
        <v>5</v>
      </c>
      <c r="U497" t="s">
        <v>25</v>
      </c>
      <c r="V497">
        <v>1314.12</v>
      </c>
      <c r="W497" t="s">
        <v>58</v>
      </c>
      <c r="X497" t="s">
        <v>55</v>
      </c>
      <c r="Y497">
        <v>30</v>
      </c>
      <c r="Z497" t="str">
        <f t="shared" si="102"/>
        <v>Bad Employee</v>
      </c>
      <c r="AA497" t="b">
        <f t="shared" si="103"/>
        <v>0</v>
      </c>
      <c r="AB497" t="b">
        <f>OR(Y497&gt;20, T497&gt;6)</f>
        <v>1</v>
      </c>
      <c r="AC497" t="str">
        <f>IF(OR(Y497&gt;20,T497&gt;6), "Good employee", "Bad Employee")</f>
        <v>Good employee</v>
      </c>
      <c r="AD497" t="s">
        <v>28</v>
      </c>
      <c r="AE497" t="s">
        <v>48</v>
      </c>
      <c r="AF497">
        <v>5</v>
      </c>
      <c r="AG497">
        <v>2017</v>
      </c>
      <c r="AH497" t="s">
        <v>43</v>
      </c>
      <c r="AI497">
        <v>189</v>
      </c>
      <c r="AJ497">
        <v>2.6</v>
      </c>
    </row>
    <row r="498" spans="1:36" x14ac:dyDescent="0.25">
      <c r="A498">
        <v>10497</v>
      </c>
      <c r="B498" t="s">
        <v>50</v>
      </c>
      <c r="C498" t="s">
        <v>22</v>
      </c>
      <c r="D498" t="s">
        <v>23</v>
      </c>
      <c r="E498" t="str">
        <f t="shared" si="91"/>
        <v>Alex Williams is in HR Department</v>
      </c>
      <c r="F498" s="6" t="str">
        <f t="shared" si="92"/>
        <v>alexwilliams@gmail.com</v>
      </c>
      <c r="G498">
        <v>57278</v>
      </c>
      <c r="H498" t="str">
        <f t="shared" si="93"/>
        <v>Medium</v>
      </c>
      <c r="I498" s="3">
        <v>40990</v>
      </c>
      <c r="J498">
        <f t="shared" si="94"/>
        <v>2012</v>
      </c>
      <c r="K498">
        <f t="shared" si="95"/>
        <v>3</v>
      </c>
      <c r="L498">
        <f t="shared" si="96"/>
        <v>22</v>
      </c>
      <c r="M498" s="3">
        <f t="shared" ca="1" si="97"/>
        <v>46100</v>
      </c>
      <c r="N498">
        <f t="shared" ca="1" si="98"/>
        <v>5110</v>
      </c>
      <c r="O498">
        <f t="shared" ca="1" si="99"/>
        <v>5110</v>
      </c>
      <c r="P498">
        <f t="shared" ca="1" si="100"/>
        <v>3651</v>
      </c>
      <c r="Q498">
        <v>46</v>
      </c>
      <c r="R498" t="str">
        <f t="shared" si="101"/>
        <v>Old</v>
      </c>
      <c r="S498" t="s">
        <v>24</v>
      </c>
      <c r="T498">
        <v>5</v>
      </c>
      <c r="U498" t="s">
        <v>25</v>
      </c>
      <c r="V498">
        <v>3047.94</v>
      </c>
      <c r="W498" t="s">
        <v>26</v>
      </c>
      <c r="X498" t="s">
        <v>27</v>
      </c>
      <c r="Y498">
        <v>1</v>
      </c>
      <c r="Z498" t="str">
        <f t="shared" si="102"/>
        <v>Bad Employee</v>
      </c>
      <c r="AA498" t="b">
        <f t="shared" si="103"/>
        <v>0</v>
      </c>
      <c r="AB498" t="b">
        <f>OR(Y498&gt;20, T498&gt;6)</f>
        <v>0</v>
      </c>
      <c r="AC498" t="str">
        <f>IF(OR(Y498&gt;20,T498&gt;6), "Good employee", "Bad Employee")</f>
        <v>Bad Employee</v>
      </c>
      <c r="AD498" t="s">
        <v>56</v>
      </c>
      <c r="AE498" t="s">
        <v>29</v>
      </c>
      <c r="AF498">
        <v>1</v>
      </c>
      <c r="AG498">
        <v>2017</v>
      </c>
      <c r="AH498" t="s">
        <v>49</v>
      </c>
      <c r="AI498">
        <v>175</v>
      </c>
      <c r="AJ498">
        <v>2</v>
      </c>
    </row>
    <row r="499" spans="1:36" x14ac:dyDescent="0.25">
      <c r="A499">
        <v>10498</v>
      </c>
      <c r="B499" t="s">
        <v>31</v>
      </c>
      <c r="C499" t="s">
        <v>32</v>
      </c>
      <c r="D499" t="s">
        <v>39</v>
      </c>
      <c r="E499" t="str">
        <f t="shared" si="91"/>
        <v>Emily Wilson is in IT Department</v>
      </c>
      <c r="F499" s="6" t="str">
        <f t="shared" si="92"/>
        <v>emilywilson@gmail.com</v>
      </c>
      <c r="G499">
        <v>38272</v>
      </c>
      <c r="H499" t="str">
        <f t="shared" si="93"/>
        <v>extremely low</v>
      </c>
      <c r="I499" s="3">
        <v>43324</v>
      </c>
      <c r="J499">
        <f t="shared" si="94"/>
        <v>2018</v>
      </c>
      <c r="K499">
        <f t="shared" si="95"/>
        <v>8</v>
      </c>
      <c r="L499">
        <f t="shared" si="96"/>
        <v>12</v>
      </c>
      <c r="M499" s="3">
        <f t="shared" ca="1" si="97"/>
        <v>46100</v>
      </c>
      <c r="N499">
        <f t="shared" ca="1" si="98"/>
        <v>2776</v>
      </c>
      <c r="O499">
        <f t="shared" ca="1" si="99"/>
        <v>2776</v>
      </c>
      <c r="P499">
        <f t="shared" ca="1" si="100"/>
        <v>1984</v>
      </c>
      <c r="Q499">
        <v>52</v>
      </c>
      <c r="R499" t="str">
        <f t="shared" si="101"/>
        <v>Old</v>
      </c>
      <c r="S499" t="s">
        <v>34</v>
      </c>
      <c r="T499">
        <v>7</v>
      </c>
      <c r="U499" t="s">
        <v>45</v>
      </c>
      <c r="V499">
        <v>3551.41</v>
      </c>
      <c r="W499" t="s">
        <v>58</v>
      </c>
      <c r="X499" t="s">
        <v>47</v>
      </c>
      <c r="Y499">
        <v>18</v>
      </c>
      <c r="Z499" t="str">
        <f t="shared" si="102"/>
        <v>Bad Employee</v>
      </c>
      <c r="AA499" t="b">
        <f t="shared" si="103"/>
        <v>0</v>
      </c>
      <c r="AB499" t="b">
        <f>OR(Y499&gt;20, T499&gt;6)</f>
        <v>1</v>
      </c>
      <c r="AC499" t="str">
        <f>IF(OR(Y499&gt;20,T499&gt;6), "Good employee", "Bad Employee")</f>
        <v>Good employee</v>
      </c>
      <c r="AD499" t="s">
        <v>28</v>
      </c>
      <c r="AE499" t="s">
        <v>59</v>
      </c>
      <c r="AF499">
        <v>3</v>
      </c>
      <c r="AG499">
        <v>2017</v>
      </c>
      <c r="AH499" t="s">
        <v>49</v>
      </c>
      <c r="AI499">
        <v>90</v>
      </c>
      <c r="AJ499">
        <v>3.7</v>
      </c>
    </row>
    <row r="500" spans="1:36" x14ac:dyDescent="0.25">
      <c r="A500">
        <v>10499</v>
      </c>
      <c r="B500" t="s">
        <v>66</v>
      </c>
      <c r="C500" t="s">
        <v>51</v>
      </c>
      <c r="D500" t="s">
        <v>44</v>
      </c>
      <c r="E500" t="str">
        <f t="shared" si="91"/>
        <v>John Brown is in Sales Department</v>
      </c>
      <c r="F500" s="6" t="str">
        <f t="shared" si="92"/>
        <v>johnbrown@gmail.com</v>
      </c>
      <c r="G500">
        <v>87183</v>
      </c>
      <c r="H500" t="str">
        <f t="shared" si="93"/>
        <v>High</v>
      </c>
      <c r="I500" s="3">
        <v>37971</v>
      </c>
      <c r="J500">
        <f t="shared" si="94"/>
        <v>2003</v>
      </c>
      <c r="K500">
        <f t="shared" si="95"/>
        <v>12</v>
      </c>
      <c r="L500">
        <f t="shared" si="96"/>
        <v>16</v>
      </c>
      <c r="M500" s="3">
        <f t="shared" ca="1" si="97"/>
        <v>46100</v>
      </c>
      <c r="N500">
        <f t="shared" ca="1" si="98"/>
        <v>8129</v>
      </c>
      <c r="O500">
        <f t="shared" ca="1" si="99"/>
        <v>8129</v>
      </c>
      <c r="P500">
        <f t="shared" ca="1" si="100"/>
        <v>5808</v>
      </c>
      <c r="Q500">
        <v>63</v>
      </c>
      <c r="R500" t="str">
        <f t="shared" si="101"/>
        <v>Old</v>
      </c>
      <c r="S500" t="s">
        <v>24</v>
      </c>
      <c r="T500">
        <v>7</v>
      </c>
      <c r="U500" t="s">
        <v>45</v>
      </c>
      <c r="V500">
        <v>5703</v>
      </c>
      <c r="W500" t="s">
        <v>46</v>
      </c>
      <c r="X500" t="s">
        <v>47</v>
      </c>
      <c r="Y500">
        <v>33</v>
      </c>
      <c r="Z500" t="str">
        <f t="shared" si="102"/>
        <v>Good Employee</v>
      </c>
      <c r="AA500" t="b">
        <f t="shared" si="103"/>
        <v>1</v>
      </c>
      <c r="AB500" t="b">
        <f>OR(Y500&gt;20, T500&gt;6)</f>
        <v>1</v>
      </c>
      <c r="AC500" t="str">
        <f>IF(OR(Y500&gt;20,T500&gt;6), "Good employee", "Bad Employee")</f>
        <v>Good employee</v>
      </c>
      <c r="AD500" t="s">
        <v>41</v>
      </c>
      <c r="AE500" t="s">
        <v>29</v>
      </c>
      <c r="AF500">
        <v>15</v>
      </c>
      <c r="AG500">
        <v>2018</v>
      </c>
      <c r="AH500" t="s">
        <v>43</v>
      </c>
      <c r="AI500">
        <v>107</v>
      </c>
      <c r="AJ500">
        <v>3.4</v>
      </c>
    </row>
    <row r="501" spans="1:36" x14ac:dyDescent="0.25">
      <c r="A501">
        <v>10500</v>
      </c>
      <c r="B501" t="s">
        <v>31</v>
      </c>
      <c r="C501" t="s">
        <v>51</v>
      </c>
      <c r="D501" t="s">
        <v>23</v>
      </c>
      <c r="E501" t="str">
        <f t="shared" si="91"/>
        <v>Emily Brown is in HR Department</v>
      </c>
      <c r="F501" s="6" t="str">
        <f t="shared" si="92"/>
        <v>emilybrown@gmail.com</v>
      </c>
      <c r="G501">
        <v>68294</v>
      </c>
      <c r="H501" t="str">
        <f t="shared" si="93"/>
        <v>Medium</v>
      </c>
      <c r="I501" s="3">
        <v>42363</v>
      </c>
      <c r="J501">
        <f t="shared" si="94"/>
        <v>2015</v>
      </c>
      <c r="K501">
        <f t="shared" si="95"/>
        <v>12</v>
      </c>
      <c r="L501">
        <f t="shared" si="96"/>
        <v>25</v>
      </c>
      <c r="M501" s="3">
        <f t="shared" ca="1" si="97"/>
        <v>46100</v>
      </c>
      <c r="N501">
        <f t="shared" ca="1" si="98"/>
        <v>3737</v>
      </c>
      <c r="O501">
        <f t="shared" ca="1" si="99"/>
        <v>3737</v>
      </c>
      <c r="P501">
        <f t="shared" ca="1" si="100"/>
        <v>2670</v>
      </c>
      <c r="Q501">
        <v>25</v>
      </c>
      <c r="R501" t="str">
        <f t="shared" si="101"/>
        <v>Young</v>
      </c>
      <c r="S501" t="s">
        <v>24</v>
      </c>
      <c r="T501">
        <v>1</v>
      </c>
      <c r="U501" t="s">
        <v>25</v>
      </c>
      <c r="V501">
        <v>7850.99</v>
      </c>
      <c r="W501" t="s">
        <v>35</v>
      </c>
      <c r="X501" t="s">
        <v>27</v>
      </c>
      <c r="Y501">
        <v>15</v>
      </c>
      <c r="Z501" t="str">
        <f t="shared" si="102"/>
        <v>Bad Employee</v>
      </c>
      <c r="AA501" t="b">
        <f t="shared" si="103"/>
        <v>0</v>
      </c>
      <c r="AB501" t="b">
        <f>OR(Y501&gt;20, T501&gt;6)</f>
        <v>0</v>
      </c>
      <c r="AC501" t="str">
        <f>IF(OR(Y501&gt;20,T501&gt;6), "Good employee", "Bad Employee")</f>
        <v>Bad Employee</v>
      </c>
      <c r="AD501" t="s">
        <v>28</v>
      </c>
      <c r="AE501" t="s">
        <v>42</v>
      </c>
      <c r="AF501">
        <v>13</v>
      </c>
      <c r="AG501">
        <v>2013</v>
      </c>
      <c r="AH501" t="s">
        <v>43</v>
      </c>
      <c r="AI501">
        <v>171</v>
      </c>
      <c r="AJ501">
        <v>1.3</v>
      </c>
    </row>
    <row r="502" spans="1:36" x14ac:dyDescent="0.25">
      <c r="A502">
        <v>10501</v>
      </c>
      <c r="B502" t="s">
        <v>21</v>
      </c>
      <c r="C502" t="s">
        <v>63</v>
      </c>
      <c r="D502" t="s">
        <v>54</v>
      </c>
      <c r="E502" t="str">
        <f t="shared" si="91"/>
        <v>Michael Miller is in Finance Department</v>
      </c>
      <c r="F502" s="6" t="str">
        <f t="shared" si="92"/>
        <v>michaelmiller@gmail.com</v>
      </c>
      <c r="G502">
        <v>103277</v>
      </c>
      <c r="H502" t="str">
        <f t="shared" si="93"/>
        <v>High</v>
      </c>
      <c r="I502" s="3">
        <v>43323</v>
      </c>
      <c r="J502">
        <f t="shared" si="94"/>
        <v>2018</v>
      </c>
      <c r="K502">
        <f t="shared" si="95"/>
        <v>8</v>
      </c>
      <c r="L502">
        <f t="shared" si="96"/>
        <v>11</v>
      </c>
      <c r="M502" s="3">
        <f t="shared" ca="1" si="97"/>
        <v>46100</v>
      </c>
      <c r="N502">
        <f t="shared" ca="1" si="98"/>
        <v>2777</v>
      </c>
      <c r="O502">
        <f t="shared" ca="1" si="99"/>
        <v>2777</v>
      </c>
      <c r="P502">
        <f t="shared" ca="1" si="100"/>
        <v>1984</v>
      </c>
      <c r="Q502">
        <v>41</v>
      </c>
      <c r="R502" t="str">
        <f t="shared" si="101"/>
        <v>Old</v>
      </c>
      <c r="S502" t="s">
        <v>24</v>
      </c>
      <c r="T502">
        <v>9</v>
      </c>
      <c r="U502" t="s">
        <v>25</v>
      </c>
      <c r="V502">
        <v>4259.17</v>
      </c>
      <c r="W502" t="s">
        <v>46</v>
      </c>
      <c r="X502" t="s">
        <v>27</v>
      </c>
      <c r="Y502">
        <v>24</v>
      </c>
      <c r="Z502" t="str">
        <f t="shared" si="102"/>
        <v>Good Employee</v>
      </c>
      <c r="AA502" t="b">
        <f t="shared" si="103"/>
        <v>1</v>
      </c>
      <c r="AB502" t="b">
        <f>OR(Y502&gt;20, T502&gt;6)</f>
        <v>1</v>
      </c>
      <c r="AC502" t="str">
        <f>IF(OR(Y502&gt;20,T502&gt;6), "Good employee", "Bad Employee")</f>
        <v>Good employee</v>
      </c>
      <c r="AD502" t="s">
        <v>28</v>
      </c>
      <c r="AE502" t="s">
        <v>37</v>
      </c>
      <c r="AF502">
        <v>16</v>
      </c>
      <c r="AG502">
        <v>2015</v>
      </c>
      <c r="AH502" t="s">
        <v>43</v>
      </c>
      <c r="AI502">
        <v>166</v>
      </c>
      <c r="AJ502">
        <v>3.7</v>
      </c>
    </row>
    <row r="503" spans="1:36" x14ac:dyDescent="0.25">
      <c r="A503">
        <v>10502</v>
      </c>
      <c r="B503" t="s">
        <v>38</v>
      </c>
      <c r="C503" t="s">
        <v>61</v>
      </c>
      <c r="D503" t="s">
        <v>39</v>
      </c>
      <c r="E503" t="str">
        <f t="shared" si="91"/>
        <v>Chris Smith is in IT Department</v>
      </c>
      <c r="F503" s="6" t="str">
        <f t="shared" si="92"/>
        <v>chrissmith@gmail.com</v>
      </c>
      <c r="G503">
        <v>92509</v>
      </c>
      <c r="H503" t="str">
        <f t="shared" si="93"/>
        <v>High</v>
      </c>
      <c r="I503" s="3">
        <v>43366</v>
      </c>
      <c r="J503">
        <f t="shared" si="94"/>
        <v>2018</v>
      </c>
      <c r="K503">
        <f t="shared" si="95"/>
        <v>9</v>
      </c>
      <c r="L503">
        <f t="shared" si="96"/>
        <v>23</v>
      </c>
      <c r="M503" s="3">
        <f t="shared" ca="1" si="97"/>
        <v>46100</v>
      </c>
      <c r="N503">
        <f t="shared" ca="1" si="98"/>
        <v>2734</v>
      </c>
      <c r="O503">
        <f t="shared" ca="1" si="99"/>
        <v>2734</v>
      </c>
      <c r="P503">
        <f t="shared" ca="1" si="100"/>
        <v>1954</v>
      </c>
      <c r="Q503">
        <v>49</v>
      </c>
      <c r="R503" t="str">
        <f t="shared" si="101"/>
        <v>Old</v>
      </c>
      <c r="S503" t="s">
        <v>34</v>
      </c>
      <c r="T503">
        <v>1</v>
      </c>
      <c r="U503" t="s">
        <v>25</v>
      </c>
      <c r="V503">
        <v>9475.19</v>
      </c>
      <c r="W503" t="s">
        <v>58</v>
      </c>
      <c r="X503" t="s">
        <v>55</v>
      </c>
      <c r="Y503">
        <v>36</v>
      </c>
      <c r="Z503" t="str">
        <f t="shared" si="102"/>
        <v>Bad Employee</v>
      </c>
      <c r="AA503" t="b">
        <f t="shared" si="103"/>
        <v>0</v>
      </c>
      <c r="AB503" t="b">
        <f>OR(Y503&gt;20, T503&gt;6)</f>
        <v>1</v>
      </c>
      <c r="AC503" t="str">
        <f>IF(OR(Y503&gt;20,T503&gt;6), "Good employee", "Bad Employee")</f>
        <v>Good employee</v>
      </c>
      <c r="AD503" t="s">
        <v>28</v>
      </c>
      <c r="AE503" t="s">
        <v>37</v>
      </c>
      <c r="AF503">
        <v>18</v>
      </c>
      <c r="AG503">
        <v>2020</v>
      </c>
      <c r="AH503" t="s">
        <v>30</v>
      </c>
      <c r="AI503">
        <v>84</v>
      </c>
      <c r="AJ503">
        <v>3</v>
      </c>
    </row>
    <row r="504" spans="1:36" x14ac:dyDescent="0.25">
      <c r="A504">
        <v>10503</v>
      </c>
      <c r="B504" t="s">
        <v>38</v>
      </c>
      <c r="C504" t="s">
        <v>51</v>
      </c>
      <c r="D504" t="s">
        <v>23</v>
      </c>
      <c r="E504" t="str">
        <f t="shared" si="91"/>
        <v>Chris Brown is in HR Department</v>
      </c>
      <c r="F504" s="6" t="str">
        <f t="shared" si="92"/>
        <v>chrisbrown@gmail.com</v>
      </c>
      <c r="G504">
        <v>34694</v>
      </c>
      <c r="H504" t="str">
        <f t="shared" si="93"/>
        <v>extremely low</v>
      </c>
      <c r="I504" s="3">
        <v>37992</v>
      </c>
      <c r="J504">
        <f t="shared" si="94"/>
        <v>2004</v>
      </c>
      <c r="K504">
        <f t="shared" si="95"/>
        <v>1</v>
      </c>
      <c r="L504">
        <f t="shared" si="96"/>
        <v>6</v>
      </c>
      <c r="M504" s="3">
        <f t="shared" ca="1" si="97"/>
        <v>46100</v>
      </c>
      <c r="N504">
        <f t="shared" ca="1" si="98"/>
        <v>8108</v>
      </c>
      <c r="O504">
        <f t="shared" ca="1" si="99"/>
        <v>8108</v>
      </c>
      <c r="P504">
        <f t="shared" ca="1" si="100"/>
        <v>5793</v>
      </c>
      <c r="Q504">
        <v>61</v>
      </c>
      <c r="R504" t="str">
        <f t="shared" si="101"/>
        <v>Old</v>
      </c>
      <c r="S504" t="s">
        <v>34</v>
      </c>
      <c r="T504">
        <v>5</v>
      </c>
      <c r="U504" t="s">
        <v>45</v>
      </c>
      <c r="V504">
        <v>8359.82</v>
      </c>
      <c r="W504" t="s">
        <v>26</v>
      </c>
      <c r="X504" t="s">
        <v>55</v>
      </c>
      <c r="Y504">
        <v>34</v>
      </c>
      <c r="Z504" t="str">
        <f t="shared" si="102"/>
        <v>Bad Employee</v>
      </c>
      <c r="AA504" t="b">
        <f t="shared" si="103"/>
        <v>0</v>
      </c>
      <c r="AB504" t="b">
        <f>OR(Y504&gt;20, T504&gt;6)</f>
        <v>1</v>
      </c>
      <c r="AC504" t="str">
        <f>IF(OR(Y504&gt;20,T504&gt;6), "Good employee", "Bad Employee")</f>
        <v>Good employee</v>
      </c>
      <c r="AD504" t="s">
        <v>41</v>
      </c>
      <c r="AE504" t="s">
        <v>59</v>
      </c>
      <c r="AF504">
        <v>3</v>
      </c>
      <c r="AG504">
        <v>2021</v>
      </c>
      <c r="AH504" t="s">
        <v>43</v>
      </c>
      <c r="AI504">
        <v>9</v>
      </c>
      <c r="AJ504">
        <v>4</v>
      </c>
    </row>
    <row r="505" spans="1:36" x14ac:dyDescent="0.25">
      <c r="A505">
        <v>10504</v>
      </c>
      <c r="B505" t="s">
        <v>53</v>
      </c>
      <c r="C505" t="s">
        <v>22</v>
      </c>
      <c r="D505" t="s">
        <v>54</v>
      </c>
      <c r="E505" t="str">
        <f t="shared" si="91"/>
        <v>Sarah Williams is in Finance Department</v>
      </c>
      <c r="F505" s="6" t="str">
        <f t="shared" si="92"/>
        <v>sarahwilliams@gmail.com</v>
      </c>
      <c r="G505">
        <v>88150</v>
      </c>
      <c r="H505" t="str">
        <f t="shared" si="93"/>
        <v>High</v>
      </c>
      <c r="I505" s="3">
        <v>38302</v>
      </c>
      <c r="J505">
        <f t="shared" si="94"/>
        <v>2004</v>
      </c>
      <c r="K505">
        <f t="shared" si="95"/>
        <v>11</v>
      </c>
      <c r="L505">
        <f t="shared" si="96"/>
        <v>11</v>
      </c>
      <c r="M505" s="3">
        <f t="shared" ca="1" si="97"/>
        <v>46100</v>
      </c>
      <c r="N505">
        <f t="shared" ca="1" si="98"/>
        <v>7798</v>
      </c>
      <c r="O505">
        <f t="shared" ca="1" si="99"/>
        <v>7798</v>
      </c>
      <c r="P505">
        <f t="shared" ca="1" si="100"/>
        <v>5571</v>
      </c>
      <c r="Q505">
        <v>22</v>
      </c>
      <c r="R505" t="str">
        <f t="shared" si="101"/>
        <v>Young</v>
      </c>
      <c r="S505" t="s">
        <v>24</v>
      </c>
      <c r="T505">
        <v>7</v>
      </c>
      <c r="U505" t="s">
        <v>45</v>
      </c>
      <c r="V505">
        <v>9855.6200000000008</v>
      </c>
      <c r="W505" t="s">
        <v>58</v>
      </c>
      <c r="X505" t="s">
        <v>36</v>
      </c>
      <c r="Y505">
        <v>26</v>
      </c>
      <c r="Z505" t="str">
        <f t="shared" si="102"/>
        <v>Good Employee</v>
      </c>
      <c r="AA505" t="b">
        <f t="shared" si="103"/>
        <v>1</v>
      </c>
      <c r="AB505" t="b">
        <f>OR(Y505&gt;20, T505&gt;6)</f>
        <v>1</v>
      </c>
      <c r="AC505" t="str">
        <f>IF(OR(Y505&gt;20,T505&gt;6), "Good employee", "Bad Employee")</f>
        <v>Good employee</v>
      </c>
      <c r="AD505" t="s">
        <v>41</v>
      </c>
      <c r="AE505" t="s">
        <v>59</v>
      </c>
      <c r="AF505">
        <v>17</v>
      </c>
      <c r="AG505">
        <v>2016</v>
      </c>
      <c r="AH505" t="s">
        <v>30</v>
      </c>
      <c r="AI505">
        <v>22</v>
      </c>
      <c r="AJ505">
        <v>1.8</v>
      </c>
    </row>
    <row r="506" spans="1:36" x14ac:dyDescent="0.25">
      <c r="A506">
        <v>10505</v>
      </c>
      <c r="B506" t="s">
        <v>21</v>
      </c>
      <c r="C506" t="s">
        <v>51</v>
      </c>
      <c r="D506" t="s">
        <v>39</v>
      </c>
      <c r="E506" t="str">
        <f t="shared" si="91"/>
        <v>Michael Brown is in IT Department</v>
      </c>
      <c r="F506" s="6" t="str">
        <f t="shared" si="92"/>
        <v>michaelbrown@gmail.com</v>
      </c>
      <c r="G506">
        <v>97470</v>
      </c>
      <c r="H506" t="str">
        <f t="shared" si="93"/>
        <v>High</v>
      </c>
      <c r="I506" s="3">
        <v>42165</v>
      </c>
      <c r="J506">
        <f t="shared" si="94"/>
        <v>2015</v>
      </c>
      <c r="K506">
        <f t="shared" si="95"/>
        <v>6</v>
      </c>
      <c r="L506">
        <f t="shared" si="96"/>
        <v>10</v>
      </c>
      <c r="M506" s="3">
        <f t="shared" ca="1" si="97"/>
        <v>46100</v>
      </c>
      <c r="N506">
        <f t="shared" ca="1" si="98"/>
        <v>3935</v>
      </c>
      <c r="O506">
        <f t="shared" ca="1" si="99"/>
        <v>3935</v>
      </c>
      <c r="P506">
        <f t="shared" ca="1" si="100"/>
        <v>2812</v>
      </c>
      <c r="Q506">
        <v>61</v>
      </c>
      <c r="R506" t="str">
        <f t="shared" si="101"/>
        <v>Old</v>
      </c>
      <c r="S506" t="s">
        <v>34</v>
      </c>
      <c r="T506">
        <v>8</v>
      </c>
      <c r="U506" t="s">
        <v>25</v>
      </c>
      <c r="V506">
        <v>8823.93</v>
      </c>
      <c r="W506" t="s">
        <v>35</v>
      </c>
      <c r="X506" t="s">
        <v>36</v>
      </c>
      <c r="Y506">
        <v>22</v>
      </c>
      <c r="Z506" t="str">
        <f t="shared" si="102"/>
        <v>Good Employee</v>
      </c>
      <c r="AA506" t="b">
        <f t="shared" si="103"/>
        <v>1</v>
      </c>
      <c r="AB506" t="b">
        <f>OR(Y506&gt;20, T506&gt;6)</f>
        <v>1</v>
      </c>
      <c r="AC506" t="str">
        <f>IF(OR(Y506&gt;20,T506&gt;6), "Good employee", "Bad Employee")</f>
        <v>Good employee</v>
      </c>
      <c r="AD506" t="s">
        <v>41</v>
      </c>
      <c r="AE506" t="s">
        <v>37</v>
      </c>
      <c r="AF506">
        <v>11</v>
      </c>
      <c r="AG506">
        <v>2011</v>
      </c>
      <c r="AH506" t="s">
        <v>43</v>
      </c>
      <c r="AI506">
        <v>136</v>
      </c>
      <c r="AJ506">
        <v>2</v>
      </c>
    </row>
    <row r="507" spans="1:36" x14ac:dyDescent="0.25">
      <c r="A507">
        <v>10506</v>
      </c>
      <c r="B507" t="s">
        <v>66</v>
      </c>
      <c r="C507" t="s">
        <v>22</v>
      </c>
      <c r="D507" t="s">
        <v>33</v>
      </c>
      <c r="E507" t="str">
        <f t="shared" si="91"/>
        <v>John Williams is in Marketing Department</v>
      </c>
      <c r="F507" s="6" t="str">
        <f t="shared" si="92"/>
        <v>johnwilliams@gmail.com</v>
      </c>
      <c r="G507">
        <v>51556</v>
      </c>
      <c r="H507" t="str">
        <f t="shared" si="93"/>
        <v>Medium</v>
      </c>
      <c r="I507" s="3">
        <v>43693</v>
      </c>
      <c r="J507">
        <f t="shared" si="94"/>
        <v>2019</v>
      </c>
      <c r="K507">
        <f t="shared" si="95"/>
        <v>8</v>
      </c>
      <c r="L507">
        <f t="shared" si="96"/>
        <v>16</v>
      </c>
      <c r="M507" s="3">
        <f t="shared" ca="1" si="97"/>
        <v>46100</v>
      </c>
      <c r="N507">
        <f t="shared" ca="1" si="98"/>
        <v>2407</v>
      </c>
      <c r="O507">
        <f t="shared" ca="1" si="99"/>
        <v>2407</v>
      </c>
      <c r="P507">
        <f t="shared" ca="1" si="100"/>
        <v>1720</v>
      </c>
      <c r="Q507">
        <v>44</v>
      </c>
      <c r="R507" t="str">
        <f t="shared" si="101"/>
        <v>Old</v>
      </c>
      <c r="S507" t="s">
        <v>24</v>
      </c>
      <c r="T507">
        <v>2</v>
      </c>
      <c r="U507" t="s">
        <v>25</v>
      </c>
      <c r="V507">
        <v>6358.9</v>
      </c>
      <c r="W507" t="s">
        <v>58</v>
      </c>
      <c r="X507" t="s">
        <v>27</v>
      </c>
      <c r="Y507">
        <v>16</v>
      </c>
      <c r="Z507" t="str">
        <f t="shared" si="102"/>
        <v>Bad Employee</v>
      </c>
      <c r="AA507" t="b">
        <f t="shared" si="103"/>
        <v>0</v>
      </c>
      <c r="AB507" t="b">
        <f>OR(Y507&gt;20, T507&gt;6)</f>
        <v>0</v>
      </c>
      <c r="AC507" t="str">
        <f>IF(OR(Y507&gt;20,T507&gt;6), "Good employee", "Bad Employee")</f>
        <v>Bad Employee</v>
      </c>
      <c r="AD507" t="s">
        <v>28</v>
      </c>
      <c r="AE507" t="s">
        <v>48</v>
      </c>
      <c r="AF507">
        <v>1</v>
      </c>
      <c r="AG507">
        <v>2015</v>
      </c>
      <c r="AH507" t="s">
        <v>30</v>
      </c>
      <c r="AI507">
        <v>113</v>
      </c>
      <c r="AJ507">
        <v>3.2</v>
      </c>
    </row>
    <row r="508" spans="1:36" x14ac:dyDescent="0.25">
      <c r="A508">
        <v>10507</v>
      </c>
      <c r="B508" t="s">
        <v>53</v>
      </c>
      <c r="C508" t="s">
        <v>65</v>
      </c>
      <c r="D508" t="s">
        <v>39</v>
      </c>
      <c r="E508" t="str">
        <f t="shared" si="91"/>
        <v>Sarah Johnson is in IT Department</v>
      </c>
      <c r="F508" s="6" t="str">
        <f t="shared" si="92"/>
        <v>sarahjohnson@gmail.com</v>
      </c>
      <c r="G508">
        <v>94471</v>
      </c>
      <c r="H508" t="str">
        <f t="shared" si="93"/>
        <v>High</v>
      </c>
      <c r="I508" s="3">
        <v>40181</v>
      </c>
      <c r="J508">
        <f t="shared" si="94"/>
        <v>2010</v>
      </c>
      <c r="K508">
        <f t="shared" si="95"/>
        <v>1</v>
      </c>
      <c r="L508">
        <f t="shared" si="96"/>
        <v>3</v>
      </c>
      <c r="M508" s="3">
        <f t="shared" ca="1" si="97"/>
        <v>46100</v>
      </c>
      <c r="N508">
        <f t="shared" ca="1" si="98"/>
        <v>5919</v>
      </c>
      <c r="O508">
        <f t="shared" ca="1" si="99"/>
        <v>5919</v>
      </c>
      <c r="P508">
        <f t="shared" ca="1" si="100"/>
        <v>4229</v>
      </c>
      <c r="Q508">
        <v>34</v>
      </c>
      <c r="R508" t="str">
        <f t="shared" si="101"/>
        <v>Old</v>
      </c>
      <c r="S508" t="s">
        <v>34</v>
      </c>
      <c r="T508">
        <v>1</v>
      </c>
      <c r="U508" t="s">
        <v>25</v>
      </c>
      <c r="V508">
        <v>6185.55</v>
      </c>
      <c r="W508" t="s">
        <v>35</v>
      </c>
      <c r="X508" t="s">
        <v>40</v>
      </c>
      <c r="Y508">
        <v>16</v>
      </c>
      <c r="Z508" t="str">
        <f t="shared" si="102"/>
        <v>Bad Employee</v>
      </c>
      <c r="AA508" t="b">
        <f t="shared" si="103"/>
        <v>0</v>
      </c>
      <c r="AB508" t="b">
        <f>OR(Y508&gt;20, T508&gt;6)</f>
        <v>0</v>
      </c>
      <c r="AC508" t="str">
        <f>IF(OR(Y508&gt;20,T508&gt;6), "Good employee", "Bad Employee")</f>
        <v>Bad Employee</v>
      </c>
      <c r="AD508" t="s">
        <v>28</v>
      </c>
      <c r="AE508" t="s">
        <v>37</v>
      </c>
      <c r="AF508">
        <v>5</v>
      </c>
      <c r="AG508">
        <v>2017</v>
      </c>
      <c r="AH508" t="s">
        <v>49</v>
      </c>
      <c r="AI508">
        <v>95</v>
      </c>
      <c r="AJ508">
        <v>2.9</v>
      </c>
    </row>
    <row r="509" spans="1:36" x14ac:dyDescent="0.25">
      <c r="A509">
        <v>10508</v>
      </c>
      <c r="B509" t="s">
        <v>50</v>
      </c>
      <c r="C509" t="s">
        <v>63</v>
      </c>
      <c r="D509" t="s">
        <v>52</v>
      </c>
      <c r="E509" t="str">
        <f t="shared" si="91"/>
        <v>Alex Miller is in Operations Department</v>
      </c>
      <c r="F509" s="6" t="str">
        <f t="shared" si="92"/>
        <v>alexmiller@gmail.com</v>
      </c>
      <c r="G509">
        <v>79855</v>
      </c>
      <c r="H509" t="str">
        <f t="shared" si="93"/>
        <v>Medium</v>
      </c>
      <c r="I509" s="3">
        <v>37440</v>
      </c>
      <c r="J509">
        <f t="shared" si="94"/>
        <v>2002</v>
      </c>
      <c r="K509">
        <f t="shared" si="95"/>
        <v>7</v>
      </c>
      <c r="L509">
        <f t="shared" si="96"/>
        <v>3</v>
      </c>
      <c r="M509" s="3">
        <f t="shared" ca="1" si="97"/>
        <v>46100</v>
      </c>
      <c r="N509">
        <f t="shared" ca="1" si="98"/>
        <v>8660</v>
      </c>
      <c r="O509">
        <f t="shared" ca="1" si="99"/>
        <v>8660</v>
      </c>
      <c r="P509">
        <f t="shared" ca="1" si="100"/>
        <v>6187</v>
      </c>
      <c r="Q509">
        <v>37</v>
      </c>
      <c r="R509" t="str">
        <f t="shared" si="101"/>
        <v>Old</v>
      </c>
      <c r="S509" t="s">
        <v>24</v>
      </c>
      <c r="T509">
        <v>4</v>
      </c>
      <c r="U509" t="s">
        <v>25</v>
      </c>
      <c r="V509">
        <v>1730.5</v>
      </c>
      <c r="W509" t="s">
        <v>58</v>
      </c>
      <c r="X509" t="s">
        <v>40</v>
      </c>
      <c r="Y509">
        <v>5</v>
      </c>
      <c r="Z509" t="str">
        <f t="shared" si="102"/>
        <v>Bad Employee</v>
      </c>
      <c r="AA509" t="b">
        <f t="shared" si="103"/>
        <v>0</v>
      </c>
      <c r="AB509" t="b">
        <f>OR(Y509&gt;20, T509&gt;6)</f>
        <v>0</v>
      </c>
      <c r="AC509" t="str">
        <f>IF(OR(Y509&gt;20,T509&gt;6), "Good employee", "Bad Employee")</f>
        <v>Bad Employee</v>
      </c>
      <c r="AD509" t="s">
        <v>56</v>
      </c>
      <c r="AE509" t="s">
        <v>37</v>
      </c>
      <c r="AF509">
        <v>5</v>
      </c>
      <c r="AG509">
        <v>2013</v>
      </c>
      <c r="AH509" t="s">
        <v>49</v>
      </c>
      <c r="AI509">
        <v>74</v>
      </c>
      <c r="AJ509">
        <v>2.5</v>
      </c>
    </row>
    <row r="510" spans="1:36" x14ac:dyDescent="0.25">
      <c r="A510">
        <v>10509</v>
      </c>
      <c r="B510" t="s">
        <v>53</v>
      </c>
      <c r="C510" t="s">
        <v>61</v>
      </c>
      <c r="D510" t="s">
        <v>39</v>
      </c>
      <c r="E510" t="str">
        <f t="shared" si="91"/>
        <v>Sarah Smith is in IT Department</v>
      </c>
      <c r="F510" s="6" t="str">
        <f t="shared" si="92"/>
        <v>sarahsmith@gmail.com</v>
      </c>
      <c r="G510">
        <v>79086</v>
      </c>
      <c r="H510" t="str">
        <f t="shared" si="93"/>
        <v>Medium</v>
      </c>
      <c r="I510" s="3">
        <v>36813</v>
      </c>
      <c r="J510">
        <f t="shared" si="94"/>
        <v>2000</v>
      </c>
      <c r="K510">
        <f t="shared" si="95"/>
        <v>10</v>
      </c>
      <c r="L510">
        <f t="shared" si="96"/>
        <v>14</v>
      </c>
      <c r="M510" s="3">
        <f t="shared" ca="1" si="97"/>
        <v>46100</v>
      </c>
      <c r="N510">
        <f t="shared" ca="1" si="98"/>
        <v>9287</v>
      </c>
      <c r="O510">
        <f t="shared" ca="1" si="99"/>
        <v>9287</v>
      </c>
      <c r="P510">
        <f t="shared" ca="1" si="100"/>
        <v>6634</v>
      </c>
      <c r="Q510">
        <v>47</v>
      </c>
      <c r="R510" t="str">
        <f t="shared" si="101"/>
        <v>Old</v>
      </c>
      <c r="S510" t="s">
        <v>24</v>
      </c>
      <c r="T510">
        <v>4</v>
      </c>
      <c r="U510" t="s">
        <v>45</v>
      </c>
      <c r="V510">
        <v>7362.79</v>
      </c>
      <c r="W510" t="s">
        <v>26</v>
      </c>
      <c r="X510" t="s">
        <v>40</v>
      </c>
      <c r="Y510">
        <v>6</v>
      </c>
      <c r="Z510" t="str">
        <f t="shared" si="102"/>
        <v>Bad Employee</v>
      </c>
      <c r="AA510" t="b">
        <f t="shared" si="103"/>
        <v>0</v>
      </c>
      <c r="AB510" t="b">
        <f>OR(Y510&gt;20, T510&gt;6)</f>
        <v>0</v>
      </c>
      <c r="AC510" t="str">
        <f>IF(OR(Y510&gt;20,T510&gt;6), "Good employee", "Bad Employee")</f>
        <v>Bad Employee</v>
      </c>
      <c r="AD510" t="s">
        <v>56</v>
      </c>
      <c r="AE510" t="s">
        <v>48</v>
      </c>
      <c r="AF510">
        <v>2</v>
      </c>
      <c r="AG510">
        <v>2014</v>
      </c>
      <c r="AH510" t="s">
        <v>30</v>
      </c>
      <c r="AI510">
        <v>143</v>
      </c>
      <c r="AJ510">
        <v>4</v>
      </c>
    </row>
    <row r="511" spans="1:36" x14ac:dyDescent="0.25">
      <c r="A511">
        <v>10510</v>
      </c>
      <c r="B511" t="s">
        <v>60</v>
      </c>
      <c r="C511" t="s">
        <v>51</v>
      </c>
      <c r="D511" t="s">
        <v>52</v>
      </c>
      <c r="E511" t="str">
        <f t="shared" si="91"/>
        <v>Jane Brown is in Operations Department</v>
      </c>
      <c r="F511" s="6" t="str">
        <f t="shared" si="92"/>
        <v>janebrown@gmail.com</v>
      </c>
      <c r="G511">
        <v>48907</v>
      </c>
      <c r="H511" t="str">
        <f t="shared" si="93"/>
        <v>low</v>
      </c>
      <c r="I511" s="3">
        <v>40716</v>
      </c>
      <c r="J511">
        <f t="shared" si="94"/>
        <v>2011</v>
      </c>
      <c r="K511">
        <f t="shared" si="95"/>
        <v>6</v>
      </c>
      <c r="L511">
        <f t="shared" si="96"/>
        <v>22</v>
      </c>
      <c r="M511" s="3">
        <f t="shared" ca="1" si="97"/>
        <v>46100</v>
      </c>
      <c r="N511">
        <f t="shared" ca="1" si="98"/>
        <v>5384</v>
      </c>
      <c r="O511">
        <f t="shared" ca="1" si="99"/>
        <v>5384</v>
      </c>
      <c r="P511">
        <f t="shared" ca="1" si="100"/>
        <v>3847</v>
      </c>
      <c r="Q511">
        <v>52</v>
      </c>
      <c r="R511" t="str">
        <f t="shared" si="101"/>
        <v>Old</v>
      </c>
      <c r="S511" t="s">
        <v>34</v>
      </c>
      <c r="T511">
        <v>6</v>
      </c>
      <c r="U511" t="s">
        <v>45</v>
      </c>
      <c r="V511">
        <v>6201.97</v>
      </c>
      <c r="W511" t="s">
        <v>46</v>
      </c>
      <c r="X511" t="s">
        <v>47</v>
      </c>
      <c r="Y511">
        <v>24</v>
      </c>
      <c r="Z511" t="str">
        <f t="shared" si="102"/>
        <v>Bad Employee</v>
      </c>
      <c r="AA511" t="b">
        <f t="shared" si="103"/>
        <v>0</v>
      </c>
      <c r="AB511" t="b">
        <f>OR(Y511&gt;20, T511&gt;6)</f>
        <v>1</v>
      </c>
      <c r="AC511" t="str">
        <f>IF(OR(Y511&gt;20,T511&gt;6), "Good employee", "Bad Employee")</f>
        <v>Good employee</v>
      </c>
      <c r="AD511" t="s">
        <v>41</v>
      </c>
      <c r="AE511" t="s">
        <v>29</v>
      </c>
      <c r="AF511">
        <v>7</v>
      </c>
      <c r="AG511">
        <v>2017</v>
      </c>
      <c r="AH511" t="s">
        <v>49</v>
      </c>
      <c r="AI511">
        <v>179</v>
      </c>
      <c r="AJ511">
        <v>3.3</v>
      </c>
    </row>
    <row r="512" spans="1:36" x14ac:dyDescent="0.25">
      <c r="A512">
        <v>10511</v>
      </c>
      <c r="B512" t="s">
        <v>66</v>
      </c>
      <c r="C512" t="s">
        <v>22</v>
      </c>
      <c r="D512" t="s">
        <v>54</v>
      </c>
      <c r="E512" t="str">
        <f t="shared" si="91"/>
        <v>John Williams is in Finance Department</v>
      </c>
      <c r="F512" s="6" t="str">
        <f t="shared" si="92"/>
        <v>johnwilliams@gmail.com</v>
      </c>
      <c r="G512">
        <v>101695</v>
      </c>
      <c r="H512" t="str">
        <f t="shared" si="93"/>
        <v>High</v>
      </c>
      <c r="I512" s="3">
        <v>43338</v>
      </c>
      <c r="J512">
        <f t="shared" si="94"/>
        <v>2018</v>
      </c>
      <c r="K512">
        <f t="shared" si="95"/>
        <v>8</v>
      </c>
      <c r="L512">
        <f t="shared" si="96"/>
        <v>26</v>
      </c>
      <c r="M512" s="3">
        <f t="shared" ca="1" si="97"/>
        <v>46100</v>
      </c>
      <c r="N512">
        <f t="shared" ca="1" si="98"/>
        <v>2762</v>
      </c>
      <c r="O512">
        <f t="shared" ca="1" si="99"/>
        <v>2762</v>
      </c>
      <c r="P512">
        <f t="shared" ca="1" si="100"/>
        <v>1974</v>
      </c>
      <c r="Q512">
        <v>22</v>
      </c>
      <c r="R512" t="str">
        <f t="shared" si="101"/>
        <v>Young</v>
      </c>
      <c r="S512" t="s">
        <v>24</v>
      </c>
      <c r="T512">
        <v>1</v>
      </c>
      <c r="U512" t="s">
        <v>45</v>
      </c>
      <c r="V512">
        <v>5315.85</v>
      </c>
      <c r="W512" t="s">
        <v>35</v>
      </c>
      <c r="X512" t="s">
        <v>55</v>
      </c>
      <c r="Y512">
        <v>30</v>
      </c>
      <c r="Z512" t="str">
        <f t="shared" si="102"/>
        <v>Bad Employee</v>
      </c>
      <c r="AA512" t="b">
        <f t="shared" si="103"/>
        <v>0</v>
      </c>
      <c r="AB512" t="b">
        <f>OR(Y512&gt;20, T512&gt;6)</f>
        <v>1</v>
      </c>
      <c r="AC512" t="str">
        <f>IF(OR(Y512&gt;20,T512&gt;6), "Good employee", "Bad Employee")</f>
        <v>Good employee</v>
      </c>
      <c r="AD512" t="s">
        <v>56</v>
      </c>
      <c r="AE512" t="s">
        <v>48</v>
      </c>
      <c r="AF512">
        <v>11</v>
      </c>
      <c r="AG512">
        <v>2012</v>
      </c>
      <c r="AH512" t="s">
        <v>49</v>
      </c>
      <c r="AI512">
        <v>85</v>
      </c>
      <c r="AJ512">
        <v>3.8</v>
      </c>
    </row>
    <row r="513" spans="1:36" x14ac:dyDescent="0.25">
      <c r="A513">
        <v>10512</v>
      </c>
      <c r="B513" t="s">
        <v>60</v>
      </c>
      <c r="C513" t="s">
        <v>57</v>
      </c>
      <c r="D513" t="s">
        <v>39</v>
      </c>
      <c r="E513" t="str">
        <f t="shared" si="91"/>
        <v>Jane Davis is in IT Department</v>
      </c>
      <c r="F513" s="6" t="str">
        <f t="shared" si="92"/>
        <v>janedavis@gmail.com</v>
      </c>
      <c r="G513">
        <v>78487</v>
      </c>
      <c r="H513" t="str">
        <f t="shared" si="93"/>
        <v>Medium</v>
      </c>
      <c r="I513" s="3">
        <v>38614</v>
      </c>
      <c r="J513">
        <f t="shared" si="94"/>
        <v>2005</v>
      </c>
      <c r="K513">
        <f t="shared" si="95"/>
        <v>9</v>
      </c>
      <c r="L513">
        <f t="shared" si="96"/>
        <v>19</v>
      </c>
      <c r="M513" s="3">
        <f t="shared" ca="1" si="97"/>
        <v>46100</v>
      </c>
      <c r="N513">
        <f t="shared" ca="1" si="98"/>
        <v>7486</v>
      </c>
      <c r="O513">
        <f t="shared" ca="1" si="99"/>
        <v>7486</v>
      </c>
      <c r="P513">
        <f t="shared" ca="1" si="100"/>
        <v>5349</v>
      </c>
      <c r="Q513">
        <v>38</v>
      </c>
      <c r="R513" t="str">
        <f t="shared" si="101"/>
        <v>Old</v>
      </c>
      <c r="S513" t="s">
        <v>24</v>
      </c>
      <c r="T513">
        <v>1</v>
      </c>
      <c r="U513" t="s">
        <v>25</v>
      </c>
      <c r="V513">
        <v>7086.23</v>
      </c>
      <c r="W513" t="s">
        <v>46</v>
      </c>
      <c r="X513" t="s">
        <v>27</v>
      </c>
      <c r="Y513">
        <v>37</v>
      </c>
      <c r="Z513" t="str">
        <f t="shared" si="102"/>
        <v>Bad Employee</v>
      </c>
      <c r="AA513" t="b">
        <f t="shared" si="103"/>
        <v>0</v>
      </c>
      <c r="AB513" t="b">
        <f>OR(Y513&gt;20, T513&gt;6)</f>
        <v>1</v>
      </c>
      <c r="AC513" t="str">
        <f>IF(OR(Y513&gt;20,T513&gt;6), "Good employee", "Bad Employee")</f>
        <v>Good employee</v>
      </c>
      <c r="AD513" t="s">
        <v>41</v>
      </c>
      <c r="AE513" t="s">
        <v>62</v>
      </c>
      <c r="AF513">
        <v>2</v>
      </c>
      <c r="AG513">
        <v>2015</v>
      </c>
      <c r="AH513" t="s">
        <v>30</v>
      </c>
      <c r="AI513">
        <v>35</v>
      </c>
      <c r="AJ513">
        <v>1.6</v>
      </c>
    </row>
    <row r="514" spans="1:36" x14ac:dyDescent="0.25">
      <c r="A514">
        <v>10513</v>
      </c>
      <c r="B514" t="s">
        <v>21</v>
      </c>
      <c r="C514" t="s">
        <v>61</v>
      </c>
      <c r="D514" t="s">
        <v>54</v>
      </c>
      <c r="E514" t="str">
        <f t="shared" si="91"/>
        <v>Michael Smith is in Finance Department</v>
      </c>
      <c r="F514" s="6" t="str">
        <f t="shared" si="92"/>
        <v>michaelsmith@gmail.com</v>
      </c>
      <c r="G514">
        <v>59158</v>
      </c>
      <c r="H514" t="str">
        <f t="shared" si="93"/>
        <v>Medium</v>
      </c>
      <c r="I514" s="3">
        <v>40952</v>
      </c>
      <c r="J514">
        <f t="shared" si="94"/>
        <v>2012</v>
      </c>
      <c r="K514">
        <f t="shared" si="95"/>
        <v>2</v>
      </c>
      <c r="L514">
        <f t="shared" si="96"/>
        <v>13</v>
      </c>
      <c r="M514" s="3">
        <f t="shared" ca="1" si="97"/>
        <v>46100</v>
      </c>
      <c r="N514">
        <f t="shared" ca="1" si="98"/>
        <v>5148</v>
      </c>
      <c r="O514">
        <f t="shared" ca="1" si="99"/>
        <v>5148</v>
      </c>
      <c r="P514">
        <f t="shared" ca="1" si="100"/>
        <v>3679</v>
      </c>
      <c r="Q514">
        <v>37</v>
      </c>
      <c r="R514" t="str">
        <f t="shared" si="101"/>
        <v>Old</v>
      </c>
      <c r="S514" t="s">
        <v>24</v>
      </c>
      <c r="T514">
        <v>3</v>
      </c>
      <c r="U514" t="s">
        <v>25</v>
      </c>
      <c r="V514">
        <v>4718.45</v>
      </c>
      <c r="W514" t="s">
        <v>58</v>
      </c>
      <c r="X514" t="s">
        <v>36</v>
      </c>
      <c r="Y514">
        <v>32</v>
      </c>
      <c r="Z514" t="str">
        <f t="shared" si="102"/>
        <v>Bad Employee</v>
      </c>
      <c r="AA514" t="b">
        <f t="shared" si="103"/>
        <v>0</v>
      </c>
      <c r="AB514" t="b">
        <f>OR(Y514&gt;20, T514&gt;6)</f>
        <v>1</v>
      </c>
      <c r="AC514" t="str">
        <f>IF(OR(Y514&gt;20,T514&gt;6), "Good employee", "Bad Employee")</f>
        <v>Good employee</v>
      </c>
      <c r="AD514" t="s">
        <v>41</v>
      </c>
      <c r="AE514" t="s">
        <v>59</v>
      </c>
      <c r="AF514">
        <v>1</v>
      </c>
      <c r="AG514">
        <v>2023</v>
      </c>
      <c r="AH514" t="s">
        <v>43</v>
      </c>
      <c r="AI514">
        <v>17</v>
      </c>
      <c r="AJ514">
        <v>3.9</v>
      </c>
    </row>
    <row r="515" spans="1:36" x14ac:dyDescent="0.25">
      <c r="A515">
        <v>10514</v>
      </c>
      <c r="B515" t="s">
        <v>64</v>
      </c>
      <c r="C515" t="s">
        <v>65</v>
      </c>
      <c r="D515" t="s">
        <v>54</v>
      </c>
      <c r="E515" t="str">
        <f t="shared" ref="E515:E578" si="104">CONCATENATE(B515, " ", C515, " is in ", D515, " Department")</f>
        <v>Katie Johnson is in Finance Department</v>
      </c>
      <c r="F515" s="6" t="str">
        <f t="shared" ref="F515:F578" si="105">LOWER(CONCATENATE(B515, C515, "@gmail.com"))</f>
        <v>katiejohnson@gmail.com</v>
      </c>
      <c r="G515">
        <v>50293</v>
      </c>
      <c r="H515" t="str">
        <f t="shared" ref="H515:H578" si="106">IF(G515&gt;80000, "High", IF(G515&gt;50000, "Medium", IF(G515&gt;40000, "low", "extremely low")))</f>
        <v>Medium</v>
      </c>
      <c r="I515" s="3">
        <v>42458</v>
      </c>
      <c r="J515">
        <f t="shared" ref="J515:J578" si="107">YEAR(I515)</f>
        <v>2016</v>
      </c>
      <c r="K515">
        <f t="shared" ref="K515:K578" si="108">MONTH(I515)</f>
        <v>3</v>
      </c>
      <c r="L515">
        <f t="shared" ref="L515:L578" si="109">DAY(I515)</f>
        <v>29</v>
      </c>
      <c r="M515" s="3">
        <f t="shared" ref="M515:M578" ca="1" si="110">TODAY()</f>
        <v>46100</v>
      </c>
      <c r="N515">
        <f t="shared" ref="N515:N578" ca="1" si="111">M515-I515</f>
        <v>3642</v>
      </c>
      <c r="O515">
        <f t="shared" ref="O515:O578" ca="1" si="112">DATEDIF(I515,M515, "d")</f>
        <v>3642</v>
      </c>
      <c r="P515">
        <f t="shared" ref="P515:P578" ca="1" si="113">NETWORKDAYS(I515, M515)</f>
        <v>2603</v>
      </c>
      <c r="Q515">
        <v>58</v>
      </c>
      <c r="R515" t="str">
        <f t="shared" ref="R515:R578" si="114">IF(Q515&gt;30, "Old", "Young")</f>
        <v>Old</v>
      </c>
      <c r="S515" t="s">
        <v>24</v>
      </c>
      <c r="T515">
        <v>5</v>
      </c>
      <c r="U515" t="s">
        <v>45</v>
      </c>
      <c r="V515">
        <v>5476.67</v>
      </c>
      <c r="W515" t="s">
        <v>46</v>
      </c>
      <c r="X515" t="s">
        <v>40</v>
      </c>
      <c r="Y515">
        <v>19</v>
      </c>
      <c r="Z515" t="str">
        <f t="shared" ref="Z515:Z578" si="115" xml:space="preserve"> IF(AND(Y515&gt;20, T515&gt;6), "Good Employee", "Bad Employee")</f>
        <v>Bad Employee</v>
      </c>
      <c r="AA515" t="b">
        <f t="shared" ref="AA515:AA578" si="116">AND(Y515&gt;20, T515&gt;6)</f>
        <v>0</v>
      </c>
      <c r="AB515" t="b">
        <f>OR(Y515&gt;20, T515&gt;6)</f>
        <v>0</v>
      </c>
      <c r="AC515" t="str">
        <f>IF(OR(Y515&gt;20,T515&gt;6), "Good employee", "Bad Employee")</f>
        <v>Bad Employee</v>
      </c>
      <c r="AD515" t="s">
        <v>28</v>
      </c>
      <c r="AE515" t="s">
        <v>37</v>
      </c>
      <c r="AF515">
        <v>0</v>
      </c>
      <c r="AG515">
        <v>2010</v>
      </c>
      <c r="AH515" t="s">
        <v>43</v>
      </c>
      <c r="AI515">
        <v>27</v>
      </c>
      <c r="AJ515">
        <v>2.8</v>
      </c>
    </row>
    <row r="516" spans="1:36" x14ac:dyDescent="0.25">
      <c r="A516">
        <v>10515</v>
      </c>
      <c r="B516" t="s">
        <v>60</v>
      </c>
      <c r="C516" t="s">
        <v>22</v>
      </c>
      <c r="D516" t="s">
        <v>23</v>
      </c>
      <c r="E516" t="str">
        <f t="shared" si="104"/>
        <v>Jane Williams is in HR Department</v>
      </c>
      <c r="F516" s="6" t="str">
        <f t="shared" si="105"/>
        <v>janewilliams@gmail.com</v>
      </c>
      <c r="G516">
        <v>75761</v>
      </c>
      <c r="H516" t="str">
        <f t="shared" si="106"/>
        <v>Medium</v>
      </c>
      <c r="I516" s="3">
        <v>38330</v>
      </c>
      <c r="J516">
        <f t="shared" si="107"/>
        <v>2004</v>
      </c>
      <c r="K516">
        <f t="shared" si="108"/>
        <v>12</v>
      </c>
      <c r="L516">
        <f t="shared" si="109"/>
        <v>9</v>
      </c>
      <c r="M516" s="3">
        <f t="shared" ca="1" si="110"/>
        <v>46100</v>
      </c>
      <c r="N516">
        <f t="shared" ca="1" si="111"/>
        <v>7770</v>
      </c>
      <c r="O516">
        <f t="shared" ca="1" si="112"/>
        <v>7770</v>
      </c>
      <c r="P516">
        <f t="shared" ca="1" si="113"/>
        <v>5551</v>
      </c>
      <c r="Q516">
        <v>31</v>
      </c>
      <c r="R516" t="str">
        <f t="shared" si="114"/>
        <v>Old</v>
      </c>
      <c r="S516" t="s">
        <v>24</v>
      </c>
      <c r="T516">
        <v>6</v>
      </c>
      <c r="U516" t="s">
        <v>25</v>
      </c>
      <c r="V516">
        <v>4284.3500000000004</v>
      </c>
      <c r="W516" t="s">
        <v>26</v>
      </c>
      <c r="X516" t="s">
        <v>36</v>
      </c>
      <c r="Y516">
        <v>28</v>
      </c>
      <c r="Z516" t="str">
        <f t="shared" si="115"/>
        <v>Bad Employee</v>
      </c>
      <c r="AA516" t="b">
        <f t="shared" si="116"/>
        <v>0</v>
      </c>
      <c r="AB516" t="b">
        <f>OR(Y516&gt;20, T516&gt;6)</f>
        <v>1</v>
      </c>
      <c r="AC516" t="str">
        <f>IF(OR(Y516&gt;20,T516&gt;6), "Good employee", "Bad Employee")</f>
        <v>Good employee</v>
      </c>
      <c r="AD516" t="s">
        <v>56</v>
      </c>
      <c r="AE516" t="s">
        <v>42</v>
      </c>
      <c r="AF516">
        <v>17</v>
      </c>
      <c r="AG516">
        <v>2013</v>
      </c>
      <c r="AH516" t="s">
        <v>30</v>
      </c>
      <c r="AI516">
        <v>69</v>
      </c>
      <c r="AJ516">
        <v>1.1000000000000001</v>
      </c>
    </row>
    <row r="517" spans="1:36" x14ac:dyDescent="0.25">
      <c r="A517">
        <v>10516</v>
      </c>
      <c r="B517" t="s">
        <v>50</v>
      </c>
      <c r="C517" t="s">
        <v>32</v>
      </c>
      <c r="D517" t="s">
        <v>54</v>
      </c>
      <c r="E517" t="str">
        <f t="shared" si="104"/>
        <v>Alex Wilson is in Finance Department</v>
      </c>
      <c r="F517" s="6" t="str">
        <f t="shared" si="105"/>
        <v>alexwilson@gmail.com</v>
      </c>
      <c r="G517">
        <v>63387</v>
      </c>
      <c r="H517" t="str">
        <f t="shared" si="106"/>
        <v>Medium</v>
      </c>
      <c r="I517" s="3">
        <v>37704</v>
      </c>
      <c r="J517">
        <f t="shared" si="107"/>
        <v>2003</v>
      </c>
      <c r="K517">
        <f t="shared" si="108"/>
        <v>3</v>
      </c>
      <c r="L517">
        <f t="shared" si="109"/>
        <v>24</v>
      </c>
      <c r="M517" s="3">
        <f t="shared" ca="1" si="110"/>
        <v>46100</v>
      </c>
      <c r="N517">
        <f t="shared" ca="1" si="111"/>
        <v>8396</v>
      </c>
      <c r="O517">
        <f t="shared" ca="1" si="112"/>
        <v>8396</v>
      </c>
      <c r="P517">
        <f t="shared" ca="1" si="113"/>
        <v>5999</v>
      </c>
      <c r="Q517">
        <v>59</v>
      </c>
      <c r="R517" t="str">
        <f t="shared" si="114"/>
        <v>Old</v>
      </c>
      <c r="S517" t="s">
        <v>34</v>
      </c>
      <c r="T517">
        <v>5</v>
      </c>
      <c r="U517" t="s">
        <v>45</v>
      </c>
      <c r="V517">
        <v>7315.02</v>
      </c>
      <c r="W517" t="s">
        <v>26</v>
      </c>
      <c r="X517" t="s">
        <v>55</v>
      </c>
      <c r="Y517">
        <v>8</v>
      </c>
      <c r="Z517" t="str">
        <f t="shared" si="115"/>
        <v>Bad Employee</v>
      </c>
      <c r="AA517" t="b">
        <f t="shared" si="116"/>
        <v>0</v>
      </c>
      <c r="AB517" t="b">
        <f>OR(Y517&gt;20, T517&gt;6)</f>
        <v>0</v>
      </c>
      <c r="AC517" t="str">
        <f>IF(OR(Y517&gt;20,T517&gt;6), "Good employee", "Bad Employee")</f>
        <v>Bad Employee</v>
      </c>
      <c r="AD517" t="s">
        <v>41</v>
      </c>
      <c r="AE517" t="s">
        <v>59</v>
      </c>
      <c r="AF517">
        <v>17</v>
      </c>
      <c r="AG517">
        <v>2023</v>
      </c>
      <c r="AH517" t="s">
        <v>49</v>
      </c>
      <c r="AI517">
        <v>34</v>
      </c>
      <c r="AJ517">
        <v>1.9</v>
      </c>
    </row>
    <row r="518" spans="1:36" x14ac:dyDescent="0.25">
      <c r="A518">
        <v>10517</v>
      </c>
      <c r="B518" t="s">
        <v>53</v>
      </c>
      <c r="C518" t="s">
        <v>32</v>
      </c>
      <c r="D518" t="s">
        <v>54</v>
      </c>
      <c r="E518" t="str">
        <f t="shared" si="104"/>
        <v>Sarah Wilson is in Finance Department</v>
      </c>
      <c r="F518" s="6" t="str">
        <f t="shared" si="105"/>
        <v>sarahwilson@gmail.com</v>
      </c>
      <c r="G518">
        <v>70750</v>
      </c>
      <c r="H518" t="str">
        <f t="shared" si="106"/>
        <v>Medium</v>
      </c>
      <c r="I518" s="3">
        <v>39077</v>
      </c>
      <c r="J518">
        <f t="shared" si="107"/>
        <v>2006</v>
      </c>
      <c r="K518">
        <f t="shared" si="108"/>
        <v>12</v>
      </c>
      <c r="L518">
        <f t="shared" si="109"/>
        <v>26</v>
      </c>
      <c r="M518" s="3">
        <f t="shared" ca="1" si="110"/>
        <v>46100</v>
      </c>
      <c r="N518">
        <f t="shared" ca="1" si="111"/>
        <v>7023</v>
      </c>
      <c r="O518">
        <f t="shared" ca="1" si="112"/>
        <v>7023</v>
      </c>
      <c r="P518">
        <f t="shared" ca="1" si="113"/>
        <v>5018</v>
      </c>
      <c r="Q518">
        <v>52</v>
      </c>
      <c r="R518" t="str">
        <f t="shared" si="114"/>
        <v>Old</v>
      </c>
      <c r="S518" t="s">
        <v>34</v>
      </c>
      <c r="T518">
        <v>5</v>
      </c>
      <c r="U518" t="s">
        <v>25</v>
      </c>
      <c r="V518">
        <v>8827.7999999999993</v>
      </c>
      <c r="W518" t="s">
        <v>46</v>
      </c>
      <c r="X518" t="s">
        <v>27</v>
      </c>
      <c r="Y518">
        <v>1</v>
      </c>
      <c r="Z518" t="str">
        <f t="shared" si="115"/>
        <v>Bad Employee</v>
      </c>
      <c r="AA518" t="b">
        <f t="shared" si="116"/>
        <v>0</v>
      </c>
      <c r="AB518" t="b">
        <f>OR(Y518&gt;20, T518&gt;6)</f>
        <v>0</v>
      </c>
      <c r="AC518" t="str">
        <f>IF(OR(Y518&gt;20,T518&gt;6), "Good employee", "Bad Employee")</f>
        <v>Bad Employee</v>
      </c>
      <c r="AD518" t="s">
        <v>41</v>
      </c>
      <c r="AE518" t="s">
        <v>37</v>
      </c>
      <c r="AF518">
        <v>7</v>
      </c>
      <c r="AG518">
        <v>2015</v>
      </c>
      <c r="AH518" t="s">
        <v>43</v>
      </c>
      <c r="AI518">
        <v>163</v>
      </c>
      <c r="AJ518">
        <v>1.1000000000000001</v>
      </c>
    </row>
    <row r="519" spans="1:36" x14ac:dyDescent="0.25">
      <c r="A519">
        <v>10518</v>
      </c>
      <c r="B519" t="s">
        <v>64</v>
      </c>
      <c r="C519" t="s">
        <v>63</v>
      </c>
      <c r="D519" t="s">
        <v>39</v>
      </c>
      <c r="E519" t="str">
        <f t="shared" si="104"/>
        <v>Katie Miller is in IT Department</v>
      </c>
      <c r="F519" s="6" t="str">
        <f t="shared" si="105"/>
        <v>katiemiller@gmail.com</v>
      </c>
      <c r="G519">
        <v>98602</v>
      </c>
      <c r="H519" t="str">
        <f t="shared" si="106"/>
        <v>High</v>
      </c>
      <c r="I519" s="3">
        <v>40896</v>
      </c>
      <c r="J519">
        <f t="shared" si="107"/>
        <v>2011</v>
      </c>
      <c r="K519">
        <f t="shared" si="108"/>
        <v>12</v>
      </c>
      <c r="L519">
        <f t="shared" si="109"/>
        <v>19</v>
      </c>
      <c r="M519" s="3">
        <f t="shared" ca="1" si="110"/>
        <v>46100</v>
      </c>
      <c r="N519">
        <f t="shared" ca="1" si="111"/>
        <v>5204</v>
      </c>
      <c r="O519">
        <f t="shared" ca="1" si="112"/>
        <v>5204</v>
      </c>
      <c r="P519">
        <f t="shared" ca="1" si="113"/>
        <v>3719</v>
      </c>
      <c r="Q519">
        <v>31</v>
      </c>
      <c r="R519" t="str">
        <f t="shared" si="114"/>
        <v>Old</v>
      </c>
      <c r="S519" t="s">
        <v>24</v>
      </c>
      <c r="T519">
        <v>9</v>
      </c>
      <c r="U519" t="s">
        <v>25</v>
      </c>
      <c r="V519">
        <v>8488.0300000000007</v>
      </c>
      <c r="W519" t="s">
        <v>46</v>
      </c>
      <c r="X519" t="s">
        <v>40</v>
      </c>
      <c r="Y519">
        <v>4</v>
      </c>
      <c r="Z519" t="str">
        <f t="shared" si="115"/>
        <v>Bad Employee</v>
      </c>
      <c r="AA519" t="b">
        <f t="shared" si="116"/>
        <v>0</v>
      </c>
      <c r="AB519" t="b">
        <f>OR(Y519&gt;20, T519&gt;6)</f>
        <v>1</v>
      </c>
      <c r="AC519" t="str">
        <f>IF(OR(Y519&gt;20,T519&gt;6), "Good employee", "Bad Employee")</f>
        <v>Good employee</v>
      </c>
      <c r="AD519" t="s">
        <v>56</v>
      </c>
      <c r="AE519" t="s">
        <v>29</v>
      </c>
      <c r="AF519">
        <v>13</v>
      </c>
      <c r="AG519">
        <v>2012</v>
      </c>
      <c r="AH519" t="s">
        <v>43</v>
      </c>
      <c r="AI519">
        <v>51</v>
      </c>
      <c r="AJ519">
        <v>2.8</v>
      </c>
    </row>
    <row r="520" spans="1:36" x14ac:dyDescent="0.25">
      <c r="A520">
        <v>10519</v>
      </c>
      <c r="B520" t="s">
        <v>53</v>
      </c>
      <c r="C520" t="s">
        <v>63</v>
      </c>
      <c r="D520" t="s">
        <v>39</v>
      </c>
      <c r="E520" t="str">
        <f t="shared" si="104"/>
        <v>Sarah Miller is in IT Department</v>
      </c>
      <c r="F520" s="6" t="str">
        <f t="shared" si="105"/>
        <v>sarahmiller@gmail.com</v>
      </c>
      <c r="G520">
        <v>51256</v>
      </c>
      <c r="H520" t="str">
        <f t="shared" si="106"/>
        <v>Medium</v>
      </c>
      <c r="I520" s="3">
        <v>38114</v>
      </c>
      <c r="J520">
        <f t="shared" si="107"/>
        <v>2004</v>
      </c>
      <c r="K520">
        <f t="shared" si="108"/>
        <v>5</v>
      </c>
      <c r="L520">
        <f t="shared" si="109"/>
        <v>7</v>
      </c>
      <c r="M520" s="3">
        <f t="shared" ca="1" si="110"/>
        <v>46100</v>
      </c>
      <c r="N520">
        <f t="shared" ca="1" si="111"/>
        <v>7986</v>
      </c>
      <c r="O520">
        <f t="shared" ca="1" si="112"/>
        <v>7986</v>
      </c>
      <c r="P520">
        <f t="shared" ca="1" si="113"/>
        <v>5705</v>
      </c>
      <c r="Q520">
        <v>55</v>
      </c>
      <c r="R520" t="str">
        <f t="shared" si="114"/>
        <v>Old</v>
      </c>
      <c r="S520" t="s">
        <v>34</v>
      </c>
      <c r="T520">
        <v>2</v>
      </c>
      <c r="U520" t="s">
        <v>25</v>
      </c>
      <c r="V520">
        <v>7967.24</v>
      </c>
      <c r="W520" t="s">
        <v>26</v>
      </c>
      <c r="X520" t="s">
        <v>40</v>
      </c>
      <c r="Y520">
        <v>22</v>
      </c>
      <c r="Z520" t="str">
        <f t="shared" si="115"/>
        <v>Bad Employee</v>
      </c>
      <c r="AA520" t="b">
        <f t="shared" si="116"/>
        <v>0</v>
      </c>
      <c r="AB520" t="b">
        <f>OR(Y520&gt;20, T520&gt;6)</f>
        <v>1</v>
      </c>
      <c r="AC520" t="str">
        <f>IF(OR(Y520&gt;20,T520&gt;6), "Good employee", "Bad Employee")</f>
        <v>Good employee</v>
      </c>
      <c r="AD520" t="s">
        <v>56</v>
      </c>
      <c r="AE520" t="s">
        <v>37</v>
      </c>
      <c r="AF520">
        <v>12</v>
      </c>
      <c r="AG520">
        <v>2010</v>
      </c>
      <c r="AH520" t="s">
        <v>49</v>
      </c>
      <c r="AI520">
        <v>148</v>
      </c>
      <c r="AJ520">
        <v>2.2999999999999998</v>
      </c>
    </row>
    <row r="521" spans="1:36" x14ac:dyDescent="0.25">
      <c r="A521">
        <v>10520</v>
      </c>
      <c r="B521" t="s">
        <v>60</v>
      </c>
      <c r="C521" t="s">
        <v>65</v>
      </c>
      <c r="D521" t="s">
        <v>33</v>
      </c>
      <c r="E521" t="str">
        <f t="shared" si="104"/>
        <v>Jane Johnson is in Marketing Department</v>
      </c>
      <c r="F521" s="6" t="str">
        <f t="shared" si="105"/>
        <v>janejohnson@gmail.com</v>
      </c>
      <c r="G521">
        <v>35594</v>
      </c>
      <c r="H521" t="str">
        <f t="shared" si="106"/>
        <v>extremely low</v>
      </c>
      <c r="I521" s="3">
        <v>42848</v>
      </c>
      <c r="J521">
        <f t="shared" si="107"/>
        <v>2017</v>
      </c>
      <c r="K521">
        <f t="shared" si="108"/>
        <v>4</v>
      </c>
      <c r="L521">
        <f t="shared" si="109"/>
        <v>23</v>
      </c>
      <c r="M521" s="3">
        <f t="shared" ca="1" si="110"/>
        <v>46100</v>
      </c>
      <c r="N521">
        <f t="shared" ca="1" si="111"/>
        <v>3252</v>
      </c>
      <c r="O521">
        <f t="shared" ca="1" si="112"/>
        <v>3252</v>
      </c>
      <c r="P521">
        <f t="shared" ca="1" si="113"/>
        <v>2324</v>
      </c>
      <c r="Q521">
        <v>27</v>
      </c>
      <c r="R521" t="str">
        <f t="shared" si="114"/>
        <v>Young</v>
      </c>
      <c r="S521" t="s">
        <v>24</v>
      </c>
      <c r="T521">
        <v>1</v>
      </c>
      <c r="U521" t="s">
        <v>45</v>
      </c>
      <c r="V521">
        <v>630.98</v>
      </c>
      <c r="W521" t="s">
        <v>35</v>
      </c>
      <c r="X521" t="s">
        <v>27</v>
      </c>
      <c r="Y521">
        <v>22</v>
      </c>
      <c r="Z521" t="str">
        <f t="shared" si="115"/>
        <v>Bad Employee</v>
      </c>
      <c r="AA521" t="b">
        <f t="shared" si="116"/>
        <v>0</v>
      </c>
      <c r="AB521" t="b">
        <f>OR(Y521&gt;20, T521&gt;6)</f>
        <v>1</v>
      </c>
      <c r="AC521" t="str">
        <f>IF(OR(Y521&gt;20,T521&gt;6), "Good employee", "Bad Employee")</f>
        <v>Good employee</v>
      </c>
      <c r="AD521" t="s">
        <v>56</v>
      </c>
      <c r="AE521" t="s">
        <v>48</v>
      </c>
      <c r="AF521">
        <v>14</v>
      </c>
      <c r="AG521">
        <v>2015</v>
      </c>
      <c r="AH521" t="s">
        <v>30</v>
      </c>
      <c r="AI521">
        <v>175</v>
      </c>
      <c r="AJ521">
        <v>4.9000000000000004</v>
      </c>
    </row>
    <row r="522" spans="1:36" x14ac:dyDescent="0.25">
      <c r="A522">
        <v>10521</v>
      </c>
      <c r="B522" t="s">
        <v>53</v>
      </c>
      <c r="C522" t="s">
        <v>65</v>
      </c>
      <c r="D522" t="s">
        <v>23</v>
      </c>
      <c r="E522" t="str">
        <f t="shared" si="104"/>
        <v>Sarah Johnson is in HR Department</v>
      </c>
      <c r="F522" s="6" t="str">
        <f t="shared" si="105"/>
        <v>sarahjohnson@gmail.com</v>
      </c>
      <c r="G522">
        <v>32460</v>
      </c>
      <c r="H522" t="str">
        <f t="shared" si="106"/>
        <v>extremely low</v>
      </c>
      <c r="I522" s="3">
        <v>38482</v>
      </c>
      <c r="J522">
        <f t="shared" si="107"/>
        <v>2005</v>
      </c>
      <c r="K522">
        <f t="shared" si="108"/>
        <v>5</v>
      </c>
      <c r="L522">
        <f t="shared" si="109"/>
        <v>10</v>
      </c>
      <c r="M522" s="3">
        <f t="shared" ca="1" si="110"/>
        <v>46100</v>
      </c>
      <c r="N522">
        <f t="shared" ca="1" si="111"/>
        <v>7618</v>
      </c>
      <c r="O522">
        <f t="shared" ca="1" si="112"/>
        <v>7618</v>
      </c>
      <c r="P522">
        <f t="shared" ca="1" si="113"/>
        <v>5443</v>
      </c>
      <c r="Q522">
        <v>49</v>
      </c>
      <c r="R522" t="str">
        <f t="shared" si="114"/>
        <v>Old</v>
      </c>
      <c r="S522" t="s">
        <v>24</v>
      </c>
      <c r="T522">
        <v>6</v>
      </c>
      <c r="U522" t="s">
        <v>25</v>
      </c>
      <c r="V522">
        <v>9162.86</v>
      </c>
      <c r="W522" t="s">
        <v>35</v>
      </c>
      <c r="X522" t="s">
        <v>36</v>
      </c>
      <c r="Y522">
        <v>30</v>
      </c>
      <c r="Z522" t="str">
        <f t="shared" si="115"/>
        <v>Bad Employee</v>
      </c>
      <c r="AA522" t="b">
        <f t="shared" si="116"/>
        <v>0</v>
      </c>
      <c r="AB522" t="b">
        <f>OR(Y522&gt;20, T522&gt;6)</f>
        <v>1</v>
      </c>
      <c r="AC522" t="str">
        <f>IF(OR(Y522&gt;20,T522&gt;6), "Good employee", "Bad Employee")</f>
        <v>Good employee</v>
      </c>
      <c r="AD522" t="s">
        <v>56</v>
      </c>
      <c r="AE522" t="s">
        <v>59</v>
      </c>
      <c r="AF522">
        <v>14</v>
      </c>
      <c r="AG522">
        <v>2023</v>
      </c>
      <c r="AH522" t="s">
        <v>30</v>
      </c>
      <c r="AI522">
        <v>135</v>
      </c>
      <c r="AJ522">
        <v>4.5</v>
      </c>
    </row>
    <row r="523" spans="1:36" x14ac:dyDescent="0.25">
      <c r="A523">
        <v>10522</v>
      </c>
      <c r="B523" t="s">
        <v>21</v>
      </c>
      <c r="C523" t="s">
        <v>63</v>
      </c>
      <c r="D523" t="s">
        <v>54</v>
      </c>
      <c r="E523" t="str">
        <f t="shared" si="104"/>
        <v>Michael Miller is in Finance Department</v>
      </c>
      <c r="F523" s="6" t="str">
        <f t="shared" si="105"/>
        <v>michaelmiller@gmail.com</v>
      </c>
      <c r="G523">
        <v>102356</v>
      </c>
      <c r="H523" t="str">
        <f t="shared" si="106"/>
        <v>High</v>
      </c>
      <c r="I523" s="3">
        <v>38301</v>
      </c>
      <c r="J523">
        <f t="shared" si="107"/>
        <v>2004</v>
      </c>
      <c r="K523">
        <f t="shared" si="108"/>
        <v>11</v>
      </c>
      <c r="L523">
        <f t="shared" si="109"/>
        <v>10</v>
      </c>
      <c r="M523" s="3">
        <f t="shared" ca="1" si="110"/>
        <v>46100</v>
      </c>
      <c r="N523">
        <f t="shared" ca="1" si="111"/>
        <v>7799</v>
      </c>
      <c r="O523">
        <f t="shared" ca="1" si="112"/>
        <v>7799</v>
      </c>
      <c r="P523">
        <f t="shared" ca="1" si="113"/>
        <v>5572</v>
      </c>
      <c r="Q523">
        <v>49</v>
      </c>
      <c r="R523" t="str">
        <f t="shared" si="114"/>
        <v>Old</v>
      </c>
      <c r="S523" t="s">
        <v>24</v>
      </c>
      <c r="T523">
        <v>9</v>
      </c>
      <c r="U523" t="s">
        <v>25</v>
      </c>
      <c r="V523">
        <v>3111.32</v>
      </c>
      <c r="W523" t="s">
        <v>26</v>
      </c>
      <c r="X523" t="s">
        <v>55</v>
      </c>
      <c r="Y523">
        <v>27</v>
      </c>
      <c r="Z523" t="str">
        <f t="shared" si="115"/>
        <v>Good Employee</v>
      </c>
      <c r="AA523" t="b">
        <f t="shared" si="116"/>
        <v>1</v>
      </c>
      <c r="AB523" t="b">
        <f>OR(Y523&gt;20, T523&gt;6)</f>
        <v>1</v>
      </c>
      <c r="AC523" t="str">
        <f>IF(OR(Y523&gt;20,T523&gt;6), "Good employee", "Bad Employee")</f>
        <v>Good employee</v>
      </c>
      <c r="AD523" t="s">
        <v>56</v>
      </c>
      <c r="AE523" t="s">
        <v>48</v>
      </c>
      <c r="AF523">
        <v>12</v>
      </c>
      <c r="AG523">
        <v>2012</v>
      </c>
      <c r="AH523" t="s">
        <v>43</v>
      </c>
      <c r="AI523">
        <v>16</v>
      </c>
      <c r="AJ523">
        <v>4.3</v>
      </c>
    </row>
    <row r="524" spans="1:36" x14ac:dyDescent="0.25">
      <c r="A524">
        <v>10523</v>
      </c>
      <c r="B524" t="s">
        <v>64</v>
      </c>
      <c r="C524" t="s">
        <v>51</v>
      </c>
      <c r="D524" t="s">
        <v>23</v>
      </c>
      <c r="E524" t="str">
        <f t="shared" si="104"/>
        <v>Katie Brown is in HR Department</v>
      </c>
      <c r="F524" s="6" t="str">
        <f t="shared" si="105"/>
        <v>katiebrown@gmail.com</v>
      </c>
      <c r="G524">
        <v>84698</v>
      </c>
      <c r="H524" t="str">
        <f t="shared" si="106"/>
        <v>High</v>
      </c>
      <c r="I524" s="3">
        <v>42806</v>
      </c>
      <c r="J524">
        <f t="shared" si="107"/>
        <v>2017</v>
      </c>
      <c r="K524">
        <f t="shared" si="108"/>
        <v>3</v>
      </c>
      <c r="L524">
        <f t="shared" si="109"/>
        <v>12</v>
      </c>
      <c r="M524" s="3">
        <f t="shared" ca="1" si="110"/>
        <v>46100</v>
      </c>
      <c r="N524">
        <f t="shared" ca="1" si="111"/>
        <v>3294</v>
      </c>
      <c r="O524">
        <f t="shared" ca="1" si="112"/>
        <v>3294</v>
      </c>
      <c r="P524">
        <f t="shared" ca="1" si="113"/>
        <v>2354</v>
      </c>
      <c r="Q524">
        <v>34</v>
      </c>
      <c r="R524" t="str">
        <f t="shared" si="114"/>
        <v>Old</v>
      </c>
      <c r="S524" t="s">
        <v>24</v>
      </c>
      <c r="T524">
        <v>7</v>
      </c>
      <c r="U524" t="s">
        <v>45</v>
      </c>
      <c r="V524">
        <v>8935.75</v>
      </c>
      <c r="W524" t="s">
        <v>26</v>
      </c>
      <c r="X524" t="s">
        <v>55</v>
      </c>
      <c r="Y524">
        <v>27</v>
      </c>
      <c r="Z524" t="str">
        <f t="shared" si="115"/>
        <v>Good Employee</v>
      </c>
      <c r="AA524" t="b">
        <f t="shared" si="116"/>
        <v>1</v>
      </c>
      <c r="AB524" t="b">
        <f>OR(Y524&gt;20, T524&gt;6)</f>
        <v>1</v>
      </c>
      <c r="AC524" t="str">
        <f>IF(OR(Y524&gt;20,T524&gt;6), "Good employee", "Bad Employee")</f>
        <v>Good employee</v>
      </c>
      <c r="AD524" t="s">
        <v>56</v>
      </c>
      <c r="AE524" t="s">
        <v>37</v>
      </c>
      <c r="AF524">
        <v>3</v>
      </c>
      <c r="AG524">
        <v>2017</v>
      </c>
      <c r="AH524" t="s">
        <v>30</v>
      </c>
      <c r="AI524">
        <v>143</v>
      </c>
      <c r="AJ524">
        <v>3</v>
      </c>
    </row>
    <row r="525" spans="1:36" x14ac:dyDescent="0.25">
      <c r="A525">
        <v>10524</v>
      </c>
      <c r="B525" t="s">
        <v>21</v>
      </c>
      <c r="C525" t="s">
        <v>51</v>
      </c>
      <c r="D525" t="s">
        <v>52</v>
      </c>
      <c r="E525" t="str">
        <f t="shared" si="104"/>
        <v>Michael Brown is in Operations Department</v>
      </c>
      <c r="F525" s="6" t="str">
        <f t="shared" si="105"/>
        <v>michaelbrown@gmail.com</v>
      </c>
      <c r="G525">
        <v>46191</v>
      </c>
      <c r="H525" t="str">
        <f t="shared" si="106"/>
        <v>low</v>
      </c>
      <c r="I525" s="3">
        <v>41388</v>
      </c>
      <c r="J525">
        <f t="shared" si="107"/>
        <v>2013</v>
      </c>
      <c r="K525">
        <f t="shared" si="108"/>
        <v>4</v>
      </c>
      <c r="L525">
        <f t="shared" si="109"/>
        <v>24</v>
      </c>
      <c r="M525" s="3">
        <f t="shared" ca="1" si="110"/>
        <v>46100</v>
      </c>
      <c r="N525">
        <f t="shared" ca="1" si="111"/>
        <v>4712</v>
      </c>
      <c r="O525">
        <f t="shared" ca="1" si="112"/>
        <v>4712</v>
      </c>
      <c r="P525">
        <f t="shared" ca="1" si="113"/>
        <v>3367</v>
      </c>
      <c r="Q525">
        <v>62</v>
      </c>
      <c r="R525" t="str">
        <f t="shared" si="114"/>
        <v>Old</v>
      </c>
      <c r="S525" t="s">
        <v>24</v>
      </c>
      <c r="T525">
        <v>8</v>
      </c>
      <c r="U525" t="s">
        <v>25</v>
      </c>
      <c r="V525">
        <v>2371.1999999999998</v>
      </c>
      <c r="W525" t="s">
        <v>35</v>
      </c>
      <c r="X525" t="s">
        <v>55</v>
      </c>
      <c r="Y525">
        <v>13</v>
      </c>
      <c r="Z525" t="str">
        <f t="shared" si="115"/>
        <v>Bad Employee</v>
      </c>
      <c r="AA525" t="b">
        <f t="shared" si="116"/>
        <v>0</v>
      </c>
      <c r="AB525" t="b">
        <f>OR(Y525&gt;20, T525&gt;6)</f>
        <v>1</v>
      </c>
      <c r="AC525" t="str">
        <f>IF(OR(Y525&gt;20,T525&gt;6), "Good employee", "Bad Employee")</f>
        <v>Good employee</v>
      </c>
      <c r="AD525" t="s">
        <v>56</v>
      </c>
      <c r="AE525" t="s">
        <v>29</v>
      </c>
      <c r="AF525">
        <v>3</v>
      </c>
      <c r="AG525">
        <v>2016</v>
      </c>
      <c r="AH525" t="s">
        <v>49</v>
      </c>
      <c r="AI525">
        <v>20</v>
      </c>
      <c r="AJ525">
        <v>4.2</v>
      </c>
    </row>
    <row r="526" spans="1:36" x14ac:dyDescent="0.25">
      <c r="A526">
        <v>10525</v>
      </c>
      <c r="B526" t="s">
        <v>60</v>
      </c>
      <c r="C526" t="s">
        <v>22</v>
      </c>
      <c r="D526" t="s">
        <v>54</v>
      </c>
      <c r="E526" t="str">
        <f t="shared" si="104"/>
        <v>Jane Williams is in Finance Department</v>
      </c>
      <c r="F526" s="6" t="str">
        <f t="shared" si="105"/>
        <v>janewilliams@gmail.com</v>
      </c>
      <c r="G526">
        <v>114631</v>
      </c>
      <c r="H526" t="str">
        <f t="shared" si="106"/>
        <v>High</v>
      </c>
      <c r="I526" s="3">
        <v>37513</v>
      </c>
      <c r="J526">
        <f t="shared" si="107"/>
        <v>2002</v>
      </c>
      <c r="K526">
        <f t="shared" si="108"/>
        <v>9</v>
      </c>
      <c r="L526">
        <f t="shared" si="109"/>
        <v>14</v>
      </c>
      <c r="M526" s="3">
        <f t="shared" ca="1" si="110"/>
        <v>46100</v>
      </c>
      <c r="N526">
        <f t="shared" ca="1" si="111"/>
        <v>8587</v>
      </c>
      <c r="O526">
        <f t="shared" ca="1" si="112"/>
        <v>8587</v>
      </c>
      <c r="P526">
        <f t="shared" ca="1" si="113"/>
        <v>6134</v>
      </c>
      <c r="Q526">
        <v>33</v>
      </c>
      <c r="R526" t="str">
        <f t="shared" si="114"/>
        <v>Old</v>
      </c>
      <c r="S526" t="s">
        <v>34</v>
      </c>
      <c r="T526">
        <v>5</v>
      </c>
      <c r="U526" t="s">
        <v>25</v>
      </c>
      <c r="V526">
        <v>4676.63</v>
      </c>
      <c r="W526" t="s">
        <v>46</v>
      </c>
      <c r="X526" t="s">
        <v>36</v>
      </c>
      <c r="Y526">
        <v>39</v>
      </c>
      <c r="Z526" t="str">
        <f t="shared" si="115"/>
        <v>Bad Employee</v>
      </c>
      <c r="AA526" t="b">
        <f t="shared" si="116"/>
        <v>0</v>
      </c>
      <c r="AB526" t="b">
        <f>OR(Y526&gt;20, T526&gt;6)</f>
        <v>1</v>
      </c>
      <c r="AC526" t="str">
        <f>IF(OR(Y526&gt;20,T526&gt;6), "Good employee", "Bad Employee")</f>
        <v>Good employee</v>
      </c>
      <c r="AD526" t="s">
        <v>41</v>
      </c>
      <c r="AE526" t="s">
        <v>48</v>
      </c>
      <c r="AF526">
        <v>4</v>
      </c>
      <c r="AG526">
        <v>2020</v>
      </c>
      <c r="AH526" t="s">
        <v>30</v>
      </c>
      <c r="AI526">
        <v>161</v>
      </c>
      <c r="AJ526">
        <v>2.1</v>
      </c>
    </row>
    <row r="527" spans="1:36" x14ac:dyDescent="0.25">
      <c r="A527">
        <v>10526</v>
      </c>
      <c r="B527" t="s">
        <v>21</v>
      </c>
      <c r="C527" t="s">
        <v>57</v>
      </c>
      <c r="D527" t="s">
        <v>23</v>
      </c>
      <c r="E527" t="str">
        <f t="shared" si="104"/>
        <v>Michael Davis is in HR Department</v>
      </c>
      <c r="F527" s="6" t="str">
        <f t="shared" si="105"/>
        <v>michaeldavis@gmail.com</v>
      </c>
      <c r="G527">
        <v>40529</v>
      </c>
      <c r="H527" t="str">
        <f t="shared" si="106"/>
        <v>low</v>
      </c>
      <c r="I527" s="3">
        <v>42381</v>
      </c>
      <c r="J527">
        <f t="shared" si="107"/>
        <v>2016</v>
      </c>
      <c r="K527">
        <f t="shared" si="108"/>
        <v>1</v>
      </c>
      <c r="L527">
        <f t="shared" si="109"/>
        <v>12</v>
      </c>
      <c r="M527" s="3">
        <f t="shared" ca="1" si="110"/>
        <v>46100</v>
      </c>
      <c r="N527">
        <f t="shared" ca="1" si="111"/>
        <v>3719</v>
      </c>
      <c r="O527">
        <f t="shared" ca="1" si="112"/>
        <v>3719</v>
      </c>
      <c r="P527">
        <f t="shared" ca="1" si="113"/>
        <v>2658</v>
      </c>
      <c r="Q527">
        <v>61</v>
      </c>
      <c r="R527" t="str">
        <f t="shared" si="114"/>
        <v>Old</v>
      </c>
      <c r="S527" t="s">
        <v>34</v>
      </c>
      <c r="T527">
        <v>4</v>
      </c>
      <c r="U527" t="s">
        <v>45</v>
      </c>
      <c r="V527">
        <v>7619.29</v>
      </c>
      <c r="W527" t="s">
        <v>46</v>
      </c>
      <c r="X527" t="s">
        <v>36</v>
      </c>
      <c r="Y527">
        <v>27</v>
      </c>
      <c r="Z527" t="str">
        <f t="shared" si="115"/>
        <v>Bad Employee</v>
      </c>
      <c r="AA527" t="b">
        <f t="shared" si="116"/>
        <v>0</v>
      </c>
      <c r="AB527" t="b">
        <f>OR(Y527&gt;20, T527&gt;6)</f>
        <v>1</v>
      </c>
      <c r="AC527" t="str">
        <f>IF(OR(Y527&gt;20,T527&gt;6), "Good employee", "Bad Employee")</f>
        <v>Good employee</v>
      </c>
      <c r="AD527" t="s">
        <v>28</v>
      </c>
      <c r="AE527" t="s">
        <v>42</v>
      </c>
      <c r="AF527">
        <v>2</v>
      </c>
      <c r="AG527">
        <v>2016</v>
      </c>
      <c r="AH527" t="s">
        <v>30</v>
      </c>
      <c r="AI527">
        <v>121</v>
      </c>
      <c r="AJ527">
        <v>3.2</v>
      </c>
    </row>
    <row r="528" spans="1:36" x14ac:dyDescent="0.25">
      <c r="A528">
        <v>10527</v>
      </c>
      <c r="B528" t="s">
        <v>50</v>
      </c>
      <c r="C528" t="s">
        <v>22</v>
      </c>
      <c r="D528" t="s">
        <v>33</v>
      </c>
      <c r="E528" t="str">
        <f t="shared" si="104"/>
        <v>Alex Williams is in Marketing Department</v>
      </c>
      <c r="F528" s="6" t="str">
        <f t="shared" si="105"/>
        <v>alexwilliams@gmail.com</v>
      </c>
      <c r="G528">
        <v>62175</v>
      </c>
      <c r="H528" t="str">
        <f t="shared" si="106"/>
        <v>Medium</v>
      </c>
      <c r="I528" s="3">
        <v>37729</v>
      </c>
      <c r="J528">
        <f t="shared" si="107"/>
        <v>2003</v>
      </c>
      <c r="K528">
        <f t="shared" si="108"/>
        <v>4</v>
      </c>
      <c r="L528">
        <f t="shared" si="109"/>
        <v>18</v>
      </c>
      <c r="M528" s="3">
        <f t="shared" ca="1" si="110"/>
        <v>46100</v>
      </c>
      <c r="N528">
        <f t="shared" ca="1" si="111"/>
        <v>8371</v>
      </c>
      <c r="O528">
        <f t="shared" ca="1" si="112"/>
        <v>8371</v>
      </c>
      <c r="P528">
        <f t="shared" ca="1" si="113"/>
        <v>5980</v>
      </c>
      <c r="Q528">
        <v>23</v>
      </c>
      <c r="R528" t="str">
        <f t="shared" si="114"/>
        <v>Young</v>
      </c>
      <c r="S528" t="s">
        <v>34</v>
      </c>
      <c r="T528">
        <v>6</v>
      </c>
      <c r="U528" t="s">
        <v>25</v>
      </c>
      <c r="V528">
        <v>6582.65</v>
      </c>
      <c r="W528" t="s">
        <v>58</v>
      </c>
      <c r="X528" t="s">
        <v>40</v>
      </c>
      <c r="Y528">
        <v>39</v>
      </c>
      <c r="Z528" t="str">
        <f t="shared" si="115"/>
        <v>Bad Employee</v>
      </c>
      <c r="AA528" t="b">
        <f t="shared" si="116"/>
        <v>0</v>
      </c>
      <c r="AB528" t="b">
        <f>OR(Y528&gt;20, T528&gt;6)</f>
        <v>1</v>
      </c>
      <c r="AC528" t="str">
        <f>IF(OR(Y528&gt;20,T528&gt;6), "Good employee", "Bad Employee")</f>
        <v>Good employee</v>
      </c>
      <c r="AD528" t="s">
        <v>41</v>
      </c>
      <c r="AE528" t="s">
        <v>37</v>
      </c>
      <c r="AF528">
        <v>11</v>
      </c>
      <c r="AG528">
        <v>2022</v>
      </c>
      <c r="AH528" t="s">
        <v>30</v>
      </c>
      <c r="AI528">
        <v>153</v>
      </c>
      <c r="AJ528">
        <v>2.6</v>
      </c>
    </row>
    <row r="529" spans="1:36" x14ac:dyDescent="0.25">
      <c r="A529">
        <v>10528</v>
      </c>
      <c r="B529" t="s">
        <v>60</v>
      </c>
      <c r="C529" t="s">
        <v>57</v>
      </c>
      <c r="D529" t="s">
        <v>33</v>
      </c>
      <c r="E529" t="str">
        <f t="shared" si="104"/>
        <v>Jane Davis is in Marketing Department</v>
      </c>
      <c r="F529" s="6" t="str">
        <f t="shared" si="105"/>
        <v>janedavis@gmail.com</v>
      </c>
      <c r="G529">
        <v>47675</v>
      </c>
      <c r="H529" t="str">
        <f t="shared" si="106"/>
        <v>low</v>
      </c>
      <c r="I529" s="3">
        <v>39856</v>
      </c>
      <c r="J529">
        <f t="shared" si="107"/>
        <v>2009</v>
      </c>
      <c r="K529">
        <f t="shared" si="108"/>
        <v>2</v>
      </c>
      <c r="L529">
        <f t="shared" si="109"/>
        <v>12</v>
      </c>
      <c r="M529" s="3">
        <f t="shared" ca="1" si="110"/>
        <v>46100</v>
      </c>
      <c r="N529">
        <f t="shared" ca="1" si="111"/>
        <v>6244</v>
      </c>
      <c r="O529">
        <f t="shared" ca="1" si="112"/>
        <v>6244</v>
      </c>
      <c r="P529">
        <f t="shared" ca="1" si="113"/>
        <v>4461</v>
      </c>
      <c r="Q529">
        <v>29</v>
      </c>
      <c r="R529" t="str">
        <f t="shared" si="114"/>
        <v>Young</v>
      </c>
      <c r="S529" t="s">
        <v>34</v>
      </c>
      <c r="T529">
        <v>3</v>
      </c>
      <c r="U529" t="s">
        <v>45</v>
      </c>
      <c r="V529">
        <v>4451.26</v>
      </c>
      <c r="W529" t="s">
        <v>35</v>
      </c>
      <c r="X529" t="s">
        <v>36</v>
      </c>
      <c r="Y529">
        <v>38</v>
      </c>
      <c r="Z529" t="str">
        <f t="shared" si="115"/>
        <v>Bad Employee</v>
      </c>
      <c r="AA529" t="b">
        <f t="shared" si="116"/>
        <v>0</v>
      </c>
      <c r="AB529" t="b">
        <f>OR(Y529&gt;20, T529&gt;6)</f>
        <v>1</v>
      </c>
      <c r="AC529" t="str">
        <f>IF(OR(Y529&gt;20,T529&gt;6), "Good employee", "Bad Employee")</f>
        <v>Good employee</v>
      </c>
      <c r="AD529" t="s">
        <v>41</v>
      </c>
      <c r="AE529" t="s">
        <v>29</v>
      </c>
      <c r="AF529">
        <v>19</v>
      </c>
      <c r="AG529">
        <v>2021</v>
      </c>
      <c r="AH529" t="s">
        <v>30</v>
      </c>
      <c r="AI529">
        <v>113</v>
      </c>
      <c r="AJ529">
        <v>1.7</v>
      </c>
    </row>
    <row r="530" spans="1:36" x14ac:dyDescent="0.25">
      <c r="A530">
        <v>10529</v>
      </c>
      <c r="B530" t="s">
        <v>60</v>
      </c>
      <c r="C530" t="s">
        <v>65</v>
      </c>
      <c r="D530" t="s">
        <v>54</v>
      </c>
      <c r="E530" t="str">
        <f t="shared" si="104"/>
        <v>Jane Johnson is in Finance Department</v>
      </c>
      <c r="F530" s="6" t="str">
        <f t="shared" si="105"/>
        <v>janejohnson@gmail.com</v>
      </c>
      <c r="G530">
        <v>73158</v>
      </c>
      <c r="H530" t="str">
        <f t="shared" si="106"/>
        <v>Medium</v>
      </c>
      <c r="I530" s="3">
        <v>42912</v>
      </c>
      <c r="J530">
        <f t="shared" si="107"/>
        <v>2017</v>
      </c>
      <c r="K530">
        <f t="shared" si="108"/>
        <v>6</v>
      </c>
      <c r="L530">
        <f t="shared" si="109"/>
        <v>26</v>
      </c>
      <c r="M530" s="3">
        <f t="shared" ca="1" si="110"/>
        <v>46100</v>
      </c>
      <c r="N530">
        <f t="shared" ca="1" si="111"/>
        <v>3188</v>
      </c>
      <c r="O530">
        <f t="shared" ca="1" si="112"/>
        <v>3188</v>
      </c>
      <c r="P530">
        <f t="shared" ca="1" si="113"/>
        <v>2279</v>
      </c>
      <c r="Q530">
        <v>63</v>
      </c>
      <c r="R530" t="str">
        <f t="shared" si="114"/>
        <v>Old</v>
      </c>
      <c r="S530" t="s">
        <v>34</v>
      </c>
      <c r="T530">
        <v>1</v>
      </c>
      <c r="U530" t="s">
        <v>25</v>
      </c>
      <c r="V530">
        <v>6946.93</v>
      </c>
      <c r="W530" t="s">
        <v>26</v>
      </c>
      <c r="X530" t="s">
        <v>47</v>
      </c>
      <c r="Y530">
        <v>8</v>
      </c>
      <c r="Z530" t="str">
        <f t="shared" si="115"/>
        <v>Bad Employee</v>
      </c>
      <c r="AA530" t="b">
        <f t="shared" si="116"/>
        <v>0</v>
      </c>
      <c r="AB530" t="b">
        <f>OR(Y530&gt;20, T530&gt;6)</f>
        <v>0</v>
      </c>
      <c r="AC530" t="str">
        <f>IF(OR(Y530&gt;20,T530&gt;6), "Good employee", "Bad Employee")</f>
        <v>Bad Employee</v>
      </c>
      <c r="AD530" t="s">
        <v>28</v>
      </c>
      <c r="AE530" t="s">
        <v>59</v>
      </c>
      <c r="AF530">
        <v>11</v>
      </c>
      <c r="AG530">
        <v>2017</v>
      </c>
      <c r="AH530" t="s">
        <v>49</v>
      </c>
      <c r="AI530">
        <v>62</v>
      </c>
      <c r="AJ530">
        <v>1.3</v>
      </c>
    </row>
    <row r="531" spans="1:36" x14ac:dyDescent="0.25">
      <c r="A531">
        <v>10530</v>
      </c>
      <c r="B531" t="s">
        <v>60</v>
      </c>
      <c r="C531" t="s">
        <v>61</v>
      </c>
      <c r="D531" t="s">
        <v>52</v>
      </c>
      <c r="E531" t="str">
        <f t="shared" si="104"/>
        <v>Jane Smith is in Operations Department</v>
      </c>
      <c r="F531" s="6" t="str">
        <f t="shared" si="105"/>
        <v>janesmith@gmail.com</v>
      </c>
      <c r="G531">
        <v>76798</v>
      </c>
      <c r="H531" t="str">
        <f t="shared" si="106"/>
        <v>Medium</v>
      </c>
      <c r="I531" s="3">
        <v>37645</v>
      </c>
      <c r="J531">
        <f t="shared" si="107"/>
        <v>2003</v>
      </c>
      <c r="K531">
        <f t="shared" si="108"/>
        <v>1</v>
      </c>
      <c r="L531">
        <f t="shared" si="109"/>
        <v>24</v>
      </c>
      <c r="M531" s="3">
        <f t="shared" ca="1" si="110"/>
        <v>46100</v>
      </c>
      <c r="N531">
        <f t="shared" ca="1" si="111"/>
        <v>8455</v>
      </c>
      <c r="O531">
        <f t="shared" ca="1" si="112"/>
        <v>8455</v>
      </c>
      <c r="P531">
        <f t="shared" ca="1" si="113"/>
        <v>6040</v>
      </c>
      <c r="Q531">
        <v>30</v>
      </c>
      <c r="R531" t="str">
        <f t="shared" si="114"/>
        <v>Young</v>
      </c>
      <c r="S531" t="s">
        <v>34</v>
      </c>
      <c r="T531">
        <v>4</v>
      </c>
      <c r="U531" t="s">
        <v>25</v>
      </c>
      <c r="V531">
        <v>5715.02</v>
      </c>
      <c r="W531" t="s">
        <v>58</v>
      </c>
      <c r="X531" t="s">
        <v>27</v>
      </c>
      <c r="Y531">
        <v>12</v>
      </c>
      <c r="Z531" t="str">
        <f t="shared" si="115"/>
        <v>Bad Employee</v>
      </c>
      <c r="AA531" t="b">
        <f t="shared" si="116"/>
        <v>0</v>
      </c>
      <c r="AB531" t="b">
        <f>OR(Y531&gt;20, T531&gt;6)</f>
        <v>0</v>
      </c>
      <c r="AC531" t="str">
        <f>IF(OR(Y531&gt;20,T531&gt;6), "Good employee", "Bad Employee")</f>
        <v>Bad Employee</v>
      </c>
      <c r="AD531" t="s">
        <v>28</v>
      </c>
      <c r="AE531" t="s">
        <v>59</v>
      </c>
      <c r="AF531">
        <v>19</v>
      </c>
      <c r="AG531">
        <v>2016</v>
      </c>
      <c r="AH531" t="s">
        <v>30</v>
      </c>
      <c r="AI531">
        <v>175</v>
      </c>
      <c r="AJ531">
        <v>3.2</v>
      </c>
    </row>
    <row r="532" spans="1:36" x14ac:dyDescent="0.25">
      <c r="A532">
        <v>10531</v>
      </c>
      <c r="B532" t="s">
        <v>66</v>
      </c>
      <c r="C532" t="s">
        <v>22</v>
      </c>
      <c r="D532" t="s">
        <v>33</v>
      </c>
      <c r="E532" t="str">
        <f t="shared" si="104"/>
        <v>John Williams is in Marketing Department</v>
      </c>
      <c r="F532" s="6" t="str">
        <f t="shared" si="105"/>
        <v>johnwilliams@gmail.com</v>
      </c>
      <c r="G532">
        <v>100910</v>
      </c>
      <c r="H532" t="str">
        <f t="shared" si="106"/>
        <v>High</v>
      </c>
      <c r="I532" s="3">
        <v>36722</v>
      </c>
      <c r="J532">
        <f t="shared" si="107"/>
        <v>2000</v>
      </c>
      <c r="K532">
        <f t="shared" si="108"/>
        <v>7</v>
      </c>
      <c r="L532">
        <f t="shared" si="109"/>
        <v>15</v>
      </c>
      <c r="M532" s="3">
        <f t="shared" ca="1" si="110"/>
        <v>46100</v>
      </c>
      <c r="N532">
        <f t="shared" ca="1" si="111"/>
        <v>9378</v>
      </c>
      <c r="O532">
        <f t="shared" ca="1" si="112"/>
        <v>9378</v>
      </c>
      <c r="P532">
        <f t="shared" ca="1" si="113"/>
        <v>6699</v>
      </c>
      <c r="Q532">
        <v>29</v>
      </c>
      <c r="R532" t="str">
        <f t="shared" si="114"/>
        <v>Young</v>
      </c>
      <c r="S532" t="s">
        <v>24</v>
      </c>
      <c r="T532">
        <v>9</v>
      </c>
      <c r="U532" t="s">
        <v>45</v>
      </c>
      <c r="V532">
        <v>3119.49</v>
      </c>
      <c r="W532" t="s">
        <v>46</v>
      </c>
      <c r="X532" t="s">
        <v>36</v>
      </c>
      <c r="Y532">
        <v>24</v>
      </c>
      <c r="Z532" t="str">
        <f t="shared" si="115"/>
        <v>Good Employee</v>
      </c>
      <c r="AA532" t="b">
        <f t="shared" si="116"/>
        <v>1</v>
      </c>
      <c r="AB532" t="b">
        <f>OR(Y532&gt;20, T532&gt;6)</f>
        <v>1</v>
      </c>
      <c r="AC532" t="str">
        <f>IF(OR(Y532&gt;20,T532&gt;6), "Good employee", "Bad Employee")</f>
        <v>Good employee</v>
      </c>
      <c r="AD532" t="s">
        <v>28</v>
      </c>
      <c r="AE532" t="s">
        <v>42</v>
      </c>
      <c r="AF532">
        <v>6</v>
      </c>
      <c r="AG532">
        <v>2014</v>
      </c>
      <c r="AH532" t="s">
        <v>43</v>
      </c>
      <c r="AI532">
        <v>9</v>
      </c>
      <c r="AJ532">
        <v>1.4</v>
      </c>
    </row>
    <row r="533" spans="1:36" x14ac:dyDescent="0.25">
      <c r="A533">
        <v>10532</v>
      </c>
      <c r="B533" t="s">
        <v>53</v>
      </c>
      <c r="C533" t="s">
        <v>22</v>
      </c>
      <c r="D533" t="s">
        <v>33</v>
      </c>
      <c r="E533" t="str">
        <f t="shared" si="104"/>
        <v>Sarah Williams is in Marketing Department</v>
      </c>
      <c r="F533" s="6" t="str">
        <f t="shared" si="105"/>
        <v>sarahwilliams@gmail.com</v>
      </c>
      <c r="G533">
        <v>55976</v>
      </c>
      <c r="H533" t="str">
        <f t="shared" si="106"/>
        <v>Medium</v>
      </c>
      <c r="I533" s="3">
        <v>40501</v>
      </c>
      <c r="J533">
        <f t="shared" si="107"/>
        <v>2010</v>
      </c>
      <c r="K533">
        <f t="shared" si="108"/>
        <v>11</v>
      </c>
      <c r="L533">
        <f t="shared" si="109"/>
        <v>19</v>
      </c>
      <c r="M533" s="3">
        <f t="shared" ca="1" si="110"/>
        <v>46100</v>
      </c>
      <c r="N533">
        <f t="shared" ca="1" si="111"/>
        <v>5599</v>
      </c>
      <c r="O533">
        <f t="shared" ca="1" si="112"/>
        <v>5599</v>
      </c>
      <c r="P533">
        <f t="shared" ca="1" si="113"/>
        <v>4000</v>
      </c>
      <c r="Q533">
        <v>24</v>
      </c>
      <c r="R533" t="str">
        <f t="shared" si="114"/>
        <v>Young</v>
      </c>
      <c r="S533" t="s">
        <v>34</v>
      </c>
      <c r="T533">
        <v>4</v>
      </c>
      <c r="U533" t="s">
        <v>25</v>
      </c>
      <c r="V533">
        <v>6640.13</v>
      </c>
      <c r="W533" t="s">
        <v>35</v>
      </c>
      <c r="X533" t="s">
        <v>55</v>
      </c>
      <c r="Y533">
        <v>18</v>
      </c>
      <c r="Z533" t="str">
        <f t="shared" si="115"/>
        <v>Bad Employee</v>
      </c>
      <c r="AA533" t="b">
        <f t="shared" si="116"/>
        <v>0</v>
      </c>
      <c r="AB533" t="b">
        <f>OR(Y533&gt;20, T533&gt;6)</f>
        <v>0</v>
      </c>
      <c r="AC533" t="str">
        <f>IF(OR(Y533&gt;20,T533&gt;6), "Good employee", "Bad Employee")</f>
        <v>Bad Employee</v>
      </c>
      <c r="AD533" t="s">
        <v>56</v>
      </c>
      <c r="AE533" t="s">
        <v>62</v>
      </c>
      <c r="AF533">
        <v>6</v>
      </c>
      <c r="AG533">
        <v>2019</v>
      </c>
      <c r="AH533" t="s">
        <v>30</v>
      </c>
      <c r="AI533">
        <v>184</v>
      </c>
      <c r="AJ533">
        <v>3.9</v>
      </c>
    </row>
    <row r="534" spans="1:36" x14ac:dyDescent="0.25">
      <c r="A534">
        <v>10533</v>
      </c>
      <c r="B534" t="s">
        <v>66</v>
      </c>
      <c r="C534" t="s">
        <v>57</v>
      </c>
      <c r="D534" t="s">
        <v>52</v>
      </c>
      <c r="E534" t="str">
        <f t="shared" si="104"/>
        <v>John Davis is in Operations Department</v>
      </c>
      <c r="F534" s="6" t="str">
        <f t="shared" si="105"/>
        <v>johndavis@gmail.com</v>
      </c>
      <c r="G534">
        <v>93116</v>
      </c>
      <c r="H534" t="str">
        <f t="shared" si="106"/>
        <v>High</v>
      </c>
      <c r="I534" s="3">
        <v>37051</v>
      </c>
      <c r="J534">
        <f t="shared" si="107"/>
        <v>2001</v>
      </c>
      <c r="K534">
        <f t="shared" si="108"/>
        <v>6</v>
      </c>
      <c r="L534">
        <f t="shared" si="109"/>
        <v>9</v>
      </c>
      <c r="M534" s="3">
        <f t="shared" ca="1" si="110"/>
        <v>46100</v>
      </c>
      <c r="N534">
        <f t="shared" ca="1" si="111"/>
        <v>9049</v>
      </c>
      <c r="O534">
        <f t="shared" ca="1" si="112"/>
        <v>9049</v>
      </c>
      <c r="P534">
        <f t="shared" ca="1" si="113"/>
        <v>6464</v>
      </c>
      <c r="Q534">
        <v>30</v>
      </c>
      <c r="R534" t="str">
        <f t="shared" si="114"/>
        <v>Young</v>
      </c>
      <c r="S534" t="s">
        <v>24</v>
      </c>
      <c r="T534">
        <v>1</v>
      </c>
      <c r="U534" t="s">
        <v>45</v>
      </c>
      <c r="V534">
        <v>2440.35</v>
      </c>
      <c r="W534" t="s">
        <v>58</v>
      </c>
      <c r="X534" t="s">
        <v>36</v>
      </c>
      <c r="Y534">
        <v>15</v>
      </c>
      <c r="Z534" t="str">
        <f t="shared" si="115"/>
        <v>Bad Employee</v>
      </c>
      <c r="AA534" t="b">
        <f t="shared" si="116"/>
        <v>0</v>
      </c>
      <c r="AB534" t="b">
        <f>OR(Y534&gt;20, T534&gt;6)</f>
        <v>0</v>
      </c>
      <c r="AC534" t="str">
        <f>IF(OR(Y534&gt;20,T534&gt;6), "Good employee", "Bad Employee")</f>
        <v>Bad Employee</v>
      </c>
      <c r="AD534" t="s">
        <v>56</v>
      </c>
      <c r="AE534" t="s">
        <v>48</v>
      </c>
      <c r="AF534">
        <v>0</v>
      </c>
      <c r="AG534">
        <v>2017</v>
      </c>
      <c r="AH534" t="s">
        <v>43</v>
      </c>
      <c r="AI534">
        <v>145</v>
      </c>
      <c r="AJ534">
        <v>4.7</v>
      </c>
    </row>
    <row r="535" spans="1:36" x14ac:dyDescent="0.25">
      <c r="A535">
        <v>10534</v>
      </c>
      <c r="B535" t="s">
        <v>66</v>
      </c>
      <c r="C535" t="s">
        <v>65</v>
      </c>
      <c r="D535" t="s">
        <v>23</v>
      </c>
      <c r="E535" t="str">
        <f t="shared" si="104"/>
        <v>John Johnson is in HR Department</v>
      </c>
      <c r="F535" s="6" t="str">
        <f t="shared" si="105"/>
        <v>johnjohnson@gmail.com</v>
      </c>
      <c r="G535">
        <v>108678</v>
      </c>
      <c r="H535" t="str">
        <f t="shared" si="106"/>
        <v>High</v>
      </c>
      <c r="I535" s="3">
        <v>41253</v>
      </c>
      <c r="J535">
        <f t="shared" si="107"/>
        <v>2012</v>
      </c>
      <c r="K535">
        <f t="shared" si="108"/>
        <v>12</v>
      </c>
      <c r="L535">
        <f t="shared" si="109"/>
        <v>10</v>
      </c>
      <c r="M535" s="3">
        <f t="shared" ca="1" si="110"/>
        <v>46100</v>
      </c>
      <c r="N535">
        <f t="shared" ca="1" si="111"/>
        <v>4847</v>
      </c>
      <c r="O535">
        <f t="shared" ca="1" si="112"/>
        <v>4847</v>
      </c>
      <c r="P535">
        <f t="shared" ca="1" si="113"/>
        <v>3464</v>
      </c>
      <c r="Q535">
        <v>34</v>
      </c>
      <c r="R535" t="str">
        <f t="shared" si="114"/>
        <v>Old</v>
      </c>
      <c r="S535" t="s">
        <v>24</v>
      </c>
      <c r="T535">
        <v>4</v>
      </c>
      <c r="U535" t="s">
        <v>25</v>
      </c>
      <c r="V535">
        <v>7092.89</v>
      </c>
      <c r="W535" t="s">
        <v>46</v>
      </c>
      <c r="X535" t="s">
        <v>40</v>
      </c>
      <c r="Y535">
        <v>16</v>
      </c>
      <c r="Z535" t="str">
        <f t="shared" si="115"/>
        <v>Bad Employee</v>
      </c>
      <c r="AA535" t="b">
        <f t="shared" si="116"/>
        <v>0</v>
      </c>
      <c r="AB535" t="b">
        <f>OR(Y535&gt;20, T535&gt;6)</f>
        <v>0</v>
      </c>
      <c r="AC535" t="str">
        <f>IF(OR(Y535&gt;20,T535&gt;6), "Good employee", "Bad Employee")</f>
        <v>Bad Employee</v>
      </c>
      <c r="AD535" t="s">
        <v>56</v>
      </c>
      <c r="AE535" t="s">
        <v>37</v>
      </c>
      <c r="AF535">
        <v>11</v>
      </c>
      <c r="AG535">
        <v>2023</v>
      </c>
      <c r="AH535" t="s">
        <v>49</v>
      </c>
      <c r="AI535">
        <v>85</v>
      </c>
      <c r="AJ535">
        <v>1.6</v>
      </c>
    </row>
    <row r="536" spans="1:36" x14ac:dyDescent="0.25">
      <c r="A536">
        <v>10535</v>
      </c>
      <c r="B536" t="s">
        <v>50</v>
      </c>
      <c r="C536" t="s">
        <v>65</v>
      </c>
      <c r="D536" t="s">
        <v>33</v>
      </c>
      <c r="E536" t="str">
        <f t="shared" si="104"/>
        <v>Alex Johnson is in Marketing Department</v>
      </c>
      <c r="F536" s="6" t="str">
        <f t="shared" si="105"/>
        <v>alexjohnson@gmail.com</v>
      </c>
      <c r="G536">
        <v>92821</v>
      </c>
      <c r="H536" t="str">
        <f t="shared" si="106"/>
        <v>High</v>
      </c>
      <c r="I536" s="3">
        <v>37936</v>
      </c>
      <c r="J536">
        <f t="shared" si="107"/>
        <v>2003</v>
      </c>
      <c r="K536">
        <f t="shared" si="108"/>
        <v>11</v>
      </c>
      <c r="L536">
        <f t="shared" si="109"/>
        <v>11</v>
      </c>
      <c r="M536" s="3">
        <f t="shared" ca="1" si="110"/>
        <v>46100</v>
      </c>
      <c r="N536">
        <f t="shared" ca="1" si="111"/>
        <v>8164</v>
      </c>
      <c r="O536">
        <f t="shared" ca="1" si="112"/>
        <v>8164</v>
      </c>
      <c r="P536">
        <f t="shared" ca="1" si="113"/>
        <v>5833</v>
      </c>
      <c r="Q536">
        <v>30</v>
      </c>
      <c r="R536" t="str">
        <f t="shared" si="114"/>
        <v>Young</v>
      </c>
      <c r="S536" t="s">
        <v>34</v>
      </c>
      <c r="T536">
        <v>7</v>
      </c>
      <c r="U536" t="s">
        <v>45</v>
      </c>
      <c r="V536">
        <v>529.54999999999995</v>
      </c>
      <c r="W536" t="s">
        <v>26</v>
      </c>
      <c r="X536" t="s">
        <v>27</v>
      </c>
      <c r="Y536">
        <v>33</v>
      </c>
      <c r="Z536" t="str">
        <f t="shared" si="115"/>
        <v>Good Employee</v>
      </c>
      <c r="AA536" t="b">
        <f t="shared" si="116"/>
        <v>1</v>
      </c>
      <c r="AB536" t="b">
        <f>OR(Y536&gt;20, T536&gt;6)</f>
        <v>1</v>
      </c>
      <c r="AC536" t="str">
        <f>IF(OR(Y536&gt;20,T536&gt;6), "Good employee", "Bad Employee")</f>
        <v>Good employee</v>
      </c>
      <c r="AD536" t="s">
        <v>41</v>
      </c>
      <c r="AE536" t="s">
        <v>59</v>
      </c>
      <c r="AF536">
        <v>2</v>
      </c>
      <c r="AG536">
        <v>2017</v>
      </c>
      <c r="AH536" t="s">
        <v>30</v>
      </c>
      <c r="AI536">
        <v>144</v>
      </c>
      <c r="AJ536">
        <v>2.9</v>
      </c>
    </row>
    <row r="537" spans="1:36" x14ac:dyDescent="0.25">
      <c r="A537">
        <v>10536</v>
      </c>
      <c r="B537" t="s">
        <v>64</v>
      </c>
      <c r="C537" t="s">
        <v>32</v>
      </c>
      <c r="D537" t="s">
        <v>39</v>
      </c>
      <c r="E537" t="str">
        <f t="shared" si="104"/>
        <v>Katie Wilson is in IT Department</v>
      </c>
      <c r="F537" s="6" t="str">
        <f t="shared" si="105"/>
        <v>katiewilson@gmail.com</v>
      </c>
      <c r="G537">
        <v>42204</v>
      </c>
      <c r="H537" t="str">
        <f t="shared" si="106"/>
        <v>low</v>
      </c>
      <c r="I537" s="3">
        <v>41029</v>
      </c>
      <c r="J537">
        <f t="shared" si="107"/>
        <v>2012</v>
      </c>
      <c r="K537">
        <f t="shared" si="108"/>
        <v>4</v>
      </c>
      <c r="L537">
        <f t="shared" si="109"/>
        <v>30</v>
      </c>
      <c r="M537" s="3">
        <f t="shared" ca="1" si="110"/>
        <v>46100</v>
      </c>
      <c r="N537">
        <f t="shared" ca="1" si="111"/>
        <v>5071</v>
      </c>
      <c r="O537">
        <f t="shared" ca="1" si="112"/>
        <v>5071</v>
      </c>
      <c r="P537">
        <f t="shared" ca="1" si="113"/>
        <v>3624</v>
      </c>
      <c r="Q537">
        <v>52</v>
      </c>
      <c r="R537" t="str">
        <f t="shared" si="114"/>
        <v>Old</v>
      </c>
      <c r="S537" t="s">
        <v>34</v>
      </c>
      <c r="T537">
        <v>3</v>
      </c>
      <c r="U537" t="s">
        <v>25</v>
      </c>
      <c r="V537">
        <v>5713.34</v>
      </c>
      <c r="W537" t="s">
        <v>46</v>
      </c>
      <c r="X537" t="s">
        <v>27</v>
      </c>
      <c r="Y537">
        <v>10</v>
      </c>
      <c r="Z537" t="str">
        <f t="shared" si="115"/>
        <v>Bad Employee</v>
      </c>
      <c r="AA537" t="b">
        <f t="shared" si="116"/>
        <v>0</v>
      </c>
      <c r="AB537" t="b">
        <f>OR(Y537&gt;20, T537&gt;6)</f>
        <v>0</v>
      </c>
      <c r="AC537" t="str">
        <f>IF(OR(Y537&gt;20,T537&gt;6), "Good employee", "Bad Employee")</f>
        <v>Bad Employee</v>
      </c>
      <c r="AD537" t="s">
        <v>28</v>
      </c>
      <c r="AE537" t="s">
        <v>37</v>
      </c>
      <c r="AF537">
        <v>14</v>
      </c>
      <c r="AG537">
        <v>2020</v>
      </c>
      <c r="AH537" t="s">
        <v>43</v>
      </c>
      <c r="AI537">
        <v>5</v>
      </c>
      <c r="AJ537">
        <v>4</v>
      </c>
    </row>
    <row r="538" spans="1:36" x14ac:dyDescent="0.25">
      <c r="A538">
        <v>10537</v>
      </c>
      <c r="B538" t="s">
        <v>53</v>
      </c>
      <c r="C538" t="s">
        <v>57</v>
      </c>
      <c r="D538" t="s">
        <v>44</v>
      </c>
      <c r="E538" t="str">
        <f t="shared" si="104"/>
        <v>Sarah Davis is in Sales Department</v>
      </c>
      <c r="F538" s="6" t="str">
        <f t="shared" si="105"/>
        <v>sarahdavis@gmail.com</v>
      </c>
      <c r="G538">
        <v>85665</v>
      </c>
      <c r="H538" t="str">
        <f t="shared" si="106"/>
        <v>High</v>
      </c>
      <c r="I538" s="3">
        <v>37818</v>
      </c>
      <c r="J538">
        <f t="shared" si="107"/>
        <v>2003</v>
      </c>
      <c r="K538">
        <f t="shared" si="108"/>
        <v>7</v>
      </c>
      <c r="L538">
        <f t="shared" si="109"/>
        <v>16</v>
      </c>
      <c r="M538" s="3">
        <f t="shared" ca="1" si="110"/>
        <v>46100</v>
      </c>
      <c r="N538">
        <f t="shared" ca="1" si="111"/>
        <v>8282</v>
      </c>
      <c r="O538">
        <f t="shared" ca="1" si="112"/>
        <v>8282</v>
      </c>
      <c r="P538">
        <f t="shared" ca="1" si="113"/>
        <v>5917</v>
      </c>
      <c r="Q538">
        <v>46</v>
      </c>
      <c r="R538" t="str">
        <f t="shared" si="114"/>
        <v>Old</v>
      </c>
      <c r="S538" t="s">
        <v>24</v>
      </c>
      <c r="T538">
        <v>6</v>
      </c>
      <c r="U538" t="s">
        <v>25</v>
      </c>
      <c r="V538">
        <v>4310.1400000000003</v>
      </c>
      <c r="W538" t="s">
        <v>46</v>
      </c>
      <c r="X538" t="s">
        <v>55</v>
      </c>
      <c r="Y538">
        <v>24</v>
      </c>
      <c r="Z538" t="str">
        <f t="shared" si="115"/>
        <v>Bad Employee</v>
      </c>
      <c r="AA538" t="b">
        <f t="shared" si="116"/>
        <v>0</v>
      </c>
      <c r="AB538" t="b">
        <f>OR(Y538&gt;20, T538&gt;6)</f>
        <v>1</v>
      </c>
      <c r="AC538" t="str">
        <f>IF(OR(Y538&gt;20,T538&gt;6), "Good employee", "Bad Employee")</f>
        <v>Good employee</v>
      </c>
      <c r="AD538" t="s">
        <v>28</v>
      </c>
      <c r="AE538" t="s">
        <v>42</v>
      </c>
      <c r="AF538">
        <v>8</v>
      </c>
      <c r="AG538">
        <v>2017</v>
      </c>
      <c r="AH538" t="s">
        <v>30</v>
      </c>
      <c r="AI538">
        <v>12</v>
      </c>
      <c r="AJ538">
        <v>2.1</v>
      </c>
    </row>
    <row r="539" spans="1:36" x14ac:dyDescent="0.25">
      <c r="A539">
        <v>10538</v>
      </c>
      <c r="B539" t="s">
        <v>21</v>
      </c>
      <c r="C539" t="s">
        <v>65</v>
      </c>
      <c r="D539" t="s">
        <v>44</v>
      </c>
      <c r="E539" t="str">
        <f t="shared" si="104"/>
        <v>Michael Johnson is in Sales Department</v>
      </c>
      <c r="F539" s="6" t="str">
        <f t="shared" si="105"/>
        <v>michaeljohnson@gmail.com</v>
      </c>
      <c r="G539">
        <v>37394</v>
      </c>
      <c r="H539" t="str">
        <f t="shared" si="106"/>
        <v>extremely low</v>
      </c>
      <c r="I539" s="3">
        <v>37720</v>
      </c>
      <c r="J539">
        <f t="shared" si="107"/>
        <v>2003</v>
      </c>
      <c r="K539">
        <f t="shared" si="108"/>
        <v>4</v>
      </c>
      <c r="L539">
        <f t="shared" si="109"/>
        <v>9</v>
      </c>
      <c r="M539" s="3">
        <f t="shared" ca="1" si="110"/>
        <v>46100</v>
      </c>
      <c r="N539">
        <f t="shared" ca="1" si="111"/>
        <v>8380</v>
      </c>
      <c r="O539">
        <f t="shared" ca="1" si="112"/>
        <v>8380</v>
      </c>
      <c r="P539">
        <f t="shared" ca="1" si="113"/>
        <v>5987</v>
      </c>
      <c r="Q539">
        <v>29</v>
      </c>
      <c r="R539" t="str">
        <f t="shared" si="114"/>
        <v>Young</v>
      </c>
      <c r="S539" t="s">
        <v>24</v>
      </c>
      <c r="T539">
        <v>1</v>
      </c>
      <c r="U539" t="s">
        <v>25</v>
      </c>
      <c r="V539">
        <v>3379.49</v>
      </c>
      <c r="W539" t="s">
        <v>35</v>
      </c>
      <c r="X539" t="s">
        <v>27</v>
      </c>
      <c r="Y539">
        <v>19</v>
      </c>
      <c r="Z539" t="str">
        <f t="shared" si="115"/>
        <v>Bad Employee</v>
      </c>
      <c r="AA539" t="b">
        <f t="shared" si="116"/>
        <v>0</v>
      </c>
      <c r="AB539" t="b">
        <f>OR(Y539&gt;20, T539&gt;6)</f>
        <v>0</v>
      </c>
      <c r="AC539" t="str">
        <f>IF(OR(Y539&gt;20,T539&gt;6), "Good employee", "Bad Employee")</f>
        <v>Bad Employee</v>
      </c>
      <c r="AD539" t="s">
        <v>41</v>
      </c>
      <c r="AE539" t="s">
        <v>48</v>
      </c>
      <c r="AF539">
        <v>19</v>
      </c>
      <c r="AG539">
        <v>2021</v>
      </c>
      <c r="AH539" t="s">
        <v>30</v>
      </c>
      <c r="AI539">
        <v>148</v>
      </c>
      <c r="AJ539">
        <v>4.7</v>
      </c>
    </row>
    <row r="540" spans="1:36" x14ac:dyDescent="0.25">
      <c r="A540">
        <v>10539</v>
      </c>
      <c r="B540" t="s">
        <v>38</v>
      </c>
      <c r="C540" t="s">
        <v>63</v>
      </c>
      <c r="D540" t="s">
        <v>33</v>
      </c>
      <c r="E540" t="str">
        <f t="shared" si="104"/>
        <v>Chris Miller is in Marketing Department</v>
      </c>
      <c r="F540" s="6" t="str">
        <f t="shared" si="105"/>
        <v>chrismiller@gmail.com</v>
      </c>
      <c r="G540">
        <v>94814</v>
      </c>
      <c r="H540" t="str">
        <f t="shared" si="106"/>
        <v>High</v>
      </c>
      <c r="I540" s="3">
        <v>38474</v>
      </c>
      <c r="J540">
        <f t="shared" si="107"/>
        <v>2005</v>
      </c>
      <c r="K540">
        <f t="shared" si="108"/>
        <v>5</v>
      </c>
      <c r="L540">
        <f t="shared" si="109"/>
        <v>2</v>
      </c>
      <c r="M540" s="3">
        <f t="shared" ca="1" si="110"/>
        <v>46100</v>
      </c>
      <c r="N540">
        <f t="shared" ca="1" si="111"/>
        <v>7626</v>
      </c>
      <c r="O540">
        <f t="shared" ca="1" si="112"/>
        <v>7626</v>
      </c>
      <c r="P540">
        <f t="shared" ca="1" si="113"/>
        <v>5449</v>
      </c>
      <c r="Q540">
        <v>52</v>
      </c>
      <c r="R540" t="str">
        <f t="shared" si="114"/>
        <v>Old</v>
      </c>
      <c r="S540" t="s">
        <v>24</v>
      </c>
      <c r="T540">
        <v>4</v>
      </c>
      <c r="U540" t="s">
        <v>25</v>
      </c>
      <c r="V540">
        <v>5399.23</v>
      </c>
      <c r="W540" t="s">
        <v>26</v>
      </c>
      <c r="X540" t="s">
        <v>47</v>
      </c>
      <c r="Y540">
        <v>27</v>
      </c>
      <c r="Z540" t="str">
        <f t="shared" si="115"/>
        <v>Bad Employee</v>
      </c>
      <c r="AA540" t="b">
        <f t="shared" si="116"/>
        <v>0</v>
      </c>
      <c r="AB540" t="b">
        <f>OR(Y540&gt;20, T540&gt;6)</f>
        <v>1</v>
      </c>
      <c r="AC540" t="str">
        <f>IF(OR(Y540&gt;20,T540&gt;6), "Good employee", "Bad Employee")</f>
        <v>Good employee</v>
      </c>
      <c r="AD540" t="s">
        <v>56</v>
      </c>
      <c r="AE540" t="s">
        <v>29</v>
      </c>
      <c r="AF540">
        <v>8</v>
      </c>
      <c r="AG540">
        <v>2019</v>
      </c>
      <c r="AH540" t="s">
        <v>43</v>
      </c>
      <c r="AI540">
        <v>147</v>
      </c>
      <c r="AJ540">
        <v>4.5999999999999996</v>
      </c>
    </row>
    <row r="541" spans="1:36" x14ac:dyDescent="0.25">
      <c r="A541">
        <v>10540</v>
      </c>
      <c r="B541" t="s">
        <v>60</v>
      </c>
      <c r="C541" t="s">
        <v>51</v>
      </c>
      <c r="D541" t="s">
        <v>23</v>
      </c>
      <c r="E541" t="str">
        <f t="shared" si="104"/>
        <v>Jane Brown is in HR Department</v>
      </c>
      <c r="F541" s="6" t="str">
        <f t="shared" si="105"/>
        <v>janebrown@gmail.com</v>
      </c>
      <c r="G541">
        <v>63593</v>
      </c>
      <c r="H541" t="str">
        <f t="shared" si="106"/>
        <v>Medium</v>
      </c>
      <c r="I541" s="3">
        <v>40181</v>
      </c>
      <c r="J541">
        <f t="shared" si="107"/>
        <v>2010</v>
      </c>
      <c r="K541">
        <f t="shared" si="108"/>
        <v>1</v>
      </c>
      <c r="L541">
        <f t="shared" si="109"/>
        <v>3</v>
      </c>
      <c r="M541" s="3">
        <f t="shared" ca="1" si="110"/>
        <v>46100</v>
      </c>
      <c r="N541">
        <f t="shared" ca="1" si="111"/>
        <v>5919</v>
      </c>
      <c r="O541">
        <f t="shared" ca="1" si="112"/>
        <v>5919</v>
      </c>
      <c r="P541">
        <f t="shared" ca="1" si="113"/>
        <v>4229</v>
      </c>
      <c r="Q541">
        <v>52</v>
      </c>
      <c r="R541" t="str">
        <f t="shared" si="114"/>
        <v>Old</v>
      </c>
      <c r="S541" t="s">
        <v>24</v>
      </c>
      <c r="T541">
        <v>3</v>
      </c>
      <c r="U541" t="s">
        <v>25</v>
      </c>
      <c r="V541">
        <v>6630.46</v>
      </c>
      <c r="W541" t="s">
        <v>35</v>
      </c>
      <c r="X541" t="s">
        <v>27</v>
      </c>
      <c r="Y541">
        <v>31</v>
      </c>
      <c r="Z541" t="str">
        <f t="shared" si="115"/>
        <v>Bad Employee</v>
      </c>
      <c r="AA541" t="b">
        <f t="shared" si="116"/>
        <v>0</v>
      </c>
      <c r="AB541" t="b">
        <f>OR(Y541&gt;20, T541&gt;6)</f>
        <v>1</v>
      </c>
      <c r="AC541" t="str">
        <f>IF(OR(Y541&gt;20,T541&gt;6), "Good employee", "Bad Employee")</f>
        <v>Good employee</v>
      </c>
      <c r="AD541" t="s">
        <v>28</v>
      </c>
      <c r="AE541" t="s">
        <v>37</v>
      </c>
      <c r="AF541">
        <v>13</v>
      </c>
      <c r="AG541">
        <v>2015</v>
      </c>
      <c r="AH541" t="s">
        <v>49</v>
      </c>
      <c r="AI541">
        <v>23</v>
      </c>
      <c r="AJ541">
        <v>1.4</v>
      </c>
    </row>
    <row r="542" spans="1:36" x14ac:dyDescent="0.25">
      <c r="A542">
        <v>10541</v>
      </c>
      <c r="B542" t="s">
        <v>21</v>
      </c>
      <c r="C542" t="s">
        <v>32</v>
      </c>
      <c r="D542" t="s">
        <v>23</v>
      </c>
      <c r="E542" t="str">
        <f t="shared" si="104"/>
        <v>Michael Wilson is in HR Department</v>
      </c>
      <c r="F542" s="6" t="str">
        <f t="shared" si="105"/>
        <v>michaelwilson@gmail.com</v>
      </c>
      <c r="G542">
        <v>71964</v>
      </c>
      <c r="H542" t="str">
        <f t="shared" si="106"/>
        <v>Medium</v>
      </c>
      <c r="I542" s="3">
        <v>41312</v>
      </c>
      <c r="J542">
        <f t="shared" si="107"/>
        <v>2013</v>
      </c>
      <c r="K542">
        <f t="shared" si="108"/>
        <v>2</v>
      </c>
      <c r="L542">
        <f t="shared" si="109"/>
        <v>7</v>
      </c>
      <c r="M542" s="3">
        <f t="shared" ca="1" si="110"/>
        <v>46100</v>
      </c>
      <c r="N542">
        <f t="shared" ca="1" si="111"/>
        <v>4788</v>
      </c>
      <c r="O542">
        <f t="shared" ca="1" si="112"/>
        <v>4788</v>
      </c>
      <c r="P542">
        <f t="shared" ca="1" si="113"/>
        <v>3421</v>
      </c>
      <c r="Q542">
        <v>38</v>
      </c>
      <c r="R542" t="str">
        <f t="shared" si="114"/>
        <v>Old</v>
      </c>
      <c r="S542" t="s">
        <v>24</v>
      </c>
      <c r="T542">
        <v>1</v>
      </c>
      <c r="U542" t="s">
        <v>45</v>
      </c>
      <c r="V542">
        <v>9670.4699999999993</v>
      </c>
      <c r="W542" t="s">
        <v>26</v>
      </c>
      <c r="X542" t="s">
        <v>55</v>
      </c>
      <c r="Y542">
        <v>21</v>
      </c>
      <c r="Z542" t="str">
        <f t="shared" si="115"/>
        <v>Bad Employee</v>
      </c>
      <c r="AA542" t="b">
        <f t="shared" si="116"/>
        <v>0</v>
      </c>
      <c r="AB542" t="b">
        <f>OR(Y542&gt;20, T542&gt;6)</f>
        <v>1</v>
      </c>
      <c r="AC542" t="str">
        <f>IF(OR(Y542&gt;20,T542&gt;6), "Good employee", "Bad Employee")</f>
        <v>Good employee</v>
      </c>
      <c r="AD542" t="s">
        <v>41</v>
      </c>
      <c r="AE542" t="s">
        <v>42</v>
      </c>
      <c r="AF542">
        <v>2</v>
      </c>
      <c r="AG542">
        <v>2011</v>
      </c>
      <c r="AH542" t="s">
        <v>49</v>
      </c>
      <c r="AI542">
        <v>157</v>
      </c>
      <c r="AJ542">
        <v>1.1000000000000001</v>
      </c>
    </row>
    <row r="543" spans="1:36" x14ac:dyDescent="0.25">
      <c r="A543">
        <v>10542</v>
      </c>
      <c r="B543" t="s">
        <v>60</v>
      </c>
      <c r="C543" t="s">
        <v>63</v>
      </c>
      <c r="D543" t="s">
        <v>54</v>
      </c>
      <c r="E543" t="str">
        <f t="shared" si="104"/>
        <v>Jane Miller is in Finance Department</v>
      </c>
      <c r="F543" s="6" t="str">
        <f t="shared" si="105"/>
        <v>janemiller@gmail.com</v>
      </c>
      <c r="G543">
        <v>107188</v>
      </c>
      <c r="H543" t="str">
        <f t="shared" si="106"/>
        <v>High</v>
      </c>
      <c r="I543" s="3">
        <v>38743</v>
      </c>
      <c r="J543">
        <f t="shared" si="107"/>
        <v>2006</v>
      </c>
      <c r="K543">
        <f t="shared" si="108"/>
        <v>1</v>
      </c>
      <c r="L543">
        <f t="shared" si="109"/>
        <v>26</v>
      </c>
      <c r="M543" s="3">
        <f t="shared" ca="1" si="110"/>
        <v>46100</v>
      </c>
      <c r="N543">
        <f t="shared" ca="1" si="111"/>
        <v>7357</v>
      </c>
      <c r="O543">
        <f t="shared" ca="1" si="112"/>
        <v>7357</v>
      </c>
      <c r="P543">
        <f t="shared" ca="1" si="113"/>
        <v>5256</v>
      </c>
      <c r="Q543">
        <v>40</v>
      </c>
      <c r="R543" t="str">
        <f t="shared" si="114"/>
        <v>Old</v>
      </c>
      <c r="S543" t="s">
        <v>34</v>
      </c>
      <c r="T543">
        <v>3</v>
      </c>
      <c r="U543" t="s">
        <v>25</v>
      </c>
      <c r="V543">
        <v>8414.11</v>
      </c>
      <c r="W543" t="s">
        <v>58</v>
      </c>
      <c r="X543" t="s">
        <v>27</v>
      </c>
      <c r="Y543">
        <v>16</v>
      </c>
      <c r="Z543" t="str">
        <f t="shared" si="115"/>
        <v>Bad Employee</v>
      </c>
      <c r="AA543" t="b">
        <f t="shared" si="116"/>
        <v>0</v>
      </c>
      <c r="AB543" t="b">
        <f>OR(Y543&gt;20, T543&gt;6)</f>
        <v>0</v>
      </c>
      <c r="AC543" t="str">
        <f>IF(OR(Y543&gt;20,T543&gt;6), "Good employee", "Bad Employee")</f>
        <v>Bad Employee</v>
      </c>
      <c r="AD543" t="s">
        <v>56</v>
      </c>
      <c r="AE543" t="s">
        <v>29</v>
      </c>
      <c r="AF543">
        <v>7</v>
      </c>
      <c r="AG543">
        <v>2017</v>
      </c>
      <c r="AH543" t="s">
        <v>49</v>
      </c>
      <c r="AI543">
        <v>35</v>
      </c>
      <c r="AJ543">
        <v>4.9000000000000004</v>
      </c>
    </row>
    <row r="544" spans="1:36" x14ac:dyDescent="0.25">
      <c r="A544">
        <v>10543</v>
      </c>
      <c r="B544" t="s">
        <v>50</v>
      </c>
      <c r="C544" t="s">
        <v>61</v>
      </c>
      <c r="D544" t="s">
        <v>39</v>
      </c>
      <c r="E544" t="str">
        <f t="shared" si="104"/>
        <v>Alex Smith is in IT Department</v>
      </c>
      <c r="F544" s="6" t="str">
        <f t="shared" si="105"/>
        <v>alexsmith@gmail.com</v>
      </c>
      <c r="G544">
        <v>83365</v>
      </c>
      <c r="H544" t="str">
        <f t="shared" si="106"/>
        <v>High</v>
      </c>
      <c r="I544" s="3">
        <v>40780</v>
      </c>
      <c r="J544">
        <f t="shared" si="107"/>
        <v>2011</v>
      </c>
      <c r="K544">
        <f t="shared" si="108"/>
        <v>8</v>
      </c>
      <c r="L544">
        <f t="shared" si="109"/>
        <v>25</v>
      </c>
      <c r="M544" s="3">
        <f t="shared" ca="1" si="110"/>
        <v>46100</v>
      </c>
      <c r="N544">
        <f t="shared" ca="1" si="111"/>
        <v>5320</v>
      </c>
      <c r="O544">
        <f t="shared" ca="1" si="112"/>
        <v>5320</v>
      </c>
      <c r="P544">
        <f t="shared" ca="1" si="113"/>
        <v>3801</v>
      </c>
      <c r="Q544">
        <v>24</v>
      </c>
      <c r="R544" t="str">
        <f t="shared" si="114"/>
        <v>Young</v>
      </c>
      <c r="S544" t="s">
        <v>34</v>
      </c>
      <c r="T544">
        <v>4</v>
      </c>
      <c r="U544" t="s">
        <v>45</v>
      </c>
      <c r="V544">
        <v>7312.92</v>
      </c>
      <c r="W544" t="s">
        <v>46</v>
      </c>
      <c r="X544" t="s">
        <v>36</v>
      </c>
      <c r="Y544">
        <v>23</v>
      </c>
      <c r="Z544" t="str">
        <f t="shared" si="115"/>
        <v>Bad Employee</v>
      </c>
      <c r="AA544" t="b">
        <f t="shared" si="116"/>
        <v>0</v>
      </c>
      <c r="AB544" t="b">
        <f>OR(Y544&gt;20, T544&gt;6)</f>
        <v>1</v>
      </c>
      <c r="AC544" t="str">
        <f>IF(OR(Y544&gt;20,T544&gt;6), "Good employee", "Bad Employee")</f>
        <v>Good employee</v>
      </c>
      <c r="AD544" t="s">
        <v>41</v>
      </c>
      <c r="AE544" t="s">
        <v>29</v>
      </c>
      <c r="AF544">
        <v>5</v>
      </c>
      <c r="AG544">
        <v>2022</v>
      </c>
      <c r="AH544" t="s">
        <v>49</v>
      </c>
      <c r="AI544">
        <v>134</v>
      </c>
      <c r="AJ544">
        <v>4.8</v>
      </c>
    </row>
    <row r="545" spans="1:36" x14ac:dyDescent="0.25">
      <c r="A545">
        <v>10544</v>
      </c>
      <c r="B545" t="s">
        <v>60</v>
      </c>
      <c r="C545" t="s">
        <v>22</v>
      </c>
      <c r="D545" t="s">
        <v>23</v>
      </c>
      <c r="E545" t="str">
        <f t="shared" si="104"/>
        <v>Jane Williams is in HR Department</v>
      </c>
      <c r="F545" s="6" t="str">
        <f t="shared" si="105"/>
        <v>janewilliams@gmail.com</v>
      </c>
      <c r="G545">
        <v>30443</v>
      </c>
      <c r="H545" t="str">
        <f t="shared" si="106"/>
        <v>extremely low</v>
      </c>
      <c r="I545" s="3">
        <v>40106</v>
      </c>
      <c r="J545">
        <f t="shared" si="107"/>
        <v>2009</v>
      </c>
      <c r="K545">
        <f t="shared" si="108"/>
        <v>10</v>
      </c>
      <c r="L545">
        <f t="shared" si="109"/>
        <v>20</v>
      </c>
      <c r="M545" s="3">
        <f t="shared" ca="1" si="110"/>
        <v>46100</v>
      </c>
      <c r="N545">
        <f t="shared" ca="1" si="111"/>
        <v>5994</v>
      </c>
      <c r="O545">
        <f t="shared" ca="1" si="112"/>
        <v>5994</v>
      </c>
      <c r="P545">
        <f t="shared" ca="1" si="113"/>
        <v>4283</v>
      </c>
      <c r="Q545">
        <v>51</v>
      </c>
      <c r="R545" t="str">
        <f t="shared" si="114"/>
        <v>Old</v>
      </c>
      <c r="S545" t="s">
        <v>24</v>
      </c>
      <c r="T545">
        <v>5</v>
      </c>
      <c r="U545" t="s">
        <v>45</v>
      </c>
      <c r="V545">
        <v>5050.1899999999996</v>
      </c>
      <c r="W545" t="s">
        <v>35</v>
      </c>
      <c r="X545" t="s">
        <v>40</v>
      </c>
      <c r="Y545">
        <v>14</v>
      </c>
      <c r="Z545" t="str">
        <f t="shared" si="115"/>
        <v>Bad Employee</v>
      </c>
      <c r="AA545" t="b">
        <f t="shared" si="116"/>
        <v>0</v>
      </c>
      <c r="AB545" t="b">
        <f>OR(Y545&gt;20, T545&gt;6)</f>
        <v>0</v>
      </c>
      <c r="AC545" t="str">
        <f>IF(OR(Y545&gt;20,T545&gt;6), "Good employee", "Bad Employee")</f>
        <v>Bad Employee</v>
      </c>
      <c r="AD545" t="s">
        <v>56</v>
      </c>
      <c r="AE545" t="s">
        <v>29</v>
      </c>
      <c r="AF545">
        <v>11</v>
      </c>
      <c r="AG545">
        <v>2019</v>
      </c>
      <c r="AH545" t="s">
        <v>49</v>
      </c>
      <c r="AI545">
        <v>125</v>
      </c>
      <c r="AJ545">
        <v>2.7</v>
      </c>
    </row>
    <row r="546" spans="1:36" x14ac:dyDescent="0.25">
      <c r="A546">
        <v>10545</v>
      </c>
      <c r="B546" t="s">
        <v>66</v>
      </c>
      <c r="C546" t="s">
        <v>32</v>
      </c>
      <c r="D546" t="s">
        <v>52</v>
      </c>
      <c r="E546" t="str">
        <f t="shared" si="104"/>
        <v>John Wilson is in Operations Department</v>
      </c>
      <c r="F546" s="6" t="str">
        <f t="shared" si="105"/>
        <v>johnwilson@gmail.com</v>
      </c>
      <c r="G546">
        <v>119439</v>
      </c>
      <c r="H546" t="str">
        <f t="shared" si="106"/>
        <v>High</v>
      </c>
      <c r="I546" s="3">
        <v>43116</v>
      </c>
      <c r="J546">
        <f t="shared" si="107"/>
        <v>2018</v>
      </c>
      <c r="K546">
        <f t="shared" si="108"/>
        <v>1</v>
      </c>
      <c r="L546">
        <f t="shared" si="109"/>
        <v>16</v>
      </c>
      <c r="M546" s="3">
        <f t="shared" ca="1" si="110"/>
        <v>46100</v>
      </c>
      <c r="N546">
        <f t="shared" ca="1" si="111"/>
        <v>2984</v>
      </c>
      <c r="O546">
        <f t="shared" ca="1" si="112"/>
        <v>2984</v>
      </c>
      <c r="P546">
        <f t="shared" ca="1" si="113"/>
        <v>2133</v>
      </c>
      <c r="Q546">
        <v>31</v>
      </c>
      <c r="R546" t="str">
        <f t="shared" si="114"/>
        <v>Old</v>
      </c>
      <c r="S546" t="s">
        <v>24</v>
      </c>
      <c r="T546">
        <v>6</v>
      </c>
      <c r="U546" t="s">
        <v>25</v>
      </c>
      <c r="V546">
        <v>4225.37</v>
      </c>
      <c r="W546" t="s">
        <v>26</v>
      </c>
      <c r="X546" t="s">
        <v>36</v>
      </c>
      <c r="Y546">
        <v>23</v>
      </c>
      <c r="Z546" t="str">
        <f t="shared" si="115"/>
        <v>Bad Employee</v>
      </c>
      <c r="AA546" t="b">
        <f t="shared" si="116"/>
        <v>0</v>
      </c>
      <c r="AB546" t="b">
        <f>OR(Y546&gt;20, T546&gt;6)</f>
        <v>1</v>
      </c>
      <c r="AC546" t="str">
        <f>IF(OR(Y546&gt;20,T546&gt;6), "Good employee", "Bad Employee")</f>
        <v>Good employee</v>
      </c>
      <c r="AD546" t="s">
        <v>41</v>
      </c>
      <c r="AE546" t="s">
        <v>48</v>
      </c>
      <c r="AF546">
        <v>1</v>
      </c>
      <c r="AG546">
        <v>2010</v>
      </c>
      <c r="AH546" t="s">
        <v>49</v>
      </c>
      <c r="AI546">
        <v>63</v>
      </c>
      <c r="AJ546">
        <v>1.2</v>
      </c>
    </row>
    <row r="547" spans="1:36" x14ac:dyDescent="0.25">
      <c r="A547">
        <v>10546</v>
      </c>
      <c r="B547" t="s">
        <v>53</v>
      </c>
      <c r="C547" t="s">
        <v>61</v>
      </c>
      <c r="D547" t="s">
        <v>39</v>
      </c>
      <c r="E547" t="str">
        <f t="shared" si="104"/>
        <v>Sarah Smith is in IT Department</v>
      </c>
      <c r="F547" s="6" t="str">
        <f t="shared" si="105"/>
        <v>sarahsmith@gmail.com</v>
      </c>
      <c r="G547">
        <v>58180</v>
      </c>
      <c r="H547" t="str">
        <f t="shared" si="106"/>
        <v>Medium</v>
      </c>
      <c r="I547" s="3">
        <v>42311</v>
      </c>
      <c r="J547">
        <f t="shared" si="107"/>
        <v>2015</v>
      </c>
      <c r="K547">
        <f t="shared" si="108"/>
        <v>11</v>
      </c>
      <c r="L547">
        <f t="shared" si="109"/>
        <v>3</v>
      </c>
      <c r="M547" s="3">
        <f t="shared" ca="1" si="110"/>
        <v>46100</v>
      </c>
      <c r="N547">
        <f t="shared" ca="1" si="111"/>
        <v>3789</v>
      </c>
      <c r="O547">
        <f t="shared" ca="1" si="112"/>
        <v>3789</v>
      </c>
      <c r="P547">
        <f t="shared" ca="1" si="113"/>
        <v>2708</v>
      </c>
      <c r="Q547">
        <v>50</v>
      </c>
      <c r="R547" t="str">
        <f t="shared" si="114"/>
        <v>Old</v>
      </c>
      <c r="S547" t="s">
        <v>24</v>
      </c>
      <c r="T547">
        <v>2</v>
      </c>
      <c r="U547" t="s">
        <v>25</v>
      </c>
      <c r="V547">
        <v>809.03</v>
      </c>
      <c r="W547" t="s">
        <v>35</v>
      </c>
      <c r="X547" t="s">
        <v>47</v>
      </c>
      <c r="Y547">
        <v>18</v>
      </c>
      <c r="Z547" t="str">
        <f t="shared" si="115"/>
        <v>Bad Employee</v>
      </c>
      <c r="AA547" t="b">
        <f t="shared" si="116"/>
        <v>0</v>
      </c>
      <c r="AB547" t="b">
        <f>OR(Y547&gt;20, T547&gt;6)</f>
        <v>0</v>
      </c>
      <c r="AC547" t="str">
        <f>IF(OR(Y547&gt;20,T547&gt;6), "Good employee", "Bad Employee")</f>
        <v>Bad Employee</v>
      </c>
      <c r="AD547" t="s">
        <v>56</v>
      </c>
      <c r="AE547" t="s">
        <v>62</v>
      </c>
      <c r="AF547">
        <v>2</v>
      </c>
      <c r="AG547">
        <v>2018</v>
      </c>
      <c r="AH547" t="s">
        <v>30</v>
      </c>
      <c r="AI547">
        <v>35</v>
      </c>
      <c r="AJ547">
        <v>3.5</v>
      </c>
    </row>
    <row r="548" spans="1:36" x14ac:dyDescent="0.25">
      <c r="A548">
        <v>10547</v>
      </c>
      <c r="B548" t="s">
        <v>38</v>
      </c>
      <c r="C548" t="s">
        <v>22</v>
      </c>
      <c r="D548" t="s">
        <v>44</v>
      </c>
      <c r="E548" t="str">
        <f t="shared" si="104"/>
        <v>Chris Williams is in Sales Department</v>
      </c>
      <c r="F548" s="6" t="str">
        <f t="shared" si="105"/>
        <v>chriswilliams@gmail.com</v>
      </c>
      <c r="G548">
        <v>78791</v>
      </c>
      <c r="H548" t="str">
        <f t="shared" si="106"/>
        <v>Medium</v>
      </c>
      <c r="I548" s="3">
        <v>42559</v>
      </c>
      <c r="J548">
        <f t="shared" si="107"/>
        <v>2016</v>
      </c>
      <c r="K548">
        <f t="shared" si="108"/>
        <v>7</v>
      </c>
      <c r="L548">
        <f t="shared" si="109"/>
        <v>8</v>
      </c>
      <c r="M548" s="3">
        <f t="shared" ca="1" si="110"/>
        <v>46100</v>
      </c>
      <c r="N548">
        <f t="shared" ca="1" si="111"/>
        <v>3541</v>
      </c>
      <c r="O548">
        <f t="shared" ca="1" si="112"/>
        <v>3541</v>
      </c>
      <c r="P548">
        <f t="shared" ca="1" si="113"/>
        <v>2530</v>
      </c>
      <c r="Q548">
        <v>61</v>
      </c>
      <c r="R548" t="str">
        <f t="shared" si="114"/>
        <v>Old</v>
      </c>
      <c r="S548" t="s">
        <v>24</v>
      </c>
      <c r="T548">
        <v>2</v>
      </c>
      <c r="U548" t="s">
        <v>25</v>
      </c>
      <c r="V548">
        <v>3911.42</v>
      </c>
      <c r="W548" t="s">
        <v>46</v>
      </c>
      <c r="X548" t="s">
        <v>47</v>
      </c>
      <c r="Y548">
        <v>36</v>
      </c>
      <c r="Z548" t="str">
        <f t="shared" si="115"/>
        <v>Bad Employee</v>
      </c>
      <c r="AA548" t="b">
        <f t="shared" si="116"/>
        <v>0</v>
      </c>
      <c r="AB548" t="b">
        <f>OR(Y548&gt;20, T548&gt;6)</f>
        <v>1</v>
      </c>
      <c r="AC548" t="str">
        <f>IF(OR(Y548&gt;20,T548&gt;6), "Good employee", "Bad Employee")</f>
        <v>Good employee</v>
      </c>
      <c r="AD548" t="s">
        <v>41</v>
      </c>
      <c r="AE548" t="s">
        <v>37</v>
      </c>
      <c r="AF548">
        <v>13</v>
      </c>
      <c r="AG548">
        <v>2018</v>
      </c>
      <c r="AH548" t="s">
        <v>30</v>
      </c>
      <c r="AI548">
        <v>144</v>
      </c>
      <c r="AJ548">
        <v>2.2000000000000002</v>
      </c>
    </row>
    <row r="549" spans="1:36" x14ac:dyDescent="0.25">
      <c r="A549">
        <v>10548</v>
      </c>
      <c r="B549" t="s">
        <v>31</v>
      </c>
      <c r="C549" t="s">
        <v>51</v>
      </c>
      <c r="D549" t="s">
        <v>39</v>
      </c>
      <c r="E549" t="str">
        <f t="shared" si="104"/>
        <v>Emily Brown is in IT Department</v>
      </c>
      <c r="F549" s="6" t="str">
        <f t="shared" si="105"/>
        <v>emilybrown@gmail.com</v>
      </c>
      <c r="G549">
        <v>116655</v>
      </c>
      <c r="H549" t="str">
        <f t="shared" si="106"/>
        <v>High</v>
      </c>
      <c r="I549" s="3">
        <v>37543</v>
      </c>
      <c r="J549">
        <f t="shared" si="107"/>
        <v>2002</v>
      </c>
      <c r="K549">
        <f t="shared" si="108"/>
        <v>10</v>
      </c>
      <c r="L549">
        <f t="shared" si="109"/>
        <v>14</v>
      </c>
      <c r="M549" s="3">
        <f t="shared" ca="1" si="110"/>
        <v>46100</v>
      </c>
      <c r="N549">
        <f t="shared" ca="1" si="111"/>
        <v>8557</v>
      </c>
      <c r="O549">
        <f t="shared" ca="1" si="112"/>
        <v>8557</v>
      </c>
      <c r="P549">
        <f t="shared" ca="1" si="113"/>
        <v>6114</v>
      </c>
      <c r="Q549">
        <v>39</v>
      </c>
      <c r="R549" t="str">
        <f t="shared" si="114"/>
        <v>Old</v>
      </c>
      <c r="S549" t="s">
        <v>24</v>
      </c>
      <c r="T549">
        <v>6</v>
      </c>
      <c r="U549" t="s">
        <v>45</v>
      </c>
      <c r="V549">
        <v>8559.58</v>
      </c>
      <c r="W549" t="s">
        <v>46</v>
      </c>
      <c r="X549" t="s">
        <v>40</v>
      </c>
      <c r="Y549">
        <v>12</v>
      </c>
      <c r="Z549" t="str">
        <f t="shared" si="115"/>
        <v>Bad Employee</v>
      </c>
      <c r="AA549" t="b">
        <f t="shared" si="116"/>
        <v>0</v>
      </c>
      <c r="AB549" t="b">
        <f>OR(Y549&gt;20, T549&gt;6)</f>
        <v>0</v>
      </c>
      <c r="AC549" t="str">
        <f>IF(OR(Y549&gt;20,T549&gt;6), "Good employee", "Bad Employee")</f>
        <v>Bad Employee</v>
      </c>
      <c r="AD549" t="s">
        <v>41</v>
      </c>
      <c r="AE549" t="s">
        <v>29</v>
      </c>
      <c r="AF549">
        <v>16</v>
      </c>
      <c r="AG549">
        <v>2015</v>
      </c>
      <c r="AH549" t="s">
        <v>43</v>
      </c>
      <c r="AI549">
        <v>149</v>
      </c>
      <c r="AJ549">
        <v>4.7</v>
      </c>
    </row>
    <row r="550" spans="1:36" x14ac:dyDescent="0.25">
      <c r="A550">
        <v>10549</v>
      </c>
      <c r="B550" t="s">
        <v>60</v>
      </c>
      <c r="C550" t="s">
        <v>65</v>
      </c>
      <c r="D550" t="s">
        <v>52</v>
      </c>
      <c r="E550" t="str">
        <f t="shared" si="104"/>
        <v>Jane Johnson is in Operations Department</v>
      </c>
      <c r="F550" s="6" t="str">
        <f t="shared" si="105"/>
        <v>janejohnson@gmail.com</v>
      </c>
      <c r="G550">
        <v>105899</v>
      </c>
      <c r="H550" t="str">
        <f t="shared" si="106"/>
        <v>High</v>
      </c>
      <c r="I550" s="3">
        <v>39679</v>
      </c>
      <c r="J550">
        <f t="shared" si="107"/>
        <v>2008</v>
      </c>
      <c r="K550">
        <f t="shared" si="108"/>
        <v>8</v>
      </c>
      <c r="L550">
        <f t="shared" si="109"/>
        <v>19</v>
      </c>
      <c r="M550" s="3">
        <f t="shared" ca="1" si="110"/>
        <v>46100</v>
      </c>
      <c r="N550">
        <f t="shared" ca="1" si="111"/>
        <v>6421</v>
      </c>
      <c r="O550">
        <f t="shared" ca="1" si="112"/>
        <v>6421</v>
      </c>
      <c r="P550">
        <f t="shared" ca="1" si="113"/>
        <v>4588</v>
      </c>
      <c r="Q550">
        <v>33</v>
      </c>
      <c r="R550" t="str">
        <f t="shared" si="114"/>
        <v>Old</v>
      </c>
      <c r="S550" t="s">
        <v>24</v>
      </c>
      <c r="T550">
        <v>5</v>
      </c>
      <c r="U550" t="s">
        <v>25</v>
      </c>
      <c r="V550">
        <v>4148.2299999999996</v>
      </c>
      <c r="W550" t="s">
        <v>58</v>
      </c>
      <c r="X550" t="s">
        <v>40</v>
      </c>
      <c r="Y550">
        <v>37</v>
      </c>
      <c r="Z550" t="str">
        <f t="shared" si="115"/>
        <v>Bad Employee</v>
      </c>
      <c r="AA550" t="b">
        <f t="shared" si="116"/>
        <v>0</v>
      </c>
      <c r="AB550" t="b">
        <f>OR(Y550&gt;20, T550&gt;6)</f>
        <v>1</v>
      </c>
      <c r="AC550" t="str">
        <f>IF(OR(Y550&gt;20,T550&gt;6), "Good employee", "Bad Employee")</f>
        <v>Good employee</v>
      </c>
      <c r="AD550" t="s">
        <v>41</v>
      </c>
      <c r="AE550" t="s">
        <v>59</v>
      </c>
      <c r="AF550">
        <v>2</v>
      </c>
      <c r="AG550">
        <v>2019</v>
      </c>
      <c r="AH550" t="s">
        <v>49</v>
      </c>
      <c r="AI550">
        <v>33</v>
      </c>
      <c r="AJ550">
        <v>4.2</v>
      </c>
    </row>
    <row r="551" spans="1:36" x14ac:dyDescent="0.25">
      <c r="A551">
        <v>10550</v>
      </c>
      <c r="B551" t="s">
        <v>21</v>
      </c>
      <c r="C551" t="s">
        <v>63</v>
      </c>
      <c r="D551" t="s">
        <v>33</v>
      </c>
      <c r="E551" t="str">
        <f t="shared" si="104"/>
        <v>Michael Miller is in Marketing Department</v>
      </c>
      <c r="F551" s="6" t="str">
        <f t="shared" si="105"/>
        <v>michaelmiller@gmail.com</v>
      </c>
      <c r="G551">
        <v>73665</v>
      </c>
      <c r="H551" t="str">
        <f t="shared" si="106"/>
        <v>Medium</v>
      </c>
      <c r="I551" s="3">
        <v>41702</v>
      </c>
      <c r="J551">
        <f t="shared" si="107"/>
        <v>2014</v>
      </c>
      <c r="K551">
        <f t="shared" si="108"/>
        <v>3</v>
      </c>
      <c r="L551">
        <f t="shared" si="109"/>
        <v>4</v>
      </c>
      <c r="M551" s="3">
        <f t="shared" ca="1" si="110"/>
        <v>46100</v>
      </c>
      <c r="N551">
        <f t="shared" ca="1" si="111"/>
        <v>4398</v>
      </c>
      <c r="O551">
        <f t="shared" ca="1" si="112"/>
        <v>4398</v>
      </c>
      <c r="P551">
        <f t="shared" ca="1" si="113"/>
        <v>3143</v>
      </c>
      <c r="Q551">
        <v>44</v>
      </c>
      <c r="R551" t="str">
        <f t="shared" si="114"/>
        <v>Old</v>
      </c>
      <c r="S551" t="s">
        <v>24</v>
      </c>
      <c r="T551">
        <v>1</v>
      </c>
      <c r="U551" t="s">
        <v>25</v>
      </c>
      <c r="V551">
        <v>4885.0600000000004</v>
      </c>
      <c r="W551" t="s">
        <v>26</v>
      </c>
      <c r="X551" t="s">
        <v>40</v>
      </c>
      <c r="Y551">
        <v>11</v>
      </c>
      <c r="Z551" t="str">
        <f t="shared" si="115"/>
        <v>Bad Employee</v>
      </c>
      <c r="AA551" t="b">
        <f t="shared" si="116"/>
        <v>0</v>
      </c>
      <c r="AB551" t="b">
        <f>OR(Y551&gt;20, T551&gt;6)</f>
        <v>0</v>
      </c>
      <c r="AC551" t="str">
        <f>IF(OR(Y551&gt;20,T551&gt;6), "Good employee", "Bad Employee")</f>
        <v>Bad Employee</v>
      </c>
      <c r="AD551" t="s">
        <v>41</v>
      </c>
      <c r="AE551" t="s">
        <v>48</v>
      </c>
      <c r="AF551">
        <v>3</v>
      </c>
      <c r="AG551">
        <v>2015</v>
      </c>
      <c r="AH551" t="s">
        <v>49</v>
      </c>
      <c r="AI551">
        <v>168</v>
      </c>
      <c r="AJ551">
        <v>3.6</v>
      </c>
    </row>
    <row r="552" spans="1:36" x14ac:dyDescent="0.25">
      <c r="A552">
        <v>10551</v>
      </c>
      <c r="B552" t="s">
        <v>66</v>
      </c>
      <c r="C552" t="s">
        <v>57</v>
      </c>
      <c r="D552" t="s">
        <v>52</v>
      </c>
      <c r="E552" t="str">
        <f t="shared" si="104"/>
        <v>John Davis is in Operations Department</v>
      </c>
      <c r="F552" s="6" t="str">
        <f t="shared" si="105"/>
        <v>johndavis@gmail.com</v>
      </c>
      <c r="G552">
        <v>33465</v>
      </c>
      <c r="H552" t="str">
        <f t="shared" si="106"/>
        <v>extremely low</v>
      </c>
      <c r="I552" s="3">
        <v>40116</v>
      </c>
      <c r="J552">
        <f t="shared" si="107"/>
        <v>2009</v>
      </c>
      <c r="K552">
        <f t="shared" si="108"/>
        <v>10</v>
      </c>
      <c r="L552">
        <f t="shared" si="109"/>
        <v>30</v>
      </c>
      <c r="M552" s="3">
        <f t="shared" ca="1" si="110"/>
        <v>46100</v>
      </c>
      <c r="N552">
        <f t="shared" ca="1" si="111"/>
        <v>5984</v>
      </c>
      <c r="O552">
        <f t="shared" ca="1" si="112"/>
        <v>5984</v>
      </c>
      <c r="P552">
        <f t="shared" ca="1" si="113"/>
        <v>4275</v>
      </c>
      <c r="Q552">
        <v>32</v>
      </c>
      <c r="R552" t="str">
        <f t="shared" si="114"/>
        <v>Old</v>
      </c>
      <c r="S552" t="s">
        <v>24</v>
      </c>
      <c r="T552">
        <v>3</v>
      </c>
      <c r="U552" t="s">
        <v>25</v>
      </c>
      <c r="V552">
        <v>3082.43</v>
      </c>
      <c r="W552" t="s">
        <v>26</v>
      </c>
      <c r="X552" t="s">
        <v>40</v>
      </c>
      <c r="Y552">
        <v>5</v>
      </c>
      <c r="Z552" t="str">
        <f t="shared" si="115"/>
        <v>Bad Employee</v>
      </c>
      <c r="AA552" t="b">
        <f t="shared" si="116"/>
        <v>0</v>
      </c>
      <c r="AB552" t="b">
        <f>OR(Y552&gt;20, T552&gt;6)</f>
        <v>0</v>
      </c>
      <c r="AC552" t="str">
        <f>IF(OR(Y552&gt;20,T552&gt;6), "Good employee", "Bad Employee")</f>
        <v>Bad Employee</v>
      </c>
      <c r="AD552" t="s">
        <v>28</v>
      </c>
      <c r="AE552" t="s">
        <v>48</v>
      </c>
      <c r="AF552">
        <v>14</v>
      </c>
      <c r="AG552">
        <v>2015</v>
      </c>
      <c r="AH552" t="s">
        <v>49</v>
      </c>
      <c r="AI552">
        <v>108</v>
      </c>
      <c r="AJ552">
        <v>2.1</v>
      </c>
    </row>
    <row r="553" spans="1:36" x14ac:dyDescent="0.25">
      <c r="A553">
        <v>10552</v>
      </c>
      <c r="B553" t="s">
        <v>31</v>
      </c>
      <c r="C553" t="s">
        <v>63</v>
      </c>
      <c r="D553" t="s">
        <v>52</v>
      </c>
      <c r="E553" t="str">
        <f t="shared" si="104"/>
        <v>Emily Miller is in Operations Department</v>
      </c>
      <c r="F553" s="6" t="str">
        <f t="shared" si="105"/>
        <v>emilymiller@gmail.com</v>
      </c>
      <c r="G553">
        <v>98247</v>
      </c>
      <c r="H553" t="str">
        <f t="shared" si="106"/>
        <v>High</v>
      </c>
      <c r="I553" s="3">
        <v>40733</v>
      </c>
      <c r="J553">
        <f t="shared" si="107"/>
        <v>2011</v>
      </c>
      <c r="K553">
        <f t="shared" si="108"/>
        <v>7</v>
      </c>
      <c r="L553">
        <f t="shared" si="109"/>
        <v>9</v>
      </c>
      <c r="M553" s="3">
        <f t="shared" ca="1" si="110"/>
        <v>46100</v>
      </c>
      <c r="N553">
        <f t="shared" ca="1" si="111"/>
        <v>5367</v>
      </c>
      <c r="O553">
        <f t="shared" ca="1" si="112"/>
        <v>5367</v>
      </c>
      <c r="P553">
        <f t="shared" ca="1" si="113"/>
        <v>3834</v>
      </c>
      <c r="Q553">
        <v>30</v>
      </c>
      <c r="R553" t="str">
        <f t="shared" si="114"/>
        <v>Young</v>
      </c>
      <c r="S553" t="s">
        <v>34</v>
      </c>
      <c r="T553">
        <v>5</v>
      </c>
      <c r="U553" t="s">
        <v>25</v>
      </c>
      <c r="V553">
        <v>3104.26</v>
      </c>
      <c r="W553" t="s">
        <v>58</v>
      </c>
      <c r="X553" t="s">
        <v>27</v>
      </c>
      <c r="Y553">
        <v>21</v>
      </c>
      <c r="Z553" t="str">
        <f t="shared" si="115"/>
        <v>Bad Employee</v>
      </c>
      <c r="AA553" t="b">
        <f t="shared" si="116"/>
        <v>0</v>
      </c>
      <c r="AB553" t="b">
        <f>OR(Y553&gt;20, T553&gt;6)</f>
        <v>1</v>
      </c>
      <c r="AC553" t="str">
        <f>IF(OR(Y553&gt;20,T553&gt;6), "Good employee", "Bad Employee")</f>
        <v>Good employee</v>
      </c>
      <c r="AD553" t="s">
        <v>28</v>
      </c>
      <c r="AE553" t="s">
        <v>29</v>
      </c>
      <c r="AF553">
        <v>6</v>
      </c>
      <c r="AG553">
        <v>2020</v>
      </c>
      <c r="AH553" t="s">
        <v>43</v>
      </c>
      <c r="AI553">
        <v>67</v>
      </c>
      <c r="AJ553">
        <v>3.8</v>
      </c>
    </row>
    <row r="554" spans="1:36" x14ac:dyDescent="0.25">
      <c r="A554">
        <v>10553</v>
      </c>
      <c r="B554" t="s">
        <v>38</v>
      </c>
      <c r="C554" t="s">
        <v>51</v>
      </c>
      <c r="D554" t="s">
        <v>33</v>
      </c>
      <c r="E554" t="str">
        <f t="shared" si="104"/>
        <v>Chris Brown is in Marketing Department</v>
      </c>
      <c r="F554" s="6" t="str">
        <f t="shared" si="105"/>
        <v>chrisbrown@gmail.com</v>
      </c>
      <c r="G554">
        <v>81559</v>
      </c>
      <c r="H554" t="str">
        <f t="shared" si="106"/>
        <v>High</v>
      </c>
      <c r="I554" s="3">
        <v>40595</v>
      </c>
      <c r="J554">
        <f t="shared" si="107"/>
        <v>2011</v>
      </c>
      <c r="K554">
        <f t="shared" si="108"/>
        <v>2</v>
      </c>
      <c r="L554">
        <f t="shared" si="109"/>
        <v>21</v>
      </c>
      <c r="M554" s="3">
        <f t="shared" ca="1" si="110"/>
        <v>46100</v>
      </c>
      <c r="N554">
        <f t="shared" ca="1" si="111"/>
        <v>5505</v>
      </c>
      <c r="O554">
        <f t="shared" ca="1" si="112"/>
        <v>5505</v>
      </c>
      <c r="P554">
        <f t="shared" ca="1" si="113"/>
        <v>3934</v>
      </c>
      <c r="Q554">
        <v>45</v>
      </c>
      <c r="R554" t="str">
        <f t="shared" si="114"/>
        <v>Old</v>
      </c>
      <c r="S554" t="s">
        <v>24</v>
      </c>
      <c r="T554">
        <v>2</v>
      </c>
      <c r="U554" t="s">
        <v>25</v>
      </c>
      <c r="V554">
        <v>1087.78</v>
      </c>
      <c r="W554" t="s">
        <v>58</v>
      </c>
      <c r="X554" t="s">
        <v>36</v>
      </c>
      <c r="Y554">
        <v>32</v>
      </c>
      <c r="Z554" t="str">
        <f t="shared" si="115"/>
        <v>Bad Employee</v>
      </c>
      <c r="AA554" t="b">
        <f t="shared" si="116"/>
        <v>0</v>
      </c>
      <c r="AB554" t="b">
        <f>OR(Y554&gt;20, T554&gt;6)</f>
        <v>1</v>
      </c>
      <c r="AC554" t="str">
        <f>IF(OR(Y554&gt;20,T554&gt;6), "Good employee", "Bad Employee")</f>
        <v>Good employee</v>
      </c>
      <c r="AD554" t="s">
        <v>28</v>
      </c>
      <c r="AE554" t="s">
        <v>59</v>
      </c>
      <c r="AF554">
        <v>18</v>
      </c>
      <c r="AG554">
        <v>2013</v>
      </c>
      <c r="AH554" t="s">
        <v>30</v>
      </c>
      <c r="AI554">
        <v>19</v>
      </c>
      <c r="AJ554">
        <v>2.2000000000000002</v>
      </c>
    </row>
    <row r="555" spans="1:36" x14ac:dyDescent="0.25">
      <c r="A555">
        <v>10554</v>
      </c>
      <c r="B555" t="s">
        <v>31</v>
      </c>
      <c r="C555" t="s">
        <v>61</v>
      </c>
      <c r="D555" t="s">
        <v>33</v>
      </c>
      <c r="E555" t="str">
        <f t="shared" si="104"/>
        <v>Emily Smith is in Marketing Department</v>
      </c>
      <c r="F555" s="6" t="str">
        <f t="shared" si="105"/>
        <v>emilysmith@gmail.com</v>
      </c>
      <c r="G555">
        <v>55198</v>
      </c>
      <c r="H555" t="str">
        <f t="shared" si="106"/>
        <v>Medium</v>
      </c>
      <c r="I555" s="3">
        <v>36573</v>
      </c>
      <c r="J555">
        <f t="shared" si="107"/>
        <v>2000</v>
      </c>
      <c r="K555">
        <f t="shared" si="108"/>
        <v>2</v>
      </c>
      <c r="L555">
        <f t="shared" si="109"/>
        <v>17</v>
      </c>
      <c r="M555" s="3">
        <f t="shared" ca="1" si="110"/>
        <v>46100</v>
      </c>
      <c r="N555">
        <f t="shared" ca="1" si="111"/>
        <v>9527</v>
      </c>
      <c r="O555">
        <f t="shared" ca="1" si="112"/>
        <v>9527</v>
      </c>
      <c r="P555">
        <f t="shared" ca="1" si="113"/>
        <v>6806</v>
      </c>
      <c r="Q555">
        <v>46</v>
      </c>
      <c r="R555" t="str">
        <f t="shared" si="114"/>
        <v>Old</v>
      </c>
      <c r="S555" t="s">
        <v>24</v>
      </c>
      <c r="T555">
        <v>1</v>
      </c>
      <c r="U555" t="s">
        <v>25</v>
      </c>
      <c r="V555">
        <v>6331.14</v>
      </c>
      <c r="W555" t="s">
        <v>26</v>
      </c>
      <c r="X555" t="s">
        <v>47</v>
      </c>
      <c r="Y555">
        <v>29</v>
      </c>
      <c r="Z555" t="str">
        <f t="shared" si="115"/>
        <v>Bad Employee</v>
      </c>
      <c r="AA555" t="b">
        <f t="shared" si="116"/>
        <v>0</v>
      </c>
      <c r="AB555" t="b">
        <f>OR(Y555&gt;20, T555&gt;6)</f>
        <v>1</v>
      </c>
      <c r="AC555" t="str">
        <f>IF(OR(Y555&gt;20,T555&gt;6), "Good employee", "Bad Employee")</f>
        <v>Good employee</v>
      </c>
      <c r="AD555" t="s">
        <v>28</v>
      </c>
      <c r="AE555" t="s">
        <v>42</v>
      </c>
      <c r="AF555">
        <v>13</v>
      </c>
      <c r="AG555">
        <v>2010</v>
      </c>
      <c r="AH555" t="s">
        <v>30</v>
      </c>
      <c r="AI555">
        <v>34</v>
      </c>
      <c r="AJ555">
        <v>1.2</v>
      </c>
    </row>
    <row r="556" spans="1:36" x14ac:dyDescent="0.25">
      <c r="A556">
        <v>10555</v>
      </c>
      <c r="B556" t="s">
        <v>66</v>
      </c>
      <c r="C556" t="s">
        <v>57</v>
      </c>
      <c r="D556" t="s">
        <v>33</v>
      </c>
      <c r="E556" t="str">
        <f t="shared" si="104"/>
        <v>John Davis is in Marketing Department</v>
      </c>
      <c r="F556" s="6" t="str">
        <f t="shared" si="105"/>
        <v>johndavis@gmail.com</v>
      </c>
      <c r="G556">
        <v>84740</v>
      </c>
      <c r="H556" t="str">
        <f t="shared" si="106"/>
        <v>High</v>
      </c>
      <c r="I556" s="3">
        <v>40189</v>
      </c>
      <c r="J556">
        <f t="shared" si="107"/>
        <v>2010</v>
      </c>
      <c r="K556">
        <f t="shared" si="108"/>
        <v>1</v>
      </c>
      <c r="L556">
        <f t="shared" si="109"/>
        <v>11</v>
      </c>
      <c r="M556" s="3">
        <f t="shared" ca="1" si="110"/>
        <v>46100</v>
      </c>
      <c r="N556">
        <f t="shared" ca="1" si="111"/>
        <v>5911</v>
      </c>
      <c r="O556">
        <f t="shared" ca="1" si="112"/>
        <v>5911</v>
      </c>
      <c r="P556">
        <f t="shared" ca="1" si="113"/>
        <v>4224</v>
      </c>
      <c r="Q556">
        <v>46</v>
      </c>
      <c r="R556" t="str">
        <f t="shared" si="114"/>
        <v>Old</v>
      </c>
      <c r="S556" t="s">
        <v>34</v>
      </c>
      <c r="T556">
        <v>9</v>
      </c>
      <c r="U556" t="s">
        <v>45</v>
      </c>
      <c r="V556">
        <v>4756.66</v>
      </c>
      <c r="W556" t="s">
        <v>26</v>
      </c>
      <c r="X556" t="s">
        <v>27</v>
      </c>
      <c r="Y556">
        <v>7</v>
      </c>
      <c r="Z556" t="str">
        <f t="shared" si="115"/>
        <v>Bad Employee</v>
      </c>
      <c r="AA556" t="b">
        <f t="shared" si="116"/>
        <v>0</v>
      </c>
      <c r="AB556" t="b">
        <f>OR(Y556&gt;20, T556&gt;6)</f>
        <v>1</v>
      </c>
      <c r="AC556" t="str">
        <f>IF(OR(Y556&gt;20,T556&gt;6), "Good employee", "Bad Employee")</f>
        <v>Good employee</v>
      </c>
      <c r="AD556" t="s">
        <v>41</v>
      </c>
      <c r="AE556" t="s">
        <v>48</v>
      </c>
      <c r="AF556">
        <v>15</v>
      </c>
      <c r="AG556">
        <v>2010</v>
      </c>
      <c r="AH556" t="s">
        <v>49</v>
      </c>
      <c r="AI556">
        <v>183</v>
      </c>
      <c r="AJ556">
        <v>3</v>
      </c>
    </row>
    <row r="557" spans="1:36" x14ac:dyDescent="0.25">
      <c r="A557">
        <v>10556</v>
      </c>
      <c r="B557" t="s">
        <v>53</v>
      </c>
      <c r="C557" t="s">
        <v>65</v>
      </c>
      <c r="D557" t="s">
        <v>33</v>
      </c>
      <c r="E557" t="str">
        <f t="shared" si="104"/>
        <v>Sarah Johnson is in Marketing Department</v>
      </c>
      <c r="F557" s="6" t="str">
        <f t="shared" si="105"/>
        <v>sarahjohnson@gmail.com</v>
      </c>
      <c r="G557">
        <v>52488</v>
      </c>
      <c r="H557" t="str">
        <f t="shared" si="106"/>
        <v>Medium</v>
      </c>
      <c r="I557" s="3">
        <v>42532</v>
      </c>
      <c r="J557">
        <f t="shared" si="107"/>
        <v>2016</v>
      </c>
      <c r="K557">
        <f t="shared" si="108"/>
        <v>6</v>
      </c>
      <c r="L557">
        <f t="shared" si="109"/>
        <v>11</v>
      </c>
      <c r="M557" s="3">
        <f t="shared" ca="1" si="110"/>
        <v>46100</v>
      </c>
      <c r="N557">
        <f t="shared" ca="1" si="111"/>
        <v>3568</v>
      </c>
      <c r="O557">
        <f t="shared" ca="1" si="112"/>
        <v>3568</v>
      </c>
      <c r="P557">
        <f t="shared" ca="1" si="113"/>
        <v>2549</v>
      </c>
      <c r="Q557">
        <v>30</v>
      </c>
      <c r="R557" t="str">
        <f t="shared" si="114"/>
        <v>Young</v>
      </c>
      <c r="S557" t="s">
        <v>24</v>
      </c>
      <c r="T557">
        <v>5</v>
      </c>
      <c r="U557" t="s">
        <v>25</v>
      </c>
      <c r="V557">
        <v>6256.63</v>
      </c>
      <c r="W557" t="s">
        <v>35</v>
      </c>
      <c r="X557" t="s">
        <v>40</v>
      </c>
      <c r="Y557">
        <v>36</v>
      </c>
      <c r="Z557" t="str">
        <f t="shared" si="115"/>
        <v>Bad Employee</v>
      </c>
      <c r="AA557" t="b">
        <f t="shared" si="116"/>
        <v>0</v>
      </c>
      <c r="AB557" t="b">
        <f>OR(Y557&gt;20, T557&gt;6)</f>
        <v>1</v>
      </c>
      <c r="AC557" t="str">
        <f>IF(OR(Y557&gt;20,T557&gt;6), "Good employee", "Bad Employee")</f>
        <v>Good employee</v>
      </c>
      <c r="AD557" t="s">
        <v>28</v>
      </c>
      <c r="AE557" t="s">
        <v>29</v>
      </c>
      <c r="AF557">
        <v>12</v>
      </c>
      <c r="AG557">
        <v>2010</v>
      </c>
      <c r="AH557" t="s">
        <v>30</v>
      </c>
      <c r="AI557">
        <v>15</v>
      </c>
      <c r="AJ557">
        <v>3</v>
      </c>
    </row>
    <row r="558" spans="1:36" x14ac:dyDescent="0.25">
      <c r="A558">
        <v>10557</v>
      </c>
      <c r="B558" t="s">
        <v>53</v>
      </c>
      <c r="C558" t="s">
        <v>51</v>
      </c>
      <c r="D558" t="s">
        <v>33</v>
      </c>
      <c r="E558" t="str">
        <f t="shared" si="104"/>
        <v>Sarah Brown is in Marketing Department</v>
      </c>
      <c r="F558" s="6" t="str">
        <f t="shared" si="105"/>
        <v>sarahbrown@gmail.com</v>
      </c>
      <c r="G558">
        <v>68515</v>
      </c>
      <c r="H558" t="str">
        <f t="shared" si="106"/>
        <v>Medium</v>
      </c>
      <c r="I558" s="3">
        <v>40997</v>
      </c>
      <c r="J558">
        <f t="shared" si="107"/>
        <v>2012</v>
      </c>
      <c r="K558">
        <f t="shared" si="108"/>
        <v>3</v>
      </c>
      <c r="L558">
        <f t="shared" si="109"/>
        <v>29</v>
      </c>
      <c r="M558" s="3">
        <f t="shared" ca="1" si="110"/>
        <v>46100</v>
      </c>
      <c r="N558">
        <f t="shared" ca="1" si="111"/>
        <v>5103</v>
      </c>
      <c r="O558">
        <f t="shared" ca="1" si="112"/>
        <v>5103</v>
      </c>
      <c r="P558">
        <f t="shared" ca="1" si="113"/>
        <v>3646</v>
      </c>
      <c r="Q558">
        <v>33</v>
      </c>
      <c r="R558" t="str">
        <f t="shared" si="114"/>
        <v>Old</v>
      </c>
      <c r="S558" t="s">
        <v>24</v>
      </c>
      <c r="T558">
        <v>2</v>
      </c>
      <c r="U558" t="s">
        <v>45</v>
      </c>
      <c r="V558">
        <v>5695.43</v>
      </c>
      <c r="W558" t="s">
        <v>26</v>
      </c>
      <c r="X558" t="s">
        <v>55</v>
      </c>
      <c r="Y558">
        <v>27</v>
      </c>
      <c r="Z558" t="str">
        <f t="shared" si="115"/>
        <v>Bad Employee</v>
      </c>
      <c r="AA558" t="b">
        <f t="shared" si="116"/>
        <v>0</v>
      </c>
      <c r="AB558" t="b">
        <f>OR(Y558&gt;20, T558&gt;6)</f>
        <v>1</v>
      </c>
      <c r="AC558" t="str">
        <f>IF(OR(Y558&gt;20,T558&gt;6), "Good employee", "Bad Employee")</f>
        <v>Good employee</v>
      </c>
      <c r="AD558" t="s">
        <v>28</v>
      </c>
      <c r="AE558" t="s">
        <v>37</v>
      </c>
      <c r="AF558">
        <v>19</v>
      </c>
      <c r="AG558">
        <v>2014</v>
      </c>
      <c r="AH558" t="s">
        <v>30</v>
      </c>
      <c r="AI558">
        <v>189</v>
      </c>
      <c r="AJ558">
        <v>4.0999999999999996</v>
      </c>
    </row>
    <row r="559" spans="1:36" x14ac:dyDescent="0.25">
      <c r="A559">
        <v>10558</v>
      </c>
      <c r="B559" t="s">
        <v>64</v>
      </c>
      <c r="C559" t="s">
        <v>57</v>
      </c>
      <c r="D559" t="s">
        <v>52</v>
      </c>
      <c r="E559" t="str">
        <f t="shared" si="104"/>
        <v>Katie Davis is in Operations Department</v>
      </c>
      <c r="F559" s="6" t="str">
        <f t="shared" si="105"/>
        <v>katiedavis@gmail.com</v>
      </c>
      <c r="G559">
        <v>119144</v>
      </c>
      <c r="H559" t="str">
        <f t="shared" si="106"/>
        <v>High</v>
      </c>
      <c r="I559" s="3">
        <v>37353</v>
      </c>
      <c r="J559">
        <f t="shared" si="107"/>
        <v>2002</v>
      </c>
      <c r="K559">
        <f t="shared" si="108"/>
        <v>4</v>
      </c>
      <c r="L559">
        <f t="shared" si="109"/>
        <v>7</v>
      </c>
      <c r="M559" s="3">
        <f t="shared" ca="1" si="110"/>
        <v>46100</v>
      </c>
      <c r="N559">
        <f t="shared" ca="1" si="111"/>
        <v>8747</v>
      </c>
      <c r="O559">
        <f t="shared" ca="1" si="112"/>
        <v>8747</v>
      </c>
      <c r="P559">
        <f t="shared" ca="1" si="113"/>
        <v>6249</v>
      </c>
      <c r="Q559">
        <v>32</v>
      </c>
      <c r="R559" t="str">
        <f t="shared" si="114"/>
        <v>Old</v>
      </c>
      <c r="S559" t="s">
        <v>24</v>
      </c>
      <c r="T559">
        <v>4</v>
      </c>
      <c r="U559" t="s">
        <v>45</v>
      </c>
      <c r="V559">
        <v>8089.02</v>
      </c>
      <c r="W559" t="s">
        <v>35</v>
      </c>
      <c r="X559" t="s">
        <v>55</v>
      </c>
      <c r="Y559">
        <v>6</v>
      </c>
      <c r="Z559" t="str">
        <f t="shared" si="115"/>
        <v>Bad Employee</v>
      </c>
      <c r="AA559" t="b">
        <f t="shared" si="116"/>
        <v>0</v>
      </c>
      <c r="AB559" t="b">
        <f>OR(Y559&gt;20, T559&gt;6)</f>
        <v>0</v>
      </c>
      <c r="AC559" t="str">
        <f>IF(OR(Y559&gt;20,T559&gt;6), "Good employee", "Bad Employee")</f>
        <v>Bad Employee</v>
      </c>
      <c r="AD559" t="s">
        <v>41</v>
      </c>
      <c r="AE559" t="s">
        <v>29</v>
      </c>
      <c r="AF559">
        <v>16</v>
      </c>
      <c r="AG559">
        <v>2022</v>
      </c>
      <c r="AH559" t="s">
        <v>30</v>
      </c>
      <c r="AI559">
        <v>17</v>
      </c>
      <c r="AJ559">
        <v>4.5</v>
      </c>
    </row>
    <row r="560" spans="1:36" x14ac:dyDescent="0.25">
      <c r="A560">
        <v>10559</v>
      </c>
      <c r="B560" t="s">
        <v>53</v>
      </c>
      <c r="C560" t="s">
        <v>51</v>
      </c>
      <c r="D560" t="s">
        <v>54</v>
      </c>
      <c r="E560" t="str">
        <f t="shared" si="104"/>
        <v>Sarah Brown is in Finance Department</v>
      </c>
      <c r="F560" s="6" t="str">
        <f t="shared" si="105"/>
        <v>sarahbrown@gmail.com</v>
      </c>
      <c r="G560">
        <v>57898</v>
      </c>
      <c r="H560" t="str">
        <f t="shared" si="106"/>
        <v>Medium</v>
      </c>
      <c r="I560" s="3">
        <v>42702</v>
      </c>
      <c r="J560">
        <f t="shared" si="107"/>
        <v>2016</v>
      </c>
      <c r="K560">
        <f t="shared" si="108"/>
        <v>11</v>
      </c>
      <c r="L560">
        <f t="shared" si="109"/>
        <v>28</v>
      </c>
      <c r="M560" s="3">
        <f t="shared" ca="1" si="110"/>
        <v>46100</v>
      </c>
      <c r="N560">
        <f t="shared" ca="1" si="111"/>
        <v>3398</v>
      </c>
      <c r="O560">
        <f t="shared" ca="1" si="112"/>
        <v>3398</v>
      </c>
      <c r="P560">
        <f t="shared" ca="1" si="113"/>
        <v>2429</v>
      </c>
      <c r="Q560">
        <v>59</v>
      </c>
      <c r="R560" t="str">
        <f t="shared" si="114"/>
        <v>Old</v>
      </c>
      <c r="S560" t="s">
        <v>24</v>
      </c>
      <c r="T560">
        <v>3</v>
      </c>
      <c r="U560" t="s">
        <v>25</v>
      </c>
      <c r="V560">
        <v>7634.61</v>
      </c>
      <c r="W560" t="s">
        <v>35</v>
      </c>
      <c r="X560" t="s">
        <v>36</v>
      </c>
      <c r="Y560">
        <v>38</v>
      </c>
      <c r="Z560" t="str">
        <f t="shared" si="115"/>
        <v>Bad Employee</v>
      </c>
      <c r="AA560" t="b">
        <f t="shared" si="116"/>
        <v>0</v>
      </c>
      <c r="AB560" t="b">
        <f>OR(Y560&gt;20, T560&gt;6)</f>
        <v>1</v>
      </c>
      <c r="AC560" t="str">
        <f>IF(OR(Y560&gt;20,T560&gt;6), "Good employee", "Bad Employee")</f>
        <v>Good employee</v>
      </c>
      <c r="AD560" t="s">
        <v>28</v>
      </c>
      <c r="AE560" t="s">
        <v>37</v>
      </c>
      <c r="AF560">
        <v>16</v>
      </c>
      <c r="AG560">
        <v>2016</v>
      </c>
      <c r="AH560" t="s">
        <v>49</v>
      </c>
      <c r="AI560">
        <v>59</v>
      </c>
      <c r="AJ560">
        <v>2.4</v>
      </c>
    </row>
    <row r="561" spans="1:36" x14ac:dyDescent="0.25">
      <c r="A561">
        <v>10560</v>
      </c>
      <c r="B561" t="s">
        <v>64</v>
      </c>
      <c r="C561" t="s">
        <v>51</v>
      </c>
      <c r="D561" t="s">
        <v>54</v>
      </c>
      <c r="E561" t="str">
        <f t="shared" si="104"/>
        <v>Katie Brown is in Finance Department</v>
      </c>
      <c r="F561" s="6" t="str">
        <f t="shared" si="105"/>
        <v>katiebrown@gmail.com</v>
      </c>
      <c r="G561">
        <v>31919</v>
      </c>
      <c r="H561" t="str">
        <f t="shared" si="106"/>
        <v>extremely low</v>
      </c>
      <c r="I561" s="3">
        <v>43173</v>
      </c>
      <c r="J561">
        <f t="shared" si="107"/>
        <v>2018</v>
      </c>
      <c r="K561">
        <f t="shared" si="108"/>
        <v>3</v>
      </c>
      <c r="L561">
        <f t="shared" si="109"/>
        <v>14</v>
      </c>
      <c r="M561" s="3">
        <f t="shared" ca="1" si="110"/>
        <v>46100</v>
      </c>
      <c r="N561">
        <f t="shared" ca="1" si="111"/>
        <v>2927</v>
      </c>
      <c r="O561">
        <f t="shared" ca="1" si="112"/>
        <v>2927</v>
      </c>
      <c r="P561">
        <f t="shared" ca="1" si="113"/>
        <v>2092</v>
      </c>
      <c r="Q561">
        <v>49</v>
      </c>
      <c r="R561" t="str">
        <f t="shared" si="114"/>
        <v>Old</v>
      </c>
      <c r="S561" t="s">
        <v>34</v>
      </c>
      <c r="T561">
        <v>7</v>
      </c>
      <c r="U561" t="s">
        <v>25</v>
      </c>
      <c r="V561">
        <v>7828.81</v>
      </c>
      <c r="W561" t="s">
        <v>35</v>
      </c>
      <c r="X561" t="s">
        <v>47</v>
      </c>
      <c r="Y561">
        <v>4</v>
      </c>
      <c r="Z561" t="str">
        <f t="shared" si="115"/>
        <v>Bad Employee</v>
      </c>
      <c r="AA561" t="b">
        <f t="shared" si="116"/>
        <v>0</v>
      </c>
      <c r="AB561" t="b">
        <f>OR(Y561&gt;20, T561&gt;6)</f>
        <v>1</v>
      </c>
      <c r="AC561" t="str">
        <f>IF(OR(Y561&gt;20,T561&gt;6), "Good employee", "Bad Employee")</f>
        <v>Good employee</v>
      </c>
      <c r="AD561" t="s">
        <v>28</v>
      </c>
      <c r="AE561" t="s">
        <v>37</v>
      </c>
      <c r="AF561">
        <v>9</v>
      </c>
      <c r="AG561">
        <v>2010</v>
      </c>
      <c r="AH561" t="s">
        <v>30</v>
      </c>
      <c r="AI561">
        <v>67</v>
      </c>
      <c r="AJ561">
        <v>2.8</v>
      </c>
    </row>
    <row r="562" spans="1:36" x14ac:dyDescent="0.25">
      <c r="A562">
        <v>10561</v>
      </c>
      <c r="B562" t="s">
        <v>31</v>
      </c>
      <c r="C562" t="s">
        <v>65</v>
      </c>
      <c r="D562" t="s">
        <v>23</v>
      </c>
      <c r="E562" t="str">
        <f t="shared" si="104"/>
        <v>Emily Johnson is in HR Department</v>
      </c>
      <c r="F562" s="6" t="str">
        <f t="shared" si="105"/>
        <v>emilyjohnson@gmail.com</v>
      </c>
      <c r="G562">
        <v>80070</v>
      </c>
      <c r="H562" t="str">
        <f t="shared" si="106"/>
        <v>High</v>
      </c>
      <c r="I562" s="3">
        <v>41248</v>
      </c>
      <c r="J562">
        <f t="shared" si="107"/>
        <v>2012</v>
      </c>
      <c r="K562">
        <f t="shared" si="108"/>
        <v>12</v>
      </c>
      <c r="L562">
        <f t="shared" si="109"/>
        <v>5</v>
      </c>
      <c r="M562" s="3">
        <f t="shared" ca="1" si="110"/>
        <v>46100</v>
      </c>
      <c r="N562">
        <f t="shared" ca="1" si="111"/>
        <v>4852</v>
      </c>
      <c r="O562">
        <f t="shared" ca="1" si="112"/>
        <v>4852</v>
      </c>
      <c r="P562">
        <f t="shared" ca="1" si="113"/>
        <v>3467</v>
      </c>
      <c r="Q562">
        <v>29</v>
      </c>
      <c r="R562" t="str">
        <f t="shared" si="114"/>
        <v>Young</v>
      </c>
      <c r="S562" t="s">
        <v>24</v>
      </c>
      <c r="T562">
        <v>1</v>
      </c>
      <c r="U562" t="s">
        <v>45</v>
      </c>
      <c r="V562">
        <v>5242.7700000000004</v>
      </c>
      <c r="W562" t="s">
        <v>35</v>
      </c>
      <c r="X562" t="s">
        <v>47</v>
      </c>
      <c r="Y562">
        <v>35</v>
      </c>
      <c r="Z562" t="str">
        <f t="shared" si="115"/>
        <v>Bad Employee</v>
      </c>
      <c r="AA562" t="b">
        <f t="shared" si="116"/>
        <v>0</v>
      </c>
      <c r="AB562" t="b">
        <f>OR(Y562&gt;20, T562&gt;6)</f>
        <v>1</v>
      </c>
      <c r="AC562" t="str">
        <f>IF(OR(Y562&gt;20,T562&gt;6), "Good employee", "Bad Employee")</f>
        <v>Good employee</v>
      </c>
      <c r="AD562" t="s">
        <v>56</v>
      </c>
      <c r="AE562" t="s">
        <v>62</v>
      </c>
      <c r="AF562">
        <v>6</v>
      </c>
      <c r="AG562">
        <v>2010</v>
      </c>
      <c r="AH562" t="s">
        <v>30</v>
      </c>
      <c r="AI562">
        <v>134</v>
      </c>
      <c r="AJ562">
        <v>2.9</v>
      </c>
    </row>
    <row r="563" spans="1:36" x14ac:dyDescent="0.25">
      <c r="A563">
        <v>10562</v>
      </c>
      <c r="B563" t="s">
        <v>50</v>
      </c>
      <c r="C563" t="s">
        <v>32</v>
      </c>
      <c r="D563" t="s">
        <v>54</v>
      </c>
      <c r="E563" t="str">
        <f t="shared" si="104"/>
        <v>Alex Wilson is in Finance Department</v>
      </c>
      <c r="F563" s="6" t="str">
        <f t="shared" si="105"/>
        <v>alexwilson@gmail.com</v>
      </c>
      <c r="G563">
        <v>92613</v>
      </c>
      <c r="H563" t="str">
        <f t="shared" si="106"/>
        <v>High</v>
      </c>
      <c r="I563" s="3">
        <v>42541</v>
      </c>
      <c r="J563">
        <f t="shared" si="107"/>
        <v>2016</v>
      </c>
      <c r="K563">
        <f t="shared" si="108"/>
        <v>6</v>
      </c>
      <c r="L563">
        <f t="shared" si="109"/>
        <v>20</v>
      </c>
      <c r="M563" s="3">
        <f t="shared" ca="1" si="110"/>
        <v>46100</v>
      </c>
      <c r="N563">
        <f t="shared" ca="1" si="111"/>
        <v>3559</v>
      </c>
      <c r="O563">
        <f t="shared" ca="1" si="112"/>
        <v>3559</v>
      </c>
      <c r="P563">
        <f t="shared" ca="1" si="113"/>
        <v>2544</v>
      </c>
      <c r="Q563">
        <v>31</v>
      </c>
      <c r="R563" t="str">
        <f t="shared" si="114"/>
        <v>Old</v>
      </c>
      <c r="S563" t="s">
        <v>24</v>
      </c>
      <c r="T563">
        <v>4</v>
      </c>
      <c r="U563" t="s">
        <v>25</v>
      </c>
      <c r="V563">
        <v>3861.87</v>
      </c>
      <c r="W563" t="s">
        <v>46</v>
      </c>
      <c r="X563" t="s">
        <v>36</v>
      </c>
      <c r="Y563">
        <v>10</v>
      </c>
      <c r="Z563" t="str">
        <f t="shared" si="115"/>
        <v>Bad Employee</v>
      </c>
      <c r="AA563" t="b">
        <f t="shared" si="116"/>
        <v>0</v>
      </c>
      <c r="AB563" t="b">
        <f>OR(Y563&gt;20, T563&gt;6)</f>
        <v>0</v>
      </c>
      <c r="AC563" t="str">
        <f>IF(OR(Y563&gt;20,T563&gt;6), "Good employee", "Bad Employee")</f>
        <v>Bad Employee</v>
      </c>
      <c r="AD563" t="s">
        <v>28</v>
      </c>
      <c r="AE563" t="s">
        <v>62</v>
      </c>
      <c r="AF563">
        <v>19</v>
      </c>
      <c r="AG563">
        <v>2023</v>
      </c>
      <c r="AH563" t="s">
        <v>43</v>
      </c>
      <c r="AI563">
        <v>188</v>
      </c>
      <c r="AJ563">
        <v>2.2999999999999998</v>
      </c>
    </row>
    <row r="564" spans="1:36" x14ac:dyDescent="0.25">
      <c r="A564">
        <v>10563</v>
      </c>
      <c r="B564" t="s">
        <v>21</v>
      </c>
      <c r="C564" t="s">
        <v>22</v>
      </c>
      <c r="D564" t="s">
        <v>44</v>
      </c>
      <c r="E564" t="str">
        <f t="shared" si="104"/>
        <v>Michael Williams is in Sales Department</v>
      </c>
      <c r="F564" s="6" t="str">
        <f t="shared" si="105"/>
        <v>michaelwilliams@gmail.com</v>
      </c>
      <c r="G564">
        <v>116135</v>
      </c>
      <c r="H564" t="str">
        <f t="shared" si="106"/>
        <v>High</v>
      </c>
      <c r="I564" s="3">
        <v>41648</v>
      </c>
      <c r="J564">
        <f t="shared" si="107"/>
        <v>2014</v>
      </c>
      <c r="K564">
        <f t="shared" si="108"/>
        <v>1</v>
      </c>
      <c r="L564">
        <f t="shared" si="109"/>
        <v>9</v>
      </c>
      <c r="M564" s="3">
        <f t="shared" ca="1" si="110"/>
        <v>46100</v>
      </c>
      <c r="N564">
        <f t="shared" ca="1" si="111"/>
        <v>4452</v>
      </c>
      <c r="O564">
        <f t="shared" ca="1" si="112"/>
        <v>4452</v>
      </c>
      <c r="P564">
        <f t="shared" ca="1" si="113"/>
        <v>3181</v>
      </c>
      <c r="Q564">
        <v>46</v>
      </c>
      <c r="R564" t="str">
        <f t="shared" si="114"/>
        <v>Old</v>
      </c>
      <c r="S564" t="s">
        <v>24</v>
      </c>
      <c r="T564">
        <v>7</v>
      </c>
      <c r="U564" t="s">
        <v>25</v>
      </c>
      <c r="V564">
        <v>9367.65</v>
      </c>
      <c r="W564" t="s">
        <v>58</v>
      </c>
      <c r="X564" t="s">
        <v>40</v>
      </c>
      <c r="Y564">
        <v>38</v>
      </c>
      <c r="Z564" t="str">
        <f t="shared" si="115"/>
        <v>Good Employee</v>
      </c>
      <c r="AA564" t="b">
        <f t="shared" si="116"/>
        <v>1</v>
      </c>
      <c r="AB564" t="b">
        <f>OR(Y564&gt;20, T564&gt;6)</f>
        <v>1</v>
      </c>
      <c r="AC564" t="str">
        <f>IF(OR(Y564&gt;20,T564&gt;6), "Good employee", "Bad Employee")</f>
        <v>Good employee</v>
      </c>
      <c r="AD564" t="s">
        <v>56</v>
      </c>
      <c r="AE564" t="s">
        <v>42</v>
      </c>
      <c r="AF564">
        <v>16</v>
      </c>
      <c r="AG564">
        <v>2022</v>
      </c>
      <c r="AH564" t="s">
        <v>49</v>
      </c>
      <c r="AI564">
        <v>11</v>
      </c>
      <c r="AJ564">
        <v>4</v>
      </c>
    </row>
    <row r="565" spans="1:36" x14ac:dyDescent="0.25">
      <c r="A565">
        <v>10564</v>
      </c>
      <c r="B565" t="s">
        <v>21</v>
      </c>
      <c r="C565" t="s">
        <v>57</v>
      </c>
      <c r="D565" t="s">
        <v>54</v>
      </c>
      <c r="E565" t="str">
        <f t="shared" si="104"/>
        <v>Michael Davis is in Finance Department</v>
      </c>
      <c r="F565" s="6" t="str">
        <f t="shared" si="105"/>
        <v>michaeldavis@gmail.com</v>
      </c>
      <c r="G565">
        <v>112501</v>
      </c>
      <c r="H565" t="str">
        <f t="shared" si="106"/>
        <v>High</v>
      </c>
      <c r="I565" s="3">
        <v>42513</v>
      </c>
      <c r="J565">
        <f t="shared" si="107"/>
        <v>2016</v>
      </c>
      <c r="K565">
        <f t="shared" si="108"/>
        <v>5</v>
      </c>
      <c r="L565">
        <f t="shared" si="109"/>
        <v>23</v>
      </c>
      <c r="M565" s="3">
        <f t="shared" ca="1" si="110"/>
        <v>46100</v>
      </c>
      <c r="N565">
        <f t="shared" ca="1" si="111"/>
        <v>3587</v>
      </c>
      <c r="O565">
        <f t="shared" ca="1" si="112"/>
        <v>3587</v>
      </c>
      <c r="P565">
        <f t="shared" ca="1" si="113"/>
        <v>2564</v>
      </c>
      <c r="Q565">
        <v>57</v>
      </c>
      <c r="R565" t="str">
        <f t="shared" si="114"/>
        <v>Old</v>
      </c>
      <c r="S565" t="s">
        <v>34</v>
      </c>
      <c r="T565">
        <v>5</v>
      </c>
      <c r="U565" t="s">
        <v>25</v>
      </c>
      <c r="V565">
        <v>1015.56</v>
      </c>
      <c r="W565" t="s">
        <v>58</v>
      </c>
      <c r="X565" t="s">
        <v>40</v>
      </c>
      <c r="Y565">
        <v>30</v>
      </c>
      <c r="Z565" t="str">
        <f t="shared" si="115"/>
        <v>Bad Employee</v>
      </c>
      <c r="AA565" t="b">
        <f t="shared" si="116"/>
        <v>0</v>
      </c>
      <c r="AB565" t="b">
        <f>OR(Y565&gt;20, T565&gt;6)</f>
        <v>1</v>
      </c>
      <c r="AC565" t="str">
        <f>IF(OR(Y565&gt;20,T565&gt;6), "Good employee", "Bad Employee")</f>
        <v>Good employee</v>
      </c>
      <c r="AD565" t="s">
        <v>28</v>
      </c>
      <c r="AE565" t="s">
        <v>42</v>
      </c>
      <c r="AF565">
        <v>11</v>
      </c>
      <c r="AG565">
        <v>2021</v>
      </c>
      <c r="AH565" t="s">
        <v>30</v>
      </c>
      <c r="AI565">
        <v>175</v>
      </c>
      <c r="AJ565">
        <v>3.1</v>
      </c>
    </row>
    <row r="566" spans="1:36" x14ac:dyDescent="0.25">
      <c r="A566">
        <v>10565</v>
      </c>
      <c r="B566" t="s">
        <v>31</v>
      </c>
      <c r="C566" t="s">
        <v>65</v>
      </c>
      <c r="D566" t="s">
        <v>52</v>
      </c>
      <c r="E566" t="str">
        <f t="shared" si="104"/>
        <v>Emily Johnson is in Operations Department</v>
      </c>
      <c r="F566" s="6" t="str">
        <f t="shared" si="105"/>
        <v>emilyjohnson@gmail.com</v>
      </c>
      <c r="G566">
        <v>77003</v>
      </c>
      <c r="H566" t="str">
        <f t="shared" si="106"/>
        <v>Medium</v>
      </c>
      <c r="I566" s="3">
        <v>38615</v>
      </c>
      <c r="J566">
        <f t="shared" si="107"/>
        <v>2005</v>
      </c>
      <c r="K566">
        <f t="shared" si="108"/>
        <v>9</v>
      </c>
      <c r="L566">
        <f t="shared" si="109"/>
        <v>20</v>
      </c>
      <c r="M566" s="3">
        <f t="shared" ca="1" si="110"/>
        <v>46100</v>
      </c>
      <c r="N566">
        <f t="shared" ca="1" si="111"/>
        <v>7485</v>
      </c>
      <c r="O566">
        <f t="shared" ca="1" si="112"/>
        <v>7485</v>
      </c>
      <c r="P566">
        <f t="shared" ca="1" si="113"/>
        <v>5348</v>
      </c>
      <c r="Q566">
        <v>64</v>
      </c>
      <c r="R566" t="str">
        <f t="shared" si="114"/>
        <v>Old</v>
      </c>
      <c r="S566" t="s">
        <v>24</v>
      </c>
      <c r="T566">
        <v>4</v>
      </c>
      <c r="U566" t="s">
        <v>25</v>
      </c>
      <c r="V566">
        <v>1949.9</v>
      </c>
      <c r="W566" t="s">
        <v>26</v>
      </c>
      <c r="X566" t="s">
        <v>47</v>
      </c>
      <c r="Y566">
        <v>9</v>
      </c>
      <c r="Z566" t="str">
        <f t="shared" si="115"/>
        <v>Bad Employee</v>
      </c>
      <c r="AA566" t="b">
        <f t="shared" si="116"/>
        <v>0</v>
      </c>
      <c r="AB566" t="b">
        <f>OR(Y566&gt;20, T566&gt;6)</f>
        <v>0</v>
      </c>
      <c r="AC566" t="str">
        <f>IF(OR(Y566&gt;20,T566&gt;6), "Good employee", "Bad Employee")</f>
        <v>Bad Employee</v>
      </c>
      <c r="AD566" t="s">
        <v>41</v>
      </c>
      <c r="AE566" t="s">
        <v>37</v>
      </c>
      <c r="AF566">
        <v>10</v>
      </c>
      <c r="AG566">
        <v>2020</v>
      </c>
      <c r="AH566" t="s">
        <v>49</v>
      </c>
      <c r="AI566">
        <v>163</v>
      </c>
      <c r="AJ566">
        <v>4.7</v>
      </c>
    </row>
    <row r="567" spans="1:36" x14ac:dyDescent="0.25">
      <c r="A567">
        <v>10566</v>
      </c>
      <c r="B567" t="s">
        <v>60</v>
      </c>
      <c r="C567" t="s">
        <v>51</v>
      </c>
      <c r="D567" t="s">
        <v>33</v>
      </c>
      <c r="E567" t="str">
        <f t="shared" si="104"/>
        <v>Jane Brown is in Marketing Department</v>
      </c>
      <c r="F567" s="6" t="str">
        <f t="shared" si="105"/>
        <v>janebrown@gmail.com</v>
      </c>
      <c r="G567">
        <v>78478</v>
      </c>
      <c r="H567" t="str">
        <f t="shared" si="106"/>
        <v>Medium</v>
      </c>
      <c r="I567" s="3">
        <v>38582</v>
      </c>
      <c r="J567">
        <f t="shared" si="107"/>
        <v>2005</v>
      </c>
      <c r="K567">
        <f t="shared" si="108"/>
        <v>8</v>
      </c>
      <c r="L567">
        <f t="shared" si="109"/>
        <v>18</v>
      </c>
      <c r="M567" s="3">
        <f t="shared" ca="1" si="110"/>
        <v>46100</v>
      </c>
      <c r="N567">
        <f t="shared" ca="1" si="111"/>
        <v>7518</v>
      </c>
      <c r="O567">
        <f t="shared" ca="1" si="112"/>
        <v>7518</v>
      </c>
      <c r="P567">
        <f t="shared" ca="1" si="113"/>
        <v>5371</v>
      </c>
      <c r="Q567">
        <v>30</v>
      </c>
      <c r="R567" t="str">
        <f t="shared" si="114"/>
        <v>Young</v>
      </c>
      <c r="S567" t="s">
        <v>24</v>
      </c>
      <c r="T567">
        <v>4</v>
      </c>
      <c r="U567" t="s">
        <v>45</v>
      </c>
      <c r="V567">
        <v>4486.1899999999996</v>
      </c>
      <c r="W567" t="s">
        <v>58</v>
      </c>
      <c r="X567" t="s">
        <v>47</v>
      </c>
      <c r="Y567">
        <v>16</v>
      </c>
      <c r="Z567" t="str">
        <f t="shared" si="115"/>
        <v>Bad Employee</v>
      </c>
      <c r="AA567" t="b">
        <f t="shared" si="116"/>
        <v>0</v>
      </c>
      <c r="AB567" t="b">
        <f>OR(Y567&gt;20, T567&gt;6)</f>
        <v>0</v>
      </c>
      <c r="AC567" t="str">
        <f>IF(OR(Y567&gt;20,T567&gt;6), "Good employee", "Bad Employee")</f>
        <v>Bad Employee</v>
      </c>
      <c r="AD567" t="s">
        <v>28</v>
      </c>
      <c r="AE567" t="s">
        <v>42</v>
      </c>
      <c r="AF567">
        <v>9</v>
      </c>
      <c r="AG567">
        <v>2021</v>
      </c>
      <c r="AH567" t="s">
        <v>30</v>
      </c>
      <c r="AI567">
        <v>193</v>
      </c>
      <c r="AJ567">
        <v>3.6</v>
      </c>
    </row>
    <row r="568" spans="1:36" x14ac:dyDescent="0.25">
      <c r="A568">
        <v>10567</v>
      </c>
      <c r="B568" t="s">
        <v>60</v>
      </c>
      <c r="C568" t="s">
        <v>65</v>
      </c>
      <c r="D568" t="s">
        <v>33</v>
      </c>
      <c r="E568" t="str">
        <f t="shared" si="104"/>
        <v>Jane Johnson is in Marketing Department</v>
      </c>
      <c r="F568" s="6" t="str">
        <f t="shared" si="105"/>
        <v>janejohnson@gmail.com</v>
      </c>
      <c r="G568">
        <v>44434</v>
      </c>
      <c r="H568" t="str">
        <f t="shared" si="106"/>
        <v>low</v>
      </c>
      <c r="I568" s="3">
        <v>43669</v>
      </c>
      <c r="J568">
        <f t="shared" si="107"/>
        <v>2019</v>
      </c>
      <c r="K568">
        <f t="shared" si="108"/>
        <v>7</v>
      </c>
      <c r="L568">
        <f t="shared" si="109"/>
        <v>23</v>
      </c>
      <c r="M568" s="3">
        <f t="shared" ca="1" si="110"/>
        <v>46100</v>
      </c>
      <c r="N568">
        <f t="shared" ca="1" si="111"/>
        <v>2431</v>
      </c>
      <c r="O568">
        <f t="shared" ca="1" si="112"/>
        <v>2431</v>
      </c>
      <c r="P568">
        <f t="shared" ca="1" si="113"/>
        <v>1738</v>
      </c>
      <c r="Q568">
        <v>62</v>
      </c>
      <c r="R568" t="str">
        <f t="shared" si="114"/>
        <v>Old</v>
      </c>
      <c r="S568" t="s">
        <v>34</v>
      </c>
      <c r="T568">
        <v>2</v>
      </c>
      <c r="U568" t="s">
        <v>45</v>
      </c>
      <c r="V568">
        <v>6332.6</v>
      </c>
      <c r="W568" t="s">
        <v>58</v>
      </c>
      <c r="X568" t="s">
        <v>47</v>
      </c>
      <c r="Y568">
        <v>4</v>
      </c>
      <c r="Z568" t="str">
        <f t="shared" si="115"/>
        <v>Bad Employee</v>
      </c>
      <c r="AA568" t="b">
        <f t="shared" si="116"/>
        <v>0</v>
      </c>
      <c r="AB568" t="b">
        <f>OR(Y568&gt;20, T568&gt;6)</f>
        <v>0</v>
      </c>
      <c r="AC568" t="str">
        <f>IF(OR(Y568&gt;20,T568&gt;6), "Good employee", "Bad Employee")</f>
        <v>Bad Employee</v>
      </c>
      <c r="AD568" t="s">
        <v>41</v>
      </c>
      <c r="AE568" t="s">
        <v>42</v>
      </c>
      <c r="AF568">
        <v>7</v>
      </c>
      <c r="AG568">
        <v>2015</v>
      </c>
      <c r="AH568" t="s">
        <v>49</v>
      </c>
      <c r="AI568">
        <v>154</v>
      </c>
      <c r="AJ568">
        <v>1.8</v>
      </c>
    </row>
    <row r="569" spans="1:36" x14ac:dyDescent="0.25">
      <c r="A569">
        <v>10568</v>
      </c>
      <c r="B569" t="s">
        <v>53</v>
      </c>
      <c r="C569" t="s">
        <v>32</v>
      </c>
      <c r="D569" t="s">
        <v>52</v>
      </c>
      <c r="E569" t="str">
        <f t="shared" si="104"/>
        <v>Sarah Wilson is in Operations Department</v>
      </c>
      <c r="F569" s="6" t="str">
        <f t="shared" si="105"/>
        <v>sarahwilson@gmail.com</v>
      </c>
      <c r="G569">
        <v>76246</v>
      </c>
      <c r="H569" t="str">
        <f t="shared" si="106"/>
        <v>Medium</v>
      </c>
      <c r="I569" s="3">
        <v>37344</v>
      </c>
      <c r="J569">
        <f t="shared" si="107"/>
        <v>2002</v>
      </c>
      <c r="K569">
        <f t="shared" si="108"/>
        <v>3</v>
      </c>
      <c r="L569">
        <f t="shared" si="109"/>
        <v>29</v>
      </c>
      <c r="M569" s="3">
        <f t="shared" ca="1" si="110"/>
        <v>46100</v>
      </c>
      <c r="N569">
        <f t="shared" ca="1" si="111"/>
        <v>8756</v>
      </c>
      <c r="O569">
        <f t="shared" ca="1" si="112"/>
        <v>8756</v>
      </c>
      <c r="P569">
        <f t="shared" ca="1" si="113"/>
        <v>6255</v>
      </c>
      <c r="Q569">
        <v>29</v>
      </c>
      <c r="R569" t="str">
        <f t="shared" si="114"/>
        <v>Young</v>
      </c>
      <c r="S569" t="s">
        <v>34</v>
      </c>
      <c r="T569">
        <v>8</v>
      </c>
      <c r="U569" t="s">
        <v>45</v>
      </c>
      <c r="V569">
        <v>577.9</v>
      </c>
      <c r="W569" t="s">
        <v>46</v>
      </c>
      <c r="X569" t="s">
        <v>40</v>
      </c>
      <c r="Y569">
        <v>26</v>
      </c>
      <c r="Z569" t="str">
        <f t="shared" si="115"/>
        <v>Good Employee</v>
      </c>
      <c r="AA569" t="b">
        <f t="shared" si="116"/>
        <v>1</v>
      </c>
      <c r="AB569" t="b">
        <f>OR(Y569&gt;20, T569&gt;6)</f>
        <v>1</v>
      </c>
      <c r="AC569" t="str">
        <f>IF(OR(Y569&gt;20,T569&gt;6), "Good employee", "Bad Employee")</f>
        <v>Good employee</v>
      </c>
      <c r="AD569" t="s">
        <v>28</v>
      </c>
      <c r="AE569" t="s">
        <v>29</v>
      </c>
      <c r="AF569">
        <v>14</v>
      </c>
      <c r="AG569">
        <v>2020</v>
      </c>
      <c r="AH569" t="s">
        <v>30</v>
      </c>
      <c r="AI569">
        <v>194</v>
      </c>
      <c r="AJ569">
        <v>1.7</v>
      </c>
    </row>
    <row r="570" spans="1:36" x14ac:dyDescent="0.25">
      <c r="A570">
        <v>10569</v>
      </c>
      <c r="B570" t="s">
        <v>21</v>
      </c>
      <c r="C570" t="s">
        <v>22</v>
      </c>
      <c r="D570" t="s">
        <v>44</v>
      </c>
      <c r="E570" t="str">
        <f t="shared" si="104"/>
        <v>Michael Williams is in Sales Department</v>
      </c>
      <c r="F570" s="6" t="str">
        <f t="shared" si="105"/>
        <v>michaelwilliams@gmail.com</v>
      </c>
      <c r="G570">
        <v>66649</v>
      </c>
      <c r="H570" t="str">
        <f t="shared" si="106"/>
        <v>Medium</v>
      </c>
      <c r="I570" s="3">
        <v>41278</v>
      </c>
      <c r="J570">
        <f t="shared" si="107"/>
        <v>2013</v>
      </c>
      <c r="K570">
        <f t="shared" si="108"/>
        <v>1</v>
      </c>
      <c r="L570">
        <f t="shared" si="109"/>
        <v>4</v>
      </c>
      <c r="M570" s="3">
        <f t="shared" ca="1" si="110"/>
        <v>46100</v>
      </c>
      <c r="N570">
        <f t="shared" ca="1" si="111"/>
        <v>4822</v>
      </c>
      <c r="O570">
        <f t="shared" ca="1" si="112"/>
        <v>4822</v>
      </c>
      <c r="P570">
        <f t="shared" ca="1" si="113"/>
        <v>3445</v>
      </c>
      <c r="Q570">
        <v>24</v>
      </c>
      <c r="R570" t="str">
        <f t="shared" si="114"/>
        <v>Young</v>
      </c>
      <c r="S570" t="s">
        <v>34</v>
      </c>
      <c r="T570">
        <v>4</v>
      </c>
      <c r="U570" t="s">
        <v>25</v>
      </c>
      <c r="V570">
        <v>7333.57</v>
      </c>
      <c r="W570" t="s">
        <v>35</v>
      </c>
      <c r="X570" t="s">
        <v>55</v>
      </c>
      <c r="Y570">
        <v>29</v>
      </c>
      <c r="Z570" t="str">
        <f t="shared" si="115"/>
        <v>Bad Employee</v>
      </c>
      <c r="AA570" t="b">
        <f t="shared" si="116"/>
        <v>0</v>
      </c>
      <c r="AB570" t="b">
        <f>OR(Y570&gt;20, T570&gt;6)</f>
        <v>1</v>
      </c>
      <c r="AC570" t="str">
        <f>IF(OR(Y570&gt;20,T570&gt;6), "Good employee", "Bad Employee")</f>
        <v>Good employee</v>
      </c>
      <c r="AD570" t="s">
        <v>28</v>
      </c>
      <c r="AE570" t="s">
        <v>29</v>
      </c>
      <c r="AF570">
        <v>17</v>
      </c>
      <c r="AG570">
        <v>2011</v>
      </c>
      <c r="AH570" t="s">
        <v>30</v>
      </c>
      <c r="AI570">
        <v>32</v>
      </c>
      <c r="AJ570">
        <v>2.5</v>
      </c>
    </row>
    <row r="571" spans="1:36" x14ac:dyDescent="0.25">
      <c r="A571">
        <v>10570</v>
      </c>
      <c r="B571" t="s">
        <v>21</v>
      </c>
      <c r="C571" t="s">
        <v>63</v>
      </c>
      <c r="D571" t="s">
        <v>54</v>
      </c>
      <c r="E571" t="str">
        <f t="shared" si="104"/>
        <v>Michael Miller is in Finance Department</v>
      </c>
      <c r="F571" s="6" t="str">
        <f t="shared" si="105"/>
        <v>michaelmiller@gmail.com</v>
      </c>
      <c r="G571">
        <v>89030</v>
      </c>
      <c r="H571" t="str">
        <f t="shared" si="106"/>
        <v>High</v>
      </c>
      <c r="I571" s="3">
        <v>40510</v>
      </c>
      <c r="J571">
        <f t="shared" si="107"/>
        <v>2010</v>
      </c>
      <c r="K571">
        <f t="shared" si="108"/>
        <v>11</v>
      </c>
      <c r="L571">
        <f t="shared" si="109"/>
        <v>28</v>
      </c>
      <c r="M571" s="3">
        <f t="shared" ca="1" si="110"/>
        <v>46100</v>
      </c>
      <c r="N571">
        <f t="shared" ca="1" si="111"/>
        <v>5590</v>
      </c>
      <c r="O571">
        <f t="shared" ca="1" si="112"/>
        <v>5590</v>
      </c>
      <c r="P571">
        <f t="shared" ca="1" si="113"/>
        <v>3994</v>
      </c>
      <c r="Q571">
        <v>39</v>
      </c>
      <c r="R571" t="str">
        <f t="shared" si="114"/>
        <v>Old</v>
      </c>
      <c r="S571" t="s">
        <v>34</v>
      </c>
      <c r="T571">
        <v>2</v>
      </c>
      <c r="U571" t="s">
        <v>45</v>
      </c>
      <c r="V571">
        <v>5807.9</v>
      </c>
      <c r="W571" t="s">
        <v>35</v>
      </c>
      <c r="X571" t="s">
        <v>36</v>
      </c>
      <c r="Y571">
        <v>28</v>
      </c>
      <c r="Z571" t="str">
        <f t="shared" si="115"/>
        <v>Bad Employee</v>
      </c>
      <c r="AA571" t="b">
        <f t="shared" si="116"/>
        <v>0</v>
      </c>
      <c r="AB571" t="b">
        <f>OR(Y571&gt;20, T571&gt;6)</f>
        <v>1</v>
      </c>
      <c r="AC571" t="str">
        <f>IF(OR(Y571&gt;20,T571&gt;6), "Good employee", "Bad Employee")</f>
        <v>Good employee</v>
      </c>
      <c r="AD571" t="s">
        <v>41</v>
      </c>
      <c r="AE571" t="s">
        <v>29</v>
      </c>
      <c r="AF571">
        <v>12</v>
      </c>
      <c r="AG571">
        <v>2011</v>
      </c>
      <c r="AH571" t="s">
        <v>43</v>
      </c>
      <c r="AI571">
        <v>29</v>
      </c>
      <c r="AJ571">
        <v>2.4</v>
      </c>
    </row>
    <row r="572" spans="1:36" x14ac:dyDescent="0.25">
      <c r="A572">
        <v>10571</v>
      </c>
      <c r="B572" t="s">
        <v>64</v>
      </c>
      <c r="C572" t="s">
        <v>57</v>
      </c>
      <c r="D572" t="s">
        <v>52</v>
      </c>
      <c r="E572" t="str">
        <f t="shared" si="104"/>
        <v>Katie Davis is in Operations Department</v>
      </c>
      <c r="F572" s="6" t="str">
        <f t="shared" si="105"/>
        <v>katiedavis@gmail.com</v>
      </c>
      <c r="G572">
        <v>83061</v>
      </c>
      <c r="H572" t="str">
        <f t="shared" si="106"/>
        <v>High</v>
      </c>
      <c r="I572" s="3">
        <v>40206</v>
      </c>
      <c r="J572">
        <f t="shared" si="107"/>
        <v>2010</v>
      </c>
      <c r="K572">
        <f t="shared" si="108"/>
        <v>1</v>
      </c>
      <c r="L572">
        <f t="shared" si="109"/>
        <v>28</v>
      </c>
      <c r="M572" s="3">
        <f t="shared" ca="1" si="110"/>
        <v>46100</v>
      </c>
      <c r="N572">
        <f t="shared" ca="1" si="111"/>
        <v>5894</v>
      </c>
      <c r="O572">
        <f t="shared" ca="1" si="112"/>
        <v>5894</v>
      </c>
      <c r="P572">
        <f t="shared" ca="1" si="113"/>
        <v>4211</v>
      </c>
      <c r="Q572">
        <v>56</v>
      </c>
      <c r="R572" t="str">
        <f t="shared" si="114"/>
        <v>Old</v>
      </c>
      <c r="S572" t="s">
        <v>24</v>
      </c>
      <c r="T572">
        <v>9</v>
      </c>
      <c r="U572" t="s">
        <v>45</v>
      </c>
      <c r="V572">
        <v>5104.68</v>
      </c>
      <c r="W572" t="s">
        <v>35</v>
      </c>
      <c r="X572" t="s">
        <v>36</v>
      </c>
      <c r="Y572">
        <v>11</v>
      </c>
      <c r="Z572" t="str">
        <f t="shared" si="115"/>
        <v>Bad Employee</v>
      </c>
      <c r="AA572" t="b">
        <f t="shared" si="116"/>
        <v>0</v>
      </c>
      <c r="AB572" t="b">
        <f>OR(Y572&gt;20, T572&gt;6)</f>
        <v>1</v>
      </c>
      <c r="AC572" t="str">
        <f>IF(OR(Y572&gt;20,T572&gt;6), "Good employee", "Bad Employee")</f>
        <v>Good employee</v>
      </c>
      <c r="AD572" t="s">
        <v>41</v>
      </c>
      <c r="AE572" t="s">
        <v>59</v>
      </c>
      <c r="AF572">
        <v>15</v>
      </c>
      <c r="AG572">
        <v>2021</v>
      </c>
      <c r="AH572" t="s">
        <v>49</v>
      </c>
      <c r="AI572">
        <v>197</v>
      </c>
      <c r="AJ572">
        <v>2.6</v>
      </c>
    </row>
    <row r="573" spans="1:36" x14ac:dyDescent="0.25">
      <c r="A573">
        <v>10572</v>
      </c>
      <c r="B573" t="s">
        <v>50</v>
      </c>
      <c r="C573" t="s">
        <v>22</v>
      </c>
      <c r="D573" t="s">
        <v>23</v>
      </c>
      <c r="E573" t="str">
        <f t="shared" si="104"/>
        <v>Alex Williams is in HR Department</v>
      </c>
      <c r="F573" s="6" t="str">
        <f t="shared" si="105"/>
        <v>alexwilliams@gmail.com</v>
      </c>
      <c r="G573">
        <v>31999</v>
      </c>
      <c r="H573" t="str">
        <f t="shared" si="106"/>
        <v>extremely low</v>
      </c>
      <c r="I573" s="3">
        <v>38337</v>
      </c>
      <c r="J573">
        <f t="shared" si="107"/>
        <v>2004</v>
      </c>
      <c r="K573">
        <f t="shared" si="108"/>
        <v>12</v>
      </c>
      <c r="L573">
        <f t="shared" si="109"/>
        <v>16</v>
      </c>
      <c r="M573" s="3">
        <f t="shared" ca="1" si="110"/>
        <v>46100</v>
      </c>
      <c r="N573">
        <f t="shared" ca="1" si="111"/>
        <v>7763</v>
      </c>
      <c r="O573">
        <f t="shared" ca="1" si="112"/>
        <v>7763</v>
      </c>
      <c r="P573">
        <f t="shared" ca="1" si="113"/>
        <v>5546</v>
      </c>
      <c r="Q573">
        <v>38</v>
      </c>
      <c r="R573" t="str">
        <f t="shared" si="114"/>
        <v>Old</v>
      </c>
      <c r="S573" t="s">
        <v>34</v>
      </c>
      <c r="T573">
        <v>7</v>
      </c>
      <c r="U573" t="s">
        <v>45</v>
      </c>
      <c r="V573">
        <v>4523.2</v>
      </c>
      <c r="W573" t="s">
        <v>58</v>
      </c>
      <c r="X573" t="s">
        <v>27</v>
      </c>
      <c r="Y573">
        <v>28</v>
      </c>
      <c r="Z573" t="str">
        <f t="shared" si="115"/>
        <v>Good Employee</v>
      </c>
      <c r="AA573" t="b">
        <f t="shared" si="116"/>
        <v>1</v>
      </c>
      <c r="AB573" t="b">
        <f>OR(Y573&gt;20, T573&gt;6)</f>
        <v>1</v>
      </c>
      <c r="AC573" t="str">
        <f>IF(OR(Y573&gt;20,T573&gt;6), "Good employee", "Bad Employee")</f>
        <v>Good employee</v>
      </c>
      <c r="AD573" t="s">
        <v>41</v>
      </c>
      <c r="AE573" t="s">
        <v>37</v>
      </c>
      <c r="AF573">
        <v>12</v>
      </c>
      <c r="AG573">
        <v>2022</v>
      </c>
      <c r="AH573" t="s">
        <v>30</v>
      </c>
      <c r="AI573">
        <v>164</v>
      </c>
      <c r="AJ573">
        <v>1.7</v>
      </c>
    </row>
    <row r="574" spans="1:36" x14ac:dyDescent="0.25">
      <c r="A574">
        <v>10573</v>
      </c>
      <c r="B574" t="s">
        <v>66</v>
      </c>
      <c r="C574" t="s">
        <v>61</v>
      </c>
      <c r="D574" t="s">
        <v>33</v>
      </c>
      <c r="E574" t="str">
        <f t="shared" si="104"/>
        <v>John Smith is in Marketing Department</v>
      </c>
      <c r="F574" s="6" t="str">
        <f t="shared" si="105"/>
        <v>johnsmith@gmail.com</v>
      </c>
      <c r="G574">
        <v>44849</v>
      </c>
      <c r="H574" t="str">
        <f t="shared" si="106"/>
        <v>low</v>
      </c>
      <c r="I574" s="3">
        <v>41411</v>
      </c>
      <c r="J574">
        <f t="shared" si="107"/>
        <v>2013</v>
      </c>
      <c r="K574">
        <f t="shared" si="108"/>
        <v>5</v>
      </c>
      <c r="L574">
        <f t="shared" si="109"/>
        <v>17</v>
      </c>
      <c r="M574" s="3">
        <f t="shared" ca="1" si="110"/>
        <v>46100</v>
      </c>
      <c r="N574">
        <f t="shared" ca="1" si="111"/>
        <v>4689</v>
      </c>
      <c r="O574">
        <f t="shared" ca="1" si="112"/>
        <v>4689</v>
      </c>
      <c r="P574">
        <f t="shared" ca="1" si="113"/>
        <v>3350</v>
      </c>
      <c r="Q574">
        <v>57</v>
      </c>
      <c r="R574" t="str">
        <f t="shared" si="114"/>
        <v>Old</v>
      </c>
      <c r="S574" t="s">
        <v>34</v>
      </c>
      <c r="T574">
        <v>3</v>
      </c>
      <c r="U574" t="s">
        <v>25</v>
      </c>
      <c r="V574">
        <v>5435.13</v>
      </c>
      <c r="W574" t="s">
        <v>58</v>
      </c>
      <c r="X574" t="s">
        <v>27</v>
      </c>
      <c r="Y574">
        <v>32</v>
      </c>
      <c r="Z574" t="str">
        <f t="shared" si="115"/>
        <v>Bad Employee</v>
      </c>
      <c r="AA574" t="b">
        <f t="shared" si="116"/>
        <v>0</v>
      </c>
      <c r="AB574" t="b">
        <f>OR(Y574&gt;20, T574&gt;6)</f>
        <v>1</v>
      </c>
      <c r="AC574" t="str">
        <f>IF(OR(Y574&gt;20,T574&gt;6), "Good employee", "Bad Employee")</f>
        <v>Good employee</v>
      </c>
      <c r="AD574" t="s">
        <v>41</v>
      </c>
      <c r="AE574" t="s">
        <v>42</v>
      </c>
      <c r="AF574">
        <v>3</v>
      </c>
      <c r="AG574">
        <v>2016</v>
      </c>
      <c r="AH574" t="s">
        <v>43</v>
      </c>
      <c r="AI574">
        <v>180</v>
      </c>
      <c r="AJ574">
        <v>4.9000000000000004</v>
      </c>
    </row>
    <row r="575" spans="1:36" x14ac:dyDescent="0.25">
      <c r="A575">
        <v>10574</v>
      </c>
      <c r="B575" t="s">
        <v>60</v>
      </c>
      <c r="C575" t="s">
        <v>57</v>
      </c>
      <c r="D575" t="s">
        <v>39</v>
      </c>
      <c r="E575" t="str">
        <f t="shared" si="104"/>
        <v>Jane Davis is in IT Department</v>
      </c>
      <c r="F575" s="6" t="str">
        <f t="shared" si="105"/>
        <v>janedavis@gmail.com</v>
      </c>
      <c r="G575">
        <v>106439</v>
      </c>
      <c r="H575" t="str">
        <f t="shared" si="106"/>
        <v>High</v>
      </c>
      <c r="I575" s="3">
        <v>42081</v>
      </c>
      <c r="J575">
        <f t="shared" si="107"/>
        <v>2015</v>
      </c>
      <c r="K575">
        <f t="shared" si="108"/>
        <v>3</v>
      </c>
      <c r="L575">
        <f t="shared" si="109"/>
        <v>18</v>
      </c>
      <c r="M575" s="3">
        <f t="shared" ca="1" si="110"/>
        <v>46100</v>
      </c>
      <c r="N575">
        <f t="shared" ca="1" si="111"/>
        <v>4019</v>
      </c>
      <c r="O575">
        <f t="shared" ca="1" si="112"/>
        <v>4019</v>
      </c>
      <c r="P575">
        <f t="shared" ca="1" si="113"/>
        <v>2872</v>
      </c>
      <c r="Q575">
        <v>49</v>
      </c>
      <c r="R575" t="str">
        <f t="shared" si="114"/>
        <v>Old</v>
      </c>
      <c r="S575" t="s">
        <v>34</v>
      </c>
      <c r="T575">
        <v>7</v>
      </c>
      <c r="U575" t="s">
        <v>25</v>
      </c>
      <c r="V575">
        <v>2036.96</v>
      </c>
      <c r="W575" t="s">
        <v>26</v>
      </c>
      <c r="X575" t="s">
        <v>55</v>
      </c>
      <c r="Y575">
        <v>24</v>
      </c>
      <c r="Z575" t="str">
        <f t="shared" si="115"/>
        <v>Good Employee</v>
      </c>
      <c r="AA575" t="b">
        <f t="shared" si="116"/>
        <v>1</v>
      </c>
      <c r="AB575" t="b">
        <f>OR(Y575&gt;20, T575&gt;6)</f>
        <v>1</v>
      </c>
      <c r="AC575" t="str">
        <f>IF(OR(Y575&gt;20,T575&gt;6), "Good employee", "Bad Employee")</f>
        <v>Good employee</v>
      </c>
      <c r="AD575" t="s">
        <v>56</v>
      </c>
      <c r="AE575" t="s">
        <v>59</v>
      </c>
      <c r="AF575">
        <v>10</v>
      </c>
      <c r="AG575">
        <v>2018</v>
      </c>
      <c r="AH575" t="s">
        <v>43</v>
      </c>
      <c r="AI575">
        <v>84</v>
      </c>
      <c r="AJ575">
        <v>1.6</v>
      </c>
    </row>
    <row r="576" spans="1:36" x14ac:dyDescent="0.25">
      <c r="A576">
        <v>10575</v>
      </c>
      <c r="B576" t="s">
        <v>21</v>
      </c>
      <c r="C576" t="s">
        <v>22</v>
      </c>
      <c r="D576" t="s">
        <v>23</v>
      </c>
      <c r="E576" t="str">
        <f t="shared" si="104"/>
        <v>Michael Williams is in HR Department</v>
      </c>
      <c r="F576" s="6" t="str">
        <f t="shared" si="105"/>
        <v>michaelwilliams@gmail.com</v>
      </c>
      <c r="G576">
        <v>82800</v>
      </c>
      <c r="H576" t="str">
        <f t="shared" si="106"/>
        <v>High</v>
      </c>
      <c r="I576" s="3">
        <v>43720</v>
      </c>
      <c r="J576">
        <f t="shared" si="107"/>
        <v>2019</v>
      </c>
      <c r="K576">
        <f t="shared" si="108"/>
        <v>9</v>
      </c>
      <c r="L576">
        <f t="shared" si="109"/>
        <v>12</v>
      </c>
      <c r="M576" s="3">
        <f t="shared" ca="1" si="110"/>
        <v>46100</v>
      </c>
      <c r="N576">
        <f t="shared" ca="1" si="111"/>
        <v>2380</v>
      </c>
      <c r="O576">
        <f t="shared" ca="1" si="112"/>
        <v>2380</v>
      </c>
      <c r="P576">
        <f t="shared" ca="1" si="113"/>
        <v>1701</v>
      </c>
      <c r="Q576">
        <v>36</v>
      </c>
      <c r="R576" t="str">
        <f t="shared" si="114"/>
        <v>Old</v>
      </c>
      <c r="S576" t="s">
        <v>24</v>
      </c>
      <c r="T576">
        <v>1</v>
      </c>
      <c r="U576" t="s">
        <v>25</v>
      </c>
      <c r="V576">
        <v>1532.76</v>
      </c>
      <c r="W576" t="s">
        <v>46</v>
      </c>
      <c r="X576" t="s">
        <v>47</v>
      </c>
      <c r="Y576">
        <v>39</v>
      </c>
      <c r="Z576" t="str">
        <f t="shared" si="115"/>
        <v>Bad Employee</v>
      </c>
      <c r="AA576" t="b">
        <f t="shared" si="116"/>
        <v>0</v>
      </c>
      <c r="AB576" t="b">
        <f>OR(Y576&gt;20, T576&gt;6)</f>
        <v>1</v>
      </c>
      <c r="AC576" t="str">
        <f>IF(OR(Y576&gt;20,T576&gt;6), "Good employee", "Bad Employee")</f>
        <v>Good employee</v>
      </c>
      <c r="AD576" t="s">
        <v>56</v>
      </c>
      <c r="AE576" t="s">
        <v>48</v>
      </c>
      <c r="AF576">
        <v>18</v>
      </c>
      <c r="AG576">
        <v>2017</v>
      </c>
      <c r="AH576" t="s">
        <v>49</v>
      </c>
      <c r="AI576">
        <v>28</v>
      </c>
      <c r="AJ576">
        <v>3.6</v>
      </c>
    </row>
    <row r="577" spans="1:36" x14ac:dyDescent="0.25">
      <c r="A577">
        <v>10576</v>
      </c>
      <c r="B577" t="s">
        <v>64</v>
      </c>
      <c r="C577" t="s">
        <v>51</v>
      </c>
      <c r="D577" t="s">
        <v>44</v>
      </c>
      <c r="E577" t="str">
        <f t="shared" si="104"/>
        <v>Katie Brown is in Sales Department</v>
      </c>
      <c r="F577" s="6" t="str">
        <f t="shared" si="105"/>
        <v>katiebrown@gmail.com</v>
      </c>
      <c r="G577">
        <v>35445</v>
      </c>
      <c r="H577" t="str">
        <f t="shared" si="106"/>
        <v>extremely low</v>
      </c>
      <c r="I577" s="3">
        <v>39640</v>
      </c>
      <c r="J577">
        <f t="shared" si="107"/>
        <v>2008</v>
      </c>
      <c r="K577">
        <f t="shared" si="108"/>
        <v>7</v>
      </c>
      <c r="L577">
        <f t="shared" si="109"/>
        <v>11</v>
      </c>
      <c r="M577" s="3">
        <f t="shared" ca="1" si="110"/>
        <v>46100</v>
      </c>
      <c r="N577">
        <f t="shared" ca="1" si="111"/>
        <v>6460</v>
      </c>
      <c r="O577">
        <f t="shared" ca="1" si="112"/>
        <v>6460</v>
      </c>
      <c r="P577">
        <f t="shared" ca="1" si="113"/>
        <v>4615</v>
      </c>
      <c r="Q577">
        <v>40</v>
      </c>
      <c r="R577" t="str">
        <f t="shared" si="114"/>
        <v>Old</v>
      </c>
      <c r="S577" t="s">
        <v>34</v>
      </c>
      <c r="T577">
        <v>1</v>
      </c>
      <c r="U577" t="s">
        <v>25</v>
      </c>
      <c r="V577">
        <v>3251.56</v>
      </c>
      <c r="W577" t="s">
        <v>46</v>
      </c>
      <c r="X577" t="s">
        <v>55</v>
      </c>
      <c r="Y577">
        <v>7</v>
      </c>
      <c r="Z577" t="str">
        <f t="shared" si="115"/>
        <v>Bad Employee</v>
      </c>
      <c r="AA577" t="b">
        <f t="shared" si="116"/>
        <v>0</v>
      </c>
      <c r="AB577" t="b">
        <f>OR(Y577&gt;20, T577&gt;6)</f>
        <v>0</v>
      </c>
      <c r="AC577" t="str">
        <f>IF(OR(Y577&gt;20,T577&gt;6), "Good employee", "Bad Employee")</f>
        <v>Bad Employee</v>
      </c>
      <c r="AD577" t="s">
        <v>41</v>
      </c>
      <c r="AE577" t="s">
        <v>37</v>
      </c>
      <c r="AF577">
        <v>7</v>
      </c>
      <c r="AG577">
        <v>2011</v>
      </c>
      <c r="AH577" t="s">
        <v>49</v>
      </c>
      <c r="AI577">
        <v>85</v>
      </c>
      <c r="AJ577">
        <v>1.1000000000000001</v>
      </c>
    </row>
    <row r="578" spans="1:36" x14ac:dyDescent="0.25">
      <c r="A578">
        <v>10577</v>
      </c>
      <c r="B578" t="s">
        <v>38</v>
      </c>
      <c r="C578" t="s">
        <v>57</v>
      </c>
      <c r="D578" t="s">
        <v>23</v>
      </c>
      <c r="E578" t="str">
        <f t="shared" si="104"/>
        <v>Chris Davis is in HR Department</v>
      </c>
      <c r="F578" s="6" t="str">
        <f t="shared" si="105"/>
        <v>chrisdavis@gmail.com</v>
      </c>
      <c r="G578">
        <v>48040</v>
      </c>
      <c r="H578" t="str">
        <f t="shared" si="106"/>
        <v>low</v>
      </c>
      <c r="I578" s="3">
        <v>41776</v>
      </c>
      <c r="J578">
        <f t="shared" si="107"/>
        <v>2014</v>
      </c>
      <c r="K578">
        <f t="shared" si="108"/>
        <v>5</v>
      </c>
      <c r="L578">
        <f t="shared" si="109"/>
        <v>17</v>
      </c>
      <c r="M578" s="3">
        <f t="shared" ca="1" si="110"/>
        <v>46100</v>
      </c>
      <c r="N578">
        <f t="shared" ca="1" si="111"/>
        <v>4324</v>
      </c>
      <c r="O578">
        <f t="shared" ca="1" si="112"/>
        <v>4324</v>
      </c>
      <c r="P578">
        <f t="shared" ca="1" si="113"/>
        <v>3089</v>
      </c>
      <c r="Q578">
        <v>43</v>
      </c>
      <c r="R578" t="str">
        <f t="shared" si="114"/>
        <v>Old</v>
      </c>
      <c r="S578" t="s">
        <v>24</v>
      </c>
      <c r="T578">
        <v>4</v>
      </c>
      <c r="U578" t="s">
        <v>25</v>
      </c>
      <c r="V578">
        <v>7240.3</v>
      </c>
      <c r="W578" t="s">
        <v>26</v>
      </c>
      <c r="X578" t="s">
        <v>27</v>
      </c>
      <c r="Y578">
        <v>18</v>
      </c>
      <c r="Z578" t="str">
        <f t="shared" si="115"/>
        <v>Bad Employee</v>
      </c>
      <c r="AA578" t="b">
        <f t="shared" si="116"/>
        <v>0</v>
      </c>
      <c r="AB578" t="b">
        <f>OR(Y578&gt;20, T578&gt;6)</f>
        <v>0</v>
      </c>
      <c r="AC578" t="str">
        <f>IF(OR(Y578&gt;20,T578&gt;6), "Good employee", "Bad Employee")</f>
        <v>Bad Employee</v>
      </c>
      <c r="AD578" t="s">
        <v>56</v>
      </c>
      <c r="AE578" t="s">
        <v>48</v>
      </c>
      <c r="AF578">
        <v>9</v>
      </c>
      <c r="AG578">
        <v>2023</v>
      </c>
      <c r="AH578" t="s">
        <v>43</v>
      </c>
      <c r="AI578">
        <v>129</v>
      </c>
      <c r="AJ578">
        <v>2.6</v>
      </c>
    </row>
    <row r="579" spans="1:36" x14ac:dyDescent="0.25">
      <c r="A579">
        <v>10578</v>
      </c>
      <c r="B579" t="s">
        <v>64</v>
      </c>
      <c r="C579" t="s">
        <v>57</v>
      </c>
      <c r="D579" t="s">
        <v>52</v>
      </c>
      <c r="E579" t="str">
        <f t="shared" ref="E579:E642" si="117">CONCATENATE(B579, " ", C579, " is in ", D579, " Department")</f>
        <v>Katie Davis is in Operations Department</v>
      </c>
      <c r="F579" s="6" t="str">
        <f t="shared" ref="F579:F642" si="118">LOWER(CONCATENATE(B579, C579, "@gmail.com"))</f>
        <v>katiedavis@gmail.com</v>
      </c>
      <c r="G579">
        <v>94315</v>
      </c>
      <c r="H579" t="str">
        <f t="shared" ref="H579:H642" si="119">IF(G579&gt;80000, "High", IF(G579&gt;50000, "Medium", IF(G579&gt;40000, "low", "extremely low")))</f>
        <v>High</v>
      </c>
      <c r="I579" s="3">
        <v>38155</v>
      </c>
      <c r="J579">
        <f t="shared" ref="J579:J642" si="120">YEAR(I579)</f>
        <v>2004</v>
      </c>
      <c r="K579">
        <f t="shared" ref="K579:K642" si="121">MONTH(I579)</f>
        <v>6</v>
      </c>
      <c r="L579">
        <f t="shared" ref="L579:L642" si="122">DAY(I579)</f>
        <v>17</v>
      </c>
      <c r="M579" s="3">
        <f t="shared" ref="M579:M642" ca="1" si="123">TODAY()</f>
        <v>46100</v>
      </c>
      <c r="N579">
        <f t="shared" ref="N579:N642" ca="1" si="124">M579-I579</f>
        <v>7945</v>
      </c>
      <c r="O579">
        <f t="shared" ref="O579:O642" ca="1" si="125">DATEDIF(I579,M579, "d")</f>
        <v>7945</v>
      </c>
      <c r="P579">
        <f t="shared" ref="P579:P642" ca="1" si="126">NETWORKDAYS(I579, M579)</f>
        <v>5676</v>
      </c>
      <c r="Q579">
        <v>27</v>
      </c>
      <c r="R579" t="str">
        <f t="shared" ref="R579:R642" si="127">IF(Q579&gt;30, "Old", "Young")</f>
        <v>Young</v>
      </c>
      <c r="S579" t="s">
        <v>24</v>
      </c>
      <c r="T579">
        <v>4</v>
      </c>
      <c r="U579" t="s">
        <v>45</v>
      </c>
      <c r="V579">
        <v>6088.73</v>
      </c>
      <c r="W579" t="s">
        <v>26</v>
      </c>
      <c r="X579" t="s">
        <v>27</v>
      </c>
      <c r="Y579">
        <v>3</v>
      </c>
      <c r="Z579" t="str">
        <f t="shared" ref="Z579:Z642" si="128" xml:space="preserve"> IF(AND(Y579&gt;20, T579&gt;6), "Good Employee", "Bad Employee")</f>
        <v>Bad Employee</v>
      </c>
      <c r="AA579" t="b">
        <f t="shared" ref="AA579:AA642" si="129">AND(Y579&gt;20, T579&gt;6)</f>
        <v>0</v>
      </c>
      <c r="AB579" t="b">
        <f>OR(Y579&gt;20, T579&gt;6)</f>
        <v>0</v>
      </c>
      <c r="AC579" t="str">
        <f>IF(OR(Y579&gt;20,T579&gt;6), "Good employee", "Bad Employee")</f>
        <v>Bad Employee</v>
      </c>
      <c r="AD579" t="s">
        <v>28</v>
      </c>
      <c r="AE579" t="s">
        <v>29</v>
      </c>
      <c r="AF579">
        <v>11</v>
      </c>
      <c r="AG579">
        <v>2016</v>
      </c>
      <c r="AH579" t="s">
        <v>49</v>
      </c>
      <c r="AI579">
        <v>174</v>
      </c>
      <c r="AJ579">
        <v>2.2000000000000002</v>
      </c>
    </row>
    <row r="580" spans="1:36" x14ac:dyDescent="0.25">
      <c r="A580">
        <v>10579</v>
      </c>
      <c r="B580" t="s">
        <v>60</v>
      </c>
      <c r="C580" t="s">
        <v>65</v>
      </c>
      <c r="D580" t="s">
        <v>54</v>
      </c>
      <c r="E580" t="str">
        <f t="shared" si="117"/>
        <v>Jane Johnson is in Finance Department</v>
      </c>
      <c r="F580" s="6" t="str">
        <f t="shared" si="118"/>
        <v>janejohnson@gmail.com</v>
      </c>
      <c r="G580">
        <v>30246</v>
      </c>
      <c r="H580" t="str">
        <f t="shared" si="119"/>
        <v>extremely low</v>
      </c>
      <c r="I580" s="3">
        <v>38069</v>
      </c>
      <c r="J580">
        <f t="shared" si="120"/>
        <v>2004</v>
      </c>
      <c r="K580">
        <f t="shared" si="121"/>
        <v>3</v>
      </c>
      <c r="L580">
        <f t="shared" si="122"/>
        <v>23</v>
      </c>
      <c r="M580" s="3">
        <f t="shared" ca="1" si="123"/>
        <v>46100</v>
      </c>
      <c r="N580">
        <f t="shared" ca="1" si="124"/>
        <v>8031</v>
      </c>
      <c r="O580">
        <f t="shared" ca="1" si="125"/>
        <v>8031</v>
      </c>
      <c r="P580">
        <f t="shared" ca="1" si="126"/>
        <v>5738</v>
      </c>
      <c r="Q580">
        <v>28</v>
      </c>
      <c r="R580" t="str">
        <f t="shared" si="127"/>
        <v>Young</v>
      </c>
      <c r="S580" t="s">
        <v>34</v>
      </c>
      <c r="T580">
        <v>4</v>
      </c>
      <c r="U580" t="s">
        <v>45</v>
      </c>
      <c r="V580">
        <v>5061.17</v>
      </c>
      <c r="W580" t="s">
        <v>26</v>
      </c>
      <c r="X580" t="s">
        <v>36</v>
      </c>
      <c r="Y580">
        <v>20</v>
      </c>
      <c r="Z580" t="str">
        <f t="shared" si="128"/>
        <v>Bad Employee</v>
      </c>
      <c r="AA580" t="b">
        <f t="shared" si="129"/>
        <v>0</v>
      </c>
      <c r="AB580" t="b">
        <f>OR(Y580&gt;20, T580&gt;6)</f>
        <v>0</v>
      </c>
      <c r="AC580" t="str">
        <f>IF(OR(Y580&gt;20,T580&gt;6), "Good employee", "Bad Employee")</f>
        <v>Bad Employee</v>
      </c>
      <c r="AD580" t="s">
        <v>28</v>
      </c>
      <c r="AE580" t="s">
        <v>48</v>
      </c>
      <c r="AF580">
        <v>19</v>
      </c>
      <c r="AG580">
        <v>2014</v>
      </c>
      <c r="AH580" t="s">
        <v>49</v>
      </c>
      <c r="AI580">
        <v>74</v>
      </c>
      <c r="AJ580">
        <v>2.5</v>
      </c>
    </row>
    <row r="581" spans="1:36" x14ac:dyDescent="0.25">
      <c r="A581">
        <v>10580</v>
      </c>
      <c r="B581" t="s">
        <v>60</v>
      </c>
      <c r="C581" t="s">
        <v>51</v>
      </c>
      <c r="D581" t="s">
        <v>33</v>
      </c>
      <c r="E581" t="str">
        <f t="shared" si="117"/>
        <v>Jane Brown is in Marketing Department</v>
      </c>
      <c r="F581" s="6" t="str">
        <f t="shared" si="118"/>
        <v>janebrown@gmail.com</v>
      </c>
      <c r="G581">
        <v>61153</v>
      </c>
      <c r="H581" t="str">
        <f t="shared" si="119"/>
        <v>Medium</v>
      </c>
      <c r="I581" s="3">
        <v>43267</v>
      </c>
      <c r="J581">
        <f t="shared" si="120"/>
        <v>2018</v>
      </c>
      <c r="K581">
        <f t="shared" si="121"/>
        <v>6</v>
      </c>
      <c r="L581">
        <f t="shared" si="122"/>
        <v>16</v>
      </c>
      <c r="M581" s="3">
        <f t="shared" ca="1" si="123"/>
        <v>46100</v>
      </c>
      <c r="N581">
        <f t="shared" ca="1" si="124"/>
        <v>2833</v>
      </c>
      <c r="O581">
        <f t="shared" ca="1" si="125"/>
        <v>2833</v>
      </c>
      <c r="P581">
        <f t="shared" ca="1" si="126"/>
        <v>2024</v>
      </c>
      <c r="Q581">
        <v>30</v>
      </c>
      <c r="R581" t="str">
        <f t="shared" si="127"/>
        <v>Young</v>
      </c>
      <c r="S581" t="s">
        <v>24</v>
      </c>
      <c r="T581">
        <v>9</v>
      </c>
      <c r="U581" t="s">
        <v>25</v>
      </c>
      <c r="V581">
        <v>5929.45</v>
      </c>
      <c r="W581" t="s">
        <v>35</v>
      </c>
      <c r="X581" t="s">
        <v>55</v>
      </c>
      <c r="Y581">
        <v>34</v>
      </c>
      <c r="Z581" t="str">
        <f t="shared" si="128"/>
        <v>Good Employee</v>
      </c>
      <c r="AA581" t="b">
        <f t="shared" si="129"/>
        <v>1</v>
      </c>
      <c r="AB581" t="b">
        <f>OR(Y581&gt;20, T581&gt;6)</f>
        <v>1</v>
      </c>
      <c r="AC581" t="str">
        <f>IF(OR(Y581&gt;20,T581&gt;6), "Good employee", "Bad Employee")</f>
        <v>Good employee</v>
      </c>
      <c r="AD581" t="s">
        <v>28</v>
      </c>
      <c r="AE581" t="s">
        <v>29</v>
      </c>
      <c r="AF581">
        <v>10</v>
      </c>
      <c r="AG581">
        <v>2022</v>
      </c>
      <c r="AH581" t="s">
        <v>49</v>
      </c>
      <c r="AI581">
        <v>82</v>
      </c>
      <c r="AJ581">
        <v>3</v>
      </c>
    </row>
    <row r="582" spans="1:36" x14ac:dyDescent="0.25">
      <c r="A582">
        <v>10581</v>
      </c>
      <c r="B582" t="s">
        <v>64</v>
      </c>
      <c r="C582" t="s">
        <v>61</v>
      </c>
      <c r="D582" t="s">
        <v>44</v>
      </c>
      <c r="E582" t="str">
        <f t="shared" si="117"/>
        <v>Katie Smith is in Sales Department</v>
      </c>
      <c r="F582" s="6" t="str">
        <f t="shared" si="118"/>
        <v>katiesmith@gmail.com</v>
      </c>
      <c r="G582">
        <v>35212</v>
      </c>
      <c r="H582" t="str">
        <f t="shared" si="119"/>
        <v>extremely low</v>
      </c>
      <c r="I582" s="3">
        <v>40105</v>
      </c>
      <c r="J582">
        <f t="shared" si="120"/>
        <v>2009</v>
      </c>
      <c r="K582">
        <f t="shared" si="121"/>
        <v>10</v>
      </c>
      <c r="L582">
        <f t="shared" si="122"/>
        <v>19</v>
      </c>
      <c r="M582" s="3">
        <f t="shared" ca="1" si="123"/>
        <v>46100</v>
      </c>
      <c r="N582">
        <f t="shared" ca="1" si="124"/>
        <v>5995</v>
      </c>
      <c r="O582">
        <f t="shared" ca="1" si="125"/>
        <v>5995</v>
      </c>
      <c r="P582">
        <f t="shared" ca="1" si="126"/>
        <v>4284</v>
      </c>
      <c r="Q582">
        <v>41</v>
      </c>
      <c r="R582" t="str">
        <f t="shared" si="127"/>
        <v>Old</v>
      </c>
      <c r="S582" t="s">
        <v>34</v>
      </c>
      <c r="T582">
        <v>6</v>
      </c>
      <c r="U582" t="s">
        <v>25</v>
      </c>
      <c r="V582">
        <v>5812.95</v>
      </c>
      <c r="W582" t="s">
        <v>35</v>
      </c>
      <c r="X582" t="s">
        <v>40</v>
      </c>
      <c r="Y582">
        <v>30</v>
      </c>
      <c r="Z582" t="str">
        <f t="shared" si="128"/>
        <v>Bad Employee</v>
      </c>
      <c r="AA582" t="b">
        <f t="shared" si="129"/>
        <v>0</v>
      </c>
      <c r="AB582" t="b">
        <f>OR(Y582&gt;20, T582&gt;6)</f>
        <v>1</v>
      </c>
      <c r="AC582" t="str">
        <f>IF(OR(Y582&gt;20,T582&gt;6), "Good employee", "Bad Employee")</f>
        <v>Good employee</v>
      </c>
      <c r="AD582" t="s">
        <v>56</v>
      </c>
      <c r="AE582" t="s">
        <v>37</v>
      </c>
      <c r="AF582">
        <v>19</v>
      </c>
      <c r="AG582">
        <v>2020</v>
      </c>
      <c r="AH582" t="s">
        <v>30</v>
      </c>
      <c r="AI582">
        <v>94</v>
      </c>
      <c r="AJ582">
        <v>3.4</v>
      </c>
    </row>
    <row r="583" spans="1:36" x14ac:dyDescent="0.25">
      <c r="A583">
        <v>10582</v>
      </c>
      <c r="B583" t="s">
        <v>66</v>
      </c>
      <c r="C583" t="s">
        <v>63</v>
      </c>
      <c r="D583" t="s">
        <v>44</v>
      </c>
      <c r="E583" t="str">
        <f t="shared" si="117"/>
        <v>John Miller is in Sales Department</v>
      </c>
      <c r="F583" s="6" t="str">
        <f t="shared" si="118"/>
        <v>johnmiller@gmail.com</v>
      </c>
      <c r="G583">
        <v>33339</v>
      </c>
      <c r="H583" t="str">
        <f t="shared" si="119"/>
        <v>extremely low</v>
      </c>
      <c r="I583" s="3">
        <v>42295</v>
      </c>
      <c r="J583">
        <f t="shared" si="120"/>
        <v>2015</v>
      </c>
      <c r="K583">
        <f t="shared" si="121"/>
        <v>10</v>
      </c>
      <c r="L583">
        <f t="shared" si="122"/>
        <v>18</v>
      </c>
      <c r="M583" s="3">
        <f t="shared" ca="1" si="123"/>
        <v>46100</v>
      </c>
      <c r="N583">
        <f t="shared" ca="1" si="124"/>
        <v>3805</v>
      </c>
      <c r="O583">
        <f t="shared" ca="1" si="125"/>
        <v>3805</v>
      </c>
      <c r="P583">
        <f t="shared" ca="1" si="126"/>
        <v>2719</v>
      </c>
      <c r="Q583">
        <v>58</v>
      </c>
      <c r="R583" t="str">
        <f t="shared" si="127"/>
        <v>Old</v>
      </c>
      <c r="S583" t="s">
        <v>34</v>
      </c>
      <c r="T583">
        <v>3</v>
      </c>
      <c r="U583" t="s">
        <v>45</v>
      </c>
      <c r="V583">
        <v>3416.9</v>
      </c>
      <c r="W583" t="s">
        <v>35</v>
      </c>
      <c r="X583" t="s">
        <v>27</v>
      </c>
      <c r="Y583">
        <v>9</v>
      </c>
      <c r="Z583" t="str">
        <f t="shared" si="128"/>
        <v>Bad Employee</v>
      </c>
      <c r="AA583" t="b">
        <f t="shared" si="129"/>
        <v>0</v>
      </c>
      <c r="AB583" t="b">
        <f>OR(Y583&gt;20, T583&gt;6)</f>
        <v>0</v>
      </c>
      <c r="AC583" t="str">
        <f>IF(OR(Y583&gt;20,T583&gt;6), "Good employee", "Bad Employee")</f>
        <v>Bad Employee</v>
      </c>
      <c r="AD583" t="s">
        <v>56</v>
      </c>
      <c r="AE583" t="s">
        <v>37</v>
      </c>
      <c r="AF583">
        <v>3</v>
      </c>
      <c r="AG583">
        <v>2019</v>
      </c>
      <c r="AH583" t="s">
        <v>49</v>
      </c>
      <c r="AI583">
        <v>128</v>
      </c>
      <c r="AJ583">
        <v>3.3</v>
      </c>
    </row>
    <row r="584" spans="1:36" x14ac:dyDescent="0.25">
      <c r="A584">
        <v>10583</v>
      </c>
      <c r="B584" t="s">
        <v>31</v>
      </c>
      <c r="C584" t="s">
        <v>32</v>
      </c>
      <c r="D584" t="s">
        <v>39</v>
      </c>
      <c r="E584" t="str">
        <f t="shared" si="117"/>
        <v>Emily Wilson is in IT Department</v>
      </c>
      <c r="F584" s="6" t="str">
        <f t="shared" si="118"/>
        <v>emilywilson@gmail.com</v>
      </c>
      <c r="G584">
        <v>118678</v>
      </c>
      <c r="H584" t="str">
        <f t="shared" si="119"/>
        <v>High</v>
      </c>
      <c r="I584" s="3">
        <v>38430</v>
      </c>
      <c r="J584">
        <f t="shared" si="120"/>
        <v>2005</v>
      </c>
      <c r="K584">
        <f t="shared" si="121"/>
        <v>3</v>
      </c>
      <c r="L584">
        <f t="shared" si="122"/>
        <v>19</v>
      </c>
      <c r="M584" s="3">
        <f t="shared" ca="1" si="123"/>
        <v>46100</v>
      </c>
      <c r="N584">
        <f t="shared" ca="1" si="124"/>
        <v>7670</v>
      </c>
      <c r="O584">
        <f t="shared" ca="1" si="125"/>
        <v>7670</v>
      </c>
      <c r="P584">
        <f t="shared" ca="1" si="126"/>
        <v>5479</v>
      </c>
      <c r="Q584">
        <v>32</v>
      </c>
      <c r="R584" t="str">
        <f t="shared" si="127"/>
        <v>Old</v>
      </c>
      <c r="S584" t="s">
        <v>24</v>
      </c>
      <c r="T584">
        <v>6</v>
      </c>
      <c r="U584" t="s">
        <v>45</v>
      </c>
      <c r="V584">
        <v>1425.83</v>
      </c>
      <c r="W584" t="s">
        <v>35</v>
      </c>
      <c r="X584" t="s">
        <v>36</v>
      </c>
      <c r="Y584">
        <v>10</v>
      </c>
      <c r="Z584" t="str">
        <f t="shared" si="128"/>
        <v>Bad Employee</v>
      </c>
      <c r="AA584" t="b">
        <f t="shared" si="129"/>
        <v>0</v>
      </c>
      <c r="AB584" t="b">
        <f>OR(Y584&gt;20, T584&gt;6)</f>
        <v>0</v>
      </c>
      <c r="AC584" t="str">
        <f>IF(OR(Y584&gt;20,T584&gt;6), "Good employee", "Bad Employee")</f>
        <v>Bad Employee</v>
      </c>
      <c r="AD584" t="s">
        <v>28</v>
      </c>
      <c r="AE584" t="s">
        <v>42</v>
      </c>
      <c r="AF584">
        <v>18</v>
      </c>
      <c r="AG584">
        <v>2021</v>
      </c>
      <c r="AH584" t="s">
        <v>49</v>
      </c>
      <c r="AI584">
        <v>96</v>
      </c>
      <c r="AJ584">
        <v>3.5</v>
      </c>
    </row>
    <row r="585" spans="1:36" x14ac:dyDescent="0.25">
      <c r="A585">
        <v>10584</v>
      </c>
      <c r="B585" t="s">
        <v>60</v>
      </c>
      <c r="C585" t="s">
        <v>22</v>
      </c>
      <c r="D585" t="s">
        <v>23</v>
      </c>
      <c r="E585" t="str">
        <f t="shared" si="117"/>
        <v>Jane Williams is in HR Department</v>
      </c>
      <c r="F585" s="6" t="str">
        <f t="shared" si="118"/>
        <v>janewilliams@gmail.com</v>
      </c>
      <c r="G585">
        <v>86238</v>
      </c>
      <c r="H585" t="str">
        <f t="shared" si="119"/>
        <v>High</v>
      </c>
      <c r="I585" s="3">
        <v>37962</v>
      </c>
      <c r="J585">
        <f t="shared" si="120"/>
        <v>2003</v>
      </c>
      <c r="K585">
        <f t="shared" si="121"/>
        <v>12</v>
      </c>
      <c r="L585">
        <f t="shared" si="122"/>
        <v>7</v>
      </c>
      <c r="M585" s="3">
        <f t="shared" ca="1" si="123"/>
        <v>46100</v>
      </c>
      <c r="N585">
        <f t="shared" ca="1" si="124"/>
        <v>8138</v>
      </c>
      <c r="O585">
        <f t="shared" ca="1" si="125"/>
        <v>8138</v>
      </c>
      <c r="P585">
        <f t="shared" ca="1" si="126"/>
        <v>5814</v>
      </c>
      <c r="Q585">
        <v>23</v>
      </c>
      <c r="R585" t="str">
        <f t="shared" si="127"/>
        <v>Young</v>
      </c>
      <c r="S585" t="s">
        <v>24</v>
      </c>
      <c r="T585">
        <v>2</v>
      </c>
      <c r="U585" t="s">
        <v>25</v>
      </c>
      <c r="V585">
        <v>9019.43</v>
      </c>
      <c r="W585" t="s">
        <v>26</v>
      </c>
      <c r="X585" t="s">
        <v>47</v>
      </c>
      <c r="Y585">
        <v>6</v>
      </c>
      <c r="Z585" t="str">
        <f t="shared" si="128"/>
        <v>Bad Employee</v>
      </c>
      <c r="AA585" t="b">
        <f t="shared" si="129"/>
        <v>0</v>
      </c>
      <c r="AB585" t="b">
        <f>OR(Y585&gt;20, T585&gt;6)</f>
        <v>0</v>
      </c>
      <c r="AC585" t="str">
        <f>IF(OR(Y585&gt;20,T585&gt;6), "Good employee", "Bad Employee")</f>
        <v>Bad Employee</v>
      </c>
      <c r="AD585" t="s">
        <v>41</v>
      </c>
      <c r="AE585" t="s">
        <v>59</v>
      </c>
      <c r="AF585">
        <v>19</v>
      </c>
      <c r="AG585">
        <v>2023</v>
      </c>
      <c r="AH585" t="s">
        <v>43</v>
      </c>
      <c r="AI585">
        <v>115</v>
      </c>
      <c r="AJ585">
        <v>4.4000000000000004</v>
      </c>
    </row>
    <row r="586" spans="1:36" x14ac:dyDescent="0.25">
      <c r="A586">
        <v>10585</v>
      </c>
      <c r="B586" t="s">
        <v>64</v>
      </c>
      <c r="C586" t="s">
        <v>65</v>
      </c>
      <c r="D586" t="s">
        <v>39</v>
      </c>
      <c r="E586" t="str">
        <f t="shared" si="117"/>
        <v>Katie Johnson is in IT Department</v>
      </c>
      <c r="F586" s="6" t="str">
        <f t="shared" si="118"/>
        <v>katiejohnson@gmail.com</v>
      </c>
      <c r="G586">
        <v>49394</v>
      </c>
      <c r="H586" t="str">
        <f t="shared" si="119"/>
        <v>low</v>
      </c>
      <c r="I586" s="3">
        <v>41557</v>
      </c>
      <c r="J586">
        <f t="shared" si="120"/>
        <v>2013</v>
      </c>
      <c r="K586">
        <f t="shared" si="121"/>
        <v>10</v>
      </c>
      <c r="L586">
        <f t="shared" si="122"/>
        <v>10</v>
      </c>
      <c r="M586" s="3">
        <f t="shared" ca="1" si="123"/>
        <v>46100</v>
      </c>
      <c r="N586">
        <f t="shared" ca="1" si="124"/>
        <v>4543</v>
      </c>
      <c r="O586">
        <f t="shared" ca="1" si="125"/>
        <v>4543</v>
      </c>
      <c r="P586">
        <f t="shared" ca="1" si="126"/>
        <v>3246</v>
      </c>
      <c r="Q586">
        <v>43</v>
      </c>
      <c r="R586" t="str">
        <f t="shared" si="127"/>
        <v>Old</v>
      </c>
      <c r="S586" t="s">
        <v>24</v>
      </c>
      <c r="T586">
        <v>2</v>
      </c>
      <c r="U586" t="s">
        <v>25</v>
      </c>
      <c r="V586">
        <v>6199.16</v>
      </c>
      <c r="W586" t="s">
        <v>26</v>
      </c>
      <c r="X586" t="s">
        <v>55</v>
      </c>
      <c r="Y586">
        <v>17</v>
      </c>
      <c r="Z586" t="str">
        <f t="shared" si="128"/>
        <v>Bad Employee</v>
      </c>
      <c r="AA586" t="b">
        <f t="shared" si="129"/>
        <v>0</v>
      </c>
      <c r="AB586" t="b">
        <f>OR(Y586&gt;20, T586&gt;6)</f>
        <v>0</v>
      </c>
      <c r="AC586" t="str">
        <f>IF(OR(Y586&gt;20,T586&gt;6), "Good employee", "Bad Employee")</f>
        <v>Bad Employee</v>
      </c>
      <c r="AD586" t="s">
        <v>28</v>
      </c>
      <c r="AE586" t="s">
        <v>29</v>
      </c>
      <c r="AF586">
        <v>9</v>
      </c>
      <c r="AG586">
        <v>2022</v>
      </c>
      <c r="AH586" t="s">
        <v>43</v>
      </c>
      <c r="AI586">
        <v>168</v>
      </c>
      <c r="AJ586">
        <v>4.5</v>
      </c>
    </row>
    <row r="587" spans="1:36" x14ac:dyDescent="0.25">
      <c r="A587">
        <v>10586</v>
      </c>
      <c r="B587" t="s">
        <v>21</v>
      </c>
      <c r="C587" t="s">
        <v>22</v>
      </c>
      <c r="D587" t="s">
        <v>54</v>
      </c>
      <c r="E587" t="str">
        <f t="shared" si="117"/>
        <v>Michael Williams is in Finance Department</v>
      </c>
      <c r="F587" s="6" t="str">
        <f t="shared" si="118"/>
        <v>michaelwilliams@gmail.com</v>
      </c>
      <c r="G587">
        <v>83871</v>
      </c>
      <c r="H587" t="str">
        <f t="shared" si="119"/>
        <v>High</v>
      </c>
      <c r="I587" s="3">
        <v>39843</v>
      </c>
      <c r="J587">
        <f t="shared" si="120"/>
        <v>2009</v>
      </c>
      <c r="K587">
        <f t="shared" si="121"/>
        <v>1</v>
      </c>
      <c r="L587">
        <f t="shared" si="122"/>
        <v>30</v>
      </c>
      <c r="M587" s="3">
        <f t="shared" ca="1" si="123"/>
        <v>46100</v>
      </c>
      <c r="N587">
        <f t="shared" ca="1" si="124"/>
        <v>6257</v>
      </c>
      <c r="O587">
        <f t="shared" ca="1" si="125"/>
        <v>6257</v>
      </c>
      <c r="P587">
        <f t="shared" ca="1" si="126"/>
        <v>4470</v>
      </c>
      <c r="Q587">
        <v>57</v>
      </c>
      <c r="R587" t="str">
        <f t="shared" si="127"/>
        <v>Old</v>
      </c>
      <c r="S587" t="s">
        <v>24</v>
      </c>
      <c r="T587">
        <v>7</v>
      </c>
      <c r="U587" t="s">
        <v>25</v>
      </c>
      <c r="V587">
        <v>7128.61</v>
      </c>
      <c r="W587" t="s">
        <v>26</v>
      </c>
      <c r="X587" t="s">
        <v>27</v>
      </c>
      <c r="Y587">
        <v>15</v>
      </c>
      <c r="Z587" t="str">
        <f t="shared" si="128"/>
        <v>Bad Employee</v>
      </c>
      <c r="AA587" t="b">
        <f t="shared" si="129"/>
        <v>0</v>
      </c>
      <c r="AB587" t="b">
        <f>OR(Y587&gt;20, T587&gt;6)</f>
        <v>1</v>
      </c>
      <c r="AC587" t="str">
        <f>IF(OR(Y587&gt;20,T587&gt;6), "Good employee", "Bad Employee")</f>
        <v>Good employee</v>
      </c>
      <c r="AD587" t="s">
        <v>56</v>
      </c>
      <c r="AE587" t="s">
        <v>62</v>
      </c>
      <c r="AF587">
        <v>14</v>
      </c>
      <c r="AG587">
        <v>2013</v>
      </c>
      <c r="AH587" t="s">
        <v>43</v>
      </c>
      <c r="AI587">
        <v>163</v>
      </c>
      <c r="AJ587">
        <v>3.9</v>
      </c>
    </row>
    <row r="588" spans="1:36" x14ac:dyDescent="0.25">
      <c r="A588">
        <v>10587</v>
      </c>
      <c r="B588" t="s">
        <v>64</v>
      </c>
      <c r="C588" t="s">
        <v>61</v>
      </c>
      <c r="D588" t="s">
        <v>54</v>
      </c>
      <c r="E588" t="str">
        <f t="shared" si="117"/>
        <v>Katie Smith is in Finance Department</v>
      </c>
      <c r="F588" s="6" t="str">
        <f t="shared" si="118"/>
        <v>katiesmith@gmail.com</v>
      </c>
      <c r="G588">
        <v>107722</v>
      </c>
      <c r="H588" t="str">
        <f t="shared" si="119"/>
        <v>High</v>
      </c>
      <c r="I588" s="3">
        <v>40046</v>
      </c>
      <c r="J588">
        <f t="shared" si="120"/>
        <v>2009</v>
      </c>
      <c r="K588">
        <f t="shared" si="121"/>
        <v>8</v>
      </c>
      <c r="L588">
        <f t="shared" si="122"/>
        <v>21</v>
      </c>
      <c r="M588" s="3">
        <f t="shared" ca="1" si="123"/>
        <v>46100</v>
      </c>
      <c r="N588">
        <f t="shared" ca="1" si="124"/>
        <v>6054</v>
      </c>
      <c r="O588">
        <f t="shared" ca="1" si="125"/>
        <v>6054</v>
      </c>
      <c r="P588">
        <f t="shared" ca="1" si="126"/>
        <v>4325</v>
      </c>
      <c r="Q588">
        <v>26</v>
      </c>
      <c r="R588" t="str">
        <f t="shared" si="127"/>
        <v>Young</v>
      </c>
      <c r="S588" t="s">
        <v>34</v>
      </c>
      <c r="T588">
        <v>3</v>
      </c>
      <c r="U588" t="s">
        <v>45</v>
      </c>
      <c r="V588">
        <v>4907.97</v>
      </c>
      <c r="W588" t="s">
        <v>35</v>
      </c>
      <c r="X588" t="s">
        <v>40</v>
      </c>
      <c r="Y588">
        <v>33</v>
      </c>
      <c r="Z588" t="str">
        <f t="shared" si="128"/>
        <v>Bad Employee</v>
      </c>
      <c r="AA588" t="b">
        <f t="shared" si="129"/>
        <v>0</v>
      </c>
      <c r="AB588" t="b">
        <f>OR(Y588&gt;20, T588&gt;6)</f>
        <v>1</v>
      </c>
      <c r="AC588" t="str">
        <f>IF(OR(Y588&gt;20,T588&gt;6), "Good employee", "Bad Employee")</f>
        <v>Good employee</v>
      </c>
      <c r="AD588" t="s">
        <v>28</v>
      </c>
      <c r="AE588" t="s">
        <v>62</v>
      </c>
      <c r="AF588">
        <v>12</v>
      </c>
      <c r="AG588">
        <v>2021</v>
      </c>
      <c r="AH588" t="s">
        <v>49</v>
      </c>
      <c r="AI588">
        <v>132</v>
      </c>
      <c r="AJ588">
        <v>1.3</v>
      </c>
    </row>
    <row r="589" spans="1:36" x14ac:dyDescent="0.25">
      <c r="A589">
        <v>10588</v>
      </c>
      <c r="B589" t="s">
        <v>50</v>
      </c>
      <c r="C589" t="s">
        <v>61</v>
      </c>
      <c r="D589" t="s">
        <v>39</v>
      </c>
      <c r="E589" t="str">
        <f t="shared" si="117"/>
        <v>Alex Smith is in IT Department</v>
      </c>
      <c r="F589" s="6" t="str">
        <f t="shared" si="118"/>
        <v>alexsmith@gmail.com</v>
      </c>
      <c r="G589">
        <v>64607</v>
      </c>
      <c r="H589" t="str">
        <f t="shared" si="119"/>
        <v>Medium</v>
      </c>
      <c r="I589" s="3">
        <v>39585</v>
      </c>
      <c r="J589">
        <f t="shared" si="120"/>
        <v>2008</v>
      </c>
      <c r="K589">
        <f t="shared" si="121"/>
        <v>5</v>
      </c>
      <c r="L589">
        <f t="shared" si="122"/>
        <v>17</v>
      </c>
      <c r="M589" s="3">
        <f t="shared" ca="1" si="123"/>
        <v>46100</v>
      </c>
      <c r="N589">
        <f t="shared" ca="1" si="124"/>
        <v>6515</v>
      </c>
      <c r="O589">
        <f t="shared" ca="1" si="125"/>
        <v>6515</v>
      </c>
      <c r="P589">
        <f t="shared" ca="1" si="126"/>
        <v>4654</v>
      </c>
      <c r="Q589">
        <v>28</v>
      </c>
      <c r="R589" t="str">
        <f t="shared" si="127"/>
        <v>Young</v>
      </c>
      <c r="S589" t="s">
        <v>24</v>
      </c>
      <c r="T589">
        <v>7</v>
      </c>
      <c r="U589" t="s">
        <v>45</v>
      </c>
      <c r="V589">
        <v>7686.57</v>
      </c>
      <c r="W589" t="s">
        <v>35</v>
      </c>
      <c r="X589" t="s">
        <v>27</v>
      </c>
      <c r="Y589">
        <v>13</v>
      </c>
      <c r="Z589" t="str">
        <f t="shared" si="128"/>
        <v>Bad Employee</v>
      </c>
      <c r="AA589" t="b">
        <f t="shared" si="129"/>
        <v>0</v>
      </c>
      <c r="AB589" t="b">
        <f>OR(Y589&gt;20, T589&gt;6)</f>
        <v>1</v>
      </c>
      <c r="AC589" t="str">
        <f>IF(OR(Y589&gt;20,T589&gt;6), "Good employee", "Bad Employee")</f>
        <v>Good employee</v>
      </c>
      <c r="AD589" t="s">
        <v>28</v>
      </c>
      <c r="AE589" t="s">
        <v>42</v>
      </c>
      <c r="AF589">
        <v>12</v>
      </c>
      <c r="AG589">
        <v>2023</v>
      </c>
      <c r="AH589" t="s">
        <v>49</v>
      </c>
      <c r="AI589">
        <v>159</v>
      </c>
      <c r="AJ589">
        <v>4.8</v>
      </c>
    </row>
    <row r="590" spans="1:36" x14ac:dyDescent="0.25">
      <c r="A590">
        <v>10589</v>
      </c>
      <c r="B590" t="s">
        <v>31</v>
      </c>
      <c r="C590" t="s">
        <v>57</v>
      </c>
      <c r="D590" t="s">
        <v>33</v>
      </c>
      <c r="E590" t="str">
        <f t="shared" si="117"/>
        <v>Emily Davis is in Marketing Department</v>
      </c>
      <c r="F590" s="6" t="str">
        <f t="shared" si="118"/>
        <v>emilydavis@gmail.com</v>
      </c>
      <c r="G590">
        <v>82055</v>
      </c>
      <c r="H590" t="str">
        <f t="shared" si="119"/>
        <v>High</v>
      </c>
      <c r="I590" s="3">
        <v>40642</v>
      </c>
      <c r="J590">
        <f t="shared" si="120"/>
        <v>2011</v>
      </c>
      <c r="K590">
        <f t="shared" si="121"/>
        <v>4</v>
      </c>
      <c r="L590">
        <f t="shared" si="122"/>
        <v>9</v>
      </c>
      <c r="M590" s="3">
        <f t="shared" ca="1" si="123"/>
        <v>46100</v>
      </c>
      <c r="N590">
        <f t="shared" ca="1" si="124"/>
        <v>5458</v>
      </c>
      <c r="O590">
        <f t="shared" ca="1" si="125"/>
        <v>5458</v>
      </c>
      <c r="P590">
        <f t="shared" ca="1" si="126"/>
        <v>3899</v>
      </c>
      <c r="Q590">
        <v>27</v>
      </c>
      <c r="R590" t="str">
        <f t="shared" si="127"/>
        <v>Young</v>
      </c>
      <c r="S590" t="s">
        <v>24</v>
      </c>
      <c r="T590">
        <v>3</v>
      </c>
      <c r="U590" t="s">
        <v>25</v>
      </c>
      <c r="V590">
        <v>6052.72</v>
      </c>
      <c r="W590" t="s">
        <v>58</v>
      </c>
      <c r="X590" t="s">
        <v>40</v>
      </c>
      <c r="Y590">
        <v>22</v>
      </c>
      <c r="Z590" t="str">
        <f t="shared" si="128"/>
        <v>Bad Employee</v>
      </c>
      <c r="AA590" t="b">
        <f t="shared" si="129"/>
        <v>0</v>
      </c>
      <c r="AB590" t="b">
        <f>OR(Y590&gt;20, T590&gt;6)</f>
        <v>1</v>
      </c>
      <c r="AC590" t="str">
        <f>IF(OR(Y590&gt;20,T590&gt;6), "Good employee", "Bad Employee")</f>
        <v>Good employee</v>
      </c>
      <c r="AD590" t="s">
        <v>56</v>
      </c>
      <c r="AE590" t="s">
        <v>59</v>
      </c>
      <c r="AF590">
        <v>17</v>
      </c>
      <c r="AG590">
        <v>2019</v>
      </c>
      <c r="AH590" t="s">
        <v>43</v>
      </c>
      <c r="AI590">
        <v>198</v>
      </c>
      <c r="AJ590">
        <v>4.8</v>
      </c>
    </row>
    <row r="591" spans="1:36" x14ac:dyDescent="0.25">
      <c r="A591">
        <v>10590</v>
      </c>
      <c r="B591" t="s">
        <v>38</v>
      </c>
      <c r="C591" t="s">
        <v>32</v>
      </c>
      <c r="D591" t="s">
        <v>54</v>
      </c>
      <c r="E591" t="str">
        <f t="shared" si="117"/>
        <v>Chris Wilson is in Finance Department</v>
      </c>
      <c r="F591" s="6" t="str">
        <f t="shared" si="118"/>
        <v>chriswilson@gmail.com</v>
      </c>
      <c r="G591">
        <v>34395</v>
      </c>
      <c r="H591" t="str">
        <f t="shared" si="119"/>
        <v>extremely low</v>
      </c>
      <c r="I591" s="3">
        <v>37524</v>
      </c>
      <c r="J591">
        <f t="shared" si="120"/>
        <v>2002</v>
      </c>
      <c r="K591">
        <f t="shared" si="121"/>
        <v>9</v>
      </c>
      <c r="L591">
        <f t="shared" si="122"/>
        <v>25</v>
      </c>
      <c r="M591" s="3">
        <f t="shared" ca="1" si="123"/>
        <v>46100</v>
      </c>
      <c r="N591">
        <f t="shared" ca="1" si="124"/>
        <v>8576</v>
      </c>
      <c r="O591">
        <f t="shared" ca="1" si="125"/>
        <v>8576</v>
      </c>
      <c r="P591">
        <f t="shared" ca="1" si="126"/>
        <v>6127</v>
      </c>
      <c r="Q591">
        <v>43</v>
      </c>
      <c r="R591" t="str">
        <f t="shared" si="127"/>
        <v>Old</v>
      </c>
      <c r="S591" t="s">
        <v>24</v>
      </c>
      <c r="T591">
        <v>2</v>
      </c>
      <c r="U591" t="s">
        <v>25</v>
      </c>
      <c r="V591">
        <v>1011.11</v>
      </c>
      <c r="W591" t="s">
        <v>26</v>
      </c>
      <c r="X591" t="s">
        <v>55</v>
      </c>
      <c r="Y591">
        <v>16</v>
      </c>
      <c r="Z591" t="str">
        <f t="shared" si="128"/>
        <v>Bad Employee</v>
      </c>
      <c r="AA591" t="b">
        <f t="shared" si="129"/>
        <v>0</v>
      </c>
      <c r="AB591" t="b">
        <f>OR(Y591&gt;20, T591&gt;6)</f>
        <v>0</v>
      </c>
      <c r="AC591" t="str">
        <f>IF(OR(Y591&gt;20,T591&gt;6), "Good employee", "Bad Employee")</f>
        <v>Bad Employee</v>
      </c>
      <c r="AD591" t="s">
        <v>56</v>
      </c>
      <c r="AE591" t="s">
        <v>29</v>
      </c>
      <c r="AF591">
        <v>6</v>
      </c>
      <c r="AG591">
        <v>2023</v>
      </c>
      <c r="AH591" t="s">
        <v>43</v>
      </c>
      <c r="AI591">
        <v>177</v>
      </c>
      <c r="AJ591">
        <v>3.8</v>
      </c>
    </row>
    <row r="592" spans="1:36" x14ac:dyDescent="0.25">
      <c r="A592">
        <v>10591</v>
      </c>
      <c r="B592" t="s">
        <v>66</v>
      </c>
      <c r="C592" t="s">
        <v>61</v>
      </c>
      <c r="D592" t="s">
        <v>39</v>
      </c>
      <c r="E592" t="str">
        <f t="shared" si="117"/>
        <v>John Smith is in IT Department</v>
      </c>
      <c r="F592" s="6" t="str">
        <f t="shared" si="118"/>
        <v>johnsmith@gmail.com</v>
      </c>
      <c r="G592">
        <v>45290</v>
      </c>
      <c r="H592" t="str">
        <f t="shared" si="119"/>
        <v>low</v>
      </c>
      <c r="I592" s="3">
        <v>37957</v>
      </c>
      <c r="J592">
        <f t="shared" si="120"/>
        <v>2003</v>
      </c>
      <c r="K592">
        <f t="shared" si="121"/>
        <v>12</v>
      </c>
      <c r="L592">
        <f t="shared" si="122"/>
        <v>2</v>
      </c>
      <c r="M592" s="3">
        <f t="shared" ca="1" si="123"/>
        <v>46100</v>
      </c>
      <c r="N592">
        <f t="shared" ca="1" si="124"/>
        <v>8143</v>
      </c>
      <c r="O592">
        <f t="shared" ca="1" si="125"/>
        <v>8143</v>
      </c>
      <c r="P592">
        <f t="shared" ca="1" si="126"/>
        <v>5818</v>
      </c>
      <c r="Q592">
        <v>31</v>
      </c>
      <c r="R592" t="str">
        <f t="shared" si="127"/>
        <v>Old</v>
      </c>
      <c r="S592" t="s">
        <v>24</v>
      </c>
      <c r="T592">
        <v>4</v>
      </c>
      <c r="U592" t="s">
        <v>45</v>
      </c>
      <c r="V592">
        <v>8955.92</v>
      </c>
      <c r="W592" t="s">
        <v>46</v>
      </c>
      <c r="X592" t="s">
        <v>40</v>
      </c>
      <c r="Y592">
        <v>34</v>
      </c>
      <c r="Z592" t="str">
        <f t="shared" si="128"/>
        <v>Bad Employee</v>
      </c>
      <c r="AA592" t="b">
        <f t="shared" si="129"/>
        <v>0</v>
      </c>
      <c r="AB592" t="b">
        <f>OR(Y592&gt;20, T592&gt;6)</f>
        <v>1</v>
      </c>
      <c r="AC592" t="str">
        <f>IF(OR(Y592&gt;20,T592&gt;6), "Good employee", "Bad Employee")</f>
        <v>Good employee</v>
      </c>
      <c r="AD592" t="s">
        <v>56</v>
      </c>
      <c r="AE592" t="s">
        <v>42</v>
      </c>
      <c r="AF592">
        <v>13</v>
      </c>
      <c r="AG592">
        <v>2013</v>
      </c>
      <c r="AH592" t="s">
        <v>30</v>
      </c>
      <c r="AI592">
        <v>48</v>
      </c>
      <c r="AJ592">
        <v>3.1</v>
      </c>
    </row>
    <row r="593" spans="1:36" x14ac:dyDescent="0.25">
      <c r="A593">
        <v>10592</v>
      </c>
      <c r="B593" t="s">
        <v>53</v>
      </c>
      <c r="C593" t="s">
        <v>22</v>
      </c>
      <c r="D593" t="s">
        <v>23</v>
      </c>
      <c r="E593" t="str">
        <f t="shared" si="117"/>
        <v>Sarah Williams is in HR Department</v>
      </c>
      <c r="F593" s="6" t="str">
        <f t="shared" si="118"/>
        <v>sarahwilliams@gmail.com</v>
      </c>
      <c r="G593">
        <v>117687</v>
      </c>
      <c r="H593" t="str">
        <f t="shared" si="119"/>
        <v>High</v>
      </c>
      <c r="I593" s="3">
        <v>41078</v>
      </c>
      <c r="J593">
        <f t="shared" si="120"/>
        <v>2012</v>
      </c>
      <c r="K593">
        <f t="shared" si="121"/>
        <v>6</v>
      </c>
      <c r="L593">
        <f t="shared" si="122"/>
        <v>18</v>
      </c>
      <c r="M593" s="3">
        <f t="shared" ca="1" si="123"/>
        <v>46100</v>
      </c>
      <c r="N593">
        <f t="shared" ca="1" si="124"/>
        <v>5022</v>
      </c>
      <c r="O593">
        <f t="shared" ca="1" si="125"/>
        <v>5022</v>
      </c>
      <c r="P593">
        <f t="shared" ca="1" si="126"/>
        <v>3589</v>
      </c>
      <c r="Q593">
        <v>61</v>
      </c>
      <c r="R593" t="str">
        <f t="shared" si="127"/>
        <v>Old</v>
      </c>
      <c r="S593" t="s">
        <v>34</v>
      </c>
      <c r="T593">
        <v>4</v>
      </c>
      <c r="U593" t="s">
        <v>45</v>
      </c>
      <c r="V593">
        <v>3402.59</v>
      </c>
      <c r="W593" t="s">
        <v>46</v>
      </c>
      <c r="X593" t="s">
        <v>40</v>
      </c>
      <c r="Y593">
        <v>3</v>
      </c>
      <c r="Z593" t="str">
        <f t="shared" si="128"/>
        <v>Bad Employee</v>
      </c>
      <c r="AA593" t="b">
        <f t="shared" si="129"/>
        <v>0</v>
      </c>
      <c r="AB593" t="b">
        <f>OR(Y593&gt;20, T593&gt;6)</f>
        <v>0</v>
      </c>
      <c r="AC593" t="str">
        <f>IF(OR(Y593&gt;20,T593&gt;6), "Good employee", "Bad Employee")</f>
        <v>Bad Employee</v>
      </c>
      <c r="AD593" t="s">
        <v>56</v>
      </c>
      <c r="AE593" t="s">
        <v>59</v>
      </c>
      <c r="AF593">
        <v>4</v>
      </c>
      <c r="AG593">
        <v>2013</v>
      </c>
      <c r="AH593" t="s">
        <v>30</v>
      </c>
      <c r="AI593">
        <v>61</v>
      </c>
      <c r="AJ593">
        <v>2</v>
      </c>
    </row>
    <row r="594" spans="1:36" x14ac:dyDescent="0.25">
      <c r="A594">
        <v>10593</v>
      </c>
      <c r="B594" t="s">
        <v>38</v>
      </c>
      <c r="C594" t="s">
        <v>51</v>
      </c>
      <c r="D594" t="s">
        <v>39</v>
      </c>
      <c r="E594" t="str">
        <f t="shared" si="117"/>
        <v>Chris Brown is in IT Department</v>
      </c>
      <c r="F594" s="6" t="str">
        <f t="shared" si="118"/>
        <v>chrisbrown@gmail.com</v>
      </c>
      <c r="G594">
        <v>95078</v>
      </c>
      <c r="H594" t="str">
        <f t="shared" si="119"/>
        <v>High</v>
      </c>
      <c r="I594" s="3">
        <v>42089</v>
      </c>
      <c r="J594">
        <f t="shared" si="120"/>
        <v>2015</v>
      </c>
      <c r="K594">
        <f t="shared" si="121"/>
        <v>3</v>
      </c>
      <c r="L594">
        <f t="shared" si="122"/>
        <v>26</v>
      </c>
      <c r="M594" s="3">
        <f t="shared" ca="1" si="123"/>
        <v>46100</v>
      </c>
      <c r="N594">
        <f t="shared" ca="1" si="124"/>
        <v>4011</v>
      </c>
      <c r="O594">
        <f t="shared" ca="1" si="125"/>
        <v>4011</v>
      </c>
      <c r="P594">
        <f t="shared" ca="1" si="126"/>
        <v>2866</v>
      </c>
      <c r="Q594">
        <v>41</v>
      </c>
      <c r="R594" t="str">
        <f t="shared" si="127"/>
        <v>Old</v>
      </c>
      <c r="S594" t="s">
        <v>34</v>
      </c>
      <c r="T594">
        <v>3</v>
      </c>
      <c r="U594" t="s">
        <v>45</v>
      </c>
      <c r="V594">
        <v>1809.96</v>
      </c>
      <c r="W594" t="s">
        <v>58</v>
      </c>
      <c r="X594" t="s">
        <v>36</v>
      </c>
      <c r="Y594">
        <v>8</v>
      </c>
      <c r="Z594" t="str">
        <f t="shared" si="128"/>
        <v>Bad Employee</v>
      </c>
      <c r="AA594" t="b">
        <f t="shared" si="129"/>
        <v>0</v>
      </c>
      <c r="AB594" t="b">
        <f>OR(Y594&gt;20, T594&gt;6)</f>
        <v>0</v>
      </c>
      <c r="AC594" t="str">
        <f>IF(OR(Y594&gt;20,T594&gt;6), "Good employee", "Bad Employee")</f>
        <v>Bad Employee</v>
      </c>
      <c r="AD594" t="s">
        <v>28</v>
      </c>
      <c r="AE594" t="s">
        <v>62</v>
      </c>
      <c r="AF594">
        <v>8</v>
      </c>
      <c r="AG594">
        <v>2018</v>
      </c>
      <c r="AH594" t="s">
        <v>30</v>
      </c>
      <c r="AI594">
        <v>25</v>
      </c>
      <c r="AJ594">
        <v>4</v>
      </c>
    </row>
    <row r="595" spans="1:36" x14ac:dyDescent="0.25">
      <c r="A595">
        <v>10594</v>
      </c>
      <c r="B595" t="s">
        <v>31</v>
      </c>
      <c r="C595" t="s">
        <v>51</v>
      </c>
      <c r="D595" t="s">
        <v>39</v>
      </c>
      <c r="E595" t="str">
        <f t="shared" si="117"/>
        <v>Emily Brown is in IT Department</v>
      </c>
      <c r="F595" s="6" t="str">
        <f t="shared" si="118"/>
        <v>emilybrown@gmail.com</v>
      </c>
      <c r="G595">
        <v>33691</v>
      </c>
      <c r="H595" t="str">
        <f t="shared" si="119"/>
        <v>extremely low</v>
      </c>
      <c r="I595" s="3">
        <v>42649</v>
      </c>
      <c r="J595">
        <f t="shared" si="120"/>
        <v>2016</v>
      </c>
      <c r="K595">
        <f t="shared" si="121"/>
        <v>10</v>
      </c>
      <c r="L595">
        <f t="shared" si="122"/>
        <v>6</v>
      </c>
      <c r="M595" s="3">
        <f t="shared" ca="1" si="123"/>
        <v>46100</v>
      </c>
      <c r="N595">
        <f t="shared" ca="1" si="124"/>
        <v>3451</v>
      </c>
      <c r="O595">
        <f t="shared" ca="1" si="125"/>
        <v>3451</v>
      </c>
      <c r="P595">
        <f t="shared" ca="1" si="126"/>
        <v>2466</v>
      </c>
      <c r="Q595">
        <v>49</v>
      </c>
      <c r="R595" t="str">
        <f t="shared" si="127"/>
        <v>Old</v>
      </c>
      <c r="S595" t="s">
        <v>24</v>
      </c>
      <c r="T595">
        <v>9</v>
      </c>
      <c r="U595" t="s">
        <v>25</v>
      </c>
      <c r="V595">
        <v>1336.39</v>
      </c>
      <c r="W595" t="s">
        <v>35</v>
      </c>
      <c r="X595" t="s">
        <v>55</v>
      </c>
      <c r="Y595">
        <v>20</v>
      </c>
      <c r="Z595" t="str">
        <f t="shared" si="128"/>
        <v>Bad Employee</v>
      </c>
      <c r="AA595" t="b">
        <f t="shared" si="129"/>
        <v>0</v>
      </c>
      <c r="AB595" t="b">
        <f>OR(Y595&gt;20, T595&gt;6)</f>
        <v>1</v>
      </c>
      <c r="AC595" t="str">
        <f>IF(OR(Y595&gt;20,T595&gt;6), "Good employee", "Bad Employee")</f>
        <v>Good employee</v>
      </c>
      <c r="AD595" t="s">
        <v>56</v>
      </c>
      <c r="AE595" t="s">
        <v>29</v>
      </c>
      <c r="AF595">
        <v>16</v>
      </c>
      <c r="AG595">
        <v>2016</v>
      </c>
      <c r="AH595" t="s">
        <v>49</v>
      </c>
      <c r="AI595">
        <v>59</v>
      </c>
      <c r="AJ595">
        <v>4.5</v>
      </c>
    </row>
    <row r="596" spans="1:36" x14ac:dyDescent="0.25">
      <c r="A596">
        <v>10595</v>
      </c>
      <c r="B596" t="s">
        <v>31</v>
      </c>
      <c r="C596" t="s">
        <v>57</v>
      </c>
      <c r="D596" t="s">
        <v>52</v>
      </c>
      <c r="E596" t="str">
        <f t="shared" si="117"/>
        <v>Emily Davis is in Operations Department</v>
      </c>
      <c r="F596" s="6" t="str">
        <f t="shared" si="118"/>
        <v>emilydavis@gmail.com</v>
      </c>
      <c r="G596">
        <v>37470</v>
      </c>
      <c r="H596" t="str">
        <f t="shared" si="119"/>
        <v>extremely low</v>
      </c>
      <c r="I596" s="3">
        <v>39587</v>
      </c>
      <c r="J596">
        <f t="shared" si="120"/>
        <v>2008</v>
      </c>
      <c r="K596">
        <f t="shared" si="121"/>
        <v>5</v>
      </c>
      <c r="L596">
        <f t="shared" si="122"/>
        <v>19</v>
      </c>
      <c r="M596" s="3">
        <f t="shared" ca="1" si="123"/>
        <v>46100</v>
      </c>
      <c r="N596">
        <f t="shared" ca="1" si="124"/>
        <v>6513</v>
      </c>
      <c r="O596">
        <f t="shared" ca="1" si="125"/>
        <v>6513</v>
      </c>
      <c r="P596">
        <f t="shared" ca="1" si="126"/>
        <v>4654</v>
      </c>
      <c r="Q596">
        <v>44</v>
      </c>
      <c r="R596" t="str">
        <f t="shared" si="127"/>
        <v>Old</v>
      </c>
      <c r="S596" t="s">
        <v>24</v>
      </c>
      <c r="T596">
        <v>6</v>
      </c>
      <c r="U596" t="s">
        <v>25</v>
      </c>
      <c r="V596">
        <v>7344.18</v>
      </c>
      <c r="W596" t="s">
        <v>26</v>
      </c>
      <c r="X596" t="s">
        <v>27</v>
      </c>
      <c r="Y596">
        <v>24</v>
      </c>
      <c r="Z596" t="str">
        <f t="shared" si="128"/>
        <v>Bad Employee</v>
      </c>
      <c r="AA596" t="b">
        <f t="shared" si="129"/>
        <v>0</v>
      </c>
      <c r="AB596" t="b">
        <f>OR(Y596&gt;20, T596&gt;6)</f>
        <v>1</v>
      </c>
      <c r="AC596" t="str">
        <f>IF(OR(Y596&gt;20,T596&gt;6), "Good employee", "Bad Employee")</f>
        <v>Good employee</v>
      </c>
      <c r="AD596" t="s">
        <v>41</v>
      </c>
      <c r="AE596" t="s">
        <v>59</v>
      </c>
      <c r="AF596">
        <v>4</v>
      </c>
      <c r="AG596">
        <v>2016</v>
      </c>
      <c r="AH596" t="s">
        <v>49</v>
      </c>
      <c r="AI596">
        <v>113</v>
      </c>
      <c r="AJ596">
        <v>3.7</v>
      </c>
    </row>
    <row r="597" spans="1:36" x14ac:dyDescent="0.25">
      <c r="A597">
        <v>10596</v>
      </c>
      <c r="B597" t="s">
        <v>31</v>
      </c>
      <c r="C597" t="s">
        <v>63</v>
      </c>
      <c r="D597" t="s">
        <v>54</v>
      </c>
      <c r="E597" t="str">
        <f t="shared" si="117"/>
        <v>Emily Miller is in Finance Department</v>
      </c>
      <c r="F597" s="6" t="str">
        <f t="shared" si="118"/>
        <v>emilymiller@gmail.com</v>
      </c>
      <c r="G597">
        <v>33841</v>
      </c>
      <c r="H597" t="str">
        <f t="shared" si="119"/>
        <v>extremely low</v>
      </c>
      <c r="I597" s="3">
        <v>36790</v>
      </c>
      <c r="J597">
        <f t="shared" si="120"/>
        <v>2000</v>
      </c>
      <c r="K597">
        <f t="shared" si="121"/>
        <v>9</v>
      </c>
      <c r="L597">
        <f t="shared" si="122"/>
        <v>21</v>
      </c>
      <c r="M597" s="3">
        <f t="shared" ca="1" si="123"/>
        <v>46100</v>
      </c>
      <c r="N597">
        <f t="shared" ca="1" si="124"/>
        <v>9310</v>
      </c>
      <c r="O597">
        <f t="shared" ca="1" si="125"/>
        <v>9310</v>
      </c>
      <c r="P597">
        <f t="shared" ca="1" si="126"/>
        <v>6651</v>
      </c>
      <c r="Q597">
        <v>56</v>
      </c>
      <c r="R597" t="str">
        <f t="shared" si="127"/>
        <v>Old</v>
      </c>
      <c r="S597" t="s">
        <v>34</v>
      </c>
      <c r="T597">
        <v>5</v>
      </c>
      <c r="U597" t="s">
        <v>25</v>
      </c>
      <c r="V597">
        <v>7187.7</v>
      </c>
      <c r="W597" t="s">
        <v>35</v>
      </c>
      <c r="X597" t="s">
        <v>47</v>
      </c>
      <c r="Y597">
        <v>18</v>
      </c>
      <c r="Z597" t="str">
        <f t="shared" si="128"/>
        <v>Bad Employee</v>
      </c>
      <c r="AA597" t="b">
        <f t="shared" si="129"/>
        <v>0</v>
      </c>
      <c r="AB597" t="b">
        <f>OR(Y597&gt;20, T597&gt;6)</f>
        <v>0</v>
      </c>
      <c r="AC597" t="str">
        <f>IF(OR(Y597&gt;20,T597&gt;6), "Good employee", "Bad Employee")</f>
        <v>Bad Employee</v>
      </c>
      <c r="AD597" t="s">
        <v>56</v>
      </c>
      <c r="AE597" t="s">
        <v>48</v>
      </c>
      <c r="AF597">
        <v>15</v>
      </c>
      <c r="AG597">
        <v>2023</v>
      </c>
      <c r="AH597" t="s">
        <v>43</v>
      </c>
      <c r="AI597">
        <v>147</v>
      </c>
      <c r="AJ597">
        <v>3.5</v>
      </c>
    </row>
    <row r="598" spans="1:36" x14ac:dyDescent="0.25">
      <c r="A598">
        <v>10597</v>
      </c>
      <c r="B598" t="s">
        <v>38</v>
      </c>
      <c r="C598" t="s">
        <v>22</v>
      </c>
      <c r="D598" t="s">
        <v>33</v>
      </c>
      <c r="E598" t="str">
        <f t="shared" si="117"/>
        <v>Chris Williams is in Marketing Department</v>
      </c>
      <c r="F598" s="6" t="str">
        <f t="shared" si="118"/>
        <v>chriswilliams@gmail.com</v>
      </c>
      <c r="G598">
        <v>93197</v>
      </c>
      <c r="H598" t="str">
        <f t="shared" si="119"/>
        <v>High</v>
      </c>
      <c r="I598" s="3">
        <v>40257</v>
      </c>
      <c r="J598">
        <f t="shared" si="120"/>
        <v>2010</v>
      </c>
      <c r="K598">
        <f t="shared" si="121"/>
        <v>3</v>
      </c>
      <c r="L598">
        <f t="shared" si="122"/>
        <v>20</v>
      </c>
      <c r="M598" s="3">
        <f t="shared" ca="1" si="123"/>
        <v>46100</v>
      </c>
      <c r="N598">
        <f t="shared" ca="1" si="124"/>
        <v>5843</v>
      </c>
      <c r="O598">
        <f t="shared" ca="1" si="125"/>
        <v>5843</v>
      </c>
      <c r="P598">
        <f t="shared" ca="1" si="126"/>
        <v>4174</v>
      </c>
      <c r="Q598">
        <v>22</v>
      </c>
      <c r="R598" t="str">
        <f t="shared" si="127"/>
        <v>Young</v>
      </c>
      <c r="S598" t="s">
        <v>34</v>
      </c>
      <c r="T598">
        <v>6</v>
      </c>
      <c r="U598" t="s">
        <v>25</v>
      </c>
      <c r="V598">
        <v>7151.54</v>
      </c>
      <c r="W598" t="s">
        <v>35</v>
      </c>
      <c r="X598" t="s">
        <v>55</v>
      </c>
      <c r="Y598">
        <v>23</v>
      </c>
      <c r="Z598" t="str">
        <f t="shared" si="128"/>
        <v>Bad Employee</v>
      </c>
      <c r="AA598" t="b">
        <f t="shared" si="129"/>
        <v>0</v>
      </c>
      <c r="AB598" t="b">
        <f>OR(Y598&gt;20, T598&gt;6)</f>
        <v>1</v>
      </c>
      <c r="AC598" t="str">
        <f>IF(OR(Y598&gt;20,T598&gt;6), "Good employee", "Bad Employee")</f>
        <v>Good employee</v>
      </c>
      <c r="AD598" t="s">
        <v>56</v>
      </c>
      <c r="AE598" t="s">
        <v>29</v>
      </c>
      <c r="AF598">
        <v>8</v>
      </c>
      <c r="AG598">
        <v>2013</v>
      </c>
      <c r="AH598" t="s">
        <v>30</v>
      </c>
      <c r="AI598">
        <v>166</v>
      </c>
      <c r="AJ598">
        <v>1.8</v>
      </c>
    </row>
    <row r="599" spans="1:36" x14ac:dyDescent="0.25">
      <c r="A599">
        <v>10598</v>
      </c>
      <c r="B599" t="s">
        <v>21</v>
      </c>
      <c r="C599" t="s">
        <v>22</v>
      </c>
      <c r="D599" t="s">
        <v>33</v>
      </c>
      <c r="E599" t="str">
        <f t="shared" si="117"/>
        <v>Michael Williams is in Marketing Department</v>
      </c>
      <c r="F599" s="6" t="str">
        <f t="shared" si="118"/>
        <v>michaelwilliams@gmail.com</v>
      </c>
      <c r="G599">
        <v>85773</v>
      </c>
      <c r="H599" t="str">
        <f t="shared" si="119"/>
        <v>High</v>
      </c>
      <c r="I599" s="3">
        <v>42853</v>
      </c>
      <c r="J599">
        <f t="shared" si="120"/>
        <v>2017</v>
      </c>
      <c r="K599">
        <f t="shared" si="121"/>
        <v>4</v>
      </c>
      <c r="L599">
        <f t="shared" si="122"/>
        <v>28</v>
      </c>
      <c r="M599" s="3">
        <f t="shared" ca="1" si="123"/>
        <v>46100</v>
      </c>
      <c r="N599">
        <f t="shared" ca="1" si="124"/>
        <v>3247</v>
      </c>
      <c r="O599">
        <f t="shared" ca="1" si="125"/>
        <v>3247</v>
      </c>
      <c r="P599">
        <f t="shared" ca="1" si="126"/>
        <v>2320</v>
      </c>
      <c r="Q599">
        <v>50</v>
      </c>
      <c r="R599" t="str">
        <f t="shared" si="127"/>
        <v>Old</v>
      </c>
      <c r="S599" t="s">
        <v>34</v>
      </c>
      <c r="T599">
        <v>8</v>
      </c>
      <c r="U599" t="s">
        <v>45</v>
      </c>
      <c r="V599">
        <v>9199.65</v>
      </c>
      <c r="W599" t="s">
        <v>46</v>
      </c>
      <c r="X599" t="s">
        <v>55</v>
      </c>
      <c r="Y599">
        <v>1</v>
      </c>
      <c r="Z599" t="str">
        <f t="shared" si="128"/>
        <v>Bad Employee</v>
      </c>
      <c r="AA599" t="b">
        <f t="shared" si="129"/>
        <v>0</v>
      </c>
      <c r="AB599" t="b">
        <f>OR(Y599&gt;20, T599&gt;6)</f>
        <v>1</v>
      </c>
      <c r="AC599" t="str">
        <f>IF(OR(Y599&gt;20,T599&gt;6), "Good employee", "Bad Employee")</f>
        <v>Good employee</v>
      </c>
      <c r="AD599" t="s">
        <v>28</v>
      </c>
      <c r="AE599" t="s">
        <v>48</v>
      </c>
      <c r="AF599">
        <v>16</v>
      </c>
      <c r="AG599">
        <v>2018</v>
      </c>
      <c r="AH599" t="s">
        <v>49</v>
      </c>
      <c r="AI599">
        <v>108</v>
      </c>
      <c r="AJ599">
        <v>2.4</v>
      </c>
    </row>
    <row r="600" spans="1:36" x14ac:dyDescent="0.25">
      <c r="A600">
        <v>10599</v>
      </c>
      <c r="B600" t="s">
        <v>31</v>
      </c>
      <c r="C600" t="s">
        <v>61</v>
      </c>
      <c r="D600" t="s">
        <v>52</v>
      </c>
      <c r="E600" t="str">
        <f t="shared" si="117"/>
        <v>Emily Smith is in Operations Department</v>
      </c>
      <c r="F600" s="6" t="str">
        <f t="shared" si="118"/>
        <v>emilysmith@gmail.com</v>
      </c>
      <c r="G600">
        <v>47776</v>
      </c>
      <c r="H600" t="str">
        <f t="shared" si="119"/>
        <v>low</v>
      </c>
      <c r="I600" s="3">
        <v>38800</v>
      </c>
      <c r="J600">
        <f t="shared" si="120"/>
        <v>2006</v>
      </c>
      <c r="K600">
        <f t="shared" si="121"/>
        <v>3</v>
      </c>
      <c r="L600">
        <f t="shared" si="122"/>
        <v>24</v>
      </c>
      <c r="M600" s="3">
        <f t="shared" ca="1" si="123"/>
        <v>46100</v>
      </c>
      <c r="N600">
        <f t="shared" ca="1" si="124"/>
        <v>7300</v>
      </c>
      <c r="O600">
        <f t="shared" ca="1" si="125"/>
        <v>7300</v>
      </c>
      <c r="P600">
        <f t="shared" ca="1" si="126"/>
        <v>5215</v>
      </c>
      <c r="Q600">
        <v>30</v>
      </c>
      <c r="R600" t="str">
        <f t="shared" si="127"/>
        <v>Young</v>
      </c>
      <c r="S600" t="s">
        <v>34</v>
      </c>
      <c r="T600">
        <v>5</v>
      </c>
      <c r="U600" t="s">
        <v>45</v>
      </c>
      <c r="V600">
        <v>3814.96</v>
      </c>
      <c r="W600" t="s">
        <v>46</v>
      </c>
      <c r="X600" t="s">
        <v>47</v>
      </c>
      <c r="Y600">
        <v>2</v>
      </c>
      <c r="Z600" t="str">
        <f t="shared" si="128"/>
        <v>Bad Employee</v>
      </c>
      <c r="AA600" t="b">
        <f t="shared" si="129"/>
        <v>0</v>
      </c>
      <c r="AB600" t="b">
        <f>OR(Y600&gt;20, T600&gt;6)</f>
        <v>0</v>
      </c>
      <c r="AC600" t="str">
        <f>IF(OR(Y600&gt;20,T600&gt;6), "Good employee", "Bad Employee")</f>
        <v>Bad Employee</v>
      </c>
      <c r="AD600" t="s">
        <v>41</v>
      </c>
      <c r="AE600" t="s">
        <v>37</v>
      </c>
      <c r="AF600">
        <v>17</v>
      </c>
      <c r="AG600">
        <v>2017</v>
      </c>
      <c r="AH600" t="s">
        <v>30</v>
      </c>
      <c r="AI600">
        <v>135</v>
      </c>
      <c r="AJ600">
        <v>3.9</v>
      </c>
    </row>
    <row r="601" spans="1:36" x14ac:dyDescent="0.25">
      <c r="A601">
        <v>10600</v>
      </c>
      <c r="B601" t="s">
        <v>64</v>
      </c>
      <c r="C601" t="s">
        <v>32</v>
      </c>
      <c r="D601" t="s">
        <v>44</v>
      </c>
      <c r="E601" t="str">
        <f t="shared" si="117"/>
        <v>Katie Wilson is in Sales Department</v>
      </c>
      <c r="F601" s="6" t="str">
        <f t="shared" si="118"/>
        <v>katiewilson@gmail.com</v>
      </c>
      <c r="G601">
        <v>101596</v>
      </c>
      <c r="H601" t="str">
        <f t="shared" si="119"/>
        <v>High</v>
      </c>
      <c r="I601" s="3">
        <v>40401</v>
      </c>
      <c r="J601">
        <f t="shared" si="120"/>
        <v>2010</v>
      </c>
      <c r="K601">
        <f t="shared" si="121"/>
        <v>8</v>
      </c>
      <c r="L601">
        <f t="shared" si="122"/>
        <v>11</v>
      </c>
      <c r="M601" s="3">
        <f t="shared" ca="1" si="123"/>
        <v>46100</v>
      </c>
      <c r="N601">
        <f t="shared" ca="1" si="124"/>
        <v>5699</v>
      </c>
      <c r="O601">
        <f t="shared" ca="1" si="125"/>
        <v>5699</v>
      </c>
      <c r="P601">
        <f t="shared" ca="1" si="126"/>
        <v>4072</v>
      </c>
      <c r="Q601">
        <v>30</v>
      </c>
      <c r="R601" t="str">
        <f t="shared" si="127"/>
        <v>Young</v>
      </c>
      <c r="S601" t="s">
        <v>24</v>
      </c>
      <c r="T601">
        <v>4</v>
      </c>
      <c r="U601" t="s">
        <v>25</v>
      </c>
      <c r="V601">
        <v>5830.76</v>
      </c>
      <c r="W601" t="s">
        <v>26</v>
      </c>
      <c r="X601" t="s">
        <v>27</v>
      </c>
      <c r="Y601">
        <v>5</v>
      </c>
      <c r="Z601" t="str">
        <f t="shared" si="128"/>
        <v>Bad Employee</v>
      </c>
      <c r="AA601" t="b">
        <f t="shared" si="129"/>
        <v>0</v>
      </c>
      <c r="AB601" t="b">
        <f>OR(Y601&gt;20, T601&gt;6)</f>
        <v>0</v>
      </c>
      <c r="AC601" t="str">
        <f>IF(OR(Y601&gt;20,T601&gt;6), "Good employee", "Bad Employee")</f>
        <v>Bad Employee</v>
      </c>
      <c r="AD601" t="s">
        <v>41</v>
      </c>
      <c r="AE601" t="s">
        <v>37</v>
      </c>
      <c r="AF601">
        <v>2</v>
      </c>
      <c r="AG601">
        <v>2019</v>
      </c>
      <c r="AH601" t="s">
        <v>30</v>
      </c>
      <c r="AI601">
        <v>133</v>
      </c>
      <c r="AJ601">
        <v>1.1000000000000001</v>
      </c>
    </row>
    <row r="602" spans="1:36" x14ac:dyDescent="0.25">
      <c r="A602">
        <v>10601</v>
      </c>
      <c r="B602" t="s">
        <v>38</v>
      </c>
      <c r="C602" t="s">
        <v>22</v>
      </c>
      <c r="D602" t="s">
        <v>33</v>
      </c>
      <c r="E602" t="str">
        <f t="shared" si="117"/>
        <v>Chris Williams is in Marketing Department</v>
      </c>
      <c r="F602" s="6" t="str">
        <f t="shared" si="118"/>
        <v>chriswilliams@gmail.com</v>
      </c>
      <c r="G602">
        <v>57584</v>
      </c>
      <c r="H602" t="str">
        <f t="shared" si="119"/>
        <v>Medium</v>
      </c>
      <c r="I602" s="3">
        <v>39843</v>
      </c>
      <c r="J602">
        <f t="shared" si="120"/>
        <v>2009</v>
      </c>
      <c r="K602">
        <f t="shared" si="121"/>
        <v>1</v>
      </c>
      <c r="L602">
        <f t="shared" si="122"/>
        <v>30</v>
      </c>
      <c r="M602" s="3">
        <f t="shared" ca="1" si="123"/>
        <v>46100</v>
      </c>
      <c r="N602">
        <f t="shared" ca="1" si="124"/>
        <v>6257</v>
      </c>
      <c r="O602">
        <f t="shared" ca="1" si="125"/>
        <v>6257</v>
      </c>
      <c r="P602">
        <f t="shared" ca="1" si="126"/>
        <v>4470</v>
      </c>
      <c r="Q602">
        <v>43</v>
      </c>
      <c r="R602" t="str">
        <f t="shared" si="127"/>
        <v>Old</v>
      </c>
      <c r="S602" t="s">
        <v>24</v>
      </c>
      <c r="T602">
        <v>7</v>
      </c>
      <c r="U602" t="s">
        <v>25</v>
      </c>
      <c r="V602">
        <v>6385.21</v>
      </c>
      <c r="W602" t="s">
        <v>26</v>
      </c>
      <c r="X602" t="s">
        <v>36</v>
      </c>
      <c r="Y602">
        <v>18</v>
      </c>
      <c r="Z602" t="str">
        <f t="shared" si="128"/>
        <v>Bad Employee</v>
      </c>
      <c r="AA602" t="b">
        <f t="shared" si="129"/>
        <v>0</v>
      </c>
      <c r="AB602" t="b">
        <f>OR(Y602&gt;20, T602&gt;6)</f>
        <v>1</v>
      </c>
      <c r="AC602" t="str">
        <f>IF(OR(Y602&gt;20,T602&gt;6), "Good employee", "Bad Employee")</f>
        <v>Good employee</v>
      </c>
      <c r="AD602" t="s">
        <v>41</v>
      </c>
      <c r="AE602" t="s">
        <v>37</v>
      </c>
      <c r="AF602">
        <v>4</v>
      </c>
      <c r="AG602">
        <v>2013</v>
      </c>
      <c r="AH602" t="s">
        <v>49</v>
      </c>
      <c r="AI602">
        <v>28</v>
      </c>
      <c r="AJ602">
        <v>3.6</v>
      </c>
    </row>
    <row r="603" spans="1:36" x14ac:dyDescent="0.25">
      <c r="A603">
        <v>10602</v>
      </c>
      <c r="B603" t="s">
        <v>53</v>
      </c>
      <c r="C603" t="s">
        <v>65</v>
      </c>
      <c r="D603" t="s">
        <v>39</v>
      </c>
      <c r="E603" t="str">
        <f t="shared" si="117"/>
        <v>Sarah Johnson is in IT Department</v>
      </c>
      <c r="F603" s="6" t="str">
        <f t="shared" si="118"/>
        <v>sarahjohnson@gmail.com</v>
      </c>
      <c r="G603">
        <v>34300</v>
      </c>
      <c r="H603" t="str">
        <f t="shared" si="119"/>
        <v>extremely low</v>
      </c>
      <c r="I603" s="3">
        <v>38572</v>
      </c>
      <c r="J603">
        <f t="shared" si="120"/>
        <v>2005</v>
      </c>
      <c r="K603">
        <f t="shared" si="121"/>
        <v>8</v>
      </c>
      <c r="L603">
        <f t="shared" si="122"/>
        <v>8</v>
      </c>
      <c r="M603" s="3">
        <f t="shared" ca="1" si="123"/>
        <v>46100</v>
      </c>
      <c r="N603">
        <f t="shared" ca="1" si="124"/>
        <v>7528</v>
      </c>
      <c r="O603">
        <f t="shared" ca="1" si="125"/>
        <v>7528</v>
      </c>
      <c r="P603">
        <f t="shared" ca="1" si="126"/>
        <v>5379</v>
      </c>
      <c r="Q603">
        <v>23</v>
      </c>
      <c r="R603" t="str">
        <f t="shared" si="127"/>
        <v>Young</v>
      </c>
      <c r="S603" t="s">
        <v>34</v>
      </c>
      <c r="T603">
        <v>5</v>
      </c>
      <c r="U603" t="s">
        <v>25</v>
      </c>
      <c r="V603">
        <v>9805.08</v>
      </c>
      <c r="W603" t="s">
        <v>35</v>
      </c>
      <c r="X603" t="s">
        <v>27</v>
      </c>
      <c r="Y603">
        <v>16</v>
      </c>
      <c r="Z603" t="str">
        <f t="shared" si="128"/>
        <v>Bad Employee</v>
      </c>
      <c r="AA603" t="b">
        <f t="shared" si="129"/>
        <v>0</v>
      </c>
      <c r="AB603" t="b">
        <f>OR(Y603&gt;20, T603&gt;6)</f>
        <v>0</v>
      </c>
      <c r="AC603" t="str">
        <f>IF(OR(Y603&gt;20,T603&gt;6), "Good employee", "Bad Employee")</f>
        <v>Bad Employee</v>
      </c>
      <c r="AD603" t="s">
        <v>56</v>
      </c>
      <c r="AE603" t="s">
        <v>42</v>
      </c>
      <c r="AF603">
        <v>16</v>
      </c>
      <c r="AG603">
        <v>2022</v>
      </c>
      <c r="AH603" t="s">
        <v>30</v>
      </c>
      <c r="AI603">
        <v>175</v>
      </c>
      <c r="AJ603">
        <v>4.0999999999999996</v>
      </c>
    </row>
    <row r="604" spans="1:36" x14ac:dyDescent="0.25">
      <c r="A604">
        <v>10603</v>
      </c>
      <c r="B604" t="s">
        <v>31</v>
      </c>
      <c r="C604" t="s">
        <v>63</v>
      </c>
      <c r="D604" t="s">
        <v>52</v>
      </c>
      <c r="E604" t="str">
        <f t="shared" si="117"/>
        <v>Emily Miller is in Operations Department</v>
      </c>
      <c r="F604" s="6" t="str">
        <f t="shared" si="118"/>
        <v>emilymiller@gmail.com</v>
      </c>
      <c r="G604">
        <v>33338</v>
      </c>
      <c r="H604" t="str">
        <f t="shared" si="119"/>
        <v>extremely low</v>
      </c>
      <c r="I604" s="3">
        <v>39670</v>
      </c>
      <c r="J604">
        <f t="shared" si="120"/>
        <v>2008</v>
      </c>
      <c r="K604">
        <f t="shared" si="121"/>
        <v>8</v>
      </c>
      <c r="L604">
        <f t="shared" si="122"/>
        <v>10</v>
      </c>
      <c r="M604" s="3">
        <f t="shared" ca="1" si="123"/>
        <v>46100</v>
      </c>
      <c r="N604">
        <f t="shared" ca="1" si="124"/>
        <v>6430</v>
      </c>
      <c r="O604">
        <f t="shared" ca="1" si="125"/>
        <v>6430</v>
      </c>
      <c r="P604">
        <f t="shared" ca="1" si="126"/>
        <v>4594</v>
      </c>
      <c r="Q604">
        <v>37</v>
      </c>
      <c r="R604" t="str">
        <f t="shared" si="127"/>
        <v>Old</v>
      </c>
      <c r="S604" t="s">
        <v>34</v>
      </c>
      <c r="T604">
        <v>4</v>
      </c>
      <c r="U604" t="s">
        <v>25</v>
      </c>
      <c r="V604">
        <v>3467.29</v>
      </c>
      <c r="W604" t="s">
        <v>35</v>
      </c>
      <c r="X604" t="s">
        <v>47</v>
      </c>
      <c r="Y604">
        <v>10</v>
      </c>
      <c r="Z604" t="str">
        <f t="shared" si="128"/>
        <v>Bad Employee</v>
      </c>
      <c r="AA604" t="b">
        <f t="shared" si="129"/>
        <v>0</v>
      </c>
      <c r="AB604" t="b">
        <f>OR(Y604&gt;20, T604&gt;6)</f>
        <v>0</v>
      </c>
      <c r="AC604" t="str">
        <f>IF(OR(Y604&gt;20,T604&gt;6), "Good employee", "Bad Employee")</f>
        <v>Bad Employee</v>
      </c>
      <c r="AD604" t="s">
        <v>28</v>
      </c>
      <c r="AE604" t="s">
        <v>59</v>
      </c>
      <c r="AF604">
        <v>19</v>
      </c>
      <c r="AG604">
        <v>2015</v>
      </c>
      <c r="AH604" t="s">
        <v>43</v>
      </c>
      <c r="AI604">
        <v>31</v>
      </c>
      <c r="AJ604">
        <v>2.2999999999999998</v>
      </c>
    </row>
    <row r="605" spans="1:36" x14ac:dyDescent="0.25">
      <c r="A605">
        <v>10604</v>
      </c>
      <c r="B605" t="s">
        <v>64</v>
      </c>
      <c r="C605" t="s">
        <v>61</v>
      </c>
      <c r="D605" t="s">
        <v>23</v>
      </c>
      <c r="E605" t="str">
        <f t="shared" si="117"/>
        <v>Katie Smith is in HR Department</v>
      </c>
      <c r="F605" s="6" t="str">
        <f t="shared" si="118"/>
        <v>katiesmith@gmail.com</v>
      </c>
      <c r="G605">
        <v>92601</v>
      </c>
      <c r="H605" t="str">
        <f t="shared" si="119"/>
        <v>High</v>
      </c>
      <c r="I605" s="3">
        <v>39747</v>
      </c>
      <c r="J605">
        <f t="shared" si="120"/>
        <v>2008</v>
      </c>
      <c r="K605">
        <f t="shared" si="121"/>
        <v>10</v>
      </c>
      <c r="L605">
        <f t="shared" si="122"/>
        <v>26</v>
      </c>
      <c r="M605" s="3">
        <f t="shared" ca="1" si="123"/>
        <v>46100</v>
      </c>
      <c r="N605">
        <f t="shared" ca="1" si="124"/>
        <v>6353</v>
      </c>
      <c r="O605">
        <f t="shared" ca="1" si="125"/>
        <v>6353</v>
      </c>
      <c r="P605">
        <f t="shared" ca="1" si="126"/>
        <v>4539</v>
      </c>
      <c r="Q605">
        <v>61</v>
      </c>
      <c r="R605" t="str">
        <f t="shared" si="127"/>
        <v>Old</v>
      </c>
      <c r="S605" t="s">
        <v>24</v>
      </c>
      <c r="T605">
        <v>5</v>
      </c>
      <c r="U605" t="s">
        <v>25</v>
      </c>
      <c r="V605">
        <v>9585.15</v>
      </c>
      <c r="W605" t="s">
        <v>58</v>
      </c>
      <c r="X605" t="s">
        <v>27</v>
      </c>
      <c r="Y605">
        <v>29</v>
      </c>
      <c r="Z605" t="str">
        <f t="shared" si="128"/>
        <v>Bad Employee</v>
      </c>
      <c r="AA605" t="b">
        <f t="shared" si="129"/>
        <v>0</v>
      </c>
      <c r="AB605" t="b">
        <f>OR(Y605&gt;20, T605&gt;6)</f>
        <v>1</v>
      </c>
      <c r="AC605" t="str">
        <f>IF(OR(Y605&gt;20,T605&gt;6), "Good employee", "Bad Employee")</f>
        <v>Good employee</v>
      </c>
      <c r="AD605" t="s">
        <v>28</v>
      </c>
      <c r="AE605" t="s">
        <v>37</v>
      </c>
      <c r="AF605">
        <v>3</v>
      </c>
      <c r="AG605">
        <v>2013</v>
      </c>
      <c r="AH605" t="s">
        <v>43</v>
      </c>
      <c r="AI605">
        <v>141</v>
      </c>
      <c r="AJ605">
        <v>1.3</v>
      </c>
    </row>
    <row r="606" spans="1:36" x14ac:dyDescent="0.25">
      <c r="A606">
        <v>10605</v>
      </c>
      <c r="B606" t="s">
        <v>21</v>
      </c>
      <c r="C606" t="s">
        <v>65</v>
      </c>
      <c r="D606" t="s">
        <v>54</v>
      </c>
      <c r="E606" t="str">
        <f t="shared" si="117"/>
        <v>Michael Johnson is in Finance Department</v>
      </c>
      <c r="F606" s="6" t="str">
        <f t="shared" si="118"/>
        <v>michaeljohnson@gmail.com</v>
      </c>
      <c r="G606">
        <v>35487</v>
      </c>
      <c r="H606" t="str">
        <f t="shared" si="119"/>
        <v>extremely low</v>
      </c>
      <c r="I606" s="3">
        <v>39666</v>
      </c>
      <c r="J606">
        <f t="shared" si="120"/>
        <v>2008</v>
      </c>
      <c r="K606">
        <f t="shared" si="121"/>
        <v>8</v>
      </c>
      <c r="L606">
        <f t="shared" si="122"/>
        <v>6</v>
      </c>
      <c r="M606" s="3">
        <f t="shared" ca="1" si="123"/>
        <v>46100</v>
      </c>
      <c r="N606">
        <f t="shared" ca="1" si="124"/>
        <v>6434</v>
      </c>
      <c r="O606">
        <f t="shared" ca="1" si="125"/>
        <v>6434</v>
      </c>
      <c r="P606">
        <f t="shared" ca="1" si="126"/>
        <v>4597</v>
      </c>
      <c r="Q606">
        <v>27</v>
      </c>
      <c r="R606" t="str">
        <f t="shared" si="127"/>
        <v>Young</v>
      </c>
      <c r="S606" t="s">
        <v>24</v>
      </c>
      <c r="T606">
        <v>4</v>
      </c>
      <c r="U606" t="s">
        <v>25</v>
      </c>
      <c r="V606">
        <v>1912.98</v>
      </c>
      <c r="W606" t="s">
        <v>35</v>
      </c>
      <c r="X606" t="s">
        <v>55</v>
      </c>
      <c r="Y606">
        <v>35</v>
      </c>
      <c r="Z606" t="str">
        <f t="shared" si="128"/>
        <v>Bad Employee</v>
      </c>
      <c r="AA606" t="b">
        <f t="shared" si="129"/>
        <v>0</v>
      </c>
      <c r="AB606" t="b">
        <f>OR(Y606&gt;20, T606&gt;6)</f>
        <v>1</v>
      </c>
      <c r="AC606" t="str">
        <f>IF(OR(Y606&gt;20,T606&gt;6), "Good employee", "Bad Employee")</f>
        <v>Good employee</v>
      </c>
      <c r="AD606" t="s">
        <v>56</v>
      </c>
      <c r="AE606" t="s">
        <v>59</v>
      </c>
      <c r="AF606">
        <v>3</v>
      </c>
      <c r="AG606">
        <v>2010</v>
      </c>
      <c r="AH606" t="s">
        <v>49</v>
      </c>
      <c r="AI606">
        <v>92</v>
      </c>
      <c r="AJ606">
        <v>4.3</v>
      </c>
    </row>
    <row r="607" spans="1:36" x14ac:dyDescent="0.25">
      <c r="A607">
        <v>10606</v>
      </c>
      <c r="B607" t="s">
        <v>50</v>
      </c>
      <c r="C607" t="s">
        <v>57</v>
      </c>
      <c r="D607" t="s">
        <v>54</v>
      </c>
      <c r="E607" t="str">
        <f t="shared" si="117"/>
        <v>Alex Davis is in Finance Department</v>
      </c>
      <c r="F607" s="6" t="str">
        <f t="shared" si="118"/>
        <v>alexdavis@gmail.com</v>
      </c>
      <c r="G607">
        <v>66282</v>
      </c>
      <c r="H607" t="str">
        <f t="shared" si="119"/>
        <v>Medium</v>
      </c>
      <c r="I607" s="3">
        <v>41590</v>
      </c>
      <c r="J607">
        <f t="shared" si="120"/>
        <v>2013</v>
      </c>
      <c r="K607">
        <f t="shared" si="121"/>
        <v>11</v>
      </c>
      <c r="L607">
        <f t="shared" si="122"/>
        <v>12</v>
      </c>
      <c r="M607" s="3">
        <f t="shared" ca="1" si="123"/>
        <v>46100</v>
      </c>
      <c r="N607">
        <f t="shared" ca="1" si="124"/>
        <v>4510</v>
      </c>
      <c r="O607">
        <f t="shared" ca="1" si="125"/>
        <v>4510</v>
      </c>
      <c r="P607">
        <f t="shared" ca="1" si="126"/>
        <v>3223</v>
      </c>
      <c r="Q607">
        <v>34</v>
      </c>
      <c r="R607" t="str">
        <f t="shared" si="127"/>
        <v>Old</v>
      </c>
      <c r="S607" t="s">
        <v>34</v>
      </c>
      <c r="T607">
        <v>8</v>
      </c>
      <c r="U607" t="s">
        <v>25</v>
      </c>
      <c r="V607">
        <v>7758.01</v>
      </c>
      <c r="W607" t="s">
        <v>58</v>
      </c>
      <c r="X607" t="s">
        <v>36</v>
      </c>
      <c r="Y607">
        <v>25</v>
      </c>
      <c r="Z607" t="str">
        <f t="shared" si="128"/>
        <v>Good Employee</v>
      </c>
      <c r="AA607" t="b">
        <f t="shared" si="129"/>
        <v>1</v>
      </c>
      <c r="AB607" t="b">
        <f>OR(Y607&gt;20, T607&gt;6)</f>
        <v>1</v>
      </c>
      <c r="AC607" t="str">
        <f>IF(OR(Y607&gt;20,T607&gt;6), "Good employee", "Bad Employee")</f>
        <v>Good employee</v>
      </c>
      <c r="AD607" t="s">
        <v>41</v>
      </c>
      <c r="AE607" t="s">
        <v>59</v>
      </c>
      <c r="AF607">
        <v>6</v>
      </c>
      <c r="AG607">
        <v>2014</v>
      </c>
      <c r="AH607" t="s">
        <v>30</v>
      </c>
      <c r="AI607">
        <v>149</v>
      </c>
      <c r="AJ607">
        <v>1.6</v>
      </c>
    </row>
    <row r="608" spans="1:36" x14ac:dyDescent="0.25">
      <c r="A608">
        <v>10607</v>
      </c>
      <c r="B608" t="s">
        <v>21</v>
      </c>
      <c r="C608" t="s">
        <v>51</v>
      </c>
      <c r="D608" t="s">
        <v>54</v>
      </c>
      <c r="E608" t="str">
        <f t="shared" si="117"/>
        <v>Michael Brown is in Finance Department</v>
      </c>
      <c r="F608" s="6" t="str">
        <f t="shared" si="118"/>
        <v>michaelbrown@gmail.com</v>
      </c>
      <c r="G608">
        <v>106816</v>
      </c>
      <c r="H608" t="str">
        <f t="shared" si="119"/>
        <v>High</v>
      </c>
      <c r="I608" s="3">
        <v>41426</v>
      </c>
      <c r="J608">
        <f t="shared" si="120"/>
        <v>2013</v>
      </c>
      <c r="K608">
        <f t="shared" si="121"/>
        <v>6</v>
      </c>
      <c r="L608">
        <f t="shared" si="122"/>
        <v>1</v>
      </c>
      <c r="M608" s="3">
        <f t="shared" ca="1" si="123"/>
        <v>46100</v>
      </c>
      <c r="N608">
        <f t="shared" ca="1" si="124"/>
        <v>4674</v>
      </c>
      <c r="O608">
        <f t="shared" ca="1" si="125"/>
        <v>4674</v>
      </c>
      <c r="P608">
        <f t="shared" ca="1" si="126"/>
        <v>3339</v>
      </c>
      <c r="Q608">
        <v>54</v>
      </c>
      <c r="R608" t="str">
        <f t="shared" si="127"/>
        <v>Old</v>
      </c>
      <c r="S608" t="s">
        <v>24</v>
      </c>
      <c r="T608">
        <v>8</v>
      </c>
      <c r="U608" t="s">
        <v>25</v>
      </c>
      <c r="V608">
        <v>6512.42</v>
      </c>
      <c r="W608" t="s">
        <v>35</v>
      </c>
      <c r="X608" t="s">
        <v>40</v>
      </c>
      <c r="Y608">
        <v>24</v>
      </c>
      <c r="Z608" t="str">
        <f t="shared" si="128"/>
        <v>Good Employee</v>
      </c>
      <c r="AA608" t="b">
        <f t="shared" si="129"/>
        <v>1</v>
      </c>
      <c r="AB608" t="b">
        <f>OR(Y608&gt;20, T608&gt;6)</f>
        <v>1</v>
      </c>
      <c r="AC608" t="str">
        <f>IF(OR(Y608&gt;20,T608&gt;6), "Good employee", "Bad Employee")</f>
        <v>Good employee</v>
      </c>
      <c r="AD608" t="s">
        <v>41</v>
      </c>
      <c r="AE608" t="s">
        <v>59</v>
      </c>
      <c r="AF608">
        <v>7</v>
      </c>
      <c r="AG608">
        <v>2019</v>
      </c>
      <c r="AH608" t="s">
        <v>43</v>
      </c>
      <c r="AI608">
        <v>96</v>
      </c>
      <c r="AJ608">
        <v>2.5</v>
      </c>
    </row>
    <row r="609" spans="1:36" x14ac:dyDescent="0.25">
      <c r="A609">
        <v>10608</v>
      </c>
      <c r="B609" t="s">
        <v>53</v>
      </c>
      <c r="C609" t="s">
        <v>57</v>
      </c>
      <c r="D609" t="s">
        <v>39</v>
      </c>
      <c r="E609" t="str">
        <f t="shared" si="117"/>
        <v>Sarah Davis is in IT Department</v>
      </c>
      <c r="F609" s="6" t="str">
        <f t="shared" si="118"/>
        <v>sarahdavis@gmail.com</v>
      </c>
      <c r="G609">
        <v>58804</v>
      </c>
      <c r="H609" t="str">
        <f t="shared" si="119"/>
        <v>Medium</v>
      </c>
      <c r="I609" s="3">
        <v>37779</v>
      </c>
      <c r="J609">
        <f t="shared" si="120"/>
        <v>2003</v>
      </c>
      <c r="K609">
        <f t="shared" si="121"/>
        <v>6</v>
      </c>
      <c r="L609">
        <f t="shared" si="122"/>
        <v>7</v>
      </c>
      <c r="M609" s="3">
        <f t="shared" ca="1" si="123"/>
        <v>46100</v>
      </c>
      <c r="N609">
        <f t="shared" ca="1" si="124"/>
        <v>8321</v>
      </c>
      <c r="O609">
        <f t="shared" ca="1" si="125"/>
        <v>8321</v>
      </c>
      <c r="P609">
        <f t="shared" ca="1" si="126"/>
        <v>5944</v>
      </c>
      <c r="Q609">
        <v>40</v>
      </c>
      <c r="R609" t="str">
        <f t="shared" si="127"/>
        <v>Old</v>
      </c>
      <c r="S609" t="s">
        <v>34</v>
      </c>
      <c r="T609">
        <v>1</v>
      </c>
      <c r="U609" t="s">
        <v>25</v>
      </c>
      <c r="V609">
        <v>8260.51</v>
      </c>
      <c r="W609" t="s">
        <v>35</v>
      </c>
      <c r="X609" t="s">
        <v>27</v>
      </c>
      <c r="Y609">
        <v>13</v>
      </c>
      <c r="Z609" t="str">
        <f t="shared" si="128"/>
        <v>Bad Employee</v>
      </c>
      <c r="AA609" t="b">
        <f t="shared" si="129"/>
        <v>0</v>
      </c>
      <c r="AB609" t="b">
        <f>OR(Y609&gt;20, T609&gt;6)</f>
        <v>0</v>
      </c>
      <c r="AC609" t="str">
        <f>IF(OR(Y609&gt;20,T609&gt;6), "Good employee", "Bad Employee")</f>
        <v>Bad Employee</v>
      </c>
      <c r="AD609" t="s">
        <v>28</v>
      </c>
      <c r="AE609" t="s">
        <v>29</v>
      </c>
      <c r="AF609">
        <v>1</v>
      </c>
      <c r="AG609">
        <v>2023</v>
      </c>
      <c r="AH609" t="s">
        <v>30</v>
      </c>
      <c r="AI609">
        <v>43</v>
      </c>
      <c r="AJ609">
        <v>3.8</v>
      </c>
    </row>
    <row r="610" spans="1:36" x14ac:dyDescent="0.25">
      <c r="A610">
        <v>10609</v>
      </c>
      <c r="B610" t="s">
        <v>31</v>
      </c>
      <c r="C610" t="s">
        <v>51</v>
      </c>
      <c r="D610" t="s">
        <v>23</v>
      </c>
      <c r="E610" t="str">
        <f t="shared" si="117"/>
        <v>Emily Brown is in HR Department</v>
      </c>
      <c r="F610" s="6" t="str">
        <f t="shared" si="118"/>
        <v>emilybrown@gmail.com</v>
      </c>
      <c r="G610">
        <v>39915</v>
      </c>
      <c r="H610" t="str">
        <f t="shared" si="119"/>
        <v>extremely low</v>
      </c>
      <c r="I610" s="3">
        <v>37248</v>
      </c>
      <c r="J610">
        <f t="shared" si="120"/>
        <v>2001</v>
      </c>
      <c r="K610">
        <f t="shared" si="121"/>
        <v>12</v>
      </c>
      <c r="L610">
        <f t="shared" si="122"/>
        <v>23</v>
      </c>
      <c r="M610" s="3">
        <f t="shared" ca="1" si="123"/>
        <v>46100</v>
      </c>
      <c r="N610">
        <f t="shared" ca="1" si="124"/>
        <v>8852</v>
      </c>
      <c r="O610">
        <f t="shared" ca="1" si="125"/>
        <v>8852</v>
      </c>
      <c r="P610">
        <f t="shared" ca="1" si="126"/>
        <v>6324</v>
      </c>
      <c r="Q610">
        <v>36</v>
      </c>
      <c r="R610" t="str">
        <f t="shared" si="127"/>
        <v>Old</v>
      </c>
      <c r="S610" t="s">
        <v>24</v>
      </c>
      <c r="T610">
        <v>3</v>
      </c>
      <c r="U610" t="s">
        <v>25</v>
      </c>
      <c r="V610">
        <v>772.51</v>
      </c>
      <c r="W610" t="s">
        <v>35</v>
      </c>
      <c r="X610" t="s">
        <v>40</v>
      </c>
      <c r="Y610">
        <v>21</v>
      </c>
      <c r="Z610" t="str">
        <f t="shared" si="128"/>
        <v>Bad Employee</v>
      </c>
      <c r="AA610" t="b">
        <f t="shared" si="129"/>
        <v>0</v>
      </c>
      <c r="AB610" t="b">
        <f>OR(Y610&gt;20, T610&gt;6)</f>
        <v>1</v>
      </c>
      <c r="AC610" t="str">
        <f>IF(OR(Y610&gt;20,T610&gt;6), "Good employee", "Bad Employee")</f>
        <v>Good employee</v>
      </c>
      <c r="AD610" t="s">
        <v>56</v>
      </c>
      <c r="AE610" t="s">
        <v>48</v>
      </c>
      <c r="AF610">
        <v>9</v>
      </c>
      <c r="AG610">
        <v>2020</v>
      </c>
      <c r="AH610" t="s">
        <v>43</v>
      </c>
      <c r="AI610">
        <v>59</v>
      </c>
      <c r="AJ610">
        <v>4.3</v>
      </c>
    </row>
    <row r="611" spans="1:36" x14ac:dyDescent="0.25">
      <c r="A611">
        <v>10610</v>
      </c>
      <c r="B611" t="s">
        <v>53</v>
      </c>
      <c r="C611" t="s">
        <v>57</v>
      </c>
      <c r="D611" t="s">
        <v>52</v>
      </c>
      <c r="E611" t="str">
        <f t="shared" si="117"/>
        <v>Sarah Davis is in Operations Department</v>
      </c>
      <c r="F611" s="6" t="str">
        <f t="shared" si="118"/>
        <v>sarahdavis@gmail.com</v>
      </c>
      <c r="G611">
        <v>41158</v>
      </c>
      <c r="H611" t="str">
        <f t="shared" si="119"/>
        <v>low</v>
      </c>
      <c r="I611" s="3">
        <v>41717</v>
      </c>
      <c r="J611">
        <f t="shared" si="120"/>
        <v>2014</v>
      </c>
      <c r="K611">
        <f t="shared" si="121"/>
        <v>3</v>
      </c>
      <c r="L611">
        <f t="shared" si="122"/>
        <v>19</v>
      </c>
      <c r="M611" s="3">
        <f t="shared" ca="1" si="123"/>
        <v>46100</v>
      </c>
      <c r="N611">
        <f t="shared" ca="1" si="124"/>
        <v>4383</v>
      </c>
      <c r="O611">
        <f t="shared" ca="1" si="125"/>
        <v>4383</v>
      </c>
      <c r="P611">
        <f t="shared" ca="1" si="126"/>
        <v>3132</v>
      </c>
      <c r="Q611">
        <v>54</v>
      </c>
      <c r="R611" t="str">
        <f t="shared" si="127"/>
        <v>Old</v>
      </c>
      <c r="S611" t="s">
        <v>24</v>
      </c>
      <c r="T611">
        <v>4</v>
      </c>
      <c r="U611" t="s">
        <v>45</v>
      </c>
      <c r="V611">
        <v>1242.24</v>
      </c>
      <c r="W611" t="s">
        <v>26</v>
      </c>
      <c r="X611" t="s">
        <v>36</v>
      </c>
      <c r="Y611">
        <v>39</v>
      </c>
      <c r="Z611" t="str">
        <f t="shared" si="128"/>
        <v>Bad Employee</v>
      </c>
      <c r="AA611" t="b">
        <f t="shared" si="129"/>
        <v>0</v>
      </c>
      <c r="AB611" t="b">
        <f>OR(Y611&gt;20, T611&gt;6)</f>
        <v>1</v>
      </c>
      <c r="AC611" t="str">
        <f>IF(OR(Y611&gt;20,T611&gt;6), "Good employee", "Bad Employee")</f>
        <v>Good employee</v>
      </c>
      <c r="AD611" t="s">
        <v>41</v>
      </c>
      <c r="AE611" t="s">
        <v>48</v>
      </c>
      <c r="AF611">
        <v>4</v>
      </c>
      <c r="AG611">
        <v>2012</v>
      </c>
      <c r="AH611" t="s">
        <v>43</v>
      </c>
      <c r="AI611">
        <v>129</v>
      </c>
      <c r="AJ611">
        <v>4.4000000000000004</v>
      </c>
    </row>
    <row r="612" spans="1:36" x14ac:dyDescent="0.25">
      <c r="A612">
        <v>10611</v>
      </c>
      <c r="B612" t="s">
        <v>38</v>
      </c>
      <c r="C612" t="s">
        <v>22</v>
      </c>
      <c r="D612" t="s">
        <v>52</v>
      </c>
      <c r="E612" t="str">
        <f t="shared" si="117"/>
        <v>Chris Williams is in Operations Department</v>
      </c>
      <c r="F612" s="6" t="str">
        <f t="shared" si="118"/>
        <v>chriswilliams@gmail.com</v>
      </c>
      <c r="G612">
        <v>104157</v>
      </c>
      <c r="H612" t="str">
        <f t="shared" si="119"/>
        <v>High</v>
      </c>
      <c r="I612" s="3">
        <v>41623</v>
      </c>
      <c r="J612">
        <f t="shared" si="120"/>
        <v>2013</v>
      </c>
      <c r="K612">
        <f t="shared" si="121"/>
        <v>12</v>
      </c>
      <c r="L612">
        <f t="shared" si="122"/>
        <v>15</v>
      </c>
      <c r="M612" s="3">
        <f t="shared" ca="1" si="123"/>
        <v>46100</v>
      </c>
      <c r="N612">
        <f t="shared" ca="1" si="124"/>
        <v>4477</v>
      </c>
      <c r="O612">
        <f t="shared" ca="1" si="125"/>
        <v>4477</v>
      </c>
      <c r="P612">
        <f t="shared" ca="1" si="126"/>
        <v>3199</v>
      </c>
      <c r="Q612">
        <v>31</v>
      </c>
      <c r="R612" t="str">
        <f t="shared" si="127"/>
        <v>Old</v>
      </c>
      <c r="S612" t="s">
        <v>34</v>
      </c>
      <c r="T612">
        <v>2</v>
      </c>
      <c r="U612" t="s">
        <v>45</v>
      </c>
      <c r="V612">
        <v>1162.1099999999999</v>
      </c>
      <c r="W612" t="s">
        <v>26</v>
      </c>
      <c r="X612" t="s">
        <v>40</v>
      </c>
      <c r="Y612">
        <v>34</v>
      </c>
      <c r="Z612" t="str">
        <f t="shared" si="128"/>
        <v>Bad Employee</v>
      </c>
      <c r="AA612" t="b">
        <f t="shared" si="129"/>
        <v>0</v>
      </c>
      <c r="AB612" t="b">
        <f>OR(Y612&gt;20, T612&gt;6)</f>
        <v>1</v>
      </c>
      <c r="AC612" t="str">
        <f>IF(OR(Y612&gt;20,T612&gt;6), "Good employee", "Bad Employee")</f>
        <v>Good employee</v>
      </c>
      <c r="AD612" t="s">
        <v>56</v>
      </c>
      <c r="AE612" t="s">
        <v>42</v>
      </c>
      <c r="AF612">
        <v>16</v>
      </c>
      <c r="AG612">
        <v>2010</v>
      </c>
      <c r="AH612" t="s">
        <v>30</v>
      </c>
      <c r="AI612">
        <v>49</v>
      </c>
      <c r="AJ612">
        <v>3.1</v>
      </c>
    </row>
    <row r="613" spans="1:36" x14ac:dyDescent="0.25">
      <c r="A613">
        <v>10612</v>
      </c>
      <c r="B613" t="s">
        <v>60</v>
      </c>
      <c r="C613" t="s">
        <v>65</v>
      </c>
      <c r="D613" t="s">
        <v>54</v>
      </c>
      <c r="E613" t="str">
        <f t="shared" si="117"/>
        <v>Jane Johnson is in Finance Department</v>
      </c>
      <c r="F613" s="6" t="str">
        <f t="shared" si="118"/>
        <v>janejohnson@gmail.com</v>
      </c>
      <c r="G613">
        <v>40547</v>
      </c>
      <c r="H613" t="str">
        <f t="shared" si="119"/>
        <v>low</v>
      </c>
      <c r="I613" s="3">
        <v>43544</v>
      </c>
      <c r="J613">
        <f t="shared" si="120"/>
        <v>2019</v>
      </c>
      <c r="K613">
        <f t="shared" si="121"/>
        <v>3</v>
      </c>
      <c r="L613">
        <f t="shared" si="122"/>
        <v>20</v>
      </c>
      <c r="M613" s="3">
        <f t="shared" ca="1" si="123"/>
        <v>46100</v>
      </c>
      <c r="N613">
        <f t="shared" ca="1" si="124"/>
        <v>2556</v>
      </c>
      <c r="O613">
        <f t="shared" ca="1" si="125"/>
        <v>2556</v>
      </c>
      <c r="P613">
        <f t="shared" ca="1" si="126"/>
        <v>1827</v>
      </c>
      <c r="Q613">
        <v>22</v>
      </c>
      <c r="R613" t="str">
        <f t="shared" si="127"/>
        <v>Young</v>
      </c>
      <c r="S613" t="s">
        <v>24</v>
      </c>
      <c r="T613">
        <v>5</v>
      </c>
      <c r="U613" t="s">
        <v>45</v>
      </c>
      <c r="V613">
        <v>6133.11</v>
      </c>
      <c r="W613" t="s">
        <v>26</v>
      </c>
      <c r="X613" t="s">
        <v>27</v>
      </c>
      <c r="Y613">
        <v>19</v>
      </c>
      <c r="Z613" t="str">
        <f t="shared" si="128"/>
        <v>Bad Employee</v>
      </c>
      <c r="AA613" t="b">
        <f t="shared" si="129"/>
        <v>0</v>
      </c>
      <c r="AB613" t="b">
        <f>OR(Y613&gt;20, T613&gt;6)</f>
        <v>0</v>
      </c>
      <c r="AC613" t="str">
        <f>IF(OR(Y613&gt;20,T613&gt;6), "Good employee", "Bad Employee")</f>
        <v>Bad Employee</v>
      </c>
      <c r="AD613" t="s">
        <v>28</v>
      </c>
      <c r="AE613" t="s">
        <v>37</v>
      </c>
      <c r="AF613">
        <v>6</v>
      </c>
      <c r="AG613">
        <v>2011</v>
      </c>
      <c r="AH613" t="s">
        <v>49</v>
      </c>
      <c r="AI613">
        <v>160</v>
      </c>
      <c r="AJ613">
        <v>2.9</v>
      </c>
    </row>
    <row r="614" spans="1:36" x14ac:dyDescent="0.25">
      <c r="A614">
        <v>10613</v>
      </c>
      <c r="B614" t="s">
        <v>31</v>
      </c>
      <c r="C614" t="s">
        <v>51</v>
      </c>
      <c r="D614" t="s">
        <v>23</v>
      </c>
      <c r="E614" t="str">
        <f t="shared" si="117"/>
        <v>Emily Brown is in HR Department</v>
      </c>
      <c r="F614" s="6" t="str">
        <f t="shared" si="118"/>
        <v>emilybrown@gmail.com</v>
      </c>
      <c r="G614">
        <v>118713</v>
      </c>
      <c r="H614" t="str">
        <f t="shared" si="119"/>
        <v>High</v>
      </c>
      <c r="I614" s="3">
        <v>36609</v>
      </c>
      <c r="J614">
        <f t="shared" si="120"/>
        <v>2000</v>
      </c>
      <c r="K614">
        <f t="shared" si="121"/>
        <v>3</v>
      </c>
      <c r="L614">
        <f t="shared" si="122"/>
        <v>24</v>
      </c>
      <c r="M614" s="3">
        <f t="shared" ca="1" si="123"/>
        <v>46100</v>
      </c>
      <c r="N614">
        <f t="shared" ca="1" si="124"/>
        <v>9491</v>
      </c>
      <c r="O614">
        <f t="shared" ca="1" si="125"/>
        <v>9491</v>
      </c>
      <c r="P614">
        <f t="shared" ca="1" si="126"/>
        <v>6780</v>
      </c>
      <c r="Q614">
        <v>33</v>
      </c>
      <c r="R614" t="str">
        <f t="shared" si="127"/>
        <v>Old</v>
      </c>
      <c r="S614" t="s">
        <v>34</v>
      </c>
      <c r="T614">
        <v>8</v>
      </c>
      <c r="U614" t="s">
        <v>45</v>
      </c>
      <c r="V614">
        <v>6227.89</v>
      </c>
      <c r="W614" t="s">
        <v>58</v>
      </c>
      <c r="X614" t="s">
        <v>47</v>
      </c>
      <c r="Y614">
        <v>28</v>
      </c>
      <c r="Z614" t="str">
        <f t="shared" si="128"/>
        <v>Good Employee</v>
      </c>
      <c r="AA614" t="b">
        <f t="shared" si="129"/>
        <v>1</v>
      </c>
      <c r="AB614" t="b">
        <f>OR(Y614&gt;20, T614&gt;6)</f>
        <v>1</v>
      </c>
      <c r="AC614" t="str">
        <f>IF(OR(Y614&gt;20,T614&gt;6), "Good employee", "Bad Employee")</f>
        <v>Good employee</v>
      </c>
      <c r="AD614" t="s">
        <v>56</v>
      </c>
      <c r="AE614" t="s">
        <v>42</v>
      </c>
      <c r="AF614">
        <v>1</v>
      </c>
      <c r="AG614">
        <v>2011</v>
      </c>
      <c r="AH614" t="s">
        <v>49</v>
      </c>
      <c r="AI614">
        <v>188</v>
      </c>
      <c r="AJ614">
        <v>4.4000000000000004</v>
      </c>
    </row>
    <row r="615" spans="1:36" x14ac:dyDescent="0.25">
      <c r="A615">
        <v>10614</v>
      </c>
      <c r="B615" t="s">
        <v>60</v>
      </c>
      <c r="C615" t="s">
        <v>61</v>
      </c>
      <c r="D615" t="s">
        <v>23</v>
      </c>
      <c r="E615" t="str">
        <f t="shared" si="117"/>
        <v>Jane Smith is in HR Department</v>
      </c>
      <c r="F615" s="6" t="str">
        <f t="shared" si="118"/>
        <v>janesmith@gmail.com</v>
      </c>
      <c r="G615">
        <v>32459</v>
      </c>
      <c r="H615" t="str">
        <f t="shared" si="119"/>
        <v>extremely low</v>
      </c>
      <c r="I615" s="3">
        <v>41361</v>
      </c>
      <c r="J615">
        <f t="shared" si="120"/>
        <v>2013</v>
      </c>
      <c r="K615">
        <f t="shared" si="121"/>
        <v>3</v>
      </c>
      <c r="L615">
        <f t="shared" si="122"/>
        <v>28</v>
      </c>
      <c r="M615" s="3">
        <f t="shared" ca="1" si="123"/>
        <v>46100</v>
      </c>
      <c r="N615">
        <f t="shared" ca="1" si="124"/>
        <v>4739</v>
      </c>
      <c r="O615">
        <f t="shared" ca="1" si="125"/>
        <v>4739</v>
      </c>
      <c r="P615">
        <f t="shared" ca="1" si="126"/>
        <v>3386</v>
      </c>
      <c r="Q615">
        <v>64</v>
      </c>
      <c r="R615" t="str">
        <f t="shared" si="127"/>
        <v>Old</v>
      </c>
      <c r="S615" t="s">
        <v>24</v>
      </c>
      <c r="T615">
        <v>2</v>
      </c>
      <c r="U615" t="s">
        <v>25</v>
      </c>
      <c r="V615">
        <v>9108</v>
      </c>
      <c r="W615" t="s">
        <v>58</v>
      </c>
      <c r="X615" t="s">
        <v>55</v>
      </c>
      <c r="Y615">
        <v>27</v>
      </c>
      <c r="Z615" t="str">
        <f t="shared" si="128"/>
        <v>Bad Employee</v>
      </c>
      <c r="AA615" t="b">
        <f t="shared" si="129"/>
        <v>0</v>
      </c>
      <c r="AB615" t="b">
        <f>OR(Y615&gt;20, T615&gt;6)</f>
        <v>1</v>
      </c>
      <c r="AC615" t="str">
        <f>IF(OR(Y615&gt;20,T615&gt;6), "Good employee", "Bad Employee")</f>
        <v>Good employee</v>
      </c>
      <c r="AD615" t="s">
        <v>56</v>
      </c>
      <c r="AE615" t="s">
        <v>59</v>
      </c>
      <c r="AF615">
        <v>5</v>
      </c>
      <c r="AG615">
        <v>2017</v>
      </c>
      <c r="AH615" t="s">
        <v>49</v>
      </c>
      <c r="AI615">
        <v>105</v>
      </c>
      <c r="AJ615">
        <v>3.3</v>
      </c>
    </row>
    <row r="616" spans="1:36" x14ac:dyDescent="0.25">
      <c r="A616">
        <v>10615</v>
      </c>
      <c r="B616" t="s">
        <v>64</v>
      </c>
      <c r="C616" t="s">
        <v>65</v>
      </c>
      <c r="D616" t="s">
        <v>23</v>
      </c>
      <c r="E616" t="str">
        <f t="shared" si="117"/>
        <v>Katie Johnson is in HR Department</v>
      </c>
      <c r="F616" s="6" t="str">
        <f t="shared" si="118"/>
        <v>katiejohnson@gmail.com</v>
      </c>
      <c r="G616">
        <v>58768</v>
      </c>
      <c r="H616" t="str">
        <f t="shared" si="119"/>
        <v>Medium</v>
      </c>
      <c r="I616" s="3">
        <v>39896</v>
      </c>
      <c r="J616">
        <f t="shared" si="120"/>
        <v>2009</v>
      </c>
      <c r="K616">
        <f t="shared" si="121"/>
        <v>3</v>
      </c>
      <c r="L616">
        <f t="shared" si="122"/>
        <v>24</v>
      </c>
      <c r="M616" s="3">
        <f t="shared" ca="1" si="123"/>
        <v>46100</v>
      </c>
      <c r="N616">
        <f t="shared" ca="1" si="124"/>
        <v>6204</v>
      </c>
      <c r="O616">
        <f t="shared" ca="1" si="125"/>
        <v>6204</v>
      </c>
      <c r="P616">
        <f t="shared" ca="1" si="126"/>
        <v>4433</v>
      </c>
      <c r="Q616">
        <v>50</v>
      </c>
      <c r="R616" t="str">
        <f t="shared" si="127"/>
        <v>Old</v>
      </c>
      <c r="S616" t="s">
        <v>34</v>
      </c>
      <c r="T616">
        <v>9</v>
      </c>
      <c r="U616" t="s">
        <v>45</v>
      </c>
      <c r="V616">
        <v>4942.2299999999996</v>
      </c>
      <c r="W616" t="s">
        <v>26</v>
      </c>
      <c r="X616" t="s">
        <v>55</v>
      </c>
      <c r="Y616">
        <v>26</v>
      </c>
      <c r="Z616" t="str">
        <f t="shared" si="128"/>
        <v>Good Employee</v>
      </c>
      <c r="AA616" t="b">
        <f t="shared" si="129"/>
        <v>1</v>
      </c>
      <c r="AB616" t="b">
        <f>OR(Y616&gt;20, T616&gt;6)</f>
        <v>1</v>
      </c>
      <c r="AC616" t="str">
        <f>IF(OR(Y616&gt;20,T616&gt;6), "Good employee", "Bad Employee")</f>
        <v>Good employee</v>
      </c>
      <c r="AD616" t="s">
        <v>56</v>
      </c>
      <c r="AE616" t="s">
        <v>62</v>
      </c>
      <c r="AF616">
        <v>9</v>
      </c>
      <c r="AG616">
        <v>2013</v>
      </c>
      <c r="AH616" t="s">
        <v>30</v>
      </c>
      <c r="AI616">
        <v>161</v>
      </c>
      <c r="AJ616">
        <v>3.3</v>
      </c>
    </row>
    <row r="617" spans="1:36" x14ac:dyDescent="0.25">
      <c r="A617">
        <v>10616</v>
      </c>
      <c r="B617" t="s">
        <v>50</v>
      </c>
      <c r="C617" t="s">
        <v>61</v>
      </c>
      <c r="D617" t="s">
        <v>33</v>
      </c>
      <c r="E617" t="str">
        <f t="shared" si="117"/>
        <v>Alex Smith is in Marketing Department</v>
      </c>
      <c r="F617" s="6" t="str">
        <f t="shared" si="118"/>
        <v>alexsmith@gmail.com</v>
      </c>
      <c r="G617">
        <v>93146</v>
      </c>
      <c r="H617" t="str">
        <f t="shared" si="119"/>
        <v>High</v>
      </c>
      <c r="I617" s="3">
        <v>40345</v>
      </c>
      <c r="J617">
        <f t="shared" si="120"/>
        <v>2010</v>
      </c>
      <c r="K617">
        <f t="shared" si="121"/>
        <v>6</v>
      </c>
      <c r="L617">
        <f t="shared" si="122"/>
        <v>16</v>
      </c>
      <c r="M617" s="3">
        <f t="shared" ca="1" si="123"/>
        <v>46100</v>
      </c>
      <c r="N617">
        <f t="shared" ca="1" si="124"/>
        <v>5755</v>
      </c>
      <c r="O617">
        <f t="shared" ca="1" si="125"/>
        <v>5755</v>
      </c>
      <c r="P617">
        <f t="shared" ca="1" si="126"/>
        <v>4112</v>
      </c>
      <c r="Q617">
        <v>38</v>
      </c>
      <c r="R617" t="str">
        <f t="shared" si="127"/>
        <v>Old</v>
      </c>
      <c r="S617" t="s">
        <v>34</v>
      </c>
      <c r="T617">
        <v>7</v>
      </c>
      <c r="U617" t="s">
        <v>45</v>
      </c>
      <c r="V617">
        <v>1146.47</v>
      </c>
      <c r="W617" t="s">
        <v>58</v>
      </c>
      <c r="X617" t="s">
        <v>40</v>
      </c>
      <c r="Y617">
        <v>11</v>
      </c>
      <c r="Z617" t="str">
        <f t="shared" si="128"/>
        <v>Bad Employee</v>
      </c>
      <c r="AA617" t="b">
        <f t="shared" si="129"/>
        <v>0</v>
      </c>
      <c r="AB617" t="b">
        <f>OR(Y617&gt;20, T617&gt;6)</f>
        <v>1</v>
      </c>
      <c r="AC617" t="str">
        <f>IF(OR(Y617&gt;20,T617&gt;6), "Good employee", "Bad Employee")</f>
        <v>Good employee</v>
      </c>
      <c r="AD617" t="s">
        <v>56</v>
      </c>
      <c r="AE617" t="s">
        <v>62</v>
      </c>
      <c r="AF617">
        <v>8</v>
      </c>
      <c r="AG617">
        <v>2012</v>
      </c>
      <c r="AH617" t="s">
        <v>30</v>
      </c>
      <c r="AI617">
        <v>33</v>
      </c>
      <c r="AJ617">
        <v>2.7</v>
      </c>
    </row>
    <row r="618" spans="1:36" x14ac:dyDescent="0.25">
      <c r="A618">
        <v>10617</v>
      </c>
      <c r="B618" t="s">
        <v>66</v>
      </c>
      <c r="C618" t="s">
        <v>65</v>
      </c>
      <c r="D618" t="s">
        <v>33</v>
      </c>
      <c r="E618" t="str">
        <f t="shared" si="117"/>
        <v>John Johnson is in Marketing Department</v>
      </c>
      <c r="F618" s="6" t="str">
        <f t="shared" si="118"/>
        <v>johnjohnson@gmail.com</v>
      </c>
      <c r="G618">
        <v>80870</v>
      </c>
      <c r="H618" t="str">
        <f t="shared" si="119"/>
        <v>High</v>
      </c>
      <c r="I618" s="3">
        <v>39890</v>
      </c>
      <c r="J618">
        <f t="shared" si="120"/>
        <v>2009</v>
      </c>
      <c r="K618">
        <f t="shared" si="121"/>
        <v>3</v>
      </c>
      <c r="L618">
        <f t="shared" si="122"/>
        <v>18</v>
      </c>
      <c r="M618" s="3">
        <f t="shared" ca="1" si="123"/>
        <v>46100</v>
      </c>
      <c r="N618">
        <f t="shared" ca="1" si="124"/>
        <v>6210</v>
      </c>
      <c r="O618">
        <f t="shared" ca="1" si="125"/>
        <v>6210</v>
      </c>
      <c r="P618">
        <f t="shared" ca="1" si="126"/>
        <v>4437</v>
      </c>
      <c r="Q618">
        <v>25</v>
      </c>
      <c r="R618" t="str">
        <f t="shared" si="127"/>
        <v>Young</v>
      </c>
      <c r="S618" t="s">
        <v>34</v>
      </c>
      <c r="T618">
        <v>6</v>
      </c>
      <c r="U618" t="s">
        <v>45</v>
      </c>
      <c r="V618">
        <v>2490.5300000000002</v>
      </c>
      <c r="W618" t="s">
        <v>26</v>
      </c>
      <c r="X618" t="s">
        <v>55</v>
      </c>
      <c r="Y618">
        <v>35</v>
      </c>
      <c r="Z618" t="str">
        <f t="shared" si="128"/>
        <v>Bad Employee</v>
      </c>
      <c r="AA618" t="b">
        <f t="shared" si="129"/>
        <v>0</v>
      </c>
      <c r="AB618" t="b">
        <f>OR(Y618&gt;20, T618&gt;6)</f>
        <v>1</v>
      </c>
      <c r="AC618" t="str">
        <f>IF(OR(Y618&gt;20,T618&gt;6), "Good employee", "Bad Employee")</f>
        <v>Good employee</v>
      </c>
      <c r="AD618" t="s">
        <v>41</v>
      </c>
      <c r="AE618" t="s">
        <v>59</v>
      </c>
      <c r="AF618">
        <v>4</v>
      </c>
      <c r="AG618">
        <v>2013</v>
      </c>
      <c r="AH618" t="s">
        <v>30</v>
      </c>
      <c r="AI618">
        <v>73</v>
      </c>
      <c r="AJ618">
        <v>2.5</v>
      </c>
    </row>
    <row r="619" spans="1:36" x14ac:dyDescent="0.25">
      <c r="A619">
        <v>10618</v>
      </c>
      <c r="B619" t="s">
        <v>53</v>
      </c>
      <c r="C619" t="s">
        <v>65</v>
      </c>
      <c r="D619" t="s">
        <v>54</v>
      </c>
      <c r="E619" t="str">
        <f t="shared" si="117"/>
        <v>Sarah Johnson is in Finance Department</v>
      </c>
      <c r="F619" s="6" t="str">
        <f t="shared" si="118"/>
        <v>sarahjohnson@gmail.com</v>
      </c>
      <c r="G619">
        <v>80460</v>
      </c>
      <c r="H619" t="str">
        <f t="shared" si="119"/>
        <v>High</v>
      </c>
      <c r="I619" s="3">
        <v>38283</v>
      </c>
      <c r="J619">
        <f t="shared" si="120"/>
        <v>2004</v>
      </c>
      <c r="K619">
        <f t="shared" si="121"/>
        <v>10</v>
      </c>
      <c r="L619">
        <f t="shared" si="122"/>
        <v>23</v>
      </c>
      <c r="M619" s="3">
        <f t="shared" ca="1" si="123"/>
        <v>46100</v>
      </c>
      <c r="N619">
        <f t="shared" ca="1" si="124"/>
        <v>7817</v>
      </c>
      <c r="O619">
        <f t="shared" ca="1" si="125"/>
        <v>7817</v>
      </c>
      <c r="P619">
        <f t="shared" ca="1" si="126"/>
        <v>5584</v>
      </c>
      <c r="Q619">
        <v>50</v>
      </c>
      <c r="R619" t="str">
        <f t="shared" si="127"/>
        <v>Old</v>
      </c>
      <c r="S619" t="s">
        <v>24</v>
      </c>
      <c r="T619">
        <v>8</v>
      </c>
      <c r="U619" t="s">
        <v>45</v>
      </c>
      <c r="V619">
        <v>576.69000000000005</v>
      </c>
      <c r="W619" t="s">
        <v>46</v>
      </c>
      <c r="X619" t="s">
        <v>55</v>
      </c>
      <c r="Y619">
        <v>20</v>
      </c>
      <c r="Z619" t="str">
        <f t="shared" si="128"/>
        <v>Bad Employee</v>
      </c>
      <c r="AA619" t="b">
        <f t="shared" si="129"/>
        <v>0</v>
      </c>
      <c r="AB619" t="b">
        <f>OR(Y619&gt;20, T619&gt;6)</f>
        <v>1</v>
      </c>
      <c r="AC619" t="str">
        <f>IF(OR(Y619&gt;20,T619&gt;6), "Good employee", "Bad Employee")</f>
        <v>Good employee</v>
      </c>
      <c r="AD619" t="s">
        <v>28</v>
      </c>
      <c r="AE619" t="s">
        <v>37</v>
      </c>
      <c r="AF619">
        <v>2</v>
      </c>
      <c r="AG619">
        <v>2019</v>
      </c>
      <c r="AH619" t="s">
        <v>49</v>
      </c>
      <c r="AI619">
        <v>15</v>
      </c>
      <c r="AJ619">
        <v>2.9</v>
      </c>
    </row>
    <row r="620" spans="1:36" x14ac:dyDescent="0.25">
      <c r="A620">
        <v>10619</v>
      </c>
      <c r="B620" t="s">
        <v>21</v>
      </c>
      <c r="C620" t="s">
        <v>57</v>
      </c>
      <c r="D620" t="s">
        <v>23</v>
      </c>
      <c r="E620" t="str">
        <f t="shared" si="117"/>
        <v>Michael Davis is in HR Department</v>
      </c>
      <c r="F620" s="6" t="str">
        <f t="shared" si="118"/>
        <v>michaeldavis@gmail.com</v>
      </c>
      <c r="G620">
        <v>112970</v>
      </c>
      <c r="H620" t="str">
        <f t="shared" si="119"/>
        <v>High</v>
      </c>
      <c r="I620" s="3">
        <v>42615</v>
      </c>
      <c r="J620">
        <f t="shared" si="120"/>
        <v>2016</v>
      </c>
      <c r="K620">
        <f t="shared" si="121"/>
        <v>9</v>
      </c>
      <c r="L620">
        <f t="shared" si="122"/>
        <v>2</v>
      </c>
      <c r="M620" s="3">
        <f t="shared" ca="1" si="123"/>
        <v>46100</v>
      </c>
      <c r="N620">
        <f t="shared" ca="1" si="124"/>
        <v>3485</v>
      </c>
      <c r="O620">
        <f t="shared" ca="1" si="125"/>
        <v>3485</v>
      </c>
      <c r="P620">
        <f t="shared" ca="1" si="126"/>
        <v>2490</v>
      </c>
      <c r="Q620">
        <v>28</v>
      </c>
      <c r="R620" t="str">
        <f t="shared" si="127"/>
        <v>Young</v>
      </c>
      <c r="S620" t="s">
        <v>34</v>
      </c>
      <c r="T620">
        <v>2</v>
      </c>
      <c r="U620" t="s">
        <v>45</v>
      </c>
      <c r="V620">
        <v>7878.79</v>
      </c>
      <c r="W620" t="s">
        <v>26</v>
      </c>
      <c r="X620" t="s">
        <v>47</v>
      </c>
      <c r="Y620">
        <v>12</v>
      </c>
      <c r="Z620" t="str">
        <f t="shared" si="128"/>
        <v>Bad Employee</v>
      </c>
      <c r="AA620" t="b">
        <f t="shared" si="129"/>
        <v>0</v>
      </c>
      <c r="AB620" t="b">
        <f>OR(Y620&gt;20, T620&gt;6)</f>
        <v>0</v>
      </c>
      <c r="AC620" t="str">
        <f>IF(OR(Y620&gt;20,T620&gt;6), "Good employee", "Bad Employee")</f>
        <v>Bad Employee</v>
      </c>
      <c r="AD620" t="s">
        <v>41</v>
      </c>
      <c r="AE620" t="s">
        <v>48</v>
      </c>
      <c r="AF620">
        <v>10</v>
      </c>
      <c r="AG620">
        <v>2010</v>
      </c>
      <c r="AH620" t="s">
        <v>30</v>
      </c>
      <c r="AI620">
        <v>134</v>
      </c>
      <c r="AJ620">
        <v>2.5</v>
      </c>
    </row>
    <row r="621" spans="1:36" x14ac:dyDescent="0.25">
      <c r="A621">
        <v>10620</v>
      </c>
      <c r="B621" t="s">
        <v>50</v>
      </c>
      <c r="C621" t="s">
        <v>51</v>
      </c>
      <c r="D621" t="s">
        <v>44</v>
      </c>
      <c r="E621" t="str">
        <f t="shared" si="117"/>
        <v>Alex Brown is in Sales Department</v>
      </c>
      <c r="F621" s="6" t="str">
        <f t="shared" si="118"/>
        <v>alexbrown@gmail.com</v>
      </c>
      <c r="G621">
        <v>90817</v>
      </c>
      <c r="H621" t="str">
        <f t="shared" si="119"/>
        <v>High</v>
      </c>
      <c r="I621" s="3">
        <v>40844</v>
      </c>
      <c r="J621">
        <f t="shared" si="120"/>
        <v>2011</v>
      </c>
      <c r="K621">
        <f t="shared" si="121"/>
        <v>10</v>
      </c>
      <c r="L621">
        <f t="shared" si="122"/>
        <v>28</v>
      </c>
      <c r="M621" s="3">
        <f t="shared" ca="1" si="123"/>
        <v>46100</v>
      </c>
      <c r="N621">
        <f t="shared" ca="1" si="124"/>
        <v>5256</v>
      </c>
      <c r="O621">
        <f t="shared" ca="1" si="125"/>
        <v>5256</v>
      </c>
      <c r="P621">
        <f t="shared" ca="1" si="126"/>
        <v>3755</v>
      </c>
      <c r="Q621">
        <v>34</v>
      </c>
      <c r="R621" t="str">
        <f t="shared" si="127"/>
        <v>Old</v>
      </c>
      <c r="S621" t="s">
        <v>34</v>
      </c>
      <c r="T621">
        <v>5</v>
      </c>
      <c r="U621" t="s">
        <v>25</v>
      </c>
      <c r="V621">
        <v>8248.19</v>
      </c>
      <c r="W621" t="s">
        <v>46</v>
      </c>
      <c r="X621" t="s">
        <v>40</v>
      </c>
      <c r="Y621">
        <v>28</v>
      </c>
      <c r="Z621" t="str">
        <f t="shared" si="128"/>
        <v>Bad Employee</v>
      </c>
      <c r="AA621" t="b">
        <f t="shared" si="129"/>
        <v>0</v>
      </c>
      <c r="AB621" t="b">
        <f>OR(Y621&gt;20, T621&gt;6)</f>
        <v>1</v>
      </c>
      <c r="AC621" t="str">
        <f>IF(OR(Y621&gt;20,T621&gt;6), "Good employee", "Bad Employee")</f>
        <v>Good employee</v>
      </c>
      <c r="AD621" t="s">
        <v>41</v>
      </c>
      <c r="AE621" t="s">
        <v>42</v>
      </c>
      <c r="AF621">
        <v>9</v>
      </c>
      <c r="AG621">
        <v>2010</v>
      </c>
      <c r="AH621" t="s">
        <v>49</v>
      </c>
      <c r="AI621">
        <v>142</v>
      </c>
      <c r="AJ621">
        <v>2.4</v>
      </c>
    </row>
    <row r="622" spans="1:36" x14ac:dyDescent="0.25">
      <c r="A622">
        <v>10621</v>
      </c>
      <c r="B622" t="s">
        <v>31</v>
      </c>
      <c r="C622" t="s">
        <v>51</v>
      </c>
      <c r="D622" t="s">
        <v>23</v>
      </c>
      <c r="E622" t="str">
        <f t="shared" si="117"/>
        <v>Emily Brown is in HR Department</v>
      </c>
      <c r="F622" s="6" t="str">
        <f t="shared" si="118"/>
        <v>emilybrown@gmail.com</v>
      </c>
      <c r="G622">
        <v>68247</v>
      </c>
      <c r="H622" t="str">
        <f t="shared" si="119"/>
        <v>Medium</v>
      </c>
      <c r="I622" s="3">
        <v>43462</v>
      </c>
      <c r="J622">
        <f t="shared" si="120"/>
        <v>2018</v>
      </c>
      <c r="K622">
        <f t="shared" si="121"/>
        <v>12</v>
      </c>
      <c r="L622">
        <f t="shared" si="122"/>
        <v>28</v>
      </c>
      <c r="M622" s="3">
        <f t="shared" ca="1" si="123"/>
        <v>46100</v>
      </c>
      <c r="N622">
        <f t="shared" ca="1" si="124"/>
        <v>2638</v>
      </c>
      <c r="O622">
        <f t="shared" ca="1" si="125"/>
        <v>2638</v>
      </c>
      <c r="P622">
        <f t="shared" ca="1" si="126"/>
        <v>1885</v>
      </c>
      <c r="Q622">
        <v>26</v>
      </c>
      <c r="R622" t="str">
        <f t="shared" si="127"/>
        <v>Young</v>
      </c>
      <c r="S622" t="s">
        <v>24</v>
      </c>
      <c r="T622">
        <v>4</v>
      </c>
      <c r="U622" t="s">
        <v>45</v>
      </c>
      <c r="V622">
        <v>9980.43</v>
      </c>
      <c r="W622" t="s">
        <v>35</v>
      </c>
      <c r="X622" t="s">
        <v>47</v>
      </c>
      <c r="Y622">
        <v>2</v>
      </c>
      <c r="Z622" t="str">
        <f t="shared" si="128"/>
        <v>Bad Employee</v>
      </c>
      <c r="AA622" t="b">
        <f t="shared" si="129"/>
        <v>0</v>
      </c>
      <c r="AB622" t="b">
        <f>OR(Y622&gt;20, T622&gt;6)</f>
        <v>0</v>
      </c>
      <c r="AC622" t="str">
        <f>IF(OR(Y622&gt;20,T622&gt;6), "Good employee", "Bad Employee")</f>
        <v>Bad Employee</v>
      </c>
      <c r="AD622" t="s">
        <v>41</v>
      </c>
      <c r="AE622" t="s">
        <v>29</v>
      </c>
      <c r="AF622">
        <v>15</v>
      </c>
      <c r="AG622">
        <v>2014</v>
      </c>
      <c r="AH622" t="s">
        <v>43</v>
      </c>
      <c r="AI622">
        <v>107</v>
      </c>
      <c r="AJ622">
        <v>5</v>
      </c>
    </row>
    <row r="623" spans="1:36" x14ac:dyDescent="0.25">
      <c r="A623">
        <v>10622</v>
      </c>
      <c r="B623" t="s">
        <v>60</v>
      </c>
      <c r="C623" t="s">
        <v>32</v>
      </c>
      <c r="D623" t="s">
        <v>52</v>
      </c>
      <c r="E623" t="str">
        <f t="shared" si="117"/>
        <v>Jane Wilson is in Operations Department</v>
      </c>
      <c r="F623" s="6" t="str">
        <f t="shared" si="118"/>
        <v>janewilson@gmail.com</v>
      </c>
      <c r="G623">
        <v>45419</v>
      </c>
      <c r="H623" t="str">
        <f t="shared" si="119"/>
        <v>low</v>
      </c>
      <c r="I623" s="3">
        <v>39306</v>
      </c>
      <c r="J623">
        <f t="shared" si="120"/>
        <v>2007</v>
      </c>
      <c r="K623">
        <f t="shared" si="121"/>
        <v>8</v>
      </c>
      <c r="L623">
        <f t="shared" si="122"/>
        <v>12</v>
      </c>
      <c r="M623" s="3">
        <f t="shared" ca="1" si="123"/>
        <v>46100</v>
      </c>
      <c r="N623">
        <f t="shared" ca="1" si="124"/>
        <v>6794</v>
      </c>
      <c r="O623">
        <f t="shared" ca="1" si="125"/>
        <v>6794</v>
      </c>
      <c r="P623">
        <f t="shared" ca="1" si="126"/>
        <v>4854</v>
      </c>
      <c r="Q623">
        <v>27</v>
      </c>
      <c r="R623" t="str">
        <f t="shared" si="127"/>
        <v>Young</v>
      </c>
      <c r="S623" t="s">
        <v>24</v>
      </c>
      <c r="T623">
        <v>8</v>
      </c>
      <c r="U623" t="s">
        <v>45</v>
      </c>
      <c r="V623">
        <v>4415.8500000000004</v>
      </c>
      <c r="W623" t="s">
        <v>58</v>
      </c>
      <c r="X623" t="s">
        <v>47</v>
      </c>
      <c r="Y623">
        <v>1</v>
      </c>
      <c r="Z623" t="str">
        <f t="shared" si="128"/>
        <v>Bad Employee</v>
      </c>
      <c r="AA623" t="b">
        <f t="shared" si="129"/>
        <v>0</v>
      </c>
      <c r="AB623" t="b">
        <f>OR(Y623&gt;20, T623&gt;6)</f>
        <v>1</v>
      </c>
      <c r="AC623" t="str">
        <f>IF(OR(Y623&gt;20,T623&gt;6), "Good employee", "Bad Employee")</f>
        <v>Good employee</v>
      </c>
      <c r="AD623" t="s">
        <v>41</v>
      </c>
      <c r="AE623" t="s">
        <v>62</v>
      </c>
      <c r="AF623">
        <v>19</v>
      </c>
      <c r="AG623">
        <v>2016</v>
      </c>
      <c r="AH623" t="s">
        <v>49</v>
      </c>
      <c r="AI623">
        <v>112</v>
      </c>
      <c r="AJ623">
        <v>2.2999999999999998</v>
      </c>
    </row>
    <row r="624" spans="1:36" x14ac:dyDescent="0.25">
      <c r="A624">
        <v>10623</v>
      </c>
      <c r="B624" t="s">
        <v>21</v>
      </c>
      <c r="C624" t="s">
        <v>65</v>
      </c>
      <c r="D624" t="s">
        <v>52</v>
      </c>
      <c r="E624" t="str">
        <f t="shared" si="117"/>
        <v>Michael Johnson is in Operations Department</v>
      </c>
      <c r="F624" s="6" t="str">
        <f t="shared" si="118"/>
        <v>michaeljohnson@gmail.com</v>
      </c>
      <c r="G624">
        <v>65577</v>
      </c>
      <c r="H624" t="str">
        <f t="shared" si="119"/>
        <v>Medium</v>
      </c>
      <c r="I624" s="3">
        <v>39813</v>
      </c>
      <c r="J624">
        <f t="shared" si="120"/>
        <v>2008</v>
      </c>
      <c r="K624">
        <f t="shared" si="121"/>
        <v>12</v>
      </c>
      <c r="L624">
        <f t="shared" si="122"/>
        <v>31</v>
      </c>
      <c r="M624" s="3">
        <f t="shared" ca="1" si="123"/>
        <v>46100</v>
      </c>
      <c r="N624">
        <f t="shared" ca="1" si="124"/>
        <v>6287</v>
      </c>
      <c r="O624">
        <f t="shared" ca="1" si="125"/>
        <v>6287</v>
      </c>
      <c r="P624">
        <f t="shared" ca="1" si="126"/>
        <v>4492</v>
      </c>
      <c r="Q624">
        <v>55</v>
      </c>
      <c r="R624" t="str">
        <f t="shared" si="127"/>
        <v>Old</v>
      </c>
      <c r="S624" t="s">
        <v>34</v>
      </c>
      <c r="T624">
        <v>1</v>
      </c>
      <c r="U624" t="s">
        <v>25</v>
      </c>
      <c r="V624">
        <v>683.33</v>
      </c>
      <c r="W624" t="s">
        <v>58</v>
      </c>
      <c r="X624" t="s">
        <v>36</v>
      </c>
      <c r="Y624">
        <v>9</v>
      </c>
      <c r="Z624" t="str">
        <f t="shared" si="128"/>
        <v>Bad Employee</v>
      </c>
      <c r="AA624" t="b">
        <f t="shared" si="129"/>
        <v>0</v>
      </c>
      <c r="AB624" t="b">
        <f>OR(Y624&gt;20, T624&gt;6)</f>
        <v>0</v>
      </c>
      <c r="AC624" t="str">
        <f>IF(OR(Y624&gt;20,T624&gt;6), "Good employee", "Bad Employee")</f>
        <v>Bad Employee</v>
      </c>
      <c r="AD624" t="s">
        <v>28</v>
      </c>
      <c r="AE624" t="s">
        <v>42</v>
      </c>
      <c r="AF624">
        <v>18</v>
      </c>
      <c r="AG624">
        <v>2018</v>
      </c>
      <c r="AH624" t="s">
        <v>49</v>
      </c>
      <c r="AI624">
        <v>123</v>
      </c>
      <c r="AJ624">
        <v>2</v>
      </c>
    </row>
    <row r="625" spans="1:36" x14ac:dyDescent="0.25">
      <c r="A625">
        <v>10624</v>
      </c>
      <c r="B625" t="s">
        <v>60</v>
      </c>
      <c r="C625" t="s">
        <v>22</v>
      </c>
      <c r="D625" t="s">
        <v>54</v>
      </c>
      <c r="E625" t="str">
        <f t="shared" si="117"/>
        <v>Jane Williams is in Finance Department</v>
      </c>
      <c r="F625" s="6" t="str">
        <f t="shared" si="118"/>
        <v>janewilliams@gmail.com</v>
      </c>
      <c r="G625">
        <v>32921</v>
      </c>
      <c r="H625" t="str">
        <f t="shared" si="119"/>
        <v>extremely low</v>
      </c>
      <c r="I625" s="3">
        <v>38978</v>
      </c>
      <c r="J625">
        <f t="shared" si="120"/>
        <v>2006</v>
      </c>
      <c r="K625">
        <f t="shared" si="121"/>
        <v>9</v>
      </c>
      <c r="L625">
        <f t="shared" si="122"/>
        <v>18</v>
      </c>
      <c r="M625" s="3">
        <f t="shared" ca="1" si="123"/>
        <v>46100</v>
      </c>
      <c r="N625">
        <f t="shared" ca="1" si="124"/>
        <v>7122</v>
      </c>
      <c r="O625">
        <f t="shared" ca="1" si="125"/>
        <v>7122</v>
      </c>
      <c r="P625">
        <f t="shared" ca="1" si="126"/>
        <v>5089</v>
      </c>
      <c r="Q625">
        <v>28</v>
      </c>
      <c r="R625" t="str">
        <f t="shared" si="127"/>
        <v>Young</v>
      </c>
      <c r="S625" t="s">
        <v>34</v>
      </c>
      <c r="T625">
        <v>3</v>
      </c>
      <c r="U625" t="s">
        <v>45</v>
      </c>
      <c r="V625">
        <v>2729.93</v>
      </c>
      <c r="W625" t="s">
        <v>26</v>
      </c>
      <c r="X625" t="s">
        <v>40</v>
      </c>
      <c r="Y625">
        <v>22</v>
      </c>
      <c r="Z625" t="str">
        <f t="shared" si="128"/>
        <v>Bad Employee</v>
      </c>
      <c r="AA625" t="b">
        <f t="shared" si="129"/>
        <v>0</v>
      </c>
      <c r="AB625" t="b">
        <f>OR(Y625&gt;20, T625&gt;6)</f>
        <v>1</v>
      </c>
      <c r="AC625" t="str">
        <f>IF(OR(Y625&gt;20,T625&gt;6), "Good employee", "Bad Employee")</f>
        <v>Good employee</v>
      </c>
      <c r="AD625" t="s">
        <v>28</v>
      </c>
      <c r="AE625" t="s">
        <v>62</v>
      </c>
      <c r="AF625">
        <v>0</v>
      </c>
      <c r="AG625">
        <v>2016</v>
      </c>
      <c r="AH625" t="s">
        <v>49</v>
      </c>
      <c r="AI625">
        <v>159</v>
      </c>
      <c r="AJ625">
        <v>2.4</v>
      </c>
    </row>
    <row r="626" spans="1:36" x14ac:dyDescent="0.25">
      <c r="A626">
        <v>10625</v>
      </c>
      <c r="B626" t="s">
        <v>38</v>
      </c>
      <c r="C626" t="s">
        <v>22</v>
      </c>
      <c r="D626" t="s">
        <v>44</v>
      </c>
      <c r="E626" t="str">
        <f t="shared" si="117"/>
        <v>Chris Williams is in Sales Department</v>
      </c>
      <c r="F626" s="6" t="str">
        <f t="shared" si="118"/>
        <v>chriswilliams@gmail.com</v>
      </c>
      <c r="G626">
        <v>34676</v>
      </c>
      <c r="H626" t="str">
        <f t="shared" si="119"/>
        <v>extremely low</v>
      </c>
      <c r="I626" s="3">
        <v>41814</v>
      </c>
      <c r="J626">
        <f t="shared" si="120"/>
        <v>2014</v>
      </c>
      <c r="K626">
        <f t="shared" si="121"/>
        <v>6</v>
      </c>
      <c r="L626">
        <f t="shared" si="122"/>
        <v>24</v>
      </c>
      <c r="M626" s="3">
        <f t="shared" ca="1" si="123"/>
        <v>46100</v>
      </c>
      <c r="N626">
        <f t="shared" ca="1" si="124"/>
        <v>4286</v>
      </c>
      <c r="O626">
        <f t="shared" ca="1" si="125"/>
        <v>4286</v>
      </c>
      <c r="P626">
        <f t="shared" ca="1" si="126"/>
        <v>3063</v>
      </c>
      <c r="Q626">
        <v>49</v>
      </c>
      <c r="R626" t="str">
        <f t="shared" si="127"/>
        <v>Old</v>
      </c>
      <c r="S626" t="s">
        <v>24</v>
      </c>
      <c r="T626">
        <v>8</v>
      </c>
      <c r="U626" t="s">
        <v>25</v>
      </c>
      <c r="V626">
        <v>6083.8</v>
      </c>
      <c r="W626" t="s">
        <v>35</v>
      </c>
      <c r="X626" t="s">
        <v>47</v>
      </c>
      <c r="Y626">
        <v>27</v>
      </c>
      <c r="Z626" t="str">
        <f t="shared" si="128"/>
        <v>Good Employee</v>
      </c>
      <c r="AA626" t="b">
        <f t="shared" si="129"/>
        <v>1</v>
      </c>
      <c r="AB626" t="b">
        <f>OR(Y626&gt;20, T626&gt;6)</f>
        <v>1</v>
      </c>
      <c r="AC626" t="str">
        <f>IF(OR(Y626&gt;20,T626&gt;6), "Good employee", "Bad Employee")</f>
        <v>Good employee</v>
      </c>
      <c r="AD626" t="s">
        <v>41</v>
      </c>
      <c r="AE626" t="s">
        <v>48</v>
      </c>
      <c r="AF626">
        <v>10</v>
      </c>
      <c r="AG626">
        <v>2020</v>
      </c>
      <c r="AH626" t="s">
        <v>30</v>
      </c>
      <c r="AI626">
        <v>91</v>
      </c>
      <c r="AJ626">
        <v>3.4</v>
      </c>
    </row>
    <row r="627" spans="1:36" x14ac:dyDescent="0.25">
      <c r="A627">
        <v>10626</v>
      </c>
      <c r="B627" t="s">
        <v>60</v>
      </c>
      <c r="C627" t="s">
        <v>61</v>
      </c>
      <c r="D627" t="s">
        <v>23</v>
      </c>
      <c r="E627" t="str">
        <f t="shared" si="117"/>
        <v>Jane Smith is in HR Department</v>
      </c>
      <c r="F627" s="6" t="str">
        <f t="shared" si="118"/>
        <v>janesmith@gmail.com</v>
      </c>
      <c r="G627">
        <v>115961</v>
      </c>
      <c r="H627" t="str">
        <f t="shared" si="119"/>
        <v>High</v>
      </c>
      <c r="I627" s="3">
        <v>36854</v>
      </c>
      <c r="J627">
        <f t="shared" si="120"/>
        <v>2000</v>
      </c>
      <c r="K627">
        <f t="shared" si="121"/>
        <v>11</v>
      </c>
      <c r="L627">
        <f t="shared" si="122"/>
        <v>24</v>
      </c>
      <c r="M627" s="3">
        <f t="shared" ca="1" si="123"/>
        <v>46100</v>
      </c>
      <c r="N627">
        <f t="shared" ca="1" si="124"/>
        <v>9246</v>
      </c>
      <c r="O627">
        <f t="shared" ca="1" si="125"/>
        <v>9246</v>
      </c>
      <c r="P627">
        <f t="shared" ca="1" si="126"/>
        <v>6605</v>
      </c>
      <c r="Q627">
        <v>31</v>
      </c>
      <c r="R627" t="str">
        <f t="shared" si="127"/>
        <v>Old</v>
      </c>
      <c r="S627" t="s">
        <v>24</v>
      </c>
      <c r="T627">
        <v>5</v>
      </c>
      <c r="U627" t="s">
        <v>45</v>
      </c>
      <c r="V627">
        <v>9638.4599999999991</v>
      </c>
      <c r="W627" t="s">
        <v>35</v>
      </c>
      <c r="X627" t="s">
        <v>27</v>
      </c>
      <c r="Y627">
        <v>9</v>
      </c>
      <c r="Z627" t="str">
        <f t="shared" si="128"/>
        <v>Bad Employee</v>
      </c>
      <c r="AA627" t="b">
        <f t="shared" si="129"/>
        <v>0</v>
      </c>
      <c r="AB627" t="b">
        <f>OR(Y627&gt;20, T627&gt;6)</f>
        <v>0</v>
      </c>
      <c r="AC627" t="str">
        <f>IF(OR(Y627&gt;20,T627&gt;6), "Good employee", "Bad Employee")</f>
        <v>Bad Employee</v>
      </c>
      <c r="AD627" t="s">
        <v>56</v>
      </c>
      <c r="AE627" t="s">
        <v>48</v>
      </c>
      <c r="AF627">
        <v>14</v>
      </c>
      <c r="AG627">
        <v>2014</v>
      </c>
      <c r="AH627" t="s">
        <v>49</v>
      </c>
      <c r="AI627">
        <v>116</v>
      </c>
      <c r="AJ627">
        <v>4.5999999999999996</v>
      </c>
    </row>
    <row r="628" spans="1:36" x14ac:dyDescent="0.25">
      <c r="A628">
        <v>10627</v>
      </c>
      <c r="B628" t="s">
        <v>38</v>
      </c>
      <c r="C628" t="s">
        <v>61</v>
      </c>
      <c r="D628" t="s">
        <v>44</v>
      </c>
      <c r="E628" t="str">
        <f t="shared" si="117"/>
        <v>Chris Smith is in Sales Department</v>
      </c>
      <c r="F628" s="6" t="str">
        <f t="shared" si="118"/>
        <v>chrissmith@gmail.com</v>
      </c>
      <c r="G628">
        <v>79684</v>
      </c>
      <c r="H628" t="str">
        <f t="shared" si="119"/>
        <v>Medium</v>
      </c>
      <c r="I628" s="3">
        <v>36951</v>
      </c>
      <c r="J628">
        <f t="shared" si="120"/>
        <v>2001</v>
      </c>
      <c r="K628">
        <f t="shared" si="121"/>
        <v>3</v>
      </c>
      <c r="L628">
        <f t="shared" si="122"/>
        <v>1</v>
      </c>
      <c r="M628" s="3">
        <f t="shared" ca="1" si="123"/>
        <v>46100</v>
      </c>
      <c r="N628">
        <f t="shared" ca="1" si="124"/>
        <v>9149</v>
      </c>
      <c r="O628">
        <f t="shared" ca="1" si="125"/>
        <v>9149</v>
      </c>
      <c r="P628">
        <f t="shared" ca="1" si="126"/>
        <v>6536</v>
      </c>
      <c r="Q628">
        <v>25</v>
      </c>
      <c r="R628" t="str">
        <f t="shared" si="127"/>
        <v>Young</v>
      </c>
      <c r="S628" t="s">
        <v>24</v>
      </c>
      <c r="T628">
        <v>4</v>
      </c>
      <c r="U628" t="s">
        <v>25</v>
      </c>
      <c r="V628">
        <v>1484</v>
      </c>
      <c r="W628" t="s">
        <v>35</v>
      </c>
      <c r="X628" t="s">
        <v>55</v>
      </c>
      <c r="Y628">
        <v>7</v>
      </c>
      <c r="Z628" t="str">
        <f t="shared" si="128"/>
        <v>Bad Employee</v>
      </c>
      <c r="AA628" t="b">
        <f t="shared" si="129"/>
        <v>0</v>
      </c>
      <c r="AB628" t="b">
        <f>OR(Y628&gt;20, T628&gt;6)</f>
        <v>0</v>
      </c>
      <c r="AC628" t="str">
        <f>IF(OR(Y628&gt;20,T628&gt;6), "Good employee", "Bad Employee")</f>
        <v>Bad Employee</v>
      </c>
      <c r="AD628" t="s">
        <v>56</v>
      </c>
      <c r="AE628" t="s">
        <v>59</v>
      </c>
      <c r="AF628">
        <v>6</v>
      </c>
      <c r="AG628">
        <v>2012</v>
      </c>
      <c r="AH628" t="s">
        <v>43</v>
      </c>
      <c r="AI628">
        <v>167</v>
      </c>
      <c r="AJ628">
        <v>4.2</v>
      </c>
    </row>
    <row r="629" spans="1:36" x14ac:dyDescent="0.25">
      <c r="A629">
        <v>10628</v>
      </c>
      <c r="B629" t="s">
        <v>64</v>
      </c>
      <c r="C629" t="s">
        <v>57</v>
      </c>
      <c r="D629" t="s">
        <v>54</v>
      </c>
      <c r="E629" t="str">
        <f t="shared" si="117"/>
        <v>Katie Davis is in Finance Department</v>
      </c>
      <c r="F629" s="6" t="str">
        <f t="shared" si="118"/>
        <v>katiedavis@gmail.com</v>
      </c>
      <c r="G629">
        <v>43463</v>
      </c>
      <c r="H629" t="str">
        <f t="shared" si="119"/>
        <v>low</v>
      </c>
      <c r="I629" s="3">
        <v>42199</v>
      </c>
      <c r="J629">
        <f t="shared" si="120"/>
        <v>2015</v>
      </c>
      <c r="K629">
        <f t="shared" si="121"/>
        <v>7</v>
      </c>
      <c r="L629">
        <f t="shared" si="122"/>
        <v>14</v>
      </c>
      <c r="M629" s="3">
        <f t="shared" ca="1" si="123"/>
        <v>46100</v>
      </c>
      <c r="N629">
        <f t="shared" ca="1" si="124"/>
        <v>3901</v>
      </c>
      <c r="O629">
        <f t="shared" ca="1" si="125"/>
        <v>3901</v>
      </c>
      <c r="P629">
        <f t="shared" ca="1" si="126"/>
        <v>2788</v>
      </c>
      <c r="Q629">
        <v>24</v>
      </c>
      <c r="R629" t="str">
        <f t="shared" si="127"/>
        <v>Young</v>
      </c>
      <c r="S629" t="s">
        <v>34</v>
      </c>
      <c r="T629">
        <v>6</v>
      </c>
      <c r="U629" t="s">
        <v>25</v>
      </c>
      <c r="V629">
        <v>1654.94</v>
      </c>
      <c r="W629" t="s">
        <v>35</v>
      </c>
      <c r="X629" t="s">
        <v>40</v>
      </c>
      <c r="Y629">
        <v>36</v>
      </c>
      <c r="Z629" t="str">
        <f t="shared" si="128"/>
        <v>Bad Employee</v>
      </c>
      <c r="AA629" t="b">
        <f t="shared" si="129"/>
        <v>0</v>
      </c>
      <c r="AB629" t="b">
        <f>OR(Y629&gt;20, T629&gt;6)</f>
        <v>1</v>
      </c>
      <c r="AC629" t="str">
        <f>IF(OR(Y629&gt;20,T629&gt;6), "Good employee", "Bad Employee")</f>
        <v>Good employee</v>
      </c>
      <c r="AD629" t="s">
        <v>56</v>
      </c>
      <c r="AE629" t="s">
        <v>59</v>
      </c>
      <c r="AF629">
        <v>7</v>
      </c>
      <c r="AG629">
        <v>2017</v>
      </c>
      <c r="AH629" t="s">
        <v>43</v>
      </c>
      <c r="AI629">
        <v>182</v>
      </c>
      <c r="AJ629">
        <v>4.4000000000000004</v>
      </c>
    </row>
    <row r="630" spans="1:36" x14ac:dyDescent="0.25">
      <c r="A630">
        <v>10629</v>
      </c>
      <c r="B630" t="s">
        <v>21</v>
      </c>
      <c r="C630" t="s">
        <v>65</v>
      </c>
      <c r="D630" t="s">
        <v>52</v>
      </c>
      <c r="E630" t="str">
        <f t="shared" si="117"/>
        <v>Michael Johnson is in Operations Department</v>
      </c>
      <c r="F630" s="6" t="str">
        <f t="shared" si="118"/>
        <v>michaeljohnson@gmail.com</v>
      </c>
      <c r="G630">
        <v>55474</v>
      </c>
      <c r="H630" t="str">
        <f t="shared" si="119"/>
        <v>Medium</v>
      </c>
      <c r="I630" s="3">
        <v>37295</v>
      </c>
      <c r="J630">
        <f t="shared" si="120"/>
        <v>2002</v>
      </c>
      <c r="K630">
        <f t="shared" si="121"/>
        <v>2</v>
      </c>
      <c r="L630">
        <f t="shared" si="122"/>
        <v>8</v>
      </c>
      <c r="M630" s="3">
        <f t="shared" ca="1" si="123"/>
        <v>46100</v>
      </c>
      <c r="N630">
        <f t="shared" ca="1" si="124"/>
        <v>8805</v>
      </c>
      <c r="O630">
        <f t="shared" ca="1" si="125"/>
        <v>8805</v>
      </c>
      <c r="P630">
        <f t="shared" ca="1" si="126"/>
        <v>6290</v>
      </c>
      <c r="Q630">
        <v>46</v>
      </c>
      <c r="R630" t="str">
        <f t="shared" si="127"/>
        <v>Old</v>
      </c>
      <c r="S630" t="s">
        <v>24</v>
      </c>
      <c r="T630">
        <v>5</v>
      </c>
      <c r="U630" t="s">
        <v>25</v>
      </c>
      <c r="V630">
        <v>7166.71</v>
      </c>
      <c r="W630" t="s">
        <v>58</v>
      </c>
      <c r="X630" t="s">
        <v>36</v>
      </c>
      <c r="Y630">
        <v>38</v>
      </c>
      <c r="Z630" t="str">
        <f t="shared" si="128"/>
        <v>Bad Employee</v>
      </c>
      <c r="AA630" t="b">
        <f t="shared" si="129"/>
        <v>0</v>
      </c>
      <c r="AB630" t="b">
        <f>OR(Y630&gt;20, T630&gt;6)</f>
        <v>1</v>
      </c>
      <c r="AC630" t="str">
        <f>IF(OR(Y630&gt;20,T630&gt;6), "Good employee", "Bad Employee")</f>
        <v>Good employee</v>
      </c>
      <c r="AD630" t="s">
        <v>56</v>
      </c>
      <c r="AE630" t="s">
        <v>62</v>
      </c>
      <c r="AF630">
        <v>15</v>
      </c>
      <c r="AG630">
        <v>2021</v>
      </c>
      <c r="AH630" t="s">
        <v>43</v>
      </c>
      <c r="AI630">
        <v>78</v>
      </c>
      <c r="AJ630">
        <v>4.4000000000000004</v>
      </c>
    </row>
    <row r="631" spans="1:36" x14ac:dyDescent="0.25">
      <c r="A631">
        <v>10630</v>
      </c>
      <c r="B631" t="s">
        <v>21</v>
      </c>
      <c r="C631" t="s">
        <v>61</v>
      </c>
      <c r="D631" t="s">
        <v>52</v>
      </c>
      <c r="E631" t="str">
        <f t="shared" si="117"/>
        <v>Michael Smith is in Operations Department</v>
      </c>
      <c r="F631" s="6" t="str">
        <f t="shared" si="118"/>
        <v>michaelsmith@gmail.com</v>
      </c>
      <c r="G631">
        <v>70935</v>
      </c>
      <c r="H631" t="str">
        <f t="shared" si="119"/>
        <v>Medium</v>
      </c>
      <c r="I631" s="3">
        <v>41841</v>
      </c>
      <c r="J631">
        <f t="shared" si="120"/>
        <v>2014</v>
      </c>
      <c r="K631">
        <f t="shared" si="121"/>
        <v>7</v>
      </c>
      <c r="L631">
        <f t="shared" si="122"/>
        <v>21</v>
      </c>
      <c r="M631" s="3">
        <f t="shared" ca="1" si="123"/>
        <v>46100</v>
      </c>
      <c r="N631">
        <f t="shared" ca="1" si="124"/>
        <v>4259</v>
      </c>
      <c r="O631">
        <f t="shared" ca="1" si="125"/>
        <v>4259</v>
      </c>
      <c r="P631">
        <f t="shared" ca="1" si="126"/>
        <v>3044</v>
      </c>
      <c r="Q631">
        <v>44</v>
      </c>
      <c r="R631" t="str">
        <f t="shared" si="127"/>
        <v>Old</v>
      </c>
      <c r="S631" t="s">
        <v>34</v>
      </c>
      <c r="T631">
        <v>3</v>
      </c>
      <c r="U631" t="s">
        <v>45</v>
      </c>
      <c r="V631">
        <v>6838.47</v>
      </c>
      <c r="W631" t="s">
        <v>26</v>
      </c>
      <c r="X631" t="s">
        <v>47</v>
      </c>
      <c r="Y631">
        <v>2</v>
      </c>
      <c r="Z631" t="str">
        <f t="shared" si="128"/>
        <v>Bad Employee</v>
      </c>
      <c r="AA631" t="b">
        <f t="shared" si="129"/>
        <v>0</v>
      </c>
      <c r="AB631" t="b">
        <f>OR(Y631&gt;20, T631&gt;6)</f>
        <v>0</v>
      </c>
      <c r="AC631" t="str">
        <f>IF(OR(Y631&gt;20,T631&gt;6), "Good employee", "Bad Employee")</f>
        <v>Bad Employee</v>
      </c>
      <c r="AD631" t="s">
        <v>56</v>
      </c>
      <c r="AE631" t="s">
        <v>62</v>
      </c>
      <c r="AF631">
        <v>17</v>
      </c>
      <c r="AG631">
        <v>2016</v>
      </c>
      <c r="AH631" t="s">
        <v>43</v>
      </c>
      <c r="AI631">
        <v>6</v>
      </c>
      <c r="AJ631">
        <v>4.7</v>
      </c>
    </row>
    <row r="632" spans="1:36" x14ac:dyDescent="0.25">
      <c r="A632">
        <v>10631</v>
      </c>
      <c r="B632" t="s">
        <v>66</v>
      </c>
      <c r="C632" t="s">
        <v>61</v>
      </c>
      <c r="D632" t="s">
        <v>33</v>
      </c>
      <c r="E632" t="str">
        <f t="shared" si="117"/>
        <v>John Smith is in Marketing Department</v>
      </c>
      <c r="F632" s="6" t="str">
        <f t="shared" si="118"/>
        <v>johnsmith@gmail.com</v>
      </c>
      <c r="G632">
        <v>97005</v>
      </c>
      <c r="H632" t="str">
        <f t="shared" si="119"/>
        <v>High</v>
      </c>
      <c r="I632" s="3">
        <v>40501</v>
      </c>
      <c r="J632">
        <f t="shared" si="120"/>
        <v>2010</v>
      </c>
      <c r="K632">
        <f t="shared" si="121"/>
        <v>11</v>
      </c>
      <c r="L632">
        <f t="shared" si="122"/>
        <v>19</v>
      </c>
      <c r="M632" s="3">
        <f t="shared" ca="1" si="123"/>
        <v>46100</v>
      </c>
      <c r="N632">
        <f t="shared" ca="1" si="124"/>
        <v>5599</v>
      </c>
      <c r="O632">
        <f t="shared" ca="1" si="125"/>
        <v>5599</v>
      </c>
      <c r="P632">
        <f t="shared" ca="1" si="126"/>
        <v>4000</v>
      </c>
      <c r="Q632">
        <v>48</v>
      </c>
      <c r="R632" t="str">
        <f t="shared" si="127"/>
        <v>Old</v>
      </c>
      <c r="S632" t="s">
        <v>34</v>
      </c>
      <c r="T632">
        <v>5</v>
      </c>
      <c r="U632" t="s">
        <v>45</v>
      </c>
      <c r="V632">
        <v>2879.81</v>
      </c>
      <c r="W632" t="s">
        <v>26</v>
      </c>
      <c r="X632" t="s">
        <v>27</v>
      </c>
      <c r="Y632">
        <v>5</v>
      </c>
      <c r="Z632" t="str">
        <f t="shared" si="128"/>
        <v>Bad Employee</v>
      </c>
      <c r="AA632" t="b">
        <f t="shared" si="129"/>
        <v>0</v>
      </c>
      <c r="AB632" t="b">
        <f>OR(Y632&gt;20, T632&gt;6)</f>
        <v>0</v>
      </c>
      <c r="AC632" t="str">
        <f>IF(OR(Y632&gt;20,T632&gt;6), "Good employee", "Bad Employee")</f>
        <v>Bad Employee</v>
      </c>
      <c r="AD632" t="s">
        <v>28</v>
      </c>
      <c r="AE632" t="s">
        <v>42</v>
      </c>
      <c r="AF632">
        <v>10</v>
      </c>
      <c r="AG632">
        <v>2013</v>
      </c>
      <c r="AH632" t="s">
        <v>43</v>
      </c>
      <c r="AI632">
        <v>21</v>
      </c>
      <c r="AJ632">
        <v>1.9</v>
      </c>
    </row>
    <row r="633" spans="1:36" x14ac:dyDescent="0.25">
      <c r="A633">
        <v>10632</v>
      </c>
      <c r="B633" t="s">
        <v>31</v>
      </c>
      <c r="C633" t="s">
        <v>63</v>
      </c>
      <c r="D633" t="s">
        <v>54</v>
      </c>
      <c r="E633" t="str">
        <f t="shared" si="117"/>
        <v>Emily Miller is in Finance Department</v>
      </c>
      <c r="F633" s="6" t="str">
        <f t="shared" si="118"/>
        <v>emilymiller@gmail.com</v>
      </c>
      <c r="G633">
        <v>88596</v>
      </c>
      <c r="H633" t="str">
        <f t="shared" si="119"/>
        <v>High</v>
      </c>
      <c r="I633" s="3">
        <v>37133</v>
      </c>
      <c r="J633">
        <f t="shared" si="120"/>
        <v>2001</v>
      </c>
      <c r="K633">
        <f t="shared" si="121"/>
        <v>8</v>
      </c>
      <c r="L633">
        <f t="shared" si="122"/>
        <v>30</v>
      </c>
      <c r="M633" s="3">
        <f t="shared" ca="1" si="123"/>
        <v>46100</v>
      </c>
      <c r="N633">
        <f t="shared" ca="1" si="124"/>
        <v>8967</v>
      </c>
      <c r="O633">
        <f t="shared" ca="1" si="125"/>
        <v>8967</v>
      </c>
      <c r="P633">
        <f t="shared" ca="1" si="126"/>
        <v>6406</v>
      </c>
      <c r="Q633">
        <v>35</v>
      </c>
      <c r="R633" t="str">
        <f t="shared" si="127"/>
        <v>Old</v>
      </c>
      <c r="S633" t="s">
        <v>34</v>
      </c>
      <c r="T633">
        <v>4</v>
      </c>
      <c r="U633" t="s">
        <v>25</v>
      </c>
      <c r="V633">
        <v>8224.8799999999992</v>
      </c>
      <c r="W633" t="s">
        <v>46</v>
      </c>
      <c r="X633" t="s">
        <v>55</v>
      </c>
      <c r="Y633">
        <v>17</v>
      </c>
      <c r="Z633" t="str">
        <f t="shared" si="128"/>
        <v>Bad Employee</v>
      </c>
      <c r="AA633" t="b">
        <f t="shared" si="129"/>
        <v>0</v>
      </c>
      <c r="AB633" t="b">
        <f>OR(Y633&gt;20, T633&gt;6)</f>
        <v>0</v>
      </c>
      <c r="AC633" t="str">
        <f>IF(OR(Y633&gt;20,T633&gt;6), "Good employee", "Bad Employee")</f>
        <v>Bad Employee</v>
      </c>
      <c r="AD633" t="s">
        <v>56</v>
      </c>
      <c r="AE633" t="s">
        <v>59</v>
      </c>
      <c r="AF633">
        <v>0</v>
      </c>
      <c r="AG633">
        <v>2010</v>
      </c>
      <c r="AH633" t="s">
        <v>43</v>
      </c>
      <c r="AI633">
        <v>99</v>
      </c>
      <c r="AJ633">
        <v>2.8</v>
      </c>
    </row>
    <row r="634" spans="1:36" x14ac:dyDescent="0.25">
      <c r="A634">
        <v>10633</v>
      </c>
      <c r="B634" t="s">
        <v>38</v>
      </c>
      <c r="C634" t="s">
        <v>65</v>
      </c>
      <c r="D634" t="s">
        <v>54</v>
      </c>
      <c r="E634" t="str">
        <f t="shared" si="117"/>
        <v>Chris Johnson is in Finance Department</v>
      </c>
      <c r="F634" s="6" t="str">
        <f t="shared" si="118"/>
        <v>chrisjohnson@gmail.com</v>
      </c>
      <c r="G634">
        <v>102828</v>
      </c>
      <c r="H634" t="str">
        <f t="shared" si="119"/>
        <v>High</v>
      </c>
      <c r="I634" s="3">
        <v>38378</v>
      </c>
      <c r="J634">
        <f t="shared" si="120"/>
        <v>2005</v>
      </c>
      <c r="K634">
        <f t="shared" si="121"/>
        <v>1</v>
      </c>
      <c r="L634">
        <f t="shared" si="122"/>
        <v>26</v>
      </c>
      <c r="M634" s="3">
        <f t="shared" ca="1" si="123"/>
        <v>46100</v>
      </c>
      <c r="N634">
        <f t="shared" ca="1" si="124"/>
        <v>7722</v>
      </c>
      <c r="O634">
        <f t="shared" ca="1" si="125"/>
        <v>7722</v>
      </c>
      <c r="P634">
        <f t="shared" ca="1" si="126"/>
        <v>5517</v>
      </c>
      <c r="Q634">
        <v>59</v>
      </c>
      <c r="R634" t="str">
        <f t="shared" si="127"/>
        <v>Old</v>
      </c>
      <c r="S634" t="s">
        <v>24</v>
      </c>
      <c r="T634">
        <v>1</v>
      </c>
      <c r="U634" t="s">
        <v>25</v>
      </c>
      <c r="V634">
        <v>1723.4</v>
      </c>
      <c r="W634" t="s">
        <v>58</v>
      </c>
      <c r="X634" t="s">
        <v>55</v>
      </c>
      <c r="Y634">
        <v>37</v>
      </c>
      <c r="Z634" t="str">
        <f t="shared" si="128"/>
        <v>Bad Employee</v>
      </c>
      <c r="AA634" t="b">
        <f t="shared" si="129"/>
        <v>0</v>
      </c>
      <c r="AB634" t="b">
        <f>OR(Y634&gt;20, T634&gt;6)</f>
        <v>1</v>
      </c>
      <c r="AC634" t="str">
        <f>IF(OR(Y634&gt;20,T634&gt;6), "Good employee", "Bad Employee")</f>
        <v>Good employee</v>
      </c>
      <c r="AD634" t="s">
        <v>28</v>
      </c>
      <c r="AE634" t="s">
        <v>48</v>
      </c>
      <c r="AF634">
        <v>15</v>
      </c>
      <c r="AG634">
        <v>2022</v>
      </c>
      <c r="AH634" t="s">
        <v>49</v>
      </c>
      <c r="AI634">
        <v>84</v>
      </c>
      <c r="AJ634">
        <v>2.5</v>
      </c>
    </row>
    <row r="635" spans="1:36" x14ac:dyDescent="0.25">
      <c r="A635">
        <v>10634</v>
      </c>
      <c r="B635" t="s">
        <v>66</v>
      </c>
      <c r="C635" t="s">
        <v>57</v>
      </c>
      <c r="D635" t="s">
        <v>23</v>
      </c>
      <c r="E635" t="str">
        <f t="shared" si="117"/>
        <v>John Davis is in HR Department</v>
      </c>
      <c r="F635" s="6" t="str">
        <f t="shared" si="118"/>
        <v>johndavis@gmail.com</v>
      </c>
      <c r="G635">
        <v>119062</v>
      </c>
      <c r="H635" t="str">
        <f t="shared" si="119"/>
        <v>High</v>
      </c>
      <c r="I635" s="3">
        <v>43195</v>
      </c>
      <c r="J635">
        <f t="shared" si="120"/>
        <v>2018</v>
      </c>
      <c r="K635">
        <f t="shared" si="121"/>
        <v>4</v>
      </c>
      <c r="L635">
        <f t="shared" si="122"/>
        <v>5</v>
      </c>
      <c r="M635" s="3">
        <f t="shared" ca="1" si="123"/>
        <v>46100</v>
      </c>
      <c r="N635">
        <f t="shared" ca="1" si="124"/>
        <v>2905</v>
      </c>
      <c r="O635">
        <f t="shared" ca="1" si="125"/>
        <v>2905</v>
      </c>
      <c r="P635">
        <f t="shared" ca="1" si="126"/>
        <v>2076</v>
      </c>
      <c r="Q635">
        <v>53</v>
      </c>
      <c r="R635" t="str">
        <f t="shared" si="127"/>
        <v>Old</v>
      </c>
      <c r="S635" t="s">
        <v>24</v>
      </c>
      <c r="T635">
        <v>1</v>
      </c>
      <c r="U635" t="s">
        <v>25</v>
      </c>
      <c r="V635">
        <v>9294.5499999999993</v>
      </c>
      <c r="W635" t="s">
        <v>46</v>
      </c>
      <c r="X635" t="s">
        <v>27</v>
      </c>
      <c r="Y635">
        <v>35</v>
      </c>
      <c r="Z635" t="str">
        <f t="shared" si="128"/>
        <v>Bad Employee</v>
      </c>
      <c r="AA635" t="b">
        <f t="shared" si="129"/>
        <v>0</v>
      </c>
      <c r="AB635" t="b">
        <f>OR(Y635&gt;20, T635&gt;6)</f>
        <v>1</v>
      </c>
      <c r="AC635" t="str">
        <f>IF(OR(Y635&gt;20,T635&gt;6), "Good employee", "Bad Employee")</f>
        <v>Good employee</v>
      </c>
      <c r="AD635" t="s">
        <v>56</v>
      </c>
      <c r="AE635" t="s">
        <v>37</v>
      </c>
      <c r="AF635">
        <v>3</v>
      </c>
      <c r="AG635">
        <v>2012</v>
      </c>
      <c r="AH635" t="s">
        <v>30</v>
      </c>
      <c r="AI635">
        <v>28</v>
      </c>
      <c r="AJ635">
        <v>2.5</v>
      </c>
    </row>
    <row r="636" spans="1:36" x14ac:dyDescent="0.25">
      <c r="A636">
        <v>10635</v>
      </c>
      <c r="B636" t="s">
        <v>60</v>
      </c>
      <c r="C636" t="s">
        <v>61</v>
      </c>
      <c r="D636" t="s">
        <v>23</v>
      </c>
      <c r="E636" t="str">
        <f t="shared" si="117"/>
        <v>Jane Smith is in HR Department</v>
      </c>
      <c r="F636" s="6" t="str">
        <f t="shared" si="118"/>
        <v>janesmith@gmail.com</v>
      </c>
      <c r="G636">
        <v>85152</v>
      </c>
      <c r="H636" t="str">
        <f t="shared" si="119"/>
        <v>High</v>
      </c>
      <c r="I636" s="3">
        <v>39198</v>
      </c>
      <c r="J636">
        <f t="shared" si="120"/>
        <v>2007</v>
      </c>
      <c r="K636">
        <f t="shared" si="121"/>
        <v>4</v>
      </c>
      <c r="L636">
        <f t="shared" si="122"/>
        <v>26</v>
      </c>
      <c r="M636" s="3">
        <f t="shared" ca="1" si="123"/>
        <v>46100</v>
      </c>
      <c r="N636">
        <f t="shared" ca="1" si="124"/>
        <v>6902</v>
      </c>
      <c r="O636">
        <f t="shared" ca="1" si="125"/>
        <v>6902</v>
      </c>
      <c r="P636">
        <f t="shared" ca="1" si="126"/>
        <v>4931</v>
      </c>
      <c r="Q636">
        <v>44</v>
      </c>
      <c r="R636" t="str">
        <f t="shared" si="127"/>
        <v>Old</v>
      </c>
      <c r="S636" t="s">
        <v>24</v>
      </c>
      <c r="T636">
        <v>7</v>
      </c>
      <c r="U636" t="s">
        <v>25</v>
      </c>
      <c r="V636">
        <v>2409.8000000000002</v>
      </c>
      <c r="W636" t="s">
        <v>35</v>
      </c>
      <c r="X636" t="s">
        <v>40</v>
      </c>
      <c r="Y636">
        <v>8</v>
      </c>
      <c r="Z636" t="str">
        <f t="shared" si="128"/>
        <v>Bad Employee</v>
      </c>
      <c r="AA636" t="b">
        <f t="shared" si="129"/>
        <v>0</v>
      </c>
      <c r="AB636" t="b">
        <f>OR(Y636&gt;20, T636&gt;6)</f>
        <v>1</v>
      </c>
      <c r="AC636" t="str">
        <f>IF(OR(Y636&gt;20,T636&gt;6), "Good employee", "Bad Employee")</f>
        <v>Good employee</v>
      </c>
      <c r="AD636" t="s">
        <v>56</v>
      </c>
      <c r="AE636" t="s">
        <v>42</v>
      </c>
      <c r="AF636">
        <v>5</v>
      </c>
      <c r="AG636">
        <v>2020</v>
      </c>
      <c r="AH636" t="s">
        <v>30</v>
      </c>
      <c r="AI636">
        <v>61</v>
      </c>
      <c r="AJ636">
        <v>3.6</v>
      </c>
    </row>
    <row r="637" spans="1:36" x14ac:dyDescent="0.25">
      <c r="A637">
        <v>10636</v>
      </c>
      <c r="B637" t="s">
        <v>60</v>
      </c>
      <c r="C637" t="s">
        <v>57</v>
      </c>
      <c r="D637" t="s">
        <v>33</v>
      </c>
      <c r="E637" t="str">
        <f t="shared" si="117"/>
        <v>Jane Davis is in Marketing Department</v>
      </c>
      <c r="F637" s="6" t="str">
        <f t="shared" si="118"/>
        <v>janedavis@gmail.com</v>
      </c>
      <c r="G637">
        <v>119001</v>
      </c>
      <c r="H637" t="str">
        <f t="shared" si="119"/>
        <v>High</v>
      </c>
      <c r="I637" s="3">
        <v>38650</v>
      </c>
      <c r="J637">
        <f t="shared" si="120"/>
        <v>2005</v>
      </c>
      <c r="K637">
        <f t="shared" si="121"/>
        <v>10</v>
      </c>
      <c r="L637">
        <f t="shared" si="122"/>
        <v>25</v>
      </c>
      <c r="M637" s="3">
        <f t="shared" ca="1" si="123"/>
        <v>46100</v>
      </c>
      <c r="N637">
        <f t="shared" ca="1" si="124"/>
        <v>7450</v>
      </c>
      <c r="O637">
        <f t="shared" ca="1" si="125"/>
        <v>7450</v>
      </c>
      <c r="P637">
        <f t="shared" ca="1" si="126"/>
        <v>5323</v>
      </c>
      <c r="Q637">
        <v>61</v>
      </c>
      <c r="R637" t="str">
        <f t="shared" si="127"/>
        <v>Old</v>
      </c>
      <c r="S637" t="s">
        <v>34</v>
      </c>
      <c r="T637">
        <v>4</v>
      </c>
      <c r="U637" t="s">
        <v>25</v>
      </c>
      <c r="V637">
        <v>1272.8499999999999</v>
      </c>
      <c r="W637" t="s">
        <v>26</v>
      </c>
      <c r="X637" t="s">
        <v>55</v>
      </c>
      <c r="Y637">
        <v>3</v>
      </c>
      <c r="Z637" t="str">
        <f t="shared" si="128"/>
        <v>Bad Employee</v>
      </c>
      <c r="AA637" t="b">
        <f t="shared" si="129"/>
        <v>0</v>
      </c>
      <c r="AB637" t="b">
        <f>OR(Y637&gt;20, T637&gt;6)</f>
        <v>0</v>
      </c>
      <c r="AC637" t="str">
        <f>IF(OR(Y637&gt;20,T637&gt;6), "Good employee", "Bad Employee")</f>
        <v>Bad Employee</v>
      </c>
      <c r="AD637" t="s">
        <v>41</v>
      </c>
      <c r="AE637" t="s">
        <v>42</v>
      </c>
      <c r="AF637">
        <v>10</v>
      </c>
      <c r="AG637">
        <v>2017</v>
      </c>
      <c r="AH637" t="s">
        <v>43</v>
      </c>
      <c r="AI637">
        <v>75</v>
      </c>
      <c r="AJ637">
        <v>2.6</v>
      </c>
    </row>
    <row r="638" spans="1:36" x14ac:dyDescent="0.25">
      <c r="A638">
        <v>10637</v>
      </c>
      <c r="B638" t="s">
        <v>66</v>
      </c>
      <c r="C638" t="s">
        <v>51</v>
      </c>
      <c r="D638" t="s">
        <v>39</v>
      </c>
      <c r="E638" t="str">
        <f t="shared" si="117"/>
        <v>John Brown is in IT Department</v>
      </c>
      <c r="F638" s="6" t="str">
        <f t="shared" si="118"/>
        <v>johnbrown@gmail.com</v>
      </c>
      <c r="G638">
        <v>116569</v>
      </c>
      <c r="H638" t="str">
        <f t="shared" si="119"/>
        <v>High</v>
      </c>
      <c r="I638" s="3">
        <v>42668</v>
      </c>
      <c r="J638">
        <f t="shared" si="120"/>
        <v>2016</v>
      </c>
      <c r="K638">
        <f t="shared" si="121"/>
        <v>10</v>
      </c>
      <c r="L638">
        <f t="shared" si="122"/>
        <v>25</v>
      </c>
      <c r="M638" s="3">
        <f t="shared" ca="1" si="123"/>
        <v>46100</v>
      </c>
      <c r="N638">
        <f t="shared" ca="1" si="124"/>
        <v>3432</v>
      </c>
      <c r="O638">
        <f t="shared" ca="1" si="125"/>
        <v>3432</v>
      </c>
      <c r="P638">
        <f t="shared" ca="1" si="126"/>
        <v>2453</v>
      </c>
      <c r="Q638">
        <v>58</v>
      </c>
      <c r="R638" t="str">
        <f t="shared" si="127"/>
        <v>Old</v>
      </c>
      <c r="S638" t="s">
        <v>34</v>
      </c>
      <c r="T638">
        <v>1</v>
      </c>
      <c r="U638" t="s">
        <v>25</v>
      </c>
      <c r="V638">
        <v>3725.46</v>
      </c>
      <c r="W638" t="s">
        <v>46</v>
      </c>
      <c r="X638" t="s">
        <v>55</v>
      </c>
      <c r="Y638">
        <v>3</v>
      </c>
      <c r="Z638" t="str">
        <f t="shared" si="128"/>
        <v>Bad Employee</v>
      </c>
      <c r="AA638" t="b">
        <f t="shared" si="129"/>
        <v>0</v>
      </c>
      <c r="AB638" t="b">
        <f>OR(Y638&gt;20, T638&gt;6)</f>
        <v>0</v>
      </c>
      <c r="AC638" t="str">
        <f>IF(OR(Y638&gt;20,T638&gt;6), "Good employee", "Bad Employee")</f>
        <v>Bad Employee</v>
      </c>
      <c r="AD638" t="s">
        <v>41</v>
      </c>
      <c r="AE638" t="s">
        <v>29</v>
      </c>
      <c r="AF638">
        <v>5</v>
      </c>
      <c r="AG638">
        <v>2011</v>
      </c>
      <c r="AH638" t="s">
        <v>49</v>
      </c>
      <c r="AI638">
        <v>87</v>
      </c>
      <c r="AJ638">
        <v>3.5</v>
      </c>
    </row>
    <row r="639" spans="1:36" x14ac:dyDescent="0.25">
      <c r="A639">
        <v>10638</v>
      </c>
      <c r="B639" t="s">
        <v>21</v>
      </c>
      <c r="C639" t="s">
        <v>57</v>
      </c>
      <c r="D639" t="s">
        <v>44</v>
      </c>
      <c r="E639" t="str">
        <f t="shared" si="117"/>
        <v>Michael Davis is in Sales Department</v>
      </c>
      <c r="F639" s="6" t="str">
        <f t="shared" si="118"/>
        <v>michaeldavis@gmail.com</v>
      </c>
      <c r="G639">
        <v>102467</v>
      </c>
      <c r="H639" t="str">
        <f t="shared" si="119"/>
        <v>High</v>
      </c>
      <c r="I639" s="3">
        <v>37826</v>
      </c>
      <c r="J639">
        <f t="shared" si="120"/>
        <v>2003</v>
      </c>
      <c r="K639">
        <f t="shared" si="121"/>
        <v>7</v>
      </c>
      <c r="L639">
        <f t="shared" si="122"/>
        <v>24</v>
      </c>
      <c r="M639" s="3">
        <f t="shared" ca="1" si="123"/>
        <v>46100</v>
      </c>
      <c r="N639">
        <f t="shared" ca="1" si="124"/>
        <v>8274</v>
      </c>
      <c r="O639">
        <f t="shared" ca="1" si="125"/>
        <v>8274</v>
      </c>
      <c r="P639">
        <f t="shared" ca="1" si="126"/>
        <v>5911</v>
      </c>
      <c r="Q639">
        <v>24</v>
      </c>
      <c r="R639" t="str">
        <f t="shared" si="127"/>
        <v>Young</v>
      </c>
      <c r="S639" t="s">
        <v>24</v>
      </c>
      <c r="T639">
        <v>6</v>
      </c>
      <c r="U639" t="s">
        <v>25</v>
      </c>
      <c r="V639">
        <v>2284.4899999999998</v>
      </c>
      <c r="W639" t="s">
        <v>58</v>
      </c>
      <c r="X639" t="s">
        <v>55</v>
      </c>
      <c r="Y639">
        <v>1</v>
      </c>
      <c r="Z639" t="str">
        <f t="shared" si="128"/>
        <v>Bad Employee</v>
      </c>
      <c r="AA639" t="b">
        <f t="shared" si="129"/>
        <v>0</v>
      </c>
      <c r="AB639" t="b">
        <f>OR(Y639&gt;20, T639&gt;6)</f>
        <v>0</v>
      </c>
      <c r="AC639" t="str">
        <f>IF(OR(Y639&gt;20,T639&gt;6), "Good employee", "Bad Employee")</f>
        <v>Bad Employee</v>
      </c>
      <c r="AD639" t="s">
        <v>41</v>
      </c>
      <c r="AE639" t="s">
        <v>37</v>
      </c>
      <c r="AF639">
        <v>9</v>
      </c>
      <c r="AG639">
        <v>2018</v>
      </c>
      <c r="AH639" t="s">
        <v>43</v>
      </c>
      <c r="AI639">
        <v>148</v>
      </c>
      <c r="AJ639">
        <v>2.5</v>
      </c>
    </row>
    <row r="640" spans="1:36" x14ac:dyDescent="0.25">
      <c r="A640">
        <v>10639</v>
      </c>
      <c r="B640" t="s">
        <v>60</v>
      </c>
      <c r="C640" t="s">
        <v>22</v>
      </c>
      <c r="D640" t="s">
        <v>39</v>
      </c>
      <c r="E640" t="str">
        <f t="shared" si="117"/>
        <v>Jane Williams is in IT Department</v>
      </c>
      <c r="F640" s="6" t="str">
        <f t="shared" si="118"/>
        <v>janewilliams@gmail.com</v>
      </c>
      <c r="G640">
        <v>82576</v>
      </c>
      <c r="H640" t="str">
        <f t="shared" si="119"/>
        <v>High</v>
      </c>
      <c r="I640" s="3">
        <v>41541</v>
      </c>
      <c r="J640">
        <f t="shared" si="120"/>
        <v>2013</v>
      </c>
      <c r="K640">
        <f t="shared" si="121"/>
        <v>9</v>
      </c>
      <c r="L640">
        <f t="shared" si="122"/>
        <v>24</v>
      </c>
      <c r="M640" s="3">
        <f t="shared" ca="1" si="123"/>
        <v>46100</v>
      </c>
      <c r="N640">
        <f t="shared" ca="1" si="124"/>
        <v>4559</v>
      </c>
      <c r="O640">
        <f t="shared" ca="1" si="125"/>
        <v>4559</v>
      </c>
      <c r="P640">
        <f t="shared" ca="1" si="126"/>
        <v>3258</v>
      </c>
      <c r="Q640">
        <v>56</v>
      </c>
      <c r="R640" t="str">
        <f t="shared" si="127"/>
        <v>Old</v>
      </c>
      <c r="S640" t="s">
        <v>24</v>
      </c>
      <c r="T640">
        <v>1</v>
      </c>
      <c r="U640" t="s">
        <v>25</v>
      </c>
      <c r="V640">
        <v>5505.94</v>
      </c>
      <c r="W640" t="s">
        <v>26</v>
      </c>
      <c r="X640" t="s">
        <v>47</v>
      </c>
      <c r="Y640">
        <v>24</v>
      </c>
      <c r="Z640" t="str">
        <f t="shared" si="128"/>
        <v>Bad Employee</v>
      </c>
      <c r="AA640" t="b">
        <f t="shared" si="129"/>
        <v>0</v>
      </c>
      <c r="AB640" t="b">
        <f>OR(Y640&gt;20, T640&gt;6)</f>
        <v>1</v>
      </c>
      <c r="AC640" t="str">
        <f>IF(OR(Y640&gt;20,T640&gt;6), "Good employee", "Bad Employee")</f>
        <v>Good employee</v>
      </c>
      <c r="AD640" t="s">
        <v>28</v>
      </c>
      <c r="AE640" t="s">
        <v>48</v>
      </c>
      <c r="AF640">
        <v>5</v>
      </c>
      <c r="AG640">
        <v>2023</v>
      </c>
      <c r="AH640" t="s">
        <v>43</v>
      </c>
      <c r="AI640">
        <v>101</v>
      </c>
      <c r="AJ640">
        <v>2.2000000000000002</v>
      </c>
    </row>
    <row r="641" spans="1:36" x14ac:dyDescent="0.25">
      <c r="A641">
        <v>10640</v>
      </c>
      <c r="B641" t="s">
        <v>53</v>
      </c>
      <c r="C641" t="s">
        <v>22</v>
      </c>
      <c r="D641" t="s">
        <v>39</v>
      </c>
      <c r="E641" t="str">
        <f t="shared" si="117"/>
        <v>Sarah Williams is in IT Department</v>
      </c>
      <c r="F641" s="6" t="str">
        <f t="shared" si="118"/>
        <v>sarahwilliams@gmail.com</v>
      </c>
      <c r="G641">
        <v>96627</v>
      </c>
      <c r="H641" t="str">
        <f t="shared" si="119"/>
        <v>High</v>
      </c>
      <c r="I641" s="3">
        <v>43615</v>
      </c>
      <c r="J641">
        <f t="shared" si="120"/>
        <v>2019</v>
      </c>
      <c r="K641">
        <f t="shared" si="121"/>
        <v>5</v>
      </c>
      <c r="L641">
        <f t="shared" si="122"/>
        <v>30</v>
      </c>
      <c r="M641" s="3">
        <f t="shared" ca="1" si="123"/>
        <v>46100</v>
      </c>
      <c r="N641">
        <f t="shared" ca="1" si="124"/>
        <v>2485</v>
      </c>
      <c r="O641">
        <f t="shared" ca="1" si="125"/>
        <v>2485</v>
      </c>
      <c r="P641">
        <f t="shared" ca="1" si="126"/>
        <v>1776</v>
      </c>
      <c r="Q641">
        <v>34</v>
      </c>
      <c r="R641" t="str">
        <f t="shared" si="127"/>
        <v>Old</v>
      </c>
      <c r="S641" t="s">
        <v>34</v>
      </c>
      <c r="T641">
        <v>8</v>
      </c>
      <c r="U641" t="s">
        <v>25</v>
      </c>
      <c r="V641">
        <v>7025.04</v>
      </c>
      <c r="W641" t="s">
        <v>58</v>
      </c>
      <c r="X641" t="s">
        <v>47</v>
      </c>
      <c r="Y641">
        <v>30</v>
      </c>
      <c r="Z641" t="str">
        <f t="shared" si="128"/>
        <v>Good Employee</v>
      </c>
      <c r="AA641" t="b">
        <f t="shared" si="129"/>
        <v>1</v>
      </c>
      <c r="AB641" t="b">
        <f>OR(Y641&gt;20, T641&gt;6)</f>
        <v>1</v>
      </c>
      <c r="AC641" t="str">
        <f>IF(OR(Y641&gt;20,T641&gt;6), "Good employee", "Bad Employee")</f>
        <v>Good employee</v>
      </c>
      <c r="AD641" t="s">
        <v>28</v>
      </c>
      <c r="AE641" t="s">
        <v>42</v>
      </c>
      <c r="AF641">
        <v>9</v>
      </c>
      <c r="AG641">
        <v>2013</v>
      </c>
      <c r="AH641" t="s">
        <v>43</v>
      </c>
      <c r="AI641">
        <v>40</v>
      </c>
      <c r="AJ641">
        <v>2.4</v>
      </c>
    </row>
    <row r="642" spans="1:36" x14ac:dyDescent="0.25">
      <c r="A642">
        <v>10641</v>
      </c>
      <c r="B642" t="s">
        <v>64</v>
      </c>
      <c r="C642" t="s">
        <v>57</v>
      </c>
      <c r="D642" t="s">
        <v>54</v>
      </c>
      <c r="E642" t="str">
        <f t="shared" si="117"/>
        <v>Katie Davis is in Finance Department</v>
      </c>
      <c r="F642" s="6" t="str">
        <f t="shared" si="118"/>
        <v>katiedavis@gmail.com</v>
      </c>
      <c r="G642">
        <v>55772</v>
      </c>
      <c r="H642" t="str">
        <f t="shared" si="119"/>
        <v>Medium</v>
      </c>
      <c r="I642" s="3">
        <v>36991</v>
      </c>
      <c r="J642">
        <f t="shared" si="120"/>
        <v>2001</v>
      </c>
      <c r="K642">
        <f t="shared" si="121"/>
        <v>4</v>
      </c>
      <c r="L642">
        <f t="shared" si="122"/>
        <v>10</v>
      </c>
      <c r="M642" s="3">
        <f t="shared" ca="1" si="123"/>
        <v>46100</v>
      </c>
      <c r="N642">
        <f t="shared" ca="1" si="124"/>
        <v>9109</v>
      </c>
      <c r="O642">
        <f t="shared" ca="1" si="125"/>
        <v>9109</v>
      </c>
      <c r="P642">
        <f t="shared" ca="1" si="126"/>
        <v>6508</v>
      </c>
      <c r="Q642">
        <v>55</v>
      </c>
      <c r="R642" t="str">
        <f t="shared" si="127"/>
        <v>Old</v>
      </c>
      <c r="S642" t="s">
        <v>34</v>
      </c>
      <c r="T642">
        <v>9</v>
      </c>
      <c r="U642" t="s">
        <v>25</v>
      </c>
      <c r="V642">
        <v>5163.75</v>
      </c>
      <c r="W642" t="s">
        <v>26</v>
      </c>
      <c r="X642" t="s">
        <v>55</v>
      </c>
      <c r="Y642">
        <v>26</v>
      </c>
      <c r="Z642" t="str">
        <f t="shared" si="128"/>
        <v>Good Employee</v>
      </c>
      <c r="AA642" t="b">
        <f t="shared" si="129"/>
        <v>1</v>
      </c>
      <c r="AB642" t="b">
        <f>OR(Y642&gt;20, T642&gt;6)</f>
        <v>1</v>
      </c>
      <c r="AC642" t="str">
        <f>IF(OR(Y642&gt;20,T642&gt;6), "Good employee", "Bad Employee")</f>
        <v>Good employee</v>
      </c>
      <c r="AD642" t="s">
        <v>41</v>
      </c>
      <c r="AE642" t="s">
        <v>37</v>
      </c>
      <c r="AF642">
        <v>4</v>
      </c>
      <c r="AG642">
        <v>2023</v>
      </c>
      <c r="AH642" t="s">
        <v>43</v>
      </c>
      <c r="AI642">
        <v>49</v>
      </c>
      <c r="AJ642">
        <v>4.2</v>
      </c>
    </row>
    <row r="643" spans="1:36" x14ac:dyDescent="0.25">
      <c r="A643">
        <v>10642</v>
      </c>
      <c r="B643" t="s">
        <v>64</v>
      </c>
      <c r="C643" t="s">
        <v>22</v>
      </c>
      <c r="D643" t="s">
        <v>44</v>
      </c>
      <c r="E643" t="str">
        <f t="shared" ref="E643:E706" si="130">CONCATENATE(B643, " ", C643, " is in ", D643, " Department")</f>
        <v>Katie Williams is in Sales Department</v>
      </c>
      <c r="F643" s="6" t="str">
        <f t="shared" ref="F643:F706" si="131">LOWER(CONCATENATE(B643, C643, "@gmail.com"))</f>
        <v>katiewilliams@gmail.com</v>
      </c>
      <c r="G643">
        <v>46363</v>
      </c>
      <c r="H643" t="str">
        <f t="shared" ref="H643:H706" si="132">IF(G643&gt;80000, "High", IF(G643&gt;50000, "Medium", IF(G643&gt;40000, "low", "extremely low")))</f>
        <v>low</v>
      </c>
      <c r="I643" s="3">
        <v>38490</v>
      </c>
      <c r="J643">
        <f t="shared" ref="J643:J706" si="133">YEAR(I643)</f>
        <v>2005</v>
      </c>
      <c r="K643">
        <f t="shared" ref="K643:K706" si="134">MONTH(I643)</f>
        <v>5</v>
      </c>
      <c r="L643">
        <f t="shared" ref="L643:L706" si="135">DAY(I643)</f>
        <v>18</v>
      </c>
      <c r="M643" s="3">
        <f t="shared" ref="M643:M706" ca="1" si="136">TODAY()</f>
        <v>46100</v>
      </c>
      <c r="N643">
        <f t="shared" ref="N643:N706" ca="1" si="137">M643-I643</f>
        <v>7610</v>
      </c>
      <c r="O643">
        <f t="shared" ref="O643:O706" ca="1" si="138">DATEDIF(I643,M643, "d")</f>
        <v>7610</v>
      </c>
      <c r="P643">
        <f t="shared" ref="P643:P706" ca="1" si="139">NETWORKDAYS(I643, M643)</f>
        <v>5437</v>
      </c>
      <c r="Q643">
        <v>45</v>
      </c>
      <c r="R643" t="str">
        <f t="shared" ref="R643:R706" si="140">IF(Q643&gt;30, "Old", "Young")</f>
        <v>Old</v>
      </c>
      <c r="S643" t="s">
        <v>34</v>
      </c>
      <c r="T643">
        <v>3</v>
      </c>
      <c r="U643" t="s">
        <v>45</v>
      </c>
      <c r="V643">
        <v>6775.77</v>
      </c>
      <c r="W643" t="s">
        <v>58</v>
      </c>
      <c r="X643" t="s">
        <v>36</v>
      </c>
      <c r="Y643">
        <v>38</v>
      </c>
      <c r="Z643" t="str">
        <f t="shared" ref="Z643:Z706" si="141" xml:space="preserve"> IF(AND(Y643&gt;20, T643&gt;6), "Good Employee", "Bad Employee")</f>
        <v>Bad Employee</v>
      </c>
      <c r="AA643" t="b">
        <f t="shared" ref="AA643:AA706" si="142">AND(Y643&gt;20, T643&gt;6)</f>
        <v>0</v>
      </c>
      <c r="AB643" t="b">
        <f>OR(Y643&gt;20, T643&gt;6)</f>
        <v>1</v>
      </c>
      <c r="AC643" t="str">
        <f>IF(OR(Y643&gt;20,T643&gt;6), "Good employee", "Bad Employee")</f>
        <v>Good employee</v>
      </c>
      <c r="AD643" t="s">
        <v>41</v>
      </c>
      <c r="AE643" t="s">
        <v>29</v>
      </c>
      <c r="AF643">
        <v>8</v>
      </c>
      <c r="AG643">
        <v>2016</v>
      </c>
      <c r="AH643" t="s">
        <v>30</v>
      </c>
      <c r="AI643">
        <v>14</v>
      </c>
      <c r="AJ643">
        <v>3.4</v>
      </c>
    </row>
    <row r="644" spans="1:36" x14ac:dyDescent="0.25">
      <c r="A644">
        <v>10643</v>
      </c>
      <c r="B644" t="s">
        <v>53</v>
      </c>
      <c r="C644" t="s">
        <v>51</v>
      </c>
      <c r="D644" t="s">
        <v>54</v>
      </c>
      <c r="E644" t="str">
        <f t="shared" si="130"/>
        <v>Sarah Brown is in Finance Department</v>
      </c>
      <c r="F644" s="6" t="str">
        <f t="shared" si="131"/>
        <v>sarahbrown@gmail.com</v>
      </c>
      <c r="G644">
        <v>58490</v>
      </c>
      <c r="H644" t="str">
        <f t="shared" si="132"/>
        <v>Medium</v>
      </c>
      <c r="I644" s="3">
        <v>42093</v>
      </c>
      <c r="J644">
        <f t="shared" si="133"/>
        <v>2015</v>
      </c>
      <c r="K644">
        <f t="shared" si="134"/>
        <v>3</v>
      </c>
      <c r="L644">
        <f t="shared" si="135"/>
        <v>30</v>
      </c>
      <c r="M644" s="3">
        <f t="shared" ca="1" si="136"/>
        <v>46100</v>
      </c>
      <c r="N644">
        <f t="shared" ca="1" si="137"/>
        <v>4007</v>
      </c>
      <c r="O644">
        <f t="shared" ca="1" si="138"/>
        <v>4007</v>
      </c>
      <c r="P644">
        <f t="shared" ca="1" si="139"/>
        <v>2864</v>
      </c>
      <c r="Q644">
        <v>22</v>
      </c>
      <c r="R644" t="str">
        <f t="shared" si="140"/>
        <v>Young</v>
      </c>
      <c r="S644" t="s">
        <v>34</v>
      </c>
      <c r="T644">
        <v>7</v>
      </c>
      <c r="U644" t="s">
        <v>25</v>
      </c>
      <c r="V644">
        <v>3966.74</v>
      </c>
      <c r="W644" t="s">
        <v>58</v>
      </c>
      <c r="X644" t="s">
        <v>55</v>
      </c>
      <c r="Y644">
        <v>38</v>
      </c>
      <c r="Z644" t="str">
        <f t="shared" si="141"/>
        <v>Good Employee</v>
      </c>
      <c r="AA644" t="b">
        <f t="shared" si="142"/>
        <v>1</v>
      </c>
      <c r="AB644" t="b">
        <f>OR(Y644&gt;20, T644&gt;6)</f>
        <v>1</v>
      </c>
      <c r="AC644" t="str">
        <f>IF(OR(Y644&gt;20,T644&gt;6), "Good employee", "Bad Employee")</f>
        <v>Good employee</v>
      </c>
      <c r="AD644" t="s">
        <v>56</v>
      </c>
      <c r="AE644" t="s">
        <v>37</v>
      </c>
      <c r="AF644">
        <v>6</v>
      </c>
      <c r="AG644">
        <v>2019</v>
      </c>
      <c r="AH644" t="s">
        <v>30</v>
      </c>
      <c r="AI644">
        <v>67</v>
      </c>
      <c r="AJ644">
        <v>4.9000000000000004</v>
      </c>
    </row>
    <row r="645" spans="1:36" x14ac:dyDescent="0.25">
      <c r="A645">
        <v>10644</v>
      </c>
      <c r="B645" t="s">
        <v>66</v>
      </c>
      <c r="C645" t="s">
        <v>65</v>
      </c>
      <c r="D645" t="s">
        <v>44</v>
      </c>
      <c r="E645" t="str">
        <f t="shared" si="130"/>
        <v>John Johnson is in Sales Department</v>
      </c>
      <c r="F645" s="6" t="str">
        <f t="shared" si="131"/>
        <v>johnjohnson@gmail.com</v>
      </c>
      <c r="G645">
        <v>89004</v>
      </c>
      <c r="H645" t="str">
        <f t="shared" si="132"/>
        <v>High</v>
      </c>
      <c r="I645" s="3">
        <v>38471</v>
      </c>
      <c r="J645">
        <f t="shared" si="133"/>
        <v>2005</v>
      </c>
      <c r="K645">
        <f t="shared" si="134"/>
        <v>4</v>
      </c>
      <c r="L645">
        <f t="shared" si="135"/>
        <v>29</v>
      </c>
      <c r="M645" s="3">
        <f t="shared" ca="1" si="136"/>
        <v>46100</v>
      </c>
      <c r="N645">
        <f t="shared" ca="1" si="137"/>
        <v>7629</v>
      </c>
      <c r="O645">
        <f t="shared" ca="1" si="138"/>
        <v>7629</v>
      </c>
      <c r="P645">
        <f t="shared" ca="1" si="139"/>
        <v>5450</v>
      </c>
      <c r="Q645">
        <v>33</v>
      </c>
      <c r="R645" t="str">
        <f t="shared" si="140"/>
        <v>Old</v>
      </c>
      <c r="S645" t="s">
        <v>24</v>
      </c>
      <c r="T645">
        <v>5</v>
      </c>
      <c r="U645" t="s">
        <v>45</v>
      </c>
      <c r="V645">
        <v>765.26</v>
      </c>
      <c r="W645" t="s">
        <v>26</v>
      </c>
      <c r="X645" t="s">
        <v>40</v>
      </c>
      <c r="Y645">
        <v>3</v>
      </c>
      <c r="Z645" t="str">
        <f t="shared" si="141"/>
        <v>Bad Employee</v>
      </c>
      <c r="AA645" t="b">
        <f t="shared" si="142"/>
        <v>0</v>
      </c>
      <c r="AB645" t="b">
        <f>OR(Y645&gt;20, T645&gt;6)</f>
        <v>0</v>
      </c>
      <c r="AC645" t="str">
        <f>IF(OR(Y645&gt;20,T645&gt;6), "Good employee", "Bad Employee")</f>
        <v>Bad Employee</v>
      </c>
      <c r="AD645" t="s">
        <v>28</v>
      </c>
      <c r="AE645" t="s">
        <v>59</v>
      </c>
      <c r="AF645">
        <v>16</v>
      </c>
      <c r="AG645">
        <v>2021</v>
      </c>
      <c r="AH645" t="s">
        <v>49</v>
      </c>
      <c r="AI645">
        <v>47</v>
      </c>
      <c r="AJ645">
        <v>4.3</v>
      </c>
    </row>
    <row r="646" spans="1:36" x14ac:dyDescent="0.25">
      <c r="A646">
        <v>10645</v>
      </c>
      <c r="B646" t="s">
        <v>53</v>
      </c>
      <c r="C646" t="s">
        <v>22</v>
      </c>
      <c r="D646" t="s">
        <v>52</v>
      </c>
      <c r="E646" t="str">
        <f t="shared" si="130"/>
        <v>Sarah Williams is in Operations Department</v>
      </c>
      <c r="F646" s="6" t="str">
        <f t="shared" si="131"/>
        <v>sarahwilliams@gmail.com</v>
      </c>
      <c r="G646">
        <v>83806</v>
      </c>
      <c r="H646" t="str">
        <f t="shared" si="132"/>
        <v>High</v>
      </c>
      <c r="I646" s="3">
        <v>41805</v>
      </c>
      <c r="J646">
        <f t="shared" si="133"/>
        <v>2014</v>
      </c>
      <c r="K646">
        <f t="shared" si="134"/>
        <v>6</v>
      </c>
      <c r="L646">
        <f t="shared" si="135"/>
        <v>15</v>
      </c>
      <c r="M646" s="3">
        <f t="shared" ca="1" si="136"/>
        <v>46100</v>
      </c>
      <c r="N646">
        <f t="shared" ca="1" si="137"/>
        <v>4295</v>
      </c>
      <c r="O646">
        <f t="shared" ca="1" si="138"/>
        <v>4295</v>
      </c>
      <c r="P646">
        <f t="shared" ca="1" si="139"/>
        <v>3069</v>
      </c>
      <c r="Q646">
        <v>29</v>
      </c>
      <c r="R646" t="str">
        <f t="shared" si="140"/>
        <v>Young</v>
      </c>
      <c r="S646" t="s">
        <v>34</v>
      </c>
      <c r="T646">
        <v>3</v>
      </c>
      <c r="U646" t="s">
        <v>25</v>
      </c>
      <c r="V646">
        <v>9753.61</v>
      </c>
      <c r="W646" t="s">
        <v>58</v>
      </c>
      <c r="X646" t="s">
        <v>36</v>
      </c>
      <c r="Y646">
        <v>13</v>
      </c>
      <c r="Z646" t="str">
        <f t="shared" si="141"/>
        <v>Bad Employee</v>
      </c>
      <c r="AA646" t="b">
        <f t="shared" si="142"/>
        <v>0</v>
      </c>
      <c r="AB646" t="b">
        <f>OR(Y646&gt;20, T646&gt;6)</f>
        <v>0</v>
      </c>
      <c r="AC646" t="str">
        <f>IF(OR(Y646&gt;20,T646&gt;6), "Good employee", "Bad Employee")</f>
        <v>Bad Employee</v>
      </c>
      <c r="AD646" t="s">
        <v>56</v>
      </c>
      <c r="AE646" t="s">
        <v>48</v>
      </c>
      <c r="AF646">
        <v>11</v>
      </c>
      <c r="AG646">
        <v>2016</v>
      </c>
      <c r="AH646" t="s">
        <v>49</v>
      </c>
      <c r="AI646">
        <v>55</v>
      </c>
      <c r="AJ646">
        <v>2.9</v>
      </c>
    </row>
    <row r="647" spans="1:36" x14ac:dyDescent="0.25">
      <c r="A647">
        <v>10646</v>
      </c>
      <c r="B647" t="s">
        <v>38</v>
      </c>
      <c r="C647" t="s">
        <v>22</v>
      </c>
      <c r="D647" t="s">
        <v>54</v>
      </c>
      <c r="E647" t="str">
        <f t="shared" si="130"/>
        <v>Chris Williams is in Finance Department</v>
      </c>
      <c r="F647" s="6" t="str">
        <f t="shared" si="131"/>
        <v>chriswilliams@gmail.com</v>
      </c>
      <c r="G647">
        <v>30260</v>
      </c>
      <c r="H647" t="str">
        <f t="shared" si="132"/>
        <v>extremely low</v>
      </c>
      <c r="I647" s="3">
        <v>39065</v>
      </c>
      <c r="J647">
        <f t="shared" si="133"/>
        <v>2006</v>
      </c>
      <c r="K647">
        <f t="shared" si="134"/>
        <v>12</v>
      </c>
      <c r="L647">
        <f t="shared" si="135"/>
        <v>14</v>
      </c>
      <c r="M647" s="3">
        <f t="shared" ca="1" si="136"/>
        <v>46100</v>
      </c>
      <c r="N647">
        <f t="shared" ca="1" si="137"/>
        <v>7035</v>
      </c>
      <c r="O647">
        <f t="shared" ca="1" si="138"/>
        <v>7035</v>
      </c>
      <c r="P647">
        <f t="shared" ca="1" si="139"/>
        <v>5026</v>
      </c>
      <c r="Q647">
        <v>40</v>
      </c>
      <c r="R647" t="str">
        <f t="shared" si="140"/>
        <v>Old</v>
      </c>
      <c r="S647" t="s">
        <v>34</v>
      </c>
      <c r="T647">
        <v>5</v>
      </c>
      <c r="U647" t="s">
        <v>45</v>
      </c>
      <c r="V647">
        <v>8284.43</v>
      </c>
      <c r="W647" t="s">
        <v>58</v>
      </c>
      <c r="X647" t="s">
        <v>40</v>
      </c>
      <c r="Y647">
        <v>36</v>
      </c>
      <c r="Z647" t="str">
        <f t="shared" si="141"/>
        <v>Bad Employee</v>
      </c>
      <c r="AA647" t="b">
        <f t="shared" si="142"/>
        <v>0</v>
      </c>
      <c r="AB647" t="b">
        <f>OR(Y647&gt;20, T647&gt;6)</f>
        <v>1</v>
      </c>
      <c r="AC647" t="str">
        <f>IF(OR(Y647&gt;20,T647&gt;6), "Good employee", "Bad Employee")</f>
        <v>Good employee</v>
      </c>
      <c r="AD647" t="s">
        <v>56</v>
      </c>
      <c r="AE647" t="s">
        <v>59</v>
      </c>
      <c r="AF647">
        <v>10</v>
      </c>
      <c r="AG647">
        <v>2021</v>
      </c>
      <c r="AH647" t="s">
        <v>43</v>
      </c>
      <c r="AI647">
        <v>111</v>
      </c>
      <c r="AJ647">
        <v>2</v>
      </c>
    </row>
    <row r="648" spans="1:36" x14ac:dyDescent="0.25">
      <c r="A648">
        <v>10647</v>
      </c>
      <c r="B648" t="s">
        <v>38</v>
      </c>
      <c r="C648" t="s">
        <v>57</v>
      </c>
      <c r="D648" t="s">
        <v>54</v>
      </c>
      <c r="E648" t="str">
        <f t="shared" si="130"/>
        <v>Chris Davis is in Finance Department</v>
      </c>
      <c r="F648" s="6" t="str">
        <f t="shared" si="131"/>
        <v>chrisdavis@gmail.com</v>
      </c>
      <c r="G648">
        <v>105992</v>
      </c>
      <c r="H648" t="str">
        <f t="shared" si="132"/>
        <v>High</v>
      </c>
      <c r="I648" s="3">
        <v>38886</v>
      </c>
      <c r="J648">
        <f t="shared" si="133"/>
        <v>2006</v>
      </c>
      <c r="K648">
        <f t="shared" si="134"/>
        <v>6</v>
      </c>
      <c r="L648">
        <f t="shared" si="135"/>
        <v>18</v>
      </c>
      <c r="M648" s="3">
        <f t="shared" ca="1" si="136"/>
        <v>46100</v>
      </c>
      <c r="N648">
        <f t="shared" ca="1" si="137"/>
        <v>7214</v>
      </c>
      <c r="O648">
        <f t="shared" ca="1" si="138"/>
        <v>7214</v>
      </c>
      <c r="P648">
        <f t="shared" ca="1" si="139"/>
        <v>5154</v>
      </c>
      <c r="Q648">
        <v>30</v>
      </c>
      <c r="R648" t="str">
        <f t="shared" si="140"/>
        <v>Young</v>
      </c>
      <c r="S648" t="s">
        <v>24</v>
      </c>
      <c r="T648">
        <v>7</v>
      </c>
      <c r="U648" t="s">
        <v>25</v>
      </c>
      <c r="V648">
        <v>1197.48</v>
      </c>
      <c r="W648" t="s">
        <v>35</v>
      </c>
      <c r="X648" t="s">
        <v>27</v>
      </c>
      <c r="Y648">
        <v>12</v>
      </c>
      <c r="Z648" t="str">
        <f t="shared" si="141"/>
        <v>Bad Employee</v>
      </c>
      <c r="AA648" t="b">
        <f t="shared" si="142"/>
        <v>0</v>
      </c>
      <c r="AB648" t="b">
        <f>OR(Y648&gt;20, T648&gt;6)</f>
        <v>1</v>
      </c>
      <c r="AC648" t="str">
        <f>IF(OR(Y648&gt;20,T648&gt;6), "Good employee", "Bad Employee")</f>
        <v>Good employee</v>
      </c>
      <c r="AD648" t="s">
        <v>41</v>
      </c>
      <c r="AE648" t="s">
        <v>29</v>
      </c>
      <c r="AF648">
        <v>5</v>
      </c>
      <c r="AG648">
        <v>2017</v>
      </c>
      <c r="AH648" t="s">
        <v>30</v>
      </c>
      <c r="AI648">
        <v>7</v>
      </c>
      <c r="AJ648">
        <v>3.7</v>
      </c>
    </row>
    <row r="649" spans="1:36" x14ac:dyDescent="0.25">
      <c r="A649">
        <v>10648</v>
      </c>
      <c r="B649" t="s">
        <v>66</v>
      </c>
      <c r="C649" t="s">
        <v>51</v>
      </c>
      <c r="D649" t="s">
        <v>54</v>
      </c>
      <c r="E649" t="str">
        <f t="shared" si="130"/>
        <v>John Brown is in Finance Department</v>
      </c>
      <c r="F649" s="6" t="str">
        <f t="shared" si="131"/>
        <v>johnbrown@gmail.com</v>
      </c>
      <c r="G649">
        <v>52320</v>
      </c>
      <c r="H649" t="str">
        <f t="shared" si="132"/>
        <v>Medium</v>
      </c>
      <c r="I649" s="3">
        <v>42276</v>
      </c>
      <c r="J649">
        <f t="shared" si="133"/>
        <v>2015</v>
      </c>
      <c r="K649">
        <f t="shared" si="134"/>
        <v>9</v>
      </c>
      <c r="L649">
        <f t="shared" si="135"/>
        <v>29</v>
      </c>
      <c r="M649" s="3">
        <f t="shared" ca="1" si="136"/>
        <v>46100</v>
      </c>
      <c r="N649">
        <f t="shared" ca="1" si="137"/>
        <v>3824</v>
      </c>
      <c r="O649">
        <f t="shared" ca="1" si="138"/>
        <v>3824</v>
      </c>
      <c r="P649">
        <f t="shared" ca="1" si="139"/>
        <v>2733</v>
      </c>
      <c r="Q649">
        <v>49</v>
      </c>
      <c r="R649" t="str">
        <f t="shared" si="140"/>
        <v>Old</v>
      </c>
      <c r="S649" t="s">
        <v>24</v>
      </c>
      <c r="T649">
        <v>7</v>
      </c>
      <c r="U649" t="s">
        <v>45</v>
      </c>
      <c r="V649">
        <v>4767.18</v>
      </c>
      <c r="W649" t="s">
        <v>26</v>
      </c>
      <c r="X649" t="s">
        <v>27</v>
      </c>
      <c r="Y649">
        <v>20</v>
      </c>
      <c r="Z649" t="str">
        <f t="shared" si="141"/>
        <v>Bad Employee</v>
      </c>
      <c r="AA649" t="b">
        <f t="shared" si="142"/>
        <v>0</v>
      </c>
      <c r="AB649" t="b">
        <f>OR(Y649&gt;20, T649&gt;6)</f>
        <v>1</v>
      </c>
      <c r="AC649" t="str">
        <f>IF(OR(Y649&gt;20,T649&gt;6), "Good employee", "Bad Employee")</f>
        <v>Good employee</v>
      </c>
      <c r="AD649" t="s">
        <v>56</v>
      </c>
      <c r="AE649" t="s">
        <v>48</v>
      </c>
      <c r="AF649">
        <v>10</v>
      </c>
      <c r="AG649">
        <v>2016</v>
      </c>
      <c r="AH649" t="s">
        <v>43</v>
      </c>
      <c r="AI649">
        <v>198</v>
      </c>
      <c r="AJ649">
        <v>3.9</v>
      </c>
    </row>
    <row r="650" spans="1:36" x14ac:dyDescent="0.25">
      <c r="A650">
        <v>10649</v>
      </c>
      <c r="B650" t="s">
        <v>53</v>
      </c>
      <c r="C650" t="s">
        <v>32</v>
      </c>
      <c r="D650" t="s">
        <v>33</v>
      </c>
      <c r="E650" t="str">
        <f t="shared" si="130"/>
        <v>Sarah Wilson is in Marketing Department</v>
      </c>
      <c r="F650" s="6" t="str">
        <f t="shared" si="131"/>
        <v>sarahwilson@gmail.com</v>
      </c>
      <c r="G650">
        <v>108971</v>
      </c>
      <c r="H650" t="str">
        <f t="shared" si="132"/>
        <v>High</v>
      </c>
      <c r="I650" s="3">
        <v>38565</v>
      </c>
      <c r="J650">
        <f t="shared" si="133"/>
        <v>2005</v>
      </c>
      <c r="K650">
        <f t="shared" si="134"/>
        <v>8</v>
      </c>
      <c r="L650">
        <f t="shared" si="135"/>
        <v>1</v>
      </c>
      <c r="M650" s="3">
        <f t="shared" ca="1" si="136"/>
        <v>46100</v>
      </c>
      <c r="N650">
        <f t="shared" ca="1" si="137"/>
        <v>7535</v>
      </c>
      <c r="O650">
        <f t="shared" ca="1" si="138"/>
        <v>7535</v>
      </c>
      <c r="P650">
        <f t="shared" ca="1" si="139"/>
        <v>5384</v>
      </c>
      <c r="Q650">
        <v>35</v>
      </c>
      <c r="R650" t="str">
        <f t="shared" si="140"/>
        <v>Old</v>
      </c>
      <c r="S650" t="s">
        <v>24</v>
      </c>
      <c r="T650">
        <v>9</v>
      </c>
      <c r="U650" t="s">
        <v>25</v>
      </c>
      <c r="V650">
        <v>6532.68</v>
      </c>
      <c r="W650" t="s">
        <v>46</v>
      </c>
      <c r="X650" t="s">
        <v>47</v>
      </c>
      <c r="Y650">
        <v>39</v>
      </c>
      <c r="Z650" t="str">
        <f t="shared" si="141"/>
        <v>Good Employee</v>
      </c>
      <c r="AA650" t="b">
        <f t="shared" si="142"/>
        <v>1</v>
      </c>
      <c r="AB650" t="b">
        <f>OR(Y650&gt;20, T650&gt;6)</f>
        <v>1</v>
      </c>
      <c r="AC650" t="str">
        <f>IF(OR(Y650&gt;20,T650&gt;6), "Good employee", "Bad Employee")</f>
        <v>Good employee</v>
      </c>
      <c r="AD650" t="s">
        <v>56</v>
      </c>
      <c r="AE650" t="s">
        <v>62</v>
      </c>
      <c r="AF650">
        <v>10</v>
      </c>
      <c r="AG650">
        <v>2020</v>
      </c>
      <c r="AH650" t="s">
        <v>30</v>
      </c>
      <c r="AI650">
        <v>167</v>
      </c>
      <c r="AJ650">
        <v>2.9</v>
      </c>
    </row>
    <row r="651" spans="1:36" x14ac:dyDescent="0.25">
      <c r="A651">
        <v>10650</v>
      </c>
      <c r="B651" t="s">
        <v>38</v>
      </c>
      <c r="C651" t="s">
        <v>32</v>
      </c>
      <c r="D651" t="s">
        <v>54</v>
      </c>
      <c r="E651" t="str">
        <f t="shared" si="130"/>
        <v>Chris Wilson is in Finance Department</v>
      </c>
      <c r="F651" s="6" t="str">
        <f t="shared" si="131"/>
        <v>chriswilson@gmail.com</v>
      </c>
      <c r="G651">
        <v>72145</v>
      </c>
      <c r="H651" t="str">
        <f t="shared" si="132"/>
        <v>Medium</v>
      </c>
      <c r="I651" s="3">
        <v>37710</v>
      </c>
      <c r="J651">
        <f t="shared" si="133"/>
        <v>2003</v>
      </c>
      <c r="K651">
        <f t="shared" si="134"/>
        <v>3</v>
      </c>
      <c r="L651">
        <f t="shared" si="135"/>
        <v>30</v>
      </c>
      <c r="M651" s="3">
        <f t="shared" ca="1" si="136"/>
        <v>46100</v>
      </c>
      <c r="N651">
        <f t="shared" ca="1" si="137"/>
        <v>8390</v>
      </c>
      <c r="O651">
        <f t="shared" ca="1" si="138"/>
        <v>8390</v>
      </c>
      <c r="P651">
        <f t="shared" ca="1" si="139"/>
        <v>5994</v>
      </c>
      <c r="Q651">
        <v>48</v>
      </c>
      <c r="R651" t="str">
        <f t="shared" si="140"/>
        <v>Old</v>
      </c>
      <c r="S651" t="s">
        <v>24</v>
      </c>
      <c r="T651">
        <v>8</v>
      </c>
      <c r="U651" t="s">
        <v>25</v>
      </c>
      <c r="V651">
        <v>2310.65</v>
      </c>
      <c r="W651" t="s">
        <v>26</v>
      </c>
      <c r="X651" t="s">
        <v>47</v>
      </c>
      <c r="Y651">
        <v>8</v>
      </c>
      <c r="Z651" t="str">
        <f t="shared" si="141"/>
        <v>Bad Employee</v>
      </c>
      <c r="AA651" t="b">
        <f t="shared" si="142"/>
        <v>0</v>
      </c>
      <c r="AB651" t="b">
        <f>OR(Y651&gt;20, T651&gt;6)</f>
        <v>1</v>
      </c>
      <c r="AC651" t="str">
        <f>IF(OR(Y651&gt;20,T651&gt;6), "Good employee", "Bad Employee")</f>
        <v>Good employee</v>
      </c>
      <c r="AD651" t="s">
        <v>41</v>
      </c>
      <c r="AE651" t="s">
        <v>62</v>
      </c>
      <c r="AF651">
        <v>13</v>
      </c>
      <c r="AG651">
        <v>2013</v>
      </c>
      <c r="AH651" t="s">
        <v>30</v>
      </c>
      <c r="AI651">
        <v>73</v>
      </c>
      <c r="AJ651">
        <v>1.9</v>
      </c>
    </row>
    <row r="652" spans="1:36" x14ac:dyDescent="0.25">
      <c r="A652">
        <v>10651</v>
      </c>
      <c r="B652" t="s">
        <v>21</v>
      </c>
      <c r="C652" t="s">
        <v>32</v>
      </c>
      <c r="D652" t="s">
        <v>23</v>
      </c>
      <c r="E652" t="str">
        <f t="shared" si="130"/>
        <v>Michael Wilson is in HR Department</v>
      </c>
      <c r="F652" s="6" t="str">
        <f t="shared" si="131"/>
        <v>michaelwilson@gmail.com</v>
      </c>
      <c r="G652">
        <v>93688</v>
      </c>
      <c r="H652" t="str">
        <f t="shared" si="132"/>
        <v>High</v>
      </c>
      <c r="I652" s="3">
        <v>42977</v>
      </c>
      <c r="J652">
        <f t="shared" si="133"/>
        <v>2017</v>
      </c>
      <c r="K652">
        <f t="shared" si="134"/>
        <v>8</v>
      </c>
      <c r="L652">
        <f t="shared" si="135"/>
        <v>30</v>
      </c>
      <c r="M652" s="3">
        <f t="shared" ca="1" si="136"/>
        <v>46100</v>
      </c>
      <c r="N652">
        <f t="shared" ca="1" si="137"/>
        <v>3123</v>
      </c>
      <c r="O652">
        <f t="shared" ca="1" si="138"/>
        <v>3123</v>
      </c>
      <c r="P652">
        <f t="shared" ca="1" si="139"/>
        <v>2232</v>
      </c>
      <c r="Q652">
        <v>39</v>
      </c>
      <c r="R652" t="str">
        <f t="shared" si="140"/>
        <v>Old</v>
      </c>
      <c r="S652" t="s">
        <v>34</v>
      </c>
      <c r="T652">
        <v>4</v>
      </c>
      <c r="U652" t="s">
        <v>25</v>
      </c>
      <c r="V652">
        <v>5990.89</v>
      </c>
      <c r="W652" t="s">
        <v>26</v>
      </c>
      <c r="X652" t="s">
        <v>47</v>
      </c>
      <c r="Y652">
        <v>2</v>
      </c>
      <c r="Z652" t="str">
        <f t="shared" si="141"/>
        <v>Bad Employee</v>
      </c>
      <c r="AA652" t="b">
        <f t="shared" si="142"/>
        <v>0</v>
      </c>
      <c r="AB652" t="b">
        <f>OR(Y652&gt;20, T652&gt;6)</f>
        <v>0</v>
      </c>
      <c r="AC652" t="str">
        <f>IF(OR(Y652&gt;20,T652&gt;6), "Good employee", "Bad Employee")</f>
        <v>Bad Employee</v>
      </c>
      <c r="AD652" t="s">
        <v>41</v>
      </c>
      <c r="AE652" t="s">
        <v>62</v>
      </c>
      <c r="AF652">
        <v>15</v>
      </c>
      <c r="AG652">
        <v>2022</v>
      </c>
      <c r="AH652" t="s">
        <v>49</v>
      </c>
      <c r="AI652">
        <v>83</v>
      </c>
      <c r="AJ652">
        <v>3.2</v>
      </c>
    </row>
    <row r="653" spans="1:36" x14ac:dyDescent="0.25">
      <c r="A653">
        <v>10652</v>
      </c>
      <c r="B653" t="s">
        <v>53</v>
      </c>
      <c r="C653" t="s">
        <v>32</v>
      </c>
      <c r="D653" t="s">
        <v>23</v>
      </c>
      <c r="E653" t="str">
        <f t="shared" si="130"/>
        <v>Sarah Wilson is in HR Department</v>
      </c>
      <c r="F653" s="6" t="str">
        <f t="shared" si="131"/>
        <v>sarahwilson@gmail.com</v>
      </c>
      <c r="G653">
        <v>78581</v>
      </c>
      <c r="H653" t="str">
        <f t="shared" si="132"/>
        <v>Medium</v>
      </c>
      <c r="I653" s="3">
        <v>40460</v>
      </c>
      <c r="J653">
        <f t="shared" si="133"/>
        <v>2010</v>
      </c>
      <c r="K653">
        <f t="shared" si="134"/>
        <v>10</v>
      </c>
      <c r="L653">
        <f t="shared" si="135"/>
        <v>9</v>
      </c>
      <c r="M653" s="3">
        <f t="shared" ca="1" si="136"/>
        <v>46100</v>
      </c>
      <c r="N653">
        <f t="shared" ca="1" si="137"/>
        <v>5640</v>
      </c>
      <c r="O653">
        <f t="shared" ca="1" si="138"/>
        <v>5640</v>
      </c>
      <c r="P653">
        <f t="shared" ca="1" si="139"/>
        <v>4029</v>
      </c>
      <c r="Q653">
        <v>63</v>
      </c>
      <c r="R653" t="str">
        <f t="shared" si="140"/>
        <v>Old</v>
      </c>
      <c r="S653" t="s">
        <v>34</v>
      </c>
      <c r="T653">
        <v>5</v>
      </c>
      <c r="U653" t="s">
        <v>45</v>
      </c>
      <c r="V653">
        <v>5569.66</v>
      </c>
      <c r="W653" t="s">
        <v>35</v>
      </c>
      <c r="X653" t="s">
        <v>27</v>
      </c>
      <c r="Y653">
        <v>11</v>
      </c>
      <c r="Z653" t="str">
        <f t="shared" si="141"/>
        <v>Bad Employee</v>
      </c>
      <c r="AA653" t="b">
        <f t="shared" si="142"/>
        <v>0</v>
      </c>
      <c r="AB653" t="b">
        <f>OR(Y653&gt;20, T653&gt;6)</f>
        <v>0</v>
      </c>
      <c r="AC653" t="str">
        <f>IF(OR(Y653&gt;20,T653&gt;6), "Good employee", "Bad Employee")</f>
        <v>Bad Employee</v>
      </c>
      <c r="AD653" t="s">
        <v>56</v>
      </c>
      <c r="AE653" t="s">
        <v>37</v>
      </c>
      <c r="AF653">
        <v>1</v>
      </c>
      <c r="AG653">
        <v>2021</v>
      </c>
      <c r="AH653" t="s">
        <v>49</v>
      </c>
      <c r="AI653">
        <v>40</v>
      </c>
      <c r="AJ653">
        <v>2</v>
      </c>
    </row>
    <row r="654" spans="1:36" x14ac:dyDescent="0.25">
      <c r="A654">
        <v>10653</v>
      </c>
      <c r="B654" t="s">
        <v>21</v>
      </c>
      <c r="C654" t="s">
        <v>65</v>
      </c>
      <c r="D654" t="s">
        <v>44</v>
      </c>
      <c r="E654" t="str">
        <f t="shared" si="130"/>
        <v>Michael Johnson is in Sales Department</v>
      </c>
      <c r="F654" s="6" t="str">
        <f t="shared" si="131"/>
        <v>michaeljohnson@gmail.com</v>
      </c>
      <c r="G654">
        <v>50754</v>
      </c>
      <c r="H654" t="str">
        <f t="shared" si="132"/>
        <v>Medium</v>
      </c>
      <c r="I654" s="3">
        <v>39743</v>
      </c>
      <c r="J654">
        <f t="shared" si="133"/>
        <v>2008</v>
      </c>
      <c r="K654">
        <f t="shared" si="134"/>
        <v>10</v>
      </c>
      <c r="L654">
        <f t="shared" si="135"/>
        <v>22</v>
      </c>
      <c r="M654" s="3">
        <f t="shared" ca="1" si="136"/>
        <v>46100</v>
      </c>
      <c r="N654">
        <f t="shared" ca="1" si="137"/>
        <v>6357</v>
      </c>
      <c r="O654">
        <f t="shared" ca="1" si="138"/>
        <v>6357</v>
      </c>
      <c r="P654">
        <f t="shared" ca="1" si="139"/>
        <v>4542</v>
      </c>
      <c r="Q654">
        <v>62</v>
      </c>
      <c r="R654" t="str">
        <f t="shared" si="140"/>
        <v>Old</v>
      </c>
      <c r="S654" t="s">
        <v>34</v>
      </c>
      <c r="T654">
        <v>5</v>
      </c>
      <c r="U654" t="s">
        <v>25</v>
      </c>
      <c r="V654">
        <v>2478.52</v>
      </c>
      <c r="W654" t="s">
        <v>46</v>
      </c>
      <c r="X654" t="s">
        <v>40</v>
      </c>
      <c r="Y654">
        <v>21</v>
      </c>
      <c r="Z654" t="str">
        <f t="shared" si="141"/>
        <v>Bad Employee</v>
      </c>
      <c r="AA654" t="b">
        <f t="shared" si="142"/>
        <v>0</v>
      </c>
      <c r="AB654" t="b">
        <f>OR(Y654&gt;20, T654&gt;6)</f>
        <v>1</v>
      </c>
      <c r="AC654" t="str">
        <f>IF(OR(Y654&gt;20,T654&gt;6), "Good employee", "Bad Employee")</f>
        <v>Good employee</v>
      </c>
      <c r="AD654" t="s">
        <v>56</v>
      </c>
      <c r="AE654" t="s">
        <v>42</v>
      </c>
      <c r="AF654">
        <v>1</v>
      </c>
      <c r="AG654">
        <v>2016</v>
      </c>
      <c r="AH654" t="s">
        <v>30</v>
      </c>
      <c r="AI654">
        <v>53</v>
      </c>
      <c r="AJ654">
        <v>4.8</v>
      </c>
    </row>
    <row r="655" spans="1:36" x14ac:dyDescent="0.25">
      <c r="A655">
        <v>10654</v>
      </c>
      <c r="B655" t="s">
        <v>38</v>
      </c>
      <c r="C655" t="s">
        <v>57</v>
      </c>
      <c r="D655" t="s">
        <v>52</v>
      </c>
      <c r="E655" t="str">
        <f t="shared" si="130"/>
        <v>Chris Davis is in Operations Department</v>
      </c>
      <c r="F655" s="6" t="str">
        <f t="shared" si="131"/>
        <v>chrisdavis@gmail.com</v>
      </c>
      <c r="G655">
        <v>99837</v>
      </c>
      <c r="H655" t="str">
        <f t="shared" si="132"/>
        <v>High</v>
      </c>
      <c r="I655" s="3">
        <v>42320</v>
      </c>
      <c r="J655">
        <f t="shared" si="133"/>
        <v>2015</v>
      </c>
      <c r="K655">
        <f t="shared" si="134"/>
        <v>11</v>
      </c>
      <c r="L655">
        <f t="shared" si="135"/>
        <v>12</v>
      </c>
      <c r="M655" s="3">
        <f t="shared" ca="1" si="136"/>
        <v>46100</v>
      </c>
      <c r="N655">
        <f t="shared" ca="1" si="137"/>
        <v>3780</v>
      </c>
      <c r="O655">
        <f t="shared" ca="1" si="138"/>
        <v>3780</v>
      </c>
      <c r="P655">
        <f t="shared" ca="1" si="139"/>
        <v>2701</v>
      </c>
      <c r="Q655">
        <v>27</v>
      </c>
      <c r="R655" t="str">
        <f t="shared" si="140"/>
        <v>Young</v>
      </c>
      <c r="S655" t="s">
        <v>34</v>
      </c>
      <c r="T655">
        <v>2</v>
      </c>
      <c r="U655" t="s">
        <v>25</v>
      </c>
      <c r="V655">
        <v>1841.5</v>
      </c>
      <c r="W655" t="s">
        <v>46</v>
      </c>
      <c r="X655" t="s">
        <v>36</v>
      </c>
      <c r="Y655">
        <v>37</v>
      </c>
      <c r="Z655" t="str">
        <f t="shared" si="141"/>
        <v>Bad Employee</v>
      </c>
      <c r="AA655" t="b">
        <f t="shared" si="142"/>
        <v>0</v>
      </c>
      <c r="AB655" t="b">
        <f>OR(Y655&gt;20, T655&gt;6)</f>
        <v>1</v>
      </c>
      <c r="AC655" t="str">
        <f>IF(OR(Y655&gt;20,T655&gt;6), "Good employee", "Bad Employee")</f>
        <v>Good employee</v>
      </c>
      <c r="AD655" t="s">
        <v>56</v>
      </c>
      <c r="AE655" t="s">
        <v>37</v>
      </c>
      <c r="AF655">
        <v>4</v>
      </c>
      <c r="AG655">
        <v>2014</v>
      </c>
      <c r="AH655" t="s">
        <v>49</v>
      </c>
      <c r="AI655">
        <v>5</v>
      </c>
      <c r="AJ655">
        <v>3.5</v>
      </c>
    </row>
    <row r="656" spans="1:36" x14ac:dyDescent="0.25">
      <c r="A656">
        <v>10655</v>
      </c>
      <c r="B656" t="s">
        <v>64</v>
      </c>
      <c r="C656" t="s">
        <v>57</v>
      </c>
      <c r="D656" t="s">
        <v>33</v>
      </c>
      <c r="E656" t="str">
        <f t="shared" si="130"/>
        <v>Katie Davis is in Marketing Department</v>
      </c>
      <c r="F656" s="6" t="str">
        <f t="shared" si="131"/>
        <v>katiedavis@gmail.com</v>
      </c>
      <c r="G656">
        <v>37207</v>
      </c>
      <c r="H656" t="str">
        <f t="shared" si="132"/>
        <v>extremely low</v>
      </c>
      <c r="I656" s="3">
        <v>43360</v>
      </c>
      <c r="J656">
        <f t="shared" si="133"/>
        <v>2018</v>
      </c>
      <c r="K656">
        <f t="shared" si="134"/>
        <v>9</v>
      </c>
      <c r="L656">
        <f t="shared" si="135"/>
        <v>17</v>
      </c>
      <c r="M656" s="3">
        <f t="shared" ca="1" si="136"/>
        <v>46100</v>
      </c>
      <c r="N656">
        <f t="shared" ca="1" si="137"/>
        <v>2740</v>
      </c>
      <c r="O656">
        <f t="shared" ca="1" si="138"/>
        <v>2740</v>
      </c>
      <c r="P656">
        <f t="shared" ca="1" si="139"/>
        <v>1959</v>
      </c>
      <c r="Q656">
        <v>54</v>
      </c>
      <c r="R656" t="str">
        <f t="shared" si="140"/>
        <v>Old</v>
      </c>
      <c r="S656" t="s">
        <v>34</v>
      </c>
      <c r="T656">
        <v>7</v>
      </c>
      <c r="U656" t="s">
        <v>25</v>
      </c>
      <c r="V656">
        <v>7710.14</v>
      </c>
      <c r="W656" t="s">
        <v>46</v>
      </c>
      <c r="X656" t="s">
        <v>47</v>
      </c>
      <c r="Y656">
        <v>6</v>
      </c>
      <c r="Z656" t="str">
        <f t="shared" si="141"/>
        <v>Bad Employee</v>
      </c>
      <c r="AA656" t="b">
        <f t="shared" si="142"/>
        <v>0</v>
      </c>
      <c r="AB656" t="b">
        <f>OR(Y656&gt;20, T656&gt;6)</f>
        <v>1</v>
      </c>
      <c r="AC656" t="str">
        <f>IF(OR(Y656&gt;20,T656&gt;6), "Good employee", "Bad Employee")</f>
        <v>Good employee</v>
      </c>
      <c r="AD656" t="s">
        <v>28</v>
      </c>
      <c r="AE656" t="s">
        <v>37</v>
      </c>
      <c r="AF656">
        <v>13</v>
      </c>
      <c r="AG656">
        <v>2021</v>
      </c>
      <c r="AH656" t="s">
        <v>43</v>
      </c>
      <c r="AI656">
        <v>174</v>
      </c>
      <c r="AJ656">
        <v>2.2000000000000002</v>
      </c>
    </row>
    <row r="657" spans="1:36" x14ac:dyDescent="0.25">
      <c r="A657">
        <v>10656</v>
      </c>
      <c r="B657" t="s">
        <v>38</v>
      </c>
      <c r="C657" t="s">
        <v>63</v>
      </c>
      <c r="D657" t="s">
        <v>44</v>
      </c>
      <c r="E657" t="str">
        <f t="shared" si="130"/>
        <v>Chris Miller is in Sales Department</v>
      </c>
      <c r="F657" s="6" t="str">
        <f t="shared" si="131"/>
        <v>chrismiller@gmail.com</v>
      </c>
      <c r="G657">
        <v>57920</v>
      </c>
      <c r="H657" t="str">
        <f t="shared" si="132"/>
        <v>Medium</v>
      </c>
      <c r="I657" s="3">
        <v>42758</v>
      </c>
      <c r="J657">
        <f t="shared" si="133"/>
        <v>2017</v>
      </c>
      <c r="K657">
        <f t="shared" si="134"/>
        <v>1</v>
      </c>
      <c r="L657">
        <f t="shared" si="135"/>
        <v>23</v>
      </c>
      <c r="M657" s="3">
        <f t="shared" ca="1" si="136"/>
        <v>46100</v>
      </c>
      <c r="N657">
        <f t="shared" ca="1" si="137"/>
        <v>3342</v>
      </c>
      <c r="O657">
        <f t="shared" ca="1" si="138"/>
        <v>3342</v>
      </c>
      <c r="P657">
        <f t="shared" ca="1" si="139"/>
        <v>2389</v>
      </c>
      <c r="Q657">
        <v>58</v>
      </c>
      <c r="R657" t="str">
        <f t="shared" si="140"/>
        <v>Old</v>
      </c>
      <c r="S657" t="s">
        <v>24</v>
      </c>
      <c r="T657">
        <v>7</v>
      </c>
      <c r="U657" t="s">
        <v>45</v>
      </c>
      <c r="V657">
        <v>3564.57</v>
      </c>
      <c r="W657" t="s">
        <v>58</v>
      </c>
      <c r="X657" t="s">
        <v>27</v>
      </c>
      <c r="Y657">
        <v>19</v>
      </c>
      <c r="Z657" t="str">
        <f t="shared" si="141"/>
        <v>Bad Employee</v>
      </c>
      <c r="AA657" t="b">
        <f t="shared" si="142"/>
        <v>0</v>
      </c>
      <c r="AB657" t="b">
        <f>OR(Y657&gt;20, T657&gt;6)</f>
        <v>1</v>
      </c>
      <c r="AC657" t="str">
        <f>IF(OR(Y657&gt;20,T657&gt;6), "Good employee", "Bad Employee")</f>
        <v>Good employee</v>
      </c>
      <c r="AD657" t="s">
        <v>56</v>
      </c>
      <c r="AE657" t="s">
        <v>37</v>
      </c>
      <c r="AF657">
        <v>9</v>
      </c>
      <c r="AG657">
        <v>2019</v>
      </c>
      <c r="AH657" t="s">
        <v>30</v>
      </c>
      <c r="AI657">
        <v>173</v>
      </c>
      <c r="AJ657">
        <v>1.9</v>
      </c>
    </row>
    <row r="658" spans="1:36" x14ac:dyDescent="0.25">
      <c r="A658">
        <v>10657</v>
      </c>
      <c r="B658" t="s">
        <v>21</v>
      </c>
      <c r="C658" t="s">
        <v>51</v>
      </c>
      <c r="D658" t="s">
        <v>23</v>
      </c>
      <c r="E658" t="str">
        <f t="shared" si="130"/>
        <v>Michael Brown is in HR Department</v>
      </c>
      <c r="F658" s="6" t="str">
        <f t="shared" si="131"/>
        <v>michaelbrown@gmail.com</v>
      </c>
      <c r="G658">
        <v>117739</v>
      </c>
      <c r="H658" t="str">
        <f t="shared" si="132"/>
        <v>High</v>
      </c>
      <c r="I658" s="3">
        <v>39308</v>
      </c>
      <c r="J658">
        <f t="shared" si="133"/>
        <v>2007</v>
      </c>
      <c r="K658">
        <f t="shared" si="134"/>
        <v>8</v>
      </c>
      <c r="L658">
        <f t="shared" si="135"/>
        <v>14</v>
      </c>
      <c r="M658" s="3">
        <f t="shared" ca="1" si="136"/>
        <v>46100</v>
      </c>
      <c r="N658">
        <f t="shared" ca="1" si="137"/>
        <v>6792</v>
      </c>
      <c r="O658">
        <f t="shared" ca="1" si="138"/>
        <v>6792</v>
      </c>
      <c r="P658">
        <f t="shared" ca="1" si="139"/>
        <v>4853</v>
      </c>
      <c r="Q658">
        <v>63</v>
      </c>
      <c r="R658" t="str">
        <f t="shared" si="140"/>
        <v>Old</v>
      </c>
      <c r="S658" t="s">
        <v>24</v>
      </c>
      <c r="T658">
        <v>9</v>
      </c>
      <c r="U658" t="s">
        <v>45</v>
      </c>
      <c r="V658">
        <v>2818.39</v>
      </c>
      <c r="W658" t="s">
        <v>58</v>
      </c>
      <c r="X658" t="s">
        <v>47</v>
      </c>
      <c r="Y658">
        <v>30</v>
      </c>
      <c r="Z658" t="str">
        <f t="shared" si="141"/>
        <v>Good Employee</v>
      </c>
      <c r="AA658" t="b">
        <f t="shared" si="142"/>
        <v>1</v>
      </c>
      <c r="AB658" t="b">
        <f>OR(Y658&gt;20, T658&gt;6)</f>
        <v>1</v>
      </c>
      <c r="AC658" t="str">
        <f>IF(OR(Y658&gt;20,T658&gt;6), "Good employee", "Bad Employee")</f>
        <v>Good employee</v>
      </c>
      <c r="AD658" t="s">
        <v>41</v>
      </c>
      <c r="AE658" t="s">
        <v>37</v>
      </c>
      <c r="AF658">
        <v>9</v>
      </c>
      <c r="AG658">
        <v>2016</v>
      </c>
      <c r="AH658" t="s">
        <v>30</v>
      </c>
      <c r="AI658">
        <v>77</v>
      </c>
      <c r="AJ658">
        <v>3.9</v>
      </c>
    </row>
    <row r="659" spans="1:36" x14ac:dyDescent="0.25">
      <c r="A659">
        <v>10658</v>
      </c>
      <c r="B659" t="s">
        <v>50</v>
      </c>
      <c r="C659" t="s">
        <v>32</v>
      </c>
      <c r="D659" t="s">
        <v>33</v>
      </c>
      <c r="E659" t="str">
        <f t="shared" si="130"/>
        <v>Alex Wilson is in Marketing Department</v>
      </c>
      <c r="F659" s="6" t="str">
        <f t="shared" si="131"/>
        <v>alexwilson@gmail.com</v>
      </c>
      <c r="G659">
        <v>117081</v>
      </c>
      <c r="H659" t="str">
        <f t="shared" si="132"/>
        <v>High</v>
      </c>
      <c r="I659" s="3">
        <v>37303</v>
      </c>
      <c r="J659">
        <f t="shared" si="133"/>
        <v>2002</v>
      </c>
      <c r="K659">
        <f t="shared" si="134"/>
        <v>2</v>
      </c>
      <c r="L659">
        <f t="shared" si="135"/>
        <v>16</v>
      </c>
      <c r="M659" s="3">
        <f t="shared" ca="1" si="136"/>
        <v>46100</v>
      </c>
      <c r="N659">
        <f t="shared" ca="1" si="137"/>
        <v>8797</v>
      </c>
      <c r="O659">
        <f t="shared" ca="1" si="138"/>
        <v>8797</v>
      </c>
      <c r="P659">
        <f t="shared" ca="1" si="139"/>
        <v>6284</v>
      </c>
      <c r="Q659">
        <v>46</v>
      </c>
      <c r="R659" t="str">
        <f t="shared" si="140"/>
        <v>Old</v>
      </c>
      <c r="S659" t="s">
        <v>34</v>
      </c>
      <c r="T659">
        <v>9</v>
      </c>
      <c r="U659" t="s">
        <v>25</v>
      </c>
      <c r="V659">
        <v>7509.84</v>
      </c>
      <c r="W659" t="s">
        <v>58</v>
      </c>
      <c r="X659" t="s">
        <v>55</v>
      </c>
      <c r="Y659">
        <v>39</v>
      </c>
      <c r="Z659" t="str">
        <f t="shared" si="141"/>
        <v>Good Employee</v>
      </c>
      <c r="AA659" t="b">
        <f t="shared" si="142"/>
        <v>1</v>
      </c>
      <c r="AB659" t="b">
        <f>OR(Y659&gt;20, T659&gt;6)</f>
        <v>1</v>
      </c>
      <c r="AC659" t="str">
        <f>IF(OR(Y659&gt;20,T659&gt;6), "Good employee", "Bad Employee")</f>
        <v>Good employee</v>
      </c>
      <c r="AD659" t="s">
        <v>56</v>
      </c>
      <c r="AE659" t="s">
        <v>62</v>
      </c>
      <c r="AF659">
        <v>17</v>
      </c>
      <c r="AG659">
        <v>2012</v>
      </c>
      <c r="AH659" t="s">
        <v>30</v>
      </c>
      <c r="AI659">
        <v>189</v>
      </c>
      <c r="AJ659">
        <v>3.8</v>
      </c>
    </row>
    <row r="660" spans="1:36" x14ac:dyDescent="0.25">
      <c r="A660">
        <v>10659</v>
      </c>
      <c r="B660" t="s">
        <v>31</v>
      </c>
      <c r="C660" t="s">
        <v>65</v>
      </c>
      <c r="D660" t="s">
        <v>33</v>
      </c>
      <c r="E660" t="str">
        <f t="shared" si="130"/>
        <v>Emily Johnson is in Marketing Department</v>
      </c>
      <c r="F660" s="6" t="str">
        <f t="shared" si="131"/>
        <v>emilyjohnson@gmail.com</v>
      </c>
      <c r="G660">
        <v>54016</v>
      </c>
      <c r="H660" t="str">
        <f t="shared" si="132"/>
        <v>Medium</v>
      </c>
      <c r="I660" s="3">
        <v>43420</v>
      </c>
      <c r="J660">
        <f t="shared" si="133"/>
        <v>2018</v>
      </c>
      <c r="K660">
        <f t="shared" si="134"/>
        <v>11</v>
      </c>
      <c r="L660">
        <f t="shared" si="135"/>
        <v>16</v>
      </c>
      <c r="M660" s="3">
        <f t="shared" ca="1" si="136"/>
        <v>46100</v>
      </c>
      <c r="N660">
        <f t="shared" ca="1" si="137"/>
        <v>2680</v>
      </c>
      <c r="O660">
        <f t="shared" ca="1" si="138"/>
        <v>2680</v>
      </c>
      <c r="P660">
        <f t="shared" ca="1" si="139"/>
        <v>1915</v>
      </c>
      <c r="Q660">
        <v>34</v>
      </c>
      <c r="R660" t="str">
        <f t="shared" si="140"/>
        <v>Old</v>
      </c>
      <c r="S660" t="s">
        <v>24</v>
      </c>
      <c r="T660">
        <v>4</v>
      </c>
      <c r="U660" t="s">
        <v>25</v>
      </c>
      <c r="V660">
        <v>7492.65</v>
      </c>
      <c r="W660" t="s">
        <v>46</v>
      </c>
      <c r="X660" t="s">
        <v>36</v>
      </c>
      <c r="Y660">
        <v>36</v>
      </c>
      <c r="Z660" t="str">
        <f t="shared" si="141"/>
        <v>Bad Employee</v>
      </c>
      <c r="AA660" t="b">
        <f t="shared" si="142"/>
        <v>0</v>
      </c>
      <c r="AB660" t="b">
        <f>OR(Y660&gt;20, T660&gt;6)</f>
        <v>1</v>
      </c>
      <c r="AC660" t="str">
        <f>IF(OR(Y660&gt;20,T660&gt;6), "Good employee", "Bad Employee")</f>
        <v>Good employee</v>
      </c>
      <c r="AD660" t="s">
        <v>28</v>
      </c>
      <c r="AE660" t="s">
        <v>42</v>
      </c>
      <c r="AF660">
        <v>19</v>
      </c>
      <c r="AG660">
        <v>2019</v>
      </c>
      <c r="AH660" t="s">
        <v>43</v>
      </c>
      <c r="AI660">
        <v>120</v>
      </c>
      <c r="AJ660">
        <v>3.4</v>
      </c>
    </row>
    <row r="661" spans="1:36" x14ac:dyDescent="0.25">
      <c r="A661">
        <v>10660</v>
      </c>
      <c r="B661" t="s">
        <v>60</v>
      </c>
      <c r="C661" t="s">
        <v>51</v>
      </c>
      <c r="D661" t="s">
        <v>52</v>
      </c>
      <c r="E661" t="str">
        <f t="shared" si="130"/>
        <v>Jane Brown is in Operations Department</v>
      </c>
      <c r="F661" s="6" t="str">
        <f t="shared" si="131"/>
        <v>janebrown@gmail.com</v>
      </c>
      <c r="G661">
        <v>90522</v>
      </c>
      <c r="H661" t="str">
        <f t="shared" si="132"/>
        <v>High</v>
      </c>
      <c r="I661" s="3">
        <v>39905</v>
      </c>
      <c r="J661">
        <f t="shared" si="133"/>
        <v>2009</v>
      </c>
      <c r="K661">
        <f t="shared" si="134"/>
        <v>4</v>
      </c>
      <c r="L661">
        <f t="shared" si="135"/>
        <v>2</v>
      </c>
      <c r="M661" s="3">
        <f t="shared" ca="1" si="136"/>
        <v>46100</v>
      </c>
      <c r="N661">
        <f t="shared" ca="1" si="137"/>
        <v>6195</v>
      </c>
      <c r="O661">
        <f t="shared" ca="1" si="138"/>
        <v>6195</v>
      </c>
      <c r="P661">
        <f t="shared" ca="1" si="139"/>
        <v>4426</v>
      </c>
      <c r="Q661">
        <v>44</v>
      </c>
      <c r="R661" t="str">
        <f t="shared" si="140"/>
        <v>Old</v>
      </c>
      <c r="S661" t="s">
        <v>34</v>
      </c>
      <c r="T661">
        <v>5</v>
      </c>
      <c r="U661" t="s">
        <v>45</v>
      </c>
      <c r="V661">
        <v>3125.82</v>
      </c>
      <c r="W661" t="s">
        <v>26</v>
      </c>
      <c r="X661" t="s">
        <v>40</v>
      </c>
      <c r="Y661">
        <v>20</v>
      </c>
      <c r="Z661" t="str">
        <f t="shared" si="141"/>
        <v>Bad Employee</v>
      </c>
      <c r="AA661" t="b">
        <f t="shared" si="142"/>
        <v>0</v>
      </c>
      <c r="AB661" t="b">
        <f>OR(Y661&gt;20, T661&gt;6)</f>
        <v>0</v>
      </c>
      <c r="AC661" t="str">
        <f>IF(OR(Y661&gt;20,T661&gt;6), "Good employee", "Bad Employee")</f>
        <v>Bad Employee</v>
      </c>
      <c r="AD661" t="s">
        <v>56</v>
      </c>
      <c r="AE661" t="s">
        <v>42</v>
      </c>
      <c r="AF661">
        <v>8</v>
      </c>
      <c r="AG661">
        <v>2020</v>
      </c>
      <c r="AH661" t="s">
        <v>30</v>
      </c>
      <c r="AI661">
        <v>152</v>
      </c>
      <c r="AJ661">
        <v>3.5</v>
      </c>
    </row>
    <row r="662" spans="1:36" x14ac:dyDescent="0.25">
      <c r="A662">
        <v>10661</v>
      </c>
      <c r="B662" t="s">
        <v>53</v>
      </c>
      <c r="C662" t="s">
        <v>32</v>
      </c>
      <c r="D662" t="s">
        <v>33</v>
      </c>
      <c r="E662" t="str">
        <f t="shared" si="130"/>
        <v>Sarah Wilson is in Marketing Department</v>
      </c>
      <c r="F662" s="6" t="str">
        <f t="shared" si="131"/>
        <v>sarahwilson@gmail.com</v>
      </c>
      <c r="G662">
        <v>104092</v>
      </c>
      <c r="H662" t="str">
        <f t="shared" si="132"/>
        <v>High</v>
      </c>
      <c r="I662" s="3">
        <v>38944</v>
      </c>
      <c r="J662">
        <f t="shared" si="133"/>
        <v>2006</v>
      </c>
      <c r="K662">
        <f t="shared" si="134"/>
        <v>8</v>
      </c>
      <c r="L662">
        <f t="shared" si="135"/>
        <v>15</v>
      </c>
      <c r="M662" s="3">
        <f t="shared" ca="1" si="136"/>
        <v>46100</v>
      </c>
      <c r="N662">
        <f t="shared" ca="1" si="137"/>
        <v>7156</v>
      </c>
      <c r="O662">
        <f t="shared" ca="1" si="138"/>
        <v>7156</v>
      </c>
      <c r="P662">
        <f t="shared" ca="1" si="139"/>
        <v>5113</v>
      </c>
      <c r="Q662">
        <v>57</v>
      </c>
      <c r="R662" t="str">
        <f t="shared" si="140"/>
        <v>Old</v>
      </c>
      <c r="S662" t="s">
        <v>34</v>
      </c>
      <c r="T662">
        <v>7</v>
      </c>
      <c r="U662" t="s">
        <v>45</v>
      </c>
      <c r="V662">
        <v>8789.4</v>
      </c>
      <c r="W662" t="s">
        <v>26</v>
      </c>
      <c r="X662" t="s">
        <v>47</v>
      </c>
      <c r="Y662">
        <v>10</v>
      </c>
      <c r="Z662" t="str">
        <f t="shared" si="141"/>
        <v>Bad Employee</v>
      </c>
      <c r="AA662" t="b">
        <f t="shared" si="142"/>
        <v>0</v>
      </c>
      <c r="AB662" t="b">
        <f>OR(Y662&gt;20, T662&gt;6)</f>
        <v>1</v>
      </c>
      <c r="AC662" t="str">
        <f>IF(OR(Y662&gt;20,T662&gt;6), "Good employee", "Bad Employee")</f>
        <v>Good employee</v>
      </c>
      <c r="AD662" t="s">
        <v>28</v>
      </c>
      <c r="AE662" t="s">
        <v>29</v>
      </c>
      <c r="AF662">
        <v>3</v>
      </c>
      <c r="AG662">
        <v>2016</v>
      </c>
      <c r="AH662" t="s">
        <v>49</v>
      </c>
      <c r="AI662">
        <v>18</v>
      </c>
      <c r="AJ662">
        <v>3.4</v>
      </c>
    </row>
    <row r="663" spans="1:36" x14ac:dyDescent="0.25">
      <c r="A663">
        <v>10662</v>
      </c>
      <c r="B663" t="s">
        <v>50</v>
      </c>
      <c r="C663" t="s">
        <v>65</v>
      </c>
      <c r="D663" t="s">
        <v>54</v>
      </c>
      <c r="E663" t="str">
        <f t="shared" si="130"/>
        <v>Alex Johnson is in Finance Department</v>
      </c>
      <c r="F663" s="6" t="str">
        <f t="shared" si="131"/>
        <v>alexjohnson@gmail.com</v>
      </c>
      <c r="G663">
        <v>84068</v>
      </c>
      <c r="H663" t="str">
        <f t="shared" si="132"/>
        <v>High</v>
      </c>
      <c r="I663" s="3">
        <v>43120</v>
      </c>
      <c r="J663">
        <f t="shared" si="133"/>
        <v>2018</v>
      </c>
      <c r="K663">
        <f t="shared" si="134"/>
        <v>1</v>
      </c>
      <c r="L663">
        <f t="shared" si="135"/>
        <v>20</v>
      </c>
      <c r="M663" s="3">
        <f t="shared" ca="1" si="136"/>
        <v>46100</v>
      </c>
      <c r="N663">
        <f t="shared" ca="1" si="137"/>
        <v>2980</v>
      </c>
      <c r="O663">
        <f t="shared" ca="1" si="138"/>
        <v>2980</v>
      </c>
      <c r="P663">
        <f t="shared" ca="1" si="139"/>
        <v>2129</v>
      </c>
      <c r="Q663">
        <v>54</v>
      </c>
      <c r="R663" t="str">
        <f t="shared" si="140"/>
        <v>Old</v>
      </c>
      <c r="S663" t="s">
        <v>34</v>
      </c>
      <c r="T663">
        <v>7</v>
      </c>
      <c r="U663" t="s">
        <v>25</v>
      </c>
      <c r="V663">
        <v>7038.38</v>
      </c>
      <c r="W663" t="s">
        <v>46</v>
      </c>
      <c r="X663" t="s">
        <v>55</v>
      </c>
      <c r="Y663">
        <v>24</v>
      </c>
      <c r="Z663" t="str">
        <f t="shared" si="141"/>
        <v>Good Employee</v>
      </c>
      <c r="AA663" t="b">
        <f t="shared" si="142"/>
        <v>1</v>
      </c>
      <c r="AB663" t="b">
        <f>OR(Y663&gt;20, T663&gt;6)</f>
        <v>1</v>
      </c>
      <c r="AC663" t="str">
        <f>IF(OR(Y663&gt;20,T663&gt;6), "Good employee", "Bad Employee")</f>
        <v>Good employee</v>
      </c>
      <c r="AD663" t="s">
        <v>28</v>
      </c>
      <c r="AE663" t="s">
        <v>62</v>
      </c>
      <c r="AF663">
        <v>16</v>
      </c>
      <c r="AG663">
        <v>2016</v>
      </c>
      <c r="AH663" t="s">
        <v>43</v>
      </c>
      <c r="AI663">
        <v>126</v>
      </c>
      <c r="AJ663">
        <v>2.4</v>
      </c>
    </row>
    <row r="664" spans="1:36" x14ac:dyDescent="0.25">
      <c r="A664">
        <v>10663</v>
      </c>
      <c r="B664" t="s">
        <v>38</v>
      </c>
      <c r="C664" t="s">
        <v>51</v>
      </c>
      <c r="D664" t="s">
        <v>33</v>
      </c>
      <c r="E664" t="str">
        <f t="shared" si="130"/>
        <v>Chris Brown is in Marketing Department</v>
      </c>
      <c r="F664" s="6" t="str">
        <f t="shared" si="131"/>
        <v>chrisbrown@gmail.com</v>
      </c>
      <c r="G664">
        <v>50102</v>
      </c>
      <c r="H664" t="str">
        <f t="shared" si="132"/>
        <v>Medium</v>
      </c>
      <c r="I664" s="3">
        <v>40603</v>
      </c>
      <c r="J664">
        <f t="shared" si="133"/>
        <v>2011</v>
      </c>
      <c r="K664">
        <f t="shared" si="134"/>
        <v>3</v>
      </c>
      <c r="L664">
        <f t="shared" si="135"/>
        <v>1</v>
      </c>
      <c r="M664" s="3">
        <f t="shared" ca="1" si="136"/>
        <v>46100</v>
      </c>
      <c r="N664">
        <f t="shared" ca="1" si="137"/>
        <v>5497</v>
      </c>
      <c r="O664">
        <f t="shared" ca="1" si="138"/>
        <v>5497</v>
      </c>
      <c r="P664">
        <f t="shared" ca="1" si="139"/>
        <v>3928</v>
      </c>
      <c r="Q664">
        <v>42</v>
      </c>
      <c r="R664" t="str">
        <f t="shared" si="140"/>
        <v>Old</v>
      </c>
      <c r="S664" t="s">
        <v>34</v>
      </c>
      <c r="T664">
        <v>8</v>
      </c>
      <c r="U664" t="s">
        <v>25</v>
      </c>
      <c r="V664">
        <v>3784.76</v>
      </c>
      <c r="W664" t="s">
        <v>46</v>
      </c>
      <c r="X664" t="s">
        <v>55</v>
      </c>
      <c r="Y664">
        <v>33</v>
      </c>
      <c r="Z664" t="str">
        <f t="shared" si="141"/>
        <v>Good Employee</v>
      </c>
      <c r="AA664" t="b">
        <f t="shared" si="142"/>
        <v>1</v>
      </c>
      <c r="AB664" t="b">
        <f>OR(Y664&gt;20, T664&gt;6)</f>
        <v>1</v>
      </c>
      <c r="AC664" t="str">
        <f>IF(OR(Y664&gt;20,T664&gt;6), "Good employee", "Bad Employee")</f>
        <v>Good employee</v>
      </c>
      <c r="AD664" t="s">
        <v>41</v>
      </c>
      <c r="AE664" t="s">
        <v>48</v>
      </c>
      <c r="AF664">
        <v>1</v>
      </c>
      <c r="AG664">
        <v>2011</v>
      </c>
      <c r="AH664" t="s">
        <v>30</v>
      </c>
      <c r="AI664">
        <v>97</v>
      </c>
      <c r="AJ664">
        <v>4.7</v>
      </c>
    </row>
    <row r="665" spans="1:36" x14ac:dyDescent="0.25">
      <c r="A665">
        <v>10664</v>
      </c>
      <c r="B665" t="s">
        <v>64</v>
      </c>
      <c r="C665" t="s">
        <v>57</v>
      </c>
      <c r="D665" t="s">
        <v>52</v>
      </c>
      <c r="E665" t="str">
        <f t="shared" si="130"/>
        <v>Katie Davis is in Operations Department</v>
      </c>
      <c r="F665" s="6" t="str">
        <f t="shared" si="131"/>
        <v>katiedavis@gmail.com</v>
      </c>
      <c r="G665">
        <v>31924</v>
      </c>
      <c r="H665" t="str">
        <f t="shared" si="132"/>
        <v>extremely low</v>
      </c>
      <c r="I665" s="3">
        <v>40788</v>
      </c>
      <c r="J665">
        <f t="shared" si="133"/>
        <v>2011</v>
      </c>
      <c r="K665">
        <f t="shared" si="134"/>
        <v>9</v>
      </c>
      <c r="L665">
        <f t="shared" si="135"/>
        <v>2</v>
      </c>
      <c r="M665" s="3">
        <f t="shared" ca="1" si="136"/>
        <v>46100</v>
      </c>
      <c r="N665">
        <f t="shared" ca="1" si="137"/>
        <v>5312</v>
      </c>
      <c r="O665">
        <f t="shared" ca="1" si="138"/>
        <v>5312</v>
      </c>
      <c r="P665">
        <f t="shared" ca="1" si="139"/>
        <v>3795</v>
      </c>
      <c r="Q665">
        <v>55</v>
      </c>
      <c r="R665" t="str">
        <f t="shared" si="140"/>
        <v>Old</v>
      </c>
      <c r="S665" t="s">
        <v>34</v>
      </c>
      <c r="T665">
        <v>8</v>
      </c>
      <c r="U665" t="s">
        <v>25</v>
      </c>
      <c r="V665">
        <v>4561.1499999999996</v>
      </c>
      <c r="W665" t="s">
        <v>35</v>
      </c>
      <c r="X665" t="s">
        <v>36</v>
      </c>
      <c r="Y665">
        <v>29</v>
      </c>
      <c r="Z665" t="str">
        <f t="shared" si="141"/>
        <v>Good Employee</v>
      </c>
      <c r="AA665" t="b">
        <f t="shared" si="142"/>
        <v>1</v>
      </c>
      <c r="AB665" t="b">
        <f>OR(Y665&gt;20, T665&gt;6)</f>
        <v>1</v>
      </c>
      <c r="AC665" t="str">
        <f>IF(OR(Y665&gt;20,T665&gt;6), "Good employee", "Bad Employee")</f>
        <v>Good employee</v>
      </c>
      <c r="AD665" t="s">
        <v>56</v>
      </c>
      <c r="AE665" t="s">
        <v>37</v>
      </c>
      <c r="AF665">
        <v>13</v>
      </c>
      <c r="AG665">
        <v>2017</v>
      </c>
      <c r="AH665" t="s">
        <v>43</v>
      </c>
      <c r="AI665">
        <v>184</v>
      </c>
      <c r="AJ665">
        <v>2.9</v>
      </c>
    </row>
    <row r="666" spans="1:36" x14ac:dyDescent="0.25">
      <c r="A666">
        <v>10665</v>
      </c>
      <c r="B666" t="s">
        <v>66</v>
      </c>
      <c r="C666" t="s">
        <v>57</v>
      </c>
      <c r="D666" t="s">
        <v>44</v>
      </c>
      <c r="E666" t="str">
        <f t="shared" si="130"/>
        <v>John Davis is in Sales Department</v>
      </c>
      <c r="F666" s="6" t="str">
        <f t="shared" si="131"/>
        <v>johndavis@gmail.com</v>
      </c>
      <c r="G666">
        <v>115015</v>
      </c>
      <c r="H666" t="str">
        <f t="shared" si="132"/>
        <v>High</v>
      </c>
      <c r="I666" s="3">
        <v>38965</v>
      </c>
      <c r="J666">
        <f t="shared" si="133"/>
        <v>2006</v>
      </c>
      <c r="K666">
        <f t="shared" si="134"/>
        <v>9</v>
      </c>
      <c r="L666">
        <f t="shared" si="135"/>
        <v>5</v>
      </c>
      <c r="M666" s="3">
        <f t="shared" ca="1" si="136"/>
        <v>46100</v>
      </c>
      <c r="N666">
        <f t="shared" ca="1" si="137"/>
        <v>7135</v>
      </c>
      <c r="O666">
        <f t="shared" ca="1" si="138"/>
        <v>7135</v>
      </c>
      <c r="P666">
        <f t="shared" ca="1" si="139"/>
        <v>5098</v>
      </c>
      <c r="Q666">
        <v>57</v>
      </c>
      <c r="R666" t="str">
        <f t="shared" si="140"/>
        <v>Old</v>
      </c>
      <c r="S666" t="s">
        <v>24</v>
      </c>
      <c r="T666">
        <v>2</v>
      </c>
      <c r="U666" t="s">
        <v>45</v>
      </c>
      <c r="V666">
        <v>7403.74</v>
      </c>
      <c r="W666" t="s">
        <v>58</v>
      </c>
      <c r="X666" t="s">
        <v>27</v>
      </c>
      <c r="Y666">
        <v>30</v>
      </c>
      <c r="Z666" t="str">
        <f t="shared" si="141"/>
        <v>Bad Employee</v>
      </c>
      <c r="AA666" t="b">
        <f t="shared" si="142"/>
        <v>0</v>
      </c>
      <c r="AB666" t="b">
        <f>OR(Y666&gt;20, T666&gt;6)</f>
        <v>1</v>
      </c>
      <c r="AC666" t="str">
        <f>IF(OR(Y666&gt;20,T666&gt;6), "Good employee", "Bad Employee")</f>
        <v>Good employee</v>
      </c>
      <c r="AD666" t="s">
        <v>28</v>
      </c>
      <c r="AE666" t="s">
        <v>42</v>
      </c>
      <c r="AF666">
        <v>0</v>
      </c>
      <c r="AG666">
        <v>2016</v>
      </c>
      <c r="AH666" t="s">
        <v>43</v>
      </c>
      <c r="AI666">
        <v>58</v>
      </c>
      <c r="AJ666">
        <v>1.1000000000000001</v>
      </c>
    </row>
    <row r="667" spans="1:36" x14ac:dyDescent="0.25">
      <c r="A667">
        <v>10666</v>
      </c>
      <c r="B667" t="s">
        <v>38</v>
      </c>
      <c r="C667" t="s">
        <v>61</v>
      </c>
      <c r="D667" t="s">
        <v>52</v>
      </c>
      <c r="E667" t="str">
        <f t="shared" si="130"/>
        <v>Chris Smith is in Operations Department</v>
      </c>
      <c r="F667" s="6" t="str">
        <f t="shared" si="131"/>
        <v>chrissmith@gmail.com</v>
      </c>
      <c r="G667">
        <v>84333</v>
      </c>
      <c r="H667" t="str">
        <f t="shared" si="132"/>
        <v>High</v>
      </c>
      <c r="I667" s="3">
        <v>41357</v>
      </c>
      <c r="J667">
        <f t="shared" si="133"/>
        <v>2013</v>
      </c>
      <c r="K667">
        <f t="shared" si="134"/>
        <v>3</v>
      </c>
      <c r="L667">
        <f t="shared" si="135"/>
        <v>24</v>
      </c>
      <c r="M667" s="3">
        <f t="shared" ca="1" si="136"/>
        <v>46100</v>
      </c>
      <c r="N667">
        <f t="shared" ca="1" si="137"/>
        <v>4743</v>
      </c>
      <c r="O667">
        <f t="shared" ca="1" si="138"/>
        <v>4743</v>
      </c>
      <c r="P667">
        <f t="shared" ca="1" si="139"/>
        <v>3389</v>
      </c>
      <c r="Q667">
        <v>38</v>
      </c>
      <c r="R667" t="str">
        <f t="shared" si="140"/>
        <v>Old</v>
      </c>
      <c r="S667" t="s">
        <v>24</v>
      </c>
      <c r="T667">
        <v>9</v>
      </c>
      <c r="U667" t="s">
        <v>45</v>
      </c>
      <c r="V667">
        <v>2510.0500000000002</v>
      </c>
      <c r="W667" t="s">
        <v>58</v>
      </c>
      <c r="X667" t="s">
        <v>27</v>
      </c>
      <c r="Y667">
        <v>36</v>
      </c>
      <c r="Z667" t="str">
        <f t="shared" si="141"/>
        <v>Good Employee</v>
      </c>
      <c r="AA667" t="b">
        <f t="shared" si="142"/>
        <v>1</v>
      </c>
      <c r="AB667" t="b">
        <f>OR(Y667&gt;20, T667&gt;6)</f>
        <v>1</v>
      </c>
      <c r="AC667" t="str">
        <f>IF(OR(Y667&gt;20,T667&gt;6), "Good employee", "Bad Employee")</f>
        <v>Good employee</v>
      </c>
      <c r="AD667" t="s">
        <v>56</v>
      </c>
      <c r="AE667" t="s">
        <v>29</v>
      </c>
      <c r="AF667">
        <v>6</v>
      </c>
      <c r="AG667">
        <v>2018</v>
      </c>
      <c r="AH667" t="s">
        <v>49</v>
      </c>
      <c r="AI667">
        <v>53</v>
      </c>
      <c r="AJ667">
        <v>2.4</v>
      </c>
    </row>
    <row r="668" spans="1:36" x14ac:dyDescent="0.25">
      <c r="A668">
        <v>10667</v>
      </c>
      <c r="B668" t="s">
        <v>64</v>
      </c>
      <c r="C668" t="s">
        <v>22</v>
      </c>
      <c r="D668" t="s">
        <v>52</v>
      </c>
      <c r="E668" t="str">
        <f t="shared" si="130"/>
        <v>Katie Williams is in Operations Department</v>
      </c>
      <c r="F668" s="6" t="str">
        <f t="shared" si="131"/>
        <v>katiewilliams@gmail.com</v>
      </c>
      <c r="G668">
        <v>114458</v>
      </c>
      <c r="H668" t="str">
        <f t="shared" si="132"/>
        <v>High</v>
      </c>
      <c r="I668" s="3">
        <v>43160</v>
      </c>
      <c r="J668">
        <f t="shared" si="133"/>
        <v>2018</v>
      </c>
      <c r="K668">
        <f t="shared" si="134"/>
        <v>3</v>
      </c>
      <c r="L668">
        <f t="shared" si="135"/>
        <v>1</v>
      </c>
      <c r="M668" s="3">
        <f t="shared" ca="1" si="136"/>
        <v>46100</v>
      </c>
      <c r="N668">
        <f t="shared" ca="1" si="137"/>
        <v>2940</v>
      </c>
      <c r="O668">
        <f t="shared" ca="1" si="138"/>
        <v>2940</v>
      </c>
      <c r="P668">
        <f t="shared" ca="1" si="139"/>
        <v>2101</v>
      </c>
      <c r="Q668">
        <v>31</v>
      </c>
      <c r="R668" t="str">
        <f t="shared" si="140"/>
        <v>Old</v>
      </c>
      <c r="S668" t="s">
        <v>34</v>
      </c>
      <c r="T668">
        <v>4</v>
      </c>
      <c r="U668" t="s">
        <v>25</v>
      </c>
      <c r="V668">
        <v>4953.2299999999996</v>
      </c>
      <c r="W668" t="s">
        <v>58</v>
      </c>
      <c r="X668" t="s">
        <v>47</v>
      </c>
      <c r="Y668">
        <v>6</v>
      </c>
      <c r="Z668" t="str">
        <f t="shared" si="141"/>
        <v>Bad Employee</v>
      </c>
      <c r="AA668" t="b">
        <f t="shared" si="142"/>
        <v>0</v>
      </c>
      <c r="AB668" t="b">
        <f>OR(Y668&gt;20, T668&gt;6)</f>
        <v>0</v>
      </c>
      <c r="AC668" t="str">
        <f>IF(OR(Y668&gt;20,T668&gt;6), "Good employee", "Bad Employee")</f>
        <v>Bad Employee</v>
      </c>
      <c r="AD668" t="s">
        <v>28</v>
      </c>
      <c r="AE668" t="s">
        <v>42</v>
      </c>
      <c r="AF668">
        <v>3</v>
      </c>
      <c r="AG668">
        <v>2021</v>
      </c>
      <c r="AH668" t="s">
        <v>49</v>
      </c>
      <c r="AI668">
        <v>34</v>
      </c>
      <c r="AJ668">
        <v>1.5</v>
      </c>
    </row>
    <row r="669" spans="1:36" x14ac:dyDescent="0.25">
      <c r="A669">
        <v>10668</v>
      </c>
      <c r="B669" t="s">
        <v>31</v>
      </c>
      <c r="C669" t="s">
        <v>32</v>
      </c>
      <c r="D669" t="s">
        <v>23</v>
      </c>
      <c r="E669" t="str">
        <f t="shared" si="130"/>
        <v>Emily Wilson is in HR Department</v>
      </c>
      <c r="F669" s="6" t="str">
        <f t="shared" si="131"/>
        <v>emilywilson@gmail.com</v>
      </c>
      <c r="G669">
        <v>114196</v>
      </c>
      <c r="H669" t="str">
        <f t="shared" si="132"/>
        <v>High</v>
      </c>
      <c r="I669" s="3">
        <v>41546</v>
      </c>
      <c r="J669">
        <f t="shared" si="133"/>
        <v>2013</v>
      </c>
      <c r="K669">
        <f t="shared" si="134"/>
        <v>9</v>
      </c>
      <c r="L669">
        <f t="shared" si="135"/>
        <v>29</v>
      </c>
      <c r="M669" s="3">
        <f t="shared" ca="1" si="136"/>
        <v>46100</v>
      </c>
      <c r="N669">
        <f t="shared" ca="1" si="137"/>
        <v>4554</v>
      </c>
      <c r="O669">
        <f t="shared" ca="1" si="138"/>
        <v>4554</v>
      </c>
      <c r="P669">
        <f t="shared" ca="1" si="139"/>
        <v>3254</v>
      </c>
      <c r="Q669">
        <v>44</v>
      </c>
      <c r="R669" t="str">
        <f t="shared" si="140"/>
        <v>Old</v>
      </c>
      <c r="S669" t="s">
        <v>34</v>
      </c>
      <c r="T669">
        <v>1</v>
      </c>
      <c r="U669" t="s">
        <v>45</v>
      </c>
      <c r="V669">
        <v>6708.8</v>
      </c>
      <c r="W669" t="s">
        <v>35</v>
      </c>
      <c r="X669" t="s">
        <v>47</v>
      </c>
      <c r="Y669">
        <v>14</v>
      </c>
      <c r="Z669" t="str">
        <f t="shared" si="141"/>
        <v>Bad Employee</v>
      </c>
      <c r="AA669" t="b">
        <f t="shared" si="142"/>
        <v>0</v>
      </c>
      <c r="AB669" t="b">
        <f>OR(Y669&gt;20, T669&gt;6)</f>
        <v>0</v>
      </c>
      <c r="AC669" t="str">
        <f>IF(OR(Y669&gt;20,T669&gt;6), "Good employee", "Bad Employee")</f>
        <v>Bad Employee</v>
      </c>
      <c r="AD669" t="s">
        <v>41</v>
      </c>
      <c r="AE669" t="s">
        <v>48</v>
      </c>
      <c r="AF669">
        <v>8</v>
      </c>
      <c r="AG669">
        <v>2013</v>
      </c>
      <c r="AH669" t="s">
        <v>49</v>
      </c>
      <c r="AI669">
        <v>135</v>
      </c>
      <c r="AJ669">
        <v>2.5</v>
      </c>
    </row>
    <row r="670" spans="1:36" x14ac:dyDescent="0.25">
      <c r="A670">
        <v>10669</v>
      </c>
      <c r="B670" t="s">
        <v>38</v>
      </c>
      <c r="C670" t="s">
        <v>63</v>
      </c>
      <c r="D670" t="s">
        <v>54</v>
      </c>
      <c r="E670" t="str">
        <f t="shared" si="130"/>
        <v>Chris Miller is in Finance Department</v>
      </c>
      <c r="F670" s="6" t="str">
        <f t="shared" si="131"/>
        <v>chrismiller@gmail.com</v>
      </c>
      <c r="G670">
        <v>76099</v>
      </c>
      <c r="H670" t="str">
        <f t="shared" si="132"/>
        <v>Medium</v>
      </c>
      <c r="I670" s="3">
        <v>41795</v>
      </c>
      <c r="J670">
        <f t="shared" si="133"/>
        <v>2014</v>
      </c>
      <c r="K670">
        <f t="shared" si="134"/>
        <v>6</v>
      </c>
      <c r="L670">
        <f t="shared" si="135"/>
        <v>5</v>
      </c>
      <c r="M670" s="3">
        <f t="shared" ca="1" si="136"/>
        <v>46100</v>
      </c>
      <c r="N670">
        <f t="shared" ca="1" si="137"/>
        <v>4305</v>
      </c>
      <c r="O670">
        <f t="shared" ca="1" si="138"/>
        <v>4305</v>
      </c>
      <c r="P670">
        <f t="shared" ca="1" si="139"/>
        <v>3076</v>
      </c>
      <c r="Q670">
        <v>23</v>
      </c>
      <c r="R670" t="str">
        <f t="shared" si="140"/>
        <v>Young</v>
      </c>
      <c r="S670" t="s">
        <v>24</v>
      </c>
      <c r="T670">
        <v>1</v>
      </c>
      <c r="U670" t="s">
        <v>45</v>
      </c>
      <c r="V670">
        <v>5625.24</v>
      </c>
      <c r="W670" t="s">
        <v>35</v>
      </c>
      <c r="X670" t="s">
        <v>27</v>
      </c>
      <c r="Y670">
        <v>3</v>
      </c>
      <c r="Z670" t="str">
        <f t="shared" si="141"/>
        <v>Bad Employee</v>
      </c>
      <c r="AA670" t="b">
        <f t="shared" si="142"/>
        <v>0</v>
      </c>
      <c r="AB670" t="b">
        <f>OR(Y670&gt;20, T670&gt;6)</f>
        <v>0</v>
      </c>
      <c r="AC670" t="str">
        <f>IF(OR(Y670&gt;20,T670&gt;6), "Good employee", "Bad Employee")</f>
        <v>Bad Employee</v>
      </c>
      <c r="AD670" t="s">
        <v>41</v>
      </c>
      <c r="AE670" t="s">
        <v>48</v>
      </c>
      <c r="AF670">
        <v>2</v>
      </c>
      <c r="AG670">
        <v>2018</v>
      </c>
      <c r="AH670" t="s">
        <v>30</v>
      </c>
      <c r="AI670">
        <v>16</v>
      </c>
      <c r="AJ670">
        <v>3.4</v>
      </c>
    </row>
    <row r="671" spans="1:36" x14ac:dyDescent="0.25">
      <c r="A671">
        <v>10670</v>
      </c>
      <c r="B671" t="s">
        <v>21</v>
      </c>
      <c r="C671" t="s">
        <v>51</v>
      </c>
      <c r="D671" t="s">
        <v>23</v>
      </c>
      <c r="E671" t="str">
        <f t="shared" si="130"/>
        <v>Michael Brown is in HR Department</v>
      </c>
      <c r="F671" s="6" t="str">
        <f t="shared" si="131"/>
        <v>michaelbrown@gmail.com</v>
      </c>
      <c r="G671">
        <v>87346</v>
      </c>
      <c r="H671" t="str">
        <f t="shared" si="132"/>
        <v>High</v>
      </c>
      <c r="I671" s="3">
        <v>42113</v>
      </c>
      <c r="J671">
        <f t="shared" si="133"/>
        <v>2015</v>
      </c>
      <c r="K671">
        <f t="shared" si="134"/>
        <v>4</v>
      </c>
      <c r="L671">
        <f t="shared" si="135"/>
        <v>19</v>
      </c>
      <c r="M671" s="3">
        <f t="shared" ca="1" si="136"/>
        <v>46100</v>
      </c>
      <c r="N671">
        <f t="shared" ca="1" si="137"/>
        <v>3987</v>
      </c>
      <c r="O671">
        <f t="shared" ca="1" si="138"/>
        <v>3987</v>
      </c>
      <c r="P671">
        <f t="shared" ca="1" si="139"/>
        <v>2849</v>
      </c>
      <c r="Q671">
        <v>56</v>
      </c>
      <c r="R671" t="str">
        <f t="shared" si="140"/>
        <v>Old</v>
      </c>
      <c r="S671" t="s">
        <v>34</v>
      </c>
      <c r="T671">
        <v>5</v>
      </c>
      <c r="U671" t="s">
        <v>25</v>
      </c>
      <c r="V671">
        <v>6279.12</v>
      </c>
      <c r="W671" t="s">
        <v>35</v>
      </c>
      <c r="X671" t="s">
        <v>40</v>
      </c>
      <c r="Y671">
        <v>24</v>
      </c>
      <c r="Z671" t="str">
        <f t="shared" si="141"/>
        <v>Bad Employee</v>
      </c>
      <c r="AA671" t="b">
        <f t="shared" si="142"/>
        <v>0</v>
      </c>
      <c r="AB671" t="b">
        <f>OR(Y671&gt;20, T671&gt;6)</f>
        <v>1</v>
      </c>
      <c r="AC671" t="str">
        <f>IF(OR(Y671&gt;20,T671&gt;6), "Good employee", "Bad Employee")</f>
        <v>Good employee</v>
      </c>
      <c r="AD671" t="s">
        <v>56</v>
      </c>
      <c r="AE671" t="s">
        <v>62</v>
      </c>
      <c r="AF671">
        <v>4</v>
      </c>
      <c r="AG671">
        <v>2010</v>
      </c>
      <c r="AH671" t="s">
        <v>30</v>
      </c>
      <c r="AI671">
        <v>115</v>
      </c>
      <c r="AJ671">
        <v>1.1000000000000001</v>
      </c>
    </row>
    <row r="672" spans="1:36" x14ac:dyDescent="0.25">
      <c r="A672">
        <v>10671</v>
      </c>
      <c r="B672" t="s">
        <v>66</v>
      </c>
      <c r="C672" t="s">
        <v>63</v>
      </c>
      <c r="D672" t="s">
        <v>44</v>
      </c>
      <c r="E672" t="str">
        <f t="shared" si="130"/>
        <v>John Miller is in Sales Department</v>
      </c>
      <c r="F672" s="6" t="str">
        <f t="shared" si="131"/>
        <v>johnmiller@gmail.com</v>
      </c>
      <c r="G672">
        <v>105481</v>
      </c>
      <c r="H672" t="str">
        <f t="shared" si="132"/>
        <v>High</v>
      </c>
      <c r="I672" s="3">
        <v>38515</v>
      </c>
      <c r="J672">
        <f t="shared" si="133"/>
        <v>2005</v>
      </c>
      <c r="K672">
        <f t="shared" si="134"/>
        <v>6</v>
      </c>
      <c r="L672">
        <f t="shared" si="135"/>
        <v>12</v>
      </c>
      <c r="M672" s="3">
        <f t="shared" ca="1" si="136"/>
        <v>46100</v>
      </c>
      <c r="N672">
        <f t="shared" ca="1" si="137"/>
        <v>7585</v>
      </c>
      <c r="O672">
        <f t="shared" ca="1" si="138"/>
        <v>7585</v>
      </c>
      <c r="P672">
        <f t="shared" ca="1" si="139"/>
        <v>5419</v>
      </c>
      <c r="Q672">
        <v>35</v>
      </c>
      <c r="R672" t="str">
        <f t="shared" si="140"/>
        <v>Old</v>
      </c>
      <c r="S672" t="s">
        <v>34</v>
      </c>
      <c r="T672">
        <v>7</v>
      </c>
      <c r="U672" t="s">
        <v>25</v>
      </c>
      <c r="V672">
        <v>5689.02</v>
      </c>
      <c r="W672" t="s">
        <v>46</v>
      </c>
      <c r="X672" t="s">
        <v>40</v>
      </c>
      <c r="Y672">
        <v>19</v>
      </c>
      <c r="Z672" t="str">
        <f t="shared" si="141"/>
        <v>Bad Employee</v>
      </c>
      <c r="AA672" t="b">
        <f t="shared" si="142"/>
        <v>0</v>
      </c>
      <c r="AB672" t="b">
        <f>OR(Y672&gt;20, T672&gt;6)</f>
        <v>1</v>
      </c>
      <c r="AC672" t="str">
        <f>IF(OR(Y672&gt;20,T672&gt;6), "Good employee", "Bad Employee")</f>
        <v>Good employee</v>
      </c>
      <c r="AD672" t="s">
        <v>56</v>
      </c>
      <c r="AE672" t="s">
        <v>42</v>
      </c>
      <c r="AF672">
        <v>9</v>
      </c>
      <c r="AG672">
        <v>2014</v>
      </c>
      <c r="AH672" t="s">
        <v>49</v>
      </c>
      <c r="AI672">
        <v>163</v>
      </c>
      <c r="AJ672">
        <v>4.5</v>
      </c>
    </row>
    <row r="673" spans="1:36" x14ac:dyDescent="0.25">
      <c r="A673">
        <v>10672</v>
      </c>
      <c r="B673" t="s">
        <v>64</v>
      </c>
      <c r="C673" t="s">
        <v>61</v>
      </c>
      <c r="D673" t="s">
        <v>39</v>
      </c>
      <c r="E673" t="str">
        <f t="shared" si="130"/>
        <v>Katie Smith is in IT Department</v>
      </c>
      <c r="F673" s="6" t="str">
        <f t="shared" si="131"/>
        <v>katiesmith@gmail.com</v>
      </c>
      <c r="G673">
        <v>80062</v>
      </c>
      <c r="H673" t="str">
        <f t="shared" si="132"/>
        <v>High</v>
      </c>
      <c r="I673" s="3">
        <v>37592</v>
      </c>
      <c r="J673">
        <f t="shared" si="133"/>
        <v>2002</v>
      </c>
      <c r="K673">
        <f t="shared" si="134"/>
        <v>12</v>
      </c>
      <c r="L673">
        <f t="shared" si="135"/>
        <v>2</v>
      </c>
      <c r="M673" s="3">
        <f t="shared" ca="1" si="136"/>
        <v>46100</v>
      </c>
      <c r="N673">
        <f t="shared" ca="1" si="137"/>
        <v>8508</v>
      </c>
      <c r="O673">
        <f t="shared" ca="1" si="138"/>
        <v>8508</v>
      </c>
      <c r="P673">
        <f t="shared" ca="1" si="139"/>
        <v>6079</v>
      </c>
      <c r="Q673">
        <v>62</v>
      </c>
      <c r="R673" t="str">
        <f t="shared" si="140"/>
        <v>Old</v>
      </c>
      <c r="S673" t="s">
        <v>34</v>
      </c>
      <c r="T673">
        <v>5</v>
      </c>
      <c r="U673" t="s">
        <v>25</v>
      </c>
      <c r="V673">
        <v>2392.66</v>
      </c>
      <c r="W673" t="s">
        <v>35</v>
      </c>
      <c r="X673" t="s">
        <v>55</v>
      </c>
      <c r="Y673">
        <v>38</v>
      </c>
      <c r="Z673" t="str">
        <f t="shared" si="141"/>
        <v>Bad Employee</v>
      </c>
      <c r="AA673" t="b">
        <f t="shared" si="142"/>
        <v>0</v>
      </c>
      <c r="AB673" t="b">
        <f>OR(Y673&gt;20, T673&gt;6)</f>
        <v>1</v>
      </c>
      <c r="AC673" t="str">
        <f>IF(OR(Y673&gt;20,T673&gt;6), "Good employee", "Bad Employee")</f>
        <v>Good employee</v>
      </c>
      <c r="AD673" t="s">
        <v>56</v>
      </c>
      <c r="AE673" t="s">
        <v>48</v>
      </c>
      <c r="AF673">
        <v>9</v>
      </c>
      <c r="AG673">
        <v>2019</v>
      </c>
      <c r="AH673" t="s">
        <v>49</v>
      </c>
      <c r="AI673">
        <v>169</v>
      </c>
      <c r="AJ673">
        <v>3.4</v>
      </c>
    </row>
    <row r="674" spans="1:36" x14ac:dyDescent="0.25">
      <c r="A674">
        <v>10673</v>
      </c>
      <c r="B674" t="s">
        <v>64</v>
      </c>
      <c r="C674" t="s">
        <v>22</v>
      </c>
      <c r="D674" t="s">
        <v>44</v>
      </c>
      <c r="E674" t="str">
        <f t="shared" si="130"/>
        <v>Katie Williams is in Sales Department</v>
      </c>
      <c r="F674" s="6" t="str">
        <f t="shared" si="131"/>
        <v>katiewilliams@gmail.com</v>
      </c>
      <c r="G674">
        <v>30306</v>
      </c>
      <c r="H674" t="str">
        <f t="shared" si="132"/>
        <v>extremely low</v>
      </c>
      <c r="I674" s="3">
        <v>37470</v>
      </c>
      <c r="J674">
        <f t="shared" si="133"/>
        <v>2002</v>
      </c>
      <c r="K674">
        <f t="shared" si="134"/>
        <v>8</v>
      </c>
      <c r="L674">
        <f t="shared" si="135"/>
        <v>2</v>
      </c>
      <c r="M674" s="3">
        <f t="shared" ca="1" si="136"/>
        <v>46100</v>
      </c>
      <c r="N674">
        <f t="shared" ca="1" si="137"/>
        <v>8630</v>
      </c>
      <c r="O674">
        <f t="shared" ca="1" si="138"/>
        <v>8630</v>
      </c>
      <c r="P674">
        <f t="shared" ca="1" si="139"/>
        <v>6165</v>
      </c>
      <c r="Q674">
        <v>23</v>
      </c>
      <c r="R674" t="str">
        <f t="shared" si="140"/>
        <v>Young</v>
      </c>
      <c r="S674" t="s">
        <v>24</v>
      </c>
      <c r="T674">
        <v>3</v>
      </c>
      <c r="U674" t="s">
        <v>45</v>
      </c>
      <c r="V674">
        <v>4396.95</v>
      </c>
      <c r="W674" t="s">
        <v>26</v>
      </c>
      <c r="X674" t="s">
        <v>36</v>
      </c>
      <c r="Y674">
        <v>34</v>
      </c>
      <c r="Z674" t="str">
        <f t="shared" si="141"/>
        <v>Bad Employee</v>
      </c>
      <c r="AA674" t="b">
        <f t="shared" si="142"/>
        <v>0</v>
      </c>
      <c r="AB674" t="b">
        <f>OR(Y674&gt;20, T674&gt;6)</f>
        <v>1</v>
      </c>
      <c r="AC674" t="str">
        <f>IF(OR(Y674&gt;20,T674&gt;6), "Good employee", "Bad Employee")</f>
        <v>Good employee</v>
      </c>
      <c r="AD674" t="s">
        <v>56</v>
      </c>
      <c r="AE674" t="s">
        <v>59</v>
      </c>
      <c r="AF674">
        <v>3</v>
      </c>
      <c r="AG674">
        <v>2016</v>
      </c>
      <c r="AH674" t="s">
        <v>30</v>
      </c>
      <c r="AI674">
        <v>159</v>
      </c>
      <c r="AJ674">
        <v>2.2000000000000002</v>
      </c>
    </row>
    <row r="675" spans="1:36" x14ac:dyDescent="0.25">
      <c r="A675">
        <v>10674</v>
      </c>
      <c r="B675" t="s">
        <v>64</v>
      </c>
      <c r="C675" t="s">
        <v>51</v>
      </c>
      <c r="D675" t="s">
        <v>54</v>
      </c>
      <c r="E675" t="str">
        <f t="shared" si="130"/>
        <v>Katie Brown is in Finance Department</v>
      </c>
      <c r="F675" s="6" t="str">
        <f t="shared" si="131"/>
        <v>katiebrown@gmail.com</v>
      </c>
      <c r="G675">
        <v>118495</v>
      </c>
      <c r="H675" t="str">
        <f t="shared" si="132"/>
        <v>High</v>
      </c>
      <c r="I675" s="3">
        <v>36554</v>
      </c>
      <c r="J675">
        <f t="shared" si="133"/>
        <v>2000</v>
      </c>
      <c r="K675">
        <f t="shared" si="134"/>
        <v>1</v>
      </c>
      <c r="L675">
        <f t="shared" si="135"/>
        <v>29</v>
      </c>
      <c r="M675" s="3">
        <f t="shared" ca="1" si="136"/>
        <v>46100</v>
      </c>
      <c r="N675">
        <f t="shared" ca="1" si="137"/>
        <v>9546</v>
      </c>
      <c r="O675">
        <f t="shared" ca="1" si="138"/>
        <v>9546</v>
      </c>
      <c r="P675">
        <f t="shared" ca="1" si="139"/>
        <v>6819</v>
      </c>
      <c r="Q675">
        <v>40</v>
      </c>
      <c r="R675" t="str">
        <f t="shared" si="140"/>
        <v>Old</v>
      </c>
      <c r="S675" t="s">
        <v>34</v>
      </c>
      <c r="T675">
        <v>7</v>
      </c>
      <c r="U675" t="s">
        <v>45</v>
      </c>
      <c r="V675">
        <v>5553.86</v>
      </c>
      <c r="W675" t="s">
        <v>46</v>
      </c>
      <c r="X675" t="s">
        <v>40</v>
      </c>
      <c r="Y675">
        <v>9</v>
      </c>
      <c r="Z675" t="str">
        <f t="shared" si="141"/>
        <v>Bad Employee</v>
      </c>
      <c r="AA675" t="b">
        <f t="shared" si="142"/>
        <v>0</v>
      </c>
      <c r="AB675" t="b">
        <f>OR(Y675&gt;20, T675&gt;6)</f>
        <v>1</v>
      </c>
      <c r="AC675" t="str">
        <f>IF(OR(Y675&gt;20,T675&gt;6), "Good employee", "Bad Employee")</f>
        <v>Good employee</v>
      </c>
      <c r="AD675" t="s">
        <v>56</v>
      </c>
      <c r="AE675" t="s">
        <v>48</v>
      </c>
      <c r="AF675">
        <v>16</v>
      </c>
      <c r="AG675">
        <v>2013</v>
      </c>
      <c r="AH675" t="s">
        <v>49</v>
      </c>
      <c r="AI675">
        <v>120</v>
      </c>
      <c r="AJ675">
        <v>2.2000000000000002</v>
      </c>
    </row>
    <row r="676" spans="1:36" x14ac:dyDescent="0.25">
      <c r="A676">
        <v>10675</v>
      </c>
      <c r="B676" t="s">
        <v>31</v>
      </c>
      <c r="C676" t="s">
        <v>65</v>
      </c>
      <c r="D676" t="s">
        <v>33</v>
      </c>
      <c r="E676" t="str">
        <f t="shared" si="130"/>
        <v>Emily Johnson is in Marketing Department</v>
      </c>
      <c r="F676" s="6" t="str">
        <f t="shared" si="131"/>
        <v>emilyjohnson@gmail.com</v>
      </c>
      <c r="G676">
        <v>99767</v>
      </c>
      <c r="H676" t="str">
        <f t="shared" si="132"/>
        <v>High</v>
      </c>
      <c r="I676" s="3">
        <v>38423</v>
      </c>
      <c r="J676">
        <f t="shared" si="133"/>
        <v>2005</v>
      </c>
      <c r="K676">
        <f t="shared" si="134"/>
        <v>3</v>
      </c>
      <c r="L676">
        <f t="shared" si="135"/>
        <v>12</v>
      </c>
      <c r="M676" s="3">
        <f t="shared" ca="1" si="136"/>
        <v>46100</v>
      </c>
      <c r="N676">
        <f t="shared" ca="1" si="137"/>
        <v>7677</v>
      </c>
      <c r="O676">
        <f t="shared" ca="1" si="138"/>
        <v>7677</v>
      </c>
      <c r="P676">
        <f t="shared" ca="1" si="139"/>
        <v>5484</v>
      </c>
      <c r="Q676">
        <v>37</v>
      </c>
      <c r="R676" t="str">
        <f t="shared" si="140"/>
        <v>Old</v>
      </c>
      <c r="S676" t="s">
        <v>34</v>
      </c>
      <c r="T676">
        <v>1</v>
      </c>
      <c r="U676" t="s">
        <v>25</v>
      </c>
      <c r="V676">
        <v>7910.6</v>
      </c>
      <c r="W676" t="s">
        <v>46</v>
      </c>
      <c r="X676" t="s">
        <v>47</v>
      </c>
      <c r="Y676">
        <v>30</v>
      </c>
      <c r="Z676" t="str">
        <f t="shared" si="141"/>
        <v>Bad Employee</v>
      </c>
      <c r="AA676" t="b">
        <f t="shared" si="142"/>
        <v>0</v>
      </c>
      <c r="AB676" t="b">
        <f>OR(Y676&gt;20, T676&gt;6)</f>
        <v>1</v>
      </c>
      <c r="AC676" t="str">
        <f>IF(OR(Y676&gt;20,T676&gt;6), "Good employee", "Bad Employee")</f>
        <v>Good employee</v>
      </c>
      <c r="AD676" t="s">
        <v>28</v>
      </c>
      <c r="AE676" t="s">
        <v>48</v>
      </c>
      <c r="AF676">
        <v>16</v>
      </c>
      <c r="AG676">
        <v>2022</v>
      </c>
      <c r="AH676" t="s">
        <v>43</v>
      </c>
      <c r="AI676">
        <v>156</v>
      </c>
      <c r="AJ676">
        <v>2.9</v>
      </c>
    </row>
    <row r="677" spans="1:36" x14ac:dyDescent="0.25">
      <c r="A677">
        <v>10676</v>
      </c>
      <c r="B677" t="s">
        <v>38</v>
      </c>
      <c r="C677" t="s">
        <v>32</v>
      </c>
      <c r="D677" t="s">
        <v>52</v>
      </c>
      <c r="E677" t="str">
        <f t="shared" si="130"/>
        <v>Chris Wilson is in Operations Department</v>
      </c>
      <c r="F677" s="6" t="str">
        <f t="shared" si="131"/>
        <v>chriswilson@gmail.com</v>
      </c>
      <c r="G677">
        <v>42207</v>
      </c>
      <c r="H677" t="str">
        <f t="shared" si="132"/>
        <v>low</v>
      </c>
      <c r="I677" s="3">
        <v>42277</v>
      </c>
      <c r="J677">
        <f t="shared" si="133"/>
        <v>2015</v>
      </c>
      <c r="K677">
        <f t="shared" si="134"/>
        <v>9</v>
      </c>
      <c r="L677">
        <f t="shared" si="135"/>
        <v>30</v>
      </c>
      <c r="M677" s="3">
        <f t="shared" ca="1" si="136"/>
        <v>46100</v>
      </c>
      <c r="N677">
        <f t="shared" ca="1" si="137"/>
        <v>3823</v>
      </c>
      <c r="O677">
        <f t="shared" ca="1" si="138"/>
        <v>3823</v>
      </c>
      <c r="P677">
        <f t="shared" ca="1" si="139"/>
        <v>2732</v>
      </c>
      <c r="Q677">
        <v>64</v>
      </c>
      <c r="R677" t="str">
        <f t="shared" si="140"/>
        <v>Old</v>
      </c>
      <c r="S677" t="s">
        <v>24</v>
      </c>
      <c r="T677">
        <v>1</v>
      </c>
      <c r="U677" t="s">
        <v>45</v>
      </c>
      <c r="V677">
        <v>6712.09</v>
      </c>
      <c r="W677" t="s">
        <v>58</v>
      </c>
      <c r="X677" t="s">
        <v>40</v>
      </c>
      <c r="Y677">
        <v>32</v>
      </c>
      <c r="Z677" t="str">
        <f t="shared" si="141"/>
        <v>Bad Employee</v>
      </c>
      <c r="AA677" t="b">
        <f t="shared" si="142"/>
        <v>0</v>
      </c>
      <c r="AB677" t="b">
        <f>OR(Y677&gt;20, T677&gt;6)</f>
        <v>1</v>
      </c>
      <c r="AC677" t="str">
        <f>IF(OR(Y677&gt;20,T677&gt;6), "Good employee", "Bad Employee")</f>
        <v>Good employee</v>
      </c>
      <c r="AD677" t="s">
        <v>56</v>
      </c>
      <c r="AE677" t="s">
        <v>42</v>
      </c>
      <c r="AF677">
        <v>18</v>
      </c>
      <c r="AG677">
        <v>2016</v>
      </c>
      <c r="AH677" t="s">
        <v>43</v>
      </c>
      <c r="AI677">
        <v>116</v>
      </c>
      <c r="AJ677">
        <v>2</v>
      </c>
    </row>
    <row r="678" spans="1:36" x14ac:dyDescent="0.25">
      <c r="A678">
        <v>10677</v>
      </c>
      <c r="B678" t="s">
        <v>31</v>
      </c>
      <c r="C678" t="s">
        <v>22</v>
      </c>
      <c r="D678" t="s">
        <v>39</v>
      </c>
      <c r="E678" t="str">
        <f t="shared" si="130"/>
        <v>Emily Williams is in IT Department</v>
      </c>
      <c r="F678" s="6" t="str">
        <f t="shared" si="131"/>
        <v>emilywilliams@gmail.com</v>
      </c>
      <c r="G678">
        <v>69426</v>
      </c>
      <c r="H678" t="str">
        <f t="shared" si="132"/>
        <v>Medium</v>
      </c>
      <c r="I678" s="3">
        <v>42494</v>
      </c>
      <c r="J678">
        <f t="shared" si="133"/>
        <v>2016</v>
      </c>
      <c r="K678">
        <f t="shared" si="134"/>
        <v>5</v>
      </c>
      <c r="L678">
        <f t="shared" si="135"/>
        <v>4</v>
      </c>
      <c r="M678" s="3">
        <f t="shared" ca="1" si="136"/>
        <v>46100</v>
      </c>
      <c r="N678">
        <f t="shared" ca="1" si="137"/>
        <v>3606</v>
      </c>
      <c r="O678">
        <f t="shared" ca="1" si="138"/>
        <v>3606</v>
      </c>
      <c r="P678">
        <f t="shared" ca="1" si="139"/>
        <v>2577</v>
      </c>
      <c r="Q678">
        <v>46</v>
      </c>
      <c r="R678" t="str">
        <f t="shared" si="140"/>
        <v>Old</v>
      </c>
      <c r="S678" t="s">
        <v>34</v>
      </c>
      <c r="T678">
        <v>2</v>
      </c>
      <c r="U678" t="s">
        <v>45</v>
      </c>
      <c r="V678">
        <v>4552.6099999999997</v>
      </c>
      <c r="W678" t="s">
        <v>58</v>
      </c>
      <c r="X678" t="s">
        <v>36</v>
      </c>
      <c r="Y678">
        <v>13</v>
      </c>
      <c r="Z678" t="str">
        <f t="shared" si="141"/>
        <v>Bad Employee</v>
      </c>
      <c r="AA678" t="b">
        <f t="shared" si="142"/>
        <v>0</v>
      </c>
      <c r="AB678" t="b">
        <f>OR(Y678&gt;20, T678&gt;6)</f>
        <v>0</v>
      </c>
      <c r="AC678" t="str">
        <f>IF(OR(Y678&gt;20,T678&gt;6), "Good employee", "Bad Employee")</f>
        <v>Bad Employee</v>
      </c>
      <c r="AD678" t="s">
        <v>28</v>
      </c>
      <c r="AE678" t="s">
        <v>37</v>
      </c>
      <c r="AF678">
        <v>5</v>
      </c>
      <c r="AG678">
        <v>2023</v>
      </c>
      <c r="AH678" t="s">
        <v>43</v>
      </c>
      <c r="AI678">
        <v>173</v>
      </c>
      <c r="AJ678">
        <v>1</v>
      </c>
    </row>
    <row r="679" spans="1:36" x14ac:dyDescent="0.25">
      <c r="A679">
        <v>10678</v>
      </c>
      <c r="B679" t="s">
        <v>53</v>
      </c>
      <c r="C679" t="s">
        <v>57</v>
      </c>
      <c r="D679" t="s">
        <v>54</v>
      </c>
      <c r="E679" t="str">
        <f t="shared" si="130"/>
        <v>Sarah Davis is in Finance Department</v>
      </c>
      <c r="F679" s="6" t="str">
        <f t="shared" si="131"/>
        <v>sarahdavis@gmail.com</v>
      </c>
      <c r="G679">
        <v>36336</v>
      </c>
      <c r="H679" t="str">
        <f t="shared" si="132"/>
        <v>extremely low</v>
      </c>
      <c r="I679" s="3">
        <v>41676</v>
      </c>
      <c r="J679">
        <f t="shared" si="133"/>
        <v>2014</v>
      </c>
      <c r="K679">
        <f t="shared" si="134"/>
        <v>2</v>
      </c>
      <c r="L679">
        <f t="shared" si="135"/>
        <v>6</v>
      </c>
      <c r="M679" s="3">
        <f t="shared" ca="1" si="136"/>
        <v>46100</v>
      </c>
      <c r="N679">
        <f t="shared" ca="1" si="137"/>
        <v>4424</v>
      </c>
      <c r="O679">
        <f t="shared" ca="1" si="138"/>
        <v>4424</v>
      </c>
      <c r="P679">
        <f t="shared" ca="1" si="139"/>
        <v>3161</v>
      </c>
      <c r="Q679">
        <v>22</v>
      </c>
      <c r="R679" t="str">
        <f t="shared" si="140"/>
        <v>Young</v>
      </c>
      <c r="S679" t="s">
        <v>34</v>
      </c>
      <c r="T679">
        <v>1</v>
      </c>
      <c r="U679" t="s">
        <v>45</v>
      </c>
      <c r="V679">
        <v>9756.7999999999993</v>
      </c>
      <c r="W679" t="s">
        <v>35</v>
      </c>
      <c r="X679" t="s">
        <v>47</v>
      </c>
      <c r="Y679">
        <v>18</v>
      </c>
      <c r="Z679" t="str">
        <f t="shared" si="141"/>
        <v>Bad Employee</v>
      </c>
      <c r="AA679" t="b">
        <f t="shared" si="142"/>
        <v>0</v>
      </c>
      <c r="AB679" t="b">
        <f>OR(Y679&gt;20, T679&gt;6)</f>
        <v>0</v>
      </c>
      <c r="AC679" t="str">
        <f>IF(OR(Y679&gt;20,T679&gt;6), "Good employee", "Bad Employee")</f>
        <v>Bad Employee</v>
      </c>
      <c r="AD679" t="s">
        <v>28</v>
      </c>
      <c r="AE679" t="s">
        <v>48</v>
      </c>
      <c r="AF679">
        <v>0</v>
      </c>
      <c r="AG679">
        <v>2021</v>
      </c>
      <c r="AH679" t="s">
        <v>30</v>
      </c>
      <c r="AI679">
        <v>108</v>
      </c>
      <c r="AJ679">
        <v>1.1000000000000001</v>
      </c>
    </row>
    <row r="680" spans="1:36" x14ac:dyDescent="0.25">
      <c r="A680">
        <v>10679</v>
      </c>
      <c r="B680" t="s">
        <v>60</v>
      </c>
      <c r="C680" t="s">
        <v>61</v>
      </c>
      <c r="D680" t="s">
        <v>23</v>
      </c>
      <c r="E680" t="str">
        <f t="shared" si="130"/>
        <v>Jane Smith is in HR Department</v>
      </c>
      <c r="F680" s="6" t="str">
        <f t="shared" si="131"/>
        <v>janesmith@gmail.com</v>
      </c>
      <c r="G680">
        <v>105166</v>
      </c>
      <c r="H680" t="str">
        <f t="shared" si="132"/>
        <v>High</v>
      </c>
      <c r="I680" s="3">
        <v>43362</v>
      </c>
      <c r="J680">
        <f t="shared" si="133"/>
        <v>2018</v>
      </c>
      <c r="K680">
        <f t="shared" si="134"/>
        <v>9</v>
      </c>
      <c r="L680">
        <f t="shared" si="135"/>
        <v>19</v>
      </c>
      <c r="M680" s="3">
        <f t="shared" ca="1" si="136"/>
        <v>46100</v>
      </c>
      <c r="N680">
        <f t="shared" ca="1" si="137"/>
        <v>2738</v>
      </c>
      <c r="O680">
        <f t="shared" ca="1" si="138"/>
        <v>2738</v>
      </c>
      <c r="P680">
        <f t="shared" ca="1" si="139"/>
        <v>1957</v>
      </c>
      <c r="Q680">
        <v>23</v>
      </c>
      <c r="R680" t="str">
        <f t="shared" si="140"/>
        <v>Young</v>
      </c>
      <c r="S680" t="s">
        <v>24</v>
      </c>
      <c r="T680">
        <v>9</v>
      </c>
      <c r="U680" t="s">
        <v>45</v>
      </c>
      <c r="V680">
        <v>1524.06</v>
      </c>
      <c r="W680" t="s">
        <v>26</v>
      </c>
      <c r="X680" t="s">
        <v>36</v>
      </c>
      <c r="Y680">
        <v>22</v>
      </c>
      <c r="Z680" t="str">
        <f t="shared" si="141"/>
        <v>Good Employee</v>
      </c>
      <c r="AA680" t="b">
        <f t="shared" si="142"/>
        <v>1</v>
      </c>
      <c r="AB680" t="b">
        <f>OR(Y680&gt;20, T680&gt;6)</f>
        <v>1</v>
      </c>
      <c r="AC680" t="str">
        <f>IF(OR(Y680&gt;20,T680&gt;6), "Good employee", "Bad Employee")</f>
        <v>Good employee</v>
      </c>
      <c r="AD680" t="s">
        <v>28</v>
      </c>
      <c r="AE680" t="s">
        <v>29</v>
      </c>
      <c r="AF680">
        <v>13</v>
      </c>
      <c r="AG680">
        <v>2018</v>
      </c>
      <c r="AH680" t="s">
        <v>49</v>
      </c>
      <c r="AI680">
        <v>196</v>
      </c>
      <c r="AJ680">
        <v>2.4</v>
      </c>
    </row>
    <row r="681" spans="1:36" x14ac:dyDescent="0.25">
      <c r="A681">
        <v>10680</v>
      </c>
      <c r="B681" t="s">
        <v>60</v>
      </c>
      <c r="C681" t="s">
        <v>22</v>
      </c>
      <c r="D681" t="s">
        <v>52</v>
      </c>
      <c r="E681" t="str">
        <f t="shared" si="130"/>
        <v>Jane Williams is in Operations Department</v>
      </c>
      <c r="F681" s="6" t="str">
        <f t="shared" si="131"/>
        <v>janewilliams@gmail.com</v>
      </c>
      <c r="G681">
        <v>47256</v>
      </c>
      <c r="H681" t="str">
        <f t="shared" si="132"/>
        <v>low</v>
      </c>
      <c r="I681" s="3">
        <v>38223</v>
      </c>
      <c r="J681">
        <f t="shared" si="133"/>
        <v>2004</v>
      </c>
      <c r="K681">
        <f t="shared" si="134"/>
        <v>8</v>
      </c>
      <c r="L681">
        <f t="shared" si="135"/>
        <v>24</v>
      </c>
      <c r="M681" s="3">
        <f t="shared" ca="1" si="136"/>
        <v>46100</v>
      </c>
      <c r="N681">
        <f t="shared" ca="1" si="137"/>
        <v>7877</v>
      </c>
      <c r="O681">
        <f t="shared" ca="1" si="138"/>
        <v>7877</v>
      </c>
      <c r="P681">
        <f t="shared" ca="1" si="139"/>
        <v>5628</v>
      </c>
      <c r="Q681">
        <v>48</v>
      </c>
      <c r="R681" t="str">
        <f t="shared" si="140"/>
        <v>Old</v>
      </c>
      <c r="S681" t="s">
        <v>24</v>
      </c>
      <c r="T681">
        <v>4</v>
      </c>
      <c r="U681" t="s">
        <v>25</v>
      </c>
      <c r="V681">
        <v>2464.65</v>
      </c>
      <c r="W681" t="s">
        <v>46</v>
      </c>
      <c r="X681" t="s">
        <v>27</v>
      </c>
      <c r="Y681">
        <v>4</v>
      </c>
      <c r="Z681" t="str">
        <f t="shared" si="141"/>
        <v>Bad Employee</v>
      </c>
      <c r="AA681" t="b">
        <f t="shared" si="142"/>
        <v>0</v>
      </c>
      <c r="AB681" t="b">
        <f>OR(Y681&gt;20, T681&gt;6)</f>
        <v>0</v>
      </c>
      <c r="AC681" t="str">
        <f>IF(OR(Y681&gt;20,T681&gt;6), "Good employee", "Bad Employee")</f>
        <v>Bad Employee</v>
      </c>
      <c r="AD681" t="s">
        <v>56</v>
      </c>
      <c r="AE681" t="s">
        <v>37</v>
      </c>
      <c r="AF681">
        <v>12</v>
      </c>
      <c r="AG681">
        <v>2022</v>
      </c>
      <c r="AH681" t="s">
        <v>43</v>
      </c>
      <c r="AI681">
        <v>15</v>
      </c>
      <c r="AJ681">
        <v>1.5</v>
      </c>
    </row>
    <row r="682" spans="1:36" x14ac:dyDescent="0.25">
      <c r="A682">
        <v>10681</v>
      </c>
      <c r="B682" t="s">
        <v>53</v>
      </c>
      <c r="C682" t="s">
        <v>32</v>
      </c>
      <c r="D682" t="s">
        <v>44</v>
      </c>
      <c r="E682" t="str">
        <f t="shared" si="130"/>
        <v>Sarah Wilson is in Sales Department</v>
      </c>
      <c r="F682" s="6" t="str">
        <f t="shared" si="131"/>
        <v>sarahwilson@gmail.com</v>
      </c>
      <c r="G682">
        <v>79817</v>
      </c>
      <c r="H682" t="str">
        <f t="shared" si="132"/>
        <v>Medium</v>
      </c>
      <c r="I682" s="3">
        <v>42797</v>
      </c>
      <c r="J682">
        <f t="shared" si="133"/>
        <v>2017</v>
      </c>
      <c r="K682">
        <f t="shared" si="134"/>
        <v>3</v>
      </c>
      <c r="L682">
        <f t="shared" si="135"/>
        <v>3</v>
      </c>
      <c r="M682" s="3">
        <f t="shared" ca="1" si="136"/>
        <v>46100</v>
      </c>
      <c r="N682">
        <f t="shared" ca="1" si="137"/>
        <v>3303</v>
      </c>
      <c r="O682">
        <f t="shared" ca="1" si="138"/>
        <v>3303</v>
      </c>
      <c r="P682">
        <f t="shared" ca="1" si="139"/>
        <v>2360</v>
      </c>
      <c r="Q682">
        <v>23</v>
      </c>
      <c r="R682" t="str">
        <f t="shared" si="140"/>
        <v>Young</v>
      </c>
      <c r="S682" t="s">
        <v>34</v>
      </c>
      <c r="T682">
        <v>7</v>
      </c>
      <c r="U682" t="s">
        <v>45</v>
      </c>
      <c r="V682">
        <v>3742.47</v>
      </c>
      <c r="W682" t="s">
        <v>46</v>
      </c>
      <c r="X682" t="s">
        <v>36</v>
      </c>
      <c r="Y682">
        <v>23</v>
      </c>
      <c r="Z682" t="str">
        <f t="shared" si="141"/>
        <v>Good Employee</v>
      </c>
      <c r="AA682" t="b">
        <f t="shared" si="142"/>
        <v>1</v>
      </c>
      <c r="AB682" t="b">
        <f>OR(Y682&gt;20, T682&gt;6)</f>
        <v>1</v>
      </c>
      <c r="AC682" t="str">
        <f>IF(OR(Y682&gt;20,T682&gt;6), "Good employee", "Bad Employee")</f>
        <v>Good employee</v>
      </c>
      <c r="AD682" t="s">
        <v>41</v>
      </c>
      <c r="AE682" t="s">
        <v>48</v>
      </c>
      <c r="AF682">
        <v>2</v>
      </c>
      <c r="AG682">
        <v>2023</v>
      </c>
      <c r="AH682" t="s">
        <v>30</v>
      </c>
      <c r="AI682">
        <v>95</v>
      </c>
      <c r="AJ682">
        <v>1.1000000000000001</v>
      </c>
    </row>
    <row r="683" spans="1:36" x14ac:dyDescent="0.25">
      <c r="A683">
        <v>10682</v>
      </c>
      <c r="B683" t="s">
        <v>38</v>
      </c>
      <c r="C683" t="s">
        <v>22</v>
      </c>
      <c r="D683" t="s">
        <v>23</v>
      </c>
      <c r="E683" t="str">
        <f t="shared" si="130"/>
        <v>Chris Williams is in HR Department</v>
      </c>
      <c r="F683" s="6" t="str">
        <f t="shared" si="131"/>
        <v>chriswilliams@gmail.com</v>
      </c>
      <c r="G683">
        <v>63719</v>
      </c>
      <c r="H683" t="str">
        <f t="shared" si="132"/>
        <v>Medium</v>
      </c>
      <c r="I683" s="3">
        <v>39340</v>
      </c>
      <c r="J683">
        <f t="shared" si="133"/>
        <v>2007</v>
      </c>
      <c r="K683">
        <f t="shared" si="134"/>
        <v>9</v>
      </c>
      <c r="L683">
        <f t="shared" si="135"/>
        <v>15</v>
      </c>
      <c r="M683" s="3">
        <f t="shared" ca="1" si="136"/>
        <v>46100</v>
      </c>
      <c r="N683">
        <f t="shared" ca="1" si="137"/>
        <v>6760</v>
      </c>
      <c r="O683">
        <f t="shared" ca="1" si="138"/>
        <v>6760</v>
      </c>
      <c r="P683">
        <f t="shared" ca="1" si="139"/>
        <v>4829</v>
      </c>
      <c r="Q683">
        <v>51</v>
      </c>
      <c r="R683" t="str">
        <f t="shared" si="140"/>
        <v>Old</v>
      </c>
      <c r="S683" t="s">
        <v>24</v>
      </c>
      <c r="T683">
        <v>5</v>
      </c>
      <c r="U683" t="s">
        <v>25</v>
      </c>
      <c r="V683">
        <v>2671.43</v>
      </c>
      <c r="W683" t="s">
        <v>46</v>
      </c>
      <c r="X683" t="s">
        <v>36</v>
      </c>
      <c r="Y683">
        <v>7</v>
      </c>
      <c r="Z683" t="str">
        <f t="shared" si="141"/>
        <v>Bad Employee</v>
      </c>
      <c r="AA683" t="b">
        <f t="shared" si="142"/>
        <v>0</v>
      </c>
      <c r="AB683" t="b">
        <f>OR(Y683&gt;20, T683&gt;6)</f>
        <v>0</v>
      </c>
      <c r="AC683" t="str">
        <f>IF(OR(Y683&gt;20,T683&gt;6), "Good employee", "Bad Employee")</f>
        <v>Bad Employee</v>
      </c>
      <c r="AD683" t="s">
        <v>41</v>
      </c>
      <c r="AE683" t="s">
        <v>59</v>
      </c>
      <c r="AF683">
        <v>1</v>
      </c>
      <c r="AG683">
        <v>2014</v>
      </c>
      <c r="AH683" t="s">
        <v>49</v>
      </c>
      <c r="AI683">
        <v>77</v>
      </c>
      <c r="AJ683">
        <v>4.4000000000000004</v>
      </c>
    </row>
    <row r="684" spans="1:36" x14ac:dyDescent="0.25">
      <c r="A684">
        <v>10683</v>
      </c>
      <c r="B684" t="s">
        <v>21</v>
      </c>
      <c r="C684" t="s">
        <v>32</v>
      </c>
      <c r="D684" t="s">
        <v>54</v>
      </c>
      <c r="E684" t="str">
        <f t="shared" si="130"/>
        <v>Michael Wilson is in Finance Department</v>
      </c>
      <c r="F684" s="6" t="str">
        <f t="shared" si="131"/>
        <v>michaelwilson@gmail.com</v>
      </c>
      <c r="G684">
        <v>72017</v>
      </c>
      <c r="H684" t="str">
        <f t="shared" si="132"/>
        <v>Medium</v>
      </c>
      <c r="I684" s="3">
        <v>39891</v>
      </c>
      <c r="J684">
        <f t="shared" si="133"/>
        <v>2009</v>
      </c>
      <c r="K684">
        <f t="shared" si="134"/>
        <v>3</v>
      </c>
      <c r="L684">
        <f t="shared" si="135"/>
        <v>19</v>
      </c>
      <c r="M684" s="3">
        <f t="shared" ca="1" si="136"/>
        <v>46100</v>
      </c>
      <c r="N684">
        <f t="shared" ca="1" si="137"/>
        <v>6209</v>
      </c>
      <c r="O684">
        <f t="shared" ca="1" si="138"/>
        <v>6209</v>
      </c>
      <c r="P684">
        <f t="shared" ca="1" si="139"/>
        <v>4436</v>
      </c>
      <c r="Q684">
        <v>31</v>
      </c>
      <c r="R684" t="str">
        <f t="shared" si="140"/>
        <v>Old</v>
      </c>
      <c r="S684" t="s">
        <v>34</v>
      </c>
      <c r="T684">
        <v>7</v>
      </c>
      <c r="U684" t="s">
        <v>45</v>
      </c>
      <c r="V684">
        <v>6441.7</v>
      </c>
      <c r="W684" t="s">
        <v>58</v>
      </c>
      <c r="X684" t="s">
        <v>36</v>
      </c>
      <c r="Y684">
        <v>11</v>
      </c>
      <c r="Z684" t="str">
        <f t="shared" si="141"/>
        <v>Bad Employee</v>
      </c>
      <c r="AA684" t="b">
        <f t="shared" si="142"/>
        <v>0</v>
      </c>
      <c r="AB684" t="b">
        <f>OR(Y684&gt;20, T684&gt;6)</f>
        <v>1</v>
      </c>
      <c r="AC684" t="str">
        <f>IF(OR(Y684&gt;20,T684&gt;6), "Good employee", "Bad Employee")</f>
        <v>Good employee</v>
      </c>
      <c r="AD684" t="s">
        <v>56</v>
      </c>
      <c r="AE684" t="s">
        <v>48</v>
      </c>
      <c r="AF684">
        <v>6</v>
      </c>
      <c r="AG684">
        <v>2014</v>
      </c>
      <c r="AH684" t="s">
        <v>49</v>
      </c>
      <c r="AI684">
        <v>20</v>
      </c>
      <c r="AJ684">
        <v>2.1</v>
      </c>
    </row>
    <row r="685" spans="1:36" x14ac:dyDescent="0.25">
      <c r="A685">
        <v>10684</v>
      </c>
      <c r="B685" t="s">
        <v>31</v>
      </c>
      <c r="C685" t="s">
        <v>57</v>
      </c>
      <c r="D685" t="s">
        <v>54</v>
      </c>
      <c r="E685" t="str">
        <f t="shared" si="130"/>
        <v>Emily Davis is in Finance Department</v>
      </c>
      <c r="F685" s="6" t="str">
        <f t="shared" si="131"/>
        <v>emilydavis@gmail.com</v>
      </c>
      <c r="G685">
        <v>75704</v>
      </c>
      <c r="H685" t="str">
        <f t="shared" si="132"/>
        <v>Medium</v>
      </c>
      <c r="I685" s="3">
        <v>39014</v>
      </c>
      <c r="J685">
        <f t="shared" si="133"/>
        <v>2006</v>
      </c>
      <c r="K685">
        <f t="shared" si="134"/>
        <v>10</v>
      </c>
      <c r="L685">
        <f t="shared" si="135"/>
        <v>24</v>
      </c>
      <c r="M685" s="3">
        <f t="shared" ca="1" si="136"/>
        <v>46100</v>
      </c>
      <c r="N685">
        <f t="shared" ca="1" si="137"/>
        <v>7086</v>
      </c>
      <c r="O685">
        <f t="shared" ca="1" si="138"/>
        <v>7086</v>
      </c>
      <c r="P685">
        <f t="shared" ca="1" si="139"/>
        <v>5063</v>
      </c>
      <c r="Q685">
        <v>40</v>
      </c>
      <c r="R685" t="str">
        <f t="shared" si="140"/>
        <v>Old</v>
      </c>
      <c r="S685" t="s">
        <v>34</v>
      </c>
      <c r="T685">
        <v>7</v>
      </c>
      <c r="U685" t="s">
        <v>25</v>
      </c>
      <c r="V685">
        <v>875.73</v>
      </c>
      <c r="W685" t="s">
        <v>58</v>
      </c>
      <c r="X685" t="s">
        <v>47</v>
      </c>
      <c r="Y685">
        <v>39</v>
      </c>
      <c r="Z685" t="str">
        <f t="shared" si="141"/>
        <v>Good Employee</v>
      </c>
      <c r="AA685" t="b">
        <f t="shared" si="142"/>
        <v>1</v>
      </c>
      <c r="AB685" t="b">
        <f>OR(Y685&gt;20, T685&gt;6)</f>
        <v>1</v>
      </c>
      <c r="AC685" t="str">
        <f>IF(OR(Y685&gt;20,T685&gt;6), "Good employee", "Bad Employee")</f>
        <v>Good employee</v>
      </c>
      <c r="AD685" t="s">
        <v>56</v>
      </c>
      <c r="AE685" t="s">
        <v>62</v>
      </c>
      <c r="AF685">
        <v>11</v>
      </c>
      <c r="AG685">
        <v>2011</v>
      </c>
      <c r="AH685" t="s">
        <v>43</v>
      </c>
      <c r="AI685">
        <v>18</v>
      </c>
      <c r="AJ685">
        <v>3</v>
      </c>
    </row>
    <row r="686" spans="1:36" x14ac:dyDescent="0.25">
      <c r="A686">
        <v>10685</v>
      </c>
      <c r="B686" t="s">
        <v>66</v>
      </c>
      <c r="C686" t="s">
        <v>51</v>
      </c>
      <c r="D686" t="s">
        <v>44</v>
      </c>
      <c r="E686" t="str">
        <f t="shared" si="130"/>
        <v>John Brown is in Sales Department</v>
      </c>
      <c r="F686" s="6" t="str">
        <f t="shared" si="131"/>
        <v>johnbrown@gmail.com</v>
      </c>
      <c r="G686">
        <v>60013</v>
      </c>
      <c r="H686" t="str">
        <f t="shared" si="132"/>
        <v>Medium</v>
      </c>
      <c r="I686" s="3">
        <v>43538</v>
      </c>
      <c r="J686">
        <f t="shared" si="133"/>
        <v>2019</v>
      </c>
      <c r="K686">
        <f t="shared" si="134"/>
        <v>3</v>
      </c>
      <c r="L686">
        <f t="shared" si="135"/>
        <v>14</v>
      </c>
      <c r="M686" s="3">
        <f t="shared" ca="1" si="136"/>
        <v>46100</v>
      </c>
      <c r="N686">
        <f t="shared" ca="1" si="137"/>
        <v>2562</v>
      </c>
      <c r="O686">
        <f t="shared" ca="1" si="138"/>
        <v>2562</v>
      </c>
      <c r="P686">
        <f t="shared" ca="1" si="139"/>
        <v>1831</v>
      </c>
      <c r="Q686">
        <v>63</v>
      </c>
      <c r="R686" t="str">
        <f t="shared" si="140"/>
        <v>Old</v>
      </c>
      <c r="S686" t="s">
        <v>24</v>
      </c>
      <c r="T686">
        <v>1</v>
      </c>
      <c r="U686" t="s">
        <v>45</v>
      </c>
      <c r="V686">
        <v>2185.65</v>
      </c>
      <c r="W686" t="s">
        <v>26</v>
      </c>
      <c r="X686" t="s">
        <v>36</v>
      </c>
      <c r="Y686">
        <v>34</v>
      </c>
      <c r="Z686" t="str">
        <f t="shared" si="141"/>
        <v>Bad Employee</v>
      </c>
      <c r="AA686" t="b">
        <f t="shared" si="142"/>
        <v>0</v>
      </c>
      <c r="AB686" t="b">
        <f>OR(Y686&gt;20, T686&gt;6)</f>
        <v>1</v>
      </c>
      <c r="AC686" t="str">
        <f>IF(OR(Y686&gt;20,T686&gt;6), "Good employee", "Bad Employee")</f>
        <v>Good employee</v>
      </c>
      <c r="AD686" t="s">
        <v>56</v>
      </c>
      <c r="AE686" t="s">
        <v>42</v>
      </c>
      <c r="AF686">
        <v>1</v>
      </c>
      <c r="AG686">
        <v>2023</v>
      </c>
      <c r="AH686" t="s">
        <v>49</v>
      </c>
      <c r="AI686">
        <v>179</v>
      </c>
      <c r="AJ686">
        <v>1.7</v>
      </c>
    </row>
    <row r="687" spans="1:36" x14ac:dyDescent="0.25">
      <c r="A687">
        <v>10686</v>
      </c>
      <c r="B687" t="s">
        <v>64</v>
      </c>
      <c r="C687" t="s">
        <v>65</v>
      </c>
      <c r="D687" t="s">
        <v>39</v>
      </c>
      <c r="E687" t="str">
        <f t="shared" si="130"/>
        <v>Katie Johnson is in IT Department</v>
      </c>
      <c r="F687" s="6" t="str">
        <f t="shared" si="131"/>
        <v>katiejohnson@gmail.com</v>
      </c>
      <c r="G687">
        <v>109991</v>
      </c>
      <c r="H687" t="str">
        <f t="shared" si="132"/>
        <v>High</v>
      </c>
      <c r="I687" s="3">
        <v>42033</v>
      </c>
      <c r="J687">
        <f t="shared" si="133"/>
        <v>2015</v>
      </c>
      <c r="K687">
        <f t="shared" si="134"/>
        <v>1</v>
      </c>
      <c r="L687">
        <f t="shared" si="135"/>
        <v>29</v>
      </c>
      <c r="M687" s="3">
        <f t="shared" ca="1" si="136"/>
        <v>46100</v>
      </c>
      <c r="N687">
        <f t="shared" ca="1" si="137"/>
        <v>4067</v>
      </c>
      <c r="O687">
        <f t="shared" ca="1" si="138"/>
        <v>4067</v>
      </c>
      <c r="P687">
        <f t="shared" ca="1" si="139"/>
        <v>2906</v>
      </c>
      <c r="Q687">
        <v>37</v>
      </c>
      <c r="R687" t="str">
        <f t="shared" si="140"/>
        <v>Old</v>
      </c>
      <c r="S687" t="s">
        <v>34</v>
      </c>
      <c r="T687">
        <v>1</v>
      </c>
      <c r="U687" t="s">
        <v>25</v>
      </c>
      <c r="V687">
        <v>3286.8</v>
      </c>
      <c r="W687" t="s">
        <v>58</v>
      </c>
      <c r="X687" t="s">
        <v>36</v>
      </c>
      <c r="Y687">
        <v>5</v>
      </c>
      <c r="Z687" t="str">
        <f t="shared" si="141"/>
        <v>Bad Employee</v>
      </c>
      <c r="AA687" t="b">
        <f t="shared" si="142"/>
        <v>0</v>
      </c>
      <c r="AB687" t="b">
        <f>OR(Y687&gt;20, T687&gt;6)</f>
        <v>0</v>
      </c>
      <c r="AC687" t="str">
        <f>IF(OR(Y687&gt;20,T687&gt;6), "Good employee", "Bad Employee")</f>
        <v>Bad Employee</v>
      </c>
      <c r="AD687" t="s">
        <v>28</v>
      </c>
      <c r="AE687" t="s">
        <v>59</v>
      </c>
      <c r="AF687">
        <v>10</v>
      </c>
      <c r="AG687">
        <v>2014</v>
      </c>
      <c r="AH687" t="s">
        <v>49</v>
      </c>
      <c r="AI687">
        <v>162</v>
      </c>
      <c r="AJ687">
        <v>1.2</v>
      </c>
    </row>
    <row r="688" spans="1:36" x14ac:dyDescent="0.25">
      <c r="A688">
        <v>10687</v>
      </c>
      <c r="B688" t="s">
        <v>64</v>
      </c>
      <c r="C688" t="s">
        <v>57</v>
      </c>
      <c r="D688" t="s">
        <v>44</v>
      </c>
      <c r="E688" t="str">
        <f t="shared" si="130"/>
        <v>Katie Davis is in Sales Department</v>
      </c>
      <c r="F688" s="6" t="str">
        <f t="shared" si="131"/>
        <v>katiedavis@gmail.com</v>
      </c>
      <c r="G688">
        <v>100258</v>
      </c>
      <c r="H688" t="str">
        <f t="shared" si="132"/>
        <v>High</v>
      </c>
      <c r="I688" s="3">
        <v>42411</v>
      </c>
      <c r="J688">
        <f t="shared" si="133"/>
        <v>2016</v>
      </c>
      <c r="K688">
        <f t="shared" si="134"/>
        <v>2</v>
      </c>
      <c r="L688">
        <f t="shared" si="135"/>
        <v>11</v>
      </c>
      <c r="M688" s="3">
        <f t="shared" ca="1" si="136"/>
        <v>46100</v>
      </c>
      <c r="N688">
        <f t="shared" ca="1" si="137"/>
        <v>3689</v>
      </c>
      <c r="O688">
        <f t="shared" ca="1" si="138"/>
        <v>3689</v>
      </c>
      <c r="P688">
        <f t="shared" ca="1" si="139"/>
        <v>2636</v>
      </c>
      <c r="Q688">
        <v>34</v>
      </c>
      <c r="R688" t="str">
        <f t="shared" si="140"/>
        <v>Old</v>
      </c>
      <c r="S688" t="s">
        <v>24</v>
      </c>
      <c r="T688">
        <v>3</v>
      </c>
      <c r="U688" t="s">
        <v>25</v>
      </c>
      <c r="V688">
        <v>6991.78</v>
      </c>
      <c r="W688" t="s">
        <v>26</v>
      </c>
      <c r="X688" t="s">
        <v>55</v>
      </c>
      <c r="Y688">
        <v>25</v>
      </c>
      <c r="Z688" t="str">
        <f t="shared" si="141"/>
        <v>Bad Employee</v>
      </c>
      <c r="AA688" t="b">
        <f t="shared" si="142"/>
        <v>0</v>
      </c>
      <c r="AB688" t="b">
        <f>OR(Y688&gt;20, T688&gt;6)</f>
        <v>1</v>
      </c>
      <c r="AC688" t="str">
        <f>IF(OR(Y688&gt;20,T688&gt;6), "Good employee", "Bad Employee")</f>
        <v>Good employee</v>
      </c>
      <c r="AD688" t="s">
        <v>41</v>
      </c>
      <c r="AE688" t="s">
        <v>29</v>
      </c>
      <c r="AF688">
        <v>15</v>
      </c>
      <c r="AG688">
        <v>2017</v>
      </c>
      <c r="AH688" t="s">
        <v>43</v>
      </c>
      <c r="AI688">
        <v>114</v>
      </c>
      <c r="AJ688">
        <v>4</v>
      </c>
    </row>
    <row r="689" spans="1:36" x14ac:dyDescent="0.25">
      <c r="A689">
        <v>10688</v>
      </c>
      <c r="B689" t="s">
        <v>38</v>
      </c>
      <c r="C689" t="s">
        <v>65</v>
      </c>
      <c r="D689" t="s">
        <v>33</v>
      </c>
      <c r="E689" t="str">
        <f t="shared" si="130"/>
        <v>Chris Johnson is in Marketing Department</v>
      </c>
      <c r="F689" s="6" t="str">
        <f t="shared" si="131"/>
        <v>chrisjohnson@gmail.com</v>
      </c>
      <c r="G689">
        <v>108348</v>
      </c>
      <c r="H689" t="str">
        <f t="shared" si="132"/>
        <v>High</v>
      </c>
      <c r="I689" s="3">
        <v>38191</v>
      </c>
      <c r="J689">
        <f t="shared" si="133"/>
        <v>2004</v>
      </c>
      <c r="K689">
        <f t="shared" si="134"/>
        <v>7</v>
      </c>
      <c r="L689">
        <f t="shared" si="135"/>
        <v>23</v>
      </c>
      <c r="M689" s="3">
        <f t="shared" ca="1" si="136"/>
        <v>46100</v>
      </c>
      <c r="N689">
        <f t="shared" ca="1" si="137"/>
        <v>7909</v>
      </c>
      <c r="O689">
        <f t="shared" ca="1" si="138"/>
        <v>7909</v>
      </c>
      <c r="P689">
        <f t="shared" ca="1" si="139"/>
        <v>5650</v>
      </c>
      <c r="Q689">
        <v>29</v>
      </c>
      <c r="R689" t="str">
        <f t="shared" si="140"/>
        <v>Young</v>
      </c>
      <c r="S689" t="s">
        <v>24</v>
      </c>
      <c r="T689">
        <v>2</v>
      </c>
      <c r="U689" t="s">
        <v>45</v>
      </c>
      <c r="V689">
        <v>8820.7199999999993</v>
      </c>
      <c r="W689" t="s">
        <v>58</v>
      </c>
      <c r="X689" t="s">
        <v>47</v>
      </c>
      <c r="Y689">
        <v>28</v>
      </c>
      <c r="Z689" t="str">
        <f t="shared" si="141"/>
        <v>Bad Employee</v>
      </c>
      <c r="AA689" t="b">
        <f t="shared" si="142"/>
        <v>0</v>
      </c>
      <c r="AB689" t="b">
        <f>OR(Y689&gt;20, T689&gt;6)</f>
        <v>1</v>
      </c>
      <c r="AC689" t="str">
        <f>IF(OR(Y689&gt;20,T689&gt;6), "Good employee", "Bad Employee")</f>
        <v>Good employee</v>
      </c>
      <c r="AD689" t="s">
        <v>41</v>
      </c>
      <c r="AE689" t="s">
        <v>48</v>
      </c>
      <c r="AF689">
        <v>4</v>
      </c>
      <c r="AG689">
        <v>2013</v>
      </c>
      <c r="AH689" t="s">
        <v>43</v>
      </c>
      <c r="AI689">
        <v>156</v>
      </c>
      <c r="AJ689">
        <v>1.5</v>
      </c>
    </row>
    <row r="690" spans="1:36" x14ac:dyDescent="0.25">
      <c r="A690">
        <v>10689</v>
      </c>
      <c r="B690" t="s">
        <v>21</v>
      </c>
      <c r="C690" t="s">
        <v>51</v>
      </c>
      <c r="D690" t="s">
        <v>23</v>
      </c>
      <c r="E690" t="str">
        <f t="shared" si="130"/>
        <v>Michael Brown is in HR Department</v>
      </c>
      <c r="F690" s="6" t="str">
        <f t="shared" si="131"/>
        <v>michaelbrown@gmail.com</v>
      </c>
      <c r="G690">
        <v>66776</v>
      </c>
      <c r="H690" t="str">
        <f t="shared" si="132"/>
        <v>Medium</v>
      </c>
      <c r="I690" s="3">
        <v>41145</v>
      </c>
      <c r="J690">
        <f t="shared" si="133"/>
        <v>2012</v>
      </c>
      <c r="K690">
        <f t="shared" si="134"/>
        <v>8</v>
      </c>
      <c r="L690">
        <f t="shared" si="135"/>
        <v>24</v>
      </c>
      <c r="M690" s="3">
        <f t="shared" ca="1" si="136"/>
        <v>46100</v>
      </c>
      <c r="N690">
        <f t="shared" ca="1" si="137"/>
        <v>4955</v>
      </c>
      <c r="O690">
        <f t="shared" ca="1" si="138"/>
        <v>4955</v>
      </c>
      <c r="P690">
        <f t="shared" ca="1" si="139"/>
        <v>3540</v>
      </c>
      <c r="Q690">
        <v>52</v>
      </c>
      <c r="R690" t="str">
        <f t="shared" si="140"/>
        <v>Old</v>
      </c>
      <c r="S690" t="s">
        <v>24</v>
      </c>
      <c r="T690">
        <v>7</v>
      </c>
      <c r="U690" t="s">
        <v>45</v>
      </c>
      <c r="V690">
        <v>8085.67</v>
      </c>
      <c r="W690" t="s">
        <v>26</v>
      </c>
      <c r="X690" t="s">
        <v>36</v>
      </c>
      <c r="Y690">
        <v>14</v>
      </c>
      <c r="Z690" t="str">
        <f t="shared" si="141"/>
        <v>Bad Employee</v>
      </c>
      <c r="AA690" t="b">
        <f t="shared" si="142"/>
        <v>0</v>
      </c>
      <c r="AB690" t="b">
        <f>OR(Y690&gt;20, T690&gt;6)</f>
        <v>1</v>
      </c>
      <c r="AC690" t="str">
        <f>IF(OR(Y690&gt;20,T690&gt;6), "Good employee", "Bad Employee")</f>
        <v>Good employee</v>
      </c>
      <c r="AD690" t="s">
        <v>41</v>
      </c>
      <c r="AE690" t="s">
        <v>48</v>
      </c>
      <c r="AF690">
        <v>16</v>
      </c>
      <c r="AG690">
        <v>2011</v>
      </c>
      <c r="AH690" t="s">
        <v>49</v>
      </c>
      <c r="AI690">
        <v>145</v>
      </c>
      <c r="AJ690">
        <v>1.1000000000000001</v>
      </c>
    </row>
    <row r="691" spans="1:36" x14ac:dyDescent="0.25">
      <c r="A691">
        <v>10690</v>
      </c>
      <c r="B691" t="s">
        <v>60</v>
      </c>
      <c r="C691" t="s">
        <v>22</v>
      </c>
      <c r="D691" t="s">
        <v>39</v>
      </c>
      <c r="E691" t="str">
        <f t="shared" si="130"/>
        <v>Jane Williams is in IT Department</v>
      </c>
      <c r="F691" s="6" t="str">
        <f t="shared" si="131"/>
        <v>janewilliams@gmail.com</v>
      </c>
      <c r="G691">
        <v>40060</v>
      </c>
      <c r="H691" t="str">
        <f t="shared" si="132"/>
        <v>low</v>
      </c>
      <c r="I691" s="3">
        <v>38096</v>
      </c>
      <c r="J691">
        <f t="shared" si="133"/>
        <v>2004</v>
      </c>
      <c r="K691">
        <f t="shared" si="134"/>
        <v>4</v>
      </c>
      <c r="L691">
        <f t="shared" si="135"/>
        <v>19</v>
      </c>
      <c r="M691" s="3">
        <f t="shared" ca="1" si="136"/>
        <v>46100</v>
      </c>
      <c r="N691">
        <f t="shared" ca="1" si="137"/>
        <v>8004</v>
      </c>
      <c r="O691">
        <f t="shared" ca="1" si="138"/>
        <v>8004</v>
      </c>
      <c r="P691">
        <f t="shared" ca="1" si="139"/>
        <v>5719</v>
      </c>
      <c r="Q691">
        <v>46</v>
      </c>
      <c r="R691" t="str">
        <f t="shared" si="140"/>
        <v>Old</v>
      </c>
      <c r="S691" t="s">
        <v>34</v>
      </c>
      <c r="T691">
        <v>3</v>
      </c>
      <c r="U691" t="s">
        <v>25</v>
      </c>
      <c r="V691">
        <v>2229.77</v>
      </c>
      <c r="W691" t="s">
        <v>58</v>
      </c>
      <c r="X691" t="s">
        <v>40</v>
      </c>
      <c r="Y691">
        <v>27</v>
      </c>
      <c r="Z691" t="str">
        <f t="shared" si="141"/>
        <v>Bad Employee</v>
      </c>
      <c r="AA691" t="b">
        <f t="shared" si="142"/>
        <v>0</v>
      </c>
      <c r="AB691" t="b">
        <f>OR(Y691&gt;20, T691&gt;6)</f>
        <v>1</v>
      </c>
      <c r="AC691" t="str">
        <f>IF(OR(Y691&gt;20,T691&gt;6), "Good employee", "Bad Employee")</f>
        <v>Good employee</v>
      </c>
      <c r="AD691" t="s">
        <v>41</v>
      </c>
      <c r="AE691" t="s">
        <v>29</v>
      </c>
      <c r="AF691">
        <v>2</v>
      </c>
      <c r="AG691">
        <v>2017</v>
      </c>
      <c r="AH691" t="s">
        <v>30</v>
      </c>
      <c r="AI691">
        <v>123</v>
      </c>
      <c r="AJ691">
        <v>3.3</v>
      </c>
    </row>
    <row r="692" spans="1:36" x14ac:dyDescent="0.25">
      <c r="A692">
        <v>10691</v>
      </c>
      <c r="B692" t="s">
        <v>60</v>
      </c>
      <c r="C692" t="s">
        <v>65</v>
      </c>
      <c r="D692" t="s">
        <v>52</v>
      </c>
      <c r="E692" t="str">
        <f t="shared" si="130"/>
        <v>Jane Johnson is in Operations Department</v>
      </c>
      <c r="F692" s="6" t="str">
        <f t="shared" si="131"/>
        <v>janejohnson@gmail.com</v>
      </c>
      <c r="G692">
        <v>108592</v>
      </c>
      <c r="H692" t="str">
        <f t="shared" si="132"/>
        <v>High</v>
      </c>
      <c r="I692" s="3">
        <v>38259</v>
      </c>
      <c r="J692">
        <f t="shared" si="133"/>
        <v>2004</v>
      </c>
      <c r="K692">
        <f t="shared" si="134"/>
        <v>9</v>
      </c>
      <c r="L692">
        <f t="shared" si="135"/>
        <v>29</v>
      </c>
      <c r="M692" s="3">
        <f t="shared" ca="1" si="136"/>
        <v>46100</v>
      </c>
      <c r="N692">
        <f t="shared" ca="1" si="137"/>
        <v>7841</v>
      </c>
      <c r="O692">
        <f t="shared" ca="1" si="138"/>
        <v>7841</v>
      </c>
      <c r="P692">
        <f t="shared" ca="1" si="139"/>
        <v>5602</v>
      </c>
      <c r="Q692">
        <v>60</v>
      </c>
      <c r="R692" t="str">
        <f t="shared" si="140"/>
        <v>Old</v>
      </c>
      <c r="S692" t="s">
        <v>24</v>
      </c>
      <c r="T692">
        <v>7</v>
      </c>
      <c r="U692" t="s">
        <v>45</v>
      </c>
      <c r="V692">
        <v>5871.35</v>
      </c>
      <c r="W692" t="s">
        <v>58</v>
      </c>
      <c r="X692" t="s">
        <v>36</v>
      </c>
      <c r="Y692">
        <v>16</v>
      </c>
      <c r="Z692" t="str">
        <f t="shared" si="141"/>
        <v>Bad Employee</v>
      </c>
      <c r="AA692" t="b">
        <f t="shared" si="142"/>
        <v>0</v>
      </c>
      <c r="AB692" t="b">
        <f>OR(Y692&gt;20, T692&gt;6)</f>
        <v>1</v>
      </c>
      <c r="AC692" t="str">
        <f>IF(OR(Y692&gt;20,T692&gt;6), "Good employee", "Bad Employee")</f>
        <v>Good employee</v>
      </c>
      <c r="AD692" t="s">
        <v>28</v>
      </c>
      <c r="AE692" t="s">
        <v>48</v>
      </c>
      <c r="AF692">
        <v>13</v>
      </c>
      <c r="AG692">
        <v>2013</v>
      </c>
      <c r="AH692" t="s">
        <v>30</v>
      </c>
      <c r="AI692">
        <v>130</v>
      </c>
      <c r="AJ692">
        <v>1.1000000000000001</v>
      </c>
    </row>
    <row r="693" spans="1:36" x14ac:dyDescent="0.25">
      <c r="A693">
        <v>10692</v>
      </c>
      <c r="B693" t="s">
        <v>64</v>
      </c>
      <c r="C693" t="s">
        <v>61</v>
      </c>
      <c r="D693" t="s">
        <v>33</v>
      </c>
      <c r="E693" t="str">
        <f t="shared" si="130"/>
        <v>Katie Smith is in Marketing Department</v>
      </c>
      <c r="F693" s="6" t="str">
        <f t="shared" si="131"/>
        <v>katiesmith@gmail.com</v>
      </c>
      <c r="G693">
        <v>36655</v>
      </c>
      <c r="H693" t="str">
        <f t="shared" si="132"/>
        <v>extremely low</v>
      </c>
      <c r="I693" s="3">
        <v>37285</v>
      </c>
      <c r="J693">
        <f t="shared" si="133"/>
        <v>2002</v>
      </c>
      <c r="K693">
        <f t="shared" si="134"/>
        <v>1</v>
      </c>
      <c r="L693">
        <f t="shared" si="135"/>
        <v>29</v>
      </c>
      <c r="M693" s="3">
        <f t="shared" ca="1" si="136"/>
        <v>46100</v>
      </c>
      <c r="N693">
        <f t="shared" ca="1" si="137"/>
        <v>8815</v>
      </c>
      <c r="O693">
        <f t="shared" ca="1" si="138"/>
        <v>8815</v>
      </c>
      <c r="P693">
        <f t="shared" ca="1" si="139"/>
        <v>6298</v>
      </c>
      <c r="Q693">
        <v>42</v>
      </c>
      <c r="R693" t="str">
        <f t="shared" si="140"/>
        <v>Old</v>
      </c>
      <c r="S693" t="s">
        <v>34</v>
      </c>
      <c r="T693">
        <v>9</v>
      </c>
      <c r="U693" t="s">
        <v>25</v>
      </c>
      <c r="V693">
        <v>785.22</v>
      </c>
      <c r="W693" t="s">
        <v>35</v>
      </c>
      <c r="X693" t="s">
        <v>40</v>
      </c>
      <c r="Y693">
        <v>27</v>
      </c>
      <c r="Z693" t="str">
        <f t="shared" si="141"/>
        <v>Good Employee</v>
      </c>
      <c r="AA693" t="b">
        <f t="shared" si="142"/>
        <v>1</v>
      </c>
      <c r="AB693" t="b">
        <f>OR(Y693&gt;20, T693&gt;6)</f>
        <v>1</v>
      </c>
      <c r="AC693" t="str">
        <f>IF(OR(Y693&gt;20,T693&gt;6), "Good employee", "Bad Employee")</f>
        <v>Good employee</v>
      </c>
      <c r="AD693" t="s">
        <v>56</v>
      </c>
      <c r="AE693" t="s">
        <v>62</v>
      </c>
      <c r="AF693">
        <v>15</v>
      </c>
      <c r="AG693">
        <v>2023</v>
      </c>
      <c r="AH693" t="s">
        <v>43</v>
      </c>
      <c r="AI693">
        <v>13</v>
      </c>
      <c r="AJ693">
        <v>2.7</v>
      </c>
    </row>
    <row r="694" spans="1:36" x14ac:dyDescent="0.25">
      <c r="A694">
        <v>10693</v>
      </c>
      <c r="B694" t="s">
        <v>38</v>
      </c>
      <c r="C694" t="s">
        <v>61</v>
      </c>
      <c r="D694" t="s">
        <v>39</v>
      </c>
      <c r="E694" t="str">
        <f t="shared" si="130"/>
        <v>Chris Smith is in IT Department</v>
      </c>
      <c r="F694" s="6" t="str">
        <f t="shared" si="131"/>
        <v>chrissmith@gmail.com</v>
      </c>
      <c r="G694">
        <v>118110</v>
      </c>
      <c r="H694" t="str">
        <f t="shared" si="132"/>
        <v>High</v>
      </c>
      <c r="I694" s="3">
        <v>38683</v>
      </c>
      <c r="J694">
        <f t="shared" si="133"/>
        <v>2005</v>
      </c>
      <c r="K694">
        <f t="shared" si="134"/>
        <v>11</v>
      </c>
      <c r="L694">
        <f t="shared" si="135"/>
        <v>27</v>
      </c>
      <c r="M694" s="3">
        <f t="shared" ca="1" si="136"/>
        <v>46100</v>
      </c>
      <c r="N694">
        <f t="shared" ca="1" si="137"/>
        <v>7417</v>
      </c>
      <c r="O694">
        <f t="shared" ca="1" si="138"/>
        <v>7417</v>
      </c>
      <c r="P694">
        <f t="shared" ca="1" si="139"/>
        <v>5299</v>
      </c>
      <c r="Q694">
        <v>59</v>
      </c>
      <c r="R694" t="str">
        <f t="shared" si="140"/>
        <v>Old</v>
      </c>
      <c r="S694" t="s">
        <v>24</v>
      </c>
      <c r="T694">
        <v>1</v>
      </c>
      <c r="U694" t="s">
        <v>25</v>
      </c>
      <c r="V694">
        <v>3450.1</v>
      </c>
      <c r="W694" t="s">
        <v>35</v>
      </c>
      <c r="X694" t="s">
        <v>27</v>
      </c>
      <c r="Y694">
        <v>2</v>
      </c>
      <c r="Z694" t="str">
        <f t="shared" si="141"/>
        <v>Bad Employee</v>
      </c>
      <c r="AA694" t="b">
        <f t="shared" si="142"/>
        <v>0</v>
      </c>
      <c r="AB694" t="b">
        <f>OR(Y694&gt;20, T694&gt;6)</f>
        <v>0</v>
      </c>
      <c r="AC694" t="str">
        <f>IF(OR(Y694&gt;20,T694&gt;6), "Good employee", "Bad Employee")</f>
        <v>Bad Employee</v>
      </c>
      <c r="AD694" t="s">
        <v>28</v>
      </c>
      <c r="AE694" t="s">
        <v>37</v>
      </c>
      <c r="AF694">
        <v>16</v>
      </c>
      <c r="AG694">
        <v>2022</v>
      </c>
      <c r="AH694" t="s">
        <v>49</v>
      </c>
      <c r="AI694">
        <v>181</v>
      </c>
      <c r="AJ694">
        <v>2.2000000000000002</v>
      </c>
    </row>
    <row r="695" spans="1:36" x14ac:dyDescent="0.25">
      <c r="A695">
        <v>10694</v>
      </c>
      <c r="B695" t="s">
        <v>31</v>
      </c>
      <c r="C695" t="s">
        <v>32</v>
      </c>
      <c r="D695" t="s">
        <v>23</v>
      </c>
      <c r="E695" t="str">
        <f t="shared" si="130"/>
        <v>Emily Wilson is in HR Department</v>
      </c>
      <c r="F695" s="6" t="str">
        <f t="shared" si="131"/>
        <v>emilywilson@gmail.com</v>
      </c>
      <c r="G695">
        <v>79923</v>
      </c>
      <c r="H695" t="str">
        <f t="shared" si="132"/>
        <v>Medium</v>
      </c>
      <c r="I695" s="3">
        <v>37877</v>
      </c>
      <c r="J695">
        <f t="shared" si="133"/>
        <v>2003</v>
      </c>
      <c r="K695">
        <f t="shared" si="134"/>
        <v>9</v>
      </c>
      <c r="L695">
        <f t="shared" si="135"/>
        <v>13</v>
      </c>
      <c r="M695" s="3">
        <f t="shared" ca="1" si="136"/>
        <v>46100</v>
      </c>
      <c r="N695">
        <f t="shared" ca="1" si="137"/>
        <v>8223</v>
      </c>
      <c r="O695">
        <f t="shared" ca="1" si="138"/>
        <v>8223</v>
      </c>
      <c r="P695">
        <f t="shared" ca="1" si="139"/>
        <v>5874</v>
      </c>
      <c r="Q695">
        <v>62</v>
      </c>
      <c r="R695" t="str">
        <f t="shared" si="140"/>
        <v>Old</v>
      </c>
      <c r="S695" t="s">
        <v>24</v>
      </c>
      <c r="T695">
        <v>3</v>
      </c>
      <c r="U695" t="s">
        <v>25</v>
      </c>
      <c r="V695">
        <v>8156.85</v>
      </c>
      <c r="W695" t="s">
        <v>35</v>
      </c>
      <c r="X695" t="s">
        <v>27</v>
      </c>
      <c r="Y695">
        <v>19</v>
      </c>
      <c r="Z695" t="str">
        <f t="shared" si="141"/>
        <v>Bad Employee</v>
      </c>
      <c r="AA695" t="b">
        <f t="shared" si="142"/>
        <v>0</v>
      </c>
      <c r="AB695" t="b">
        <f>OR(Y695&gt;20, T695&gt;6)</f>
        <v>0</v>
      </c>
      <c r="AC695" t="str">
        <f>IF(OR(Y695&gt;20,T695&gt;6), "Good employee", "Bad Employee")</f>
        <v>Bad Employee</v>
      </c>
      <c r="AD695" t="s">
        <v>56</v>
      </c>
      <c r="AE695" t="s">
        <v>37</v>
      </c>
      <c r="AF695">
        <v>18</v>
      </c>
      <c r="AG695">
        <v>2014</v>
      </c>
      <c r="AH695" t="s">
        <v>43</v>
      </c>
      <c r="AI695">
        <v>158</v>
      </c>
      <c r="AJ695">
        <v>2.2999999999999998</v>
      </c>
    </row>
    <row r="696" spans="1:36" x14ac:dyDescent="0.25">
      <c r="A696">
        <v>10695</v>
      </c>
      <c r="B696" t="s">
        <v>60</v>
      </c>
      <c r="C696" t="s">
        <v>57</v>
      </c>
      <c r="D696" t="s">
        <v>54</v>
      </c>
      <c r="E696" t="str">
        <f t="shared" si="130"/>
        <v>Jane Davis is in Finance Department</v>
      </c>
      <c r="F696" s="6" t="str">
        <f t="shared" si="131"/>
        <v>janedavis@gmail.com</v>
      </c>
      <c r="G696">
        <v>108563</v>
      </c>
      <c r="H696" t="str">
        <f t="shared" si="132"/>
        <v>High</v>
      </c>
      <c r="I696" s="3">
        <v>40002</v>
      </c>
      <c r="J696">
        <f t="shared" si="133"/>
        <v>2009</v>
      </c>
      <c r="K696">
        <f t="shared" si="134"/>
        <v>7</v>
      </c>
      <c r="L696">
        <f t="shared" si="135"/>
        <v>8</v>
      </c>
      <c r="M696" s="3">
        <f t="shared" ca="1" si="136"/>
        <v>46100</v>
      </c>
      <c r="N696">
        <f t="shared" ca="1" si="137"/>
        <v>6098</v>
      </c>
      <c r="O696">
        <f t="shared" ca="1" si="138"/>
        <v>6098</v>
      </c>
      <c r="P696">
        <f t="shared" ca="1" si="139"/>
        <v>4357</v>
      </c>
      <c r="Q696">
        <v>50</v>
      </c>
      <c r="R696" t="str">
        <f t="shared" si="140"/>
        <v>Old</v>
      </c>
      <c r="S696" t="s">
        <v>34</v>
      </c>
      <c r="T696">
        <v>6</v>
      </c>
      <c r="U696" t="s">
        <v>25</v>
      </c>
      <c r="V696">
        <v>4838.32</v>
      </c>
      <c r="W696" t="s">
        <v>26</v>
      </c>
      <c r="X696" t="s">
        <v>47</v>
      </c>
      <c r="Y696">
        <v>23</v>
      </c>
      <c r="Z696" t="str">
        <f t="shared" si="141"/>
        <v>Bad Employee</v>
      </c>
      <c r="AA696" t="b">
        <f t="shared" si="142"/>
        <v>0</v>
      </c>
      <c r="AB696" t="b">
        <f>OR(Y696&gt;20, T696&gt;6)</f>
        <v>1</v>
      </c>
      <c r="AC696" t="str">
        <f>IF(OR(Y696&gt;20,T696&gt;6), "Good employee", "Bad Employee")</f>
        <v>Good employee</v>
      </c>
      <c r="AD696" t="s">
        <v>56</v>
      </c>
      <c r="AE696" t="s">
        <v>59</v>
      </c>
      <c r="AF696">
        <v>3</v>
      </c>
      <c r="AG696">
        <v>2023</v>
      </c>
      <c r="AH696" t="s">
        <v>30</v>
      </c>
      <c r="AI696">
        <v>53</v>
      </c>
      <c r="AJ696">
        <v>1</v>
      </c>
    </row>
    <row r="697" spans="1:36" x14ac:dyDescent="0.25">
      <c r="A697">
        <v>10696</v>
      </c>
      <c r="B697" t="s">
        <v>31</v>
      </c>
      <c r="C697" t="s">
        <v>51</v>
      </c>
      <c r="D697" t="s">
        <v>52</v>
      </c>
      <c r="E697" t="str">
        <f t="shared" si="130"/>
        <v>Emily Brown is in Operations Department</v>
      </c>
      <c r="F697" s="6" t="str">
        <f t="shared" si="131"/>
        <v>emilybrown@gmail.com</v>
      </c>
      <c r="G697">
        <v>34030</v>
      </c>
      <c r="H697" t="str">
        <f t="shared" si="132"/>
        <v>extremely low</v>
      </c>
      <c r="I697" s="3">
        <v>37794</v>
      </c>
      <c r="J697">
        <f t="shared" si="133"/>
        <v>2003</v>
      </c>
      <c r="K697">
        <f t="shared" si="134"/>
        <v>6</v>
      </c>
      <c r="L697">
        <f t="shared" si="135"/>
        <v>22</v>
      </c>
      <c r="M697" s="3">
        <f t="shared" ca="1" si="136"/>
        <v>46100</v>
      </c>
      <c r="N697">
        <f t="shared" ca="1" si="137"/>
        <v>8306</v>
      </c>
      <c r="O697">
        <f t="shared" ca="1" si="138"/>
        <v>8306</v>
      </c>
      <c r="P697">
        <f t="shared" ca="1" si="139"/>
        <v>5934</v>
      </c>
      <c r="Q697">
        <v>27</v>
      </c>
      <c r="R697" t="str">
        <f t="shared" si="140"/>
        <v>Young</v>
      </c>
      <c r="S697" t="s">
        <v>34</v>
      </c>
      <c r="T697">
        <v>9</v>
      </c>
      <c r="U697" t="s">
        <v>45</v>
      </c>
      <c r="V697">
        <v>1924.44</v>
      </c>
      <c r="W697" t="s">
        <v>26</v>
      </c>
      <c r="X697" t="s">
        <v>47</v>
      </c>
      <c r="Y697">
        <v>14</v>
      </c>
      <c r="Z697" t="str">
        <f t="shared" si="141"/>
        <v>Bad Employee</v>
      </c>
      <c r="AA697" t="b">
        <f t="shared" si="142"/>
        <v>0</v>
      </c>
      <c r="AB697" t="b">
        <f>OR(Y697&gt;20, T697&gt;6)</f>
        <v>1</v>
      </c>
      <c r="AC697" t="str">
        <f>IF(OR(Y697&gt;20,T697&gt;6), "Good employee", "Bad Employee")</f>
        <v>Good employee</v>
      </c>
      <c r="AD697" t="s">
        <v>41</v>
      </c>
      <c r="AE697" t="s">
        <v>48</v>
      </c>
      <c r="AF697">
        <v>19</v>
      </c>
      <c r="AG697">
        <v>2021</v>
      </c>
      <c r="AH697" t="s">
        <v>30</v>
      </c>
      <c r="AI697">
        <v>46</v>
      </c>
      <c r="AJ697">
        <v>4.9000000000000004</v>
      </c>
    </row>
    <row r="698" spans="1:36" x14ac:dyDescent="0.25">
      <c r="A698">
        <v>10697</v>
      </c>
      <c r="B698" t="s">
        <v>21</v>
      </c>
      <c r="C698" t="s">
        <v>32</v>
      </c>
      <c r="D698" t="s">
        <v>44</v>
      </c>
      <c r="E698" t="str">
        <f t="shared" si="130"/>
        <v>Michael Wilson is in Sales Department</v>
      </c>
      <c r="F698" s="6" t="str">
        <f t="shared" si="131"/>
        <v>michaelwilson@gmail.com</v>
      </c>
      <c r="G698">
        <v>119779</v>
      </c>
      <c r="H698" t="str">
        <f t="shared" si="132"/>
        <v>High</v>
      </c>
      <c r="I698" s="3">
        <v>38311</v>
      </c>
      <c r="J698">
        <f t="shared" si="133"/>
        <v>2004</v>
      </c>
      <c r="K698">
        <f t="shared" si="134"/>
        <v>11</v>
      </c>
      <c r="L698">
        <f t="shared" si="135"/>
        <v>20</v>
      </c>
      <c r="M698" s="3">
        <f t="shared" ca="1" si="136"/>
        <v>46100</v>
      </c>
      <c r="N698">
        <f t="shared" ca="1" si="137"/>
        <v>7789</v>
      </c>
      <c r="O698">
        <f t="shared" ca="1" si="138"/>
        <v>7789</v>
      </c>
      <c r="P698">
        <f t="shared" ca="1" si="139"/>
        <v>5564</v>
      </c>
      <c r="Q698">
        <v>39</v>
      </c>
      <c r="R698" t="str">
        <f t="shared" si="140"/>
        <v>Old</v>
      </c>
      <c r="S698" t="s">
        <v>24</v>
      </c>
      <c r="T698">
        <v>5</v>
      </c>
      <c r="U698" t="s">
        <v>45</v>
      </c>
      <c r="V698">
        <v>4666.26</v>
      </c>
      <c r="W698" t="s">
        <v>26</v>
      </c>
      <c r="X698" t="s">
        <v>27</v>
      </c>
      <c r="Y698">
        <v>26</v>
      </c>
      <c r="Z698" t="str">
        <f t="shared" si="141"/>
        <v>Bad Employee</v>
      </c>
      <c r="AA698" t="b">
        <f t="shared" si="142"/>
        <v>0</v>
      </c>
      <c r="AB698" t="b">
        <f>OR(Y698&gt;20, T698&gt;6)</f>
        <v>1</v>
      </c>
      <c r="AC698" t="str">
        <f>IF(OR(Y698&gt;20,T698&gt;6), "Good employee", "Bad Employee")</f>
        <v>Good employee</v>
      </c>
      <c r="AD698" t="s">
        <v>41</v>
      </c>
      <c r="AE698" t="s">
        <v>29</v>
      </c>
      <c r="AF698">
        <v>19</v>
      </c>
      <c r="AG698">
        <v>2016</v>
      </c>
      <c r="AH698" t="s">
        <v>49</v>
      </c>
      <c r="AI698">
        <v>177</v>
      </c>
      <c r="AJ698">
        <v>3.1</v>
      </c>
    </row>
    <row r="699" spans="1:36" x14ac:dyDescent="0.25">
      <c r="A699">
        <v>10698</v>
      </c>
      <c r="B699" t="s">
        <v>60</v>
      </c>
      <c r="C699" t="s">
        <v>57</v>
      </c>
      <c r="D699" t="s">
        <v>23</v>
      </c>
      <c r="E699" t="str">
        <f t="shared" si="130"/>
        <v>Jane Davis is in HR Department</v>
      </c>
      <c r="F699" s="6" t="str">
        <f t="shared" si="131"/>
        <v>janedavis@gmail.com</v>
      </c>
      <c r="G699">
        <v>63289</v>
      </c>
      <c r="H699" t="str">
        <f t="shared" si="132"/>
        <v>Medium</v>
      </c>
      <c r="I699" s="3">
        <v>40475</v>
      </c>
      <c r="J699">
        <f t="shared" si="133"/>
        <v>2010</v>
      </c>
      <c r="K699">
        <f t="shared" si="134"/>
        <v>10</v>
      </c>
      <c r="L699">
        <f t="shared" si="135"/>
        <v>24</v>
      </c>
      <c r="M699" s="3">
        <f t="shared" ca="1" si="136"/>
        <v>46100</v>
      </c>
      <c r="N699">
        <f t="shared" ca="1" si="137"/>
        <v>5625</v>
      </c>
      <c r="O699">
        <f t="shared" ca="1" si="138"/>
        <v>5625</v>
      </c>
      <c r="P699">
        <f t="shared" ca="1" si="139"/>
        <v>4019</v>
      </c>
      <c r="Q699">
        <v>56</v>
      </c>
      <c r="R699" t="str">
        <f t="shared" si="140"/>
        <v>Old</v>
      </c>
      <c r="S699" t="s">
        <v>34</v>
      </c>
      <c r="T699">
        <v>3</v>
      </c>
      <c r="U699" t="s">
        <v>45</v>
      </c>
      <c r="V699">
        <v>2381.31</v>
      </c>
      <c r="W699" t="s">
        <v>26</v>
      </c>
      <c r="X699" t="s">
        <v>47</v>
      </c>
      <c r="Y699">
        <v>8</v>
      </c>
      <c r="Z699" t="str">
        <f t="shared" si="141"/>
        <v>Bad Employee</v>
      </c>
      <c r="AA699" t="b">
        <f t="shared" si="142"/>
        <v>0</v>
      </c>
      <c r="AB699" t="b">
        <f>OR(Y699&gt;20, T699&gt;6)</f>
        <v>0</v>
      </c>
      <c r="AC699" t="str">
        <f>IF(OR(Y699&gt;20,T699&gt;6), "Good employee", "Bad Employee")</f>
        <v>Bad Employee</v>
      </c>
      <c r="AD699" t="s">
        <v>56</v>
      </c>
      <c r="AE699" t="s">
        <v>29</v>
      </c>
      <c r="AF699">
        <v>8</v>
      </c>
      <c r="AG699">
        <v>2020</v>
      </c>
      <c r="AH699" t="s">
        <v>43</v>
      </c>
      <c r="AI699">
        <v>118</v>
      </c>
      <c r="AJ699">
        <v>3.3</v>
      </c>
    </row>
    <row r="700" spans="1:36" x14ac:dyDescent="0.25">
      <c r="A700">
        <v>10699</v>
      </c>
      <c r="B700" t="s">
        <v>60</v>
      </c>
      <c r="C700" t="s">
        <v>57</v>
      </c>
      <c r="D700" t="s">
        <v>33</v>
      </c>
      <c r="E700" t="str">
        <f t="shared" si="130"/>
        <v>Jane Davis is in Marketing Department</v>
      </c>
      <c r="F700" s="6" t="str">
        <f t="shared" si="131"/>
        <v>janedavis@gmail.com</v>
      </c>
      <c r="G700">
        <v>49739</v>
      </c>
      <c r="H700" t="str">
        <f t="shared" si="132"/>
        <v>low</v>
      </c>
      <c r="I700" s="3">
        <v>42474</v>
      </c>
      <c r="J700">
        <f t="shared" si="133"/>
        <v>2016</v>
      </c>
      <c r="K700">
        <f t="shared" si="134"/>
        <v>4</v>
      </c>
      <c r="L700">
        <f t="shared" si="135"/>
        <v>14</v>
      </c>
      <c r="M700" s="3">
        <f t="shared" ca="1" si="136"/>
        <v>46100</v>
      </c>
      <c r="N700">
        <f t="shared" ca="1" si="137"/>
        <v>3626</v>
      </c>
      <c r="O700">
        <f t="shared" ca="1" si="138"/>
        <v>3626</v>
      </c>
      <c r="P700">
        <f t="shared" ca="1" si="139"/>
        <v>2591</v>
      </c>
      <c r="Q700">
        <v>48</v>
      </c>
      <c r="R700" t="str">
        <f t="shared" si="140"/>
        <v>Old</v>
      </c>
      <c r="S700" t="s">
        <v>34</v>
      </c>
      <c r="T700">
        <v>8</v>
      </c>
      <c r="U700" t="s">
        <v>45</v>
      </c>
      <c r="V700">
        <v>4235.32</v>
      </c>
      <c r="W700" t="s">
        <v>35</v>
      </c>
      <c r="X700" t="s">
        <v>40</v>
      </c>
      <c r="Y700">
        <v>27</v>
      </c>
      <c r="Z700" t="str">
        <f t="shared" si="141"/>
        <v>Good Employee</v>
      </c>
      <c r="AA700" t="b">
        <f t="shared" si="142"/>
        <v>1</v>
      </c>
      <c r="AB700" t="b">
        <f>OR(Y700&gt;20, T700&gt;6)</f>
        <v>1</v>
      </c>
      <c r="AC700" t="str">
        <f>IF(OR(Y700&gt;20,T700&gt;6), "Good employee", "Bad Employee")</f>
        <v>Good employee</v>
      </c>
      <c r="AD700" t="s">
        <v>56</v>
      </c>
      <c r="AE700" t="s">
        <v>59</v>
      </c>
      <c r="AF700">
        <v>10</v>
      </c>
      <c r="AG700">
        <v>2014</v>
      </c>
      <c r="AH700" t="s">
        <v>43</v>
      </c>
      <c r="AI700">
        <v>81</v>
      </c>
      <c r="AJ700">
        <v>3.7</v>
      </c>
    </row>
    <row r="701" spans="1:36" x14ac:dyDescent="0.25">
      <c r="A701">
        <v>10700</v>
      </c>
      <c r="B701" t="s">
        <v>50</v>
      </c>
      <c r="C701" t="s">
        <v>32</v>
      </c>
      <c r="D701" t="s">
        <v>33</v>
      </c>
      <c r="E701" t="str">
        <f t="shared" si="130"/>
        <v>Alex Wilson is in Marketing Department</v>
      </c>
      <c r="F701" s="6" t="str">
        <f t="shared" si="131"/>
        <v>alexwilson@gmail.com</v>
      </c>
      <c r="G701">
        <v>91687</v>
      </c>
      <c r="H701" t="str">
        <f t="shared" si="132"/>
        <v>High</v>
      </c>
      <c r="I701" s="3">
        <v>42832</v>
      </c>
      <c r="J701">
        <f t="shared" si="133"/>
        <v>2017</v>
      </c>
      <c r="K701">
        <f t="shared" si="134"/>
        <v>4</v>
      </c>
      <c r="L701">
        <f t="shared" si="135"/>
        <v>7</v>
      </c>
      <c r="M701" s="3">
        <f t="shared" ca="1" si="136"/>
        <v>46100</v>
      </c>
      <c r="N701">
        <f t="shared" ca="1" si="137"/>
        <v>3268</v>
      </c>
      <c r="O701">
        <f t="shared" ca="1" si="138"/>
        <v>3268</v>
      </c>
      <c r="P701">
        <f t="shared" ca="1" si="139"/>
        <v>2335</v>
      </c>
      <c r="Q701">
        <v>26</v>
      </c>
      <c r="R701" t="str">
        <f t="shared" si="140"/>
        <v>Young</v>
      </c>
      <c r="S701" t="s">
        <v>24</v>
      </c>
      <c r="T701">
        <v>5</v>
      </c>
      <c r="U701" t="s">
        <v>45</v>
      </c>
      <c r="V701">
        <v>5134.42</v>
      </c>
      <c r="W701" t="s">
        <v>46</v>
      </c>
      <c r="X701" t="s">
        <v>40</v>
      </c>
      <c r="Y701">
        <v>28</v>
      </c>
      <c r="Z701" t="str">
        <f t="shared" si="141"/>
        <v>Bad Employee</v>
      </c>
      <c r="AA701" t="b">
        <f t="shared" si="142"/>
        <v>0</v>
      </c>
      <c r="AB701" t="b">
        <f>OR(Y701&gt;20, T701&gt;6)</f>
        <v>1</v>
      </c>
      <c r="AC701" t="str">
        <f>IF(OR(Y701&gt;20,T701&gt;6), "Good employee", "Bad Employee")</f>
        <v>Good employee</v>
      </c>
      <c r="AD701" t="s">
        <v>41</v>
      </c>
      <c r="AE701" t="s">
        <v>62</v>
      </c>
      <c r="AF701">
        <v>4</v>
      </c>
      <c r="AG701">
        <v>2022</v>
      </c>
      <c r="AH701" t="s">
        <v>30</v>
      </c>
      <c r="AI701">
        <v>153</v>
      </c>
      <c r="AJ701">
        <v>4.2</v>
      </c>
    </row>
    <row r="702" spans="1:36" x14ac:dyDescent="0.25">
      <c r="A702">
        <v>10701</v>
      </c>
      <c r="B702" t="s">
        <v>60</v>
      </c>
      <c r="C702" t="s">
        <v>63</v>
      </c>
      <c r="D702" t="s">
        <v>54</v>
      </c>
      <c r="E702" t="str">
        <f t="shared" si="130"/>
        <v>Jane Miller is in Finance Department</v>
      </c>
      <c r="F702" s="6" t="str">
        <f t="shared" si="131"/>
        <v>janemiller@gmail.com</v>
      </c>
      <c r="G702">
        <v>66491</v>
      </c>
      <c r="H702" t="str">
        <f t="shared" si="132"/>
        <v>Medium</v>
      </c>
      <c r="I702" s="3">
        <v>39133</v>
      </c>
      <c r="J702">
        <f t="shared" si="133"/>
        <v>2007</v>
      </c>
      <c r="K702">
        <f t="shared" si="134"/>
        <v>2</v>
      </c>
      <c r="L702">
        <f t="shared" si="135"/>
        <v>20</v>
      </c>
      <c r="M702" s="3">
        <f t="shared" ca="1" si="136"/>
        <v>46100</v>
      </c>
      <c r="N702">
        <f t="shared" ca="1" si="137"/>
        <v>6967</v>
      </c>
      <c r="O702">
        <f t="shared" ca="1" si="138"/>
        <v>6967</v>
      </c>
      <c r="P702">
        <f t="shared" ca="1" si="139"/>
        <v>4978</v>
      </c>
      <c r="Q702">
        <v>28</v>
      </c>
      <c r="R702" t="str">
        <f t="shared" si="140"/>
        <v>Young</v>
      </c>
      <c r="S702" t="s">
        <v>24</v>
      </c>
      <c r="T702">
        <v>6</v>
      </c>
      <c r="U702" t="s">
        <v>25</v>
      </c>
      <c r="V702">
        <v>3820.8</v>
      </c>
      <c r="W702" t="s">
        <v>58</v>
      </c>
      <c r="X702" t="s">
        <v>55</v>
      </c>
      <c r="Y702">
        <v>4</v>
      </c>
      <c r="Z702" t="str">
        <f t="shared" si="141"/>
        <v>Bad Employee</v>
      </c>
      <c r="AA702" t="b">
        <f t="shared" si="142"/>
        <v>0</v>
      </c>
      <c r="AB702" t="b">
        <f>OR(Y702&gt;20, T702&gt;6)</f>
        <v>0</v>
      </c>
      <c r="AC702" t="str">
        <f>IF(OR(Y702&gt;20,T702&gt;6), "Good employee", "Bad Employee")</f>
        <v>Bad Employee</v>
      </c>
      <c r="AD702" t="s">
        <v>41</v>
      </c>
      <c r="AE702" t="s">
        <v>59</v>
      </c>
      <c r="AF702">
        <v>10</v>
      </c>
      <c r="AG702">
        <v>2019</v>
      </c>
      <c r="AH702" t="s">
        <v>43</v>
      </c>
      <c r="AI702">
        <v>161</v>
      </c>
      <c r="AJ702">
        <v>3.4</v>
      </c>
    </row>
    <row r="703" spans="1:36" x14ac:dyDescent="0.25">
      <c r="A703">
        <v>10702</v>
      </c>
      <c r="B703" t="s">
        <v>53</v>
      </c>
      <c r="C703" t="s">
        <v>57</v>
      </c>
      <c r="D703" t="s">
        <v>54</v>
      </c>
      <c r="E703" t="str">
        <f t="shared" si="130"/>
        <v>Sarah Davis is in Finance Department</v>
      </c>
      <c r="F703" s="6" t="str">
        <f t="shared" si="131"/>
        <v>sarahdavis@gmail.com</v>
      </c>
      <c r="G703">
        <v>102115</v>
      </c>
      <c r="H703" t="str">
        <f t="shared" si="132"/>
        <v>High</v>
      </c>
      <c r="I703" s="3">
        <v>36924</v>
      </c>
      <c r="J703">
        <f t="shared" si="133"/>
        <v>2001</v>
      </c>
      <c r="K703">
        <f t="shared" si="134"/>
        <v>2</v>
      </c>
      <c r="L703">
        <f t="shared" si="135"/>
        <v>2</v>
      </c>
      <c r="M703" s="3">
        <f t="shared" ca="1" si="136"/>
        <v>46100</v>
      </c>
      <c r="N703">
        <f t="shared" ca="1" si="137"/>
        <v>9176</v>
      </c>
      <c r="O703">
        <f t="shared" ca="1" si="138"/>
        <v>9176</v>
      </c>
      <c r="P703">
        <f t="shared" ca="1" si="139"/>
        <v>6555</v>
      </c>
      <c r="Q703">
        <v>31</v>
      </c>
      <c r="R703" t="str">
        <f t="shared" si="140"/>
        <v>Old</v>
      </c>
      <c r="S703" t="s">
        <v>34</v>
      </c>
      <c r="T703">
        <v>2</v>
      </c>
      <c r="U703" t="s">
        <v>45</v>
      </c>
      <c r="V703">
        <v>9401.2099999999991</v>
      </c>
      <c r="W703" t="s">
        <v>58</v>
      </c>
      <c r="X703" t="s">
        <v>47</v>
      </c>
      <c r="Y703">
        <v>38</v>
      </c>
      <c r="Z703" t="str">
        <f t="shared" si="141"/>
        <v>Bad Employee</v>
      </c>
      <c r="AA703" t="b">
        <f t="shared" si="142"/>
        <v>0</v>
      </c>
      <c r="AB703" t="b">
        <f>OR(Y703&gt;20, T703&gt;6)</f>
        <v>1</v>
      </c>
      <c r="AC703" t="str">
        <f>IF(OR(Y703&gt;20,T703&gt;6), "Good employee", "Bad Employee")</f>
        <v>Good employee</v>
      </c>
      <c r="AD703" t="s">
        <v>41</v>
      </c>
      <c r="AE703" t="s">
        <v>48</v>
      </c>
      <c r="AF703">
        <v>12</v>
      </c>
      <c r="AG703">
        <v>2013</v>
      </c>
      <c r="AH703" t="s">
        <v>43</v>
      </c>
      <c r="AI703">
        <v>96</v>
      </c>
      <c r="AJ703">
        <v>4</v>
      </c>
    </row>
    <row r="704" spans="1:36" x14ac:dyDescent="0.25">
      <c r="A704">
        <v>10703</v>
      </c>
      <c r="B704" t="s">
        <v>66</v>
      </c>
      <c r="C704" t="s">
        <v>63</v>
      </c>
      <c r="D704" t="s">
        <v>52</v>
      </c>
      <c r="E704" t="str">
        <f t="shared" si="130"/>
        <v>John Miller is in Operations Department</v>
      </c>
      <c r="F704" s="6" t="str">
        <f t="shared" si="131"/>
        <v>johnmiller@gmail.com</v>
      </c>
      <c r="G704">
        <v>113778</v>
      </c>
      <c r="H704" t="str">
        <f t="shared" si="132"/>
        <v>High</v>
      </c>
      <c r="I704" s="3">
        <v>39156</v>
      </c>
      <c r="J704">
        <f t="shared" si="133"/>
        <v>2007</v>
      </c>
      <c r="K704">
        <f t="shared" si="134"/>
        <v>3</v>
      </c>
      <c r="L704">
        <f t="shared" si="135"/>
        <v>15</v>
      </c>
      <c r="M704" s="3">
        <f t="shared" ca="1" si="136"/>
        <v>46100</v>
      </c>
      <c r="N704">
        <f t="shared" ca="1" si="137"/>
        <v>6944</v>
      </c>
      <c r="O704">
        <f t="shared" ca="1" si="138"/>
        <v>6944</v>
      </c>
      <c r="P704">
        <f t="shared" ca="1" si="139"/>
        <v>4961</v>
      </c>
      <c r="Q704">
        <v>31</v>
      </c>
      <c r="R704" t="str">
        <f t="shared" si="140"/>
        <v>Old</v>
      </c>
      <c r="S704" t="s">
        <v>24</v>
      </c>
      <c r="T704">
        <v>4</v>
      </c>
      <c r="U704" t="s">
        <v>45</v>
      </c>
      <c r="V704">
        <v>5844.04</v>
      </c>
      <c r="W704" t="s">
        <v>26</v>
      </c>
      <c r="X704" t="s">
        <v>47</v>
      </c>
      <c r="Y704">
        <v>11</v>
      </c>
      <c r="Z704" t="str">
        <f t="shared" si="141"/>
        <v>Bad Employee</v>
      </c>
      <c r="AA704" t="b">
        <f t="shared" si="142"/>
        <v>0</v>
      </c>
      <c r="AB704" t="b">
        <f>OR(Y704&gt;20, T704&gt;6)</f>
        <v>0</v>
      </c>
      <c r="AC704" t="str">
        <f>IF(OR(Y704&gt;20,T704&gt;6), "Good employee", "Bad Employee")</f>
        <v>Bad Employee</v>
      </c>
      <c r="AD704" t="s">
        <v>41</v>
      </c>
      <c r="AE704" t="s">
        <v>37</v>
      </c>
      <c r="AF704">
        <v>1</v>
      </c>
      <c r="AG704">
        <v>2016</v>
      </c>
      <c r="AH704" t="s">
        <v>43</v>
      </c>
      <c r="AI704">
        <v>156</v>
      </c>
      <c r="AJ704">
        <v>2.8</v>
      </c>
    </row>
    <row r="705" spans="1:36" x14ac:dyDescent="0.25">
      <c r="A705">
        <v>10704</v>
      </c>
      <c r="B705" t="s">
        <v>53</v>
      </c>
      <c r="C705" t="s">
        <v>61</v>
      </c>
      <c r="D705" t="s">
        <v>44</v>
      </c>
      <c r="E705" t="str">
        <f t="shared" si="130"/>
        <v>Sarah Smith is in Sales Department</v>
      </c>
      <c r="F705" s="6" t="str">
        <f t="shared" si="131"/>
        <v>sarahsmith@gmail.com</v>
      </c>
      <c r="G705">
        <v>34781</v>
      </c>
      <c r="H705" t="str">
        <f t="shared" si="132"/>
        <v>extremely low</v>
      </c>
      <c r="I705" s="3">
        <v>38972</v>
      </c>
      <c r="J705">
        <f t="shared" si="133"/>
        <v>2006</v>
      </c>
      <c r="K705">
        <f t="shared" si="134"/>
        <v>9</v>
      </c>
      <c r="L705">
        <f t="shared" si="135"/>
        <v>12</v>
      </c>
      <c r="M705" s="3">
        <f t="shared" ca="1" si="136"/>
        <v>46100</v>
      </c>
      <c r="N705">
        <f t="shared" ca="1" si="137"/>
        <v>7128</v>
      </c>
      <c r="O705">
        <f t="shared" ca="1" si="138"/>
        <v>7128</v>
      </c>
      <c r="P705">
        <f t="shared" ca="1" si="139"/>
        <v>5093</v>
      </c>
      <c r="Q705">
        <v>49</v>
      </c>
      <c r="R705" t="str">
        <f t="shared" si="140"/>
        <v>Old</v>
      </c>
      <c r="S705" t="s">
        <v>24</v>
      </c>
      <c r="T705">
        <v>1</v>
      </c>
      <c r="U705" t="s">
        <v>45</v>
      </c>
      <c r="V705">
        <v>8507.48</v>
      </c>
      <c r="W705" t="s">
        <v>35</v>
      </c>
      <c r="X705" t="s">
        <v>55</v>
      </c>
      <c r="Y705">
        <v>24</v>
      </c>
      <c r="Z705" t="str">
        <f t="shared" si="141"/>
        <v>Bad Employee</v>
      </c>
      <c r="AA705" t="b">
        <f t="shared" si="142"/>
        <v>0</v>
      </c>
      <c r="AB705" t="b">
        <f>OR(Y705&gt;20, T705&gt;6)</f>
        <v>1</v>
      </c>
      <c r="AC705" t="str">
        <f>IF(OR(Y705&gt;20,T705&gt;6), "Good employee", "Bad Employee")</f>
        <v>Good employee</v>
      </c>
      <c r="AD705" t="s">
        <v>41</v>
      </c>
      <c r="AE705" t="s">
        <v>62</v>
      </c>
      <c r="AF705">
        <v>1</v>
      </c>
      <c r="AG705">
        <v>2022</v>
      </c>
      <c r="AH705" t="s">
        <v>49</v>
      </c>
      <c r="AI705">
        <v>124</v>
      </c>
      <c r="AJ705">
        <v>2.5</v>
      </c>
    </row>
    <row r="706" spans="1:36" x14ac:dyDescent="0.25">
      <c r="A706">
        <v>10705</v>
      </c>
      <c r="B706" t="s">
        <v>38</v>
      </c>
      <c r="C706" t="s">
        <v>61</v>
      </c>
      <c r="D706" t="s">
        <v>52</v>
      </c>
      <c r="E706" t="str">
        <f t="shared" si="130"/>
        <v>Chris Smith is in Operations Department</v>
      </c>
      <c r="F706" s="6" t="str">
        <f t="shared" si="131"/>
        <v>chrissmith@gmail.com</v>
      </c>
      <c r="G706">
        <v>50448</v>
      </c>
      <c r="H706" t="str">
        <f t="shared" si="132"/>
        <v>Medium</v>
      </c>
      <c r="I706" s="3">
        <v>38195</v>
      </c>
      <c r="J706">
        <f t="shared" si="133"/>
        <v>2004</v>
      </c>
      <c r="K706">
        <f t="shared" si="134"/>
        <v>7</v>
      </c>
      <c r="L706">
        <f t="shared" si="135"/>
        <v>27</v>
      </c>
      <c r="M706" s="3">
        <f t="shared" ca="1" si="136"/>
        <v>46100</v>
      </c>
      <c r="N706">
        <f t="shared" ca="1" si="137"/>
        <v>7905</v>
      </c>
      <c r="O706">
        <f t="shared" ca="1" si="138"/>
        <v>7905</v>
      </c>
      <c r="P706">
        <f t="shared" ca="1" si="139"/>
        <v>5648</v>
      </c>
      <c r="Q706">
        <v>57</v>
      </c>
      <c r="R706" t="str">
        <f t="shared" si="140"/>
        <v>Old</v>
      </c>
      <c r="S706" t="s">
        <v>24</v>
      </c>
      <c r="T706">
        <v>4</v>
      </c>
      <c r="U706" t="s">
        <v>25</v>
      </c>
      <c r="V706">
        <v>7726.92</v>
      </c>
      <c r="W706" t="s">
        <v>46</v>
      </c>
      <c r="X706" t="s">
        <v>36</v>
      </c>
      <c r="Y706">
        <v>28</v>
      </c>
      <c r="Z706" t="str">
        <f t="shared" si="141"/>
        <v>Bad Employee</v>
      </c>
      <c r="AA706" t="b">
        <f t="shared" si="142"/>
        <v>0</v>
      </c>
      <c r="AB706" t="b">
        <f>OR(Y706&gt;20, T706&gt;6)</f>
        <v>1</v>
      </c>
      <c r="AC706" t="str">
        <f>IF(OR(Y706&gt;20,T706&gt;6), "Good employee", "Bad Employee")</f>
        <v>Good employee</v>
      </c>
      <c r="AD706" t="s">
        <v>28</v>
      </c>
      <c r="AE706" t="s">
        <v>62</v>
      </c>
      <c r="AF706">
        <v>9</v>
      </c>
      <c r="AG706">
        <v>2013</v>
      </c>
      <c r="AH706" t="s">
        <v>30</v>
      </c>
      <c r="AI706">
        <v>174</v>
      </c>
      <c r="AJ706">
        <v>4.3</v>
      </c>
    </row>
    <row r="707" spans="1:36" x14ac:dyDescent="0.25">
      <c r="A707">
        <v>10706</v>
      </c>
      <c r="B707" t="s">
        <v>38</v>
      </c>
      <c r="C707" t="s">
        <v>57</v>
      </c>
      <c r="D707" t="s">
        <v>54</v>
      </c>
      <c r="E707" t="str">
        <f t="shared" ref="E707:E770" si="143">CONCATENATE(B707, " ", C707, " is in ", D707, " Department")</f>
        <v>Chris Davis is in Finance Department</v>
      </c>
      <c r="F707" s="6" t="str">
        <f t="shared" ref="F707:F770" si="144">LOWER(CONCATENATE(B707, C707, "@gmail.com"))</f>
        <v>chrisdavis@gmail.com</v>
      </c>
      <c r="G707">
        <v>81550</v>
      </c>
      <c r="H707" t="str">
        <f t="shared" ref="H707:H770" si="145">IF(G707&gt;80000, "High", IF(G707&gt;50000, "Medium", IF(G707&gt;40000, "low", "extremely low")))</f>
        <v>High</v>
      </c>
      <c r="I707" s="3">
        <v>36764</v>
      </c>
      <c r="J707">
        <f t="shared" ref="J707:J770" si="146">YEAR(I707)</f>
        <v>2000</v>
      </c>
      <c r="K707">
        <f t="shared" ref="K707:K770" si="147">MONTH(I707)</f>
        <v>8</v>
      </c>
      <c r="L707">
        <f t="shared" ref="L707:L770" si="148">DAY(I707)</f>
        <v>26</v>
      </c>
      <c r="M707" s="3">
        <f t="shared" ref="M707:M770" ca="1" si="149">TODAY()</f>
        <v>46100</v>
      </c>
      <c r="N707">
        <f t="shared" ref="N707:N770" ca="1" si="150">M707-I707</f>
        <v>9336</v>
      </c>
      <c r="O707">
        <f t="shared" ref="O707:O770" ca="1" si="151">DATEDIF(I707,M707, "d")</f>
        <v>9336</v>
      </c>
      <c r="P707">
        <f t="shared" ref="P707:P770" ca="1" si="152">NETWORKDAYS(I707, M707)</f>
        <v>6669</v>
      </c>
      <c r="Q707">
        <v>31</v>
      </c>
      <c r="R707" t="str">
        <f t="shared" ref="R707:R770" si="153">IF(Q707&gt;30, "Old", "Young")</f>
        <v>Old</v>
      </c>
      <c r="S707" t="s">
        <v>34</v>
      </c>
      <c r="T707">
        <v>1</v>
      </c>
      <c r="U707" t="s">
        <v>45</v>
      </c>
      <c r="V707">
        <v>6781.08</v>
      </c>
      <c r="W707" t="s">
        <v>35</v>
      </c>
      <c r="X707" t="s">
        <v>40</v>
      </c>
      <c r="Y707">
        <v>18</v>
      </c>
      <c r="Z707" t="str">
        <f t="shared" ref="Z707:Z770" si="154" xml:space="preserve"> IF(AND(Y707&gt;20, T707&gt;6), "Good Employee", "Bad Employee")</f>
        <v>Bad Employee</v>
      </c>
      <c r="AA707" t="b">
        <f t="shared" ref="AA707:AA770" si="155">AND(Y707&gt;20, T707&gt;6)</f>
        <v>0</v>
      </c>
      <c r="AB707" t="b">
        <f>OR(Y707&gt;20, T707&gt;6)</f>
        <v>0</v>
      </c>
      <c r="AC707" t="str">
        <f>IF(OR(Y707&gt;20,T707&gt;6), "Good employee", "Bad Employee")</f>
        <v>Bad Employee</v>
      </c>
      <c r="AD707" t="s">
        <v>28</v>
      </c>
      <c r="AE707" t="s">
        <v>29</v>
      </c>
      <c r="AF707">
        <v>12</v>
      </c>
      <c r="AG707">
        <v>2019</v>
      </c>
      <c r="AH707" t="s">
        <v>43</v>
      </c>
      <c r="AI707">
        <v>88</v>
      </c>
      <c r="AJ707">
        <v>4.5</v>
      </c>
    </row>
    <row r="708" spans="1:36" x14ac:dyDescent="0.25">
      <c r="A708">
        <v>10707</v>
      </c>
      <c r="B708" t="s">
        <v>31</v>
      </c>
      <c r="C708" t="s">
        <v>61</v>
      </c>
      <c r="D708" t="s">
        <v>54</v>
      </c>
      <c r="E708" t="str">
        <f t="shared" si="143"/>
        <v>Emily Smith is in Finance Department</v>
      </c>
      <c r="F708" s="6" t="str">
        <f t="shared" si="144"/>
        <v>emilysmith@gmail.com</v>
      </c>
      <c r="G708">
        <v>79294</v>
      </c>
      <c r="H708" t="str">
        <f t="shared" si="145"/>
        <v>Medium</v>
      </c>
      <c r="I708" s="3">
        <v>40062</v>
      </c>
      <c r="J708">
        <f t="shared" si="146"/>
        <v>2009</v>
      </c>
      <c r="K708">
        <f t="shared" si="147"/>
        <v>9</v>
      </c>
      <c r="L708">
        <f t="shared" si="148"/>
        <v>6</v>
      </c>
      <c r="M708" s="3">
        <f t="shared" ca="1" si="149"/>
        <v>46100</v>
      </c>
      <c r="N708">
        <f t="shared" ca="1" si="150"/>
        <v>6038</v>
      </c>
      <c r="O708">
        <f t="shared" ca="1" si="151"/>
        <v>6038</v>
      </c>
      <c r="P708">
        <f t="shared" ca="1" si="152"/>
        <v>4314</v>
      </c>
      <c r="Q708">
        <v>56</v>
      </c>
      <c r="R708" t="str">
        <f t="shared" si="153"/>
        <v>Old</v>
      </c>
      <c r="S708" t="s">
        <v>34</v>
      </c>
      <c r="T708">
        <v>4</v>
      </c>
      <c r="U708" t="s">
        <v>45</v>
      </c>
      <c r="V708">
        <v>5220.4399999999996</v>
      </c>
      <c r="W708" t="s">
        <v>58</v>
      </c>
      <c r="X708" t="s">
        <v>36</v>
      </c>
      <c r="Y708">
        <v>21</v>
      </c>
      <c r="Z708" t="str">
        <f t="shared" si="154"/>
        <v>Bad Employee</v>
      </c>
      <c r="AA708" t="b">
        <f t="shared" si="155"/>
        <v>0</v>
      </c>
      <c r="AB708" t="b">
        <f>OR(Y708&gt;20, T708&gt;6)</f>
        <v>1</v>
      </c>
      <c r="AC708" t="str">
        <f>IF(OR(Y708&gt;20,T708&gt;6), "Good employee", "Bad Employee")</f>
        <v>Good employee</v>
      </c>
      <c r="AD708" t="s">
        <v>28</v>
      </c>
      <c r="AE708" t="s">
        <v>62</v>
      </c>
      <c r="AF708">
        <v>4</v>
      </c>
      <c r="AG708">
        <v>2021</v>
      </c>
      <c r="AH708" t="s">
        <v>49</v>
      </c>
      <c r="AI708">
        <v>107</v>
      </c>
      <c r="AJ708">
        <v>1.6</v>
      </c>
    </row>
    <row r="709" spans="1:36" x14ac:dyDescent="0.25">
      <c r="A709">
        <v>10708</v>
      </c>
      <c r="B709" t="s">
        <v>53</v>
      </c>
      <c r="C709" t="s">
        <v>51</v>
      </c>
      <c r="D709" t="s">
        <v>33</v>
      </c>
      <c r="E709" t="str">
        <f t="shared" si="143"/>
        <v>Sarah Brown is in Marketing Department</v>
      </c>
      <c r="F709" s="6" t="str">
        <f t="shared" si="144"/>
        <v>sarahbrown@gmail.com</v>
      </c>
      <c r="G709">
        <v>51446</v>
      </c>
      <c r="H709" t="str">
        <f t="shared" si="145"/>
        <v>Medium</v>
      </c>
      <c r="I709" s="3">
        <v>42225</v>
      </c>
      <c r="J709">
        <f t="shared" si="146"/>
        <v>2015</v>
      </c>
      <c r="K709">
        <f t="shared" si="147"/>
        <v>8</v>
      </c>
      <c r="L709">
        <f t="shared" si="148"/>
        <v>9</v>
      </c>
      <c r="M709" s="3">
        <f t="shared" ca="1" si="149"/>
        <v>46100</v>
      </c>
      <c r="N709">
        <f t="shared" ca="1" si="150"/>
        <v>3875</v>
      </c>
      <c r="O709">
        <f t="shared" ca="1" si="151"/>
        <v>3875</v>
      </c>
      <c r="P709">
        <f t="shared" ca="1" si="152"/>
        <v>2769</v>
      </c>
      <c r="Q709">
        <v>56</v>
      </c>
      <c r="R709" t="str">
        <f t="shared" si="153"/>
        <v>Old</v>
      </c>
      <c r="S709" t="s">
        <v>34</v>
      </c>
      <c r="T709">
        <v>2</v>
      </c>
      <c r="U709" t="s">
        <v>45</v>
      </c>
      <c r="V709">
        <v>520.65</v>
      </c>
      <c r="W709" t="s">
        <v>26</v>
      </c>
      <c r="X709" t="s">
        <v>55</v>
      </c>
      <c r="Y709">
        <v>26</v>
      </c>
      <c r="Z709" t="str">
        <f t="shared" si="154"/>
        <v>Bad Employee</v>
      </c>
      <c r="AA709" t="b">
        <f t="shared" si="155"/>
        <v>0</v>
      </c>
      <c r="AB709" t="b">
        <f>OR(Y709&gt;20, T709&gt;6)</f>
        <v>1</v>
      </c>
      <c r="AC709" t="str">
        <f>IF(OR(Y709&gt;20,T709&gt;6), "Good employee", "Bad Employee")</f>
        <v>Good employee</v>
      </c>
      <c r="AD709" t="s">
        <v>41</v>
      </c>
      <c r="AE709" t="s">
        <v>48</v>
      </c>
      <c r="AF709">
        <v>10</v>
      </c>
      <c r="AG709">
        <v>2013</v>
      </c>
      <c r="AH709" t="s">
        <v>43</v>
      </c>
      <c r="AI709">
        <v>75</v>
      </c>
      <c r="AJ709">
        <v>3.2</v>
      </c>
    </row>
    <row r="710" spans="1:36" x14ac:dyDescent="0.25">
      <c r="A710">
        <v>10709</v>
      </c>
      <c r="B710" t="s">
        <v>53</v>
      </c>
      <c r="C710" t="s">
        <v>63</v>
      </c>
      <c r="D710" t="s">
        <v>54</v>
      </c>
      <c r="E710" t="str">
        <f t="shared" si="143"/>
        <v>Sarah Miller is in Finance Department</v>
      </c>
      <c r="F710" s="6" t="str">
        <f t="shared" si="144"/>
        <v>sarahmiller@gmail.com</v>
      </c>
      <c r="G710">
        <v>106579</v>
      </c>
      <c r="H710" t="str">
        <f t="shared" si="145"/>
        <v>High</v>
      </c>
      <c r="I710" s="3">
        <v>40387</v>
      </c>
      <c r="J710">
        <f t="shared" si="146"/>
        <v>2010</v>
      </c>
      <c r="K710">
        <f t="shared" si="147"/>
        <v>7</v>
      </c>
      <c r="L710">
        <f t="shared" si="148"/>
        <v>28</v>
      </c>
      <c r="M710" s="3">
        <f t="shared" ca="1" si="149"/>
        <v>46100</v>
      </c>
      <c r="N710">
        <f t="shared" ca="1" si="150"/>
        <v>5713</v>
      </c>
      <c r="O710">
        <f t="shared" ca="1" si="151"/>
        <v>5713</v>
      </c>
      <c r="P710">
        <f t="shared" ca="1" si="152"/>
        <v>4082</v>
      </c>
      <c r="Q710">
        <v>58</v>
      </c>
      <c r="R710" t="str">
        <f t="shared" si="153"/>
        <v>Old</v>
      </c>
      <c r="S710" t="s">
        <v>24</v>
      </c>
      <c r="T710">
        <v>6</v>
      </c>
      <c r="U710" t="s">
        <v>45</v>
      </c>
      <c r="V710">
        <v>6327.94</v>
      </c>
      <c r="W710" t="s">
        <v>26</v>
      </c>
      <c r="X710" t="s">
        <v>47</v>
      </c>
      <c r="Y710">
        <v>3</v>
      </c>
      <c r="Z710" t="str">
        <f t="shared" si="154"/>
        <v>Bad Employee</v>
      </c>
      <c r="AA710" t="b">
        <f t="shared" si="155"/>
        <v>0</v>
      </c>
      <c r="AB710" t="b">
        <f>OR(Y710&gt;20, T710&gt;6)</f>
        <v>0</v>
      </c>
      <c r="AC710" t="str">
        <f>IF(OR(Y710&gt;20,T710&gt;6), "Good employee", "Bad Employee")</f>
        <v>Bad Employee</v>
      </c>
      <c r="AD710" t="s">
        <v>56</v>
      </c>
      <c r="AE710" t="s">
        <v>48</v>
      </c>
      <c r="AF710">
        <v>14</v>
      </c>
      <c r="AG710">
        <v>2011</v>
      </c>
      <c r="AH710" t="s">
        <v>43</v>
      </c>
      <c r="AI710">
        <v>173</v>
      </c>
      <c r="AJ710">
        <v>3.7</v>
      </c>
    </row>
    <row r="711" spans="1:36" x14ac:dyDescent="0.25">
      <c r="A711">
        <v>10710</v>
      </c>
      <c r="B711" t="s">
        <v>53</v>
      </c>
      <c r="C711" t="s">
        <v>63</v>
      </c>
      <c r="D711" t="s">
        <v>39</v>
      </c>
      <c r="E711" t="str">
        <f t="shared" si="143"/>
        <v>Sarah Miller is in IT Department</v>
      </c>
      <c r="F711" s="6" t="str">
        <f t="shared" si="144"/>
        <v>sarahmiller@gmail.com</v>
      </c>
      <c r="G711">
        <v>115389</v>
      </c>
      <c r="H711" t="str">
        <f t="shared" si="145"/>
        <v>High</v>
      </c>
      <c r="I711" s="3">
        <v>39629</v>
      </c>
      <c r="J711">
        <f t="shared" si="146"/>
        <v>2008</v>
      </c>
      <c r="K711">
        <f t="shared" si="147"/>
        <v>6</v>
      </c>
      <c r="L711">
        <f t="shared" si="148"/>
        <v>30</v>
      </c>
      <c r="M711" s="3">
        <f t="shared" ca="1" si="149"/>
        <v>46100</v>
      </c>
      <c r="N711">
        <f t="shared" ca="1" si="150"/>
        <v>6471</v>
      </c>
      <c r="O711">
        <f t="shared" ca="1" si="151"/>
        <v>6471</v>
      </c>
      <c r="P711">
        <f t="shared" ca="1" si="152"/>
        <v>4624</v>
      </c>
      <c r="Q711">
        <v>41</v>
      </c>
      <c r="R711" t="str">
        <f t="shared" si="153"/>
        <v>Old</v>
      </c>
      <c r="S711" t="s">
        <v>34</v>
      </c>
      <c r="T711">
        <v>6</v>
      </c>
      <c r="U711" t="s">
        <v>45</v>
      </c>
      <c r="V711">
        <v>3881.6</v>
      </c>
      <c r="W711" t="s">
        <v>35</v>
      </c>
      <c r="X711" t="s">
        <v>36</v>
      </c>
      <c r="Y711">
        <v>13</v>
      </c>
      <c r="Z711" t="str">
        <f t="shared" si="154"/>
        <v>Bad Employee</v>
      </c>
      <c r="AA711" t="b">
        <f t="shared" si="155"/>
        <v>0</v>
      </c>
      <c r="AB711" t="b">
        <f>OR(Y711&gt;20, T711&gt;6)</f>
        <v>0</v>
      </c>
      <c r="AC711" t="str">
        <f>IF(OR(Y711&gt;20,T711&gt;6), "Good employee", "Bad Employee")</f>
        <v>Bad Employee</v>
      </c>
      <c r="AD711" t="s">
        <v>56</v>
      </c>
      <c r="AE711" t="s">
        <v>48</v>
      </c>
      <c r="AF711">
        <v>4</v>
      </c>
      <c r="AG711">
        <v>2014</v>
      </c>
      <c r="AH711" t="s">
        <v>30</v>
      </c>
      <c r="AI711">
        <v>52</v>
      </c>
      <c r="AJ711">
        <v>1.3</v>
      </c>
    </row>
    <row r="712" spans="1:36" x14ac:dyDescent="0.25">
      <c r="A712">
        <v>10711</v>
      </c>
      <c r="B712" t="s">
        <v>21</v>
      </c>
      <c r="C712" t="s">
        <v>57</v>
      </c>
      <c r="D712" t="s">
        <v>23</v>
      </c>
      <c r="E712" t="str">
        <f t="shared" si="143"/>
        <v>Michael Davis is in HR Department</v>
      </c>
      <c r="F712" s="6" t="str">
        <f t="shared" si="144"/>
        <v>michaeldavis@gmail.com</v>
      </c>
      <c r="G712">
        <v>115615</v>
      </c>
      <c r="H712" t="str">
        <f t="shared" si="145"/>
        <v>High</v>
      </c>
      <c r="I712" s="3">
        <v>37672</v>
      </c>
      <c r="J712">
        <f t="shared" si="146"/>
        <v>2003</v>
      </c>
      <c r="K712">
        <f t="shared" si="147"/>
        <v>2</v>
      </c>
      <c r="L712">
        <f t="shared" si="148"/>
        <v>20</v>
      </c>
      <c r="M712" s="3">
        <f t="shared" ca="1" si="149"/>
        <v>46100</v>
      </c>
      <c r="N712">
        <f t="shared" ca="1" si="150"/>
        <v>8428</v>
      </c>
      <c r="O712">
        <f t="shared" ca="1" si="151"/>
        <v>8428</v>
      </c>
      <c r="P712">
        <f t="shared" ca="1" si="152"/>
        <v>6021</v>
      </c>
      <c r="Q712">
        <v>34</v>
      </c>
      <c r="R712" t="str">
        <f t="shared" si="153"/>
        <v>Old</v>
      </c>
      <c r="S712" t="s">
        <v>24</v>
      </c>
      <c r="T712">
        <v>8</v>
      </c>
      <c r="U712" t="s">
        <v>25</v>
      </c>
      <c r="V712">
        <v>1618.74</v>
      </c>
      <c r="W712" t="s">
        <v>26</v>
      </c>
      <c r="X712" t="s">
        <v>47</v>
      </c>
      <c r="Y712">
        <v>38</v>
      </c>
      <c r="Z712" t="str">
        <f t="shared" si="154"/>
        <v>Good Employee</v>
      </c>
      <c r="AA712" t="b">
        <f t="shared" si="155"/>
        <v>1</v>
      </c>
      <c r="AB712" t="b">
        <f>OR(Y712&gt;20, T712&gt;6)</f>
        <v>1</v>
      </c>
      <c r="AC712" t="str">
        <f>IF(OR(Y712&gt;20,T712&gt;6), "Good employee", "Bad Employee")</f>
        <v>Good employee</v>
      </c>
      <c r="AD712" t="s">
        <v>41</v>
      </c>
      <c r="AE712" t="s">
        <v>37</v>
      </c>
      <c r="AF712">
        <v>19</v>
      </c>
      <c r="AG712">
        <v>2017</v>
      </c>
      <c r="AH712" t="s">
        <v>49</v>
      </c>
      <c r="AI712">
        <v>83</v>
      </c>
      <c r="AJ712">
        <v>4.7</v>
      </c>
    </row>
    <row r="713" spans="1:36" x14ac:dyDescent="0.25">
      <c r="A713">
        <v>10712</v>
      </c>
      <c r="B713" t="s">
        <v>60</v>
      </c>
      <c r="C713" t="s">
        <v>61</v>
      </c>
      <c r="D713" t="s">
        <v>54</v>
      </c>
      <c r="E713" t="str">
        <f t="shared" si="143"/>
        <v>Jane Smith is in Finance Department</v>
      </c>
      <c r="F713" s="6" t="str">
        <f t="shared" si="144"/>
        <v>janesmith@gmail.com</v>
      </c>
      <c r="G713">
        <v>47101</v>
      </c>
      <c r="H713" t="str">
        <f t="shared" si="145"/>
        <v>low</v>
      </c>
      <c r="I713" s="3">
        <v>38083</v>
      </c>
      <c r="J713">
        <f t="shared" si="146"/>
        <v>2004</v>
      </c>
      <c r="K713">
        <f t="shared" si="147"/>
        <v>4</v>
      </c>
      <c r="L713">
        <f t="shared" si="148"/>
        <v>6</v>
      </c>
      <c r="M713" s="3">
        <f t="shared" ca="1" si="149"/>
        <v>46100</v>
      </c>
      <c r="N713">
        <f t="shared" ca="1" si="150"/>
        <v>8017</v>
      </c>
      <c r="O713">
        <f t="shared" ca="1" si="151"/>
        <v>8017</v>
      </c>
      <c r="P713">
        <f t="shared" ca="1" si="152"/>
        <v>5728</v>
      </c>
      <c r="Q713">
        <v>32</v>
      </c>
      <c r="R713" t="str">
        <f t="shared" si="153"/>
        <v>Old</v>
      </c>
      <c r="S713" t="s">
        <v>24</v>
      </c>
      <c r="T713">
        <v>9</v>
      </c>
      <c r="U713" t="s">
        <v>45</v>
      </c>
      <c r="V713">
        <v>4723.95</v>
      </c>
      <c r="W713" t="s">
        <v>46</v>
      </c>
      <c r="X713" t="s">
        <v>55</v>
      </c>
      <c r="Y713">
        <v>28</v>
      </c>
      <c r="Z713" t="str">
        <f t="shared" si="154"/>
        <v>Good Employee</v>
      </c>
      <c r="AA713" t="b">
        <f t="shared" si="155"/>
        <v>1</v>
      </c>
      <c r="AB713" t="b">
        <f>OR(Y713&gt;20, T713&gt;6)</f>
        <v>1</v>
      </c>
      <c r="AC713" t="str">
        <f>IF(OR(Y713&gt;20,T713&gt;6), "Good employee", "Bad Employee")</f>
        <v>Good employee</v>
      </c>
      <c r="AD713" t="s">
        <v>28</v>
      </c>
      <c r="AE713" t="s">
        <v>42</v>
      </c>
      <c r="AF713">
        <v>4</v>
      </c>
      <c r="AG713">
        <v>2013</v>
      </c>
      <c r="AH713" t="s">
        <v>43</v>
      </c>
      <c r="AI713">
        <v>81</v>
      </c>
      <c r="AJ713">
        <v>3.1</v>
      </c>
    </row>
    <row r="714" spans="1:36" x14ac:dyDescent="0.25">
      <c r="A714">
        <v>10713</v>
      </c>
      <c r="B714" t="s">
        <v>66</v>
      </c>
      <c r="C714" t="s">
        <v>65</v>
      </c>
      <c r="D714" t="s">
        <v>52</v>
      </c>
      <c r="E714" t="str">
        <f t="shared" si="143"/>
        <v>John Johnson is in Operations Department</v>
      </c>
      <c r="F714" s="6" t="str">
        <f t="shared" si="144"/>
        <v>johnjohnson@gmail.com</v>
      </c>
      <c r="G714">
        <v>96178</v>
      </c>
      <c r="H714" t="str">
        <f t="shared" si="145"/>
        <v>High</v>
      </c>
      <c r="I714" s="3">
        <v>40264</v>
      </c>
      <c r="J714">
        <f t="shared" si="146"/>
        <v>2010</v>
      </c>
      <c r="K714">
        <f t="shared" si="147"/>
        <v>3</v>
      </c>
      <c r="L714">
        <f t="shared" si="148"/>
        <v>27</v>
      </c>
      <c r="M714" s="3">
        <f t="shared" ca="1" si="149"/>
        <v>46100</v>
      </c>
      <c r="N714">
        <f t="shared" ca="1" si="150"/>
        <v>5836</v>
      </c>
      <c r="O714">
        <f t="shared" ca="1" si="151"/>
        <v>5836</v>
      </c>
      <c r="P714">
        <f t="shared" ca="1" si="152"/>
        <v>4169</v>
      </c>
      <c r="Q714">
        <v>40</v>
      </c>
      <c r="R714" t="str">
        <f t="shared" si="153"/>
        <v>Old</v>
      </c>
      <c r="S714" t="s">
        <v>24</v>
      </c>
      <c r="T714">
        <v>8</v>
      </c>
      <c r="U714" t="s">
        <v>45</v>
      </c>
      <c r="V714">
        <v>7487.76</v>
      </c>
      <c r="W714" t="s">
        <v>58</v>
      </c>
      <c r="X714" t="s">
        <v>27</v>
      </c>
      <c r="Y714">
        <v>14</v>
      </c>
      <c r="Z714" t="str">
        <f t="shared" si="154"/>
        <v>Bad Employee</v>
      </c>
      <c r="AA714" t="b">
        <f t="shared" si="155"/>
        <v>0</v>
      </c>
      <c r="AB714" t="b">
        <f>OR(Y714&gt;20, T714&gt;6)</f>
        <v>1</v>
      </c>
      <c r="AC714" t="str">
        <f>IF(OR(Y714&gt;20,T714&gt;6), "Good employee", "Bad Employee")</f>
        <v>Good employee</v>
      </c>
      <c r="AD714" t="s">
        <v>56</v>
      </c>
      <c r="AE714" t="s">
        <v>62</v>
      </c>
      <c r="AF714">
        <v>6</v>
      </c>
      <c r="AG714">
        <v>2020</v>
      </c>
      <c r="AH714" t="s">
        <v>30</v>
      </c>
      <c r="AI714">
        <v>47</v>
      </c>
      <c r="AJ714">
        <v>3.6</v>
      </c>
    </row>
    <row r="715" spans="1:36" x14ac:dyDescent="0.25">
      <c r="A715">
        <v>10714</v>
      </c>
      <c r="B715" t="s">
        <v>31</v>
      </c>
      <c r="C715" t="s">
        <v>32</v>
      </c>
      <c r="D715" t="s">
        <v>44</v>
      </c>
      <c r="E715" t="str">
        <f t="shared" si="143"/>
        <v>Emily Wilson is in Sales Department</v>
      </c>
      <c r="F715" s="6" t="str">
        <f t="shared" si="144"/>
        <v>emilywilson@gmail.com</v>
      </c>
      <c r="G715">
        <v>58016</v>
      </c>
      <c r="H715" t="str">
        <f t="shared" si="145"/>
        <v>Medium</v>
      </c>
      <c r="I715" s="3">
        <v>38683</v>
      </c>
      <c r="J715">
        <f t="shared" si="146"/>
        <v>2005</v>
      </c>
      <c r="K715">
        <f t="shared" si="147"/>
        <v>11</v>
      </c>
      <c r="L715">
        <f t="shared" si="148"/>
        <v>27</v>
      </c>
      <c r="M715" s="3">
        <f t="shared" ca="1" si="149"/>
        <v>46100</v>
      </c>
      <c r="N715">
        <f t="shared" ca="1" si="150"/>
        <v>7417</v>
      </c>
      <c r="O715">
        <f t="shared" ca="1" si="151"/>
        <v>7417</v>
      </c>
      <c r="P715">
        <f t="shared" ca="1" si="152"/>
        <v>5299</v>
      </c>
      <c r="Q715">
        <v>49</v>
      </c>
      <c r="R715" t="str">
        <f t="shared" si="153"/>
        <v>Old</v>
      </c>
      <c r="S715" t="s">
        <v>24</v>
      </c>
      <c r="T715">
        <v>1</v>
      </c>
      <c r="U715" t="s">
        <v>45</v>
      </c>
      <c r="V715">
        <v>9635.94</v>
      </c>
      <c r="W715" t="s">
        <v>46</v>
      </c>
      <c r="X715" t="s">
        <v>47</v>
      </c>
      <c r="Y715">
        <v>1</v>
      </c>
      <c r="Z715" t="str">
        <f t="shared" si="154"/>
        <v>Bad Employee</v>
      </c>
      <c r="AA715" t="b">
        <f t="shared" si="155"/>
        <v>0</v>
      </c>
      <c r="AB715" t="b">
        <f>OR(Y715&gt;20, T715&gt;6)</f>
        <v>0</v>
      </c>
      <c r="AC715" t="str">
        <f>IF(OR(Y715&gt;20,T715&gt;6), "Good employee", "Bad Employee")</f>
        <v>Bad Employee</v>
      </c>
      <c r="AD715" t="s">
        <v>41</v>
      </c>
      <c r="AE715" t="s">
        <v>62</v>
      </c>
      <c r="AF715">
        <v>9</v>
      </c>
      <c r="AG715">
        <v>2022</v>
      </c>
      <c r="AH715" t="s">
        <v>49</v>
      </c>
      <c r="AI715">
        <v>12</v>
      </c>
      <c r="AJ715">
        <v>1.7</v>
      </c>
    </row>
    <row r="716" spans="1:36" x14ac:dyDescent="0.25">
      <c r="A716">
        <v>10715</v>
      </c>
      <c r="B716" t="s">
        <v>53</v>
      </c>
      <c r="C716" t="s">
        <v>32</v>
      </c>
      <c r="D716" t="s">
        <v>44</v>
      </c>
      <c r="E716" t="str">
        <f t="shared" si="143"/>
        <v>Sarah Wilson is in Sales Department</v>
      </c>
      <c r="F716" s="6" t="str">
        <f t="shared" si="144"/>
        <v>sarahwilson@gmail.com</v>
      </c>
      <c r="G716">
        <v>48932</v>
      </c>
      <c r="H716" t="str">
        <f t="shared" si="145"/>
        <v>low</v>
      </c>
      <c r="I716" s="3">
        <v>41916</v>
      </c>
      <c r="J716">
        <f t="shared" si="146"/>
        <v>2014</v>
      </c>
      <c r="K716">
        <f t="shared" si="147"/>
        <v>10</v>
      </c>
      <c r="L716">
        <f t="shared" si="148"/>
        <v>4</v>
      </c>
      <c r="M716" s="3">
        <f t="shared" ca="1" si="149"/>
        <v>46100</v>
      </c>
      <c r="N716">
        <f t="shared" ca="1" si="150"/>
        <v>4184</v>
      </c>
      <c r="O716">
        <f t="shared" ca="1" si="151"/>
        <v>4184</v>
      </c>
      <c r="P716">
        <f t="shared" ca="1" si="152"/>
        <v>2989</v>
      </c>
      <c r="Q716">
        <v>59</v>
      </c>
      <c r="R716" t="str">
        <f t="shared" si="153"/>
        <v>Old</v>
      </c>
      <c r="S716" t="s">
        <v>34</v>
      </c>
      <c r="T716">
        <v>3</v>
      </c>
      <c r="U716" t="s">
        <v>25</v>
      </c>
      <c r="V716">
        <v>4054</v>
      </c>
      <c r="W716" t="s">
        <v>35</v>
      </c>
      <c r="X716" t="s">
        <v>36</v>
      </c>
      <c r="Y716">
        <v>28</v>
      </c>
      <c r="Z716" t="str">
        <f t="shared" si="154"/>
        <v>Bad Employee</v>
      </c>
      <c r="AA716" t="b">
        <f t="shared" si="155"/>
        <v>0</v>
      </c>
      <c r="AB716" t="b">
        <f>OR(Y716&gt;20, T716&gt;6)</f>
        <v>1</v>
      </c>
      <c r="AC716" t="str">
        <f>IF(OR(Y716&gt;20,T716&gt;6), "Good employee", "Bad Employee")</f>
        <v>Good employee</v>
      </c>
      <c r="AD716" t="s">
        <v>28</v>
      </c>
      <c r="AE716" t="s">
        <v>48</v>
      </c>
      <c r="AF716">
        <v>1</v>
      </c>
      <c r="AG716">
        <v>2011</v>
      </c>
      <c r="AH716" t="s">
        <v>43</v>
      </c>
      <c r="AI716">
        <v>67</v>
      </c>
      <c r="AJ716">
        <v>2.1</v>
      </c>
    </row>
    <row r="717" spans="1:36" x14ac:dyDescent="0.25">
      <c r="A717">
        <v>10716</v>
      </c>
      <c r="B717" t="s">
        <v>53</v>
      </c>
      <c r="C717" t="s">
        <v>63</v>
      </c>
      <c r="D717" t="s">
        <v>44</v>
      </c>
      <c r="E717" t="str">
        <f t="shared" si="143"/>
        <v>Sarah Miller is in Sales Department</v>
      </c>
      <c r="F717" s="6" t="str">
        <f t="shared" si="144"/>
        <v>sarahmiller@gmail.com</v>
      </c>
      <c r="G717">
        <v>74653</v>
      </c>
      <c r="H717" t="str">
        <f t="shared" si="145"/>
        <v>Medium</v>
      </c>
      <c r="I717" s="3">
        <v>39977</v>
      </c>
      <c r="J717">
        <f t="shared" si="146"/>
        <v>2009</v>
      </c>
      <c r="K717">
        <f t="shared" si="147"/>
        <v>6</v>
      </c>
      <c r="L717">
        <f t="shared" si="148"/>
        <v>13</v>
      </c>
      <c r="M717" s="3">
        <f t="shared" ca="1" si="149"/>
        <v>46100</v>
      </c>
      <c r="N717">
        <f t="shared" ca="1" si="150"/>
        <v>6123</v>
      </c>
      <c r="O717">
        <f t="shared" ca="1" si="151"/>
        <v>6123</v>
      </c>
      <c r="P717">
        <f t="shared" ca="1" si="152"/>
        <v>4374</v>
      </c>
      <c r="Q717">
        <v>25</v>
      </c>
      <c r="R717" t="str">
        <f t="shared" si="153"/>
        <v>Young</v>
      </c>
      <c r="S717" t="s">
        <v>24</v>
      </c>
      <c r="T717">
        <v>6</v>
      </c>
      <c r="U717" t="s">
        <v>45</v>
      </c>
      <c r="V717">
        <v>5655.87</v>
      </c>
      <c r="W717" t="s">
        <v>58</v>
      </c>
      <c r="X717" t="s">
        <v>36</v>
      </c>
      <c r="Y717">
        <v>36</v>
      </c>
      <c r="Z717" t="str">
        <f t="shared" si="154"/>
        <v>Bad Employee</v>
      </c>
      <c r="AA717" t="b">
        <f t="shared" si="155"/>
        <v>0</v>
      </c>
      <c r="AB717" t="b">
        <f>OR(Y717&gt;20, T717&gt;6)</f>
        <v>1</v>
      </c>
      <c r="AC717" t="str">
        <f>IF(OR(Y717&gt;20,T717&gt;6), "Good employee", "Bad Employee")</f>
        <v>Good employee</v>
      </c>
      <c r="AD717" t="s">
        <v>28</v>
      </c>
      <c r="AE717" t="s">
        <v>29</v>
      </c>
      <c r="AF717">
        <v>0</v>
      </c>
      <c r="AG717">
        <v>2018</v>
      </c>
      <c r="AH717" t="s">
        <v>30</v>
      </c>
      <c r="AI717">
        <v>124</v>
      </c>
      <c r="AJ717">
        <v>1.5</v>
      </c>
    </row>
    <row r="718" spans="1:36" x14ac:dyDescent="0.25">
      <c r="A718">
        <v>10717</v>
      </c>
      <c r="B718" t="s">
        <v>50</v>
      </c>
      <c r="C718" t="s">
        <v>57</v>
      </c>
      <c r="D718" t="s">
        <v>39</v>
      </c>
      <c r="E718" t="str">
        <f t="shared" si="143"/>
        <v>Alex Davis is in IT Department</v>
      </c>
      <c r="F718" s="6" t="str">
        <f t="shared" si="144"/>
        <v>alexdavis@gmail.com</v>
      </c>
      <c r="G718">
        <v>82802</v>
      </c>
      <c r="H718" t="str">
        <f t="shared" si="145"/>
        <v>High</v>
      </c>
      <c r="I718" s="3">
        <v>36825</v>
      </c>
      <c r="J718">
        <f t="shared" si="146"/>
        <v>2000</v>
      </c>
      <c r="K718">
        <f t="shared" si="147"/>
        <v>10</v>
      </c>
      <c r="L718">
        <f t="shared" si="148"/>
        <v>26</v>
      </c>
      <c r="M718" s="3">
        <f t="shared" ca="1" si="149"/>
        <v>46100</v>
      </c>
      <c r="N718">
        <f t="shared" ca="1" si="150"/>
        <v>9275</v>
      </c>
      <c r="O718">
        <f t="shared" ca="1" si="151"/>
        <v>9275</v>
      </c>
      <c r="P718">
        <f t="shared" ca="1" si="152"/>
        <v>6626</v>
      </c>
      <c r="Q718">
        <v>58</v>
      </c>
      <c r="R718" t="str">
        <f t="shared" si="153"/>
        <v>Old</v>
      </c>
      <c r="S718" t="s">
        <v>24</v>
      </c>
      <c r="T718">
        <v>1</v>
      </c>
      <c r="U718" t="s">
        <v>45</v>
      </c>
      <c r="V718">
        <v>8586.82</v>
      </c>
      <c r="W718" t="s">
        <v>46</v>
      </c>
      <c r="X718" t="s">
        <v>55</v>
      </c>
      <c r="Y718">
        <v>11</v>
      </c>
      <c r="Z718" t="str">
        <f t="shared" si="154"/>
        <v>Bad Employee</v>
      </c>
      <c r="AA718" t="b">
        <f t="shared" si="155"/>
        <v>0</v>
      </c>
      <c r="AB718" t="b">
        <f>OR(Y718&gt;20, T718&gt;6)</f>
        <v>0</v>
      </c>
      <c r="AC718" t="str">
        <f>IF(OR(Y718&gt;20,T718&gt;6), "Good employee", "Bad Employee")</f>
        <v>Bad Employee</v>
      </c>
      <c r="AD718" t="s">
        <v>28</v>
      </c>
      <c r="AE718" t="s">
        <v>37</v>
      </c>
      <c r="AF718">
        <v>19</v>
      </c>
      <c r="AG718">
        <v>2015</v>
      </c>
      <c r="AH718" t="s">
        <v>43</v>
      </c>
      <c r="AI718">
        <v>67</v>
      </c>
      <c r="AJ718">
        <v>2.1</v>
      </c>
    </row>
    <row r="719" spans="1:36" x14ac:dyDescent="0.25">
      <c r="A719">
        <v>10718</v>
      </c>
      <c r="B719" t="s">
        <v>31</v>
      </c>
      <c r="C719" t="s">
        <v>57</v>
      </c>
      <c r="D719" t="s">
        <v>52</v>
      </c>
      <c r="E719" t="str">
        <f t="shared" si="143"/>
        <v>Emily Davis is in Operations Department</v>
      </c>
      <c r="F719" s="6" t="str">
        <f t="shared" si="144"/>
        <v>emilydavis@gmail.com</v>
      </c>
      <c r="G719">
        <v>37549</v>
      </c>
      <c r="H719" t="str">
        <f t="shared" si="145"/>
        <v>extremely low</v>
      </c>
      <c r="I719" s="3">
        <v>40224</v>
      </c>
      <c r="J719">
        <f t="shared" si="146"/>
        <v>2010</v>
      </c>
      <c r="K719">
        <f t="shared" si="147"/>
        <v>2</v>
      </c>
      <c r="L719">
        <f t="shared" si="148"/>
        <v>15</v>
      </c>
      <c r="M719" s="3">
        <f t="shared" ca="1" si="149"/>
        <v>46100</v>
      </c>
      <c r="N719">
        <f t="shared" ca="1" si="150"/>
        <v>5876</v>
      </c>
      <c r="O719">
        <f t="shared" ca="1" si="151"/>
        <v>5876</v>
      </c>
      <c r="P719">
        <f t="shared" ca="1" si="152"/>
        <v>4199</v>
      </c>
      <c r="Q719">
        <v>40</v>
      </c>
      <c r="R719" t="str">
        <f t="shared" si="153"/>
        <v>Old</v>
      </c>
      <c r="S719" t="s">
        <v>34</v>
      </c>
      <c r="T719">
        <v>8</v>
      </c>
      <c r="U719" t="s">
        <v>25</v>
      </c>
      <c r="V719">
        <v>3672.99</v>
      </c>
      <c r="W719" t="s">
        <v>46</v>
      </c>
      <c r="X719" t="s">
        <v>36</v>
      </c>
      <c r="Y719">
        <v>4</v>
      </c>
      <c r="Z719" t="str">
        <f t="shared" si="154"/>
        <v>Bad Employee</v>
      </c>
      <c r="AA719" t="b">
        <f t="shared" si="155"/>
        <v>0</v>
      </c>
      <c r="AB719" t="b">
        <f>OR(Y719&gt;20, T719&gt;6)</f>
        <v>1</v>
      </c>
      <c r="AC719" t="str">
        <f>IF(OR(Y719&gt;20,T719&gt;6), "Good employee", "Bad Employee")</f>
        <v>Good employee</v>
      </c>
      <c r="AD719" t="s">
        <v>28</v>
      </c>
      <c r="AE719" t="s">
        <v>62</v>
      </c>
      <c r="AF719">
        <v>0</v>
      </c>
      <c r="AG719">
        <v>2012</v>
      </c>
      <c r="AH719" t="s">
        <v>43</v>
      </c>
      <c r="AI719">
        <v>10</v>
      </c>
      <c r="AJ719">
        <v>3</v>
      </c>
    </row>
    <row r="720" spans="1:36" x14ac:dyDescent="0.25">
      <c r="A720">
        <v>10719</v>
      </c>
      <c r="B720" t="s">
        <v>53</v>
      </c>
      <c r="C720" t="s">
        <v>51</v>
      </c>
      <c r="D720" t="s">
        <v>39</v>
      </c>
      <c r="E720" t="str">
        <f t="shared" si="143"/>
        <v>Sarah Brown is in IT Department</v>
      </c>
      <c r="F720" s="6" t="str">
        <f t="shared" si="144"/>
        <v>sarahbrown@gmail.com</v>
      </c>
      <c r="G720">
        <v>108933</v>
      </c>
      <c r="H720" t="str">
        <f t="shared" si="145"/>
        <v>High</v>
      </c>
      <c r="I720" s="3">
        <v>40579</v>
      </c>
      <c r="J720">
        <f t="shared" si="146"/>
        <v>2011</v>
      </c>
      <c r="K720">
        <f t="shared" si="147"/>
        <v>2</v>
      </c>
      <c r="L720">
        <f t="shared" si="148"/>
        <v>5</v>
      </c>
      <c r="M720" s="3">
        <f t="shared" ca="1" si="149"/>
        <v>46100</v>
      </c>
      <c r="N720">
        <f t="shared" ca="1" si="150"/>
        <v>5521</v>
      </c>
      <c r="O720">
        <f t="shared" ca="1" si="151"/>
        <v>5521</v>
      </c>
      <c r="P720">
        <f t="shared" ca="1" si="152"/>
        <v>3944</v>
      </c>
      <c r="Q720">
        <v>58</v>
      </c>
      <c r="R720" t="str">
        <f t="shared" si="153"/>
        <v>Old</v>
      </c>
      <c r="S720" t="s">
        <v>24</v>
      </c>
      <c r="T720">
        <v>6</v>
      </c>
      <c r="U720" t="s">
        <v>45</v>
      </c>
      <c r="V720">
        <v>1851.44</v>
      </c>
      <c r="W720" t="s">
        <v>46</v>
      </c>
      <c r="X720" t="s">
        <v>40</v>
      </c>
      <c r="Y720">
        <v>34</v>
      </c>
      <c r="Z720" t="str">
        <f t="shared" si="154"/>
        <v>Bad Employee</v>
      </c>
      <c r="AA720" t="b">
        <f t="shared" si="155"/>
        <v>0</v>
      </c>
      <c r="AB720" t="b">
        <f>OR(Y720&gt;20, T720&gt;6)</f>
        <v>1</v>
      </c>
      <c r="AC720" t="str">
        <f>IF(OR(Y720&gt;20,T720&gt;6), "Good employee", "Bad Employee")</f>
        <v>Good employee</v>
      </c>
      <c r="AD720" t="s">
        <v>28</v>
      </c>
      <c r="AE720" t="s">
        <v>42</v>
      </c>
      <c r="AF720">
        <v>3</v>
      </c>
      <c r="AG720">
        <v>2022</v>
      </c>
      <c r="AH720" t="s">
        <v>49</v>
      </c>
      <c r="AI720">
        <v>78</v>
      </c>
      <c r="AJ720">
        <v>4.3</v>
      </c>
    </row>
    <row r="721" spans="1:36" x14ac:dyDescent="0.25">
      <c r="A721">
        <v>10720</v>
      </c>
      <c r="B721" t="s">
        <v>31</v>
      </c>
      <c r="C721" t="s">
        <v>22</v>
      </c>
      <c r="D721" t="s">
        <v>54</v>
      </c>
      <c r="E721" t="str">
        <f t="shared" si="143"/>
        <v>Emily Williams is in Finance Department</v>
      </c>
      <c r="F721" s="6" t="str">
        <f t="shared" si="144"/>
        <v>emilywilliams@gmail.com</v>
      </c>
      <c r="G721">
        <v>55362</v>
      </c>
      <c r="H721" t="str">
        <f t="shared" si="145"/>
        <v>Medium</v>
      </c>
      <c r="I721" s="3">
        <v>43671</v>
      </c>
      <c r="J721">
        <f t="shared" si="146"/>
        <v>2019</v>
      </c>
      <c r="K721">
        <f t="shared" si="147"/>
        <v>7</v>
      </c>
      <c r="L721">
        <f t="shared" si="148"/>
        <v>25</v>
      </c>
      <c r="M721" s="3">
        <f t="shared" ca="1" si="149"/>
        <v>46100</v>
      </c>
      <c r="N721">
        <f t="shared" ca="1" si="150"/>
        <v>2429</v>
      </c>
      <c r="O721">
        <f t="shared" ca="1" si="151"/>
        <v>2429</v>
      </c>
      <c r="P721">
        <f t="shared" ca="1" si="152"/>
        <v>1736</v>
      </c>
      <c r="Q721">
        <v>35</v>
      </c>
      <c r="R721" t="str">
        <f t="shared" si="153"/>
        <v>Old</v>
      </c>
      <c r="S721" t="s">
        <v>34</v>
      </c>
      <c r="T721">
        <v>1</v>
      </c>
      <c r="U721" t="s">
        <v>25</v>
      </c>
      <c r="V721">
        <v>3177.88</v>
      </c>
      <c r="W721" t="s">
        <v>58</v>
      </c>
      <c r="X721" t="s">
        <v>47</v>
      </c>
      <c r="Y721">
        <v>1</v>
      </c>
      <c r="Z721" t="str">
        <f t="shared" si="154"/>
        <v>Bad Employee</v>
      </c>
      <c r="AA721" t="b">
        <f t="shared" si="155"/>
        <v>0</v>
      </c>
      <c r="AB721" t="b">
        <f>OR(Y721&gt;20, T721&gt;6)</f>
        <v>0</v>
      </c>
      <c r="AC721" t="str">
        <f>IF(OR(Y721&gt;20,T721&gt;6), "Good employee", "Bad Employee")</f>
        <v>Bad Employee</v>
      </c>
      <c r="AD721" t="s">
        <v>28</v>
      </c>
      <c r="AE721" t="s">
        <v>62</v>
      </c>
      <c r="AF721">
        <v>14</v>
      </c>
      <c r="AG721">
        <v>2023</v>
      </c>
      <c r="AH721" t="s">
        <v>30</v>
      </c>
      <c r="AI721">
        <v>56</v>
      </c>
      <c r="AJ721">
        <v>3.1</v>
      </c>
    </row>
    <row r="722" spans="1:36" x14ac:dyDescent="0.25">
      <c r="A722">
        <v>10721</v>
      </c>
      <c r="B722" t="s">
        <v>60</v>
      </c>
      <c r="C722" t="s">
        <v>22</v>
      </c>
      <c r="D722" t="s">
        <v>23</v>
      </c>
      <c r="E722" t="str">
        <f t="shared" si="143"/>
        <v>Jane Williams is in HR Department</v>
      </c>
      <c r="F722" s="6" t="str">
        <f t="shared" si="144"/>
        <v>janewilliams@gmail.com</v>
      </c>
      <c r="G722">
        <v>77842</v>
      </c>
      <c r="H722" t="str">
        <f t="shared" si="145"/>
        <v>Medium</v>
      </c>
      <c r="I722" s="3">
        <v>42387</v>
      </c>
      <c r="J722">
        <f t="shared" si="146"/>
        <v>2016</v>
      </c>
      <c r="K722">
        <f t="shared" si="147"/>
        <v>1</v>
      </c>
      <c r="L722">
        <f t="shared" si="148"/>
        <v>18</v>
      </c>
      <c r="M722" s="3">
        <f t="shared" ca="1" si="149"/>
        <v>46100</v>
      </c>
      <c r="N722">
        <f t="shared" ca="1" si="150"/>
        <v>3713</v>
      </c>
      <c r="O722">
        <f t="shared" ca="1" si="151"/>
        <v>3713</v>
      </c>
      <c r="P722">
        <f t="shared" ca="1" si="152"/>
        <v>2654</v>
      </c>
      <c r="Q722">
        <v>52</v>
      </c>
      <c r="R722" t="str">
        <f t="shared" si="153"/>
        <v>Old</v>
      </c>
      <c r="S722" t="s">
        <v>34</v>
      </c>
      <c r="T722">
        <v>2</v>
      </c>
      <c r="U722" t="s">
        <v>45</v>
      </c>
      <c r="V722">
        <v>9041.67</v>
      </c>
      <c r="W722" t="s">
        <v>58</v>
      </c>
      <c r="X722" t="s">
        <v>40</v>
      </c>
      <c r="Y722">
        <v>10</v>
      </c>
      <c r="Z722" t="str">
        <f t="shared" si="154"/>
        <v>Bad Employee</v>
      </c>
      <c r="AA722" t="b">
        <f t="shared" si="155"/>
        <v>0</v>
      </c>
      <c r="AB722" t="b">
        <f>OR(Y722&gt;20, T722&gt;6)</f>
        <v>0</v>
      </c>
      <c r="AC722" t="str">
        <f>IF(OR(Y722&gt;20,T722&gt;6), "Good employee", "Bad Employee")</f>
        <v>Bad Employee</v>
      </c>
      <c r="AD722" t="s">
        <v>28</v>
      </c>
      <c r="AE722" t="s">
        <v>59</v>
      </c>
      <c r="AF722">
        <v>14</v>
      </c>
      <c r="AG722">
        <v>2019</v>
      </c>
      <c r="AH722" t="s">
        <v>49</v>
      </c>
      <c r="AI722">
        <v>25</v>
      </c>
      <c r="AJ722">
        <v>2</v>
      </c>
    </row>
    <row r="723" spans="1:36" x14ac:dyDescent="0.25">
      <c r="A723">
        <v>10722</v>
      </c>
      <c r="B723" t="s">
        <v>50</v>
      </c>
      <c r="C723" t="s">
        <v>63</v>
      </c>
      <c r="D723" t="s">
        <v>44</v>
      </c>
      <c r="E723" t="str">
        <f t="shared" si="143"/>
        <v>Alex Miller is in Sales Department</v>
      </c>
      <c r="F723" s="6" t="str">
        <f t="shared" si="144"/>
        <v>alexmiller@gmail.com</v>
      </c>
      <c r="G723">
        <v>76539</v>
      </c>
      <c r="H723" t="str">
        <f t="shared" si="145"/>
        <v>Medium</v>
      </c>
      <c r="I723" s="3">
        <v>41385</v>
      </c>
      <c r="J723">
        <f t="shared" si="146"/>
        <v>2013</v>
      </c>
      <c r="K723">
        <f t="shared" si="147"/>
        <v>4</v>
      </c>
      <c r="L723">
        <f t="shared" si="148"/>
        <v>21</v>
      </c>
      <c r="M723" s="3">
        <f t="shared" ca="1" si="149"/>
        <v>46100</v>
      </c>
      <c r="N723">
        <f t="shared" ca="1" si="150"/>
        <v>4715</v>
      </c>
      <c r="O723">
        <f t="shared" ca="1" si="151"/>
        <v>4715</v>
      </c>
      <c r="P723">
        <f t="shared" ca="1" si="152"/>
        <v>3369</v>
      </c>
      <c r="Q723">
        <v>49</v>
      </c>
      <c r="R723" t="str">
        <f t="shared" si="153"/>
        <v>Old</v>
      </c>
      <c r="S723" t="s">
        <v>34</v>
      </c>
      <c r="T723">
        <v>6</v>
      </c>
      <c r="U723" t="s">
        <v>25</v>
      </c>
      <c r="V723">
        <v>2014.23</v>
      </c>
      <c r="W723" t="s">
        <v>26</v>
      </c>
      <c r="X723" t="s">
        <v>55</v>
      </c>
      <c r="Y723">
        <v>17</v>
      </c>
      <c r="Z723" t="str">
        <f t="shared" si="154"/>
        <v>Bad Employee</v>
      </c>
      <c r="AA723" t="b">
        <f t="shared" si="155"/>
        <v>0</v>
      </c>
      <c r="AB723" t="b">
        <f>OR(Y723&gt;20, T723&gt;6)</f>
        <v>0</v>
      </c>
      <c r="AC723" t="str">
        <f>IF(OR(Y723&gt;20,T723&gt;6), "Good employee", "Bad Employee")</f>
        <v>Bad Employee</v>
      </c>
      <c r="AD723" t="s">
        <v>28</v>
      </c>
      <c r="AE723" t="s">
        <v>42</v>
      </c>
      <c r="AF723">
        <v>5</v>
      </c>
      <c r="AG723">
        <v>2020</v>
      </c>
      <c r="AH723" t="s">
        <v>43</v>
      </c>
      <c r="AI723">
        <v>146</v>
      </c>
      <c r="AJ723">
        <v>1.2</v>
      </c>
    </row>
    <row r="724" spans="1:36" x14ac:dyDescent="0.25">
      <c r="A724">
        <v>10723</v>
      </c>
      <c r="B724" t="s">
        <v>31</v>
      </c>
      <c r="C724" t="s">
        <v>32</v>
      </c>
      <c r="D724" t="s">
        <v>52</v>
      </c>
      <c r="E724" t="str">
        <f t="shared" si="143"/>
        <v>Emily Wilson is in Operations Department</v>
      </c>
      <c r="F724" s="6" t="str">
        <f t="shared" si="144"/>
        <v>emilywilson@gmail.com</v>
      </c>
      <c r="G724">
        <v>63717</v>
      </c>
      <c r="H724" t="str">
        <f t="shared" si="145"/>
        <v>Medium</v>
      </c>
      <c r="I724" s="3">
        <v>36774</v>
      </c>
      <c r="J724">
        <f t="shared" si="146"/>
        <v>2000</v>
      </c>
      <c r="K724">
        <f t="shared" si="147"/>
        <v>9</v>
      </c>
      <c r="L724">
        <f t="shared" si="148"/>
        <v>5</v>
      </c>
      <c r="M724" s="3">
        <f t="shared" ca="1" si="149"/>
        <v>46100</v>
      </c>
      <c r="N724">
        <f t="shared" ca="1" si="150"/>
        <v>9326</v>
      </c>
      <c r="O724">
        <f t="shared" ca="1" si="151"/>
        <v>9326</v>
      </c>
      <c r="P724">
        <f t="shared" ca="1" si="152"/>
        <v>6663</v>
      </c>
      <c r="Q724">
        <v>57</v>
      </c>
      <c r="R724" t="str">
        <f t="shared" si="153"/>
        <v>Old</v>
      </c>
      <c r="S724" t="s">
        <v>24</v>
      </c>
      <c r="T724">
        <v>8</v>
      </c>
      <c r="U724" t="s">
        <v>25</v>
      </c>
      <c r="V724">
        <v>3627.6</v>
      </c>
      <c r="W724" t="s">
        <v>35</v>
      </c>
      <c r="X724" t="s">
        <v>40</v>
      </c>
      <c r="Y724">
        <v>7</v>
      </c>
      <c r="Z724" t="str">
        <f t="shared" si="154"/>
        <v>Bad Employee</v>
      </c>
      <c r="AA724" t="b">
        <f t="shared" si="155"/>
        <v>0</v>
      </c>
      <c r="AB724" t="b">
        <f>OR(Y724&gt;20, T724&gt;6)</f>
        <v>1</v>
      </c>
      <c r="AC724" t="str">
        <f>IF(OR(Y724&gt;20,T724&gt;6), "Good employee", "Bad Employee")</f>
        <v>Good employee</v>
      </c>
      <c r="AD724" t="s">
        <v>28</v>
      </c>
      <c r="AE724" t="s">
        <v>29</v>
      </c>
      <c r="AF724">
        <v>5</v>
      </c>
      <c r="AG724">
        <v>2014</v>
      </c>
      <c r="AH724" t="s">
        <v>30</v>
      </c>
      <c r="AI724">
        <v>120</v>
      </c>
      <c r="AJ724">
        <v>3.5</v>
      </c>
    </row>
    <row r="725" spans="1:36" x14ac:dyDescent="0.25">
      <c r="A725">
        <v>10724</v>
      </c>
      <c r="B725" t="s">
        <v>66</v>
      </c>
      <c r="C725" t="s">
        <v>51</v>
      </c>
      <c r="D725" t="s">
        <v>44</v>
      </c>
      <c r="E725" t="str">
        <f t="shared" si="143"/>
        <v>John Brown is in Sales Department</v>
      </c>
      <c r="F725" s="6" t="str">
        <f t="shared" si="144"/>
        <v>johnbrown@gmail.com</v>
      </c>
      <c r="G725">
        <v>84596</v>
      </c>
      <c r="H725" t="str">
        <f t="shared" si="145"/>
        <v>High</v>
      </c>
      <c r="I725" s="3">
        <v>39094</v>
      </c>
      <c r="J725">
        <f t="shared" si="146"/>
        <v>2007</v>
      </c>
      <c r="K725">
        <f t="shared" si="147"/>
        <v>1</v>
      </c>
      <c r="L725">
        <f t="shared" si="148"/>
        <v>12</v>
      </c>
      <c r="M725" s="3">
        <f t="shared" ca="1" si="149"/>
        <v>46100</v>
      </c>
      <c r="N725">
        <f t="shared" ca="1" si="150"/>
        <v>7006</v>
      </c>
      <c r="O725">
        <f t="shared" ca="1" si="151"/>
        <v>7006</v>
      </c>
      <c r="P725">
        <f t="shared" ca="1" si="152"/>
        <v>5005</v>
      </c>
      <c r="Q725">
        <v>59</v>
      </c>
      <c r="R725" t="str">
        <f t="shared" si="153"/>
        <v>Old</v>
      </c>
      <c r="S725" t="s">
        <v>34</v>
      </c>
      <c r="T725">
        <v>5</v>
      </c>
      <c r="U725" t="s">
        <v>25</v>
      </c>
      <c r="V725">
        <v>4914.08</v>
      </c>
      <c r="W725" t="s">
        <v>26</v>
      </c>
      <c r="X725" t="s">
        <v>40</v>
      </c>
      <c r="Y725">
        <v>39</v>
      </c>
      <c r="Z725" t="str">
        <f t="shared" si="154"/>
        <v>Bad Employee</v>
      </c>
      <c r="AA725" t="b">
        <f t="shared" si="155"/>
        <v>0</v>
      </c>
      <c r="AB725" t="b">
        <f>OR(Y725&gt;20, T725&gt;6)</f>
        <v>1</v>
      </c>
      <c r="AC725" t="str">
        <f>IF(OR(Y725&gt;20,T725&gt;6), "Good employee", "Bad Employee")</f>
        <v>Good employee</v>
      </c>
      <c r="AD725" t="s">
        <v>28</v>
      </c>
      <c r="AE725" t="s">
        <v>42</v>
      </c>
      <c r="AF725">
        <v>0</v>
      </c>
      <c r="AG725">
        <v>2015</v>
      </c>
      <c r="AH725" t="s">
        <v>43</v>
      </c>
      <c r="AI725">
        <v>62</v>
      </c>
      <c r="AJ725">
        <v>2.7</v>
      </c>
    </row>
    <row r="726" spans="1:36" x14ac:dyDescent="0.25">
      <c r="A726">
        <v>10725</v>
      </c>
      <c r="B726" t="s">
        <v>66</v>
      </c>
      <c r="C726" t="s">
        <v>51</v>
      </c>
      <c r="D726" t="s">
        <v>39</v>
      </c>
      <c r="E726" t="str">
        <f t="shared" si="143"/>
        <v>John Brown is in IT Department</v>
      </c>
      <c r="F726" s="6" t="str">
        <f t="shared" si="144"/>
        <v>johnbrown@gmail.com</v>
      </c>
      <c r="G726">
        <v>53016</v>
      </c>
      <c r="H726" t="str">
        <f t="shared" si="145"/>
        <v>Medium</v>
      </c>
      <c r="I726" s="3">
        <v>40655</v>
      </c>
      <c r="J726">
        <f t="shared" si="146"/>
        <v>2011</v>
      </c>
      <c r="K726">
        <f t="shared" si="147"/>
        <v>4</v>
      </c>
      <c r="L726">
        <f t="shared" si="148"/>
        <v>22</v>
      </c>
      <c r="M726" s="3">
        <f t="shared" ca="1" si="149"/>
        <v>46100</v>
      </c>
      <c r="N726">
        <f t="shared" ca="1" si="150"/>
        <v>5445</v>
      </c>
      <c r="O726">
        <f t="shared" ca="1" si="151"/>
        <v>5445</v>
      </c>
      <c r="P726">
        <f t="shared" ca="1" si="152"/>
        <v>3890</v>
      </c>
      <c r="Q726">
        <v>40</v>
      </c>
      <c r="R726" t="str">
        <f t="shared" si="153"/>
        <v>Old</v>
      </c>
      <c r="S726" t="s">
        <v>24</v>
      </c>
      <c r="T726">
        <v>1</v>
      </c>
      <c r="U726" t="s">
        <v>25</v>
      </c>
      <c r="V726">
        <v>8547.58</v>
      </c>
      <c r="W726" t="s">
        <v>35</v>
      </c>
      <c r="X726" t="s">
        <v>47</v>
      </c>
      <c r="Y726">
        <v>13</v>
      </c>
      <c r="Z726" t="str">
        <f t="shared" si="154"/>
        <v>Bad Employee</v>
      </c>
      <c r="AA726" t="b">
        <f t="shared" si="155"/>
        <v>0</v>
      </c>
      <c r="AB726" t="b">
        <f>OR(Y726&gt;20, T726&gt;6)</f>
        <v>0</v>
      </c>
      <c r="AC726" t="str">
        <f>IF(OR(Y726&gt;20,T726&gt;6), "Good employee", "Bad Employee")</f>
        <v>Bad Employee</v>
      </c>
      <c r="AD726" t="s">
        <v>41</v>
      </c>
      <c r="AE726" t="s">
        <v>42</v>
      </c>
      <c r="AF726">
        <v>6</v>
      </c>
      <c r="AG726">
        <v>2018</v>
      </c>
      <c r="AH726" t="s">
        <v>43</v>
      </c>
      <c r="AI726">
        <v>157</v>
      </c>
      <c r="AJ726">
        <v>4.9000000000000004</v>
      </c>
    </row>
    <row r="727" spans="1:36" x14ac:dyDescent="0.25">
      <c r="A727">
        <v>10726</v>
      </c>
      <c r="B727" t="s">
        <v>38</v>
      </c>
      <c r="C727" t="s">
        <v>51</v>
      </c>
      <c r="D727" t="s">
        <v>33</v>
      </c>
      <c r="E727" t="str">
        <f t="shared" si="143"/>
        <v>Chris Brown is in Marketing Department</v>
      </c>
      <c r="F727" s="6" t="str">
        <f t="shared" si="144"/>
        <v>chrisbrown@gmail.com</v>
      </c>
      <c r="G727">
        <v>85200</v>
      </c>
      <c r="H727" t="str">
        <f t="shared" si="145"/>
        <v>High</v>
      </c>
      <c r="I727" s="3">
        <v>40849</v>
      </c>
      <c r="J727">
        <f t="shared" si="146"/>
        <v>2011</v>
      </c>
      <c r="K727">
        <f t="shared" si="147"/>
        <v>11</v>
      </c>
      <c r="L727">
        <f t="shared" si="148"/>
        <v>2</v>
      </c>
      <c r="M727" s="3">
        <f t="shared" ca="1" si="149"/>
        <v>46100</v>
      </c>
      <c r="N727">
        <f t="shared" ca="1" si="150"/>
        <v>5251</v>
      </c>
      <c r="O727">
        <f t="shared" ca="1" si="151"/>
        <v>5251</v>
      </c>
      <c r="P727">
        <f t="shared" ca="1" si="152"/>
        <v>3752</v>
      </c>
      <c r="Q727">
        <v>63</v>
      </c>
      <c r="R727" t="str">
        <f t="shared" si="153"/>
        <v>Old</v>
      </c>
      <c r="S727" t="s">
        <v>34</v>
      </c>
      <c r="T727">
        <v>2</v>
      </c>
      <c r="U727" t="s">
        <v>45</v>
      </c>
      <c r="V727">
        <v>9408.2800000000007</v>
      </c>
      <c r="W727" t="s">
        <v>58</v>
      </c>
      <c r="X727" t="s">
        <v>47</v>
      </c>
      <c r="Y727">
        <v>22</v>
      </c>
      <c r="Z727" t="str">
        <f t="shared" si="154"/>
        <v>Bad Employee</v>
      </c>
      <c r="AA727" t="b">
        <f t="shared" si="155"/>
        <v>0</v>
      </c>
      <c r="AB727" t="b">
        <f>OR(Y727&gt;20, T727&gt;6)</f>
        <v>1</v>
      </c>
      <c r="AC727" t="str">
        <f>IF(OR(Y727&gt;20,T727&gt;6), "Good employee", "Bad Employee")</f>
        <v>Good employee</v>
      </c>
      <c r="AD727" t="s">
        <v>56</v>
      </c>
      <c r="AE727" t="s">
        <v>62</v>
      </c>
      <c r="AF727">
        <v>4</v>
      </c>
      <c r="AG727">
        <v>2014</v>
      </c>
      <c r="AH727" t="s">
        <v>43</v>
      </c>
      <c r="AI727">
        <v>60</v>
      </c>
      <c r="AJ727">
        <v>4.0999999999999996</v>
      </c>
    </row>
    <row r="728" spans="1:36" x14ac:dyDescent="0.25">
      <c r="A728">
        <v>10727</v>
      </c>
      <c r="B728" t="s">
        <v>50</v>
      </c>
      <c r="C728" t="s">
        <v>63</v>
      </c>
      <c r="D728" t="s">
        <v>54</v>
      </c>
      <c r="E728" t="str">
        <f t="shared" si="143"/>
        <v>Alex Miller is in Finance Department</v>
      </c>
      <c r="F728" s="6" t="str">
        <f t="shared" si="144"/>
        <v>alexmiller@gmail.com</v>
      </c>
      <c r="G728">
        <v>110268</v>
      </c>
      <c r="H728" t="str">
        <f t="shared" si="145"/>
        <v>High</v>
      </c>
      <c r="I728" s="3">
        <v>41206</v>
      </c>
      <c r="J728">
        <f t="shared" si="146"/>
        <v>2012</v>
      </c>
      <c r="K728">
        <f t="shared" si="147"/>
        <v>10</v>
      </c>
      <c r="L728">
        <f t="shared" si="148"/>
        <v>24</v>
      </c>
      <c r="M728" s="3">
        <f t="shared" ca="1" si="149"/>
        <v>46100</v>
      </c>
      <c r="N728">
        <f t="shared" ca="1" si="150"/>
        <v>4894</v>
      </c>
      <c r="O728">
        <f t="shared" ca="1" si="151"/>
        <v>4894</v>
      </c>
      <c r="P728">
        <f t="shared" ca="1" si="152"/>
        <v>3497</v>
      </c>
      <c r="Q728">
        <v>22</v>
      </c>
      <c r="R728" t="str">
        <f t="shared" si="153"/>
        <v>Young</v>
      </c>
      <c r="S728" t="s">
        <v>34</v>
      </c>
      <c r="T728">
        <v>4</v>
      </c>
      <c r="U728" t="s">
        <v>25</v>
      </c>
      <c r="V728">
        <v>4545.2</v>
      </c>
      <c r="W728" t="s">
        <v>46</v>
      </c>
      <c r="X728" t="s">
        <v>27</v>
      </c>
      <c r="Y728">
        <v>1</v>
      </c>
      <c r="Z728" t="str">
        <f t="shared" si="154"/>
        <v>Bad Employee</v>
      </c>
      <c r="AA728" t="b">
        <f t="shared" si="155"/>
        <v>0</v>
      </c>
      <c r="AB728" t="b">
        <f>OR(Y728&gt;20, T728&gt;6)</f>
        <v>0</v>
      </c>
      <c r="AC728" t="str">
        <f>IF(OR(Y728&gt;20,T728&gt;6), "Good employee", "Bad Employee")</f>
        <v>Bad Employee</v>
      </c>
      <c r="AD728" t="s">
        <v>41</v>
      </c>
      <c r="AE728" t="s">
        <v>42</v>
      </c>
      <c r="AF728">
        <v>16</v>
      </c>
      <c r="AG728">
        <v>2018</v>
      </c>
      <c r="AH728" t="s">
        <v>30</v>
      </c>
      <c r="AI728">
        <v>87</v>
      </c>
      <c r="AJ728">
        <v>4.2</v>
      </c>
    </row>
    <row r="729" spans="1:36" x14ac:dyDescent="0.25">
      <c r="A729">
        <v>10728</v>
      </c>
      <c r="B729" t="s">
        <v>50</v>
      </c>
      <c r="C729" t="s">
        <v>22</v>
      </c>
      <c r="D729" t="s">
        <v>23</v>
      </c>
      <c r="E729" t="str">
        <f t="shared" si="143"/>
        <v>Alex Williams is in HR Department</v>
      </c>
      <c r="F729" s="6" t="str">
        <f t="shared" si="144"/>
        <v>alexwilliams@gmail.com</v>
      </c>
      <c r="G729">
        <v>90287</v>
      </c>
      <c r="H729" t="str">
        <f t="shared" si="145"/>
        <v>High</v>
      </c>
      <c r="I729" s="3">
        <v>43627</v>
      </c>
      <c r="J729">
        <f t="shared" si="146"/>
        <v>2019</v>
      </c>
      <c r="K729">
        <f t="shared" si="147"/>
        <v>6</v>
      </c>
      <c r="L729">
        <f t="shared" si="148"/>
        <v>11</v>
      </c>
      <c r="M729" s="3">
        <f t="shared" ca="1" si="149"/>
        <v>46100</v>
      </c>
      <c r="N729">
        <f t="shared" ca="1" si="150"/>
        <v>2473</v>
      </c>
      <c r="O729">
        <f t="shared" ca="1" si="151"/>
        <v>2473</v>
      </c>
      <c r="P729">
        <f t="shared" ca="1" si="152"/>
        <v>1768</v>
      </c>
      <c r="Q729">
        <v>44</v>
      </c>
      <c r="R729" t="str">
        <f t="shared" si="153"/>
        <v>Old</v>
      </c>
      <c r="S729" t="s">
        <v>34</v>
      </c>
      <c r="T729">
        <v>4</v>
      </c>
      <c r="U729" t="s">
        <v>25</v>
      </c>
      <c r="V729">
        <v>9353.56</v>
      </c>
      <c r="W729" t="s">
        <v>26</v>
      </c>
      <c r="X729" t="s">
        <v>40</v>
      </c>
      <c r="Y729">
        <v>28</v>
      </c>
      <c r="Z729" t="str">
        <f t="shared" si="154"/>
        <v>Bad Employee</v>
      </c>
      <c r="AA729" t="b">
        <f t="shared" si="155"/>
        <v>0</v>
      </c>
      <c r="AB729" t="b">
        <f>OR(Y729&gt;20, T729&gt;6)</f>
        <v>1</v>
      </c>
      <c r="AC729" t="str">
        <f>IF(OR(Y729&gt;20,T729&gt;6), "Good employee", "Bad Employee")</f>
        <v>Good employee</v>
      </c>
      <c r="AD729" t="s">
        <v>56</v>
      </c>
      <c r="AE729" t="s">
        <v>48</v>
      </c>
      <c r="AF729">
        <v>6</v>
      </c>
      <c r="AG729">
        <v>2010</v>
      </c>
      <c r="AH729" t="s">
        <v>43</v>
      </c>
      <c r="AI729">
        <v>13</v>
      </c>
      <c r="AJ729">
        <v>1</v>
      </c>
    </row>
    <row r="730" spans="1:36" x14ac:dyDescent="0.25">
      <c r="A730">
        <v>10729</v>
      </c>
      <c r="B730" t="s">
        <v>38</v>
      </c>
      <c r="C730" t="s">
        <v>32</v>
      </c>
      <c r="D730" t="s">
        <v>54</v>
      </c>
      <c r="E730" t="str">
        <f t="shared" si="143"/>
        <v>Chris Wilson is in Finance Department</v>
      </c>
      <c r="F730" s="6" t="str">
        <f t="shared" si="144"/>
        <v>chriswilson@gmail.com</v>
      </c>
      <c r="G730">
        <v>113402</v>
      </c>
      <c r="H730" t="str">
        <f t="shared" si="145"/>
        <v>High</v>
      </c>
      <c r="I730" s="3">
        <v>39386</v>
      </c>
      <c r="J730">
        <f t="shared" si="146"/>
        <v>2007</v>
      </c>
      <c r="K730">
        <f t="shared" si="147"/>
        <v>10</v>
      </c>
      <c r="L730">
        <f t="shared" si="148"/>
        <v>31</v>
      </c>
      <c r="M730" s="3">
        <f t="shared" ca="1" si="149"/>
        <v>46100</v>
      </c>
      <c r="N730">
        <f t="shared" ca="1" si="150"/>
        <v>6714</v>
      </c>
      <c r="O730">
        <f t="shared" ca="1" si="151"/>
        <v>6714</v>
      </c>
      <c r="P730">
        <f t="shared" ca="1" si="152"/>
        <v>4797</v>
      </c>
      <c r="Q730">
        <v>49</v>
      </c>
      <c r="R730" t="str">
        <f t="shared" si="153"/>
        <v>Old</v>
      </c>
      <c r="S730" t="s">
        <v>34</v>
      </c>
      <c r="T730">
        <v>7</v>
      </c>
      <c r="U730" t="s">
        <v>45</v>
      </c>
      <c r="V730">
        <v>2033.86</v>
      </c>
      <c r="W730" t="s">
        <v>58</v>
      </c>
      <c r="X730" t="s">
        <v>47</v>
      </c>
      <c r="Y730">
        <v>33</v>
      </c>
      <c r="Z730" t="str">
        <f t="shared" si="154"/>
        <v>Good Employee</v>
      </c>
      <c r="AA730" t="b">
        <f t="shared" si="155"/>
        <v>1</v>
      </c>
      <c r="AB730" t="b">
        <f>OR(Y730&gt;20, T730&gt;6)</f>
        <v>1</v>
      </c>
      <c r="AC730" t="str">
        <f>IF(OR(Y730&gt;20,T730&gt;6), "Good employee", "Bad Employee")</f>
        <v>Good employee</v>
      </c>
      <c r="AD730" t="s">
        <v>41</v>
      </c>
      <c r="AE730" t="s">
        <v>37</v>
      </c>
      <c r="AF730">
        <v>3</v>
      </c>
      <c r="AG730">
        <v>2021</v>
      </c>
      <c r="AH730" t="s">
        <v>30</v>
      </c>
      <c r="AI730">
        <v>168</v>
      </c>
      <c r="AJ730">
        <v>4.0999999999999996</v>
      </c>
    </row>
    <row r="731" spans="1:36" x14ac:dyDescent="0.25">
      <c r="A731">
        <v>10730</v>
      </c>
      <c r="B731" t="s">
        <v>31</v>
      </c>
      <c r="C731" t="s">
        <v>51</v>
      </c>
      <c r="D731" t="s">
        <v>33</v>
      </c>
      <c r="E731" t="str">
        <f t="shared" si="143"/>
        <v>Emily Brown is in Marketing Department</v>
      </c>
      <c r="F731" s="6" t="str">
        <f t="shared" si="144"/>
        <v>emilybrown@gmail.com</v>
      </c>
      <c r="G731">
        <v>72607</v>
      </c>
      <c r="H731" t="str">
        <f t="shared" si="145"/>
        <v>Medium</v>
      </c>
      <c r="I731" s="3">
        <v>37249</v>
      </c>
      <c r="J731">
        <f t="shared" si="146"/>
        <v>2001</v>
      </c>
      <c r="K731">
        <f t="shared" si="147"/>
        <v>12</v>
      </c>
      <c r="L731">
        <f t="shared" si="148"/>
        <v>24</v>
      </c>
      <c r="M731" s="3">
        <f t="shared" ca="1" si="149"/>
        <v>46100</v>
      </c>
      <c r="N731">
        <f t="shared" ca="1" si="150"/>
        <v>8851</v>
      </c>
      <c r="O731">
        <f t="shared" ca="1" si="151"/>
        <v>8851</v>
      </c>
      <c r="P731">
        <f t="shared" ca="1" si="152"/>
        <v>6324</v>
      </c>
      <c r="Q731">
        <v>25</v>
      </c>
      <c r="R731" t="str">
        <f t="shared" si="153"/>
        <v>Young</v>
      </c>
      <c r="S731" t="s">
        <v>24</v>
      </c>
      <c r="T731">
        <v>2</v>
      </c>
      <c r="U731" t="s">
        <v>45</v>
      </c>
      <c r="V731">
        <v>1990.1</v>
      </c>
      <c r="W731" t="s">
        <v>58</v>
      </c>
      <c r="X731" t="s">
        <v>40</v>
      </c>
      <c r="Y731">
        <v>13</v>
      </c>
      <c r="Z731" t="str">
        <f t="shared" si="154"/>
        <v>Bad Employee</v>
      </c>
      <c r="AA731" t="b">
        <f t="shared" si="155"/>
        <v>0</v>
      </c>
      <c r="AB731" t="b">
        <f>OR(Y731&gt;20, T731&gt;6)</f>
        <v>0</v>
      </c>
      <c r="AC731" t="str">
        <f>IF(OR(Y731&gt;20,T731&gt;6), "Good employee", "Bad Employee")</f>
        <v>Bad Employee</v>
      </c>
      <c r="AD731" t="s">
        <v>56</v>
      </c>
      <c r="AE731" t="s">
        <v>42</v>
      </c>
      <c r="AF731">
        <v>2</v>
      </c>
      <c r="AG731">
        <v>2019</v>
      </c>
      <c r="AH731" t="s">
        <v>43</v>
      </c>
      <c r="AI731">
        <v>189</v>
      </c>
      <c r="AJ731">
        <v>1.8</v>
      </c>
    </row>
    <row r="732" spans="1:36" x14ac:dyDescent="0.25">
      <c r="A732">
        <v>10731</v>
      </c>
      <c r="B732" t="s">
        <v>50</v>
      </c>
      <c r="C732" t="s">
        <v>32</v>
      </c>
      <c r="D732" t="s">
        <v>23</v>
      </c>
      <c r="E732" t="str">
        <f t="shared" si="143"/>
        <v>Alex Wilson is in HR Department</v>
      </c>
      <c r="F732" s="6" t="str">
        <f t="shared" si="144"/>
        <v>alexwilson@gmail.com</v>
      </c>
      <c r="G732">
        <v>57621</v>
      </c>
      <c r="H732" t="str">
        <f t="shared" si="145"/>
        <v>Medium</v>
      </c>
      <c r="I732" s="3">
        <v>43253</v>
      </c>
      <c r="J732">
        <f t="shared" si="146"/>
        <v>2018</v>
      </c>
      <c r="K732">
        <f t="shared" si="147"/>
        <v>6</v>
      </c>
      <c r="L732">
        <f t="shared" si="148"/>
        <v>2</v>
      </c>
      <c r="M732" s="3">
        <f t="shared" ca="1" si="149"/>
        <v>46100</v>
      </c>
      <c r="N732">
        <f t="shared" ca="1" si="150"/>
        <v>2847</v>
      </c>
      <c r="O732">
        <f t="shared" ca="1" si="151"/>
        <v>2847</v>
      </c>
      <c r="P732">
        <f t="shared" ca="1" si="152"/>
        <v>2034</v>
      </c>
      <c r="Q732">
        <v>62</v>
      </c>
      <c r="R732" t="str">
        <f t="shared" si="153"/>
        <v>Old</v>
      </c>
      <c r="S732" t="s">
        <v>24</v>
      </c>
      <c r="T732">
        <v>7</v>
      </c>
      <c r="U732" t="s">
        <v>25</v>
      </c>
      <c r="V732">
        <v>9517.8799999999992</v>
      </c>
      <c r="W732" t="s">
        <v>58</v>
      </c>
      <c r="X732" t="s">
        <v>40</v>
      </c>
      <c r="Y732">
        <v>1</v>
      </c>
      <c r="Z732" t="str">
        <f t="shared" si="154"/>
        <v>Bad Employee</v>
      </c>
      <c r="AA732" t="b">
        <f t="shared" si="155"/>
        <v>0</v>
      </c>
      <c r="AB732" t="b">
        <f>OR(Y732&gt;20, T732&gt;6)</f>
        <v>1</v>
      </c>
      <c r="AC732" t="str">
        <f>IF(OR(Y732&gt;20,T732&gt;6), "Good employee", "Bad Employee")</f>
        <v>Good employee</v>
      </c>
      <c r="AD732" t="s">
        <v>56</v>
      </c>
      <c r="AE732" t="s">
        <v>62</v>
      </c>
      <c r="AF732">
        <v>11</v>
      </c>
      <c r="AG732">
        <v>2013</v>
      </c>
      <c r="AH732" t="s">
        <v>49</v>
      </c>
      <c r="AI732">
        <v>137</v>
      </c>
      <c r="AJ732">
        <v>3.3</v>
      </c>
    </row>
    <row r="733" spans="1:36" x14ac:dyDescent="0.25">
      <c r="A733">
        <v>10732</v>
      </c>
      <c r="B733" t="s">
        <v>66</v>
      </c>
      <c r="C733" t="s">
        <v>61</v>
      </c>
      <c r="D733" t="s">
        <v>33</v>
      </c>
      <c r="E733" t="str">
        <f t="shared" si="143"/>
        <v>John Smith is in Marketing Department</v>
      </c>
      <c r="F733" s="6" t="str">
        <f t="shared" si="144"/>
        <v>johnsmith@gmail.com</v>
      </c>
      <c r="G733">
        <v>42823</v>
      </c>
      <c r="H733" t="str">
        <f t="shared" si="145"/>
        <v>low</v>
      </c>
      <c r="I733" s="3">
        <v>37095</v>
      </c>
      <c r="J733">
        <f t="shared" si="146"/>
        <v>2001</v>
      </c>
      <c r="K733">
        <f t="shared" si="147"/>
        <v>7</v>
      </c>
      <c r="L733">
        <f t="shared" si="148"/>
        <v>23</v>
      </c>
      <c r="M733" s="3">
        <f t="shared" ca="1" si="149"/>
        <v>46100</v>
      </c>
      <c r="N733">
        <f t="shared" ca="1" si="150"/>
        <v>9005</v>
      </c>
      <c r="O733">
        <f t="shared" ca="1" si="151"/>
        <v>9005</v>
      </c>
      <c r="P733">
        <f t="shared" ca="1" si="152"/>
        <v>6434</v>
      </c>
      <c r="Q733">
        <v>39</v>
      </c>
      <c r="R733" t="str">
        <f t="shared" si="153"/>
        <v>Old</v>
      </c>
      <c r="S733" t="s">
        <v>34</v>
      </c>
      <c r="T733">
        <v>7</v>
      </c>
      <c r="U733" t="s">
        <v>25</v>
      </c>
      <c r="V733">
        <v>5341.96</v>
      </c>
      <c r="W733" t="s">
        <v>26</v>
      </c>
      <c r="X733" t="s">
        <v>55</v>
      </c>
      <c r="Y733">
        <v>38</v>
      </c>
      <c r="Z733" t="str">
        <f t="shared" si="154"/>
        <v>Good Employee</v>
      </c>
      <c r="AA733" t="b">
        <f t="shared" si="155"/>
        <v>1</v>
      </c>
      <c r="AB733" t="b">
        <f>OR(Y733&gt;20, T733&gt;6)</f>
        <v>1</v>
      </c>
      <c r="AC733" t="str">
        <f>IF(OR(Y733&gt;20,T733&gt;6), "Good employee", "Bad Employee")</f>
        <v>Good employee</v>
      </c>
      <c r="AD733" t="s">
        <v>56</v>
      </c>
      <c r="AE733" t="s">
        <v>48</v>
      </c>
      <c r="AF733">
        <v>14</v>
      </c>
      <c r="AG733">
        <v>2010</v>
      </c>
      <c r="AH733" t="s">
        <v>30</v>
      </c>
      <c r="AI733">
        <v>85</v>
      </c>
      <c r="AJ733">
        <v>2.8</v>
      </c>
    </row>
    <row r="734" spans="1:36" x14ac:dyDescent="0.25">
      <c r="A734">
        <v>10733</v>
      </c>
      <c r="B734" t="s">
        <v>66</v>
      </c>
      <c r="C734" t="s">
        <v>57</v>
      </c>
      <c r="D734" t="s">
        <v>54</v>
      </c>
      <c r="E734" t="str">
        <f t="shared" si="143"/>
        <v>John Davis is in Finance Department</v>
      </c>
      <c r="F734" s="6" t="str">
        <f t="shared" si="144"/>
        <v>johndavis@gmail.com</v>
      </c>
      <c r="G734">
        <v>59986</v>
      </c>
      <c r="H734" t="str">
        <f t="shared" si="145"/>
        <v>Medium</v>
      </c>
      <c r="I734" s="3">
        <v>36745</v>
      </c>
      <c r="J734">
        <f t="shared" si="146"/>
        <v>2000</v>
      </c>
      <c r="K734">
        <f t="shared" si="147"/>
        <v>8</v>
      </c>
      <c r="L734">
        <f t="shared" si="148"/>
        <v>7</v>
      </c>
      <c r="M734" s="3">
        <f t="shared" ca="1" si="149"/>
        <v>46100</v>
      </c>
      <c r="N734">
        <f t="shared" ca="1" si="150"/>
        <v>9355</v>
      </c>
      <c r="O734">
        <f t="shared" ca="1" si="151"/>
        <v>9355</v>
      </c>
      <c r="P734">
        <f t="shared" ca="1" si="152"/>
        <v>6684</v>
      </c>
      <c r="Q734">
        <v>60</v>
      </c>
      <c r="R734" t="str">
        <f t="shared" si="153"/>
        <v>Old</v>
      </c>
      <c r="S734" t="s">
        <v>34</v>
      </c>
      <c r="T734">
        <v>7</v>
      </c>
      <c r="U734" t="s">
        <v>45</v>
      </c>
      <c r="V734">
        <v>2266.12</v>
      </c>
      <c r="W734" t="s">
        <v>58</v>
      </c>
      <c r="X734" t="s">
        <v>55</v>
      </c>
      <c r="Y734">
        <v>25</v>
      </c>
      <c r="Z734" t="str">
        <f t="shared" si="154"/>
        <v>Good Employee</v>
      </c>
      <c r="AA734" t="b">
        <f t="shared" si="155"/>
        <v>1</v>
      </c>
      <c r="AB734" t="b">
        <f>OR(Y734&gt;20, T734&gt;6)</f>
        <v>1</v>
      </c>
      <c r="AC734" t="str">
        <f>IF(OR(Y734&gt;20,T734&gt;6), "Good employee", "Bad Employee")</f>
        <v>Good employee</v>
      </c>
      <c r="AD734" t="s">
        <v>41</v>
      </c>
      <c r="AE734" t="s">
        <v>29</v>
      </c>
      <c r="AF734">
        <v>19</v>
      </c>
      <c r="AG734">
        <v>2011</v>
      </c>
      <c r="AH734" t="s">
        <v>43</v>
      </c>
      <c r="AI734">
        <v>98</v>
      </c>
      <c r="AJ734">
        <v>3.3</v>
      </c>
    </row>
    <row r="735" spans="1:36" x14ac:dyDescent="0.25">
      <c r="A735">
        <v>10734</v>
      </c>
      <c r="B735" t="s">
        <v>53</v>
      </c>
      <c r="C735" t="s">
        <v>57</v>
      </c>
      <c r="D735" t="s">
        <v>39</v>
      </c>
      <c r="E735" t="str">
        <f t="shared" si="143"/>
        <v>Sarah Davis is in IT Department</v>
      </c>
      <c r="F735" s="6" t="str">
        <f t="shared" si="144"/>
        <v>sarahdavis@gmail.com</v>
      </c>
      <c r="G735">
        <v>94325</v>
      </c>
      <c r="H735" t="str">
        <f t="shared" si="145"/>
        <v>High</v>
      </c>
      <c r="I735" s="3">
        <v>37920</v>
      </c>
      <c r="J735">
        <f t="shared" si="146"/>
        <v>2003</v>
      </c>
      <c r="K735">
        <f t="shared" si="147"/>
        <v>10</v>
      </c>
      <c r="L735">
        <f t="shared" si="148"/>
        <v>26</v>
      </c>
      <c r="M735" s="3">
        <f t="shared" ca="1" si="149"/>
        <v>46100</v>
      </c>
      <c r="N735">
        <f t="shared" ca="1" si="150"/>
        <v>8180</v>
      </c>
      <c r="O735">
        <f t="shared" ca="1" si="151"/>
        <v>8180</v>
      </c>
      <c r="P735">
        <f t="shared" ca="1" si="152"/>
        <v>5844</v>
      </c>
      <c r="Q735">
        <v>46</v>
      </c>
      <c r="R735" t="str">
        <f t="shared" si="153"/>
        <v>Old</v>
      </c>
      <c r="S735" t="s">
        <v>34</v>
      </c>
      <c r="T735">
        <v>3</v>
      </c>
      <c r="U735" t="s">
        <v>25</v>
      </c>
      <c r="V735">
        <v>5135.91</v>
      </c>
      <c r="W735" t="s">
        <v>35</v>
      </c>
      <c r="X735" t="s">
        <v>40</v>
      </c>
      <c r="Y735">
        <v>21</v>
      </c>
      <c r="Z735" t="str">
        <f t="shared" si="154"/>
        <v>Bad Employee</v>
      </c>
      <c r="AA735" t="b">
        <f t="shared" si="155"/>
        <v>0</v>
      </c>
      <c r="AB735" t="b">
        <f>OR(Y735&gt;20, T735&gt;6)</f>
        <v>1</v>
      </c>
      <c r="AC735" t="str">
        <f>IF(OR(Y735&gt;20,T735&gt;6), "Good employee", "Bad Employee")</f>
        <v>Good employee</v>
      </c>
      <c r="AD735" t="s">
        <v>56</v>
      </c>
      <c r="AE735" t="s">
        <v>59</v>
      </c>
      <c r="AF735">
        <v>8</v>
      </c>
      <c r="AG735">
        <v>2011</v>
      </c>
      <c r="AH735" t="s">
        <v>49</v>
      </c>
      <c r="AI735">
        <v>139</v>
      </c>
      <c r="AJ735">
        <v>1.5</v>
      </c>
    </row>
    <row r="736" spans="1:36" x14ac:dyDescent="0.25">
      <c r="A736">
        <v>10735</v>
      </c>
      <c r="B736" t="s">
        <v>60</v>
      </c>
      <c r="C736" t="s">
        <v>32</v>
      </c>
      <c r="D736" t="s">
        <v>54</v>
      </c>
      <c r="E736" t="str">
        <f t="shared" si="143"/>
        <v>Jane Wilson is in Finance Department</v>
      </c>
      <c r="F736" s="6" t="str">
        <f t="shared" si="144"/>
        <v>janewilson@gmail.com</v>
      </c>
      <c r="G736">
        <v>87771</v>
      </c>
      <c r="H736" t="str">
        <f t="shared" si="145"/>
        <v>High</v>
      </c>
      <c r="I736" s="3">
        <v>39360</v>
      </c>
      <c r="J736">
        <f t="shared" si="146"/>
        <v>2007</v>
      </c>
      <c r="K736">
        <f t="shared" si="147"/>
        <v>10</v>
      </c>
      <c r="L736">
        <f t="shared" si="148"/>
        <v>5</v>
      </c>
      <c r="M736" s="3">
        <f t="shared" ca="1" si="149"/>
        <v>46100</v>
      </c>
      <c r="N736">
        <f t="shared" ca="1" si="150"/>
        <v>6740</v>
      </c>
      <c r="O736">
        <f t="shared" ca="1" si="151"/>
        <v>6740</v>
      </c>
      <c r="P736">
        <f t="shared" ca="1" si="152"/>
        <v>4815</v>
      </c>
      <c r="Q736">
        <v>39</v>
      </c>
      <c r="R736" t="str">
        <f t="shared" si="153"/>
        <v>Old</v>
      </c>
      <c r="S736" t="s">
        <v>24</v>
      </c>
      <c r="T736">
        <v>6</v>
      </c>
      <c r="U736" t="s">
        <v>45</v>
      </c>
      <c r="V736">
        <v>7940.51</v>
      </c>
      <c r="W736" t="s">
        <v>35</v>
      </c>
      <c r="X736" t="s">
        <v>55</v>
      </c>
      <c r="Y736">
        <v>33</v>
      </c>
      <c r="Z736" t="str">
        <f t="shared" si="154"/>
        <v>Bad Employee</v>
      </c>
      <c r="AA736" t="b">
        <f t="shared" si="155"/>
        <v>0</v>
      </c>
      <c r="AB736" t="b">
        <f>OR(Y736&gt;20, T736&gt;6)</f>
        <v>1</v>
      </c>
      <c r="AC736" t="str">
        <f>IF(OR(Y736&gt;20,T736&gt;6), "Good employee", "Bad Employee")</f>
        <v>Good employee</v>
      </c>
      <c r="AD736" t="s">
        <v>28</v>
      </c>
      <c r="AE736" t="s">
        <v>42</v>
      </c>
      <c r="AF736">
        <v>11</v>
      </c>
      <c r="AG736">
        <v>2019</v>
      </c>
      <c r="AH736" t="s">
        <v>30</v>
      </c>
      <c r="AI736">
        <v>138</v>
      </c>
      <c r="AJ736">
        <v>2.8</v>
      </c>
    </row>
    <row r="737" spans="1:36" x14ac:dyDescent="0.25">
      <c r="A737">
        <v>10736</v>
      </c>
      <c r="B737" t="s">
        <v>50</v>
      </c>
      <c r="C737" t="s">
        <v>65</v>
      </c>
      <c r="D737" t="s">
        <v>54</v>
      </c>
      <c r="E737" t="str">
        <f t="shared" si="143"/>
        <v>Alex Johnson is in Finance Department</v>
      </c>
      <c r="F737" s="6" t="str">
        <f t="shared" si="144"/>
        <v>alexjohnson@gmail.com</v>
      </c>
      <c r="G737">
        <v>84973</v>
      </c>
      <c r="H737" t="str">
        <f t="shared" si="145"/>
        <v>High</v>
      </c>
      <c r="I737" s="3">
        <v>43197</v>
      </c>
      <c r="J737">
        <f t="shared" si="146"/>
        <v>2018</v>
      </c>
      <c r="K737">
        <f t="shared" si="147"/>
        <v>4</v>
      </c>
      <c r="L737">
        <f t="shared" si="148"/>
        <v>7</v>
      </c>
      <c r="M737" s="3">
        <f t="shared" ca="1" si="149"/>
        <v>46100</v>
      </c>
      <c r="N737">
        <f t="shared" ca="1" si="150"/>
        <v>2903</v>
      </c>
      <c r="O737">
        <f t="shared" ca="1" si="151"/>
        <v>2903</v>
      </c>
      <c r="P737">
        <f t="shared" ca="1" si="152"/>
        <v>2074</v>
      </c>
      <c r="Q737">
        <v>27</v>
      </c>
      <c r="R737" t="str">
        <f t="shared" si="153"/>
        <v>Young</v>
      </c>
      <c r="S737" t="s">
        <v>34</v>
      </c>
      <c r="T737">
        <v>6</v>
      </c>
      <c r="U737" t="s">
        <v>45</v>
      </c>
      <c r="V737">
        <v>8355.74</v>
      </c>
      <c r="W737" t="s">
        <v>46</v>
      </c>
      <c r="X737" t="s">
        <v>47</v>
      </c>
      <c r="Y737">
        <v>37</v>
      </c>
      <c r="Z737" t="str">
        <f t="shared" si="154"/>
        <v>Bad Employee</v>
      </c>
      <c r="AA737" t="b">
        <f t="shared" si="155"/>
        <v>0</v>
      </c>
      <c r="AB737" t="b">
        <f>OR(Y737&gt;20, T737&gt;6)</f>
        <v>1</v>
      </c>
      <c r="AC737" t="str">
        <f>IF(OR(Y737&gt;20,T737&gt;6), "Good employee", "Bad Employee")</f>
        <v>Good employee</v>
      </c>
      <c r="AD737" t="s">
        <v>56</v>
      </c>
      <c r="AE737" t="s">
        <v>48</v>
      </c>
      <c r="AF737">
        <v>4</v>
      </c>
      <c r="AG737">
        <v>2020</v>
      </c>
      <c r="AH737" t="s">
        <v>49</v>
      </c>
      <c r="AI737">
        <v>56</v>
      </c>
      <c r="AJ737">
        <v>1.1000000000000001</v>
      </c>
    </row>
    <row r="738" spans="1:36" x14ac:dyDescent="0.25">
      <c r="A738">
        <v>10737</v>
      </c>
      <c r="B738" t="s">
        <v>31</v>
      </c>
      <c r="C738" t="s">
        <v>65</v>
      </c>
      <c r="D738" t="s">
        <v>54</v>
      </c>
      <c r="E738" t="str">
        <f t="shared" si="143"/>
        <v>Emily Johnson is in Finance Department</v>
      </c>
      <c r="F738" s="6" t="str">
        <f t="shared" si="144"/>
        <v>emilyjohnson@gmail.com</v>
      </c>
      <c r="G738">
        <v>44690</v>
      </c>
      <c r="H738" t="str">
        <f t="shared" si="145"/>
        <v>low</v>
      </c>
      <c r="I738" s="3">
        <v>38648</v>
      </c>
      <c r="J738">
        <f t="shared" si="146"/>
        <v>2005</v>
      </c>
      <c r="K738">
        <f t="shared" si="147"/>
        <v>10</v>
      </c>
      <c r="L738">
        <f t="shared" si="148"/>
        <v>23</v>
      </c>
      <c r="M738" s="3">
        <f t="shared" ca="1" si="149"/>
        <v>46100</v>
      </c>
      <c r="N738">
        <f t="shared" ca="1" si="150"/>
        <v>7452</v>
      </c>
      <c r="O738">
        <f t="shared" ca="1" si="151"/>
        <v>7452</v>
      </c>
      <c r="P738">
        <f t="shared" ca="1" si="152"/>
        <v>5324</v>
      </c>
      <c r="Q738">
        <v>40</v>
      </c>
      <c r="R738" t="str">
        <f t="shared" si="153"/>
        <v>Old</v>
      </c>
      <c r="S738" t="s">
        <v>34</v>
      </c>
      <c r="T738">
        <v>4</v>
      </c>
      <c r="U738" t="s">
        <v>25</v>
      </c>
      <c r="V738">
        <v>8707.7099999999991</v>
      </c>
      <c r="W738" t="s">
        <v>26</v>
      </c>
      <c r="X738" t="s">
        <v>40</v>
      </c>
      <c r="Y738">
        <v>34</v>
      </c>
      <c r="Z738" t="str">
        <f t="shared" si="154"/>
        <v>Bad Employee</v>
      </c>
      <c r="AA738" t="b">
        <f t="shared" si="155"/>
        <v>0</v>
      </c>
      <c r="AB738" t="b">
        <f>OR(Y738&gt;20, T738&gt;6)</f>
        <v>1</v>
      </c>
      <c r="AC738" t="str">
        <f>IF(OR(Y738&gt;20,T738&gt;6), "Good employee", "Bad Employee")</f>
        <v>Good employee</v>
      </c>
      <c r="AD738" t="s">
        <v>41</v>
      </c>
      <c r="AE738" t="s">
        <v>48</v>
      </c>
      <c r="AF738">
        <v>7</v>
      </c>
      <c r="AG738">
        <v>2014</v>
      </c>
      <c r="AH738" t="s">
        <v>43</v>
      </c>
      <c r="AI738">
        <v>110</v>
      </c>
      <c r="AJ738">
        <v>1.2</v>
      </c>
    </row>
    <row r="739" spans="1:36" x14ac:dyDescent="0.25">
      <c r="A739">
        <v>10738</v>
      </c>
      <c r="B739" t="s">
        <v>38</v>
      </c>
      <c r="C739" t="s">
        <v>63</v>
      </c>
      <c r="D739" t="s">
        <v>52</v>
      </c>
      <c r="E739" t="str">
        <f t="shared" si="143"/>
        <v>Chris Miller is in Operations Department</v>
      </c>
      <c r="F739" s="6" t="str">
        <f t="shared" si="144"/>
        <v>chrismiller@gmail.com</v>
      </c>
      <c r="G739">
        <v>69107</v>
      </c>
      <c r="H739" t="str">
        <f t="shared" si="145"/>
        <v>Medium</v>
      </c>
      <c r="I739" s="3">
        <v>42263</v>
      </c>
      <c r="J739">
        <f t="shared" si="146"/>
        <v>2015</v>
      </c>
      <c r="K739">
        <f t="shared" si="147"/>
        <v>9</v>
      </c>
      <c r="L739">
        <f t="shared" si="148"/>
        <v>16</v>
      </c>
      <c r="M739" s="3">
        <f t="shared" ca="1" si="149"/>
        <v>46100</v>
      </c>
      <c r="N739">
        <f t="shared" ca="1" si="150"/>
        <v>3837</v>
      </c>
      <c r="O739">
        <f t="shared" ca="1" si="151"/>
        <v>3837</v>
      </c>
      <c r="P739">
        <f t="shared" ca="1" si="152"/>
        <v>2742</v>
      </c>
      <c r="Q739">
        <v>33</v>
      </c>
      <c r="R739" t="str">
        <f t="shared" si="153"/>
        <v>Old</v>
      </c>
      <c r="S739" t="s">
        <v>24</v>
      </c>
      <c r="T739">
        <v>1</v>
      </c>
      <c r="U739" t="s">
        <v>45</v>
      </c>
      <c r="V739">
        <v>5910.92</v>
      </c>
      <c r="W739" t="s">
        <v>26</v>
      </c>
      <c r="X739" t="s">
        <v>55</v>
      </c>
      <c r="Y739">
        <v>3</v>
      </c>
      <c r="Z739" t="str">
        <f t="shared" si="154"/>
        <v>Bad Employee</v>
      </c>
      <c r="AA739" t="b">
        <f t="shared" si="155"/>
        <v>0</v>
      </c>
      <c r="AB739" t="b">
        <f>OR(Y739&gt;20, T739&gt;6)</f>
        <v>0</v>
      </c>
      <c r="AC739" t="str">
        <f>IF(OR(Y739&gt;20,T739&gt;6), "Good employee", "Bad Employee")</f>
        <v>Bad Employee</v>
      </c>
      <c r="AD739" t="s">
        <v>41</v>
      </c>
      <c r="AE739" t="s">
        <v>29</v>
      </c>
      <c r="AF739">
        <v>14</v>
      </c>
      <c r="AG739">
        <v>2010</v>
      </c>
      <c r="AH739" t="s">
        <v>49</v>
      </c>
      <c r="AI739">
        <v>59</v>
      </c>
      <c r="AJ739">
        <v>3.6</v>
      </c>
    </row>
    <row r="740" spans="1:36" x14ac:dyDescent="0.25">
      <c r="A740">
        <v>10739</v>
      </c>
      <c r="B740" t="s">
        <v>38</v>
      </c>
      <c r="C740" t="s">
        <v>63</v>
      </c>
      <c r="D740" t="s">
        <v>33</v>
      </c>
      <c r="E740" t="str">
        <f t="shared" si="143"/>
        <v>Chris Miller is in Marketing Department</v>
      </c>
      <c r="F740" s="6" t="str">
        <f t="shared" si="144"/>
        <v>chrismiller@gmail.com</v>
      </c>
      <c r="G740">
        <v>87888</v>
      </c>
      <c r="H740" t="str">
        <f t="shared" si="145"/>
        <v>High</v>
      </c>
      <c r="I740" s="3">
        <v>40757</v>
      </c>
      <c r="J740">
        <f t="shared" si="146"/>
        <v>2011</v>
      </c>
      <c r="K740">
        <f t="shared" si="147"/>
        <v>8</v>
      </c>
      <c r="L740">
        <f t="shared" si="148"/>
        <v>2</v>
      </c>
      <c r="M740" s="3">
        <f t="shared" ca="1" si="149"/>
        <v>46100</v>
      </c>
      <c r="N740">
        <f t="shared" ca="1" si="150"/>
        <v>5343</v>
      </c>
      <c r="O740">
        <f t="shared" ca="1" si="151"/>
        <v>5343</v>
      </c>
      <c r="P740">
        <f t="shared" ca="1" si="152"/>
        <v>3818</v>
      </c>
      <c r="Q740">
        <v>46</v>
      </c>
      <c r="R740" t="str">
        <f t="shared" si="153"/>
        <v>Old</v>
      </c>
      <c r="S740" t="s">
        <v>34</v>
      </c>
      <c r="T740">
        <v>9</v>
      </c>
      <c r="U740" t="s">
        <v>45</v>
      </c>
      <c r="V740">
        <v>8735.99</v>
      </c>
      <c r="W740" t="s">
        <v>26</v>
      </c>
      <c r="X740" t="s">
        <v>47</v>
      </c>
      <c r="Y740">
        <v>30</v>
      </c>
      <c r="Z740" t="str">
        <f t="shared" si="154"/>
        <v>Good Employee</v>
      </c>
      <c r="AA740" t="b">
        <f t="shared" si="155"/>
        <v>1</v>
      </c>
      <c r="AB740" t="b">
        <f>OR(Y740&gt;20, T740&gt;6)</f>
        <v>1</v>
      </c>
      <c r="AC740" t="str">
        <f>IF(OR(Y740&gt;20,T740&gt;6), "Good employee", "Bad Employee")</f>
        <v>Good employee</v>
      </c>
      <c r="AD740" t="s">
        <v>28</v>
      </c>
      <c r="AE740" t="s">
        <v>29</v>
      </c>
      <c r="AF740">
        <v>6</v>
      </c>
      <c r="AG740">
        <v>2019</v>
      </c>
      <c r="AH740" t="s">
        <v>43</v>
      </c>
      <c r="AI740">
        <v>18</v>
      </c>
      <c r="AJ740">
        <v>4.8</v>
      </c>
    </row>
    <row r="741" spans="1:36" x14ac:dyDescent="0.25">
      <c r="A741">
        <v>10740</v>
      </c>
      <c r="B741" t="s">
        <v>31</v>
      </c>
      <c r="C741" t="s">
        <v>57</v>
      </c>
      <c r="D741" t="s">
        <v>33</v>
      </c>
      <c r="E741" t="str">
        <f t="shared" si="143"/>
        <v>Emily Davis is in Marketing Department</v>
      </c>
      <c r="F741" s="6" t="str">
        <f t="shared" si="144"/>
        <v>emilydavis@gmail.com</v>
      </c>
      <c r="G741">
        <v>40956</v>
      </c>
      <c r="H741" t="str">
        <f t="shared" si="145"/>
        <v>low</v>
      </c>
      <c r="I741" s="3">
        <v>40526</v>
      </c>
      <c r="J741">
        <f t="shared" si="146"/>
        <v>2010</v>
      </c>
      <c r="K741">
        <f t="shared" si="147"/>
        <v>12</v>
      </c>
      <c r="L741">
        <f t="shared" si="148"/>
        <v>14</v>
      </c>
      <c r="M741" s="3">
        <f t="shared" ca="1" si="149"/>
        <v>46100</v>
      </c>
      <c r="N741">
        <f t="shared" ca="1" si="150"/>
        <v>5574</v>
      </c>
      <c r="O741">
        <f t="shared" ca="1" si="151"/>
        <v>5574</v>
      </c>
      <c r="P741">
        <f t="shared" ca="1" si="152"/>
        <v>3983</v>
      </c>
      <c r="Q741">
        <v>56</v>
      </c>
      <c r="R741" t="str">
        <f t="shared" si="153"/>
        <v>Old</v>
      </c>
      <c r="S741" t="s">
        <v>34</v>
      </c>
      <c r="T741">
        <v>2</v>
      </c>
      <c r="U741" t="s">
        <v>25</v>
      </c>
      <c r="V741">
        <v>5345.29</v>
      </c>
      <c r="W741" t="s">
        <v>26</v>
      </c>
      <c r="X741" t="s">
        <v>40</v>
      </c>
      <c r="Y741">
        <v>3</v>
      </c>
      <c r="Z741" t="str">
        <f t="shared" si="154"/>
        <v>Bad Employee</v>
      </c>
      <c r="AA741" t="b">
        <f t="shared" si="155"/>
        <v>0</v>
      </c>
      <c r="AB741" t="b">
        <f>OR(Y741&gt;20, T741&gt;6)</f>
        <v>0</v>
      </c>
      <c r="AC741" t="str">
        <f>IF(OR(Y741&gt;20,T741&gt;6), "Good employee", "Bad Employee")</f>
        <v>Bad Employee</v>
      </c>
      <c r="AD741" t="s">
        <v>56</v>
      </c>
      <c r="AE741" t="s">
        <v>59</v>
      </c>
      <c r="AF741">
        <v>18</v>
      </c>
      <c r="AG741">
        <v>2023</v>
      </c>
      <c r="AH741" t="s">
        <v>43</v>
      </c>
      <c r="AI741">
        <v>133</v>
      </c>
      <c r="AJ741">
        <v>4.0999999999999996</v>
      </c>
    </row>
    <row r="742" spans="1:36" x14ac:dyDescent="0.25">
      <c r="A742">
        <v>10741</v>
      </c>
      <c r="B742" t="s">
        <v>21</v>
      </c>
      <c r="C742" t="s">
        <v>61</v>
      </c>
      <c r="D742" t="s">
        <v>44</v>
      </c>
      <c r="E742" t="str">
        <f t="shared" si="143"/>
        <v>Michael Smith is in Sales Department</v>
      </c>
      <c r="F742" s="6" t="str">
        <f t="shared" si="144"/>
        <v>michaelsmith@gmail.com</v>
      </c>
      <c r="G742">
        <v>116839</v>
      </c>
      <c r="H742" t="str">
        <f t="shared" si="145"/>
        <v>High</v>
      </c>
      <c r="I742" s="3">
        <v>42743</v>
      </c>
      <c r="J742">
        <f t="shared" si="146"/>
        <v>2017</v>
      </c>
      <c r="K742">
        <f t="shared" si="147"/>
        <v>1</v>
      </c>
      <c r="L742">
        <f t="shared" si="148"/>
        <v>8</v>
      </c>
      <c r="M742" s="3">
        <f t="shared" ca="1" si="149"/>
        <v>46100</v>
      </c>
      <c r="N742">
        <f t="shared" ca="1" si="150"/>
        <v>3357</v>
      </c>
      <c r="O742">
        <f t="shared" ca="1" si="151"/>
        <v>3357</v>
      </c>
      <c r="P742">
        <f t="shared" ca="1" si="152"/>
        <v>2399</v>
      </c>
      <c r="Q742">
        <v>22</v>
      </c>
      <c r="R742" t="str">
        <f t="shared" si="153"/>
        <v>Young</v>
      </c>
      <c r="S742" t="s">
        <v>34</v>
      </c>
      <c r="T742">
        <v>9</v>
      </c>
      <c r="U742" t="s">
        <v>45</v>
      </c>
      <c r="V742">
        <v>6267.07</v>
      </c>
      <c r="W742" t="s">
        <v>26</v>
      </c>
      <c r="X742" t="s">
        <v>40</v>
      </c>
      <c r="Y742">
        <v>18</v>
      </c>
      <c r="Z742" t="str">
        <f t="shared" si="154"/>
        <v>Bad Employee</v>
      </c>
      <c r="AA742" t="b">
        <f t="shared" si="155"/>
        <v>0</v>
      </c>
      <c r="AB742" t="b">
        <f>OR(Y742&gt;20, T742&gt;6)</f>
        <v>1</v>
      </c>
      <c r="AC742" t="str">
        <f>IF(OR(Y742&gt;20,T742&gt;6), "Good employee", "Bad Employee")</f>
        <v>Good employee</v>
      </c>
      <c r="AD742" t="s">
        <v>41</v>
      </c>
      <c r="AE742" t="s">
        <v>59</v>
      </c>
      <c r="AF742">
        <v>12</v>
      </c>
      <c r="AG742">
        <v>2012</v>
      </c>
      <c r="AH742" t="s">
        <v>30</v>
      </c>
      <c r="AI742">
        <v>169</v>
      </c>
      <c r="AJ742">
        <v>2.9</v>
      </c>
    </row>
    <row r="743" spans="1:36" x14ac:dyDescent="0.25">
      <c r="A743">
        <v>10742</v>
      </c>
      <c r="B743" t="s">
        <v>64</v>
      </c>
      <c r="C743" t="s">
        <v>22</v>
      </c>
      <c r="D743" t="s">
        <v>33</v>
      </c>
      <c r="E743" t="str">
        <f t="shared" si="143"/>
        <v>Katie Williams is in Marketing Department</v>
      </c>
      <c r="F743" s="6" t="str">
        <f t="shared" si="144"/>
        <v>katiewilliams@gmail.com</v>
      </c>
      <c r="G743">
        <v>86227</v>
      </c>
      <c r="H743" t="str">
        <f t="shared" si="145"/>
        <v>High</v>
      </c>
      <c r="I743" s="3">
        <v>40875</v>
      </c>
      <c r="J743">
        <f t="shared" si="146"/>
        <v>2011</v>
      </c>
      <c r="K743">
        <f t="shared" si="147"/>
        <v>11</v>
      </c>
      <c r="L743">
        <f t="shared" si="148"/>
        <v>28</v>
      </c>
      <c r="M743" s="3">
        <f t="shared" ca="1" si="149"/>
        <v>46100</v>
      </c>
      <c r="N743">
        <f t="shared" ca="1" si="150"/>
        <v>5225</v>
      </c>
      <c r="O743">
        <f t="shared" ca="1" si="151"/>
        <v>5225</v>
      </c>
      <c r="P743">
        <f t="shared" ca="1" si="152"/>
        <v>3734</v>
      </c>
      <c r="Q743">
        <v>26</v>
      </c>
      <c r="R743" t="str">
        <f t="shared" si="153"/>
        <v>Young</v>
      </c>
      <c r="S743" t="s">
        <v>34</v>
      </c>
      <c r="T743">
        <v>8</v>
      </c>
      <c r="U743" t="s">
        <v>45</v>
      </c>
      <c r="V743">
        <v>7707.84</v>
      </c>
      <c r="W743" t="s">
        <v>58</v>
      </c>
      <c r="X743" t="s">
        <v>55</v>
      </c>
      <c r="Y743">
        <v>23</v>
      </c>
      <c r="Z743" t="str">
        <f t="shared" si="154"/>
        <v>Good Employee</v>
      </c>
      <c r="AA743" t="b">
        <f t="shared" si="155"/>
        <v>1</v>
      </c>
      <c r="AB743" t="b">
        <f>OR(Y743&gt;20, T743&gt;6)</f>
        <v>1</v>
      </c>
      <c r="AC743" t="str">
        <f>IF(OR(Y743&gt;20,T743&gt;6), "Good employee", "Bad Employee")</f>
        <v>Good employee</v>
      </c>
      <c r="AD743" t="s">
        <v>56</v>
      </c>
      <c r="AE743" t="s">
        <v>62</v>
      </c>
      <c r="AF743">
        <v>0</v>
      </c>
      <c r="AG743">
        <v>2020</v>
      </c>
      <c r="AH743" t="s">
        <v>43</v>
      </c>
      <c r="AI743">
        <v>53</v>
      </c>
      <c r="AJ743">
        <v>1.2</v>
      </c>
    </row>
    <row r="744" spans="1:36" x14ac:dyDescent="0.25">
      <c r="A744">
        <v>10743</v>
      </c>
      <c r="B744" t="s">
        <v>60</v>
      </c>
      <c r="C744" t="s">
        <v>22</v>
      </c>
      <c r="D744" t="s">
        <v>44</v>
      </c>
      <c r="E744" t="str">
        <f t="shared" si="143"/>
        <v>Jane Williams is in Sales Department</v>
      </c>
      <c r="F744" s="6" t="str">
        <f t="shared" si="144"/>
        <v>janewilliams@gmail.com</v>
      </c>
      <c r="G744">
        <v>66533</v>
      </c>
      <c r="H744" t="str">
        <f t="shared" si="145"/>
        <v>Medium</v>
      </c>
      <c r="I744" s="3">
        <v>39615</v>
      </c>
      <c r="J744">
        <f t="shared" si="146"/>
        <v>2008</v>
      </c>
      <c r="K744">
        <f t="shared" si="147"/>
        <v>6</v>
      </c>
      <c r="L744">
        <f t="shared" si="148"/>
        <v>16</v>
      </c>
      <c r="M744" s="3">
        <f t="shared" ca="1" si="149"/>
        <v>46100</v>
      </c>
      <c r="N744">
        <f t="shared" ca="1" si="150"/>
        <v>6485</v>
      </c>
      <c r="O744">
        <f t="shared" ca="1" si="151"/>
        <v>6485</v>
      </c>
      <c r="P744">
        <f t="shared" ca="1" si="152"/>
        <v>4634</v>
      </c>
      <c r="Q744">
        <v>22</v>
      </c>
      <c r="R744" t="str">
        <f t="shared" si="153"/>
        <v>Young</v>
      </c>
      <c r="S744" t="s">
        <v>24</v>
      </c>
      <c r="T744">
        <v>1</v>
      </c>
      <c r="U744" t="s">
        <v>25</v>
      </c>
      <c r="V744">
        <v>4541.6400000000003</v>
      </c>
      <c r="W744" t="s">
        <v>58</v>
      </c>
      <c r="X744" t="s">
        <v>47</v>
      </c>
      <c r="Y744">
        <v>8</v>
      </c>
      <c r="Z744" t="str">
        <f t="shared" si="154"/>
        <v>Bad Employee</v>
      </c>
      <c r="AA744" t="b">
        <f t="shared" si="155"/>
        <v>0</v>
      </c>
      <c r="AB744" t="b">
        <f>OR(Y744&gt;20, T744&gt;6)</f>
        <v>0</v>
      </c>
      <c r="AC744" t="str">
        <f>IF(OR(Y744&gt;20,T744&gt;6), "Good employee", "Bad Employee")</f>
        <v>Bad Employee</v>
      </c>
      <c r="AD744" t="s">
        <v>28</v>
      </c>
      <c r="AE744" t="s">
        <v>59</v>
      </c>
      <c r="AF744">
        <v>10</v>
      </c>
      <c r="AG744">
        <v>2015</v>
      </c>
      <c r="AH744" t="s">
        <v>43</v>
      </c>
      <c r="AI744">
        <v>144</v>
      </c>
      <c r="AJ744">
        <v>1.2</v>
      </c>
    </row>
    <row r="745" spans="1:36" x14ac:dyDescent="0.25">
      <c r="A745">
        <v>10744</v>
      </c>
      <c r="B745" t="s">
        <v>38</v>
      </c>
      <c r="C745" t="s">
        <v>63</v>
      </c>
      <c r="D745" t="s">
        <v>52</v>
      </c>
      <c r="E745" t="str">
        <f t="shared" si="143"/>
        <v>Chris Miller is in Operations Department</v>
      </c>
      <c r="F745" s="6" t="str">
        <f t="shared" si="144"/>
        <v>chrismiller@gmail.com</v>
      </c>
      <c r="G745">
        <v>86234</v>
      </c>
      <c r="H745" t="str">
        <f t="shared" si="145"/>
        <v>High</v>
      </c>
      <c r="I745" s="3">
        <v>42576</v>
      </c>
      <c r="J745">
        <f t="shared" si="146"/>
        <v>2016</v>
      </c>
      <c r="K745">
        <f t="shared" si="147"/>
        <v>7</v>
      </c>
      <c r="L745">
        <f t="shared" si="148"/>
        <v>25</v>
      </c>
      <c r="M745" s="3">
        <f t="shared" ca="1" si="149"/>
        <v>46100</v>
      </c>
      <c r="N745">
        <f t="shared" ca="1" si="150"/>
        <v>3524</v>
      </c>
      <c r="O745">
        <f t="shared" ca="1" si="151"/>
        <v>3524</v>
      </c>
      <c r="P745">
        <f t="shared" ca="1" si="152"/>
        <v>2519</v>
      </c>
      <c r="Q745">
        <v>29</v>
      </c>
      <c r="R745" t="str">
        <f t="shared" si="153"/>
        <v>Young</v>
      </c>
      <c r="S745" t="s">
        <v>24</v>
      </c>
      <c r="T745">
        <v>7</v>
      </c>
      <c r="U745" t="s">
        <v>45</v>
      </c>
      <c r="V745">
        <v>1199.02</v>
      </c>
      <c r="W745" t="s">
        <v>35</v>
      </c>
      <c r="X745" t="s">
        <v>40</v>
      </c>
      <c r="Y745">
        <v>9</v>
      </c>
      <c r="Z745" t="str">
        <f t="shared" si="154"/>
        <v>Bad Employee</v>
      </c>
      <c r="AA745" t="b">
        <f t="shared" si="155"/>
        <v>0</v>
      </c>
      <c r="AB745" t="b">
        <f>OR(Y745&gt;20, T745&gt;6)</f>
        <v>1</v>
      </c>
      <c r="AC745" t="str">
        <f>IF(OR(Y745&gt;20,T745&gt;6), "Good employee", "Bad Employee")</f>
        <v>Good employee</v>
      </c>
      <c r="AD745" t="s">
        <v>28</v>
      </c>
      <c r="AE745" t="s">
        <v>59</v>
      </c>
      <c r="AF745">
        <v>12</v>
      </c>
      <c r="AG745">
        <v>2010</v>
      </c>
      <c r="AH745" t="s">
        <v>30</v>
      </c>
      <c r="AI745">
        <v>137</v>
      </c>
      <c r="AJ745">
        <v>1.6</v>
      </c>
    </row>
    <row r="746" spans="1:36" x14ac:dyDescent="0.25">
      <c r="A746">
        <v>10745</v>
      </c>
      <c r="B746" t="s">
        <v>50</v>
      </c>
      <c r="C746" t="s">
        <v>61</v>
      </c>
      <c r="D746" t="s">
        <v>39</v>
      </c>
      <c r="E746" t="str">
        <f t="shared" si="143"/>
        <v>Alex Smith is in IT Department</v>
      </c>
      <c r="F746" s="6" t="str">
        <f t="shared" si="144"/>
        <v>alexsmith@gmail.com</v>
      </c>
      <c r="G746">
        <v>97594</v>
      </c>
      <c r="H746" t="str">
        <f t="shared" si="145"/>
        <v>High</v>
      </c>
      <c r="I746" s="3">
        <v>43691</v>
      </c>
      <c r="J746">
        <f t="shared" si="146"/>
        <v>2019</v>
      </c>
      <c r="K746">
        <f t="shared" si="147"/>
        <v>8</v>
      </c>
      <c r="L746">
        <f t="shared" si="148"/>
        <v>14</v>
      </c>
      <c r="M746" s="3">
        <f t="shared" ca="1" si="149"/>
        <v>46100</v>
      </c>
      <c r="N746">
        <f t="shared" ca="1" si="150"/>
        <v>2409</v>
      </c>
      <c r="O746">
        <f t="shared" ca="1" si="151"/>
        <v>2409</v>
      </c>
      <c r="P746">
        <f t="shared" ca="1" si="152"/>
        <v>1722</v>
      </c>
      <c r="Q746">
        <v>60</v>
      </c>
      <c r="R746" t="str">
        <f t="shared" si="153"/>
        <v>Old</v>
      </c>
      <c r="S746" t="s">
        <v>24</v>
      </c>
      <c r="T746">
        <v>3</v>
      </c>
      <c r="U746" t="s">
        <v>45</v>
      </c>
      <c r="V746">
        <v>3826.58</v>
      </c>
      <c r="W746" t="s">
        <v>26</v>
      </c>
      <c r="X746" t="s">
        <v>40</v>
      </c>
      <c r="Y746">
        <v>2</v>
      </c>
      <c r="Z746" t="str">
        <f t="shared" si="154"/>
        <v>Bad Employee</v>
      </c>
      <c r="AA746" t="b">
        <f t="shared" si="155"/>
        <v>0</v>
      </c>
      <c r="AB746" t="b">
        <f>OR(Y746&gt;20, T746&gt;6)</f>
        <v>0</v>
      </c>
      <c r="AC746" t="str">
        <f>IF(OR(Y746&gt;20,T746&gt;6), "Good employee", "Bad Employee")</f>
        <v>Bad Employee</v>
      </c>
      <c r="AD746" t="s">
        <v>41</v>
      </c>
      <c r="AE746" t="s">
        <v>48</v>
      </c>
      <c r="AF746">
        <v>1</v>
      </c>
      <c r="AG746">
        <v>2021</v>
      </c>
      <c r="AH746" t="s">
        <v>30</v>
      </c>
      <c r="AI746">
        <v>74</v>
      </c>
      <c r="AJ746">
        <v>4.9000000000000004</v>
      </c>
    </row>
    <row r="747" spans="1:36" x14ac:dyDescent="0.25">
      <c r="A747">
        <v>10746</v>
      </c>
      <c r="B747" t="s">
        <v>60</v>
      </c>
      <c r="C747" t="s">
        <v>63</v>
      </c>
      <c r="D747" t="s">
        <v>44</v>
      </c>
      <c r="E747" t="str">
        <f t="shared" si="143"/>
        <v>Jane Miller is in Sales Department</v>
      </c>
      <c r="F747" s="6" t="str">
        <f t="shared" si="144"/>
        <v>janemiller@gmail.com</v>
      </c>
      <c r="G747">
        <v>86901</v>
      </c>
      <c r="H747" t="str">
        <f t="shared" si="145"/>
        <v>High</v>
      </c>
      <c r="I747" s="3">
        <v>43736</v>
      </c>
      <c r="J747">
        <f t="shared" si="146"/>
        <v>2019</v>
      </c>
      <c r="K747">
        <f t="shared" si="147"/>
        <v>9</v>
      </c>
      <c r="L747">
        <f t="shared" si="148"/>
        <v>28</v>
      </c>
      <c r="M747" s="3">
        <f t="shared" ca="1" si="149"/>
        <v>46100</v>
      </c>
      <c r="N747">
        <f t="shared" ca="1" si="150"/>
        <v>2364</v>
      </c>
      <c r="O747">
        <f t="shared" ca="1" si="151"/>
        <v>2364</v>
      </c>
      <c r="P747">
        <f t="shared" ca="1" si="152"/>
        <v>1689</v>
      </c>
      <c r="Q747">
        <v>64</v>
      </c>
      <c r="R747" t="str">
        <f t="shared" si="153"/>
        <v>Old</v>
      </c>
      <c r="S747" t="s">
        <v>34</v>
      </c>
      <c r="T747">
        <v>9</v>
      </c>
      <c r="U747" t="s">
        <v>25</v>
      </c>
      <c r="V747">
        <v>6427.47</v>
      </c>
      <c r="W747" t="s">
        <v>26</v>
      </c>
      <c r="X747" t="s">
        <v>27</v>
      </c>
      <c r="Y747">
        <v>2</v>
      </c>
      <c r="Z747" t="str">
        <f t="shared" si="154"/>
        <v>Bad Employee</v>
      </c>
      <c r="AA747" t="b">
        <f t="shared" si="155"/>
        <v>0</v>
      </c>
      <c r="AB747" t="b">
        <f>OR(Y747&gt;20, T747&gt;6)</f>
        <v>1</v>
      </c>
      <c r="AC747" t="str">
        <f>IF(OR(Y747&gt;20,T747&gt;6), "Good employee", "Bad Employee")</f>
        <v>Good employee</v>
      </c>
      <c r="AD747" t="s">
        <v>56</v>
      </c>
      <c r="AE747" t="s">
        <v>42</v>
      </c>
      <c r="AF747">
        <v>18</v>
      </c>
      <c r="AG747">
        <v>2020</v>
      </c>
      <c r="AH747" t="s">
        <v>43</v>
      </c>
      <c r="AI747">
        <v>120</v>
      </c>
      <c r="AJ747">
        <v>2.6</v>
      </c>
    </row>
    <row r="748" spans="1:36" x14ac:dyDescent="0.25">
      <c r="A748">
        <v>10747</v>
      </c>
      <c r="B748" t="s">
        <v>50</v>
      </c>
      <c r="C748" t="s">
        <v>22</v>
      </c>
      <c r="D748" t="s">
        <v>54</v>
      </c>
      <c r="E748" t="str">
        <f t="shared" si="143"/>
        <v>Alex Williams is in Finance Department</v>
      </c>
      <c r="F748" s="6" t="str">
        <f t="shared" si="144"/>
        <v>alexwilliams@gmail.com</v>
      </c>
      <c r="G748">
        <v>41519</v>
      </c>
      <c r="H748" t="str">
        <f t="shared" si="145"/>
        <v>low</v>
      </c>
      <c r="I748" s="3">
        <v>36575</v>
      </c>
      <c r="J748">
        <f t="shared" si="146"/>
        <v>2000</v>
      </c>
      <c r="K748">
        <f t="shared" si="147"/>
        <v>2</v>
      </c>
      <c r="L748">
        <f t="shared" si="148"/>
        <v>19</v>
      </c>
      <c r="M748" s="3">
        <f t="shared" ca="1" si="149"/>
        <v>46100</v>
      </c>
      <c r="N748">
        <f t="shared" ca="1" si="150"/>
        <v>9525</v>
      </c>
      <c r="O748">
        <f t="shared" ca="1" si="151"/>
        <v>9525</v>
      </c>
      <c r="P748">
        <f t="shared" ca="1" si="152"/>
        <v>6804</v>
      </c>
      <c r="Q748">
        <v>39</v>
      </c>
      <c r="R748" t="str">
        <f t="shared" si="153"/>
        <v>Old</v>
      </c>
      <c r="S748" t="s">
        <v>34</v>
      </c>
      <c r="T748">
        <v>5</v>
      </c>
      <c r="U748" t="s">
        <v>45</v>
      </c>
      <c r="V748">
        <v>2327.16</v>
      </c>
      <c r="W748" t="s">
        <v>26</v>
      </c>
      <c r="X748" t="s">
        <v>40</v>
      </c>
      <c r="Y748">
        <v>27</v>
      </c>
      <c r="Z748" t="str">
        <f t="shared" si="154"/>
        <v>Bad Employee</v>
      </c>
      <c r="AA748" t="b">
        <f t="shared" si="155"/>
        <v>0</v>
      </c>
      <c r="AB748" t="b">
        <f>OR(Y748&gt;20, T748&gt;6)</f>
        <v>1</v>
      </c>
      <c r="AC748" t="str">
        <f>IF(OR(Y748&gt;20,T748&gt;6), "Good employee", "Bad Employee")</f>
        <v>Good employee</v>
      </c>
      <c r="AD748" t="s">
        <v>28</v>
      </c>
      <c r="AE748" t="s">
        <v>42</v>
      </c>
      <c r="AF748">
        <v>10</v>
      </c>
      <c r="AG748">
        <v>2010</v>
      </c>
      <c r="AH748" t="s">
        <v>43</v>
      </c>
      <c r="AI748">
        <v>123</v>
      </c>
      <c r="AJ748">
        <v>4.4000000000000004</v>
      </c>
    </row>
    <row r="749" spans="1:36" x14ac:dyDescent="0.25">
      <c r="A749">
        <v>10748</v>
      </c>
      <c r="B749" t="s">
        <v>21</v>
      </c>
      <c r="C749" t="s">
        <v>32</v>
      </c>
      <c r="D749" t="s">
        <v>39</v>
      </c>
      <c r="E749" t="str">
        <f t="shared" si="143"/>
        <v>Michael Wilson is in IT Department</v>
      </c>
      <c r="F749" s="6" t="str">
        <f t="shared" si="144"/>
        <v>michaelwilson@gmail.com</v>
      </c>
      <c r="G749">
        <v>61115</v>
      </c>
      <c r="H749" t="str">
        <f t="shared" si="145"/>
        <v>Medium</v>
      </c>
      <c r="I749" s="3">
        <v>37040</v>
      </c>
      <c r="J749">
        <f t="shared" si="146"/>
        <v>2001</v>
      </c>
      <c r="K749">
        <f t="shared" si="147"/>
        <v>5</v>
      </c>
      <c r="L749">
        <f t="shared" si="148"/>
        <v>29</v>
      </c>
      <c r="M749" s="3">
        <f t="shared" ca="1" si="149"/>
        <v>46100</v>
      </c>
      <c r="N749">
        <f t="shared" ca="1" si="150"/>
        <v>9060</v>
      </c>
      <c r="O749">
        <f t="shared" ca="1" si="151"/>
        <v>9060</v>
      </c>
      <c r="P749">
        <f t="shared" ca="1" si="152"/>
        <v>6473</v>
      </c>
      <c r="Q749">
        <v>30</v>
      </c>
      <c r="R749" t="str">
        <f t="shared" si="153"/>
        <v>Young</v>
      </c>
      <c r="S749" t="s">
        <v>24</v>
      </c>
      <c r="T749">
        <v>3</v>
      </c>
      <c r="U749" t="s">
        <v>45</v>
      </c>
      <c r="V749">
        <v>1909.66</v>
      </c>
      <c r="W749" t="s">
        <v>35</v>
      </c>
      <c r="X749" t="s">
        <v>27</v>
      </c>
      <c r="Y749">
        <v>39</v>
      </c>
      <c r="Z749" t="str">
        <f t="shared" si="154"/>
        <v>Bad Employee</v>
      </c>
      <c r="AA749" t="b">
        <f t="shared" si="155"/>
        <v>0</v>
      </c>
      <c r="AB749" t="b">
        <f>OR(Y749&gt;20, T749&gt;6)</f>
        <v>1</v>
      </c>
      <c r="AC749" t="str">
        <f>IF(OR(Y749&gt;20,T749&gt;6), "Good employee", "Bad Employee")</f>
        <v>Good employee</v>
      </c>
      <c r="AD749" t="s">
        <v>28</v>
      </c>
      <c r="AE749" t="s">
        <v>37</v>
      </c>
      <c r="AF749">
        <v>0</v>
      </c>
      <c r="AG749">
        <v>2012</v>
      </c>
      <c r="AH749" t="s">
        <v>30</v>
      </c>
      <c r="AI749">
        <v>143</v>
      </c>
      <c r="AJ749">
        <v>3.8</v>
      </c>
    </row>
    <row r="750" spans="1:36" x14ac:dyDescent="0.25">
      <c r="A750">
        <v>10749</v>
      </c>
      <c r="B750" t="s">
        <v>66</v>
      </c>
      <c r="C750" t="s">
        <v>63</v>
      </c>
      <c r="D750" t="s">
        <v>52</v>
      </c>
      <c r="E750" t="str">
        <f t="shared" si="143"/>
        <v>John Miller is in Operations Department</v>
      </c>
      <c r="F750" s="6" t="str">
        <f t="shared" si="144"/>
        <v>johnmiller@gmail.com</v>
      </c>
      <c r="G750">
        <v>96266</v>
      </c>
      <c r="H750" t="str">
        <f t="shared" si="145"/>
        <v>High</v>
      </c>
      <c r="I750" s="3">
        <v>39317</v>
      </c>
      <c r="J750">
        <f t="shared" si="146"/>
        <v>2007</v>
      </c>
      <c r="K750">
        <f t="shared" si="147"/>
        <v>8</v>
      </c>
      <c r="L750">
        <f t="shared" si="148"/>
        <v>23</v>
      </c>
      <c r="M750" s="3">
        <f t="shared" ca="1" si="149"/>
        <v>46100</v>
      </c>
      <c r="N750">
        <f t="shared" ca="1" si="150"/>
        <v>6783</v>
      </c>
      <c r="O750">
        <f t="shared" ca="1" si="151"/>
        <v>6783</v>
      </c>
      <c r="P750">
        <f t="shared" ca="1" si="152"/>
        <v>4846</v>
      </c>
      <c r="Q750">
        <v>26</v>
      </c>
      <c r="R750" t="str">
        <f t="shared" si="153"/>
        <v>Young</v>
      </c>
      <c r="S750" t="s">
        <v>34</v>
      </c>
      <c r="T750">
        <v>8</v>
      </c>
      <c r="U750" t="s">
        <v>45</v>
      </c>
      <c r="V750">
        <v>3284.27</v>
      </c>
      <c r="W750" t="s">
        <v>26</v>
      </c>
      <c r="X750" t="s">
        <v>27</v>
      </c>
      <c r="Y750">
        <v>36</v>
      </c>
      <c r="Z750" t="str">
        <f t="shared" si="154"/>
        <v>Good Employee</v>
      </c>
      <c r="AA750" t="b">
        <f t="shared" si="155"/>
        <v>1</v>
      </c>
      <c r="AB750" t="b">
        <f>OR(Y750&gt;20, T750&gt;6)</f>
        <v>1</v>
      </c>
      <c r="AC750" t="str">
        <f>IF(OR(Y750&gt;20,T750&gt;6), "Good employee", "Bad Employee")</f>
        <v>Good employee</v>
      </c>
      <c r="AD750" t="s">
        <v>41</v>
      </c>
      <c r="AE750" t="s">
        <v>59</v>
      </c>
      <c r="AF750">
        <v>0</v>
      </c>
      <c r="AG750">
        <v>2018</v>
      </c>
      <c r="AH750" t="s">
        <v>30</v>
      </c>
      <c r="AI750">
        <v>185</v>
      </c>
      <c r="AJ750">
        <v>3.4</v>
      </c>
    </row>
    <row r="751" spans="1:36" x14ac:dyDescent="0.25">
      <c r="A751">
        <v>10750</v>
      </c>
      <c r="B751" t="s">
        <v>60</v>
      </c>
      <c r="C751" t="s">
        <v>51</v>
      </c>
      <c r="D751" t="s">
        <v>33</v>
      </c>
      <c r="E751" t="str">
        <f t="shared" si="143"/>
        <v>Jane Brown is in Marketing Department</v>
      </c>
      <c r="F751" s="6" t="str">
        <f t="shared" si="144"/>
        <v>janebrown@gmail.com</v>
      </c>
      <c r="G751">
        <v>31832</v>
      </c>
      <c r="H751" t="str">
        <f t="shared" si="145"/>
        <v>extremely low</v>
      </c>
      <c r="I751" s="3">
        <v>39304</v>
      </c>
      <c r="J751">
        <f t="shared" si="146"/>
        <v>2007</v>
      </c>
      <c r="K751">
        <f t="shared" si="147"/>
        <v>8</v>
      </c>
      <c r="L751">
        <f t="shared" si="148"/>
        <v>10</v>
      </c>
      <c r="M751" s="3">
        <f t="shared" ca="1" si="149"/>
        <v>46100</v>
      </c>
      <c r="N751">
        <f t="shared" ca="1" si="150"/>
        <v>6796</v>
      </c>
      <c r="O751">
        <f t="shared" ca="1" si="151"/>
        <v>6796</v>
      </c>
      <c r="P751">
        <f t="shared" ca="1" si="152"/>
        <v>4855</v>
      </c>
      <c r="Q751">
        <v>25</v>
      </c>
      <c r="R751" t="str">
        <f t="shared" si="153"/>
        <v>Young</v>
      </c>
      <c r="S751" t="s">
        <v>34</v>
      </c>
      <c r="T751">
        <v>3</v>
      </c>
      <c r="U751" t="s">
        <v>45</v>
      </c>
      <c r="V751">
        <v>805.06</v>
      </c>
      <c r="W751" t="s">
        <v>26</v>
      </c>
      <c r="X751" t="s">
        <v>47</v>
      </c>
      <c r="Y751">
        <v>5</v>
      </c>
      <c r="Z751" t="str">
        <f t="shared" si="154"/>
        <v>Bad Employee</v>
      </c>
      <c r="AA751" t="b">
        <f t="shared" si="155"/>
        <v>0</v>
      </c>
      <c r="AB751" t="b">
        <f>OR(Y751&gt;20, T751&gt;6)</f>
        <v>0</v>
      </c>
      <c r="AC751" t="str">
        <f>IF(OR(Y751&gt;20,T751&gt;6), "Good employee", "Bad Employee")</f>
        <v>Bad Employee</v>
      </c>
      <c r="AD751" t="s">
        <v>28</v>
      </c>
      <c r="AE751" t="s">
        <v>37</v>
      </c>
      <c r="AF751">
        <v>7</v>
      </c>
      <c r="AG751">
        <v>2011</v>
      </c>
      <c r="AH751" t="s">
        <v>49</v>
      </c>
      <c r="AI751">
        <v>187</v>
      </c>
      <c r="AJ751">
        <v>4.8</v>
      </c>
    </row>
    <row r="752" spans="1:36" x14ac:dyDescent="0.25">
      <c r="A752">
        <v>10751</v>
      </c>
      <c r="B752" t="s">
        <v>53</v>
      </c>
      <c r="C752" t="s">
        <v>32</v>
      </c>
      <c r="D752" t="s">
        <v>44</v>
      </c>
      <c r="E752" t="str">
        <f t="shared" si="143"/>
        <v>Sarah Wilson is in Sales Department</v>
      </c>
      <c r="F752" s="6" t="str">
        <f t="shared" si="144"/>
        <v>sarahwilson@gmail.com</v>
      </c>
      <c r="G752">
        <v>71368</v>
      </c>
      <c r="H752" t="str">
        <f t="shared" si="145"/>
        <v>Medium</v>
      </c>
      <c r="I752" s="3">
        <v>39144</v>
      </c>
      <c r="J752">
        <f t="shared" si="146"/>
        <v>2007</v>
      </c>
      <c r="K752">
        <f t="shared" si="147"/>
        <v>3</v>
      </c>
      <c r="L752">
        <f t="shared" si="148"/>
        <v>3</v>
      </c>
      <c r="M752" s="3">
        <f t="shared" ca="1" si="149"/>
        <v>46100</v>
      </c>
      <c r="N752">
        <f t="shared" ca="1" si="150"/>
        <v>6956</v>
      </c>
      <c r="O752">
        <f t="shared" ca="1" si="151"/>
        <v>6956</v>
      </c>
      <c r="P752">
        <f t="shared" ca="1" si="152"/>
        <v>4969</v>
      </c>
      <c r="Q752">
        <v>50</v>
      </c>
      <c r="R752" t="str">
        <f t="shared" si="153"/>
        <v>Old</v>
      </c>
      <c r="S752" t="s">
        <v>24</v>
      </c>
      <c r="T752">
        <v>7</v>
      </c>
      <c r="U752" t="s">
        <v>25</v>
      </c>
      <c r="V752">
        <v>7562.52</v>
      </c>
      <c r="W752" t="s">
        <v>58</v>
      </c>
      <c r="X752" t="s">
        <v>36</v>
      </c>
      <c r="Y752">
        <v>1</v>
      </c>
      <c r="Z752" t="str">
        <f t="shared" si="154"/>
        <v>Bad Employee</v>
      </c>
      <c r="AA752" t="b">
        <f t="shared" si="155"/>
        <v>0</v>
      </c>
      <c r="AB752" t="b">
        <f>OR(Y752&gt;20, T752&gt;6)</f>
        <v>1</v>
      </c>
      <c r="AC752" t="str">
        <f>IF(OR(Y752&gt;20,T752&gt;6), "Good employee", "Bad Employee")</f>
        <v>Good employee</v>
      </c>
      <c r="AD752" t="s">
        <v>41</v>
      </c>
      <c r="AE752" t="s">
        <v>37</v>
      </c>
      <c r="AF752">
        <v>12</v>
      </c>
      <c r="AG752">
        <v>2021</v>
      </c>
      <c r="AH752" t="s">
        <v>49</v>
      </c>
      <c r="AI752">
        <v>83</v>
      </c>
      <c r="AJ752">
        <v>1.9</v>
      </c>
    </row>
    <row r="753" spans="1:36" x14ac:dyDescent="0.25">
      <c r="A753">
        <v>10752</v>
      </c>
      <c r="B753" t="s">
        <v>38</v>
      </c>
      <c r="C753" t="s">
        <v>63</v>
      </c>
      <c r="D753" t="s">
        <v>54</v>
      </c>
      <c r="E753" t="str">
        <f t="shared" si="143"/>
        <v>Chris Miller is in Finance Department</v>
      </c>
      <c r="F753" s="6" t="str">
        <f t="shared" si="144"/>
        <v>chrismiller@gmail.com</v>
      </c>
      <c r="G753">
        <v>118425</v>
      </c>
      <c r="H753" t="str">
        <f t="shared" si="145"/>
        <v>High</v>
      </c>
      <c r="I753" s="3">
        <v>38363</v>
      </c>
      <c r="J753">
        <f t="shared" si="146"/>
        <v>2005</v>
      </c>
      <c r="K753">
        <f t="shared" si="147"/>
        <v>1</v>
      </c>
      <c r="L753">
        <f t="shared" si="148"/>
        <v>11</v>
      </c>
      <c r="M753" s="3">
        <f t="shared" ca="1" si="149"/>
        <v>46100</v>
      </c>
      <c r="N753">
        <f t="shared" ca="1" si="150"/>
        <v>7737</v>
      </c>
      <c r="O753">
        <f t="shared" ca="1" si="151"/>
        <v>7737</v>
      </c>
      <c r="P753">
        <f t="shared" ca="1" si="152"/>
        <v>5528</v>
      </c>
      <c r="Q753">
        <v>22</v>
      </c>
      <c r="R753" t="str">
        <f t="shared" si="153"/>
        <v>Young</v>
      </c>
      <c r="S753" t="s">
        <v>24</v>
      </c>
      <c r="T753">
        <v>7</v>
      </c>
      <c r="U753" t="s">
        <v>45</v>
      </c>
      <c r="V753">
        <v>2957.8</v>
      </c>
      <c r="W753" t="s">
        <v>35</v>
      </c>
      <c r="X753" t="s">
        <v>27</v>
      </c>
      <c r="Y753">
        <v>22</v>
      </c>
      <c r="Z753" t="str">
        <f t="shared" si="154"/>
        <v>Good Employee</v>
      </c>
      <c r="AA753" t="b">
        <f t="shared" si="155"/>
        <v>1</v>
      </c>
      <c r="AB753" t="b">
        <f>OR(Y753&gt;20, T753&gt;6)</f>
        <v>1</v>
      </c>
      <c r="AC753" t="str">
        <f>IF(OR(Y753&gt;20,T753&gt;6), "Good employee", "Bad Employee")</f>
        <v>Good employee</v>
      </c>
      <c r="AD753" t="s">
        <v>28</v>
      </c>
      <c r="AE753" t="s">
        <v>62</v>
      </c>
      <c r="AF753">
        <v>7</v>
      </c>
      <c r="AG753">
        <v>2015</v>
      </c>
      <c r="AH753" t="s">
        <v>49</v>
      </c>
      <c r="AI753">
        <v>54</v>
      </c>
      <c r="AJ753">
        <v>2.8</v>
      </c>
    </row>
    <row r="754" spans="1:36" x14ac:dyDescent="0.25">
      <c r="A754">
        <v>10753</v>
      </c>
      <c r="B754" t="s">
        <v>60</v>
      </c>
      <c r="C754" t="s">
        <v>57</v>
      </c>
      <c r="D754" t="s">
        <v>23</v>
      </c>
      <c r="E754" t="str">
        <f t="shared" si="143"/>
        <v>Jane Davis is in HR Department</v>
      </c>
      <c r="F754" s="6" t="str">
        <f t="shared" si="144"/>
        <v>janedavis@gmail.com</v>
      </c>
      <c r="G754">
        <v>99715</v>
      </c>
      <c r="H754" t="str">
        <f t="shared" si="145"/>
        <v>High</v>
      </c>
      <c r="I754" s="3">
        <v>41197</v>
      </c>
      <c r="J754">
        <f t="shared" si="146"/>
        <v>2012</v>
      </c>
      <c r="K754">
        <f t="shared" si="147"/>
        <v>10</v>
      </c>
      <c r="L754">
        <f t="shared" si="148"/>
        <v>15</v>
      </c>
      <c r="M754" s="3">
        <f t="shared" ca="1" si="149"/>
        <v>46100</v>
      </c>
      <c r="N754">
        <f t="shared" ca="1" si="150"/>
        <v>4903</v>
      </c>
      <c r="O754">
        <f t="shared" ca="1" si="151"/>
        <v>4903</v>
      </c>
      <c r="P754">
        <f t="shared" ca="1" si="152"/>
        <v>3504</v>
      </c>
      <c r="Q754">
        <v>51</v>
      </c>
      <c r="R754" t="str">
        <f t="shared" si="153"/>
        <v>Old</v>
      </c>
      <c r="S754" t="s">
        <v>34</v>
      </c>
      <c r="T754">
        <v>7</v>
      </c>
      <c r="U754" t="s">
        <v>25</v>
      </c>
      <c r="V754">
        <v>1680.26</v>
      </c>
      <c r="W754" t="s">
        <v>58</v>
      </c>
      <c r="X754" t="s">
        <v>47</v>
      </c>
      <c r="Y754">
        <v>10</v>
      </c>
      <c r="Z754" t="str">
        <f t="shared" si="154"/>
        <v>Bad Employee</v>
      </c>
      <c r="AA754" t="b">
        <f t="shared" si="155"/>
        <v>0</v>
      </c>
      <c r="AB754" t="b">
        <f>OR(Y754&gt;20, T754&gt;6)</f>
        <v>1</v>
      </c>
      <c r="AC754" t="str">
        <f>IF(OR(Y754&gt;20,T754&gt;6), "Good employee", "Bad Employee")</f>
        <v>Good employee</v>
      </c>
      <c r="AD754" t="s">
        <v>28</v>
      </c>
      <c r="AE754" t="s">
        <v>62</v>
      </c>
      <c r="AF754">
        <v>1</v>
      </c>
      <c r="AG754">
        <v>2012</v>
      </c>
      <c r="AH754" t="s">
        <v>30</v>
      </c>
      <c r="AI754">
        <v>185</v>
      </c>
      <c r="AJ754">
        <v>4.5</v>
      </c>
    </row>
    <row r="755" spans="1:36" x14ac:dyDescent="0.25">
      <c r="A755">
        <v>10754</v>
      </c>
      <c r="B755" t="s">
        <v>60</v>
      </c>
      <c r="C755" t="s">
        <v>63</v>
      </c>
      <c r="D755" t="s">
        <v>23</v>
      </c>
      <c r="E755" t="str">
        <f t="shared" si="143"/>
        <v>Jane Miller is in HR Department</v>
      </c>
      <c r="F755" s="6" t="str">
        <f t="shared" si="144"/>
        <v>janemiller@gmail.com</v>
      </c>
      <c r="G755">
        <v>101835</v>
      </c>
      <c r="H755" t="str">
        <f t="shared" si="145"/>
        <v>High</v>
      </c>
      <c r="I755" s="3">
        <v>37691</v>
      </c>
      <c r="J755">
        <f t="shared" si="146"/>
        <v>2003</v>
      </c>
      <c r="K755">
        <f t="shared" si="147"/>
        <v>3</v>
      </c>
      <c r="L755">
        <f t="shared" si="148"/>
        <v>11</v>
      </c>
      <c r="M755" s="3">
        <f t="shared" ca="1" si="149"/>
        <v>46100</v>
      </c>
      <c r="N755">
        <f t="shared" ca="1" si="150"/>
        <v>8409</v>
      </c>
      <c r="O755">
        <f t="shared" ca="1" si="151"/>
        <v>8409</v>
      </c>
      <c r="P755">
        <f t="shared" ca="1" si="152"/>
        <v>6008</v>
      </c>
      <c r="Q755">
        <v>22</v>
      </c>
      <c r="R755" t="str">
        <f t="shared" si="153"/>
        <v>Young</v>
      </c>
      <c r="S755" t="s">
        <v>24</v>
      </c>
      <c r="T755">
        <v>1</v>
      </c>
      <c r="U755" t="s">
        <v>45</v>
      </c>
      <c r="V755">
        <v>7141.73</v>
      </c>
      <c r="W755" t="s">
        <v>46</v>
      </c>
      <c r="X755" t="s">
        <v>55</v>
      </c>
      <c r="Y755">
        <v>24</v>
      </c>
      <c r="Z755" t="str">
        <f t="shared" si="154"/>
        <v>Bad Employee</v>
      </c>
      <c r="AA755" t="b">
        <f t="shared" si="155"/>
        <v>0</v>
      </c>
      <c r="AB755" t="b">
        <f>OR(Y755&gt;20, T755&gt;6)</f>
        <v>1</v>
      </c>
      <c r="AC755" t="str">
        <f>IF(OR(Y755&gt;20,T755&gt;6), "Good employee", "Bad Employee")</f>
        <v>Good employee</v>
      </c>
      <c r="AD755" t="s">
        <v>41</v>
      </c>
      <c r="AE755" t="s">
        <v>42</v>
      </c>
      <c r="AF755">
        <v>7</v>
      </c>
      <c r="AG755">
        <v>2015</v>
      </c>
      <c r="AH755" t="s">
        <v>30</v>
      </c>
      <c r="AI755">
        <v>129</v>
      </c>
      <c r="AJ755">
        <v>3.2</v>
      </c>
    </row>
    <row r="756" spans="1:36" x14ac:dyDescent="0.25">
      <c r="A756">
        <v>10755</v>
      </c>
      <c r="B756" t="s">
        <v>60</v>
      </c>
      <c r="C756" t="s">
        <v>57</v>
      </c>
      <c r="D756" t="s">
        <v>39</v>
      </c>
      <c r="E756" t="str">
        <f t="shared" si="143"/>
        <v>Jane Davis is in IT Department</v>
      </c>
      <c r="F756" s="6" t="str">
        <f t="shared" si="144"/>
        <v>janedavis@gmail.com</v>
      </c>
      <c r="G756">
        <v>103366</v>
      </c>
      <c r="H756" t="str">
        <f t="shared" si="145"/>
        <v>High</v>
      </c>
      <c r="I756" s="3">
        <v>41524</v>
      </c>
      <c r="J756">
        <f t="shared" si="146"/>
        <v>2013</v>
      </c>
      <c r="K756">
        <f t="shared" si="147"/>
        <v>9</v>
      </c>
      <c r="L756">
        <f t="shared" si="148"/>
        <v>7</v>
      </c>
      <c r="M756" s="3">
        <f t="shared" ca="1" si="149"/>
        <v>46100</v>
      </c>
      <c r="N756">
        <f t="shared" ca="1" si="150"/>
        <v>4576</v>
      </c>
      <c r="O756">
        <f t="shared" ca="1" si="151"/>
        <v>4576</v>
      </c>
      <c r="P756">
        <f t="shared" ca="1" si="152"/>
        <v>3269</v>
      </c>
      <c r="Q756">
        <v>24</v>
      </c>
      <c r="R756" t="str">
        <f t="shared" si="153"/>
        <v>Young</v>
      </c>
      <c r="S756" t="s">
        <v>34</v>
      </c>
      <c r="T756">
        <v>5</v>
      </c>
      <c r="U756" t="s">
        <v>25</v>
      </c>
      <c r="V756">
        <v>8507.82</v>
      </c>
      <c r="W756" t="s">
        <v>26</v>
      </c>
      <c r="X756" t="s">
        <v>27</v>
      </c>
      <c r="Y756">
        <v>15</v>
      </c>
      <c r="Z756" t="str">
        <f t="shared" si="154"/>
        <v>Bad Employee</v>
      </c>
      <c r="AA756" t="b">
        <f t="shared" si="155"/>
        <v>0</v>
      </c>
      <c r="AB756" t="b">
        <f>OR(Y756&gt;20, T756&gt;6)</f>
        <v>0</v>
      </c>
      <c r="AC756" t="str">
        <f>IF(OR(Y756&gt;20,T756&gt;6), "Good employee", "Bad Employee")</f>
        <v>Bad Employee</v>
      </c>
      <c r="AD756" t="s">
        <v>41</v>
      </c>
      <c r="AE756" t="s">
        <v>29</v>
      </c>
      <c r="AF756">
        <v>13</v>
      </c>
      <c r="AG756">
        <v>2020</v>
      </c>
      <c r="AH756" t="s">
        <v>30</v>
      </c>
      <c r="AI756">
        <v>59</v>
      </c>
      <c r="AJ756">
        <v>2</v>
      </c>
    </row>
    <row r="757" spans="1:36" x14ac:dyDescent="0.25">
      <c r="A757">
        <v>10756</v>
      </c>
      <c r="B757" t="s">
        <v>64</v>
      </c>
      <c r="C757" t="s">
        <v>61</v>
      </c>
      <c r="D757" t="s">
        <v>33</v>
      </c>
      <c r="E757" t="str">
        <f t="shared" si="143"/>
        <v>Katie Smith is in Marketing Department</v>
      </c>
      <c r="F757" s="6" t="str">
        <f t="shared" si="144"/>
        <v>katiesmith@gmail.com</v>
      </c>
      <c r="G757">
        <v>67570</v>
      </c>
      <c r="H757" t="str">
        <f t="shared" si="145"/>
        <v>Medium</v>
      </c>
      <c r="I757" s="3">
        <v>38775</v>
      </c>
      <c r="J757">
        <f t="shared" si="146"/>
        <v>2006</v>
      </c>
      <c r="K757">
        <f t="shared" si="147"/>
        <v>2</v>
      </c>
      <c r="L757">
        <f t="shared" si="148"/>
        <v>27</v>
      </c>
      <c r="M757" s="3">
        <f t="shared" ca="1" si="149"/>
        <v>46100</v>
      </c>
      <c r="N757">
        <f t="shared" ca="1" si="150"/>
        <v>7325</v>
      </c>
      <c r="O757">
        <f t="shared" ca="1" si="151"/>
        <v>7325</v>
      </c>
      <c r="P757">
        <f t="shared" ca="1" si="152"/>
        <v>5234</v>
      </c>
      <c r="Q757">
        <v>43</v>
      </c>
      <c r="R757" t="str">
        <f t="shared" si="153"/>
        <v>Old</v>
      </c>
      <c r="S757" t="s">
        <v>24</v>
      </c>
      <c r="T757">
        <v>1</v>
      </c>
      <c r="U757" t="s">
        <v>45</v>
      </c>
      <c r="V757">
        <v>688.82</v>
      </c>
      <c r="W757" t="s">
        <v>46</v>
      </c>
      <c r="X757" t="s">
        <v>36</v>
      </c>
      <c r="Y757">
        <v>33</v>
      </c>
      <c r="Z757" t="str">
        <f t="shared" si="154"/>
        <v>Bad Employee</v>
      </c>
      <c r="AA757" t="b">
        <f t="shared" si="155"/>
        <v>0</v>
      </c>
      <c r="AB757" t="b">
        <f>OR(Y757&gt;20, T757&gt;6)</f>
        <v>1</v>
      </c>
      <c r="AC757" t="str">
        <f>IF(OR(Y757&gt;20,T757&gt;6), "Good employee", "Bad Employee")</f>
        <v>Good employee</v>
      </c>
      <c r="AD757" t="s">
        <v>56</v>
      </c>
      <c r="AE757" t="s">
        <v>48</v>
      </c>
      <c r="AF757">
        <v>1</v>
      </c>
      <c r="AG757">
        <v>2020</v>
      </c>
      <c r="AH757" t="s">
        <v>49</v>
      </c>
      <c r="AI757">
        <v>96</v>
      </c>
      <c r="AJ757">
        <v>1.8</v>
      </c>
    </row>
    <row r="758" spans="1:36" x14ac:dyDescent="0.25">
      <c r="A758">
        <v>10757</v>
      </c>
      <c r="B758" t="s">
        <v>60</v>
      </c>
      <c r="C758" t="s">
        <v>22</v>
      </c>
      <c r="D758" t="s">
        <v>23</v>
      </c>
      <c r="E758" t="str">
        <f t="shared" si="143"/>
        <v>Jane Williams is in HR Department</v>
      </c>
      <c r="F758" s="6" t="str">
        <f t="shared" si="144"/>
        <v>janewilliams@gmail.com</v>
      </c>
      <c r="G758">
        <v>117977</v>
      </c>
      <c r="H758" t="str">
        <f t="shared" si="145"/>
        <v>High</v>
      </c>
      <c r="I758" s="3">
        <v>42876</v>
      </c>
      <c r="J758">
        <f t="shared" si="146"/>
        <v>2017</v>
      </c>
      <c r="K758">
        <f t="shared" si="147"/>
        <v>5</v>
      </c>
      <c r="L758">
        <f t="shared" si="148"/>
        <v>21</v>
      </c>
      <c r="M758" s="3">
        <f t="shared" ca="1" si="149"/>
        <v>46100</v>
      </c>
      <c r="N758">
        <f t="shared" ca="1" si="150"/>
        <v>3224</v>
      </c>
      <c r="O758">
        <f t="shared" ca="1" si="151"/>
        <v>3224</v>
      </c>
      <c r="P758">
        <f t="shared" ca="1" si="152"/>
        <v>2304</v>
      </c>
      <c r="Q758">
        <v>29</v>
      </c>
      <c r="R758" t="str">
        <f t="shared" si="153"/>
        <v>Young</v>
      </c>
      <c r="S758" t="s">
        <v>24</v>
      </c>
      <c r="T758">
        <v>7</v>
      </c>
      <c r="U758" t="s">
        <v>25</v>
      </c>
      <c r="V758">
        <v>2719.2</v>
      </c>
      <c r="W758" t="s">
        <v>26</v>
      </c>
      <c r="X758" t="s">
        <v>55</v>
      </c>
      <c r="Y758">
        <v>23</v>
      </c>
      <c r="Z758" t="str">
        <f t="shared" si="154"/>
        <v>Good Employee</v>
      </c>
      <c r="AA758" t="b">
        <f t="shared" si="155"/>
        <v>1</v>
      </c>
      <c r="AB758" t="b">
        <f>OR(Y758&gt;20, T758&gt;6)</f>
        <v>1</v>
      </c>
      <c r="AC758" t="str">
        <f>IF(OR(Y758&gt;20,T758&gt;6), "Good employee", "Bad Employee")</f>
        <v>Good employee</v>
      </c>
      <c r="AD758" t="s">
        <v>28</v>
      </c>
      <c r="AE758" t="s">
        <v>59</v>
      </c>
      <c r="AF758">
        <v>12</v>
      </c>
      <c r="AG758">
        <v>2016</v>
      </c>
      <c r="AH758" t="s">
        <v>43</v>
      </c>
      <c r="AI758">
        <v>7</v>
      </c>
      <c r="AJ758">
        <v>4</v>
      </c>
    </row>
    <row r="759" spans="1:36" x14ac:dyDescent="0.25">
      <c r="A759">
        <v>10758</v>
      </c>
      <c r="B759" t="s">
        <v>50</v>
      </c>
      <c r="C759" t="s">
        <v>32</v>
      </c>
      <c r="D759" t="s">
        <v>39</v>
      </c>
      <c r="E759" t="str">
        <f t="shared" si="143"/>
        <v>Alex Wilson is in IT Department</v>
      </c>
      <c r="F759" s="6" t="str">
        <f t="shared" si="144"/>
        <v>alexwilson@gmail.com</v>
      </c>
      <c r="G759">
        <v>36615</v>
      </c>
      <c r="H759" t="str">
        <f t="shared" si="145"/>
        <v>extremely low</v>
      </c>
      <c r="I759" s="3">
        <v>36940</v>
      </c>
      <c r="J759">
        <f t="shared" si="146"/>
        <v>2001</v>
      </c>
      <c r="K759">
        <f t="shared" si="147"/>
        <v>2</v>
      </c>
      <c r="L759">
        <f t="shared" si="148"/>
        <v>18</v>
      </c>
      <c r="M759" s="3">
        <f t="shared" ca="1" si="149"/>
        <v>46100</v>
      </c>
      <c r="N759">
        <f t="shared" ca="1" si="150"/>
        <v>9160</v>
      </c>
      <c r="O759">
        <f t="shared" ca="1" si="151"/>
        <v>9160</v>
      </c>
      <c r="P759">
        <f t="shared" ca="1" si="152"/>
        <v>6544</v>
      </c>
      <c r="Q759">
        <v>39</v>
      </c>
      <c r="R759" t="str">
        <f t="shared" si="153"/>
        <v>Old</v>
      </c>
      <c r="S759" t="s">
        <v>34</v>
      </c>
      <c r="T759">
        <v>8</v>
      </c>
      <c r="U759" t="s">
        <v>25</v>
      </c>
      <c r="V759">
        <v>9479.7099999999991</v>
      </c>
      <c r="W759" t="s">
        <v>46</v>
      </c>
      <c r="X759" t="s">
        <v>27</v>
      </c>
      <c r="Y759">
        <v>14</v>
      </c>
      <c r="Z759" t="str">
        <f t="shared" si="154"/>
        <v>Bad Employee</v>
      </c>
      <c r="AA759" t="b">
        <f t="shared" si="155"/>
        <v>0</v>
      </c>
      <c r="AB759" t="b">
        <f>OR(Y759&gt;20, T759&gt;6)</f>
        <v>1</v>
      </c>
      <c r="AC759" t="str">
        <f>IF(OR(Y759&gt;20,T759&gt;6), "Good employee", "Bad Employee")</f>
        <v>Good employee</v>
      </c>
      <c r="AD759" t="s">
        <v>56</v>
      </c>
      <c r="AE759" t="s">
        <v>48</v>
      </c>
      <c r="AF759">
        <v>4</v>
      </c>
      <c r="AG759">
        <v>2022</v>
      </c>
      <c r="AH759" t="s">
        <v>43</v>
      </c>
      <c r="AI759">
        <v>124</v>
      </c>
      <c r="AJ759">
        <v>1.1000000000000001</v>
      </c>
    </row>
    <row r="760" spans="1:36" x14ac:dyDescent="0.25">
      <c r="A760">
        <v>10759</v>
      </c>
      <c r="B760" t="s">
        <v>66</v>
      </c>
      <c r="C760" t="s">
        <v>32</v>
      </c>
      <c r="D760" t="s">
        <v>52</v>
      </c>
      <c r="E760" t="str">
        <f t="shared" si="143"/>
        <v>John Wilson is in Operations Department</v>
      </c>
      <c r="F760" s="6" t="str">
        <f t="shared" si="144"/>
        <v>johnwilson@gmail.com</v>
      </c>
      <c r="G760">
        <v>102298</v>
      </c>
      <c r="H760" t="str">
        <f t="shared" si="145"/>
        <v>High</v>
      </c>
      <c r="I760" s="3">
        <v>38794</v>
      </c>
      <c r="J760">
        <f t="shared" si="146"/>
        <v>2006</v>
      </c>
      <c r="K760">
        <f t="shared" si="147"/>
        <v>3</v>
      </c>
      <c r="L760">
        <f t="shared" si="148"/>
        <v>18</v>
      </c>
      <c r="M760" s="3">
        <f t="shared" ca="1" si="149"/>
        <v>46100</v>
      </c>
      <c r="N760">
        <f t="shared" ca="1" si="150"/>
        <v>7306</v>
      </c>
      <c r="O760">
        <f t="shared" ca="1" si="151"/>
        <v>7306</v>
      </c>
      <c r="P760">
        <f t="shared" ca="1" si="152"/>
        <v>5219</v>
      </c>
      <c r="Q760">
        <v>46</v>
      </c>
      <c r="R760" t="str">
        <f t="shared" si="153"/>
        <v>Old</v>
      </c>
      <c r="S760" t="s">
        <v>34</v>
      </c>
      <c r="T760">
        <v>7</v>
      </c>
      <c r="U760" t="s">
        <v>45</v>
      </c>
      <c r="V760">
        <v>4159.91</v>
      </c>
      <c r="W760" t="s">
        <v>58</v>
      </c>
      <c r="X760" t="s">
        <v>27</v>
      </c>
      <c r="Y760">
        <v>18</v>
      </c>
      <c r="Z760" t="str">
        <f t="shared" si="154"/>
        <v>Bad Employee</v>
      </c>
      <c r="AA760" t="b">
        <f t="shared" si="155"/>
        <v>0</v>
      </c>
      <c r="AB760" t="b">
        <f>OR(Y760&gt;20, T760&gt;6)</f>
        <v>1</v>
      </c>
      <c r="AC760" t="str">
        <f>IF(OR(Y760&gt;20,T760&gt;6), "Good employee", "Bad Employee")</f>
        <v>Good employee</v>
      </c>
      <c r="AD760" t="s">
        <v>56</v>
      </c>
      <c r="AE760" t="s">
        <v>59</v>
      </c>
      <c r="AF760">
        <v>0</v>
      </c>
      <c r="AG760">
        <v>2022</v>
      </c>
      <c r="AH760" t="s">
        <v>43</v>
      </c>
      <c r="AI760">
        <v>148</v>
      </c>
      <c r="AJ760">
        <v>4.7</v>
      </c>
    </row>
    <row r="761" spans="1:36" x14ac:dyDescent="0.25">
      <c r="A761">
        <v>10760</v>
      </c>
      <c r="B761" t="s">
        <v>21</v>
      </c>
      <c r="C761" t="s">
        <v>65</v>
      </c>
      <c r="D761" t="s">
        <v>39</v>
      </c>
      <c r="E761" t="str">
        <f t="shared" si="143"/>
        <v>Michael Johnson is in IT Department</v>
      </c>
      <c r="F761" s="6" t="str">
        <f t="shared" si="144"/>
        <v>michaeljohnson@gmail.com</v>
      </c>
      <c r="G761">
        <v>68311</v>
      </c>
      <c r="H761" t="str">
        <f t="shared" si="145"/>
        <v>Medium</v>
      </c>
      <c r="I761" s="3">
        <v>43427</v>
      </c>
      <c r="J761">
        <f t="shared" si="146"/>
        <v>2018</v>
      </c>
      <c r="K761">
        <f t="shared" si="147"/>
        <v>11</v>
      </c>
      <c r="L761">
        <f t="shared" si="148"/>
        <v>23</v>
      </c>
      <c r="M761" s="3">
        <f t="shared" ca="1" si="149"/>
        <v>46100</v>
      </c>
      <c r="N761">
        <f t="shared" ca="1" si="150"/>
        <v>2673</v>
      </c>
      <c r="O761">
        <f t="shared" ca="1" si="151"/>
        <v>2673</v>
      </c>
      <c r="P761">
        <f t="shared" ca="1" si="152"/>
        <v>1910</v>
      </c>
      <c r="Q761">
        <v>41</v>
      </c>
      <c r="R761" t="str">
        <f t="shared" si="153"/>
        <v>Old</v>
      </c>
      <c r="S761" t="s">
        <v>24</v>
      </c>
      <c r="T761">
        <v>1</v>
      </c>
      <c r="U761" t="s">
        <v>45</v>
      </c>
      <c r="V761">
        <v>9416.6200000000008</v>
      </c>
      <c r="W761" t="s">
        <v>35</v>
      </c>
      <c r="X761" t="s">
        <v>36</v>
      </c>
      <c r="Y761">
        <v>25</v>
      </c>
      <c r="Z761" t="str">
        <f t="shared" si="154"/>
        <v>Bad Employee</v>
      </c>
      <c r="AA761" t="b">
        <f t="shared" si="155"/>
        <v>0</v>
      </c>
      <c r="AB761" t="b">
        <f>OR(Y761&gt;20, T761&gt;6)</f>
        <v>1</v>
      </c>
      <c r="AC761" t="str">
        <f>IF(OR(Y761&gt;20,T761&gt;6), "Good employee", "Bad Employee")</f>
        <v>Good employee</v>
      </c>
      <c r="AD761" t="s">
        <v>41</v>
      </c>
      <c r="AE761" t="s">
        <v>59</v>
      </c>
      <c r="AF761">
        <v>8</v>
      </c>
      <c r="AG761">
        <v>2016</v>
      </c>
      <c r="AH761" t="s">
        <v>30</v>
      </c>
      <c r="AI761">
        <v>177</v>
      </c>
      <c r="AJ761">
        <v>1.1000000000000001</v>
      </c>
    </row>
    <row r="762" spans="1:36" x14ac:dyDescent="0.25">
      <c r="A762">
        <v>10761</v>
      </c>
      <c r="B762" t="s">
        <v>31</v>
      </c>
      <c r="C762" t="s">
        <v>65</v>
      </c>
      <c r="D762" t="s">
        <v>39</v>
      </c>
      <c r="E762" t="str">
        <f t="shared" si="143"/>
        <v>Emily Johnson is in IT Department</v>
      </c>
      <c r="F762" s="6" t="str">
        <f t="shared" si="144"/>
        <v>emilyjohnson@gmail.com</v>
      </c>
      <c r="G762">
        <v>53434</v>
      </c>
      <c r="H762" t="str">
        <f t="shared" si="145"/>
        <v>Medium</v>
      </c>
      <c r="I762" s="3">
        <v>37630</v>
      </c>
      <c r="J762">
        <f t="shared" si="146"/>
        <v>2003</v>
      </c>
      <c r="K762">
        <f t="shared" si="147"/>
        <v>1</v>
      </c>
      <c r="L762">
        <f t="shared" si="148"/>
        <v>9</v>
      </c>
      <c r="M762" s="3">
        <f t="shared" ca="1" si="149"/>
        <v>46100</v>
      </c>
      <c r="N762">
        <f t="shared" ca="1" si="150"/>
        <v>8470</v>
      </c>
      <c r="O762">
        <f t="shared" ca="1" si="151"/>
        <v>8470</v>
      </c>
      <c r="P762">
        <f t="shared" ca="1" si="152"/>
        <v>6051</v>
      </c>
      <c r="Q762">
        <v>52</v>
      </c>
      <c r="R762" t="str">
        <f t="shared" si="153"/>
        <v>Old</v>
      </c>
      <c r="S762" t="s">
        <v>34</v>
      </c>
      <c r="T762">
        <v>3</v>
      </c>
      <c r="U762" t="s">
        <v>25</v>
      </c>
      <c r="V762">
        <v>3105.02</v>
      </c>
      <c r="W762" t="s">
        <v>46</v>
      </c>
      <c r="X762" t="s">
        <v>40</v>
      </c>
      <c r="Y762">
        <v>22</v>
      </c>
      <c r="Z762" t="str">
        <f t="shared" si="154"/>
        <v>Bad Employee</v>
      </c>
      <c r="AA762" t="b">
        <f t="shared" si="155"/>
        <v>0</v>
      </c>
      <c r="AB762" t="b">
        <f>OR(Y762&gt;20, T762&gt;6)</f>
        <v>1</v>
      </c>
      <c r="AC762" t="str">
        <f>IF(OR(Y762&gt;20,T762&gt;6), "Good employee", "Bad Employee")</f>
        <v>Good employee</v>
      </c>
      <c r="AD762" t="s">
        <v>28</v>
      </c>
      <c r="AE762" t="s">
        <v>37</v>
      </c>
      <c r="AF762">
        <v>19</v>
      </c>
      <c r="AG762">
        <v>2023</v>
      </c>
      <c r="AH762" t="s">
        <v>43</v>
      </c>
      <c r="AI762">
        <v>85</v>
      </c>
      <c r="AJ762">
        <v>3.5</v>
      </c>
    </row>
    <row r="763" spans="1:36" x14ac:dyDescent="0.25">
      <c r="A763">
        <v>10762</v>
      </c>
      <c r="B763" t="s">
        <v>60</v>
      </c>
      <c r="C763" t="s">
        <v>22</v>
      </c>
      <c r="D763" t="s">
        <v>39</v>
      </c>
      <c r="E763" t="str">
        <f t="shared" si="143"/>
        <v>Jane Williams is in IT Department</v>
      </c>
      <c r="F763" s="6" t="str">
        <f t="shared" si="144"/>
        <v>janewilliams@gmail.com</v>
      </c>
      <c r="G763">
        <v>116879</v>
      </c>
      <c r="H763" t="str">
        <f t="shared" si="145"/>
        <v>High</v>
      </c>
      <c r="I763" s="3">
        <v>41384</v>
      </c>
      <c r="J763">
        <f t="shared" si="146"/>
        <v>2013</v>
      </c>
      <c r="K763">
        <f t="shared" si="147"/>
        <v>4</v>
      </c>
      <c r="L763">
        <f t="shared" si="148"/>
        <v>20</v>
      </c>
      <c r="M763" s="3">
        <f t="shared" ca="1" si="149"/>
        <v>46100</v>
      </c>
      <c r="N763">
        <f t="shared" ca="1" si="150"/>
        <v>4716</v>
      </c>
      <c r="O763">
        <f t="shared" ca="1" si="151"/>
        <v>4716</v>
      </c>
      <c r="P763">
        <f t="shared" ca="1" si="152"/>
        <v>3369</v>
      </c>
      <c r="Q763">
        <v>51</v>
      </c>
      <c r="R763" t="str">
        <f t="shared" si="153"/>
        <v>Old</v>
      </c>
      <c r="S763" t="s">
        <v>34</v>
      </c>
      <c r="T763">
        <v>3</v>
      </c>
      <c r="U763" t="s">
        <v>25</v>
      </c>
      <c r="V763">
        <v>2571.64</v>
      </c>
      <c r="W763" t="s">
        <v>58</v>
      </c>
      <c r="X763" t="s">
        <v>36</v>
      </c>
      <c r="Y763">
        <v>37</v>
      </c>
      <c r="Z763" t="str">
        <f t="shared" si="154"/>
        <v>Bad Employee</v>
      </c>
      <c r="AA763" t="b">
        <f t="shared" si="155"/>
        <v>0</v>
      </c>
      <c r="AB763" t="b">
        <f>OR(Y763&gt;20, T763&gt;6)</f>
        <v>1</v>
      </c>
      <c r="AC763" t="str">
        <f>IF(OR(Y763&gt;20,T763&gt;6), "Good employee", "Bad Employee")</f>
        <v>Good employee</v>
      </c>
      <c r="AD763" t="s">
        <v>41</v>
      </c>
      <c r="AE763" t="s">
        <v>42</v>
      </c>
      <c r="AF763">
        <v>9</v>
      </c>
      <c r="AG763">
        <v>2011</v>
      </c>
      <c r="AH763" t="s">
        <v>43</v>
      </c>
      <c r="AI763">
        <v>168</v>
      </c>
      <c r="AJ763">
        <v>3.4</v>
      </c>
    </row>
    <row r="764" spans="1:36" x14ac:dyDescent="0.25">
      <c r="A764">
        <v>10763</v>
      </c>
      <c r="B764" t="s">
        <v>38</v>
      </c>
      <c r="C764" t="s">
        <v>65</v>
      </c>
      <c r="D764" t="s">
        <v>54</v>
      </c>
      <c r="E764" t="str">
        <f t="shared" si="143"/>
        <v>Chris Johnson is in Finance Department</v>
      </c>
      <c r="F764" s="6" t="str">
        <f t="shared" si="144"/>
        <v>chrisjohnson@gmail.com</v>
      </c>
      <c r="G764">
        <v>45739</v>
      </c>
      <c r="H764" t="str">
        <f t="shared" si="145"/>
        <v>low</v>
      </c>
      <c r="I764" s="3">
        <v>41184</v>
      </c>
      <c r="J764">
        <f t="shared" si="146"/>
        <v>2012</v>
      </c>
      <c r="K764">
        <f t="shared" si="147"/>
        <v>10</v>
      </c>
      <c r="L764">
        <f t="shared" si="148"/>
        <v>2</v>
      </c>
      <c r="M764" s="3">
        <f t="shared" ca="1" si="149"/>
        <v>46100</v>
      </c>
      <c r="N764">
        <f t="shared" ca="1" si="150"/>
        <v>4916</v>
      </c>
      <c r="O764">
        <f t="shared" ca="1" si="151"/>
        <v>4916</v>
      </c>
      <c r="P764">
        <f t="shared" ca="1" si="152"/>
        <v>3513</v>
      </c>
      <c r="Q764">
        <v>37</v>
      </c>
      <c r="R764" t="str">
        <f t="shared" si="153"/>
        <v>Old</v>
      </c>
      <c r="S764" t="s">
        <v>34</v>
      </c>
      <c r="T764">
        <v>7</v>
      </c>
      <c r="U764" t="s">
        <v>25</v>
      </c>
      <c r="V764">
        <v>2534.0300000000002</v>
      </c>
      <c r="W764" t="s">
        <v>46</v>
      </c>
      <c r="X764" t="s">
        <v>47</v>
      </c>
      <c r="Y764">
        <v>7</v>
      </c>
      <c r="Z764" t="str">
        <f t="shared" si="154"/>
        <v>Bad Employee</v>
      </c>
      <c r="AA764" t="b">
        <f t="shared" si="155"/>
        <v>0</v>
      </c>
      <c r="AB764" t="b">
        <f>OR(Y764&gt;20, T764&gt;6)</f>
        <v>1</v>
      </c>
      <c r="AC764" t="str">
        <f>IF(OR(Y764&gt;20,T764&gt;6), "Good employee", "Bad Employee")</f>
        <v>Good employee</v>
      </c>
      <c r="AD764" t="s">
        <v>28</v>
      </c>
      <c r="AE764" t="s">
        <v>48</v>
      </c>
      <c r="AF764">
        <v>10</v>
      </c>
      <c r="AG764">
        <v>2012</v>
      </c>
      <c r="AH764" t="s">
        <v>30</v>
      </c>
      <c r="AI764">
        <v>23</v>
      </c>
      <c r="AJ764">
        <v>3.3</v>
      </c>
    </row>
    <row r="765" spans="1:36" x14ac:dyDescent="0.25">
      <c r="A765">
        <v>10764</v>
      </c>
      <c r="B765" t="s">
        <v>60</v>
      </c>
      <c r="C765" t="s">
        <v>32</v>
      </c>
      <c r="D765" t="s">
        <v>39</v>
      </c>
      <c r="E765" t="str">
        <f t="shared" si="143"/>
        <v>Jane Wilson is in IT Department</v>
      </c>
      <c r="F765" s="6" t="str">
        <f t="shared" si="144"/>
        <v>janewilson@gmail.com</v>
      </c>
      <c r="G765">
        <v>96202</v>
      </c>
      <c r="H765" t="str">
        <f t="shared" si="145"/>
        <v>High</v>
      </c>
      <c r="I765" s="3">
        <v>39882</v>
      </c>
      <c r="J765">
        <f t="shared" si="146"/>
        <v>2009</v>
      </c>
      <c r="K765">
        <f t="shared" si="147"/>
        <v>3</v>
      </c>
      <c r="L765">
        <f t="shared" si="148"/>
        <v>10</v>
      </c>
      <c r="M765" s="3">
        <f t="shared" ca="1" si="149"/>
        <v>46100</v>
      </c>
      <c r="N765">
        <f t="shared" ca="1" si="150"/>
        <v>6218</v>
      </c>
      <c r="O765">
        <f t="shared" ca="1" si="151"/>
        <v>6218</v>
      </c>
      <c r="P765">
        <f t="shared" ca="1" si="152"/>
        <v>4443</v>
      </c>
      <c r="Q765">
        <v>23</v>
      </c>
      <c r="R765" t="str">
        <f t="shared" si="153"/>
        <v>Young</v>
      </c>
      <c r="S765" t="s">
        <v>24</v>
      </c>
      <c r="T765">
        <v>4</v>
      </c>
      <c r="U765" t="s">
        <v>25</v>
      </c>
      <c r="V765">
        <v>1309.67</v>
      </c>
      <c r="W765" t="s">
        <v>46</v>
      </c>
      <c r="X765" t="s">
        <v>47</v>
      </c>
      <c r="Y765">
        <v>26</v>
      </c>
      <c r="Z765" t="str">
        <f t="shared" si="154"/>
        <v>Bad Employee</v>
      </c>
      <c r="AA765" t="b">
        <f t="shared" si="155"/>
        <v>0</v>
      </c>
      <c r="AB765" t="b">
        <f>OR(Y765&gt;20, T765&gt;6)</f>
        <v>1</v>
      </c>
      <c r="AC765" t="str">
        <f>IF(OR(Y765&gt;20,T765&gt;6), "Good employee", "Bad Employee")</f>
        <v>Good employee</v>
      </c>
      <c r="AD765" t="s">
        <v>41</v>
      </c>
      <c r="AE765" t="s">
        <v>48</v>
      </c>
      <c r="AF765">
        <v>17</v>
      </c>
      <c r="AG765">
        <v>2013</v>
      </c>
      <c r="AH765" t="s">
        <v>30</v>
      </c>
      <c r="AI765">
        <v>136</v>
      </c>
      <c r="AJ765">
        <v>2.9</v>
      </c>
    </row>
    <row r="766" spans="1:36" x14ac:dyDescent="0.25">
      <c r="A766">
        <v>10765</v>
      </c>
      <c r="B766" t="s">
        <v>38</v>
      </c>
      <c r="C766" t="s">
        <v>63</v>
      </c>
      <c r="D766" t="s">
        <v>44</v>
      </c>
      <c r="E766" t="str">
        <f t="shared" si="143"/>
        <v>Chris Miller is in Sales Department</v>
      </c>
      <c r="F766" s="6" t="str">
        <f t="shared" si="144"/>
        <v>chrismiller@gmail.com</v>
      </c>
      <c r="G766">
        <v>109599</v>
      </c>
      <c r="H766" t="str">
        <f t="shared" si="145"/>
        <v>High</v>
      </c>
      <c r="I766" s="3">
        <v>38942</v>
      </c>
      <c r="J766">
        <f t="shared" si="146"/>
        <v>2006</v>
      </c>
      <c r="K766">
        <f t="shared" si="147"/>
        <v>8</v>
      </c>
      <c r="L766">
        <f t="shared" si="148"/>
        <v>13</v>
      </c>
      <c r="M766" s="3">
        <f t="shared" ca="1" si="149"/>
        <v>46100</v>
      </c>
      <c r="N766">
        <f t="shared" ca="1" si="150"/>
        <v>7158</v>
      </c>
      <c r="O766">
        <f t="shared" ca="1" si="151"/>
        <v>7158</v>
      </c>
      <c r="P766">
        <f t="shared" ca="1" si="152"/>
        <v>5114</v>
      </c>
      <c r="Q766">
        <v>38</v>
      </c>
      <c r="R766" t="str">
        <f t="shared" si="153"/>
        <v>Old</v>
      </c>
      <c r="S766" t="s">
        <v>34</v>
      </c>
      <c r="T766">
        <v>3</v>
      </c>
      <c r="U766" t="s">
        <v>25</v>
      </c>
      <c r="V766">
        <v>9016.11</v>
      </c>
      <c r="W766" t="s">
        <v>35</v>
      </c>
      <c r="X766" t="s">
        <v>36</v>
      </c>
      <c r="Y766">
        <v>24</v>
      </c>
      <c r="Z766" t="str">
        <f t="shared" si="154"/>
        <v>Bad Employee</v>
      </c>
      <c r="AA766" t="b">
        <f t="shared" si="155"/>
        <v>0</v>
      </c>
      <c r="AB766" t="b">
        <f>OR(Y766&gt;20, T766&gt;6)</f>
        <v>1</v>
      </c>
      <c r="AC766" t="str">
        <f>IF(OR(Y766&gt;20,T766&gt;6), "Good employee", "Bad Employee")</f>
        <v>Good employee</v>
      </c>
      <c r="AD766" t="s">
        <v>28</v>
      </c>
      <c r="AE766" t="s">
        <v>29</v>
      </c>
      <c r="AF766">
        <v>16</v>
      </c>
      <c r="AG766">
        <v>2017</v>
      </c>
      <c r="AH766" t="s">
        <v>30</v>
      </c>
      <c r="AI766">
        <v>63</v>
      </c>
      <c r="AJ766">
        <v>4.4000000000000004</v>
      </c>
    </row>
    <row r="767" spans="1:36" x14ac:dyDescent="0.25">
      <c r="A767">
        <v>10766</v>
      </c>
      <c r="B767" t="s">
        <v>50</v>
      </c>
      <c r="C767" t="s">
        <v>61</v>
      </c>
      <c r="D767" t="s">
        <v>39</v>
      </c>
      <c r="E767" t="str">
        <f t="shared" si="143"/>
        <v>Alex Smith is in IT Department</v>
      </c>
      <c r="F767" s="6" t="str">
        <f t="shared" si="144"/>
        <v>alexsmith@gmail.com</v>
      </c>
      <c r="G767">
        <v>63649</v>
      </c>
      <c r="H767" t="str">
        <f t="shared" si="145"/>
        <v>Medium</v>
      </c>
      <c r="I767" s="3">
        <v>42137</v>
      </c>
      <c r="J767">
        <f t="shared" si="146"/>
        <v>2015</v>
      </c>
      <c r="K767">
        <f t="shared" si="147"/>
        <v>5</v>
      </c>
      <c r="L767">
        <f t="shared" si="148"/>
        <v>13</v>
      </c>
      <c r="M767" s="3">
        <f t="shared" ca="1" si="149"/>
        <v>46100</v>
      </c>
      <c r="N767">
        <f t="shared" ca="1" si="150"/>
        <v>3963</v>
      </c>
      <c r="O767">
        <f t="shared" ca="1" si="151"/>
        <v>3963</v>
      </c>
      <c r="P767">
        <f t="shared" ca="1" si="152"/>
        <v>2832</v>
      </c>
      <c r="Q767">
        <v>31</v>
      </c>
      <c r="R767" t="str">
        <f t="shared" si="153"/>
        <v>Old</v>
      </c>
      <c r="S767" t="s">
        <v>34</v>
      </c>
      <c r="T767">
        <v>6</v>
      </c>
      <c r="U767" t="s">
        <v>25</v>
      </c>
      <c r="V767">
        <v>9808.43</v>
      </c>
      <c r="W767" t="s">
        <v>58</v>
      </c>
      <c r="X767" t="s">
        <v>36</v>
      </c>
      <c r="Y767">
        <v>13</v>
      </c>
      <c r="Z767" t="str">
        <f t="shared" si="154"/>
        <v>Bad Employee</v>
      </c>
      <c r="AA767" t="b">
        <f t="shared" si="155"/>
        <v>0</v>
      </c>
      <c r="AB767" t="b">
        <f>OR(Y767&gt;20, T767&gt;6)</f>
        <v>0</v>
      </c>
      <c r="AC767" t="str">
        <f>IF(OR(Y767&gt;20,T767&gt;6), "Good employee", "Bad Employee")</f>
        <v>Bad Employee</v>
      </c>
      <c r="AD767" t="s">
        <v>56</v>
      </c>
      <c r="AE767" t="s">
        <v>29</v>
      </c>
      <c r="AF767">
        <v>5</v>
      </c>
      <c r="AG767">
        <v>2014</v>
      </c>
      <c r="AH767" t="s">
        <v>30</v>
      </c>
      <c r="AI767">
        <v>93</v>
      </c>
      <c r="AJ767">
        <v>3.6</v>
      </c>
    </row>
    <row r="768" spans="1:36" x14ac:dyDescent="0.25">
      <c r="A768">
        <v>10767</v>
      </c>
      <c r="B768" t="s">
        <v>38</v>
      </c>
      <c r="C768" t="s">
        <v>61</v>
      </c>
      <c r="D768" t="s">
        <v>54</v>
      </c>
      <c r="E768" t="str">
        <f t="shared" si="143"/>
        <v>Chris Smith is in Finance Department</v>
      </c>
      <c r="F768" s="6" t="str">
        <f t="shared" si="144"/>
        <v>chrissmith@gmail.com</v>
      </c>
      <c r="G768">
        <v>77445</v>
      </c>
      <c r="H768" t="str">
        <f t="shared" si="145"/>
        <v>Medium</v>
      </c>
      <c r="I768" s="3">
        <v>38460</v>
      </c>
      <c r="J768">
        <f t="shared" si="146"/>
        <v>2005</v>
      </c>
      <c r="K768">
        <f t="shared" si="147"/>
        <v>4</v>
      </c>
      <c r="L768">
        <f t="shared" si="148"/>
        <v>18</v>
      </c>
      <c r="M768" s="3">
        <f t="shared" ca="1" si="149"/>
        <v>46100</v>
      </c>
      <c r="N768">
        <f t="shared" ca="1" si="150"/>
        <v>7640</v>
      </c>
      <c r="O768">
        <f t="shared" ca="1" si="151"/>
        <v>7640</v>
      </c>
      <c r="P768">
        <f t="shared" ca="1" si="152"/>
        <v>5459</v>
      </c>
      <c r="Q768">
        <v>28</v>
      </c>
      <c r="R768" t="str">
        <f t="shared" si="153"/>
        <v>Young</v>
      </c>
      <c r="S768" t="s">
        <v>24</v>
      </c>
      <c r="T768">
        <v>6</v>
      </c>
      <c r="U768" t="s">
        <v>45</v>
      </c>
      <c r="V768">
        <v>9567.83</v>
      </c>
      <c r="W768" t="s">
        <v>35</v>
      </c>
      <c r="X768" t="s">
        <v>36</v>
      </c>
      <c r="Y768">
        <v>6</v>
      </c>
      <c r="Z768" t="str">
        <f t="shared" si="154"/>
        <v>Bad Employee</v>
      </c>
      <c r="AA768" t="b">
        <f t="shared" si="155"/>
        <v>0</v>
      </c>
      <c r="AB768" t="b">
        <f>OR(Y768&gt;20, T768&gt;6)</f>
        <v>0</v>
      </c>
      <c r="AC768" t="str">
        <f>IF(OR(Y768&gt;20,T768&gt;6), "Good employee", "Bad Employee")</f>
        <v>Bad Employee</v>
      </c>
      <c r="AD768" t="s">
        <v>28</v>
      </c>
      <c r="AE768" t="s">
        <v>48</v>
      </c>
      <c r="AF768">
        <v>10</v>
      </c>
      <c r="AG768">
        <v>2010</v>
      </c>
      <c r="AH768" t="s">
        <v>30</v>
      </c>
      <c r="AI768">
        <v>144</v>
      </c>
      <c r="AJ768">
        <v>4.0999999999999996</v>
      </c>
    </row>
    <row r="769" spans="1:36" x14ac:dyDescent="0.25">
      <c r="A769">
        <v>10768</v>
      </c>
      <c r="B769" t="s">
        <v>53</v>
      </c>
      <c r="C769" t="s">
        <v>22</v>
      </c>
      <c r="D769" t="s">
        <v>54</v>
      </c>
      <c r="E769" t="str">
        <f t="shared" si="143"/>
        <v>Sarah Williams is in Finance Department</v>
      </c>
      <c r="F769" s="6" t="str">
        <f t="shared" si="144"/>
        <v>sarahwilliams@gmail.com</v>
      </c>
      <c r="G769">
        <v>69470</v>
      </c>
      <c r="H769" t="str">
        <f t="shared" si="145"/>
        <v>Medium</v>
      </c>
      <c r="I769" s="3">
        <v>43565</v>
      </c>
      <c r="J769">
        <f t="shared" si="146"/>
        <v>2019</v>
      </c>
      <c r="K769">
        <f t="shared" si="147"/>
        <v>4</v>
      </c>
      <c r="L769">
        <f t="shared" si="148"/>
        <v>10</v>
      </c>
      <c r="M769" s="3">
        <f t="shared" ca="1" si="149"/>
        <v>46100</v>
      </c>
      <c r="N769">
        <f t="shared" ca="1" si="150"/>
        <v>2535</v>
      </c>
      <c r="O769">
        <f t="shared" ca="1" si="151"/>
        <v>2535</v>
      </c>
      <c r="P769">
        <f t="shared" ca="1" si="152"/>
        <v>1812</v>
      </c>
      <c r="Q769">
        <v>63</v>
      </c>
      <c r="R769" t="str">
        <f t="shared" si="153"/>
        <v>Old</v>
      </c>
      <c r="S769" t="s">
        <v>24</v>
      </c>
      <c r="T769">
        <v>5</v>
      </c>
      <c r="U769" t="s">
        <v>45</v>
      </c>
      <c r="V769">
        <v>8594.27</v>
      </c>
      <c r="W769" t="s">
        <v>26</v>
      </c>
      <c r="X769" t="s">
        <v>36</v>
      </c>
      <c r="Y769">
        <v>21</v>
      </c>
      <c r="Z769" t="str">
        <f t="shared" si="154"/>
        <v>Bad Employee</v>
      </c>
      <c r="AA769" t="b">
        <f t="shared" si="155"/>
        <v>0</v>
      </c>
      <c r="AB769" t="b">
        <f>OR(Y769&gt;20, T769&gt;6)</f>
        <v>1</v>
      </c>
      <c r="AC769" t="str">
        <f>IF(OR(Y769&gt;20,T769&gt;6), "Good employee", "Bad Employee")</f>
        <v>Good employee</v>
      </c>
      <c r="AD769" t="s">
        <v>28</v>
      </c>
      <c r="AE769" t="s">
        <v>29</v>
      </c>
      <c r="AF769">
        <v>3</v>
      </c>
      <c r="AG769">
        <v>2018</v>
      </c>
      <c r="AH769" t="s">
        <v>49</v>
      </c>
      <c r="AI769">
        <v>67</v>
      </c>
      <c r="AJ769">
        <v>1.5</v>
      </c>
    </row>
    <row r="770" spans="1:36" x14ac:dyDescent="0.25">
      <c r="A770">
        <v>10769</v>
      </c>
      <c r="B770" t="s">
        <v>31</v>
      </c>
      <c r="C770" t="s">
        <v>65</v>
      </c>
      <c r="D770" t="s">
        <v>52</v>
      </c>
      <c r="E770" t="str">
        <f t="shared" si="143"/>
        <v>Emily Johnson is in Operations Department</v>
      </c>
      <c r="F770" s="6" t="str">
        <f t="shared" si="144"/>
        <v>emilyjohnson@gmail.com</v>
      </c>
      <c r="G770">
        <v>104965</v>
      </c>
      <c r="H770" t="str">
        <f t="shared" si="145"/>
        <v>High</v>
      </c>
      <c r="I770" s="3">
        <v>41991</v>
      </c>
      <c r="J770">
        <f t="shared" si="146"/>
        <v>2014</v>
      </c>
      <c r="K770">
        <f t="shared" si="147"/>
        <v>12</v>
      </c>
      <c r="L770">
        <f t="shared" si="148"/>
        <v>18</v>
      </c>
      <c r="M770" s="3">
        <f t="shared" ca="1" si="149"/>
        <v>46100</v>
      </c>
      <c r="N770">
        <f t="shared" ca="1" si="150"/>
        <v>4109</v>
      </c>
      <c r="O770">
        <f t="shared" ca="1" si="151"/>
        <v>4109</v>
      </c>
      <c r="P770">
        <f t="shared" ca="1" si="152"/>
        <v>2936</v>
      </c>
      <c r="Q770">
        <v>30</v>
      </c>
      <c r="R770" t="str">
        <f t="shared" si="153"/>
        <v>Young</v>
      </c>
      <c r="S770" t="s">
        <v>24</v>
      </c>
      <c r="T770">
        <v>6</v>
      </c>
      <c r="U770" t="s">
        <v>25</v>
      </c>
      <c r="V770">
        <v>8545.44</v>
      </c>
      <c r="W770" t="s">
        <v>35</v>
      </c>
      <c r="X770" t="s">
        <v>36</v>
      </c>
      <c r="Y770">
        <v>7</v>
      </c>
      <c r="Z770" t="str">
        <f t="shared" si="154"/>
        <v>Bad Employee</v>
      </c>
      <c r="AA770" t="b">
        <f t="shared" si="155"/>
        <v>0</v>
      </c>
      <c r="AB770" t="b">
        <f>OR(Y770&gt;20, T770&gt;6)</f>
        <v>0</v>
      </c>
      <c r="AC770" t="str">
        <f>IF(OR(Y770&gt;20,T770&gt;6), "Good employee", "Bad Employee")</f>
        <v>Bad Employee</v>
      </c>
      <c r="AD770" t="s">
        <v>41</v>
      </c>
      <c r="AE770" t="s">
        <v>29</v>
      </c>
      <c r="AF770">
        <v>0</v>
      </c>
      <c r="AG770">
        <v>2010</v>
      </c>
      <c r="AH770" t="s">
        <v>30</v>
      </c>
      <c r="AI770">
        <v>188</v>
      </c>
      <c r="AJ770">
        <v>1.2</v>
      </c>
    </row>
    <row r="771" spans="1:36" x14ac:dyDescent="0.25">
      <c r="A771">
        <v>10770</v>
      </c>
      <c r="B771" t="s">
        <v>66</v>
      </c>
      <c r="C771" t="s">
        <v>63</v>
      </c>
      <c r="D771" t="s">
        <v>33</v>
      </c>
      <c r="E771" t="str">
        <f t="shared" ref="E771:E834" si="156">CONCATENATE(B771, " ", C771, " is in ", D771, " Department")</f>
        <v>John Miller is in Marketing Department</v>
      </c>
      <c r="F771" s="6" t="str">
        <f t="shared" ref="F771:F834" si="157">LOWER(CONCATENATE(B771, C771, "@gmail.com"))</f>
        <v>johnmiller@gmail.com</v>
      </c>
      <c r="G771">
        <v>78621</v>
      </c>
      <c r="H771" t="str">
        <f t="shared" ref="H771:H834" si="158">IF(G771&gt;80000, "High", IF(G771&gt;50000, "Medium", IF(G771&gt;40000, "low", "extremely low")))</f>
        <v>Medium</v>
      </c>
      <c r="I771" s="3">
        <v>36729</v>
      </c>
      <c r="J771">
        <f t="shared" ref="J771:J834" si="159">YEAR(I771)</f>
        <v>2000</v>
      </c>
      <c r="K771">
        <f t="shared" ref="K771:K834" si="160">MONTH(I771)</f>
        <v>7</v>
      </c>
      <c r="L771">
        <f t="shared" ref="L771:L834" si="161">DAY(I771)</f>
        <v>22</v>
      </c>
      <c r="M771" s="3">
        <f t="shared" ref="M771:M834" ca="1" si="162">TODAY()</f>
        <v>46100</v>
      </c>
      <c r="N771">
        <f t="shared" ref="N771:N834" ca="1" si="163">M771-I771</f>
        <v>9371</v>
      </c>
      <c r="O771">
        <f t="shared" ref="O771:O834" ca="1" si="164">DATEDIF(I771,M771, "d")</f>
        <v>9371</v>
      </c>
      <c r="P771">
        <f t="shared" ref="P771:P834" ca="1" si="165">NETWORKDAYS(I771, M771)</f>
        <v>6694</v>
      </c>
      <c r="Q771">
        <v>38</v>
      </c>
      <c r="R771" t="str">
        <f t="shared" ref="R771:R834" si="166">IF(Q771&gt;30, "Old", "Young")</f>
        <v>Old</v>
      </c>
      <c r="S771" t="s">
        <v>24</v>
      </c>
      <c r="T771">
        <v>3</v>
      </c>
      <c r="U771" t="s">
        <v>25</v>
      </c>
      <c r="V771">
        <v>6780.31</v>
      </c>
      <c r="W771" t="s">
        <v>35</v>
      </c>
      <c r="X771" t="s">
        <v>27</v>
      </c>
      <c r="Y771">
        <v>18</v>
      </c>
      <c r="Z771" t="str">
        <f t="shared" ref="Z771:Z834" si="167" xml:space="preserve"> IF(AND(Y771&gt;20, T771&gt;6), "Good Employee", "Bad Employee")</f>
        <v>Bad Employee</v>
      </c>
      <c r="AA771" t="b">
        <f t="shared" ref="AA771:AA834" si="168">AND(Y771&gt;20, T771&gt;6)</f>
        <v>0</v>
      </c>
      <c r="AB771" t="b">
        <f>OR(Y771&gt;20, T771&gt;6)</f>
        <v>0</v>
      </c>
      <c r="AC771" t="str">
        <f>IF(OR(Y771&gt;20,T771&gt;6), "Good employee", "Bad Employee")</f>
        <v>Bad Employee</v>
      </c>
      <c r="AD771" t="s">
        <v>28</v>
      </c>
      <c r="AE771" t="s">
        <v>59</v>
      </c>
      <c r="AF771">
        <v>0</v>
      </c>
      <c r="AG771">
        <v>2011</v>
      </c>
      <c r="AH771" t="s">
        <v>43</v>
      </c>
      <c r="AI771">
        <v>31</v>
      </c>
      <c r="AJ771">
        <v>1.1000000000000001</v>
      </c>
    </row>
    <row r="772" spans="1:36" x14ac:dyDescent="0.25">
      <c r="A772">
        <v>10771</v>
      </c>
      <c r="B772" t="s">
        <v>38</v>
      </c>
      <c r="C772" t="s">
        <v>61</v>
      </c>
      <c r="D772" t="s">
        <v>23</v>
      </c>
      <c r="E772" t="str">
        <f t="shared" si="156"/>
        <v>Chris Smith is in HR Department</v>
      </c>
      <c r="F772" s="6" t="str">
        <f t="shared" si="157"/>
        <v>chrissmith@gmail.com</v>
      </c>
      <c r="G772">
        <v>62926</v>
      </c>
      <c r="H772" t="str">
        <f t="shared" si="158"/>
        <v>Medium</v>
      </c>
      <c r="I772" s="3">
        <v>43718</v>
      </c>
      <c r="J772">
        <f t="shared" si="159"/>
        <v>2019</v>
      </c>
      <c r="K772">
        <f t="shared" si="160"/>
        <v>9</v>
      </c>
      <c r="L772">
        <f t="shared" si="161"/>
        <v>10</v>
      </c>
      <c r="M772" s="3">
        <f t="shared" ca="1" si="162"/>
        <v>46100</v>
      </c>
      <c r="N772">
        <f t="shared" ca="1" si="163"/>
        <v>2382</v>
      </c>
      <c r="O772">
        <f t="shared" ca="1" si="164"/>
        <v>2382</v>
      </c>
      <c r="P772">
        <f t="shared" ca="1" si="165"/>
        <v>1703</v>
      </c>
      <c r="Q772">
        <v>30</v>
      </c>
      <c r="R772" t="str">
        <f t="shared" si="166"/>
        <v>Young</v>
      </c>
      <c r="S772" t="s">
        <v>34</v>
      </c>
      <c r="T772">
        <v>5</v>
      </c>
      <c r="U772" t="s">
        <v>45</v>
      </c>
      <c r="V772">
        <v>8349.0300000000007</v>
      </c>
      <c r="W772" t="s">
        <v>46</v>
      </c>
      <c r="X772" t="s">
        <v>55</v>
      </c>
      <c r="Y772">
        <v>15</v>
      </c>
      <c r="Z772" t="str">
        <f t="shared" si="167"/>
        <v>Bad Employee</v>
      </c>
      <c r="AA772" t="b">
        <f t="shared" si="168"/>
        <v>0</v>
      </c>
      <c r="AB772" t="b">
        <f>OR(Y772&gt;20, T772&gt;6)</f>
        <v>0</v>
      </c>
      <c r="AC772" t="str">
        <f>IF(OR(Y772&gt;20,T772&gt;6), "Good employee", "Bad Employee")</f>
        <v>Bad Employee</v>
      </c>
      <c r="AD772" t="s">
        <v>28</v>
      </c>
      <c r="AE772" t="s">
        <v>42</v>
      </c>
      <c r="AF772">
        <v>17</v>
      </c>
      <c r="AG772">
        <v>2016</v>
      </c>
      <c r="AH772" t="s">
        <v>43</v>
      </c>
      <c r="AI772">
        <v>129</v>
      </c>
      <c r="AJ772">
        <v>1.6</v>
      </c>
    </row>
    <row r="773" spans="1:36" x14ac:dyDescent="0.25">
      <c r="A773">
        <v>10772</v>
      </c>
      <c r="B773" t="s">
        <v>38</v>
      </c>
      <c r="C773" t="s">
        <v>61</v>
      </c>
      <c r="D773" t="s">
        <v>23</v>
      </c>
      <c r="E773" t="str">
        <f t="shared" si="156"/>
        <v>Chris Smith is in HR Department</v>
      </c>
      <c r="F773" s="6" t="str">
        <f t="shared" si="157"/>
        <v>chrissmith@gmail.com</v>
      </c>
      <c r="G773">
        <v>67997</v>
      </c>
      <c r="H773" t="str">
        <f t="shared" si="158"/>
        <v>Medium</v>
      </c>
      <c r="I773" s="3">
        <v>43626</v>
      </c>
      <c r="J773">
        <f t="shared" si="159"/>
        <v>2019</v>
      </c>
      <c r="K773">
        <f t="shared" si="160"/>
        <v>6</v>
      </c>
      <c r="L773">
        <f t="shared" si="161"/>
        <v>10</v>
      </c>
      <c r="M773" s="3">
        <f t="shared" ca="1" si="162"/>
        <v>46100</v>
      </c>
      <c r="N773">
        <f t="shared" ca="1" si="163"/>
        <v>2474</v>
      </c>
      <c r="O773">
        <f t="shared" ca="1" si="164"/>
        <v>2474</v>
      </c>
      <c r="P773">
        <f t="shared" ca="1" si="165"/>
        <v>1769</v>
      </c>
      <c r="Q773">
        <v>30</v>
      </c>
      <c r="R773" t="str">
        <f t="shared" si="166"/>
        <v>Young</v>
      </c>
      <c r="S773" t="s">
        <v>34</v>
      </c>
      <c r="T773">
        <v>9</v>
      </c>
      <c r="U773" t="s">
        <v>25</v>
      </c>
      <c r="V773">
        <v>2479.25</v>
      </c>
      <c r="W773" t="s">
        <v>46</v>
      </c>
      <c r="X773" t="s">
        <v>47</v>
      </c>
      <c r="Y773">
        <v>8</v>
      </c>
      <c r="Z773" t="str">
        <f t="shared" si="167"/>
        <v>Bad Employee</v>
      </c>
      <c r="AA773" t="b">
        <f t="shared" si="168"/>
        <v>0</v>
      </c>
      <c r="AB773" t="b">
        <f>OR(Y773&gt;20, T773&gt;6)</f>
        <v>1</v>
      </c>
      <c r="AC773" t="str">
        <f>IF(OR(Y773&gt;20,T773&gt;6), "Good employee", "Bad Employee")</f>
        <v>Good employee</v>
      </c>
      <c r="AD773" t="s">
        <v>28</v>
      </c>
      <c r="AE773" t="s">
        <v>59</v>
      </c>
      <c r="AF773">
        <v>4</v>
      </c>
      <c r="AG773">
        <v>2020</v>
      </c>
      <c r="AH773" t="s">
        <v>49</v>
      </c>
      <c r="AI773">
        <v>156</v>
      </c>
      <c r="AJ773">
        <v>3.7</v>
      </c>
    </row>
    <row r="774" spans="1:36" x14ac:dyDescent="0.25">
      <c r="A774">
        <v>10773</v>
      </c>
      <c r="B774" t="s">
        <v>66</v>
      </c>
      <c r="C774" t="s">
        <v>51</v>
      </c>
      <c r="D774" t="s">
        <v>39</v>
      </c>
      <c r="E774" t="str">
        <f t="shared" si="156"/>
        <v>John Brown is in IT Department</v>
      </c>
      <c r="F774" s="6" t="str">
        <f t="shared" si="157"/>
        <v>johnbrown@gmail.com</v>
      </c>
      <c r="G774">
        <v>89940</v>
      </c>
      <c r="H774" t="str">
        <f t="shared" si="158"/>
        <v>High</v>
      </c>
      <c r="I774" s="3">
        <v>42198</v>
      </c>
      <c r="J774">
        <f t="shared" si="159"/>
        <v>2015</v>
      </c>
      <c r="K774">
        <f t="shared" si="160"/>
        <v>7</v>
      </c>
      <c r="L774">
        <f t="shared" si="161"/>
        <v>13</v>
      </c>
      <c r="M774" s="3">
        <f t="shared" ca="1" si="162"/>
        <v>46100</v>
      </c>
      <c r="N774">
        <f t="shared" ca="1" si="163"/>
        <v>3902</v>
      </c>
      <c r="O774">
        <f t="shared" ca="1" si="164"/>
        <v>3902</v>
      </c>
      <c r="P774">
        <f t="shared" ca="1" si="165"/>
        <v>2789</v>
      </c>
      <c r="Q774">
        <v>58</v>
      </c>
      <c r="R774" t="str">
        <f t="shared" si="166"/>
        <v>Old</v>
      </c>
      <c r="S774" t="s">
        <v>24</v>
      </c>
      <c r="T774">
        <v>4</v>
      </c>
      <c r="U774" t="s">
        <v>25</v>
      </c>
      <c r="V774">
        <v>4185.17</v>
      </c>
      <c r="W774" t="s">
        <v>46</v>
      </c>
      <c r="X774" t="s">
        <v>47</v>
      </c>
      <c r="Y774">
        <v>16</v>
      </c>
      <c r="Z774" t="str">
        <f t="shared" si="167"/>
        <v>Bad Employee</v>
      </c>
      <c r="AA774" t="b">
        <f t="shared" si="168"/>
        <v>0</v>
      </c>
      <c r="AB774" t="b">
        <f>OR(Y774&gt;20, T774&gt;6)</f>
        <v>0</v>
      </c>
      <c r="AC774" t="str">
        <f>IF(OR(Y774&gt;20,T774&gt;6), "Good employee", "Bad Employee")</f>
        <v>Bad Employee</v>
      </c>
      <c r="AD774" t="s">
        <v>28</v>
      </c>
      <c r="AE774" t="s">
        <v>37</v>
      </c>
      <c r="AF774">
        <v>15</v>
      </c>
      <c r="AG774">
        <v>2012</v>
      </c>
      <c r="AH774" t="s">
        <v>30</v>
      </c>
      <c r="AI774">
        <v>158</v>
      </c>
      <c r="AJ774">
        <v>3</v>
      </c>
    </row>
    <row r="775" spans="1:36" x14ac:dyDescent="0.25">
      <c r="A775">
        <v>10774</v>
      </c>
      <c r="B775" t="s">
        <v>31</v>
      </c>
      <c r="C775" t="s">
        <v>51</v>
      </c>
      <c r="D775" t="s">
        <v>52</v>
      </c>
      <c r="E775" t="str">
        <f t="shared" si="156"/>
        <v>Emily Brown is in Operations Department</v>
      </c>
      <c r="F775" s="6" t="str">
        <f t="shared" si="157"/>
        <v>emilybrown@gmail.com</v>
      </c>
      <c r="G775">
        <v>70724</v>
      </c>
      <c r="H775" t="str">
        <f t="shared" si="158"/>
        <v>Medium</v>
      </c>
      <c r="I775" s="3">
        <v>36594</v>
      </c>
      <c r="J775">
        <f t="shared" si="159"/>
        <v>2000</v>
      </c>
      <c r="K775">
        <f t="shared" si="160"/>
        <v>3</v>
      </c>
      <c r="L775">
        <f t="shared" si="161"/>
        <v>9</v>
      </c>
      <c r="M775" s="3">
        <f t="shared" ca="1" si="162"/>
        <v>46100</v>
      </c>
      <c r="N775">
        <f t="shared" ca="1" si="163"/>
        <v>9506</v>
      </c>
      <c r="O775">
        <f t="shared" ca="1" si="164"/>
        <v>9506</v>
      </c>
      <c r="P775">
        <f t="shared" ca="1" si="165"/>
        <v>6791</v>
      </c>
      <c r="Q775">
        <v>45</v>
      </c>
      <c r="R775" t="str">
        <f t="shared" si="166"/>
        <v>Old</v>
      </c>
      <c r="S775" t="s">
        <v>24</v>
      </c>
      <c r="T775">
        <v>2</v>
      </c>
      <c r="U775" t="s">
        <v>45</v>
      </c>
      <c r="V775">
        <v>6587.94</v>
      </c>
      <c r="W775" t="s">
        <v>58</v>
      </c>
      <c r="X775" t="s">
        <v>55</v>
      </c>
      <c r="Y775">
        <v>3</v>
      </c>
      <c r="Z775" t="str">
        <f t="shared" si="167"/>
        <v>Bad Employee</v>
      </c>
      <c r="AA775" t="b">
        <f t="shared" si="168"/>
        <v>0</v>
      </c>
      <c r="AB775" t="b">
        <f>OR(Y775&gt;20, T775&gt;6)</f>
        <v>0</v>
      </c>
      <c r="AC775" t="str">
        <f>IF(OR(Y775&gt;20,T775&gt;6), "Good employee", "Bad Employee")</f>
        <v>Bad Employee</v>
      </c>
      <c r="AD775" t="s">
        <v>56</v>
      </c>
      <c r="AE775" t="s">
        <v>29</v>
      </c>
      <c r="AF775">
        <v>1</v>
      </c>
      <c r="AG775">
        <v>2015</v>
      </c>
      <c r="AH775" t="s">
        <v>43</v>
      </c>
      <c r="AI775">
        <v>26</v>
      </c>
      <c r="AJ775">
        <v>4</v>
      </c>
    </row>
    <row r="776" spans="1:36" x14ac:dyDescent="0.25">
      <c r="A776">
        <v>10775</v>
      </c>
      <c r="B776" t="s">
        <v>60</v>
      </c>
      <c r="C776" t="s">
        <v>32</v>
      </c>
      <c r="D776" t="s">
        <v>39</v>
      </c>
      <c r="E776" t="str">
        <f t="shared" si="156"/>
        <v>Jane Wilson is in IT Department</v>
      </c>
      <c r="F776" s="6" t="str">
        <f t="shared" si="157"/>
        <v>janewilson@gmail.com</v>
      </c>
      <c r="G776">
        <v>61704</v>
      </c>
      <c r="H776" t="str">
        <f t="shared" si="158"/>
        <v>Medium</v>
      </c>
      <c r="I776" s="3">
        <v>37041</v>
      </c>
      <c r="J776">
        <f t="shared" si="159"/>
        <v>2001</v>
      </c>
      <c r="K776">
        <f t="shared" si="160"/>
        <v>5</v>
      </c>
      <c r="L776">
        <f t="shared" si="161"/>
        <v>30</v>
      </c>
      <c r="M776" s="3">
        <f t="shared" ca="1" si="162"/>
        <v>46100</v>
      </c>
      <c r="N776">
        <f t="shared" ca="1" si="163"/>
        <v>9059</v>
      </c>
      <c r="O776">
        <f t="shared" ca="1" si="164"/>
        <v>9059</v>
      </c>
      <c r="P776">
        <f t="shared" ca="1" si="165"/>
        <v>6472</v>
      </c>
      <c r="Q776">
        <v>60</v>
      </c>
      <c r="R776" t="str">
        <f t="shared" si="166"/>
        <v>Old</v>
      </c>
      <c r="S776" t="s">
        <v>34</v>
      </c>
      <c r="T776">
        <v>5</v>
      </c>
      <c r="U776" t="s">
        <v>45</v>
      </c>
      <c r="V776">
        <v>8810.33</v>
      </c>
      <c r="W776" t="s">
        <v>35</v>
      </c>
      <c r="X776" t="s">
        <v>36</v>
      </c>
      <c r="Y776">
        <v>9</v>
      </c>
      <c r="Z776" t="str">
        <f t="shared" si="167"/>
        <v>Bad Employee</v>
      </c>
      <c r="AA776" t="b">
        <f t="shared" si="168"/>
        <v>0</v>
      </c>
      <c r="AB776" t="b">
        <f>OR(Y776&gt;20, T776&gt;6)</f>
        <v>0</v>
      </c>
      <c r="AC776" t="str">
        <f>IF(OR(Y776&gt;20,T776&gt;6), "Good employee", "Bad Employee")</f>
        <v>Bad Employee</v>
      </c>
      <c r="AD776" t="s">
        <v>41</v>
      </c>
      <c r="AE776" t="s">
        <v>59</v>
      </c>
      <c r="AF776">
        <v>8</v>
      </c>
      <c r="AG776">
        <v>2017</v>
      </c>
      <c r="AH776" t="s">
        <v>43</v>
      </c>
      <c r="AI776">
        <v>74</v>
      </c>
      <c r="AJ776">
        <v>1.8</v>
      </c>
    </row>
    <row r="777" spans="1:36" x14ac:dyDescent="0.25">
      <c r="A777">
        <v>10776</v>
      </c>
      <c r="B777" t="s">
        <v>38</v>
      </c>
      <c r="C777" t="s">
        <v>61</v>
      </c>
      <c r="D777" t="s">
        <v>23</v>
      </c>
      <c r="E777" t="str">
        <f t="shared" si="156"/>
        <v>Chris Smith is in HR Department</v>
      </c>
      <c r="F777" s="6" t="str">
        <f t="shared" si="157"/>
        <v>chrissmith@gmail.com</v>
      </c>
      <c r="G777">
        <v>58391</v>
      </c>
      <c r="H777" t="str">
        <f t="shared" si="158"/>
        <v>Medium</v>
      </c>
      <c r="I777" s="3">
        <v>40089</v>
      </c>
      <c r="J777">
        <f t="shared" si="159"/>
        <v>2009</v>
      </c>
      <c r="K777">
        <f t="shared" si="160"/>
        <v>10</v>
      </c>
      <c r="L777">
        <f t="shared" si="161"/>
        <v>3</v>
      </c>
      <c r="M777" s="3">
        <f t="shared" ca="1" si="162"/>
        <v>46100</v>
      </c>
      <c r="N777">
        <f t="shared" ca="1" si="163"/>
        <v>6011</v>
      </c>
      <c r="O777">
        <f t="shared" ca="1" si="164"/>
        <v>6011</v>
      </c>
      <c r="P777">
        <f t="shared" ca="1" si="165"/>
        <v>4294</v>
      </c>
      <c r="Q777">
        <v>32</v>
      </c>
      <c r="R777" t="str">
        <f t="shared" si="166"/>
        <v>Old</v>
      </c>
      <c r="S777" t="s">
        <v>34</v>
      </c>
      <c r="T777">
        <v>3</v>
      </c>
      <c r="U777" t="s">
        <v>25</v>
      </c>
      <c r="V777">
        <v>6774.46</v>
      </c>
      <c r="W777" t="s">
        <v>26</v>
      </c>
      <c r="X777" t="s">
        <v>55</v>
      </c>
      <c r="Y777">
        <v>26</v>
      </c>
      <c r="Z777" t="str">
        <f t="shared" si="167"/>
        <v>Bad Employee</v>
      </c>
      <c r="AA777" t="b">
        <f t="shared" si="168"/>
        <v>0</v>
      </c>
      <c r="AB777" t="b">
        <f>OR(Y777&gt;20, T777&gt;6)</f>
        <v>1</v>
      </c>
      <c r="AC777" t="str">
        <f>IF(OR(Y777&gt;20,T777&gt;6), "Good employee", "Bad Employee")</f>
        <v>Good employee</v>
      </c>
      <c r="AD777" t="s">
        <v>28</v>
      </c>
      <c r="AE777" t="s">
        <v>59</v>
      </c>
      <c r="AF777">
        <v>1</v>
      </c>
      <c r="AG777">
        <v>2014</v>
      </c>
      <c r="AH777" t="s">
        <v>30</v>
      </c>
      <c r="AI777">
        <v>23</v>
      </c>
      <c r="AJ777">
        <v>2.5</v>
      </c>
    </row>
    <row r="778" spans="1:36" x14ac:dyDescent="0.25">
      <c r="A778">
        <v>10777</v>
      </c>
      <c r="B778" t="s">
        <v>66</v>
      </c>
      <c r="C778" t="s">
        <v>22</v>
      </c>
      <c r="D778" t="s">
        <v>54</v>
      </c>
      <c r="E778" t="str">
        <f t="shared" si="156"/>
        <v>John Williams is in Finance Department</v>
      </c>
      <c r="F778" s="6" t="str">
        <f t="shared" si="157"/>
        <v>johnwilliams@gmail.com</v>
      </c>
      <c r="G778">
        <v>93291</v>
      </c>
      <c r="H778" t="str">
        <f t="shared" si="158"/>
        <v>High</v>
      </c>
      <c r="I778" s="3">
        <v>42909</v>
      </c>
      <c r="J778">
        <f t="shared" si="159"/>
        <v>2017</v>
      </c>
      <c r="K778">
        <f t="shared" si="160"/>
        <v>6</v>
      </c>
      <c r="L778">
        <f t="shared" si="161"/>
        <v>23</v>
      </c>
      <c r="M778" s="3">
        <f t="shared" ca="1" si="162"/>
        <v>46100</v>
      </c>
      <c r="N778">
        <f t="shared" ca="1" si="163"/>
        <v>3191</v>
      </c>
      <c r="O778">
        <f t="shared" ca="1" si="164"/>
        <v>3191</v>
      </c>
      <c r="P778">
        <f t="shared" ca="1" si="165"/>
        <v>2280</v>
      </c>
      <c r="Q778">
        <v>29</v>
      </c>
      <c r="R778" t="str">
        <f t="shared" si="166"/>
        <v>Young</v>
      </c>
      <c r="S778" t="s">
        <v>24</v>
      </c>
      <c r="T778">
        <v>3</v>
      </c>
      <c r="U778" t="s">
        <v>45</v>
      </c>
      <c r="V778">
        <v>8470.7099999999991</v>
      </c>
      <c r="W778" t="s">
        <v>46</v>
      </c>
      <c r="X778" t="s">
        <v>36</v>
      </c>
      <c r="Y778">
        <v>26</v>
      </c>
      <c r="Z778" t="str">
        <f t="shared" si="167"/>
        <v>Bad Employee</v>
      </c>
      <c r="AA778" t="b">
        <f t="shared" si="168"/>
        <v>0</v>
      </c>
      <c r="AB778" t="b">
        <f>OR(Y778&gt;20, T778&gt;6)</f>
        <v>1</v>
      </c>
      <c r="AC778" t="str">
        <f>IF(OR(Y778&gt;20,T778&gt;6), "Good employee", "Bad Employee")</f>
        <v>Good employee</v>
      </c>
      <c r="AD778" t="s">
        <v>41</v>
      </c>
      <c r="AE778" t="s">
        <v>62</v>
      </c>
      <c r="AF778">
        <v>4</v>
      </c>
      <c r="AG778">
        <v>2010</v>
      </c>
      <c r="AH778" t="s">
        <v>49</v>
      </c>
      <c r="AI778">
        <v>105</v>
      </c>
      <c r="AJ778">
        <v>4.5999999999999996</v>
      </c>
    </row>
    <row r="779" spans="1:36" x14ac:dyDescent="0.25">
      <c r="A779">
        <v>10778</v>
      </c>
      <c r="B779" t="s">
        <v>53</v>
      </c>
      <c r="C779" t="s">
        <v>57</v>
      </c>
      <c r="D779" t="s">
        <v>33</v>
      </c>
      <c r="E779" t="str">
        <f t="shared" si="156"/>
        <v>Sarah Davis is in Marketing Department</v>
      </c>
      <c r="F779" s="6" t="str">
        <f t="shared" si="157"/>
        <v>sarahdavis@gmail.com</v>
      </c>
      <c r="G779">
        <v>119723</v>
      </c>
      <c r="H779" t="str">
        <f t="shared" si="158"/>
        <v>High</v>
      </c>
      <c r="I779" s="3">
        <v>40982</v>
      </c>
      <c r="J779">
        <f t="shared" si="159"/>
        <v>2012</v>
      </c>
      <c r="K779">
        <f t="shared" si="160"/>
        <v>3</v>
      </c>
      <c r="L779">
        <f t="shared" si="161"/>
        <v>14</v>
      </c>
      <c r="M779" s="3">
        <f t="shared" ca="1" si="162"/>
        <v>46100</v>
      </c>
      <c r="N779">
        <f t="shared" ca="1" si="163"/>
        <v>5118</v>
      </c>
      <c r="O779">
        <f t="shared" ca="1" si="164"/>
        <v>5118</v>
      </c>
      <c r="P779">
        <f t="shared" ca="1" si="165"/>
        <v>3657</v>
      </c>
      <c r="Q779">
        <v>46</v>
      </c>
      <c r="R779" t="str">
        <f t="shared" si="166"/>
        <v>Old</v>
      </c>
      <c r="S779" t="s">
        <v>34</v>
      </c>
      <c r="T779">
        <v>4</v>
      </c>
      <c r="U779" t="s">
        <v>25</v>
      </c>
      <c r="V779">
        <v>5002.5200000000004</v>
      </c>
      <c r="W779" t="s">
        <v>26</v>
      </c>
      <c r="X779" t="s">
        <v>47</v>
      </c>
      <c r="Y779">
        <v>30</v>
      </c>
      <c r="Z779" t="str">
        <f t="shared" si="167"/>
        <v>Bad Employee</v>
      </c>
      <c r="AA779" t="b">
        <f t="shared" si="168"/>
        <v>0</v>
      </c>
      <c r="AB779" t="b">
        <f>OR(Y779&gt;20, T779&gt;6)</f>
        <v>1</v>
      </c>
      <c r="AC779" t="str">
        <f>IF(OR(Y779&gt;20,T779&gt;6), "Good employee", "Bad Employee")</f>
        <v>Good employee</v>
      </c>
      <c r="AD779" t="s">
        <v>56</v>
      </c>
      <c r="AE779" t="s">
        <v>59</v>
      </c>
      <c r="AF779">
        <v>19</v>
      </c>
      <c r="AG779">
        <v>2019</v>
      </c>
      <c r="AH779" t="s">
        <v>30</v>
      </c>
      <c r="AI779">
        <v>166</v>
      </c>
      <c r="AJ779">
        <v>4.7</v>
      </c>
    </row>
    <row r="780" spans="1:36" x14ac:dyDescent="0.25">
      <c r="A780">
        <v>10779</v>
      </c>
      <c r="B780" t="s">
        <v>53</v>
      </c>
      <c r="C780" t="s">
        <v>57</v>
      </c>
      <c r="D780" t="s">
        <v>52</v>
      </c>
      <c r="E780" t="str">
        <f t="shared" si="156"/>
        <v>Sarah Davis is in Operations Department</v>
      </c>
      <c r="F780" s="6" t="str">
        <f t="shared" si="157"/>
        <v>sarahdavis@gmail.com</v>
      </c>
      <c r="G780">
        <v>32526</v>
      </c>
      <c r="H780" t="str">
        <f t="shared" si="158"/>
        <v>extremely low</v>
      </c>
      <c r="I780" s="3">
        <v>37990</v>
      </c>
      <c r="J780">
        <f t="shared" si="159"/>
        <v>2004</v>
      </c>
      <c r="K780">
        <f t="shared" si="160"/>
        <v>1</v>
      </c>
      <c r="L780">
        <f t="shared" si="161"/>
        <v>4</v>
      </c>
      <c r="M780" s="3">
        <f t="shared" ca="1" si="162"/>
        <v>46100</v>
      </c>
      <c r="N780">
        <f t="shared" ca="1" si="163"/>
        <v>8110</v>
      </c>
      <c r="O780">
        <f t="shared" ca="1" si="164"/>
        <v>8110</v>
      </c>
      <c r="P780">
        <f t="shared" ca="1" si="165"/>
        <v>5794</v>
      </c>
      <c r="Q780">
        <v>23</v>
      </c>
      <c r="R780" t="str">
        <f t="shared" si="166"/>
        <v>Young</v>
      </c>
      <c r="S780" t="s">
        <v>34</v>
      </c>
      <c r="T780">
        <v>4</v>
      </c>
      <c r="U780" t="s">
        <v>45</v>
      </c>
      <c r="V780">
        <v>7314.39</v>
      </c>
      <c r="W780" t="s">
        <v>35</v>
      </c>
      <c r="X780" t="s">
        <v>40</v>
      </c>
      <c r="Y780">
        <v>27</v>
      </c>
      <c r="Z780" t="str">
        <f t="shared" si="167"/>
        <v>Bad Employee</v>
      </c>
      <c r="AA780" t="b">
        <f t="shared" si="168"/>
        <v>0</v>
      </c>
      <c r="AB780" t="b">
        <f>OR(Y780&gt;20, T780&gt;6)</f>
        <v>1</v>
      </c>
      <c r="AC780" t="str">
        <f>IF(OR(Y780&gt;20,T780&gt;6), "Good employee", "Bad Employee")</f>
        <v>Good employee</v>
      </c>
      <c r="AD780" t="s">
        <v>56</v>
      </c>
      <c r="AE780" t="s">
        <v>59</v>
      </c>
      <c r="AF780">
        <v>16</v>
      </c>
      <c r="AG780">
        <v>2023</v>
      </c>
      <c r="AH780" t="s">
        <v>30</v>
      </c>
      <c r="AI780">
        <v>143</v>
      </c>
      <c r="AJ780">
        <v>4.7</v>
      </c>
    </row>
    <row r="781" spans="1:36" x14ac:dyDescent="0.25">
      <c r="A781">
        <v>10780</v>
      </c>
      <c r="B781" t="s">
        <v>50</v>
      </c>
      <c r="C781" t="s">
        <v>63</v>
      </c>
      <c r="D781" t="s">
        <v>54</v>
      </c>
      <c r="E781" t="str">
        <f t="shared" si="156"/>
        <v>Alex Miller is in Finance Department</v>
      </c>
      <c r="F781" s="6" t="str">
        <f t="shared" si="157"/>
        <v>alexmiller@gmail.com</v>
      </c>
      <c r="G781">
        <v>54686</v>
      </c>
      <c r="H781" t="str">
        <f t="shared" si="158"/>
        <v>Medium</v>
      </c>
      <c r="I781" s="3">
        <v>41676</v>
      </c>
      <c r="J781">
        <f t="shared" si="159"/>
        <v>2014</v>
      </c>
      <c r="K781">
        <f t="shared" si="160"/>
        <v>2</v>
      </c>
      <c r="L781">
        <f t="shared" si="161"/>
        <v>6</v>
      </c>
      <c r="M781" s="3">
        <f t="shared" ca="1" si="162"/>
        <v>46100</v>
      </c>
      <c r="N781">
        <f t="shared" ca="1" si="163"/>
        <v>4424</v>
      </c>
      <c r="O781">
        <f t="shared" ca="1" si="164"/>
        <v>4424</v>
      </c>
      <c r="P781">
        <f t="shared" ca="1" si="165"/>
        <v>3161</v>
      </c>
      <c r="Q781">
        <v>31</v>
      </c>
      <c r="R781" t="str">
        <f t="shared" si="166"/>
        <v>Old</v>
      </c>
      <c r="S781" t="s">
        <v>24</v>
      </c>
      <c r="T781">
        <v>5</v>
      </c>
      <c r="U781" t="s">
        <v>25</v>
      </c>
      <c r="V781">
        <v>9809.82</v>
      </c>
      <c r="W781" t="s">
        <v>35</v>
      </c>
      <c r="X781" t="s">
        <v>47</v>
      </c>
      <c r="Y781">
        <v>16</v>
      </c>
      <c r="Z781" t="str">
        <f t="shared" si="167"/>
        <v>Bad Employee</v>
      </c>
      <c r="AA781" t="b">
        <f t="shared" si="168"/>
        <v>0</v>
      </c>
      <c r="AB781" t="b">
        <f>OR(Y781&gt;20, T781&gt;6)</f>
        <v>0</v>
      </c>
      <c r="AC781" t="str">
        <f>IF(OR(Y781&gt;20,T781&gt;6), "Good employee", "Bad Employee")</f>
        <v>Bad Employee</v>
      </c>
      <c r="AD781" t="s">
        <v>28</v>
      </c>
      <c r="AE781" t="s">
        <v>42</v>
      </c>
      <c r="AF781">
        <v>18</v>
      </c>
      <c r="AG781">
        <v>2021</v>
      </c>
      <c r="AH781" t="s">
        <v>30</v>
      </c>
      <c r="AI781">
        <v>124</v>
      </c>
      <c r="AJ781">
        <v>4.3</v>
      </c>
    </row>
    <row r="782" spans="1:36" x14ac:dyDescent="0.25">
      <c r="A782">
        <v>10781</v>
      </c>
      <c r="B782" t="s">
        <v>66</v>
      </c>
      <c r="C782" t="s">
        <v>61</v>
      </c>
      <c r="D782" t="s">
        <v>33</v>
      </c>
      <c r="E782" t="str">
        <f t="shared" si="156"/>
        <v>John Smith is in Marketing Department</v>
      </c>
      <c r="F782" s="6" t="str">
        <f t="shared" si="157"/>
        <v>johnsmith@gmail.com</v>
      </c>
      <c r="G782">
        <v>103339</v>
      </c>
      <c r="H782" t="str">
        <f t="shared" si="158"/>
        <v>High</v>
      </c>
      <c r="I782" s="3">
        <v>42544</v>
      </c>
      <c r="J782">
        <f t="shared" si="159"/>
        <v>2016</v>
      </c>
      <c r="K782">
        <f t="shared" si="160"/>
        <v>6</v>
      </c>
      <c r="L782">
        <f t="shared" si="161"/>
        <v>23</v>
      </c>
      <c r="M782" s="3">
        <f t="shared" ca="1" si="162"/>
        <v>46100</v>
      </c>
      <c r="N782">
        <f t="shared" ca="1" si="163"/>
        <v>3556</v>
      </c>
      <c r="O782">
        <f t="shared" ca="1" si="164"/>
        <v>3556</v>
      </c>
      <c r="P782">
        <f t="shared" ca="1" si="165"/>
        <v>2541</v>
      </c>
      <c r="Q782">
        <v>45</v>
      </c>
      <c r="R782" t="str">
        <f t="shared" si="166"/>
        <v>Old</v>
      </c>
      <c r="S782" t="s">
        <v>24</v>
      </c>
      <c r="T782">
        <v>7</v>
      </c>
      <c r="U782" t="s">
        <v>25</v>
      </c>
      <c r="V782">
        <v>1958.14</v>
      </c>
      <c r="W782" t="s">
        <v>35</v>
      </c>
      <c r="X782" t="s">
        <v>47</v>
      </c>
      <c r="Y782">
        <v>4</v>
      </c>
      <c r="Z782" t="str">
        <f t="shared" si="167"/>
        <v>Bad Employee</v>
      </c>
      <c r="AA782" t="b">
        <f t="shared" si="168"/>
        <v>0</v>
      </c>
      <c r="AB782" t="b">
        <f>OR(Y782&gt;20, T782&gt;6)</f>
        <v>1</v>
      </c>
      <c r="AC782" t="str">
        <f>IF(OR(Y782&gt;20,T782&gt;6), "Good employee", "Bad Employee")</f>
        <v>Good employee</v>
      </c>
      <c r="AD782" t="s">
        <v>41</v>
      </c>
      <c r="AE782" t="s">
        <v>48</v>
      </c>
      <c r="AF782">
        <v>9</v>
      </c>
      <c r="AG782">
        <v>2012</v>
      </c>
      <c r="AH782" t="s">
        <v>30</v>
      </c>
      <c r="AI782">
        <v>92</v>
      </c>
      <c r="AJ782">
        <v>3.8</v>
      </c>
    </row>
    <row r="783" spans="1:36" x14ac:dyDescent="0.25">
      <c r="A783">
        <v>10782</v>
      </c>
      <c r="B783" t="s">
        <v>50</v>
      </c>
      <c r="C783" t="s">
        <v>61</v>
      </c>
      <c r="D783" t="s">
        <v>52</v>
      </c>
      <c r="E783" t="str">
        <f t="shared" si="156"/>
        <v>Alex Smith is in Operations Department</v>
      </c>
      <c r="F783" s="6" t="str">
        <f t="shared" si="157"/>
        <v>alexsmith@gmail.com</v>
      </c>
      <c r="G783">
        <v>36574</v>
      </c>
      <c r="H783" t="str">
        <f t="shared" si="158"/>
        <v>extremely low</v>
      </c>
      <c r="I783" s="3">
        <v>38178</v>
      </c>
      <c r="J783">
        <f t="shared" si="159"/>
        <v>2004</v>
      </c>
      <c r="K783">
        <f t="shared" si="160"/>
        <v>7</v>
      </c>
      <c r="L783">
        <f t="shared" si="161"/>
        <v>10</v>
      </c>
      <c r="M783" s="3">
        <f t="shared" ca="1" si="162"/>
        <v>46100</v>
      </c>
      <c r="N783">
        <f t="shared" ca="1" si="163"/>
        <v>7922</v>
      </c>
      <c r="O783">
        <f t="shared" ca="1" si="164"/>
        <v>7922</v>
      </c>
      <c r="P783">
        <f t="shared" ca="1" si="165"/>
        <v>5659</v>
      </c>
      <c r="Q783">
        <v>37</v>
      </c>
      <c r="R783" t="str">
        <f t="shared" si="166"/>
        <v>Old</v>
      </c>
      <c r="S783" t="s">
        <v>24</v>
      </c>
      <c r="T783">
        <v>4</v>
      </c>
      <c r="U783" t="s">
        <v>25</v>
      </c>
      <c r="V783">
        <v>9305.75</v>
      </c>
      <c r="W783" t="s">
        <v>26</v>
      </c>
      <c r="X783" t="s">
        <v>40</v>
      </c>
      <c r="Y783">
        <v>19</v>
      </c>
      <c r="Z783" t="str">
        <f t="shared" si="167"/>
        <v>Bad Employee</v>
      </c>
      <c r="AA783" t="b">
        <f t="shared" si="168"/>
        <v>0</v>
      </c>
      <c r="AB783" t="b">
        <f>OR(Y783&gt;20, T783&gt;6)</f>
        <v>0</v>
      </c>
      <c r="AC783" t="str">
        <f>IF(OR(Y783&gt;20,T783&gt;6), "Good employee", "Bad Employee")</f>
        <v>Bad Employee</v>
      </c>
      <c r="AD783" t="s">
        <v>41</v>
      </c>
      <c r="AE783" t="s">
        <v>62</v>
      </c>
      <c r="AF783">
        <v>7</v>
      </c>
      <c r="AG783">
        <v>2020</v>
      </c>
      <c r="AH783" t="s">
        <v>30</v>
      </c>
      <c r="AI783">
        <v>177</v>
      </c>
      <c r="AJ783">
        <v>4.7</v>
      </c>
    </row>
    <row r="784" spans="1:36" x14ac:dyDescent="0.25">
      <c r="A784">
        <v>10783</v>
      </c>
      <c r="B784" t="s">
        <v>53</v>
      </c>
      <c r="C784" t="s">
        <v>32</v>
      </c>
      <c r="D784" t="s">
        <v>52</v>
      </c>
      <c r="E784" t="str">
        <f t="shared" si="156"/>
        <v>Sarah Wilson is in Operations Department</v>
      </c>
      <c r="F784" s="6" t="str">
        <f t="shared" si="157"/>
        <v>sarahwilson@gmail.com</v>
      </c>
      <c r="G784">
        <v>38733</v>
      </c>
      <c r="H784" t="str">
        <f t="shared" si="158"/>
        <v>extremely low</v>
      </c>
      <c r="I784" s="3">
        <v>37232</v>
      </c>
      <c r="J784">
        <f t="shared" si="159"/>
        <v>2001</v>
      </c>
      <c r="K784">
        <f t="shared" si="160"/>
        <v>12</v>
      </c>
      <c r="L784">
        <f t="shared" si="161"/>
        <v>7</v>
      </c>
      <c r="M784" s="3">
        <f t="shared" ca="1" si="162"/>
        <v>46100</v>
      </c>
      <c r="N784">
        <f t="shared" ca="1" si="163"/>
        <v>8868</v>
      </c>
      <c r="O784">
        <f t="shared" ca="1" si="164"/>
        <v>8868</v>
      </c>
      <c r="P784">
        <f t="shared" ca="1" si="165"/>
        <v>6335</v>
      </c>
      <c r="Q784">
        <v>40</v>
      </c>
      <c r="R784" t="str">
        <f t="shared" si="166"/>
        <v>Old</v>
      </c>
      <c r="S784" t="s">
        <v>24</v>
      </c>
      <c r="T784">
        <v>7</v>
      </c>
      <c r="U784" t="s">
        <v>25</v>
      </c>
      <c r="V784">
        <v>5462.46</v>
      </c>
      <c r="W784" t="s">
        <v>26</v>
      </c>
      <c r="X784" t="s">
        <v>55</v>
      </c>
      <c r="Y784">
        <v>34</v>
      </c>
      <c r="Z784" t="str">
        <f t="shared" si="167"/>
        <v>Good Employee</v>
      </c>
      <c r="AA784" t="b">
        <f t="shared" si="168"/>
        <v>1</v>
      </c>
      <c r="AB784" t="b">
        <f>OR(Y784&gt;20, T784&gt;6)</f>
        <v>1</v>
      </c>
      <c r="AC784" t="str">
        <f>IF(OR(Y784&gt;20,T784&gt;6), "Good employee", "Bad Employee")</f>
        <v>Good employee</v>
      </c>
      <c r="AD784" t="s">
        <v>41</v>
      </c>
      <c r="AE784" t="s">
        <v>62</v>
      </c>
      <c r="AF784">
        <v>19</v>
      </c>
      <c r="AG784">
        <v>2011</v>
      </c>
      <c r="AH784" t="s">
        <v>49</v>
      </c>
      <c r="AI784">
        <v>41</v>
      </c>
      <c r="AJ784">
        <v>3.9</v>
      </c>
    </row>
    <row r="785" spans="1:36" x14ac:dyDescent="0.25">
      <c r="A785">
        <v>10784</v>
      </c>
      <c r="B785" t="s">
        <v>31</v>
      </c>
      <c r="C785" t="s">
        <v>61</v>
      </c>
      <c r="D785" t="s">
        <v>23</v>
      </c>
      <c r="E785" t="str">
        <f t="shared" si="156"/>
        <v>Emily Smith is in HR Department</v>
      </c>
      <c r="F785" s="6" t="str">
        <f t="shared" si="157"/>
        <v>emilysmith@gmail.com</v>
      </c>
      <c r="G785">
        <v>80290</v>
      </c>
      <c r="H785" t="str">
        <f t="shared" si="158"/>
        <v>High</v>
      </c>
      <c r="I785" s="3">
        <v>38151</v>
      </c>
      <c r="J785">
        <f t="shared" si="159"/>
        <v>2004</v>
      </c>
      <c r="K785">
        <f t="shared" si="160"/>
        <v>6</v>
      </c>
      <c r="L785">
        <f t="shared" si="161"/>
        <v>13</v>
      </c>
      <c r="M785" s="3">
        <f t="shared" ca="1" si="162"/>
        <v>46100</v>
      </c>
      <c r="N785">
        <f t="shared" ca="1" si="163"/>
        <v>7949</v>
      </c>
      <c r="O785">
        <f t="shared" ca="1" si="164"/>
        <v>7949</v>
      </c>
      <c r="P785">
        <f t="shared" ca="1" si="165"/>
        <v>5679</v>
      </c>
      <c r="Q785">
        <v>52</v>
      </c>
      <c r="R785" t="str">
        <f t="shared" si="166"/>
        <v>Old</v>
      </c>
      <c r="S785" t="s">
        <v>34</v>
      </c>
      <c r="T785">
        <v>9</v>
      </c>
      <c r="U785" t="s">
        <v>45</v>
      </c>
      <c r="V785">
        <v>6610.57</v>
      </c>
      <c r="W785" t="s">
        <v>26</v>
      </c>
      <c r="X785" t="s">
        <v>27</v>
      </c>
      <c r="Y785">
        <v>6</v>
      </c>
      <c r="Z785" t="str">
        <f t="shared" si="167"/>
        <v>Bad Employee</v>
      </c>
      <c r="AA785" t="b">
        <f t="shared" si="168"/>
        <v>0</v>
      </c>
      <c r="AB785" t="b">
        <f>OR(Y785&gt;20, T785&gt;6)</f>
        <v>1</v>
      </c>
      <c r="AC785" t="str">
        <f>IF(OR(Y785&gt;20,T785&gt;6), "Good employee", "Bad Employee")</f>
        <v>Good employee</v>
      </c>
      <c r="AD785" t="s">
        <v>56</v>
      </c>
      <c r="AE785" t="s">
        <v>62</v>
      </c>
      <c r="AF785">
        <v>10</v>
      </c>
      <c r="AG785">
        <v>2015</v>
      </c>
      <c r="AH785" t="s">
        <v>43</v>
      </c>
      <c r="AI785">
        <v>155</v>
      </c>
      <c r="AJ785">
        <v>4.8</v>
      </c>
    </row>
    <row r="786" spans="1:36" x14ac:dyDescent="0.25">
      <c r="A786">
        <v>10785</v>
      </c>
      <c r="B786" t="s">
        <v>60</v>
      </c>
      <c r="C786" t="s">
        <v>22</v>
      </c>
      <c r="D786" t="s">
        <v>54</v>
      </c>
      <c r="E786" t="str">
        <f t="shared" si="156"/>
        <v>Jane Williams is in Finance Department</v>
      </c>
      <c r="F786" s="6" t="str">
        <f t="shared" si="157"/>
        <v>janewilliams@gmail.com</v>
      </c>
      <c r="G786">
        <v>102793</v>
      </c>
      <c r="H786" t="str">
        <f t="shared" si="158"/>
        <v>High</v>
      </c>
      <c r="I786" s="3">
        <v>43359</v>
      </c>
      <c r="J786">
        <f t="shared" si="159"/>
        <v>2018</v>
      </c>
      <c r="K786">
        <f t="shared" si="160"/>
        <v>9</v>
      </c>
      <c r="L786">
        <f t="shared" si="161"/>
        <v>16</v>
      </c>
      <c r="M786" s="3">
        <f t="shared" ca="1" si="162"/>
        <v>46100</v>
      </c>
      <c r="N786">
        <f t="shared" ca="1" si="163"/>
        <v>2741</v>
      </c>
      <c r="O786">
        <f t="shared" ca="1" si="164"/>
        <v>2741</v>
      </c>
      <c r="P786">
        <f t="shared" ca="1" si="165"/>
        <v>1959</v>
      </c>
      <c r="Q786">
        <v>32</v>
      </c>
      <c r="R786" t="str">
        <f t="shared" si="166"/>
        <v>Old</v>
      </c>
      <c r="S786" t="s">
        <v>24</v>
      </c>
      <c r="T786">
        <v>3</v>
      </c>
      <c r="U786" t="s">
        <v>45</v>
      </c>
      <c r="V786">
        <v>8839.76</v>
      </c>
      <c r="W786" t="s">
        <v>35</v>
      </c>
      <c r="X786" t="s">
        <v>36</v>
      </c>
      <c r="Y786">
        <v>15</v>
      </c>
      <c r="Z786" t="str">
        <f t="shared" si="167"/>
        <v>Bad Employee</v>
      </c>
      <c r="AA786" t="b">
        <f t="shared" si="168"/>
        <v>0</v>
      </c>
      <c r="AB786" t="b">
        <f>OR(Y786&gt;20, T786&gt;6)</f>
        <v>0</v>
      </c>
      <c r="AC786" t="str">
        <f>IF(OR(Y786&gt;20,T786&gt;6), "Good employee", "Bad Employee")</f>
        <v>Bad Employee</v>
      </c>
      <c r="AD786" t="s">
        <v>56</v>
      </c>
      <c r="AE786" t="s">
        <v>37</v>
      </c>
      <c r="AF786">
        <v>12</v>
      </c>
      <c r="AG786">
        <v>2023</v>
      </c>
      <c r="AH786" t="s">
        <v>30</v>
      </c>
      <c r="AI786">
        <v>172</v>
      </c>
      <c r="AJ786">
        <v>1.1000000000000001</v>
      </c>
    </row>
    <row r="787" spans="1:36" x14ac:dyDescent="0.25">
      <c r="A787">
        <v>10786</v>
      </c>
      <c r="B787" t="s">
        <v>66</v>
      </c>
      <c r="C787" t="s">
        <v>51</v>
      </c>
      <c r="D787" t="s">
        <v>52</v>
      </c>
      <c r="E787" t="str">
        <f t="shared" si="156"/>
        <v>John Brown is in Operations Department</v>
      </c>
      <c r="F787" s="6" t="str">
        <f t="shared" si="157"/>
        <v>johnbrown@gmail.com</v>
      </c>
      <c r="G787">
        <v>66051</v>
      </c>
      <c r="H787" t="str">
        <f t="shared" si="158"/>
        <v>Medium</v>
      </c>
      <c r="I787" s="3">
        <v>41278</v>
      </c>
      <c r="J787">
        <f t="shared" si="159"/>
        <v>2013</v>
      </c>
      <c r="K787">
        <f t="shared" si="160"/>
        <v>1</v>
      </c>
      <c r="L787">
        <f t="shared" si="161"/>
        <v>4</v>
      </c>
      <c r="M787" s="3">
        <f t="shared" ca="1" si="162"/>
        <v>46100</v>
      </c>
      <c r="N787">
        <f t="shared" ca="1" si="163"/>
        <v>4822</v>
      </c>
      <c r="O787">
        <f t="shared" ca="1" si="164"/>
        <v>4822</v>
      </c>
      <c r="P787">
        <f t="shared" ca="1" si="165"/>
        <v>3445</v>
      </c>
      <c r="Q787">
        <v>27</v>
      </c>
      <c r="R787" t="str">
        <f t="shared" si="166"/>
        <v>Young</v>
      </c>
      <c r="S787" t="s">
        <v>34</v>
      </c>
      <c r="T787">
        <v>5</v>
      </c>
      <c r="U787" t="s">
        <v>45</v>
      </c>
      <c r="V787">
        <v>4391.71</v>
      </c>
      <c r="W787" t="s">
        <v>35</v>
      </c>
      <c r="X787" t="s">
        <v>36</v>
      </c>
      <c r="Y787">
        <v>10</v>
      </c>
      <c r="Z787" t="str">
        <f t="shared" si="167"/>
        <v>Bad Employee</v>
      </c>
      <c r="AA787" t="b">
        <f t="shared" si="168"/>
        <v>0</v>
      </c>
      <c r="AB787" t="b">
        <f>OR(Y787&gt;20, T787&gt;6)</f>
        <v>0</v>
      </c>
      <c r="AC787" t="str">
        <f>IF(OR(Y787&gt;20,T787&gt;6), "Good employee", "Bad Employee")</f>
        <v>Bad Employee</v>
      </c>
      <c r="AD787" t="s">
        <v>28</v>
      </c>
      <c r="AE787" t="s">
        <v>62</v>
      </c>
      <c r="AF787">
        <v>12</v>
      </c>
      <c r="AG787">
        <v>2014</v>
      </c>
      <c r="AH787" t="s">
        <v>43</v>
      </c>
      <c r="AI787">
        <v>175</v>
      </c>
      <c r="AJ787">
        <v>4.7</v>
      </c>
    </row>
    <row r="788" spans="1:36" x14ac:dyDescent="0.25">
      <c r="A788">
        <v>10787</v>
      </c>
      <c r="B788" t="s">
        <v>21</v>
      </c>
      <c r="C788" t="s">
        <v>61</v>
      </c>
      <c r="D788" t="s">
        <v>44</v>
      </c>
      <c r="E788" t="str">
        <f t="shared" si="156"/>
        <v>Michael Smith is in Sales Department</v>
      </c>
      <c r="F788" s="6" t="str">
        <f t="shared" si="157"/>
        <v>michaelsmith@gmail.com</v>
      </c>
      <c r="G788">
        <v>45909</v>
      </c>
      <c r="H788" t="str">
        <f t="shared" si="158"/>
        <v>low</v>
      </c>
      <c r="I788" s="3">
        <v>40311</v>
      </c>
      <c r="J788">
        <f t="shared" si="159"/>
        <v>2010</v>
      </c>
      <c r="K788">
        <f t="shared" si="160"/>
        <v>5</v>
      </c>
      <c r="L788">
        <f t="shared" si="161"/>
        <v>13</v>
      </c>
      <c r="M788" s="3">
        <f t="shared" ca="1" si="162"/>
        <v>46100</v>
      </c>
      <c r="N788">
        <f t="shared" ca="1" si="163"/>
        <v>5789</v>
      </c>
      <c r="O788">
        <f t="shared" ca="1" si="164"/>
        <v>5789</v>
      </c>
      <c r="P788">
        <f t="shared" ca="1" si="165"/>
        <v>4136</v>
      </c>
      <c r="Q788">
        <v>27</v>
      </c>
      <c r="R788" t="str">
        <f t="shared" si="166"/>
        <v>Young</v>
      </c>
      <c r="S788" t="s">
        <v>34</v>
      </c>
      <c r="T788">
        <v>4</v>
      </c>
      <c r="U788" t="s">
        <v>25</v>
      </c>
      <c r="V788">
        <v>4477.58</v>
      </c>
      <c r="W788" t="s">
        <v>46</v>
      </c>
      <c r="X788" t="s">
        <v>47</v>
      </c>
      <c r="Y788">
        <v>36</v>
      </c>
      <c r="Z788" t="str">
        <f t="shared" si="167"/>
        <v>Bad Employee</v>
      </c>
      <c r="AA788" t="b">
        <f t="shared" si="168"/>
        <v>0</v>
      </c>
      <c r="AB788" t="b">
        <f>OR(Y788&gt;20, T788&gt;6)</f>
        <v>1</v>
      </c>
      <c r="AC788" t="str">
        <f>IF(OR(Y788&gt;20,T788&gt;6), "Good employee", "Bad Employee")</f>
        <v>Good employee</v>
      </c>
      <c r="AD788" t="s">
        <v>41</v>
      </c>
      <c r="AE788" t="s">
        <v>42</v>
      </c>
      <c r="AF788">
        <v>8</v>
      </c>
      <c r="AG788">
        <v>2016</v>
      </c>
      <c r="AH788" t="s">
        <v>43</v>
      </c>
      <c r="AI788">
        <v>8</v>
      </c>
      <c r="AJ788">
        <v>3.2</v>
      </c>
    </row>
    <row r="789" spans="1:36" x14ac:dyDescent="0.25">
      <c r="A789">
        <v>10788</v>
      </c>
      <c r="B789" t="s">
        <v>53</v>
      </c>
      <c r="C789" t="s">
        <v>61</v>
      </c>
      <c r="D789" t="s">
        <v>52</v>
      </c>
      <c r="E789" t="str">
        <f t="shared" si="156"/>
        <v>Sarah Smith is in Operations Department</v>
      </c>
      <c r="F789" s="6" t="str">
        <f t="shared" si="157"/>
        <v>sarahsmith@gmail.com</v>
      </c>
      <c r="G789">
        <v>119682</v>
      </c>
      <c r="H789" t="str">
        <f t="shared" si="158"/>
        <v>High</v>
      </c>
      <c r="I789" s="3">
        <v>37871</v>
      </c>
      <c r="J789">
        <f t="shared" si="159"/>
        <v>2003</v>
      </c>
      <c r="K789">
        <f t="shared" si="160"/>
        <v>9</v>
      </c>
      <c r="L789">
        <f t="shared" si="161"/>
        <v>7</v>
      </c>
      <c r="M789" s="3">
        <f t="shared" ca="1" si="162"/>
        <v>46100</v>
      </c>
      <c r="N789">
        <f t="shared" ca="1" si="163"/>
        <v>8229</v>
      </c>
      <c r="O789">
        <f t="shared" ca="1" si="164"/>
        <v>8229</v>
      </c>
      <c r="P789">
        <f t="shared" ca="1" si="165"/>
        <v>5879</v>
      </c>
      <c r="Q789">
        <v>53</v>
      </c>
      <c r="R789" t="str">
        <f t="shared" si="166"/>
        <v>Old</v>
      </c>
      <c r="S789" t="s">
        <v>34</v>
      </c>
      <c r="T789">
        <v>9</v>
      </c>
      <c r="U789" t="s">
        <v>45</v>
      </c>
      <c r="V789">
        <v>5508.23</v>
      </c>
      <c r="W789" t="s">
        <v>58</v>
      </c>
      <c r="X789" t="s">
        <v>40</v>
      </c>
      <c r="Y789">
        <v>6</v>
      </c>
      <c r="Z789" t="str">
        <f t="shared" si="167"/>
        <v>Bad Employee</v>
      </c>
      <c r="AA789" t="b">
        <f t="shared" si="168"/>
        <v>0</v>
      </c>
      <c r="AB789" t="b">
        <f>OR(Y789&gt;20, T789&gt;6)</f>
        <v>1</v>
      </c>
      <c r="AC789" t="str">
        <f>IF(OR(Y789&gt;20,T789&gt;6), "Good employee", "Bad Employee")</f>
        <v>Good employee</v>
      </c>
      <c r="AD789" t="s">
        <v>41</v>
      </c>
      <c r="AE789" t="s">
        <v>48</v>
      </c>
      <c r="AF789">
        <v>4</v>
      </c>
      <c r="AG789">
        <v>2011</v>
      </c>
      <c r="AH789" t="s">
        <v>30</v>
      </c>
      <c r="AI789">
        <v>86</v>
      </c>
      <c r="AJ789">
        <v>1.4</v>
      </c>
    </row>
    <row r="790" spans="1:36" x14ac:dyDescent="0.25">
      <c r="A790">
        <v>10789</v>
      </c>
      <c r="B790" t="s">
        <v>53</v>
      </c>
      <c r="C790" t="s">
        <v>32</v>
      </c>
      <c r="D790" t="s">
        <v>33</v>
      </c>
      <c r="E790" t="str">
        <f t="shared" si="156"/>
        <v>Sarah Wilson is in Marketing Department</v>
      </c>
      <c r="F790" s="6" t="str">
        <f t="shared" si="157"/>
        <v>sarahwilson@gmail.com</v>
      </c>
      <c r="G790">
        <v>107338</v>
      </c>
      <c r="H790" t="str">
        <f t="shared" si="158"/>
        <v>High</v>
      </c>
      <c r="I790" s="3">
        <v>36869</v>
      </c>
      <c r="J790">
        <f t="shared" si="159"/>
        <v>2000</v>
      </c>
      <c r="K790">
        <f t="shared" si="160"/>
        <v>12</v>
      </c>
      <c r="L790">
        <f t="shared" si="161"/>
        <v>9</v>
      </c>
      <c r="M790" s="3">
        <f t="shared" ca="1" si="162"/>
        <v>46100</v>
      </c>
      <c r="N790">
        <f t="shared" ca="1" si="163"/>
        <v>9231</v>
      </c>
      <c r="O790">
        <f t="shared" ca="1" si="164"/>
        <v>9231</v>
      </c>
      <c r="P790">
        <f t="shared" ca="1" si="165"/>
        <v>6594</v>
      </c>
      <c r="Q790">
        <v>60</v>
      </c>
      <c r="R790" t="str">
        <f t="shared" si="166"/>
        <v>Old</v>
      </c>
      <c r="S790" t="s">
        <v>24</v>
      </c>
      <c r="T790">
        <v>5</v>
      </c>
      <c r="U790" t="s">
        <v>25</v>
      </c>
      <c r="V790">
        <v>681.47</v>
      </c>
      <c r="W790" t="s">
        <v>26</v>
      </c>
      <c r="X790" t="s">
        <v>47</v>
      </c>
      <c r="Y790">
        <v>6</v>
      </c>
      <c r="Z790" t="str">
        <f t="shared" si="167"/>
        <v>Bad Employee</v>
      </c>
      <c r="AA790" t="b">
        <f t="shared" si="168"/>
        <v>0</v>
      </c>
      <c r="AB790" t="b">
        <f>OR(Y790&gt;20, T790&gt;6)</f>
        <v>0</v>
      </c>
      <c r="AC790" t="str">
        <f>IF(OR(Y790&gt;20,T790&gt;6), "Good employee", "Bad Employee")</f>
        <v>Bad Employee</v>
      </c>
      <c r="AD790" t="s">
        <v>56</v>
      </c>
      <c r="AE790" t="s">
        <v>37</v>
      </c>
      <c r="AF790">
        <v>17</v>
      </c>
      <c r="AG790">
        <v>2023</v>
      </c>
      <c r="AH790" t="s">
        <v>43</v>
      </c>
      <c r="AI790">
        <v>19</v>
      </c>
      <c r="AJ790">
        <v>1.9</v>
      </c>
    </row>
    <row r="791" spans="1:36" x14ac:dyDescent="0.25">
      <c r="A791">
        <v>10790</v>
      </c>
      <c r="B791" t="s">
        <v>21</v>
      </c>
      <c r="C791" t="s">
        <v>65</v>
      </c>
      <c r="D791" t="s">
        <v>23</v>
      </c>
      <c r="E791" t="str">
        <f t="shared" si="156"/>
        <v>Michael Johnson is in HR Department</v>
      </c>
      <c r="F791" s="6" t="str">
        <f t="shared" si="157"/>
        <v>michaeljohnson@gmail.com</v>
      </c>
      <c r="G791">
        <v>103432</v>
      </c>
      <c r="H791" t="str">
        <f t="shared" si="158"/>
        <v>High</v>
      </c>
      <c r="I791" s="3">
        <v>40312</v>
      </c>
      <c r="J791">
        <f t="shared" si="159"/>
        <v>2010</v>
      </c>
      <c r="K791">
        <f t="shared" si="160"/>
        <v>5</v>
      </c>
      <c r="L791">
        <f t="shared" si="161"/>
        <v>14</v>
      </c>
      <c r="M791" s="3">
        <f t="shared" ca="1" si="162"/>
        <v>46100</v>
      </c>
      <c r="N791">
        <f t="shared" ca="1" si="163"/>
        <v>5788</v>
      </c>
      <c r="O791">
        <f t="shared" ca="1" si="164"/>
        <v>5788</v>
      </c>
      <c r="P791">
        <f t="shared" ca="1" si="165"/>
        <v>4135</v>
      </c>
      <c r="Q791">
        <v>34</v>
      </c>
      <c r="R791" t="str">
        <f t="shared" si="166"/>
        <v>Old</v>
      </c>
      <c r="S791" t="s">
        <v>34</v>
      </c>
      <c r="T791">
        <v>2</v>
      </c>
      <c r="U791" t="s">
        <v>25</v>
      </c>
      <c r="V791">
        <v>5218.33</v>
      </c>
      <c r="W791" t="s">
        <v>58</v>
      </c>
      <c r="X791" t="s">
        <v>47</v>
      </c>
      <c r="Y791">
        <v>15</v>
      </c>
      <c r="Z791" t="str">
        <f t="shared" si="167"/>
        <v>Bad Employee</v>
      </c>
      <c r="AA791" t="b">
        <f t="shared" si="168"/>
        <v>0</v>
      </c>
      <c r="AB791" t="b">
        <f>OR(Y791&gt;20, T791&gt;6)</f>
        <v>0</v>
      </c>
      <c r="AC791" t="str">
        <f>IF(OR(Y791&gt;20,T791&gt;6), "Good employee", "Bad Employee")</f>
        <v>Bad Employee</v>
      </c>
      <c r="AD791" t="s">
        <v>28</v>
      </c>
      <c r="AE791" t="s">
        <v>42</v>
      </c>
      <c r="AF791">
        <v>7</v>
      </c>
      <c r="AG791">
        <v>2022</v>
      </c>
      <c r="AH791" t="s">
        <v>30</v>
      </c>
      <c r="AI791">
        <v>155</v>
      </c>
      <c r="AJ791">
        <v>4.4000000000000004</v>
      </c>
    </row>
    <row r="792" spans="1:36" x14ac:dyDescent="0.25">
      <c r="A792">
        <v>10791</v>
      </c>
      <c r="B792" t="s">
        <v>64</v>
      </c>
      <c r="C792" t="s">
        <v>32</v>
      </c>
      <c r="D792" t="s">
        <v>39</v>
      </c>
      <c r="E792" t="str">
        <f t="shared" si="156"/>
        <v>Katie Wilson is in IT Department</v>
      </c>
      <c r="F792" s="6" t="str">
        <f t="shared" si="157"/>
        <v>katiewilson@gmail.com</v>
      </c>
      <c r="G792">
        <v>58133</v>
      </c>
      <c r="H792" t="str">
        <f t="shared" si="158"/>
        <v>Medium</v>
      </c>
      <c r="I792" s="3">
        <v>37061</v>
      </c>
      <c r="J792">
        <f t="shared" si="159"/>
        <v>2001</v>
      </c>
      <c r="K792">
        <f t="shared" si="160"/>
        <v>6</v>
      </c>
      <c r="L792">
        <f t="shared" si="161"/>
        <v>19</v>
      </c>
      <c r="M792" s="3">
        <f t="shared" ca="1" si="162"/>
        <v>46100</v>
      </c>
      <c r="N792">
        <f t="shared" ca="1" si="163"/>
        <v>9039</v>
      </c>
      <c r="O792">
        <f t="shared" ca="1" si="164"/>
        <v>9039</v>
      </c>
      <c r="P792">
        <f t="shared" ca="1" si="165"/>
        <v>6458</v>
      </c>
      <c r="Q792">
        <v>24</v>
      </c>
      <c r="R792" t="str">
        <f t="shared" si="166"/>
        <v>Young</v>
      </c>
      <c r="S792" t="s">
        <v>24</v>
      </c>
      <c r="T792">
        <v>1</v>
      </c>
      <c r="U792" t="s">
        <v>45</v>
      </c>
      <c r="V792">
        <v>3265.33</v>
      </c>
      <c r="W792" t="s">
        <v>26</v>
      </c>
      <c r="X792" t="s">
        <v>55</v>
      </c>
      <c r="Y792">
        <v>29</v>
      </c>
      <c r="Z792" t="str">
        <f t="shared" si="167"/>
        <v>Bad Employee</v>
      </c>
      <c r="AA792" t="b">
        <f t="shared" si="168"/>
        <v>0</v>
      </c>
      <c r="AB792" t="b">
        <f>OR(Y792&gt;20, T792&gt;6)</f>
        <v>1</v>
      </c>
      <c r="AC792" t="str">
        <f>IF(OR(Y792&gt;20,T792&gt;6), "Good employee", "Bad Employee")</f>
        <v>Good employee</v>
      </c>
      <c r="AD792" t="s">
        <v>28</v>
      </c>
      <c r="AE792" t="s">
        <v>62</v>
      </c>
      <c r="AF792">
        <v>19</v>
      </c>
      <c r="AG792">
        <v>2015</v>
      </c>
      <c r="AH792" t="s">
        <v>30</v>
      </c>
      <c r="AI792">
        <v>144</v>
      </c>
      <c r="AJ792">
        <v>3</v>
      </c>
    </row>
    <row r="793" spans="1:36" x14ac:dyDescent="0.25">
      <c r="A793">
        <v>10792</v>
      </c>
      <c r="B793" t="s">
        <v>53</v>
      </c>
      <c r="C793" t="s">
        <v>32</v>
      </c>
      <c r="D793" t="s">
        <v>23</v>
      </c>
      <c r="E793" t="str">
        <f t="shared" si="156"/>
        <v>Sarah Wilson is in HR Department</v>
      </c>
      <c r="F793" s="6" t="str">
        <f t="shared" si="157"/>
        <v>sarahwilson@gmail.com</v>
      </c>
      <c r="G793">
        <v>81571</v>
      </c>
      <c r="H793" t="str">
        <f t="shared" si="158"/>
        <v>High</v>
      </c>
      <c r="I793" s="3">
        <v>36880</v>
      </c>
      <c r="J793">
        <f t="shared" si="159"/>
        <v>2000</v>
      </c>
      <c r="K793">
        <f t="shared" si="160"/>
        <v>12</v>
      </c>
      <c r="L793">
        <f t="shared" si="161"/>
        <v>20</v>
      </c>
      <c r="M793" s="3">
        <f t="shared" ca="1" si="162"/>
        <v>46100</v>
      </c>
      <c r="N793">
        <f t="shared" ca="1" si="163"/>
        <v>9220</v>
      </c>
      <c r="O793">
        <f t="shared" ca="1" si="164"/>
        <v>9220</v>
      </c>
      <c r="P793">
        <f t="shared" ca="1" si="165"/>
        <v>6587</v>
      </c>
      <c r="Q793">
        <v>62</v>
      </c>
      <c r="R793" t="str">
        <f t="shared" si="166"/>
        <v>Old</v>
      </c>
      <c r="S793" t="s">
        <v>24</v>
      </c>
      <c r="T793">
        <v>7</v>
      </c>
      <c r="U793" t="s">
        <v>45</v>
      </c>
      <c r="V793">
        <v>9315.56</v>
      </c>
      <c r="W793" t="s">
        <v>26</v>
      </c>
      <c r="X793" t="s">
        <v>36</v>
      </c>
      <c r="Y793">
        <v>25</v>
      </c>
      <c r="Z793" t="str">
        <f t="shared" si="167"/>
        <v>Good Employee</v>
      </c>
      <c r="AA793" t="b">
        <f t="shared" si="168"/>
        <v>1</v>
      </c>
      <c r="AB793" t="b">
        <f>OR(Y793&gt;20, T793&gt;6)</f>
        <v>1</v>
      </c>
      <c r="AC793" t="str">
        <f>IF(OR(Y793&gt;20,T793&gt;6), "Good employee", "Bad Employee")</f>
        <v>Good employee</v>
      </c>
      <c r="AD793" t="s">
        <v>28</v>
      </c>
      <c r="AE793" t="s">
        <v>48</v>
      </c>
      <c r="AF793">
        <v>13</v>
      </c>
      <c r="AG793">
        <v>2020</v>
      </c>
      <c r="AH793" t="s">
        <v>30</v>
      </c>
      <c r="AI793">
        <v>72</v>
      </c>
      <c r="AJ793">
        <v>4.9000000000000004</v>
      </c>
    </row>
    <row r="794" spans="1:36" x14ac:dyDescent="0.25">
      <c r="A794">
        <v>10793</v>
      </c>
      <c r="B794" t="s">
        <v>38</v>
      </c>
      <c r="C794" t="s">
        <v>22</v>
      </c>
      <c r="D794" t="s">
        <v>39</v>
      </c>
      <c r="E794" t="str">
        <f t="shared" si="156"/>
        <v>Chris Williams is in IT Department</v>
      </c>
      <c r="F794" s="6" t="str">
        <f t="shared" si="157"/>
        <v>chriswilliams@gmail.com</v>
      </c>
      <c r="G794">
        <v>109062</v>
      </c>
      <c r="H794" t="str">
        <f t="shared" si="158"/>
        <v>High</v>
      </c>
      <c r="I794" s="3">
        <v>40068</v>
      </c>
      <c r="J794">
        <f t="shared" si="159"/>
        <v>2009</v>
      </c>
      <c r="K794">
        <f t="shared" si="160"/>
        <v>9</v>
      </c>
      <c r="L794">
        <f t="shared" si="161"/>
        <v>12</v>
      </c>
      <c r="M794" s="3">
        <f t="shared" ca="1" si="162"/>
        <v>46100</v>
      </c>
      <c r="N794">
        <f t="shared" ca="1" si="163"/>
        <v>6032</v>
      </c>
      <c r="O794">
        <f t="shared" ca="1" si="164"/>
        <v>6032</v>
      </c>
      <c r="P794">
        <f t="shared" ca="1" si="165"/>
        <v>4309</v>
      </c>
      <c r="Q794">
        <v>56</v>
      </c>
      <c r="R794" t="str">
        <f t="shared" si="166"/>
        <v>Old</v>
      </c>
      <c r="S794" t="s">
        <v>24</v>
      </c>
      <c r="T794">
        <v>1</v>
      </c>
      <c r="U794" t="s">
        <v>25</v>
      </c>
      <c r="V794">
        <v>1333.49</v>
      </c>
      <c r="W794" t="s">
        <v>58</v>
      </c>
      <c r="X794" t="s">
        <v>27</v>
      </c>
      <c r="Y794">
        <v>19</v>
      </c>
      <c r="Z794" t="str">
        <f t="shared" si="167"/>
        <v>Bad Employee</v>
      </c>
      <c r="AA794" t="b">
        <f t="shared" si="168"/>
        <v>0</v>
      </c>
      <c r="AB794" t="b">
        <f>OR(Y794&gt;20, T794&gt;6)</f>
        <v>0</v>
      </c>
      <c r="AC794" t="str">
        <f>IF(OR(Y794&gt;20,T794&gt;6), "Good employee", "Bad Employee")</f>
        <v>Bad Employee</v>
      </c>
      <c r="AD794" t="s">
        <v>56</v>
      </c>
      <c r="AE794" t="s">
        <v>42</v>
      </c>
      <c r="AF794">
        <v>1</v>
      </c>
      <c r="AG794">
        <v>2014</v>
      </c>
      <c r="AH794" t="s">
        <v>49</v>
      </c>
      <c r="AI794">
        <v>72</v>
      </c>
      <c r="AJ794">
        <v>1.5</v>
      </c>
    </row>
    <row r="795" spans="1:36" x14ac:dyDescent="0.25">
      <c r="A795">
        <v>10794</v>
      </c>
      <c r="B795" t="s">
        <v>31</v>
      </c>
      <c r="C795" t="s">
        <v>63</v>
      </c>
      <c r="D795" t="s">
        <v>54</v>
      </c>
      <c r="E795" t="str">
        <f t="shared" si="156"/>
        <v>Emily Miller is in Finance Department</v>
      </c>
      <c r="F795" s="6" t="str">
        <f t="shared" si="157"/>
        <v>emilymiller@gmail.com</v>
      </c>
      <c r="G795">
        <v>80908</v>
      </c>
      <c r="H795" t="str">
        <f t="shared" si="158"/>
        <v>High</v>
      </c>
      <c r="I795" s="3">
        <v>41549</v>
      </c>
      <c r="J795">
        <f t="shared" si="159"/>
        <v>2013</v>
      </c>
      <c r="K795">
        <f t="shared" si="160"/>
        <v>10</v>
      </c>
      <c r="L795">
        <f t="shared" si="161"/>
        <v>2</v>
      </c>
      <c r="M795" s="3">
        <f t="shared" ca="1" si="162"/>
        <v>46100</v>
      </c>
      <c r="N795">
        <f t="shared" ca="1" si="163"/>
        <v>4551</v>
      </c>
      <c r="O795">
        <f t="shared" ca="1" si="164"/>
        <v>4551</v>
      </c>
      <c r="P795">
        <f t="shared" ca="1" si="165"/>
        <v>3252</v>
      </c>
      <c r="Q795">
        <v>59</v>
      </c>
      <c r="R795" t="str">
        <f t="shared" si="166"/>
        <v>Old</v>
      </c>
      <c r="S795" t="s">
        <v>34</v>
      </c>
      <c r="T795">
        <v>8</v>
      </c>
      <c r="U795" t="s">
        <v>25</v>
      </c>
      <c r="V795">
        <v>4863.54</v>
      </c>
      <c r="W795" t="s">
        <v>58</v>
      </c>
      <c r="X795" t="s">
        <v>40</v>
      </c>
      <c r="Y795">
        <v>14</v>
      </c>
      <c r="Z795" t="str">
        <f t="shared" si="167"/>
        <v>Bad Employee</v>
      </c>
      <c r="AA795" t="b">
        <f t="shared" si="168"/>
        <v>0</v>
      </c>
      <c r="AB795" t="b">
        <f>OR(Y795&gt;20, T795&gt;6)</f>
        <v>1</v>
      </c>
      <c r="AC795" t="str">
        <f>IF(OR(Y795&gt;20,T795&gt;6), "Good employee", "Bad Employee")</f>
        <v>Good employee</v>
      </c>
      <c r="AD795" t="s">
        <v>41</v>
      </c>
      <c r="AE795" t="s">
        <v>48</v>
      </c>
      <c r="AF795">
        <v>15</v>
      </c>
      <c r="AG795">
        <v>2015</v>
      </c>
      <c r="AH795" t="s">
        <v>30</v>
      </c>
      <c r="AI795">
        <v>184</v>
      </c>
      <c r="AJ795">
        <v>2.7</v>
      </c>
    </row>
    <row r="796" spans="1:36" x14ac:dyDescent="0.25">
      <c r="A796">
        <v>10795</v>
      </c>
      <c r="B796" t="s">
        <v>66</v>
      </c>
      <c r="C796" t="s">
        <v>61</v>
      </c>
      <c r="D796" t="s">
        <v>54</v>
      </c>
      <c r="E796" t="str">
        <f t="shared" si="156"/>
        <v>John Smith is in Finance Department</v>
      </c>
      <c r="F796" s="6" t="str">
        <f t="shared" si="157"/>
        <v>johnsmith@gmail.com</v>
      </c>
      <c r="G796">
        <v>41278</v>
      </c>
      <c r="H796" t="str">
        <f t="shared" si="158"/>
        <v>low</v>
      </c>
      <c r="I796" s="3">
        <v>37508</v>
      </c>
      <c r="J796">
        <f t="shared" si="159"/>
        <v>2002</v>
      </c>
      <c r="K796">
        <f t="shared" si="160"/>
        <v>9</v>
      </c>
      <c r="L796">
        <f t="shared" si="161"/>
        <v>9</v>
      </c>
      <c r="M796" s="3">
        <f t="shared" ca="1" si="162"/>
        <v>46100</v>
      </c>
      <c r="N796">
        <f t="shared" ca="1" si="163"/>
        <v>8592</v>
      </c>
      <c r="O796">
        <f t="shared" ca="1" si="164"/>
        <v>8592</v>
      </c>
      <c r="P796">
        <f t="shared" ca="1" si="165"/>
        <v>6139</v>
      </c>
      <c r="Q796">
        <v>38</v>
      </c>
      <c r="R796" t="str">
        <f t="shared" si="166"/>
        <v>Old</v>
      </c>
      <c r="S796" t="s">
        <v>24</v>
      </c>
      <c r="T796">
        <v>9</v>
      </c>
      <c r="U796" t="s">
        <v>45</v>
      </c>
      <c r="V796">
        <v>9500.9500000000007</v>
      </c>
      <c r="W796" t="s">
        <v>26</v>
      </c>
      <c r="X796" t="s">
        <v>27</v>
      </c>
      <c r="Y796">
        <v>3</v>
      </c>
      <c r="Z796" t="str">
        <f t="shared" si="167"/>
        <v>Bad Employee</v>
      </c>
      <c r="AA796" t="b">
        <f t="shared" si="168"/>
        <v>0</v>
      </c>
      <c r="AB796" t="b">
        <f>OR(Y796&gt;20, T796&gt;6)</f>
        <v>1</v>
      </c>
      <c r="AC796" t="str">
        <f>IF(OR(Y796&gt;20,T796&gt;6), "Good employee", "Bad Employee")</f>
        <v>Good employee</v>
      </c>
      <c r="AD796" t="s">
        <v>28</v>
      </c>
      <c r="AE796" t="s">
        <v>37</v>
      </c>
      <c r="AF796">
        <v>0</v>
      </c>
      <c r="AG796">
        <v>2014</v>
      </c>
      <c r="AH796" t="s">
        <v>30</v>
      </c>
      <c r="AI796">
        <v>173</v>
      </c>
      <c r="AJ796">
        <v>2.2999999999999998</v>
      </c>
    </row>
    <row r="797" spans="1:36" x14ac:dyDescent="0.25">
      <c r="A797">
        <v>10796</v>
      </c>
      <c r="B797" t="s">
        <v>21</v>
      </c>
      <c r="C797" t="s">
        <v>32</v>
      </c>
      <c r="D797" t="s">
        <v>52</v>
      </c>
      <c r="E797" t="str">
        <f t="shared" si="156"/>
        <v>Michael Wilson is in Operations Department</v>
      </c>
      <c r="F797" s="6" t="str">
        <f t="shared" si="157"/>
        <v>michaelwilson@gmail.com</v>
      </c>
      <c r="G797">
        <v>81458</v>
      </c>
      <c r="H797" t="str">
        <f t="shared" si="158"/>
        <v>High</v>
      </c>
      <c r="I797" s="3">
        <v>42639</v>
      </c>
      <c r="J797">
        <f t="shared" si="159"/>
        <v>2016</v>
      </c>
      <c r="K797">
        <f t="shared" si="160"/>
        <v>9</v>
      </c>
      <c r="L797">
        <f t="shared" si="161"/>
        <v>26</v>
      </c>
      <c r="M797" s="3">
        <f t="shared" ca="1" si="162"/>
        <v>46100</v>
      </c>
      <c r="N797">
        <f t="shared" ca="1" si="163"/>
        <v>3461</v>
      </c>
      <c r="O797">
        <f t="shared" ca="1" si="164"/>
        <v>3461</v>
      </c>
      <c r="P797">
        <f t="shared" ca="1" si="165"/>
        <v>2474</v>
      </c>
      <c r="Q797">
        <v>24</v>
      </c>
      <c r="R797" t="str">
        <f t="shared" si="166"/>
        <v>Young</v>
      </c>
      <c r="S797" t="s">
        <v>24</v>
      </c>
      <c r="T797">
        <v>7</v>
      </c>
      <c r="U797" t="s">
        <v>45</v>
      </c>
      <c r="V797">
        <v>9059.83</v>
      </c>
      <c r="W797" t="s">
        <v>35</v>
      </c>
      <c r="X797" t="s">
        <v>40</v>
      </c>
      <c r="Y797">
        <v>14</v>
      </c>
      <c r="Z797" t="str">
        <f t="shared" si="167"/>
        <v>Bad Employee</v>
      </c>
      <c r="AA797" t="b">
        <f t="shared" si="168"/>
        <v>0</v>
      </c>
      <c r="AB797" t="b">
        <f>OR(Y797&gt;20, T797&gt;6)</f>
        <v>1</v>
      </c>
      <c r="AC797" t="str">
        <f>IF(OR(Y797&gt;20,T797&gt;6), "Good employee", "Bad Employee")</f>
        <v>Good employee</v>
      </c>
      <c r="AD797" t="s">
        <v>28</v>
      </c>
      <c r="AE797" t="s">
        <v>42</v>
      </c>
      <c r="AF797">
        <v>12</v>
      </c>
      <c r="AG797">
        <v>2016</v>
      </c>
      <c r="AH797" t="s">
        <v>43</v>
      </c>
      <c r="AI797">
        <v>109</v>
      </c>
      <c r="AJ797">
        <v>3.1</v>
      </c>
    </row>
    <row r="798" spans="1:36" x14ac:dyDescent="0.25">
      <c r="A798">
        <v>10797</v>
      </c>
      <c r="B798" t="s">
        <v>38</v>
      </c>
      <c r="C798" t="s">
        <v>32</v>
      </c>
      <c r="D798" t="s">
        <v>44</v>
      </c>
      <c r="E798" t="str">
        <f t="shared" si="156"/>
        <v>Chris Wilson is in Sales Department</v>
      </c>
      <c r="F798" s="6" t="str">
        <f t="shared" si="157"/>
        <v>chriswilson@gmail.com</v>
      </c>
      <c r="G798">
        <v>94265</v>
      </c>
      <c r="H798" t="str">
        <f t="shared" si="158"/>
        <v>High</v>
      </c>
      <c r="I798" s="3">
        <v>42774</v>
      </c>
      <c r="J798">
        <f t="shared" si="159"/>
        <v>2017</v>
      </c>
      <c r="K798">
        <f t="shared" si="160"/>
        <v>2</v>
      </c>
      <c r="L798">
        <f t="shared" si="161"/>
        <v>8</v>
      </c>
      <c r="M798" s="3">
        <f t="shared" ca="1" si="162"/>
        <v>46100</v>
      </c>
      <c r="N798">
        <f t="shared" ca="1" si="163"/>
        <v>3326</v>
      </c>
      <c r="O798">
        <f t="shared" ca="1" si="164"/>
        <v>3326</v>
      </c>
      <c r="P798">
        <f t="shared" ca="1" si="165"/>
        <v>2377</v>
      </c>
      <c r="Q798">
        <v>55</v>
      </c>
      <c r="R798" t="str">
        <f t="shared" si="166"/>
        <v>Old</v>
      </c>
      <c r="S798" t="s">
        <v>34</v>
      </c>
      <c r="T798">
        <v>9</v>
      </c>
      <c r="U798" t="s">
        <v>45</v>
      </c>
      <c r="V798">
        <v>7162.81</v>
      </c>
      <c r="W798" t="s">
        <v>46</v>
      </c>
      <c r="X798" t="s">
        <v>36</v>
      </c>
      <c r="Y798">
        <v>39</v>
      </c>
      <c r="Z798" t="str">
        <f t="shared" si="167"/>
        <v>Good Employee</v>
      </c>
      <c r="AA798" t="b">
        <f t="shared" si="168"/>
        <v>1</v>
      </c>
      <c r="AB798" t="b">
        <f>OR(Y798&gt;20, T798&gt;6)</f>
        <v>1</v>
      </c>
      <c r="AC798" t="str">
        <f>IF(OR(Y798&gt;20,T798&gt;6), "Good employee", "Bad Employee")</f>
        <v>Good employee</v>
      </c>
      <c r="AD798" t="s">
        <v>41</v>
      </c>
      <c r="AE798" t="s">
        <v>48</v>
      </c>
      <c r="AF798">
        <v>17</v>
      </c>
      <c r="AG798">
        <v>2014</v>
      </c>
      <c r="AH798" t="s">
        <v>49</v>
      </c>
      <c r="AI798">
        <v>63</v>
      </c>
      <c r="AJ798">
        <v>3.5</v>
      </c>
    </row>
    <row r="799" spans="1:36" x14ac:dyDescent="0.25">
      <c r="A799">
        <v>10798</v>
      </c>
      <c r="B799" t="s">
        <v>21</v>
      </c>
      <c r="C799" t="s">
        <v>65</v>
      </c>
      <c r="D799" t="s">
        <v>54</v>
      </c>
      <c r="E799" t="str">
        <f t="shared" si="156"/>
        <v>Michael Johnson is in Finance Department</v>
      </c>
      <c r="F799" s="6" t="str">
        <f t="shared" si="157"/>
        <v>michaeljohnson@gmail.com</v>
      </c>
      <c r="G799">
        <v>86782</v>
      </c>
      <c r="H799" t="str">
        <f t="shared" si="158"/>
        <v>High</v>
      </c>
      <c r="I799" s="3">
        <v>37871</v>
      </c>
      <c r="J799">
        <f t="shared" si="159"/>
        <v>2003</v>
      </c>
      <c r="K799">
        <f t="shared" si="160"/>
        <v>9</v>
      </c>
      <c r="L799">
        <f t="shared" si="161"/>
        <v>7</v>
      </c>
      <c r="M799" s="3">
        <f t="shared" ca="1" si="162"/>
        <v>46100</v>
      </c>
      <c r="N799">
        <f t="shared" ca="1" si="163"/>
        <v>8229</v>
      </c>
      <c r="O799">
        <f t="shared" ca="1" si="164"/>
        <v>8229</v>
      </c>
      <c r="P799">
        <f t="shared" ca="1" si="165"/>
        <v>5879</v>
      </c>
      <c r="Q799">
        <v>33</v>
      </c>
      <c r="R799" t="str">
        <f t="shared" si="166"/>
        <v>Old</v>
      </c>
      <c r="S799" t="s">
        <v>24</v>
      </c>
      <c r="T799">
        <v>6</v>
      </c>
      <c r="U799" t="s">
        <v>45</v>
      </c>
      <c r="V799">
        <v>6098.93</v>
      </c>
      <c r="W799" t="s">
        <v>26</v>
      </c>
      <c r="X799" t="s">
        <v>55</v>
      </c>
      <c r="Y799">
        <v>39</v>
      </c>
      <c r="Z799" t="str">
        <f t="shared" si="167"/>
        <v>Bad Employee</v>
      </c>
      <c r="AA799" t="b">
        <f t="shared" si="168"/>
        <v>0</v>
      </c>
      <c r="AB799" t="b">
        <f>OR(Y799&gt;20, T799&gt;6)</f>
        <v>1</v>
      </c>
      <c r="AC799" t="str">
        <f>IF(OR(Y799&gt;20,T799&gt;6), "Good employee", "Bad Employee")</f>
        <v>Good employee</v>
      </c>
      <c r="AD799" t="s">
        <v>28</v>
      </c>
      <c r="AE799" t="s">
        <v>42</v>
      </c>
      <c r="AF799">
        <v>0</v>
      </c>
      <c r="AG799">
        <v>2023</v>
      </c>
      <c r="AH799" t="s">
        <v>43</v>
      </c>
      <c r="AI799">
        <v>62</v>
      </c>
      <c r="AJ799">
        <v>3.6</v>
      </c>
    </row>
    <row r="800" spans="1:36" x14ac:dyDescent="0.25">
      <c r="A800">
        <v>10799</v>
      </c>
      <c r="B800" t="s">
        <v>66</v>
      </c>
      <c r="C800" t="s">
        <v>32</v>
      </c>
      <c r="D800" t="s">
        <v>52</v>
      </c>
      <c r="E800" t="str">
        <f t="shared" si="156"/>
        <v>John Wilson is in Operations Department</v>
      </c>
      <c r="F800" s="6" t="str">
        <f t="shared" si="157"/>
        <v>johnwilson@gmail.com</v>
      </c>
      <c r="G800">
        <v>85415</v>
      </c>
      <c r="H800" t="str">
        <f t="shared" si="158"/>
        <v>High</v>
      </c>
      <c r="I800" s="3">
        <v>42217</v>
      </c>
      <c r="J800">
        <f t="shared" si="159"/>
        <v>2015</v>
      </c>
      <c r="K800">
        <f t="shared" si="160"/>
        <v>8</v>
      </c>
      <c r="L800">
        <f t="shared" si="161"/>
        <v>1</v>
      </c>
      <c r="M800" s="3">
        <f t="shared" ca="1" si="162"/>
        <v>46100</v>
      </c>
      <c r="N800">
        <f t="shared" ca="1" si="163"/>
        <v>3883</v>
      </c>
      <c r="O800">
        <f t="shared" ca="1" si="164"/>
        <v>3883</v>
      </c>
      <c r="P800">
        <f t="shared" ca="1" si="165"/>
        <v>2774</v>
      </c>
      <c r="Q800">
        <v>45</v>
      </c>
      <c r="R800" t="str">
        <f t="shared" si="166"/>
        <v>Old</v>
      </c>
      <c r="S800" t="s">
        <v>34</v>
      </c>
      <c r="T800">
        <v>7</v>
      </c>
      <c r="U800" t="s">
        <v>45</v>
      </c>
      <c r="V800">
        <v>3166.94</v>
      </c>
      <c r="W800" t="s">
        <v>46</v>
      </c>
      <c r="X800" t="s">
        <v>27</v>
      </c>
      <c r="Y800">
        <v>21</v>
      </c>
      <c r="Z800" t="str">
        <f t="shared" si="167"/>
        <v>Good Employee</v>
      </c>
      <c r="AA800" t="b">
        <f t="shared" si="168"/>
        <v>1</v>
      </c>
      <c r="AB800" t="b">
        <f>OR(Y800&gt;20, T800&gt;6)</f>
        <v>1</v>
      </c>
      <c r="AC800" t="str">
        <f>IF(OR(Y800&gt;20,T800&gt;6), "Good employee", "Bad Employee")</f>
        <v>Good employee</v>
      </c>
      <c r="AD800" t="s">
        <v>56</v>
      </c>
      <c r="AE800" t="s">
        <v>62</v>
      </c>
      <c r="AF800">
        <v>6</v>
      </c>
      <c r="AG800">
        <v>2022</v>
      </c>
      <c r="AH800" t="s">
        <v>43</v>
      </c>
      <c r="AI800">
        <v>124</v>
      </c>
      <c r="AJ800">
        <v>1</v>
      </c>
    </row>
    <row r="801" spans="1:36" x14ac:dyDescent="0.25">
      <c r="A801">
        <v>10800</v>
      </c>
      <c r="B801" t="s">
        <v>50</v>
      </c>
      <c r="C801" t="s">
        <v>57</v>
      </c>
      <c r="D801" t="s">
        <v>23</v>
      </c>
      <c r="E801" t="str">
        <f t="shared" si="156"/>
        <v>Alex Davis is in HR Department</v>
      </c>
      <c r="F801" s="6" t="str">
        <f t="shared" si="157"/>
        <v>alexdavis@gmail.com</v>
      </c>
      <c r="G801">
        <v>84160</v>
      </c>
      <c r="H801" t="str">
        <f t="shared" si="158"/>
        <v>High</v>
      </c>
      <c r="I801" s="3">
        <v>42528</v>
      </c>
      <c r="J801">
        <f t="shared" si="159"/>
        <v>2016</v>
      </c>
      <c r="K801">
        <f t="shared" si="160"/>
        <v>6</v>
      </c>
      <c r="L801">
        <f t="shared" si="161"/>
        <v>7</v>
      </c>
      <c r="M801" s="3">
        <f t="shared" ca="1" si="162"/>
        <v>46100</v>
      </c>
      <c r="N801">
        <f t="shared" ca="1" si="163"/>
        <v>3572</v>
      </c>
      <c r="O801">
        <f t="shared" ca="1" si="164"/>
        <v>3572</v>
      </c>
      <c r="P801">
        <f t="shared" ca="1" si="165"/>
        <v>2553</v>
      </c>
      <c r="Q801">
        <v>27</v>
      </c>
      <c r="R801" t="str">
        <f t="shared" si="166"/>
        <v>Young</v>
      </c>
      <c r="S801" t="s">
        <v>34</v>
      </c>
      <c r="T801">
        <v>3</v>
      </c>
      <c r="U801" t="s">
        <v>25</v>
      </c>
      <c r="V801">
        <v>3986.09</v>
      </c>
      <c r="W801" t="s">
        <v>35</v>
      </c>
      <c r="X801" t="s">
        <v>40</v>
      </c>
      <c r="Y801">
        <v>11</v>
      </c>
      <c r="Z801" t="str">
        <f t="shared" si="167"/>
        <v>Bad Employee</v>
      </c>
      <c r="AA801" t="b">
        <f t="shared" si="168"/>
        <v>0</v>
      </c>
      <c r="AB801" t="b">
        <f>OR(Y801&gt;20, T801&gt;6)</f>
        <v>0</v>
      </c>
      <c r="AC801" t="str">
        <f>IF(OR(Y801&gt;20,T801&gt;6), "Good employee", "Bad Employee")</f>
        <v>Bad Employee</v>
      </c>
      <c r="AD801" t="s">
        <v>28</v>
      </c>
      <c r="AE801" t="s">
        <v>62</v>
      </c>
      <c r="AF801">
        <v>3</v>
      </c>
      <c r="AG801">
        <v>2016</v>
      </c>
      <c r="AH801" t="s">
        <v>30</v>
      </c>
      <c r="AI801">
        <v>191</v>
      </c>
      <c r="AJ801">
        <v>1.4</v>
      </c>
    </row>
    <row r="802" spans="1:36" x14ac:dyDescent="0.25">
      <c r="A802">
        <v>10801</v>
      </c>
      <c r="B802" t="s">
        <v>66</v>
      </c>
      <c r="C802" t="s">
        <v>63</v>
      </c>
      <c r="D802" t="s">
        <v>54</v>
      </c>
      <c r="E802" t="str">
        <f t="shared" si="156"/>
        <v>John Miller is in Finance Department</v>
      </c>
      <c r="F802" s="6" t="str">
        <f t="shared" si="157"/>
        <v>johnmiller@gmail.com</v>
      </c>
      <c r="G802">
        <v>84399</v>
      </c>
      <c r="H802" t="str">
        <f t="shared" si="158"/>
        <v>High</v>
      </c>
      <c r="I802" s="3">
        <v>39535</v>
      </c>
      <c r="J802">
        <f t="shared" si="159"/>
        <v>2008</v>
      </c>
      <c r="K802">
        <f t="shared" si="160"/>
        <v>3</v>
      </c>
      <c r="L802">
        <f t="shared" si="161"/>
        <v>28</v>
      </c>
      <c r="M802" s="3">
        <f t="shared" ca="1" si="162"/>
        <v>46100</v>
      </c>
      <c r="N802">
        <f t="shared" ca="1" si="163"/>
        <v>6565</v>
      </c>
      <c r="O802">
        <f t="shared" ca="1" si="164"/>
        <v>6565</v>
      </c>
      <c r="P802">
        <f t="shared" ca="1" si="165"/>
        <v>4690</v>
      </c>
      <c r="Q802">
        <v>63</v>
      </c>
      <c r="R802" t="str">
        <f t="shared" si="166"/>
        <v>Old</v>
      </c>
      <c r="S802" t="s">
        <v>24</v>
      </c>
      <c r="T802">
        <v>9</v>
      </c>
      <c r="U802" t="s">
        <v>25</v>
      </c>
      <c r="V802">
        <v>1356.28</v>
      </c>
      <c r="W802" t="s">
        <v>35</v>
      </c>
      <c r="X802" t="s">
        <v>47</v>
      </c>
      <c r="Y802">
        <v>10</v>
      </c>
      <c r="Z802" t="str">
        <f t="shared" si="167"/>
        <v>Bad Employee</v>
      </c>
      <c r="AA802" t="b">
        <f t="shared" si="168"/>
        <v>0</v>
      </c>
      <c r="AB802" t="b">
        <f>OR(Y802&gt;20, T802&gt;6)</f>
        <v>1</v>
      </c>
      <c r="AC802" t="str">
        <f>IF(OR(Y802&gt;20,T802&gt;6), "Good employee", "Bad Employee")</f>
        <v>Good employee</v>
      </c>
      <c r="AD802" t="s">
        <v>41</v>
      </c>
      <c r="AE802" t="s">
        <v>62</v>
      </c>
      <c r="AF802">
        <v>9</v>
      </c>
      <c r="AG802">
        <v>2010</v>
      </c>
      <c r="AH802" t="s">
        <v>49</v>
      </c>
      <c r="AI802">
        <v>155</v>
      </c>
      <c r="AJ802">
        <v>1.1000000000000001</v>
      </c>
    </row>
    <row r="803" spans="1:36" x14ac:dyDescent="0.25">
      <c r="A803">
        <v>10802</v>
      </c>
      <c r="B803" t="s">
        <v>64</v>
      </c>
      <c r="C803" t="s">
        <v>61</v>
      </c>
      <c r="D803" t="s">
        <v>23</v>
      </c>
      <c r="E803" t="str">
        <f t="shared" si="156"/>
        <v>Katie Smith is in HR Department</v>
      </c>
      <c r="F803" s="6" t="str">
        <f t="shared" si="157"/>
        <v>katiesmith@gmail.com</v>
      </c>
      <c r="G803">
        <v>55298</v>
      </c>
      <c r="H803" t="str">
        <f t="shared" si="158"/>
        <v>Medium</v>
      </c>
      <c r="I803" s="3">
        <v>37052</v>
      </c>
      <c r="J803">
        <f t="shared" si="159"/>
        <v>2001</v>
      </c>
      <c r="K803">
        <f t="shared" si="160"/>
        <v>6</v>
      </c>
      <c r="L803">
        <f t="shared" si="161"/>
        <v>10</v>
      </c>
      <c r="M803" s="3">
        <f t="shared" ca="1" si="162"/>
        <v>46100</v>
      </c>
      <c r="N803">
        <f t="shared" ca="1" si="163"/>
        <v>9048</v>
      </c>
      <c r="O803">
        <f t="shared" ca="1" si="164"/>
        <v>9048</v>
      </c>
      <c r="P803">
        <f t="shared" ca="1" si="165"/>
        <v>6464</v>
      </c>
      <c r="Q803">
        <v>32</v>
      </c>
      <c r="R803" t="str">
        <f t="shared" si="166"/>
        <v>Old</v>
      </c>
      <c r="S803" t="s">
        <v>24</v>
      </c>
      <c r="T803">
        <v>3</v>
      </c>
      <c r="U803" t="s">
        <v>25</v>
      </c>
      <c r="V803">
        <v>7968.03</v>
      </c>
      <c r="W803" t="s">
        <v>46</v>
      </c>
      <c r="X803" t="s">
        <v>36</v>
      </c>
      <c r="Y803">
        <v>15</v>
      </c>
      <c r="Z803" t="str">
        <f t="shared" si="167"/>
        <v>Bad Employee</v>
      </c>
      <c r="AA803" t="b">
        <f t="shared" si="168"/>
        <v>0</v>
      </c>
      <c r="AB803" t="b">
        <f>OR(Y803&gt;20, T803&gt;6)</f>
        <v>0</v>
      </c>
      <c r="AC803" t="str">
        <f>IF(OR(Y803&gt;20,T803&gt;6), "Good employee", "Bad Employee")</f>
        <v>Bad Employee</v>
      </c>
      <c r="AD803" t="s">
        <v>56</v>
      </c>
      <c r="AE803" t="s">
        <v>37</v>
      </c>
      <c r="AF803">
        <v>7</v>
      </c>
      <c r="AG803">
        <v>2018</v>
      </c>
      <c r="AH803" t="s">
        <v>49</v>
      </c>
      <c r="AI803">
        <v>133</v>
      </c>
      <c r="AJ803">
        <v>4.5</v>
      </c>
    </row>
    <row r="804" spans="1:36" x14ac:dyDescent="0.25">
      <c r="A804">
        <v>10803</v>
      </c>
      <c r="B804" t="s">
        <v>66</v>
      </c>
      <c r="C804" t="s">
        <v>61</v>
      </c>
      <c r="D804" t="s">
        <v>23</v>
      </c>
      <c r="E804" t="str">
        <f t="shared" si="156"/>
        <v>John Smith is in HR Department</v>
      </c>
      <c r="F804" s="6" t="str">
        <f t="shared" si="157"/>
        <v>johnsmith@gmail.com</v>
      </c>
      <c r="G804">
        <v>52191</v>
      </c>
      <c r="H804" t="str">
        <f t="shared" si="158"/>
        <v>Medium</v>
      </c>
      <c r="I804" s="3">
        <v>43173</v>
      </c>
      <c r="J804">
        <f t="shared" si="159"/>
        <v>2018</v>
      </c>
      <c r="K804">
        <f t="shared" si="160"/>
        <v>3</v>
      </c>
      <c r="L804">
        <f t="shared" si="161"/>
        <v>14</v>
      </c>
      <c r="M804" s="3">
        <f t="shared" ca="1" si="162"/>
        <v>46100</v>
      </c>
      <c r="N804">
        <f t="shared" ca="1" si="163"/>
        <v>2927</v>
      </c>
      <c r="O804">
        <f t="shared" ca="1" si="164"/>
        <v>2927</v>
      </c>
      <c r="P804">
        <f t="shared" ca="1" si="165"/>
        <v>2092</v>
      </c>
      <c r="Q804">
        <v>48</v>
      </c>
      <c r="R804" t="str">
        <f t="shared" si="166"/>
        <v>Old</v>
      </c>
      <c r="S804" t="s">
        <v>24</v>
      </c>
      <c r="T804">
        <v>6</v>
      </c>
      <c r="U804" t="s">
        <v>45</v>
      </c>
      <c r="V804">
        <v>3576.76</v>
      </c>
      <c r="W804" t="s">
        <v>26</v>
      </c>
      <c r="X804" t="s">
        <v>55</v>
      </c>
      <c r="Y804">
        <v>30</v>
      </c>
      <c r="Z804" t="str">
        <f t="shared" si="167"/>
        <v>Bad Employee</v>
      </c>
      <c r="AA804" t="b">
        <f t="shared" si="168"/>
        <v>0</v>
      </c>
      <c r="AB804" t="b">
        <f>OR(Y804&gt;20, T804&gt;6)</f>
        <v>1</v>
      </c>
      <c r="AC804" t="str">
        <f>IF(OR(Y804&gt;20,T804&gt;6), "Good employee", "Bad Employee")</f>
        <v>Good employee</v>
      </c>
      <c r="AD804" t="s">
        <v>28</v>
      </c>
      <c r="AE804" t="s">
        <v>42</v>
      </c>
      <c r="AF804">
        <v>2</v>
      </c>
      <c r="AG804">
        <v>2015</v>
      </c>
      <c r="AH804" t="s">
        <v>30</v>
      </c>
      <c r="AI804">
        <v>60</v>
      </c>
      <c r="AJ804">
        <v>2.2999999999999998</v>
      </c>
    </row>
    <row r="805" spans="1:36" x14ac:dyDescent="0.25">
      <c r="A805">
        <v>10804</v>
      </c>
      <c r="B805" t="s">
        <v>66</v>
      </c>
      <c r="C805" t="s">
        <v>65</v>
      </c>
      <c r="D805" t="s">
        <v>44</v>
      </c>
      <c r="E805" t="str">
        <f t="shared" si="156"/>
        <v>John Johnson is in Sales Department</v>
      </c>
      <c r="F805" s="6" t="str">
        <f t="shared" si="157"/>
        <v>johnjohnson@gmail.com</v>
      </c>
      <c r="G805">
        <v>86964</v>
      </c>
      <c r="H805" t="str">
        <f t="shared" si="158"/>
        <v>High</v>
      </c>
      <c r="I805" s="3">
        <v>43778</v>
      </c>
      <c r="J805">
        <f t="shared" si="159"/>
        <v>2019</v>
      </c>
      <c r="K805">
        <f t="shared" si="160"/>
        <v>11</v>
      </c>
      <c r="L805">
        <f t="shared" si="161"/>
        <v>9</v>
      </c>
      <c r="M805" s="3">
        <f t="shared" ca="1" si="162"/>
        <v>46100</v>
      </c>
      <c r="N805">
        <f t="shared" ca="1" si="163"/>
        <v>2322</v>
      </c>
      <c r="O805">
        <f t="shared" ca="1" si="164"/>
        <v>2322</v>
      </c>
      <c r="P805">
        <f t="shared" ca="1" si="165"/>
        <v>1659</v>
      </c>
      <c r="Q805">
        <v>45</v>
      </c>
      <c r="R805" t="str">
        <f t="shared" si="166"/>
        <v>Old</v>
      </c>
      <c r="S805" t="s">
        <v>24</v>
      </c>
      <c r="T805">
        <v>4</v>
      </c>
      <c r="U805" t="s">
        <v>25</v>
      </c>
      <c r="V805">
        <v>6843.93</v>
      </c>
      <c r="W805" t="s">
        <v>46</v>
      </c>
      <c r="X805" t="s">
        <v>47</v>
      </c>
      <c r="Y805">
        <v>17</v>
      </c>
      <c r="Z805" t="str">
        <f t="shared" si="167"/>
        <v>Bad Employee</v>
      </c>
      <c r="AA805" t="b">
        <f t="shared" si="168"/>
        <v>0</v>
      </c>
      <c r="AB805" t="b">
        <f>OR(Y805&gt;20, T805&gt;6)</f>
        <v>0</v>
      </c>
      <c r="AC805" t="str">
        <f>IF(OR(Y805&gt;20,T805&gt;6), "Good employee", "Bad Employee")</f>
        <v>Bad Employee</v>
      </c>
      <c r="AD805" t="s">
        <v>41</v>
      </c>
      <c r="AE805" t="s">
        <v>48</v>
      </c>
      <c r="AF805">
        <v>6</v>
      </c>
      <c r="AG805">
        <v>2018</v>
      </c>
      <c r="AH805" t="s">
        <v>49</v>
      </c>
      <c r="AI805">
        <v>8</v>
      </c>
      <c r="AJ805">
        <v>2.5</v>
      </c>
    </row>
    <row r="806" spans="1:36" x14ac:dyDescent="0.25">
      <c r="A806">
        <v>10805</v>
      </c>
      <c r="B806" t="s">
        <v>64</v>
      </c>
      <c r="C806" t="s">
        <v>22</v>
      </c>
      <c r="D806" t="s">
        <v>54</v>
      </c>
      <c r="E806" t="str">
        <f t="shared" si="156"/>
        <v>Katie Williams is in Finance Department</v>
      </c>
      <c r="F806" s="6" t="str">
        <f t="shared" si="157"/>
        <v>katiewilliams@gmail.com</v>
      </c>
      <c r="G806">
        <v>63092</v>
      </c>
      <c r="H806" t="str">
        <f t="shared" si="158"/>
        <v>Medium</v>
      </c>
      <c r="I806" s="3">
        <v>37456</v>
      </c>
      <c r="J806">
        <f t="shared" si="159"/>
        <v>2002</v>
      </c>
      <c r="K806">
        <f t="shared" si="160"/>
        <v>7</v>
      </c>
      <c r="L806">
        <f t="shared" si="161"/>
        <v>19</v>
      </c>
      <c r="M806" s="3">
        <f t="shared" ca="1" si="162"/>
        <v>46100</v>
      </c>
      <c r="N806">
        <f t="shared" ca="1" si="163"/>
        <v>8644</v>
      </c>
      <c r="O806">
        <f t="shared" ca="1" si="164"/>
        <v>8644</v>
      </c>
      <c r="P806">
        <f t="shared" ca="1" si="165"/>
        <v>6175</v>
      </c>
      <c r="Q806">
        <v>39</v>
      </c>
      <c r="R806" t="str">
        <f t="shared" si="166"/>
        <v>Old</v>
      </c>
      <c r="S806" t="s">
        <v>34</v>
      </c>
      <c r="T806">
        <v>9</v>
      </c>
      <c r="U806" t="s">
        <v>45</v>
      </c>
      <c r="V806">
        <v>3897.15</v>
      </c>
      <c r="W806" t="s">
        <v>26</v>
      </c>
      <c r="X806" t="s">
        <v>55</v>
      </c>
      <c r="Y806">
        <v>29</v>
      </c>
      <c r="Z806" t="str">
        <f t="shared" si="167"/>
        <v>Good Employee</v>
      </c>
      <c r="AA806" t="b">
        <f t="shared" si="168"/>
        <v>1</v>
      </c>
      <c r="AB806" t="b">
        <f>OR(Y806&gt;20, T806&gt;6)</f>
        <v>1</v>
      </c>
      <c r="AC806" t="str">
        <f>IF(OR(Y806&gt;20,T806&gt;6), "Good employee", "Bad Employee")</f>
        <v>Good employee</v>
      </c>
      <c r="AD806" t="s">
        <v>41</v>
      </c>
      <c r="AE806" t="s">
        <v>48</v>
      </c>
      <c r="AF806">
        <v>15</v>
      </c>
      <c r="AG806">
        <v>2010</v>
      </c>
      <c r="AH806" t="s">
        <v>30</v>
      </c>
      <c r="AI806">
        <v>33</v>
      </c>
      <c r="AJ806">
        <v>2.8</v>
      </c>
    </row>
    <row r="807" spans="1:36" x14ac:dyDescent="0.25">
      <c r="A807">
        <v>10806</v>
      </c>
      <c r="B807" t="s">
        <v>31</v>
      </c>
      <c r="C807" t="s">
        <v>61</v>
      </c>
      <c r="D807" t="s">
        <v>23</v>
      </c>
      <c r="E807" t="str">
        <f t="shared" si="156"/>
        <v>Emily Smith is in HR Department</v>
      </c>
      <c r="F807" s="6" t="str">
        <f t="shared" si="157"/>
        <v>emilysmith@gmail.com</v>
      </c>
      <c r="G807">
        <v>119407</v>
      </c>
      <c r="H807" t="str">
        <f t="shared" si="158"/>
        <v>High</v>
      </c>
      <c r="I807" s="3">
        <v>39282</v>
      </c>
      <c r="J807">
        <f t="shared" si="159"/>
        <v>2007</v>
      </c>
      <c r="K807">
        <f t="shared" si="160"/>
        <v>7</v>
      </c>
      <c r="L807">
        <f t="shared" si="161"/>
        <v>19</v>
      </c>
      <c r="M807" s="3">
        <f t="shared" ca="1" si="162"/>
        <v>46100</v>
      </c>
      <c r="N807">
        <f t="shared" ca="1" si="163"/>
        <v>6818</v>
      </c>
      <c r="O807">
        <f t="shared" ca="1" si="164"/>
        <v>6818</v>
      </c>
      <c r="P807">
        <f t="shared" ca="1" si="165"/>
        <v>4871</v>
      </c>
      <c r="Q807">
        <v>48</v>
      </c>
      <c r="R807" t="str">
        <f t="shared" si="166"/>
        <v>Old</v>
      </c>
      <c r="S807" t="s">
        <v>24</v>
      </c>
      <c r="T807">
        <v>1</v>
      </c>
      <c r="U807" t="s">
        <v>45</v>
      </c>
      <c r="V807">
        <v>4911.1400000000003</v>
      </c>
      <c r="W807" t="s">
        <v>58</v>
      </c>
      <c r="X807" t="s">
        <v>40</v>
      </c>
      <c r="Y807">
        <v>17</v>
      </c>
      <c r="Z807" t="str">
        <f t="shared" si="167"/>
        <v>Bad Employee</v>
      </c>
      <c r="AA807" t="b">
        <f t="shared" si="168"/>
        <v>0</v>
      </c>
      <c r="AB807" t="b">
        <f>OR(Y807&gt;20, T807&gt;6)</f>
        <v>0</v>
      </c>
      <c r="AC807" t="str">
        <f>IF(OR(Y807&gt;20,T807&gt;6), "Good employee", "Bad Employee")</f>
        <v>Bad Employee</v>
      </c>
      <c r="AD807" t="s">
        <v>41</v>
      </c>
      <c r="AE807" t="s">
        <v>29</v>
      </c>
      <c r="AF807">
        <v>19</v>
      </c>
      <c r="AG807">
        <v>2011</v>
      </c>
      <c r="AH807" t="s">
        <v>49</v>
      </c>
      <c r="AI807">
        <v>21</v>
      </c>
      <c r="AJ807">
        <v>4.4000000000000004</v>
      </c>
    </row>
    <row r="808" spans="1:36" x14ac:dyDescent="0.25">
      <c r="A808">
        <v>10807</v>
      </c>
      <c r="B808" t="s">
        <v>53</v>
      </c>
      <c r="C808" t="s">
        <v>57</v>
      </c>
      <c r="D808" t="s">
        <v>44</v>
      </c>
      <c r="E808" t="str">
        <f t="shared" si="156"/>
        <v>Sarah Davis is in Sales Department</v>
      </c>
      <c r="F808" s="6" t="str">
        <f t="shared" si="157"/>
        <v>sarahdavis@gmail.com</v>
      </c>
      <c r="G808">
        <v>105257</v>
      </c>
      <c r="H808" t="str">
        <f t="shared" si="158"/>
        <v>High</v>
      </c>
      <c r="I808" s="3">
        <v>38808</v>
      </c>
      <c r="J808">
        <f t="shared" si="159"/>
        <v>2006</v>
      </c>
      <c r="K808">
        <f t="shared" si="160"/>
        <v>4</v>
      </c>
      <c r="L808">
        <f t="shared" si="161"/>
        <v>1</v>
      </c>
      <c r="M808" s="3">
        <f t="shared" ca="1" si="162"/>
        <v>46100</v>
      </c>
      <c r="N808">
        <f t="shared" ca="1" si="163"/>
        <v>7292</v>
      </c>
      <c r="O808">
        <f t="shared" ca="1" si="164"/>
        <v>7292</v>
      </c>
      <c r="P808">
        <f t="shared" ca="1" si="165"/>
        <v>5209</v>
      </c>
      <c r="Q808">
        <v>62</v>
      </c>
      <c r="R808" t="str">
        <f t="shared" si="166"/>
        <v>Old</v>
      </c>
      <c r="S808" t="s">
        <v>24</v>
      </c>
      <c r="T808">
        <v>9</v>
      </c>
      <c r="U808" t="s">
        <v>45</v>
      </c>
      <c r="V808">
        <v>5772.52</v>
      </c>
      <c r="W808" t="s">
        <v>26</v>
      </c>
      <c r="X808" t="s">
        <v>47</v>
      </c>
      <c r="Y808">
        <v>33</v>
      </c>
      <c r="Z808" t="str">
        <f t="shared" si="167"/>
        <v>Good Employee</v>
      </c>
      <c r="AA808" t="b">
        <f t="shared" si="168"/>
        <v>1</v>
      </c>
      <c r="AB808" t="b">
        <f>OR(Y808&gt;20, T808&gt;6)</f>
        <v>1</v>
      </c>
      <c r="AC808" t="str">
        <f>IF(OR(Y808&gt;20,T808&gt;6), "Good employee", "Bad Employee")</f>
        <v>Good employee</v>
      </c>
      <c r="AD808" t="s">
        <v>41</v>
      </c>
      <c r="AE808" t="s">
        <v>59</v>
      </c>
      <c r="AF808">
        <v>9</v>
      </c>
      <c r="AG808">
        <v>2016</v>
      </c>
      <c r="AH808" t="s">
        <v>49</v>
      </c>
      <c r="AI808">
        <v>181</v>
      </c>
      <c r="AJ808">
        <v>1.1000000000000001</v>
      </c>
    </row>
    <row r="809" spans="1:36" x14ac:dyDescent="0.25">
      <c r="A809">
        <v>10808</v>
      </c>
      <c r="B809" t="s">
        <v>66</v>
      </c>
      <c r="C809" t="s">
        <v>61</v>
      </c>
      <c r="D809" t="s">
        <v>44</v>
      </c>
      <c r="E809" t="str">
        <f t="shared" si="156"/>
        <v>John Smith is in Sales Department</v>
      </c>
      <c r="F809" s="6" t="str">
        <f t="shared" si="157"/>
        <v>johnsmith@gmail.com</v>
      </c>
      <c r="G809">
        <v>92513</v>
      </c>
      <c r="H809" t="str">
        <f t="shared" si="158"/>
        <v>High</v>
      </c>
      <c r="I809" s="3">
        <v>38472</v>
      </c>
      <c r="J809">
        <f t="shared" si="159"/>
        <v>2005</v>
      </c>
      <c r="K809">
        <f t="shared" si="160"/>
        <v>4</v>
      </c>
      <c r="L809">
        <f t="shared" si="161"/>
        <v>30</v>
      </c>
      <c r="M809" s="3">
        <f t="shared" ca="1" si="162"/>
        <v>46100</v>
      </c>
      <c r="N809">
        <f t="shared" ca="1" si="163"/>
        <v>7628</v>
      </c>
      <c r="O809">
        <f t="shared" ca="1" si="164"/>
        <v>7628</v>
      </c>
      <c r="P809">
        <f t="shared" ca="1" si="165"/>
        <v>5449</v>
      </c>
      <c r="Q809">
        <v>42</v>
      </c>
      <c r="R809" t="str">
        <f t="shared" si="166"/>
        <v>Old</v>
      </c>
      <c r="S809" t="s">
        <v>34</v>
      </c>
      <c r="T809">
        <v>4</v>
      </c>
      <c r="U809" t="s">
        <v>25</v>
      </c>
      <c r="V809">
        <v>8117.6</v>
      </c>
      <c r="W809" t="s">
        <v>58</v>
      </c>
      <c r="X809" t="s">
        <v>55</v>
      </c>
      <c r="Y809">
        <v>38</v>
      </c>
      <c r="Z809" t="str">
        <f t="shared" si="167"/>
        <v>Bad Employee</v>
      </c>
      <c r="AA809" t="b">
        <f t="shared" si="168"/>
        <v>0</v>
      </c>
      <c r="AB809" t="b">
        <f>OR(Y809&gt;20, T809&gt;6)</f>
        <v>1</v>
      </c>
      <c r="AC809" t="str">
        <f>IF(OR(Y809&gt;20,T809&gt;6), "Good employee", "Bad Employee")</f>
        <v>Good employee</v>
      </c>
      <c r="AD809" t="s">
        <v>28</v>
      </c>
      <c r="AE809" t="s">
        <v>62</v>
      </c>
      <c r="AF809">
        <v>12</v>
      </c>
      <c r="AG809">
        <v>2013</v>
      </c>
      <c r="AH809" t="s">
        <v>30</v>
      </c>
      <c r="AI809">
        <v>55</v>
      </c>
      <c r="AJ809">
        <v>1.5</v>
      </c>
    </row>
    <row r="810" spans="1:36" x14ac:dyDescent="0.25">
      <c r="A810">
        <v>10809</v>
      </c>
      <c r="B810" t="s">
        <v>64</v>
      </c>
      <c r="C810" t="s">
        <v>57</v>
      </c>
      <c r="D810" t="s">
        <v>54</v>
      </c>
      <c r="E810" t="str">
        <f t="shared" si="156"/>
        <v>Katie Davis is in Finance Department</v>
      </c>
      <c r="F810" s="6" t="str">
        <f t="shared" si="157"/>
        <v>katiedavis@gmail.com</v>
      </c>
      <c r="G810">
        <v>81097</v>
      </c>
      <c r="H810" t="str">
        <f t="shared" si="158"/>
        <v>High</v>
      </c>
      <c r="I810" s="3">
        <v>40453</v>
      </c>
      <c r="J810">
        <f t="shared" si="159"/>
        <v>2010</v>
      </c>
      <c r="K810">
        <f t="shared" si="160"/>
        <v>10</v>
      </c>
      <c r="L810">
        <f t="shared" si="161"/>
        <v>2</v>
      </c>
      <c r="M810" s="3">
        <f t="shared" ca="1" si="162"/>
        <v>46100</v>
      </c>
      <c r="N810">
        <f t="shared" ca="1" si="163"/>
        <v>5647</v>
      </c>
      <c r="O810">
        <f t="shared" ca="1" si="164"/>
        <v>5647</v>
      </c>
      <c r="P810">
        <f t="shared" ca="1" si="165"/>
        <v>4034</v>
      </c>
      <c r="Q810">
        <v>55</v>
      </c>
      <c r="R810" t="str">
        <f t="shared" si="166"/>
        <v>Old</v>
      </c>
      <c r="S810" t="s">
        <v>24</v>
      </c>
      <c r="T810">
        <v>5</v>
      </c>
      <c r="U810" t="s">
        <v>25</v>
      </c>
      <c r="V810">
        <v>2505.9899999999998</v>
      </c>
      <c r="W810" t="s">
        <v>58</v>
      </c>
      <c r="X810" t="s">
        <v>36</v>
      </c>
      <c r="Y810">
        <v>21</v>
      </c>
      <c r="Z810" t="str">
        <f t="shared" si="167"/>
        <v>Bad Employee</v>
      </c>
      <c r="AA810" t="b">
        <f t="shared" si="168"/>
        <v>0</v>
      </c>
      <c r="AB810" t="b">
        <f>OR(Y810&gt;20, T810&gt;6)</f>
        <v>1</v>
      </c>
      <c r="AC810" t="str">
        <f>IF(OR(Y810&gt;20,T810&gt;6), "Good employee", "Bad Employee")</f>
        <v>Good employee</v>
      </c>
      <c r="AD810" t="s">
        <v>28</v>
      </c>
      <c r="AE810" t="s">
        <v>62</v>
      </c>
      <c r="AF810">
        <v>0</v>
      </c>
      <c r="AG810">
        <v>2023</v>
      </c>
      <c r="AH810" t="s">
        <v>49</v>
      </c>
      <c r="AI810">
        <v>181</v>
      </c>
      <c r="AJ810">
        <v>3.7</v>
      </c>
    </row>
    <row r="811" spans="1:36" x14ac:dyDescent="0.25">
      <c r="A811">
        <v>10810</v>
      </c>
      <c r="B811" t="s">
        <v>38</v>
      </c>
      <c r="C811" t="s">
        <v>63</v>
      </c>
      <c r="D811" t="s">
        <v>44</v>
      </c>
      <c r="E811" t="str">
        <f t="shared" si="156"/>
        <v>Chris Miller is in Sales Department</v>
      </c>
      <c r="F811" s="6" t="str">
        <f t="shared" si="157"/>
        <v>chrismiller@gmail.com</v>
      </c>
      <c r="G811">
        <v>60279</v>
      </c>
      <c r="H811" t="str">
        <f t="shared" si="158"/>
        <v>Medium</v>
      </c>
      <c r="I811" s="3">
        <v>41908</v>
      </c>
      <c r="J811">
        <f t="shared" si="159"/>
        <v>2014</v>
      </c>
      <c r="K811">
        <f t="shared" si="160"/>
        <v>9</v>
      </c>
      <c r="L811">
        <f t="shared" si="161"/>
        <v>26</v>
      </c>
      <c r="M811" s="3">
        <f t="shared" ca="1" si="162"/>
        <v>46100</v>
      </c>
      <c r="N811">
        <f t="shared" ca="1" si="163"/>
        <v>4192</v>
      </c>
      <c r="O811">
        <f t="shared" ca="1" si="164"/>
        <v>4192</v>
      </c>
      <c r="P811">
        <f t="shared" ca="1" si="165"/>
        <v>2995</v>
      </c>
      <c r="Q811">
        <v>54</v>
      </c>
      <c r="R811" t="str">
        <f t="shared" si="166"/>
        <v>Old</v>
      </c>
      <c r="S811" t="s">
        <v>24</v>
      </c>
      <c r="T811">
        <v>1</v>
      </c>
      <c r="U811" t="s">
        <v>25</v>
      </c>
      <c r="V811">
        <v>4288.2700000000004</v>
      </c>
      <c r="W811" t="s">
        <v>46</v>
      </c>
      <c r="X811" t="s">
        <v>27</v>
      </c>
      <c r="Y811">
        <v>14</v>
      </c>
      <c r="Z811" t="str">
        <f t="shared" si="167"/>
        <v>Bad Employee</v>
      </c>
      <c r="AA811" t="b">
        <f t="shared" si="168"/>
        <v>0</v>
      </c>
      <c r="AB811" t="b">
        <f>OR(Y811&gt;20, T811&gt;6)</f>
        <v>0</v>
      </c>
      <c r="AC811" t="str">
        <f>IF(OR(Y811&gt;20,T811&gt;6), "Good employee", "Bad Employee")</f>
        <v>Bad Employee</v>
      </c>
      <c r="AD811" t="s">
        <v>56</v>
      </c>
      <c r="AE811" t="s">
        <v>62</v>
      </c>
      <c r="AF811">
        <v>6</v>
      </c>
      <c r="AG811">
        <v>2022</v>
      </c>
      <c r="AH811" t="s">
        <v>49</v>
      </c>
      <c r="AI811">
        <v>28</v>
      </c>
      <c r="AJ811">
        <v>4.9000000000000004</v>
      </c>
    </row>
    <row r="812" spans="1:36" x14ac:dyDescent="0.25">
      <c r="A812">
        <v>10811</v>
      </c>
      <c r="B812" t="s">
        <v>50</v>
      </c>
      <c r="C812" t="s">
        <v>63</v>
      </c>
      <c r="D812" t="s">
        <v>54</v>
      </c>
      <c r="E812" t="str">
        <f t="shared" si="156"/>
        <v>Alex Miller is in Finance Department</v>
      </c>
      <c r="F812" s="6" t="str">
        <f t="shared" si="157"/>
        <v>alexmiller@gmail.com</v>
      </c>
      <c r="G812">
        <v>44404</v>
      </c>
      <c r="H812" t="str">
        <f t="shared" si="158"/>
        <v>low</v>
      </c>
      <c r="I812" s="3">
        <v>43699</v>
      </c>
      <c r="J812">
        <f t="shared" si="159"/>
        <v>2019</v>
      </c>
      <c r="K812">
        <f t="shared" si="160"/>
        <v>8</v>
      </c>
      <c r="L812">
        <f t="shared" si="161"/>
        <v>22</v>
      </c>
      <c r="M812" s="3">
        <f t="shared" ca="1" si="162"/>
        <v>46100</v>
      </c>
      <c r="N812">
        <f t="shared" ca="1" si="163"/>
        <v>2401</v>
      </c>
      <c r="O812">
        <f t="shared" ca="1" si="164"/>
        <v>2401</v>
      </c>
      <c r="P812">
        <f t="shared" ca="1" si="165"/>
        <v>1716</v>
      </c>
      <c r="Q812">
        <v>39</v>
      </c>
      <c r="R812" t="str">
        <f t="shared" si="166"/>
        <v>Old</v>
      </c>
      <c r="S812" t="s">
        <v>24</v>
      </c>
      <c r="T812">
        <v>1</v>
      </c>
      <c r="U812" t="s">
        <v>25</v>
      </c>
      <c r="V812">
        <v>1735.77</v>
      </c>
      <c r="W812" t="s">
        <v>58</v>
      </c>
      <c r="X812" t="s">
        <v>27</v>
      </c>
      <c r="Y812">
        <v>10</v>
      </c>
      <c r="Z812" t="str">
        <f t="shared" si="167"/>
        <v>Bad Employee</v>
      </c>
      <c r="AA812" t="b">
        <f t="shared" si="168"/>
        <v>0</v>
      </c>
      <c r="AB812" t="b">
        <f>OR(Y812&gt;20, T812&gt;6)</f>
        <v>0</v>
      </c>
      <c r="AC812" t="str">
        <f>IF(OR(Y812&gt;20,T812&gt;6), "Good employee", "Bad Employee")</f>
        <v>Bad Employee</v>
      </c>
      <c r="AD812" t="s">
        <v>56</v>
      </c>
      <c r="AE812" t="s">
        <v>29</v>
      </c>
      <c r="AF812">
        <v>9</v>
      </c>
      <c r="AG812">
        <v>2019</v>
      </c>
      <c r="AH812" t="s">
        <v>49</v>
      </c>
      <c r="AI812">
        <v>48</v>
      </c>
      <c r="AJ812">
        <v>3.6</v>
      </c>
    </row>
    <row r="813" spans="1:36" x14ac:dyDescent="0.25">
      <c r="A813">
        <v>10812</v>
      </c>
      <c r="B813" t="s">
        <v>50</v>
      </c>
      <c r="C813" t="s">
        <v>51</v>
      </c>
      <c r="D813" t="s">
        <v>54</v>
      </c>
      <c r="E813" t="str">
        <f t="shared" si="156"/>
        <v>Alex Brown is in Finance Department</v>
      </c>
      <c r="F813" s="6" t="str">
        <f t="shared" si="157"/>
        <v>alexbrown@gmail.com</v>
      </c>
      <c r="G813">
        <v>100022</v>
      </c>
      <c r="H813" t="str">
        <f t="shared" si="158"/>
        <v>High</v>
      </c>
      <c r="I813" s="3">
        <v>39067</v>
      </c>
      <c r="J813">
        <f t="shared" si="159"/>
        <v>2006</v>
      </c>
      <c r="K813">
        <f t="shared" si="160"/>
        <v>12</v>
      </c>
      <c r="L813">
        <f t="shared" si="161"/>
        <v>16</v>
      </c>
      <c r="M813" s="3">
        <f t="shared" ca="1" si="162"/>
        <v>46100</v>
      </c>
      <c r="N813">
        <f t="shared" ca="1" si="163"/>
        <v>7033</v>
      </c>
      <c r="O813">
        <f t="shared" ca="1" si="164"/>
        <v>7033</v>
      </c>
      <c r="P813">
        <f t="shared" ca="1" si="165"/>
        <v>5024</v>
      </c>
      <c r="Q813">
        <v>24</v>
      </c>
      <c r="R813" t="str">
        <f t="shared" si="166"/>
        <v>Young</v>
      </c>
      <c r="S813" t="s">
        <v>24</v>
      </c>
      <c r="T813">
        <v>6</v>
      </c>
      <c r="U813" t="s">
        <v>45</v>
      </c>
      <c r="V813">
        <v>1219.72</v>
      </c>
      <c r="W813" t="s">
        <v>46</v>
      </c>
      <c r="X813" t="s">
        <v>47</v>
      </c>
      <c r="Y813">
        <v>23</v>
      </c>
      <c r="Z813" t="str">
        <f t="shared" si="167"/>
        <v>Bad Employee</v>
      </c>
      <c r="AA813" t="b">
        <f t="shared" si="168"/>
        <v>0</v>
      </c>
      <c r="AB813" t="b">
        <f>OR(Y813&gt;20, T813&gt;6)</f>
        <v>1</v>
      </c>
      <c r="AC813" t="str">
        <f>IF(OR(Y813&gt;20,T813&gt;6), "Good employee", "Bad Employee")</f>
        <v>Good employee</v>
      </c>
      <c r="AD813" t="s">
        <v>41</v>
      </c>
      <c r="AE813" t="s">
        <v>29</v>
      </c>
      <c r="AF813">
        <v>11</v>
      </c>
      <c r="AG813">
        <v>2023</v>
      </c>
      <c r="AH813" t="s">
        <v>43</v>
      </c>
      <c r="AI813">
        <v>120</v>
      </c>
      <c r="AJ813">
        <v>2</v>
      </c>
    </row>
    <row r="814" spans="1:36" x14ac:dyDescent="0.25">
      <c r="A814">
        <v>10813</v>
      </c>
      <c r="B814" t="s">
        <v>66</v>
      </c>
      <c r="C814" t="s">
        <v>51</v>
      </c>
      <c r="D814" t="s">
        <v>39</v>
      </c>
      <c r="E814" t="str">
        <f t="shared" si="156"/>
        <v>John Brown is in IT Department</v>
      </c>
      <c r="F814" s="6" t="str">
        <f t="shared" si="157"/>
        <v>johnbrown@gmail.com</v>
      </c>
      <c r="G814">
        <v>65198</v>
      </c>
      <c r="H814" t="str">
        <f t="shared" si="158"/>
        <v>Medium</v>
      </c>
      <c r="I814" s="3">
        <v>38442</v>
      </c>
      <c r="J814">
        <f t="shared" si="159"/>
        <v>2005</v>
      </c>
      <c r="K814">
        <f t="shared" si="160"/>
        <v>3</v>
      </c>
      <c r="L814">
        <f t="shared" si="161"/>
        <v>31</v>
      </c>
      <c r="M814" s="3">
        <f t="shared" ca="1" si="162"/>
        <v>46100</v>
      </c>
      <c r="N814">
        <f t="shared" ca="1" si="163"/>
        <v>7658</v>
      </c>
      <c r="O814">
        <f t="shared" ca="1" si="164"/>
        <v>7658</v>
      </c>
      <c r="P814">
        <f t="shared" ca="1" si="165"/>
        <v>5471</v>
      </c>
      <c r="Q814">
        <v>45</v>
      </c>
      <c r="R814" t="str">
        <f t="shared" si="166"/>
        <v>Old</v>
      </c>
      <c r="S814" t="s">
        <v>24</v>
      </c>
      <c r="T814">
        <v>1</v>
      </c>
      <c r="U814" t="s">
        <v>45</v>
      </c>
      <c r="V814">
        <v>6244.41</v>
      </c>
      <c r="W814" t="s">
        <v>46</v>
      </c>
      <c r="X814" t="s">
        <v>36</v>
      </c>
      <c r="Y814">
        <v>39</v>
      </c>
      <c r="Z814" t="str">
        <f t="shared" si="167"/>
        <v>Bad Employee</v>
      </c>
      <c r="AA814" t="b">
        <f t="shared" si="168"/>
        <v>0</v>
      </c>
      <c r="AB814" t="b">
        <f>OR(Y814&gt;20, T814&gt;6)</f>
        <v>1</v>
      </c>
      <c r="AC814" t="str">
        <f>IF(OR(Y814&gt;20,T814&gt;6), "Good employee", "Bad Employee")</f>
        <v>Good employee</v>
      </c>
      <c r="AD814" t="s">
        <v>41</v>
      </c>
      <c r="AE814" t="s">
        <v>29</v>
      </c>
      <c r="AF814">
        <v>13</v>
      </c>
      <c r="AG814">
        <v>2010</v>
      </c>
      <c r="AH814" t="s">
        <v>30</v>
      </c>
      <c r="AI814">
        <v>173</v>
      </c>
      <c r="AJ814">
        <v>3.1</v>
      </c>
    </row>
    <row r="815" spans="1:36" x14ac:dyDescent="0.25">
      <c r="A815">
        <v>10814</v>
      </c>
      <c r="B815" t="s">
        <v>31</v>
      </c>
      <c r="C815" t="s">
        <v>57</v>
      </c>
      <c r="D815" t="s">
        <v>23</v>
      </c>
      <c r="E815" t="str">
        <f t="shared" si="156"/>
        <v>Emily Davis is in HR Department</v>
      </c>
      <c r="F815" s="6" t="str">
        <f t="shared" si="157"/>
        <v>emilydavis@gmail.com</v>
      </c>
      <c r="G815">
        <v>79997</v>
      </c>
      <c r="H815" t="str">
        <f t="shared" si="158"/>
        <v>Medium</v>
      </c>
      <c r="I815" s="3">
        <v>39886</v>
      </c>
      <c r="J815">
        <f t="shared" si="159"/>
        <v>2009</v>
      </c>
      <c r="K815">
        <f t="shared" si="160"/>
        <v>3</v>
      </c>
      <c r="L815">
        <f t="shared" si="161"/>
        <v>14</v>
      </c>
      <c r="M815" s="3">
        <f t="shared" ca="1" si="162"/>
        <v>46100</v>
      </c>
      <c r="N815">
        <f t="shared" ca="1" si="163"/>
        <v>6214</v>
      </c>
      <c r="O815">
        <f t="shared" ca="1" si="164"/>
        <v>6214</v>
      </c>
      <c r="P815">
        <f t="shared" ca="1" si="165"/>
        <v>4439</v>
      </c>
      <c r="Q815">
        <v>22</v>
      </c>
      <c r="R815" t="str">
        <f t="shared" si="166"/>
        <v>Young</v>
      </c>
      <c r="S815" t="s">
        <v>34</v>
      </c>
      <c r="T815">
        <v>2</v>
      </c>
      <c r="U815" t="s">
        <v>25</v>
      </c>
      <c r="V815">
        <v>2296.36</v>
      </c>
      <c r="W815" t="s">
        <v>35</v>
      </c>
      <c r="X815" t="s">
        <v>36</v>
      </c>
      <c r="Y815">
        <v>39</v>
      </c>
      <c r="Z815" t="str">
        <f t="shared" si="167"/>
        <v>Bad Employee</v>
      </c>
      <c r="AA815" t="b">
        <f t="shared" si="168"/>
        <v>0</v>
      </c>
      <c r="AB815" t="b">
        <f>OR(Y815&gt;20, T815&gt;6)</f>
        <v>1</v>
      </c>
      <c r="AC815" t="str">
        <f>IF(OR(Y815&gt;20,T815&gt;6), "Good employee", "Bad Employee")</f>
        <v>Good employee</v>
      </c>
      <c r="AD815" t="s">
        <v>56</v>
      </c>
      <c r="AE815" t="s">
        <v>62</v>
      </c>
      <c r="AF815">
        <v>10</v>
      </c>
      <c r="AG815">
        <v>2014</v>
      </c>
      <c r="AH815" t="s">
        <v>43</v>
      </c>
      <c r="AI815">
        <v>61</v>
      </c>
      <c r="AJ815">
        <v>4.9000000000000004</v>
      </c>
    </row>
    <row r="816" spans="1:36" x14ac:dyDescent="0.25">
      <c r="A816">
        <v>10815</v>
      </c>
      <c r="B816" t="s">
        <v>31</v>
      </c>
      <c r="C816" t="s">
        <v>22</v>
      </c>
      <c r="D816" t="s">
        <v>33</v>
      </c>
      <c r="E816" t="str">
        <f t="shared" si="156"/>
        <v>Emily Williams is in Marketing Department</v>
      </c>
      <c r="F816" s="6" t="str">
        <f t="shared" si="157"/>
        <v>emilywilliams@gmail.com</v>
      </c>
      <c r="G816">
        <v>108692</v>
      </c>
      <c r="H816" t="str">
        <f t="shared" si="158"/>
        <v>High</v>
      </c>
      <c r="I816" s="3">
        <v>38119</v>
      </c>
      <c r="J816">
        <f t="shared" si="159"/>
        <v>2004</v>
      </c>
      <c r="K816">
        <f t="shared" si="160"/>
        <v>5</v>
      </c>
      <c r="L816">
        <f t="shared" si="161"/>
        <v>12</v>
      </c>
      <c r="M816" s="3">
        <f t="shared" ca="1" si="162"/>
        <v>46100</v>
      </c>
      <c r="N816">
        <f t="shared" ca="1" si="163"/>
        <v>7981</v>
      </c>
      <c r="O816">
        <f t="shared" ca="1" si="164"/>
        <v>7981</v>
      </c>
      <c r="P816">
        <f t="shared" ca="1" si="165"/>
        <v>5702</v>
      </c>
      <c r="Q816">
        <v>27</v>
      </c>
      <c r="R816" t="str">
        <f t="shared" si="166"/>
        <v>Young</v>
      </c>
      <c r="S816" t="s">
        <v>24</v>
      </c>
      <c r="T816">
        <v>3</v>
      </c>
      <c r="U816" t="s">
        <v>25</v>
      </c>
      <c r="V816">
        <v>1068.0899999999999</v>
      </c>
      <c r="W816" t="s">
        <v>46</v>
      </c>
      <c r="X816" t="s">
        <v>55</v>
      </c>
      <c r="Y816">
        <v>14</v>
      </c>
      <c r="Z816" t="str">
        <f t="shared" si="167"/>
        <v>Bad Employee</v>
      </c>
      <c r="AA816" t="b">
        <f t="shared" si="168"/>
        <v>0</v>
      </c>
      <c r="AB816" t="b">
        <f>OR(Y816&gt;20, T816&gt;6)</f>
        <v>0</v>
      </c>
      <c r="AC816" t="str">
        <f>IF(OR(Y816&gt;20,T816&gt;6), "Good employee", "Bad Employee")</f>
        <v>Bad Employee</v>
      </c>
      <c r="AD816" t="s">
        <v>28</v>
      </c>
      <c r="AE816" t="s">
        <v>48</v>
      </c>
      <c r="AF816">
        <v>16</v>
      </c>
      <c r="AG816">
        <v>2013</v>
      </c>
      <c r="AH816" t="s">
        <v>49</v>
      </c>
      <c r="AI816">
        <v>188</v>
      </c>
      <c r="AJ816">
        <v>3.1</v>
      </c>
    </row>
    <row r="817" spans="1:36" x14ac:dyDescent="0.25">
      <c r="A817">
        <v>10816</v>
      </c>
      <c r="B817" t="s">
        <v>38</v>
      </c>
      <c r="C817" t="s">
        <v>61</v>
      </c>
      <c r="D817" t="s">
        <v>54</v>
      </c>
      <c r="E817" t="str">
        <f t="shared" si="156"/>
        <v>Chris Smith is in Finance Department</v>
      </c>
      <c r="F817" s="6" t="str">
        <f t="shared" si="157"/>
        <v>chrissmith@gmail.com</v>
      </c>
      <c r="G817">
        <v>30567</v>
      </c>
      <c r="H817" t="str">
        <f t="shared" si="158"/>
        <v>extremely low</v>
      </c>
      <c r="I817" s="3">
        <v>39451</v>
      </c>
      <c r="J817">
        <f t="shared" si="159"/>
        <v>2008</v>
      </c>
      <c r="K817">
        <f t="shared" si="160"/>
        <v>1</v>
      </c>
      <c r="L817">
        <f t="shared" si="161"/>
        <v>4</v>
      </c>
      <c r="M817" s="3">
        <f t="shared" ca="1" si="162"/>
        <v>46100</v>
      </c>
      <c r="N817">
        <f t="shared" ca="1" si="163"/>
        <v>6649</v>
      </c>
      <c r="O817">
        <f t="shared" ca="1" si="164"/>
        <v>6649</v>
      </c>
      <c r="P817">
        <f t="shared" ca="1" si="165"/>
        <v>4750</v>
      </c>
      <c r="Q817">
        <v>40</v>
      </c>
      <c r="R817" t="str">
        <f t="shared" si="166"/>
        <v>Old</v>
      </c>
      <c r="S817" t="s">
        <v>34</v>
      </c>
      <c r="T817">
        <v>7</v>
      </c>
      <c r="U817" t="s">
        <v>45</v>
      </c>
      <c r="V817">
        <v>9022.43</v>
      </c>
      <c r="W817" t="s">
        <v>35</v>
      </c>
      <c r="X817" t="s">
        <v>47</v>
      </c>
      <c r="Y817">
        <v>22</v>
      </c>
      <c r="Z817" t="str">
        <f t="shared" si="167"/>
        <v>Good Employee</v>
      </c>
      <c r="AA817" t="b">
        <f t="shared" si="168"/>
        <v>1</v>
      </c>
      <c r="AB817" t="b">
        <f>OR(Y817&gt;20, T817&gt;6)</f>
        <v>1</v>
      </c>
      <c r="AC817" t="str">
        <f>IF(OR(Y817&gt;20,T817&gt;6), "Good employee", "Bad Employee")</f>
        <v>Good employee</v>
      </c>
      <c r="AD817" t="s">
        <v>28</v>
      </c>
      <c r="AE817" t="s">
        <v>62</v>
      </c>
      <c r="AF817">
        <v>8</v>
      </c>
      <c r="AG817">
        <v>2015</v>
      </c>
      <c r="AH817" t="s">
        <v>49</v>
      </c>
      <c r="AI817">
        <v>36</v>
      </c>
      <c r="AJ817">
        <v>2.5</v>
      </c>
    </row>
    <row r="818" spans="1:36" x14ac:dyDescent="0.25">
      <c r="A818">
        <v>10817</v>
      </c>
      <c r="B818" t="s">
        <v>66</v>
      </c>
      <c r="C818" t="s">
        <v>32</v>
      </c>
      <c r="D818" t="s">
        <v>23</v>
      </c>
      <c r="E818" t="str">
        <f t="shared" si="156"/>
        <v>John Wilson is in HR Department</v>
      </c>
      <c r="F818" s="6" t="str">
        <f t="shared" si="157"/>
        <v>johnwilson@gmail.com</v>
      </c>
      <c r="G818">
        <v>91032</v>
      </c>
      <c r="H818" t="str">
        <f t="shared" si="158"/>
        <v>High</v>
      </c>
      <c r="I818" s="3">
        <v>40151</v>
      </c>
      <c r="J818">
        <f t="shared" si="159"/>
        <v>2009</v>
      </c>
      <c r="K818">
        <f t="shared" si="160"/>
        <v>12</v>
      </c>
      <c r="L818">
        <f t="shared" si="161"/>
        <v>4</v>
      </c>
      <c r="M818" s="3">
        <f t="shared" ca="1" si="162"/>
        <v>46100</v>
      </c>
      <c r="N818">
        <f t="shared" ca="1" si="163"/>
        <v>5949</v>
      </c>
      <c r="O818">
        <f t="shared" ca="1" si="164"/>
        <v>5949</v>
      </c>
      <c r="P818">
        <f t="shared" ca="1" si="165"/>
        <v>4250</v>
      </c>
      <c r="Q818">
        <v>43</v>
      </c>
      <c r="R818" t="str">
        <f t="shared" si="166"/>
        <v>Old</v>
      </c>
      <c r="S818" t="s">
        <v>34</v>
      </c>
      <c r="T818">
        <v>2</v>
      </c>
      <c r="U818" t="s">
        <v>25</v>
      </c>
      <c r="V818">
        <v>5575.99</v>
      </c>
      <c r="W818" t="s">
        <v>35</v>
      </c>
      <c r="X818" t="s">
        <v>36</v>
      </c>
      <c r="Y818">
        <v>28</v>
      </c>
      <c r="Z818" t="str">
        <f t="shared" si="167"/>
        <v>Bad Employee</v>
      </c>
      <c r="AA818" t="b">
        <f t="shared" si="168"/>
        <v>0</v>
      </c>
      <c r="AB818" t="b">
        <f>OR(Y818&gt;20, T818&gt;6)</f>
        <v>1</v>
      </c>
      <c r="AC818" t="str">
        <f>IF(OR(Y818&gt;20,T818&gt;6), "Good employee", "Bad Employee")</f>
        <v>Good employee</v>
      </c>
      <c r="AD818" t="s">
        <v>28</v>
      </c>
      <c r="AE818" t="s">
        <v>29</v>
      </c>
      <c r="AF818">
        <v>7</v>
      </c>
      <c r="AG818">
        <v>2022</v>
      </c>
      <c r="AH818" t="s">
        <v>43</v>
      </c>
      <c r="AI818">
        <v>163</v>
      </c>
      <c r="AJ818">
        <v>2.5</v>
      </c>
    </row>
    <row r="819" spans="1:36" x14ac:dyDescent="0.25">
      <c r="A819">
        <v>10818</v>
      </c>
      <c r="B819" t="s">
        <v>50</v>
      </c>
      <c r="C819" t="s">
        <v>61</v>
      </c>
      <c r="D819" t="s">
        <v>44</v>
      </c>
      <c r="E819" t="str">
        <f t="shared" si="156"/>
        <v>Alex Smith is in Sales Department</v>
      </c>
      <c r="F819" s="6" t="str">
        <f t="shared" si="157"/>
        <v>alexsmith@gmail.com</v>
      </c>
      <c r="G819">
        <v>32179</v>
      </c>
      <c r="H819" t="str">
        <f t="shared" si="158"/>
        <v>extremely low</v>
      </c>
      <c r="I819" s="3">
        <v>41995</v>
      </c>
      <c r="J819">
        <f t="shared" si="159"/>
        <v>2014</v>
      </c>
      <c r="K819">
        <f t="shared" si="160"/>
        <v>12</v>
      </c>
      <c r="L819">
        <f t="shared" si="161"/>
        <v>22</v>
      </c>
      <c r="M819" s="3">
        <f t="shared" ca="1" si="162"/>
        <v>46100</v>
      </c>
      <c r="N819">
        <f t="shared" ca="1" si="163"/>
        <v>4105</v>
      </c>
      <c r="O819">
        <f t="shared" ca="1" si="164"/>
        <v>4105</v>
      </c>
      <c r="P819">
        <f t="shared" ca="1" si="165"/>
        <v>2934</v>
      </c>
      <c r="Q819">
        <v>64</v>
      </c>
      <c r="R819" t="str">
        <f t="shared" si="166"/>
        <v>Old</v>
      </c>
      <c r="S819" t="s">
        <v>34</v>
      </c>
      <c r="T819">
        <v>5</v>
      </c>
      <c r="U819" t="s">
        <v>25</v>
      </c>
      <c r="V819">
        <v>1778.97</v>
      </c>
      <c r="W819" t="s">
        <v>46</v>
      </c>
      <c r="X819" t="s">
        <v>55</v>
      </c>
      <c r="Y819">
        <v>9</v>
      </c>
      <c r="Z819" t="str">
        <f t="shared" si="167"/>
        <v>Bad Employee</v>
      </c>
      <c r="AA819" t="b">
        <f t="shared" si="168"/>
        <v>0</v>
      </c>
      <c r="AB819" t="b">
        <f>OR(Y819&gt;20, T819&gt;6)</f>
        <v>0</v>
      </c>
      <c r="AC819" t="str">
        <f>IF(OR(Y819&gt;20,T819&gt;6), "Good employee", "Bad Employee")</f>
        <v>Bad Employee</v>
      </c>
      <c r="AD819" t="s">
        <v>41</v>
      </c>
      <c r="AE819" t="s">
        <v>29</v>
      </c>
      <c r="AF819">
        <v>9</v>
      </c>
      <c r="AG819">
        <v>2016</v>
      </c>
      <c r="AH819" t="s">
        <v>49</v>
      </c>
      <c r="AI819">
        <v>148</v>
      </c>
      <c r="AJ819">
        <v>4.9000000000000004</v>
      </c>
    </row>
    <row r="820" spans="1:36" x14ac:dyDescent="0.25">
      <c r="A820">
        <v>10819</v>
      </c>
      <c r="B820" t="s">
        <v>31</v>
      </c>
      <c r="C820" t="s">
        <v>51</v>
      </c>
      <c r="D820" t="s">
        <v>52</v>
      </c>
      <c r="E820" t="str">
        <f t="shared" si="156"/>
        <v>Emily Brown is in Operations Department</v>
      </c>
      <c r="F820" s="6" t="str">
        <f t="shared" si="157"/>
        <v>emilybrown@gmail.com</v>
      </c>
      <c r="G820">
        <v>32019</v>
      </c>
      <c r="H820" t="str">
        <f t="shared" si="158"/>
        <v>extremely low</v>
      </c>
      <c r="I820" s="3">
        <v>37749</v>
      </c>
      <c r="J820">
        <f t="shared" si="159"/>
        <v>2003</v>
      </c>
      <c r="K820">
        <f t="shared" si="160"/>
        <v>5</v>
      </c>
      <c r="L820">
        <f t="shared" si="161"/>
        <v>8</v>
      </c>
      <c r="M820" s="3">
        <f t="shared" ca="1" si="162"/>
        <v>46100</v>
      </c>
      <c r="N820">
        <f t="shared" ca="1" si="163"/>
        <v>8351</v>
      </c>
      <c r="O820">
        <f t="shared" ca="1" si="164"/>
        <v>8351</v>
      </c>
      <c r="P820">
        <f t="shared" ca="1" si="165"/>
        <v>5966</v>
      </c>
      <c r="Q820">
        <v>29</v>
      </c>
      <c r="R820" t="str">
        <f t="shared" si="166"/>
        <v>Young</v>
      </c>
      <c r="S820" t="s">
        <v>34</v>
      </c>
      <c r="T820">
        <v>9</v>
      </c>
      <c r="U820" t="s">
        <v>45</v>
      </c>
      <c r="V820">
        <v>1007.55</v>
      </c>
      <c r="W820" t="s">
        <v>26</v>
      </c>
      <c r="X820" t="s">
        <v>36</v>
      </c>
      <c r="Y820">
        <v>23</v>
      </c>
      <c r="Z820" t="str">
        <f t="shared" si="167"/>
        <v>Good Employee</v>
      </c>
      <c r="AA820" t="b">
        <f t="shared" si="168"/>
        <v>1</v>
      </c>
      <c r="AB820" t="b">
        <f>OR(Y820&gt;20, T820&gt;6)</f>
        <v>1</v>
      </c>
      <c r="AC820" t="str">
        <f>IF(OR(Y820&gt;20,T820&gt;6), "Good employee", "Bad Employee")</f>
        <v>Good employee</v>
      </c>
      <c r="AD820" t="s">
        <v>56</v>
      </c>
      <c r="AE820" t="s">
        <v>59</v>
      </c>
      <c r="AF820">
        <v>3</v>
      </c>
      <c r="AG820">
        <v>2020</v>
      </c>
      <c r="AH820" t="s">
        <v>49</v>
      </c>
      <c r="AI820">
        <v>164</v>
      </c>
      <c r="AJ820">
        <v>3.9</v>
      </c>
    </row>
    <row r="821" spans="1:36" x14ac:dyDescent="0.25">
      <c r="A821">
        <v>10820</v>
      </c>
      <c r="B821" t="s">
        <v>66</v>
      </c>
      <c r="C821" t="s">
        <v>32</v>
      </c>
      <c r="D821" t="s">
        <v>54</v>
      </c>
      <c r="E821" t="str">
        <f t="shared" si="156"/>
        <v>John Wilson is in Finance Department</v>
      </c>
      <c r="F821" s="6" t="str">
        <f t="shared" si="157"/>
        <v>johnwilson@gmail.com</v>
      </c>
      <c r="G821">
        <v>111455</v>
      </c>
      <c r="H821" t="str">
        <f t="shared" si="158"/>
        <v>High</v>
      </c>
      <c r="I821" s="3">
        <v>38485</v>
      </c>
      <c r="J821">
        <f t="shared" si="159"/>
        <v>2005</v>
      </c>
      <c r="K821">
        <f t="shared" si="160"/>
        <v>5</v>
      </c>
      <c r="L821">
        <f t="shared" si="161"/>
        <v>13</v>
      </c>
      <c r="M821" s="3">
        <f t="shared" ca="1" si="162"/>
        <v>46100</v>
      </c>
      <c r="N821">
        <f t="shared" ca="1" si="163"/>
        <v>7615</v>
      </c>
      <c r="O821">
        <f t="shared" ca="1" si="164"/>
        <v>7615</v>
      </c>
      <c r="P821">
        <f t="shared" ca="1" si="165"/>
        <v>5440</v>
      </c>
      <c r="Q821">
        <v>26</v>
      </c>
      <c r="R821" t="str">
        <f t="shared" si="166"/>
        <v>Young</v>
      </c>
      <c r="S821" t="s">
        <v>24</v>
      </c>
      <c r="T821">
        <v>8</v>
      </c>
      <c r="U821" t="s">
        <v>25</v>
      </c>
      <c r="V821">
        <v>1638.67</v>
      </c>
      <c r="W821" t="s">
        <v>26</v>
      </c>
      <c r="X821" t="s">
        <v>47</v>
      </c>
      <c r="Y821">
        <v>7</v>
      </c>
      <c r="Z821" t="str">
        <f t="shared" si="167"/>
        <v>Bad Employee</v>
      </c>
      <c r="AA821" t="b">
        <f t="shared" si="168"/>
        <v>0</v>
      </c>
      <c r="AB821" t="b">
        <f>OR(Y821&gt;20, T821&gt;6)</f>
        <v>1</v>
      </c>
      <c r="AC821" t="str">
        <f>IF(OR(Y821&gt;20,T821&gt;6), "Good employee", "Bad Employee")</f>
        <v>Good employee</v>
      </c>
      <c r="AD821" t="s">
        <v>56</v>
      </c>
      <c r="AE821" t="s">
        <v>42</v>
      </c>
      <c r="AF821">
        <v>4</v>
      </c>
      <c r="AG821">
        <v>2012</v>
      </c>
      <c r="AH821" t="s">
        <v>30</v>
      </c>
      <c r="AI821">
        <v>112</v>
      </c>
      <c r="AJ821">
        <v>3.7</v>
      </c>
    </row>
    <row r="822" spans="1:36" x14ac:dyDescent="0.25">
      <c r="A822">
        <v>10821</v>
      </c>
      <c r="B822" t="s">
        <v>21</v>
      </c>
      <c r="C822" t="s">
        <v>57</v>
      </c>
      <c r="D822" t="s">
        <v>44</v>
      </c>
      <c r="E822" t="str">
        <f t="shared" si="156"/>
        <v>Michael Davis is in Sales Department</v>
      </c>
      <c r="F822" s="6" t="str">
        <f t="shared" si="157"/>
        <v>michaeldavis@gmail.com</v>
      </c>
      <c r="G822">
        <v>115239</v>
      </c>
      <c r="H822" t="str">
        <f t="shared" si="158"/>
        <v>High</v>
      </c>
      <c r="I822" s="3">
        <v>43636</v>
      </c>
      <c r="J822">
        <f t="shared" si="159"/>
        <v>2019</v>
      </c>
      <c r="K822">
        <f t="shared" si="160"/>
        <v>6</v>
      </c>
      <c r="L822">
        <f t="shared" si="161"/>
        <v>20</v>
      </c>
      <c r="M822" s="3">
        <f t="shared" ca="1" si="162"/>
        <v>46100</v>
      </c>
      <c r="N822">
        <f t="shared" ca="1" si="163"/>
        <v>2464</v>
      </c>
      <c r="O822">
        <f t="shared" ca="1" si="164"/>
        <v>2464</v>
      </c>
      <c r="P822">
        <f t="shared" ca="1" si="165"/>
        <v>1761</v>
      </c>
      <c r="Q822">
        <v>30</v>
      </c>
      <c r="R822" t="str">
        <f t="shared" si="166"/>
        <v>Young</v>
      </c>
      <c r="S822" t="s">
        <v>24</v>
      </c>
      <c r="T822">
        <v>8</v>
      </c>
      <c r="U822" t="s">
        <v>25</v>
      </c>
      <c r="V822">
        <v>4977.7</v>
      </c>
      <c r="W822" t="s">
        <v>46</v>
      </c>
      <c r="X822" t="s">
        <v>36</v>
      </c>
      <c r="Y822">
        <v>24</v>
      </c>
      <c r="Z822" t="str">
        <f t="shared" si="167"/>
        <v>Good Employee</v>
      </c>
      <c r="AA822" t="b">
        <f t="shared" si="168"/>
        <v>1</v>
      </c>
      <c r="AB822" t="b">
        <f>OR(Y822&gt;20, T822&gt;6)</f>
        <v>1</v>
      </c>
      <c r="AC822" t="str">
        <f>IF(OR(Y822&gt;20,T822&gt;6), "Good employee", "Bad Employee")</f>
        <v>Good employee</v>
      </c>
      <c r="AD822" t="s">
        <v>56</v>
      </c>
      <c r="AE822" t="s">
        <v>59</v>
      </c>
      <c r="AF822">
        <v>17</v>
      </c>
      <c r="AG822">
        <v>2015</v>
      </c>
      <c r="AH822" t="s">
        <v>49</v>
      </c>
      <c r="AI822">
        <v>46</v>
      </c>
      <c r="AJ822">
        <v>1.9</v>
      </c>
    </row>
    <row r="823" spans="1:36" x14ac:dyDescent="0.25">
      <c r="A823">
        <v>10822</v>
      </c>
      <c r="B823" t="s">
        <v>31</v>
      </c>
      <c r="C823" t="s">
        <v>32</v>
      </c>
      <c r="D823" t="s">
        <v>44</v>
      </c>
      <c r="E823" t="str">
        <f t="shared" si="156"/>
        <v>Emily Wilson is in Sales Department</v>
      </c>
      <c r="F823" s="6" t="str">
        <f t="shared" si="157"/>
        <v>emilywilson@gmail.com</v>
      </c>
      <c r="G823">
        <v>48704</v>
      </c>
      <c r="H823" t="str">
        <f t="shared" si="158"/>
        <v>low</v>
      </c>
      <c r="I823" s="3">
        <v>37491</v>
      </c>
      <c r="J823">
        <f t="shared" si="159"/>
        <v>2002</v>
      </c>
      <c r="K823">
        <f t="shared" si="160"/>
        <v>8</v>
      </c>
      <c r="L823">
        <f t="shared" si="161"/>
        <v>23</v>
      </c>
      <c r="M823" s="3">
        <f t="shared" ca="1" si="162"/>
        <v>46100</v>
      </c>
      <c r="N823">
        <f t="shared" ca="1" si="163"/>
        <v>8609</v>
      </c>
      <c r="O823">
        <f t="shared" ca="1" si="164"/>
        <v>8609</v>
      </c>
      <c r="P823">
        <f t="shared" ca="1" si="165"/>
        <v>6150</v>
      </c>
      <c r="Q823">
        <v>42</v>
      </c>
      <c r="R823" t="str">
        <f t="shared" si="166"/>
        <v>Old</v>
      </c>
      <c r="S823" t="s">
        <v>34</v>
      </c>
      <c r="T823">
        <v>2</v>
      </c>
      <c r="U823" t="s">
        <v>25</v>
      </c>
      <c r="V823">
        <v>6850.42</v>
      </c>
      <c r="W823" t="s">
        <v>58</v>
      </c>
      <c r="X823" t="s">
        <v>36</v>
      </c>
      <c r="Y823">
        <v>37</v>
      </c>
      <c r="Z823" t="str">
        <f t="shared" si="167"/>
        <v>Bad Employee</v>
      </c>
      <c r="AA823" t="b">
        <f t="shared" si="168"/>
        <v>0</v>
      </c>
      <c r="AB823" t="b">
        <f>OR(Y823&gt;20, T823&gt;6)</f>
        <v>1</v>
      </c>
      <c r="AC823" t="str">
        <f>IF(OR(Y823&gt;20,T823&gt;6), "Good employee", "Bad Employee")</f>
        <v>Good employee</v>
      </c>
      <c r="AD823" t="s">
        <v>28</v>
      </c>
      <c r="AE823" t="s">
        <v>59</v>
      </c>
      <c r="AF823">
        <v>5</v>
      </c>
      <c r="AG823">
        <v>2011</v>
      </c>
      <c r="AH823" t="s">
        <v>30</v>
      </c>
      <c r="AI823">
        <v>126</v>
      </c>
      <c r="AJ823">
        <v>3.2</v>
      </c>
    </row>
    <row r="824" spans="1:36" x14ac:dyDescent="0.25">
      <c r="A824">
        <v>10823</v>
      </c>
      <c r="B824" t="s">
        <v>64</v>
      </c>
      <c r="C824" t="s">
        <v>61</v>
      </c>
      <c r="D824" t="s">
        <v>44</v>
      </c>
      <c r="E824" t="str">
        <f t="shared" si="156"/>
        <v>Katie Smith is in Sales Department</v>
      </c>
      <c r="F824" s="6" t="str">
        <f t="shared" si="157"/>
        <v>katiesmith@gmail.com</v>
      </c>
      <c r="G824">
        <v>48030</v>
      </c>
      <c r="H824" t="str">
        <f t="shared" si="158"/>
        <v>low</v>
      </c>
      <c r="I824" s="3">
        <v>41585</v>
      </c>
      <c r="J824">
        <f t="shared" si="159"/>
        <v>2013</v>
      </c>
      <c r="K824">
        <f t="shared" si="160"/>
        <v>11</v>
      </c>
      <c r="L824">
        <f t="shared" si="161"/>
        <v>7</v>
      </c>
      <c r="M824" s="3">
        <f t="shared" ca="1" si="162"/>
        <v>46100</v>
      </c>
      <c r="N824">
        <f t="shared" ca="1" si="163"/>
        <v>4515</v>
      </c>
      <c r="O824">
        <f t="shared" ca="1" si="164"/>
        <v>4515</v>
      </c>
      <c r="P824">
        <f t="shared" ca="1" si="165"/>
        <v>3226</v>
      </c>
      <c r="Q824">
        <v>49</v>
      </c>
      <c r="R824" t="str">
        <f t="shared" si="166"/>
        <v>Old</v>
      </c>
      <c r="S824" t="s">
        <v>24</v>
      </c>
      <c r="T824">
        <v>1</v>
      </c>
      <c r="U824" t="s">
        <v>45</v>
      </c>
      <c r="V824">
        <v>6592.16</v>
      </c>
      <c r="W824" t="s">
        <v>46</v>
      </c>
      <c r="X824" t="s">
        <v>36</v>
      </c>
      <c r="Y824">
        <v>9</v>
      </c>
      <c r="Z824" t="str">
        <f t="shared" si="167"/>
        <v>Bad Employee</v>
      </c>
      <c r="AA824" t="b">
        <f t="shared" si="168"/>
        <v>0</v>
      </c>
      <c r="AB824" t="b">
        <f>OR(Y824&gt;20, T824&gt;6)</f>
        <v>0</v>
      </c>
      <c r="AC824" t="str">
        <f>IF(OR(Y824&gt;20,T824&gt;6), "Good employee", "Bad Employee")</f>
        <v>Bad Employee</v>
      </c>
      <c r="AD824" t="s">
        <v>56</v>
      </c>
      <c r="AE824" t="s">
        <v>62</v>
      </c>
      <c r="AF824">
        <v>9</v>
      </c>
      <c r="AG824">
        <v>2021</v>
      </c>
      <c r="AH824" t="s">
        <v>30</v>
      </c>
      <c r="AI824">
        <v>38</v>
      </c>
      <c r="AJ824">
        <v>2.4</v>
      </c>
    </row>
    <row r="825" spans="1:36" x14ac:dyDescent="0.25">
      <c r="A825">
        <v>10824</v>
      </c>
      <c r="B825" t="s">
        <v>21</v>
      </c>
      <c r="C825" t="s">
        <v>61</v>
      </c>
      <c r="D825" t="s">
        <v>44</v>
      </c>
      <c r="E825" t="str">
        <f t="shared" si="156"/>
        <v>Michael Smith is in Sales Department</v>
      </c>
      <c r="F825" s="6" t="str">
        <f t="shared" si="157"/>
        <v>michaelsmith@gmail.com</v>
      </c>
      <c r="G825">
        <v>99445</v>
      </c>
      <c r="H825" t="str">
        <f t="shared" si="158"/>
        <v>High</v>
      </c>
      <c r="I825" s="3">
        <v>41518</v>
      </c>
      <c r="J825">
        <f t="shared" si="159"/>
        <v>2013</v>
      </c>
      <c r="K825">
        <f t="shared" si="160"/>
        <v>9</v>
      </c>
      <c r="L825">
        <f t="shared" si="161"/>
        <v>1</v>
      </c>
      <c r="M825" s="3">
        <f t="shared" ca="1" si="162"/>
        <v>46100</v>
      </c>
      <c r="N825">
        <f t="shared" ca="1" si="163"/>
        <v>4582</v>
      </c>
      <c r="O825">
        <f t="shared" ca="1" si="164"/>
        <v>4582</v>
      </c>
      <c r="P825">
        <f t="shared" ca="1" si="165"/>
        <v>3274</v>
      </c>
      <c r="Q825">
        <v>25</v>
      </c>
      <c r="R825" t="str">
        <f t="shared" si="166"/>
        <v>Young</v>
      </c>
      <c r="S825" t="s">
        <v>24</v>
      </c>
      <c r="T825">
        <v>9</v>
      </c>
      <c r="U825" t="s">
        <v>25</v>
      </c>
      <c r="V825">
        <v>1872.02</v>
      </c>
      <c r="W825" t="s">
        <v>58</v>
      </c>
      <c r="X825" t="s">
        <v>27</v>
      </c>
      <c r="Y825">
        <v>38</v>
      </c>
      <c r="Z825" t="str">
        <f t="shared" si="167"/>
        <v>Good Employee</v>
      </c>
      <c r="AA825" t="b">
        <f t="shared" si="168"/>
        <v>1</v>
      </c>
      <c r="AB825" t="b">
        <f>OR(Y825&gt;20, T825&gt;6)</f>
        <v>1</v>
      </c>
      <c r="AC825" t="str">
        <f>IF(OR(Y825&gt;20,T825&gt;6), "Good employee", "Bad Employee")</f>
        <v>Good employee</v>
      </c>
      <c r="AD825" t="s">
        <v>56</v>
      </c>
      <c r="AE825" t="s">
        <v>42</v>
      </c>
      <c r="AF825">
        <v>17</v>
      </c>
      <c r="AG825">
        <v>2019</v>
      </c>
      <c r="AH825" t="s">
        <v>43</v>
      </c>
      <c r="AI825">
        <v>169</v>
      </c>
      <c r="AJ825">
        <v>2</v>
      </c>
    </row>
    <row r="826" spans="1:36" x14ac:dyDescent="0.25">
      <c r="A826">
        <v>10825</v>
      </c>
      <c r="B826" t="s">
        <v>53</v>
      </c>
      <c r="C826" t="s">
        <v>22</v>
      </c>
      <c r="D826" t="s">
        <v>44</v>
      </c>
      <c r="E826" t="str">
        <f t="shared" si="156"/>
        <v>Sarah Williams is in Sales Department</v>
      </c>
      <c r="F826" s="6" t="str">
        <f t="shared" si="157"/>
        <v>sarahwilliams@gmail.com</v>
      </c>
      <c r="G826">
        <v>103551</v>
      </c>
      <c r="H826" t="str">
        <f t="shared" si="158"/>
        <v>High</v>
      </c>
      <c r="I826" s="3">
        <v>41980</v>
      </c>
      <c r="J826">
        <f t="shared" si="159"/>
        <v>2014</v>
      </c>
      <c r="K826">
        <f t="shared" si="160"/>
        <v>12</v>
      </c>
      <c r="L826">
        <f t="shared" si="161"/>
        <v>7</v>
      </c>
      <c r="M826" s="3">
        <f t="shared" ca="1" si="162"/>
        <v>46100</v>
      </c>
      <c r="N826">
        <f t="shared" ca="1" si="163"/>
        <v>4120</v>
      </c>
      <c r="O826">
        <f t="shared" ca="1" si="164"/>
        <v>4120</v>
      </c>
      <c r="P826">
        <f t="shared" ca="1" si="165"/>
        <v>2944</v>
      </c>
      <c r="Q826">
        <v>45</v>
      </c>
      <c r="R826" t="str">
        <f t="shared" si="166"/>
        <v>Old</v>
      </c>
      <c r="S826" t="s">
        <v>34</v>
      </c>
      <c r="T826">
        <v>4</v>
      </c>
      <c r="U826" t="s">
        <v>25</v>
      </c>
      <c r="V826">
        <v>6518.15</v>
      </c>
      <c r="W826" t="s">
        <v>26</v>
      </c>
      <c r="X826" t="s">
        <v>40</v>
      </c>
      <c r="Y826">
        <v>7</v>
      </c>
      <c r="Z826" t="str">
        <f t="shared" si="167"/>
        <v>Bad Employee</v>
      </c>
      <c r="AA826" t="b">
        <f t="shared" si="168"/>
        <v>0</v>
      </c>
      <c r="AB826" t="b">
        <f>OR(Y826&gt;20, T826&gt;6)</f>
        <v>0</v>
      </c>
      <c r="AC826" t="str">
        <f>IF(OR(Y826&gt;20,T826&gt;6), "Good employee", "Bad Employee")</f>
        <v>Bad Employee</v>
      </c>
      <c r="AD826" t="s">
        <v>28</v>
      </c>
      <c r="AE826" t="s">
        <v>42</v>
      </c>
      <c r="AF826">
        <v>10</v>
      </c>
      <c r="AG826">
        <v>2022</v>
      </c>
      <c r="AH826" t="s">
        <v>43</v>
      </c>
      <c r="AI826">
        <v>148</v>
      </c>
      <c r="AJ826">
        <v>4.5999999999999996</v>
      </c>
    </row>
    <row r="827" spans="1:36" x14ac:dyDescent="0.25">
      <c r="A827">
        <v>10826</v>
      </c>
      <c r="B827" t="s">
        <v>31</v>
      </c>
      <c r="C827" t="s">
        <v>65</v>
      </c>
      <c r="D827" t="s">
        <v>54</v>
      </c>
      <c r="E827" t="str">
        <f t="shared" si="156"/>
        <v>Emily Johnson is in Finance Department</v>
      </c>
      <c r="F827" s="6" t="str">
        <f t="shared" si="157"/>
        <v>emilyjohnson@gmail.com</v>
      </c>
      <c r="G827">
        <v>33420</v>
      </c>
      <c r="H827" t="str">
        <f t="shared" si="158"/>
        <v>extremely low</v>
      </c>
      <c r="I827" s="3">
        <v>40204</v>
      </c>
      <c r="J827">
        <f t="shared" si="159"/>
        <v>2010</v>
      </c>
      <c r="K827">
        <f t="shared" si="160"/>
        <v>1</v>
      </c>
      <c r="L827">
        <f t="shared" si="161"/>
        <v>26</v>
      </c>
      <c r="M827" s="3">
        <f t="shared" ca="1" si="162"/>
        <v>46100</v>
      </c>
      <c r="N827">
        <f t="shared" ca="1" si="163"/>
        <v>5896</v>
      </c>
      <c r="O827">
        <f t="shared" ca="1" si="164"/>
        <v>5896</v>
      </c>
      <c r="P827">
        <f t="shared" ca="1" si="165"/>
        <v>4213</v>
      </c>
      <c r="Q827">
        <v>29</v>
      </c>
      <c r="R827" t="str">
        <f t="shared" si="166"/>
        <v>Young</v>
      </c>
      <c r="S827" t="s">
        <v>24</v>
      </c>
      <c r="T827">
        <v>9</v>
      </c>
      <c r="U827" t="s">
        <v>45</v>
      </c>
      <c r="V827">
        <v>4346.22</v>
      </c>
      <c r="W827" t="s">
        <v>58</v>
      </c>
      <c r="X827" t="s">
        <v>47</v>
      </c>
      <c r="Y827">
        <v>23</v>
      </c>
      <c r="Z827" t="str">
        <f t="shared" si="167"/>
        <v>Good Employee</v>
      </c>
      <c r="AA827" t="b">
        <f t="shared" si="168"/>
        <v>1</v>
      </c>
      <c r="AB827" t="b">
        <f>OR(Y827&gt;20, T827&gt;6)</f>
        <v>1</v>
      </c>
      <c r="AC827" t="str">
        <f>IF(OR(Y827&gt;20,T827&gt;6), "Good employee", "Bad Employee")</f>
        <v>Good employee</v>
      </c>
      <c r="AD827" t="s">
        <v>41</v>
      </c>
      <c r="AE827" t="s">
        <v>62</v>
      </c>
      <c r="AF827">
        <v>4</v>
      </c>
      <c r="AG827">
        <v>2013</v>
      </c>
      <c r="AH827" t="s">
        <v>49</v>
      </c>
      <c r="AI827">
        <v>89</v>
      </c>
      <c r="AJ827">
        <v>2.5</v>
      </c>
    </row>
    <row r="828" spans="1:36" x14ac:dyDescent="0.25">
      <c r="A828">
        <v>10827</v>
      </c>
      <c r="B828" t="s">
        <v>50</v>
      </c>
      <c r="C828" t="s">
        <v>32</v>
      </c>
      <c r="D828" t="s">
        <v>33</v>
      </c>
      <c r="E828" t="str">
        <f t="shared" si="156"/>
        <v>Alex Wilson is in Marketing Department</v>
      </c>
      <c r="F828" s="6" t="str">
        <f t="shared" si="157"/>
        <v>alexwilson@gmail.com</v>
      </c>
      <c r="G828">
        <v>89875</v>
      </c>
      <c r="H828" t="str">
        <f t="shared" si="158"/>
        <v>High</v>
      </c>
      <c r="I828" s="3">
        <v>40838</v>
      </c>
      <c r="J828">
        <f t="shared" si="159"/>
        <v>2011</v>
      </c>
      <c r="K828">
        <f t="shared" si="160"/>
        <v>10</v>
      </c>
      <c r="L828">
        <f t="shared" si="161"/>
        <v>22</v>
      </c>
      <c r="M828" s="3">
        <f t="shared" ca="1" si="162"/>
        <v>46100</v>
      </c>
      <c r="N828">
        <f t="shared" ca="1" si="163"/>
        <v>5262</v>
      </c>
      <c r="O828">
        <f t="shared" ca="1" si="164"/>
        <v>5262</v>
      </c>
      <c r="P828">
        <f t="shared" ca="1" si="165"/>
        <v>3759</v>
      </c>
      <c r="Q828">
        <v>38</v>
      </c>
      <c r="R828" t="str">
        <f t="shared" si="166"/>
        <v>Old</v>
      </c>
      <c r="S828" t="s">
        <v>34</v>
      </c>
      <c r="T828">
        <v>7</v>
      </c>
      <c r="U828" t="s">
        <v>45</v>
      </c>
      <c r="V828">
        <v>4915.07</v>
      </c>
      <c r="W828" t="s">
        <v>46</v>
      </c>
      <c r="X828" t="s">
        <v>27</v>
      </c>
      <c r="Y828">
        <v>25</v>
      </c>
      <c r="Z828" t="str">
        <f t="shared" si="167"/>
        <v>Good Employee</v>
      </c>
      <c r="AA828" t="b">
        <f t="shared" si="168"/>
        <v>1</v>
      </c>
      <c r="AB828" t="b">
        <f>OR(Y828&gt;20, T828&gt;6)</f>
        <v>1</v>
      </c>
      <c r="AC828" t="str">
        <f>IF(OR(Y828&gt;20,T828&gt;6), "Good employee", "Bad Employee")</f>
        <v>Good employee</v>
      </c>
      <c r="AD828" t="s">
        <v>41</v>
      </c>
      <c r="AE828" t="s">
        <v>48</v>
      </c>
      <c r="AF828">
        <v>2</v>
      </c>
      <c r="AG828">
        <v>2023</v>
      </c>
      <c r="AH828" t="s">
        <v>43</v>
      </c>
      <c r="AI828">
        <v>145</v>
      </c>
      <c r="AJ828">
        <v>2.1</v>
      </c>
    </row>
    <row r="829" spans="1:36" x14ac:dyDescent="0.25">
      <c r="A829">
        <v>10828</v>
      </c>
      <c r="B829" t="s">
        <v>60</v>
      </c>
      <c r="C829" t="s">
        <v>51</v>
      </c>
      <c r="D829" t="s">
        <v>39</v>
      </c>
      <c r="E829" t="str">
        <f t="shared" si="156"/>
        <v>Jane Brown is in IT Department</v>
      </c>
      <c r="F829" s="6" t="str">
        <f t="shared" si="157"/>
        <v>janebrown@gmail.com</v>
      </c>
      <c r="G829">
        <v>77653</v>
      </c>
      <c r="H829" t="str">
        <f t="shared" si="158"/>
        <v>Medium</v>
      </c>
      <c r="I829" s="3">
        <v>37148</v>
      </c>
      <c r="J829">
        <f t="shared" si="159"/>
        <v>2001</v>
      </c>
      <c r="K829">
        <f t="shared" si="160"/>
        <v>9</v>
      </c>
      <c r="L829">
        <f t="shared" si="161"/>
        <v>14</v>
      </c>
      <c r="M829" s="3">
        <f t="shared" ca="1" si="162"/>
        <v>46100</v>
      </c>
      <c r="N829">
        <f t="shared" ca="1" si="163"/>
        <v>8952</v>
      </c>
      <c r="O829">
        <f t="shared" ca="1" si="164"/>
        <v>8952</v>
      </c>
      <c r="P829">
        <f t="shared" ca="1" si="165"/>
        <v>6395</v>
      </c>
      <c r="Q829">
        <v>55</v>
      </c>
      <c r="R829" t="str">
        <f t="shared" si="166"/>
        <v>Old</v>
      </c>
      <c r="S829" t="s">
        <v>34</v>
      </c>
      <c r="T829">
        <v>6</v>
      </c>
      <c r="U829" t="s">
        <v>45</v>
      </c>
      <c r="V829">
        <v>8113.59</v>
      </c>
      <c r="W829" t="s">
        <v>58</v>
      </c>
      <c r="X829" t="s">
        <v>40</v>
      </c>
      <c r="Y829">
        <v>22</v>
      </c>
      <c r="Z829" t="str">
        <f t="shared" si="167"/>
        <v>Bad Employee</v>
      </c>
      <c r="AA829" t="b">
        <f t="shared" si="168"/>
        <v>0</v>
      </c>
      <c r="AB829" t="b">
        <f>OR(Y829&gt;20, T829&gt;6)</f>
        <v>1</v>
      </c>
      <c r="AC829" t="str">
        <f>IF(OR(Y829&gt;20,T829&gt;6), "Good employee", "Bad Employee")</f>
        <v>Good employee</v>
      </c>
      <c r="AD829" t="s">
        <v>28</v>
      </c>
      <c r="AE829" t="s">
        <v>37</v>
      </c>
      <c r="AF829">
        <v>17</v>
      </c>
      <c r="AG829">
        <v>2019</v>
      </c>
      <c r="AH829" t="s">
        <v>30</v>
      </c>
      <c r="AI829">
        <v>126</v>
      </c>
      <c r="AJ829">
        <v>4.7</v>
      </c>
    </row>
    <row r="830" spans="1:36" x14ac:dyDescent="0.25">
      <c r="A830">
        <v>10829</v>
      </c>
      <c r="B830" t="s">
        <v>21</v>
      </c>
      <c r="C830" t="s">
        <v>51</v>
      </c>
      <c r="D830" t="s">
        <v>44</v>
      </c>
      <c r="E830" t="str">
        <f t="shared" si="156"/>
        <v>Michael Brown is in Sales Department</v>
      </c>
      <c r="F830" s="6" t="str">
        <f t="shared" si="157"/>
        <v>michaelbrown@gmail.com</v>
      </c>
      <c r="G830">
        <v>46740</v>
      </c>
      <c r="H830" t="str">
        <f t="shared" si="158"/>
        <v>low</v>
      </c>
      <c r="I830" s="3">
        <v>40974</v>
      </c>
      <c r="J830">
        <f t="shared" si="159"/>
        <v>2012</v>
      </c>
      <c r="K830">
        <f t="shared" si="160"/>
        <v>3</v>
      </c>
      <c r="L830">
        <f t="shared" si="161"/>
        <v>6</v>
      </c>
      <c r="M830" s="3">
        <f t="shared" ca="1" si="162"/>
        <v>46100</v>
      </c>
      <c r="N830">
        <f t="shared" ca="1" si="163"/>
        <v>5126</v>
      </c>
      <c r="O830">
        <f t="shared" ca="1" si="164"/>
        <v>5126</v>
      </c>
      <c r="P830">
        <f t="shared" ca="1" si="165"/>
        <v>3663</v>
      </c>
      <c r="Q830">
        <v>41</v>
      </c>
      <c r="R830" t="str">
        <f t="shared" si="166"/>
        <v>Old</v>
      </c>
      <c r="S830" t="s">
        <v>24</v>
      </c>
      <c r="T830">
        <v>9</v>
      </c>
      <c r="U830" t="s">
        <v>45</v>
      </c>
      <c r="V830">
        <v>3658.74</v>
      </c>
      <c r="W830" t="s">
        <v>35</v>
      </c>
      <c r="X830" t="s">
        <v>36</v>
      </c>
      <c r="Y830">
        <v>7</v>
      </c>
      <c r="Z830" t="str">
        <f t="shared" si="167"/>
        <v>Bad Employee</v>
      </c>
      <c r="AA830" t="b">
        <f t="shared" si="168"/>
        <v>0</v>
      </c>
      <c r="AB830" t="b">
        <f>OR(Y830&gt;20, T830&gt;6)</f>
        <v>1</v>
      </c>
      <c r="AC830" t="str">
        <f>IF(OR(Y830&gt;20,T830&gt;6), "Good employee", "Bad Employee")</f>
        <v>Good employee</v>
      </c>
      <c r="AD830" t="s">
        <v>56</v>
      </c>
      <c r="AE830" t="s">
        <v>62</v>
      </c>
      <c r="AF830">
        <v>3</v>
      </c>
      <c r="AG830">
        <v>2022</v>
      </c>
      <c r="AH830" t="s">
        <v>43</v>
      </c>
      <c r="AI830">
        <v>124</v>
      </c>
      <c r="AJ830">
        <v>1.8</v>
      </c>
    </row>
    <row r="831" spans="1:36" x14ac:dyDescent="0.25">
      <c r="A831">
        <v>10830</v>
      </c>
      <c r="B831" t="s">
        <v>53</v>
      </c>
      <c r="C831" t="s">
        <v>65</v>
      </c>
      <c r="D831" t="s">
        <v>44</v>
      </c>
      <c r="E831" t="str">
        <f t="shared" si="156"/>
        <v>Sarah Johnson is in Sales Department</v>
      </c>
      <c r="F831" s="6" t="str">
        <f t="shared" si="157"/>
        <v>sarahjohnson@gmail.com</v>
      </c>
      <c r="G831">
        <v>95263</v>
      </c>
      <c r="H831" t="str">
        <f t="shared" si="158"/>
        <v>High</v>
      </c>
      <c r="I831" s="3">
        <v>41313</v>
      </c>
      <c r="J831">
        <f t="shared" si="159"/>
        <v>2013</v>
      </c>
      <c r="K831">
        <f t="shared" si="160"/>
        <v>2</v>
      </c>
      <c r="L831">
        <f t="shared" si="161"/>
        <v>8</v>
      </c>
      <c r="M831" s="3">
        <f t="shared" ca="1" si="162"/>
        <v>46100</v>
      </c>
      <c r="N831">
        <f t="shared" ca="1" si="163"/>
        <v>4787</v>
      </c>
      <c r="O831">
        <f t="shared" ca="1" si="164"/>
        <v>4787</v>
      </c>
      <c r="P831">
        <f t="shared" ca="1" si="165"/>
        <v>3420</v>
      </c>
      <c r="Q831">
        <v>37</v>
      </c>
      <c r="R831" t="str">
        <f t="shared" si="166"/>
        <v>Old</v>
      </c>
      <c r="S831" t="s">
        <v>24</v>
      </c>
      <c r="T831">
        <v>4</v>
      </c>
      <c r="U831" t="s">
        <v>45</v>
      </c>
      <c r="V831">
        <v>1896.49</v>
      </c>
      <c r="W831" t="s">
        <v>35</v>
      </c>
      <c r="X831" t="s">
        <v>36</v>
      </c>
      <c r="Y831">
        <v>6</v>
      </c>
      <c r="Z831" t="str">
        <f t="shared" si="167"/>
        <v>Bad Employee</v>
      </c>
      <c r="AA831" t="b">
        <f t="shared" si="168"/>
        <v>0</v>
      </c>
      <c r="AB831" t="b">
        <f>OR(Y831&gt;20, T831&gt;6)</f>
        <v>0</v>
      </c>
      <c r="AC831" t="str">
        <f>IF(OR(Y831&gt;20,T831&gt;6), "Good employee", "Bad Employee")</f>
        <v>Bad Employee</v>
      </c>
      <c r="AD831" t="s">
        <v>41</v>
      </c>
      <c r="AE831" t="s">
        <v>48</v>
      </c>
      <c r="AF831">
        <v>7</v>
      </c>
      <c r="AG831">
        <v>2018</v>
      </c>
      <c r="AH831" t="s">
        <v>30</v>
      </c>
      <c r="AI831">
        <v>86</v>
      </c>
      <c r="AJ831">
        <v>4</v>
      </c>
    </row>
    <row r="832" spans="1:36" x14ac:dyDescent="0.25">
      <c r="A832">
        <v>10831</v>
      </c>
      <c r="B832" t="s">
        <v>38</v>
      </c>
      <c r="C832" t="s">
        <v>61</v>
      </c>
      <c r="D832" t="s">
        <v>39</v>
      </c>
      <c r="E832" t="str">
        <f t="shared" si="156"/>
        <v>Chris Smith is in IT Department</v>
      </c>
      <c r="F832" s="6" t="str">
        <f t="shared" si="157"/>
        <v>chrissmith@gmail.com</v>
      </c>
      <c r="G832">
        <v>94559</v>
      </c>
      <c r="H832" t="str">
        <f t="shared" si="158"/>
        <v>High</v>
      </c>
      <c r="I832" s="3">
        <v>43344</v>
      </c>
      <c r="J832">
        <f t="shared" si="159"/>
        <v>2018</v>
      </c>
      <c r="K832">
        <f t="shared" si="160"/>
        <v>9</v>
      </c>
      <c r="L832">
        <f t="shared" si="161"/>
        <v>1</v>
      </c>
      <c r="M832" s="3">
        <f t="shared" ca="1" si="162"/>
        <v>46100</v>
      </c>
      <c r="N832">
        <f t="shared" ca="1" si="163"/>
        <v>2756</v>
      </c>
      <c r="O832">
        <f t="shared" ca="1" si="164"/>
        <v>2756</v>
      </c>
      <c r="P832">
        <f t="shared" ca="1" si="165"/>
        <v>1969</v>
      </c>
      <c r="Q832">
        <v>31</v>
      </c>
      <c r="R832" t="str">
        <f t="shared" si="166"/>
        <v>Old</v>
      </c>
      <c r="S832" t="s">
        <v>24</v>
      </c>
      <c r="T832">
        <v>1</v>
      </c>
      <c r="U832" t="s">
        <v>45</v>
      </c>
      <c r="V832">
        <v>8797.7999999999993</v>
      </c>
      <c r="W832" t="s">
        <v>46</v>
      </c>
      <c r="X832" t="s">
        <v>27</v>
      </c>
      <c r="Y832">
        <v>36</v>
      </c>
      <c r="Z832" t="str">
        <f t="shared" si="167"/>
        <v>Bad Employee</v>
      </c>
      <c r="AA832" t="b">
        <f t="shared" si="168"/>
        <v>0</v>
      </c>
      <c r="AB832" t="b">
        <f>OR(Y832&gt;20, T832&gt;6)</f>
        <v>1</v>
      </c>
      <c r="AC832" t="str">
        <f>IF(OR(Y832&gt;20,T832&gt;6), "Good employee", "Bad Employee")</f>
        <v>Good employee</v>
      </c>
      <c r="AD832" t="s">
        <v>41</v>
      </c>
      <c r="AE832" t="s">
        <v>48</v>
      </c>
      <c r="AF832">
        <v>16</v>
      </c>
      <c r="AG832">
        <v>2022</v>
      </c>
      <c r="AH832" t="s">
        <v>43</v>
      </c>
      <c r="AI832">
        <v>198</v>
      </c>
      <c r="AJ832">
        <v>3.6</v>
      </c>
    </row>
    <row r="833" spans="1:36" x14ac:dyDescent="0.25">
      <c r="A833">
        <v>10832</v>
      </c>
      <c r="B833" t="s">
        <v>38</v>
      </c>
      <c r="C833" t="s">
        <v>22</v>
      </c>
      <c r="D833" t="s">
        <v>54</v>
      </c>
      <c r="E833" t="str">
        <f t="shared" si="156"/>
        <v>Chris Williams is in Finance Department</v>
      </c>
      <c r="F833" s="6" t="str">
        <f t="shared" si="157"/>
        <v>chriswilliams@gmail.com</v>
      </c>
      <c r="G833">
        <v>49465</v>
      </c>
      <c r="H833" t="str">
        <f t="shared" si="158"/>
        <v>low</v>
      </c>
      <c r="I833" s="3">
        <v>41252</v>
      </c>
      <c r="J833">
        <f t="shared" si="159"/>
        <v>2012</v>
      </c>
      <c r="K833">
        <f t="shared" si="160"/>
        <v>12</v>
      </c>
      <c r="L833">
        <f t="shared" si="161"/>
        <v>9</v>
      </c>
      <c r="M833" s="3">
        <f t="shared" ca="1" si="162"/>
        <v>46100</v>
      </c>
      <c r="N833">
        <f t="shared" ca="1" si="163"/>
        <v>4848</v>
      </c>
      <c r="O833">
        <f t="shared" ca="1" si="164"/>
        <v>4848</v>
      </c>
      <c r="P833">
        <f t="shared" ca="1" si="165"/>
        <v>3464</v>
      </c>
      <c r="Q833">
        <v>55</v>
      </c>
      <c r="R833" t="str">
        <f t="shared" si="166"/>
        <v>Old</v>
      </c>
      <c r="S833" t="s">
        <v>34</v>
      </c>
      <c r="T833">
        <v>5</v>
      </c>
      <c r="U833" t="s">
        <v>45</v>
      </c>
      <c r="V833">
        <v>2515.2399999999998</v>
      </c>
      <c r="W833" t="s">
        <v>46</v>
      </c>
      <c r="X833" t="s">
        <v>55</v>
      </c>
      <c r="Y833">
        <v>22</v>
      </c>
      <c r="Z833" t="str">
        <f t="shared" si="167"/>
        <v>Bad Employee</v>
      </c>
      <c r="AA833" t="b">
        <f t="shared" si="168"/>
        <v>0</v>
      </c>
      <c r="AB833" t="b">
        <f>OR(Y833&gt;20, T833&gt;6)</f>
        <v>1</v>
      </c>
      <c r="AC833" t="str">
        <f>IF(OR(Y833&gt;20,T833&gt;6), "Good employee", "Bad Employee")</f>
        <v>Good employee</v>
      </c>
      <c r="AD833" t="s">
        <v>41</v>
      </c>
      <c r="AE833" t="s">
        <v>42</v>
      </c>
      <c r="AF833">
        <v>9</v>
      </c>
      <c r="AG833">
        <v>2016</v>
      </c>
      <c r="AH833" t="s">
        <v>49</v>
      </c>
      <c r="AI833">
        <v>124</v>
      </c>
      <c r="AJ833">
        <v>4.7</v>
      </c>
    </row>
    <row r="834" spans="1:36" x14ac:dyDescent="0.25">
      <c r="A834">
        <v>10833</v>
      </c>
      <c r="B834" t="s">
        <v>50</v>
      </c>
      <c r="C834" t="s">
        <v>22</v>
      </c>
      <c r="D834" t="s">
        <v>23</v>
      </c>
      <c r="E834" t="str">
        <f t="shared" si="156"/>
        <v>Alex Williams is in HR Department</v>
      </c>
      <c r="F834" s="6" t="str">
        <f t="shared" si="157"/>
        <v>alexwilliams@gmail.com</v>
      </c>
      <c r="G834">
        <v>81432</v>
      </c>
      <c r="H834" t="str">
        <f t="shared" si="158"/>
        <v>High</v>
      </c>
      <c r="I834" s="3">
        <v>38898</v>
      </c>
      <c r="J834">
        <f t="shared" si="159"/>
        <v>2006</v>
      </c>
      <c r="K834">
        <f t="shared" si="160"/>
        <v>6</v>
      </c>
      <c r="L834">
        <f t="shared" si="161"/>
        <v>30</v>
      </c>
      <c r="M834" s="3">
        <f t="shared" ca="1" si="162"/>
        <v>46100</v>
      </c>
      <c r="N834">
        <f t="shared" ca="1" si="163"/>
        <v>7202</v>
      </c>
      <c r="O834">
        <f t="shared" ca="1" si="164"/>
        <v>7202</v>
      </c>
      <c r="P834">
        <f t="shared" ca="1" si="165"/>
        <v>5145</v>
      </c>
      <c r="Q834">
        <v>64</v>
      </c>
      <c r="R834" t="str">
        <f t="shared" si="166"/>
        <v>Old</v>
      </c>
      <c r="S834" t="s">
        <v>34</v>
      </c>
      <c r="T834">
        <v>6</v>
      </c>
      <c r="U834" t="s">
        <v>25</v>
      </c>
      <c r="V834">
        <v>3293.28</v>
      </c>
      <c r="W834" t="s">
        <v>46</v>
      </c>
      <c r="X834" t="s">
        <v>47</v>
      </c>
      <c r="Y834">
        <v>35</v>
      </c>
      <c r="Z834" t="str">
        <f t="shared" si="167"/>
        <v>Bad Employee</v>
      </c>
      <c r="AA834" t="b">
        <f t="shared" si="168"/>
        <v>0</v>
      </c>
      <c r="AB834" t="b">
        <f>OR(Y834&gt;20, T834&gt;6)</f>
        <v>1</v>
      </c>
      <c r="AC834" t="str">
        <f>IF(OR(Y834&gt;20,T834&gt;6), "Good employee", "Bad Employee")</f>
        <v>Good employee</v>
      </c>
      <c r="AD834" t="s">
        <v>28</v>
      </c>
      <c r="AE834" t="s">
        <v>62</v>
      </c>
      <c r="AF834">
        <v>18</v>
      </c>
      <c r="AG834">
        <v>2011</v>
      </c>
      <c r="AH834" t="s">
        <v>43</v>
      </c>
      <c r="AI834">
        <v>165</v>
      </c>
      <c r="AJ834">
        <v>4.3</v>
      </c>
    </row>
    <row r="835" spans="1:36" x14ac:dyDescent="0.25">
      <c r="A835">
        <v>10834</v>
      </c>
      <c r="B835" t="s">
        <v>31</v>
      </c>
      <c r="C835" t="s">
        <v>51</v>
      </c>
      <c r="D835" t="s">
        <v>52</v>
      </c>
      <c r="E835" t="str">
        <f t="shared" ref="E835:E877" si="169">CONCATENATE(B835, " ", C835, " is in ", D835, " Department")</f>
        <v>Emily Brown is in Operations Department</v>
      </c>
      <c r="F835" s="6" t="str">
        <f t="shared" ref="F835:F877" si="170">LOWER(CONCATENATE(B835, C835, "@gmail.com"))</f>
        <v>emilybrown@gmail.com</v>
      </c>
      <c r="G835">
        <v>34131</v>
      </c>
      <c r="H835" t="str">
        <f t="shared" ref="H835:H877" si="171">IF(G835&gt;80000, "High", IF(G835&gt;50000, "Medium", IF(G835&gt;40000, "low", "extremely low")))</f>
        <v>extremely low</v>
      </c>
      <c r="I835" s="3">
        <v>39474</v>
      </c>
      <c r="J835">
        <f t="shared" ref="J835:J877" si="172">YEAR(I835)</f>
        <v>2008</v>
      </c>
      <c r="K835">
        <f t="shared" ref="K835:K877" si="173">MONTH(I835)</f>
        <v>1</v>
      </c>
      <c r="L835">
        <f t="shared" ref="L835:L877" si="174">DAY(I835)</f>
        <v>27</v>
      </c>
      <c r="M835" s="3">
        <f t="shared" ref="M835:M877" ca="1" si="175">TODAY()</f>
        <v>46100</v>
      </c>
      <c r="N835">
        <f t="shared" ref="N835:N877" ca="1" si="176">M835-I835</f>
        <v>6626</v>
      </c>
      <c r="O835">
        <f t="shared" ref="O835:O877" ca="1" si="177">DATEDIF(I835,M835, "d")</f>
        <v>6626</v>
      </c>
      <c r="P835">
        <f t="shared" ref="P835:P877" ca="1" si="178">NETWORKDAYS(I835, M835)</f>
        <v>4734</v>
      </c>
      <c r="Q835">
        <v>31</v>
      </c>
      <c r="R835" t="str">
        <f t="shared" ref="R835:R877" si="179">IF(Q835&gt;30, "Old", "Young")</f>
        <v>Old</v>
      </c>
      <c r="S835" t="s">
        <v>24</v>
      </c>
      <c r="T835">
        <v>6</v>
      </c>
      <c r="U835" t="s">
        <v>45</v>
      </c>
      <c r="V835">
        <v>7212.61</v>
      </c>
      <c r="W835" t="s">
        <v>26</v>
      </c>
      <c r="X835" t="s">
        <v>40</v>
      </c>
      <c r="Y835">
        <v>33</v>
      </c>
      <c r="Z835" t="str">
        <f t="shared" ref="Z835:Z877" si="180" xml:space="preserve"> IF(AND(Y835&gt;20, T835&gt;6), "Good Employee", "Bad Employee")</f>
        <v>Bad Employee</v>
      </c>
      <c r="AA835" t="b">
        <f t="shared" ref="AA835:AA877" si="181">AND(Y835&gt;20, T835&gt;6)</f>
        <v>0</v>
      </c>
      <c r="AB835" t="b">
        <f>OR(Y835&gt;20, T835&gt;6)</f>
        <v>1</v>
      </c>
      <c r="AC835" t="str">
        <f>IF(OR(Y835&gt;20,T835&gt;6), "Good employee", "Bad Employee")</f>
        <v>Good employee</v>
      </c>
      <c r="AD835" t="s">
        <v>41</v>
      </c>
      <c r="AE835" t="s">
        <v>62</v>
      </c>
      <c r="AF835">
        <v>0</v>
      </c>
      <c r="AG835">
        <v>2015</v>
      </c>
      <c r="AH835" t="s">
        <v>49</v>
      </c>
      <c r="AI835">
        <v>109</v>
      </c>
      <c r="AJ835">
        <v>3.8</v>
      </c>
    </row>
    <row r="836" spans="1:36" x14ac:dyDescent="0.25">
      <c r="A836">
        <v>10835</v>
      </c>
      <c r="B836" t="s">
        <v>66</v>
      </c>
      <c r="C836" t="s">
        <v>22</v>
      </c>
      <c r="D836" t="s">
        <v>52</v>
      </c>
      <c r="E836" t="str">
        <f t="shared" si="169"/>
        <v>John Williams is in Operations Department</v>
      </c>
      <c r="F836" s="6" t="str">
        <f t="shared" si="170"/>
        <v>johnwilliams@gmail.com</v>
      </c>
      <c r="G836">
        <v>40652</v>
      </c>
      <c r="H836" t="str">
        <f t="shared" si="171"/>
        <v>low</v>
      </c>
      <c r="I836" s="3">
        <v>39825</v>
      </c>
      <c r="J836">
        <f t="shared" si="172"/>
        <v>2009</v>
      </c>
      <c r="K836">
        <f t="shared" si="173"/>
        <v>1</v>
      </c>
      <c r="L836">
        <f t="shared" si="174"/>
        <v>12</v>
      </c>
      <c r="M836" s="3">
        <f t="shared" ca="1" si="175"/>
        <v>46100</v>
      </c>
      <c r="N836">
        <f t="shared" ca="1" si="176"/>
        <v>6275</v>
      </c>
      <c r="O836">
        <f t="shared" ca="1" si="177"/>
        <v>6275</v>
      </c>
      <c r="P836">
        <f t="shared" ca="1" si="178"/>
        <v>4484</v>
      </c>
      <c r="Q836">
        <v>51</v>
      </c>
      <c r="R836" t="str">
        <f t="shared" si="179"/>
        <v>Old</v>
      </c>
      <c r="S836" t="s">
        <v>34</v>
      </c>
      <c r="T836">
        <v>1</v>
      </c>
      <c r="U836" t="s">
        <v>45</v>
      </c>
      <c r="V836">
        <v>6993.73</v>
      </c>
      <c r="W836" t="s">
        <v>26</v>
      </c>
      <c r="X836" t="s">
        <v>36</v>
      </c>
      <c r="Y836">
        <v>21</v>
      </c>
      <c r="Z836" t="str">
        <f t="shared" si="180"/>
        <v>Bad Employee</v>
      </c>
      <c r="AA836" t="b">
        <f t="shared" si="181"/>
        <v>0</v>
      </c>
      <c r="AB836" t="b">
        <f>OR(Y836&gt;20, T836&gt;6)</f>
        <v>1</v>
      </c>
      <c r="AC836" t="str">
        <f>IF(OR(Y836&gt;20,T836&gt;6), "Good employee", "Bad Employee")</f>
        <v>Good employee</v>
      </c>
      <c r="AD836" t="s">
        <v>56</v>
      </c>
      <c r="AE836" t="s">
        <v>42</v>
      </c>
      <c r="AF836">
        <v>1</v>
      </c>
      <c r="AG836">
        <v>2023</v>
      </c>
      <c r="AH836" t="s">
        <v>43</v>
      </c>
      <c r="AI836">
        <v>86</v>
      </c>
      <c r="AJ836">
        <v>2.2999999999999998</v>
      </c>
    </row>
    <row r="837" spans="1:36" x14ac:dyDescent="0.25">
      <c r="A837">
        <v>10836</v>
      </c>
      <c r="B837" t="s">
        <v>31</v>
      </c>
      <c r="C837" t="s">
        <v>63</v>
      </c>
      <c r="D837" t="s">
        <v>23</v>
      </c>
      <c r="E837" t="str">
        <f t="shared" si="169"/>
        <v>Emily Miller is in HR Department</v>
      </c>
      <c r="F837" s="6" t="str">
        <f t="shared" si="170"/>
        <v>emilymiller@gmail.com</v>
      </c>
      <c r="G837">
        <v>94973</v>
      </c>
      <c r="H837" t="str">
        <f t="shared" si="171"/>
        <v>High</v>
      </c>
      <c r="I837" s="3">
        <v>37694</v>
      </c>
      <c r="J837">
        <f t="shared" si="172"/>
        <v>2003</v>
      </c>
      <c r="K837">
        <f t="shared" si="173"/>
        <v>3</v>
      </c>
      <c r="L837">
        <f t="shared" si="174"/>
        <v>14</v>
      </c>
      <c r="M837" s="3">
        <f t="shared" ca="1" si="175"/>
        <v>46100</v>
      </c>
      <c r="N837">
        <f t="shared" ca="1" si="176"/>
        <v>8406</v>
      </c>
      <c r="O837">
        <f t="shared" ca="1" si="177"/>
        <v>8406</v>
      </c>
      <c r="P837">
        <f t="shared" ca="1" si="178"/>
        <v>6005</v>
      </c>
      <c r="Q837">
        <v>51</v>
      </c>
      <c r="R837" t="str">
        <f t="shared" si="179"/>
        <v>Old</v>
      </c>
      <c r="S837" t="s">
        <v>24</v>
      </c>
      <c r="T837">
        <v>7</v>
      </c>
      <c r="U837" t="s">
        <v>45</v>
      </c>
      <c r="V837">
        <v>8103.8</v>
      </c>
      <c r="W837" t="s">
        <v>26</v>
      </c>
      <c r="X837" t="s">
        <v>47</v>
      </c>
      <c r="Y837">
        <v>11</v>
      </c>
      <c r="Z837" t="str">
        <f t="shared" si="180"/>
        <v>Bad Employee</v>
      </c>
      <c r="AA837" t="b">
        <f t="shared" si="181"/>
        <v>0</v>
      </c>
      <c r="AB837" t="b">
        <f>OR(Y837&gt;20, T837&gt;6)</f>
        <v>1</v>
      </c>
      <c r="AC837" t="str">
        <f>IF(OR(Y837&gt;20,T837&gt;6), "Good employee", "Bad Employee")</f>
        <v>Good employee</v>
      </c>
      <c r="AD837" t="s">
        <v>28</v>
      </c>
      <c r="AE837" t="s">
        <v>59</v>
      </c>
      <c r="AF837">
        <v>10</v>
      </c>
      <c r="AG837">
        <v>2013</v>
      </c>
      <c r="AH837" t="s">
        <v>30</v>
      </c>
      <c r="AI837">
        <v>96</v>
      </c>
      <c r="AJ837">
        <v>3</v>
      </c>
    </row>
    <row r="838" spans="1:36" x14ac:dyDescent="0.25">
      <c r="A838">
        <v>10837</v>
      </c>
      <c r="B838" t="s">
        <v>50</v>
      </c>
      <c r="C838" t="s">
        <v>65</v>
      </c>
      <c r="D838" t="s">
        <v>54</v>
      </c>
      <c r="E838" t="str">
        <f t="shared" si="169"/>
        <v>Alex Johnson is in Finance Department</v>
      </c>
      <c r="F838" s="6" t="str">
        <f t="shared" si="170"/>
        <v>alexjohnson@gmail.com</v>
      </c>
      <c r="G838">
        <v>117043</v>
      </c>
      <c r="H838" t="str">
        <f t="shared" si="171"/>
        <v>High</v>
      </c>
      <c r="I838" s="3">
        <v>42977</v>
      </c>
      <c r="J838">
        <f t="shared" si="172"/>
        <v>2017</v>
      </c>
      <c r="K838">
        <f t="shared" si="173"/>
        <v>8</v>
      </c>
      <c r="L838">
        <f t="shared" si="174"/>
        <v>30</v>
      </c>
      <c r="M838" s="3">
        <f t="shared" ca="1" si="175"/>
        <v>46100</v>
      </c>
      <c r="N838">
        <f t="shared" ca="1" si="176"/>
        <v>3123</v>
      </c>
      <c r="O838">
        <f t="shared" ca="1" si="177"/>
        <v>3123</v>
      </c>
      <c r="P838">
        <f t="shared" ca="1" si="178"/>
        <v>2232</v>
      </c>
      <c r="Q838">
        <v>46</v>
      </c>
      <c r="R838" t="str">
        <f t="shared" si="179"/>
        <v>Old</v>
      </c>
      <c r="S838" t="s">
        <v>24</v>
      </c>
      <c r="T838">
        <v>8</v>
      </c>
      <c r="U838" t="s">
        <v>25</v>
      </c>
      <c r="V838">
        <v>2246.73</v>
      </c>
      <c r="W838" t="s">
        <v>35</v>
      </c>
      <c r="X838" t="s">
        <v>36</v>
      </c>
      <c r="Y838">
        <v>13</v>
      </c>
      <c r="Z838" t="str">
        <f t="shared" si="180"/>
        <v>Bad Employee</v>
      </c>
      <c r="AA838" t="b">
        <f t="shared" si="181"/>
        <v>0</v>
      </c>
      <c r="AB838" t="b">
        <f>OR(Y838&gt;20, T838&gt;6)</f>
        <v>1</v>
      </c>
      <c r="AC838" t="str">
        <f>IF(OR(Y838&gt;20,T838&gt;6), "Good employee", "Bad Employee")</f>
        <v>Good employee</v>
      </c>
      <c r="AD838" t="s">
        <v>28</v>
      </c>
      <c r="AE838" t="s">
        <v>62</v>
      </c>
      <c r="AF838">
        <v>14</v>
      </c>
      <c r="AG838">
        <v>2017</v>
      </c>
      <c r="AH838" t="s">
        <v>43</v>
      </c>
      <c r="AI838">
        <v>167</v>
      </c>
      <c r="AJ838">
        <v>4.8</v>
      </c>
    </row>
    <row r="839" spans="1:36" x14ac:dyDescent="0.25">
      <c r="A839">
        <v>10838</v>
      </c>
      <c r="B839" t="s">
        <v>38</v>
      </c>
      <c r="C839" t="s">
        <v>61</v>
      </c>
      <c r="D839" t="s">
        <v>52</v>
      </c>
      <c r="E839" t="str">
        <f t="shared" si="169"/>
        <v>Chris Smith is in Operations Department</v>
      </c>
      <c r="F839" s="6" t="str">
        <f t="shared" si="170"/>
        <v>chrissmith@gmail.com</v>
      </c>
      <c r="G839">
        <v>77147</v>
      </c>
      <c r="H839" t="str">
        <f t="shared" si="171"/>
        <v>Medium</v>
      </c>
      <c r="I839" s="3">
        <v>41275</v>
      </c>
      <c r="J839">
        <f t="shared" si="172"/>
        <v>2013</v>
      </c>
      <c r="K839">
        <f t="shared" si="173"/>
        <v>1</v>
      </c>
      <c r="L839">
        <f t="shared" si="174"/>
        <v>1</v>
      </c>
      <c r="M839" s="3">
        <f t="shared" ca="1" si="175"/>
        <v>46100</v>
      </c>
      <c r="N839">
        <f t="shared" ca="1" si="176"/>
        <v>4825</v>
      </c>
      <c r="O839">
        <f t="shared" ca="1" si="177"/>
        <v>4825</v>
      </c>
      <c r="P839">
        <f t="shared" ca="1" si="178"/>
        <v>3448</v>
      </c>
      <c r="Q839">
        <v>64</v>
      </c>
      <c r="R839" t="str">
        <f t="shared" si="179"/>
        <v>Old</v>
      </c>
      <c r="S839" t="s">
        <v>24</v>
      </c>
      <c r="T839">
        <v>5</v>
      </c>
      <c r="U839" t="s">
        <v>25</v>
      </c>
      <c r="V839">
        <v>3846.66</v>
      </c>
      <c r="W839" t="s">
        <v>58</v>
      </c>
      <c r="X839" t="s">
        <v>36</v>
      </c>
      <c r="Y839">
        <v>3</v>
      </c>
      <c r="Z839" t="str">
        <f t="shared" si="180"/>
        <v>Bad Employee</v>
      </c>
      <c r="AA839" t="b">
        <f t="shared" si="181"/>
        <v>0</v>
      </c>
      <c r="AB839" t="b">
        <f>OR(Y839&gt;20, T839&gt;6)</f>
        <v>0</v>
      </c>
      <c r="AC839" t="str">
        <f>IF(OR(Y839&gt;20,T839&gt;6), "Good employee", "Bad Employee")</f>
        <v>Bad Employee</v>
      </c>
      <c r="AD839" t="s">
        <v>41</v>
      </c>
      <c r="AE839" t="s">
        <v>37</v>
      </c>
      <c r="AF839">
        <v>0</v>
      </c>
      <c r="AG839">
        <v>2021</v>
      </c>
      <c r="AH839" t="s">
        <v>43</v>
      </c>
      <c r="AI839">
        <v>169</v>
      </c>
      <c r="AJ839">
        <v>1.1000000000000001</v>
      </c>
    </row>
    <row r="840" spans="1:36" x14ac:dyDescent="0.25">
      <c r="A840">
        <v>10839</v>
      </c>
      <c r="B840" t="s">
        <v>31</v>
      </c>
      <c r="C840" t="s">
        <v>63</v>
      </c>
      <c r="D840" t="s">
        <v>39</v>
      </c>
      <c r="E840" t="str">
        <f t="shared" si="169"/>
        <v>Emily Miller is in IT Department</v>
      </c>
      <c r="F840" s="6" t="str">
        <f t="shared" si="170"/>
        <v>emilymiller@gmail.com</v>
      </c>
      <c r="G840">
        <v>77671</v>
      </c>
      <c r="H840" t="str">
        <f t="shared" si="171"/>
        <v>Medium</v>
      </c>
      <c r="I840" s="3">
        <v>42954</v>
      </c>
      <c r="J840">
        <f t="shared" si="172"/>
        <v>2017</v>
      </c>
      <c r="K840">
        <f t="shared" si="173"/>
        <v>8</v>
      </c>
      <c r="L840">
        <f t="shared" si="174"/>
        <v>7</v>
      </c>
      <c r="M840" s="3">
        <f t="shared" ca="1" si="175"/>
        <v>46100</v>
      </c>
      <c r="N840">
        <f t="shared" ca="1" si="176"/>
        <v>3146</v>
      </c>
      <c r="O840">
        <f t="shared" ca="1" si="177"/>
        <v>3146</v>
      </c>
      <c r="P840">
        <f t="shared" ca="1" si="178"/>
        <v>2249</v>
      </c>
      <c r="Q840">
        <v>62</v>
      </c>
      <c r="R840" t="str">
        <f t="shared" si="179"/>
        <v>Old</v>
      </c>
      <c r="S840" t="s">
        <v>24</v>
      </c>
      <c r="T840">
        <v>2</v>
      </c>
      <c r="U840" t="s">
        <v>45</v>
      </c>
      <c r="V840">
        <v>1695.89</v>
      </c>
      <c r="W840" t="s">
        <v>35</v>
      </c>
      <c r="X840" t="s">
        <v>36</v>
      </c>
      <c r="Y840">
        <v>13</v>
      </c>
      <c r="Z840" t="str">
        <f t="shared" si="180"/>
        <v>Bad Employee</v>
      </c>
      <c r="AA840" t="b">
        <f t="shared" si="181"/>
        <v>0</v>
      </c>
      <c r="AB840" t="b">
        <f>OR(Y840&gt;20, T840&gt;6)</f>
        <v>0</v>
      </c>
      <c r="AC840" t="str">
        <f>IF(OR(Y840&gt;20,T840&gt;6), "Good employee", "Bad Employee")</f>
        <v>Bad Employee</v>
      </c>
      <c r="AD840" t="s">
        <v>56</v>
      </c>
      <c r="AE840" t="s">
        <v>37</v>
      </c>
      <c r="AF840">
        <v>8</v>
      </c>
      <c r="AG840">
        <v>2017</v>
      </c>
      <c r="AH840" t="s">
        <v>30</v>
      </c>
      <c r="AI840">
        <v>44</v>
      </c>
      <c r="AJ840">
        <v>4.2</v>
      </c>
    </row>
    <row r="841" spans="1:36" x14ac:dyDescent="0.25">
      <c r="A841">
        <v>10840</v>
      </c>
      <c r="B841" t="s">
        <v>38</v>
      </c>
      <c r="C841" t="s">
        <v>65</v>
      </c>
      <c r="D841" t="s">
        <v>23</v>
      </c>
      <c r="E841" t="str">
        <f t="shared" si="169"/>
        <v>Chris Johnson is in HR Department</v>
      </c>
      <c r="F841" s="6" t="str">
        <f t="shared" si="170"/>
        <v>chrisjohnson@gmail.com</v>
      </c>
      <c r="G841">
        <v>119342</v>
      </c>
      <c r="H841" t="str">
        <f t="shared" si="171"/>
        <v>High</v>
      </c>
      <c r="I841" s="3">
        <v>36917</v>
      </c>
      <c r="J841">
        <f t="shared" si="172"/>
        <v>2001</v>
      </c>
      <c r="K841">
        <f t="shared" si="173"/>
        <v>1</v>
      </c>
      <c r="L841">
        <f t="shared" si="174"/>
        <v>26</v>
      </c>
      <c r="M841" s="3">
        <f t="shared" ca="1" si="175"/>
        <v>46100</v>
      </c>
      <c r="N841">
        <f t="shared" ca="1" si="176"/>
        <v>9183</v>
      </c>
      <c r="O841">
        <f t="shared" ca="1" si="177"/>
        <v>9183</v>
      </c>
      <c r="P841">
        <f t="shared" ca="1" si="178"/>
        <v>6560</v>
      </c>
      <c r="Q841">
        <v>28</v>
      </c>
      <c r="R841" t="str">
        <f t="shared" si="179"/>
        <v>Young</v>
      </c>
      <c r="S841" t="s">
        <v>34</v>
      </c>
      <c r="T841">
        <v>2</v>
      </c>
      <c r="U841" t="s">
        <v>45</v>
      </c>
      <c r="V841">
        <v>5639.87</v>
      </c>
      <c r="W841" t="s">
        <v>58</v>
      </c>
      <c r="X841" t="s">
        <v>47</v>
      </c>
      <c r="Y841">
        <v>34</v>
      </c>
      <c r="Z841" t="str">
        <f t="shared" si="180"/>
        <v>Bad Employee</v>
      </c>
      <c r="AA841" t="b">
        <f t="shared" si="181"/>
        <v>0</v>
      </c>
      <c r="AB841" t="b">
        <f>OR(Y841&gt;20, T841&gt;6)</f>
        <v>1</v>
      </c>
      <c r="AC841" t="str">
        <f>IF(OR(Y841&gt;20,T841&gt;6), "Good employee", "Bad Employee")</f>
        <v>Good employee</v>
      </c>
      <c r="AD841" t="s">
        <v>28</v>
      </c>
      <c r="AE841" t="s">
        <v>29</v>
      </c>
      <c r="AF841">
        <v>7</v>
      </c>
      <c r="AG841">
        <v>2010</v>
      </c>
      <c r="AH841" t="s">
        <v>30</v>
      </c>
      <c r="AI841">
        <v>140</v>
      </c>
      <c r="AJ841">
        <v>2</v>
      </c>
    </row>
    <row r="842" spans="1:36" x14ac:dyDescent="0.25">
      <c r="A842">
        <v>10841</v>
      </c>
      <c r="B842" t="s">
        <v>21</v>
      </c>
      <c r="C842" t="s">
        <v>57</v>
      </c>
      <c r="D842" t="s">
        <v>33</v>
      </c>
      <c r="E842" t="str">
        <f t="shared" si="169"/>
        <v>Michael Davis is in Marketing Department</v>
      </c>
      <c r="F842" s="6" t="str">
        <f t="shared" si="170"/>
        <v>michaeldavis@gmail.com</v>
      </c>
      <c r="G842">
        <v>49171</v>
      </c>
      <c r="H842" t="str">
        <f t="shared" si="171"/>
        <v>low</v>
      </c>
      <c r="I842" s="3">
        <v>40335</v>
      </c>
      <c r="J842">
        <f t="shared" si="172"/>
        <v>2010</v>
      </c>
      <c r="K842">
        <f t="shared" si="173"/>
        <v>6</v>
      </c>
      <c r="L842">
        <f t="shared" si="174"/>
        <v>6</v>
      </c>
      <c r="M842" s="3">
        <f t="shared" ca="1" si="175"/>
        <v>46100</v>
      </c>
      <c r="N842">
        <f t="shared" ca="1" si="176"/>
        <v>5765</v>
      </c>
      <c r="O842">
        <f t="shared" ca="1" si="177"/>
        <v>5765</v>
      </c>
      <c r="P842">
        <f t="shared" ca="1" si="178"/>
        <v>4119</v>
      </c>
      <c r="Q842">
        <v>41</v>
      </c>
      <c r="R842" t="str">
        <f t="shared" si="179"/>
        <v>Old</v>
      </c>
      <c r="S842" t="s">
        <v>24</v>
      </c>
      <c r="T842">
        <v>5</v>
      </c>
      <c r="U842" t="s">
        <v>45</v>
      </c>
      <c r="V842">
        <v>3279.42</v>
      </c>
      <c r="W842" t="s">
        <v>58</v>
      </c>
      <c r="X842" t="s">
        <v>27</v>
      </c>
      <c r="Y842">
        <v>28</v>
      </c>
      <c r="Z842" t="str">
        <f t="shared" si="180"/>
        <v>Bad Employee</v>
      </c>
      <c r="AA842" t="b">
        <f t="shared" si="181"/>
        <v>0</v>
      </c>
      <c r="AB842" t="b">
        <f>OR(Y842&gt;20, T842&gt;6)</f>
        <v>1</v>
      </c>
      <c r="AC842" t="str">
        <f>IF(OR(Y842&gt;20,T842&gt;6), "Good employee", "Bad Employee")</f>
        <v>Good employee</v>
      </c>
      <c r="AD842" t="s">
        <v>41</v>
      </c>
      <c r="AE842" t="s">
        <v>29</v>
      </c>
      <c r="AF842">
        <v>0</v>
      </c>
      <c r="AG842">
        <v>2017</v>
      </c>
      <c r="AH842" t="s">
        <v>43</v>
      </c>
      <c r="AI842">
        <v>58</v>
      </c>
      <c r="AJ842">
        <v>1.7</v>
      </c>
    </row>
    <row r="843" spans="1:36" x14ac:dyDescent="0.25">
      <c r="A843">
        <v>10842</v>
      </c>
      <c r="B843" t="s">
        <v>53</v>
      </c>
      <c r="C843" t="s">
        <v>32</v>
      </c>
      <c r="D843" t="s">
        <v>54</v>
      </c>
      <c r="E843" t="str">
        <f t="shared" si="169"/>
        <v>Sarah Wilson is in Finance Department</v>
      </c>
      <c r="F843" s="6" t="str">
        <f t="shared" si="170"/>
        <v>sarahwilson@gmail.com</v>
      </c>
      <c r="G843">
        <v>116129</v>
      </c>
      <c r="H843" t="str">
        <f t="shared" si="171"/>
        <v>High</v>
      </c>
      <c r="I843" s="3">
        <v>38933</v>
      </c>
      <c r="J843">
        <f t="shared" si="172"/>
        <v>2006</v>
      </c>
      <c r="K843">
        <f t="shared" si="173"/>
        <v>8</v>
      </c>
      <c r="L843">
        <f t="shared" si="174"/>
        <v>4</v>
      </c>
      <c r="M843" s="3">
        <f t="shared" ca="1" si="175"/>
        <v>46100</v>
      </c>
      <c r="N843">
        <f t="shared" ca="1" si="176"/>
        <v>7167</v>
      </c>
      <c r="O843">
        <f t="shared" ca="1" si="177"/>
        <v>7167</v>
      </c>
      <c r="P843">
        <f t="shared" ca="1" si="178"/>
        <v>5120</v>
      </c>
      <c r="Q843">
        <v>38</v>
      </c>
      <c r="R843" t="str">
        <f t="shared" si="179"/>
        <v>Old</v>
      </c>
      <c r="S843" t="s">
        <v>34</v>
      </c>
      <c r="T843">
        <v>7</v>
      </c>
      <c r="U843" t="s">
        <v>25</v>
      </c>
      <c r="V843">
        <v>7044.89</v>
      </c>
      <c r="W843" t="s">
        <v>46</v>
      </c>
      <c r="X843" t="s">
        <v>47</v>
      </c>
      <c r="Y843">
        <v>34</v>
      </c>
      <c r="Z843" t="str">
        <f t="shared" si="180"/>
        <v>Good Employee</v>
      </c>
      <c r="AA843" t="b">
        <f t="shared" si="181"/>
        <v>1</v>
      </c>
      <c r="AB843" t="b">
        <f>OR(Y843&gt;20, T843&gt;6)</f>
        <v>1</v>
      </c>
      <c r="AC843" t="str">
        <f>IF(OR(Y843&gt;20,T843&gt;6), "Good employee", "Bad Employee")</f>
        <v>Good employee</v>
      </c>
      <c r="AD843" t="s">
        <v>56</v>
      </c>
      <c r="AE843" t="s">
        <v>62</v>
      </c>
      <c r="AF843">
        <v>9</v>
      </c>
      <c r="AG843">
        <v>2019</v>
      </c>
      <c r="AH843" t="s">
        <v>30</v>
      </c>
      <c r="AI843">
        <v>93</v>
      </c>
      <c r="AJ843">
        <v>1.9</v>
      </c>
    </row>
    <row r="844" spans="1:36" x14ac:dyDescent="0.25">
      <c r="A844">
        <v>10843</v>
      </c>
      <c r="B844" t="s">
        <v>66</v>
      </c>
      <c r="C844" t="s">
        <v>51</v>
      </c>
      <c r="D844" t="s">
        <v>23</v>
      </c>
      <c r="E844" t="str">
        <f t="shared" si="169"/>
        <v>John Brown is in HR Department</v>
      </c>
      <c r="F844" s="6" t="str">
        <f t="shared" si="170"/>
        <v>johnbrown@gmail.com</v>
      </c>
      <c r="G844">
        <v>85692</v>
      </c>
      <c r="H844" t="str">
        <f t="shared" si="171"/>
        <v>High</v>
      </c>
      <c r="I844" s="3">
        <v>41390</v>
      </c>
      <c r="J844">
        <f t="shared" si="172"/>
        <v>2013</v>
      </c>
      <c r="K844">
        <f t="shared" si="173"/>
        <v>4</v>
      </c>
      <c r="L844">
        <f t="shared" si="174"/>
        <v>26</v>
      </c>
      <c r="M844" s="3">
        <f t="shared" ca="1" si="175"/>
        <v>46100</v>
      </c>
      <c r="N844">
        <f t="shared" ca="1" si="176"/>
        <v>4710</v>
      </c>
      <c r="O844">
        <f t="shared" ca="1" si="177"/>
        <v>4710</v>
      </c>
      <c r="P844">
        <f t="shared" ca="1" si="178"/>
        <v>3365</v>
      </c>
      <c r="Q844">
        <v>24</v>
      </c>
      <c r="R844" t="str">
        <f t="shared" si="179"/>
        <v>Young</v>
      </c>
      <c r="S844" t="s">
        <v>34</v>
      </c>
      <c r="T844">
        <v>7</v>
      </c>
      <c r="U844" t="s">
        <v>45</v>
      </c>
      <c r="V844">
        <v>503.27</v>
      </c>
      <c r="W844" t="s">
        <v>46</v>
      </c>
      <c r="X844" t="s">
        <v>47</v>
      </c>
      <c r="Y844">
        <v>32</v>
      </c>
      <c r="Z844" t="str">
        <f t="shared" si="180"/>
        <v>Good Employee</v>
      </c>
      <c r="AA844" t="b">
        <f t="shared" si="181"/>
        <v>1</v>
      </c>
      <c r="AB844" t="b">
        <f>OR(Y844&gt;20, T844&gt;6)</f>
        <v>1</v>
      </c>
      <c r="AC844" t="str">
        <f>IF(OR(Y844&gt;20,T844&gt;6), "Good employee", "Bad Employee")</f>
        <v>Good employee</v>
      </c>
      <c r="AD844" t="s">
        <v>56</v>
      </c>
      <c r="AE844" t="s">
        <v>48</v>
      </c>
      <c r="AF844">
        <v>16</v>
      </c>
      <c r="AG844">
        <v>2016</v>
      </c>
      <c r="AH844" t="s">
        <v>30</v>
      </c>
      <c r="AI844">
        <v>139</v>
      </c>
      <c r="AJ844">
        <v>1.2</v>
      </c>
    </row>
    <row r="845" spans="1:36" x14ac:dyDescent="0.25">
      <c r="A845">
        <v>10844</v>
      </c>
      <c r="B845" t="s">
        <v>21</v>
      </c>
      <c r="C845" t="s">
        <v>22</v>
      </c>
      <c r="D845" t="s">
        <v>52</v>
      </c>
      <c r="E845" t="str">
        <f t="shared" si="169"/>
        <v>Michael Williams is in Operations Department</v>
      </c>
      <c r="F845" s="6" t="str">
        <f t="shared" si="170"/>
        <v>michaelwilliams@gmail.com</v>
      </c>
      <c r="G845">
        <v>88541</v>
      </c>
      <c r="H845" t="str">
        <f t="shared" si="171"/>
        <v>High</v>
      </c>
      <c r="I845" s="3">
        <v>41418</v>
      </c>
      <c r="J845">
        <f t="shared" si="172"/>
        <v>2013</v>
      </c>
      <c r="K845">
        <f t="shared" si="173"/>
        <v>5</v>
      </c>
      <c r="L845">
        <f t="shared" si="174"/>
        <v>24</v>
      </c>
      <c r="M845" s="3">
        <f t="shared" ca="1" si="175"/>
        <v>46100</v>
      </c>
      <c r="N845">
        <f t="shared" ca="1" si="176"/>
        <v>4682</v>
      </c>
      <c r="O845">
        <f t="shared" ca="1" si="177"/>
        <v>4682</v>
      </c>
      <c r="P845">
        <f t="shared" ca="1" si="178"/>
        <v>3345</v>
      </c>
      <c r="Q845">
        <v>61</v>
      </c>
      <c r="R845" t="str">
        <f t="shared" si="179"/>
        <v>Old</v>
      </c>
      <c r="S845" t="s">
        <v>34</v>
      </c>
      <c r="T845">
        <v>4</v>
      </c>
      <c r="U845" t="s">
        <v>25</v>
      </c>
      <c r="V845">
        <v>1066.99</v>
      </c>
      <c r="W845" t="s">
        <v>26</v>
      </c>
      <c r="X845" t="s">
        <v>55</v>
      </c>
      <c r="Y845">
        <v>23</v>
      </c>
      <c r="Z845" t="str">
        <f t="shared" si="180"/>
        <v>Bad Employee</v>
      </c>
      <c r="AA845" t="b">
        <f t="shared" si="181"/>
        <v>0</v>
      </c>
      <c r="AB845" t="b">
        <f>OR(Y845&gt;20, T845&gt;6)</f>
        <v>1</v>
      </c>
      <c r="AC845" t="str">
        <f>IF(OR(Y845&gt;20,T845&gt;6), "Good employee", "Bad Employee")</f>
        <v>Good employee</v>
      </c>
      <c r="AD845" t="s">
        <v>28</v>
      </c>
      <c r="AE845" t="s">
        <v>37</v>
      </c>
      <c r="AF845">
        <v>17</v>
      </c>
      <c r="AG845">
        <v>2023</v>
      </c>
      <c r="AH845" t="s">
        <v>43</v>
      </c>
      <c r="AI845">
        <v>6</v>
      </c>
      <c r="AJ845">
        <v>5</v>
      </c>
    </row>
    <row r="846" spans="1:36" x14ac:dyDescent="0.25">
      <c r="A846">
        <v>10845</v>
      </c>
      <c r="B846" t="s">
        <v>38</v>
      </c>
      <c r="C846" t="s">
        <v>57</v>
      </c>
      <c r="D846" t="s">
        <v>54</v>
      </c>
      <c r="E846" t="str">
        <f t="shared" si="169"/>
        <v>Chris Davis is in Finance Department</v>
      </c>
      <c r="F846" s="6" t="str">
        <f t="shared" si="170"/>
        <v>chrisdavis@gmail.com</v>
      </c>
      <c r="G846">
        <v>39470</v>
      </c>
      <c r="H846" t="str">
        <f t="shared" si="171"/>
        <v>extremely low</v>
      </c>
      <c r="I846" s="3">
        <v>41553</v>
      </c>
      <c r="J846">
        <f t="shared" si="172"/>
        <v>2013</v>
      </c>
      <c r="K846">
        <f t="shared" si="173"/>
        <v>10</v>
      </c>
      <c r="L846">
        <f t="shared" si="174"/>
        <v>6</v>
      </c>
      <c r="M846" s="3">
        <f t="shared" ca="1" si="175"/>
        <v>46100</v>
      </c>
      <c r="N846">
        <f t="shared" ca="1" si="176"/>
        <v>4547</v>
      </c>
      <c r="O846">
        <f t="shared" ca="1" si="177"/>
        <v>4547</v>
      </c>
      <c r="P846">
        <f t="shared" ca="1" si="178"/>
        <v>3249</v>
      </c>
      <c r="Q846">
        <v>57</v>
      </c>
      <c r="R846" t="str">
        <f t="shared" si="179"/>
        <v>Old</v>
      </c>
      <c r="S846" t="s">
        <v>34</v>
      </c>
      <c r="T846">
        <v>3</v>
      </c>
      <c r="U846" t="s">
        <v>25</v>
      </c>
      <c r="V846">
        <v>4609.32</v>
      </c>
      <c r="W846" t="s">
        <v>46</v>
      </c>
      <c r="X846" t="s">
        <v>55</v>
      </c>
      <c r="Y846">
        <v>24</v>
      </c>
      <c r="Z846" t="str">
        <f t="shared" si="180"/>
        <v>Bad Employee</v>
      </c>
      <c r="AA846" t="b">
        <f t="shared" si="181"/>
        <v>0</v>
      </c>
      <c r="AB846" t="b">
        <f>OR(Y846&gt;20, T846&gt;6)</f>
        <v>1</v>
      </c>
      <c r="AC846" t="str">
        <f>IF(OR(Y846&gt;20,T846&gt;6), "Good employee", "Bad Employee")</f>
        <v>Good employee</v>
      </c>
      <c r="AD846" t="s">
        <v>41</v>
      </c>
      <c r="AE846" t="s">
        <v>37</v>
      </c>
      <c r="AF846">
        <v>15</v>
      </c>
      <c r="AG846">
        <v>2023</v>
      </c>
      <c r="AH846" t="s">
        <v>49</v>
      </c>
      <c r="AI846">
        <v>101</v>
      </c>
      <c r="AJ846">
        <v>4.5</v>
      </c>
    </row>
    <row r="847" spans="1:36" x14ac:dyDescent="0.25">
      <c r="A847">
        <v>10846</v>
      </c>
      <c r="B847" t="s">
        <v>38</v>
      </c>
      <c r="C847" t="s">
        <v>22</v>
      </c>
      <c r="D847" t="s">
        <v>39</v>
      </c>
      <c r="E847" t="str">
        <f t="shared" si="169"/>
        <v>Chris Williams is in IT Department</v>
      </c>
      <c r="F847" s="6" t="str">
        <f t="shared" si="170"/>
        <v>chriswilliams@gmail.com</v>
      </c>
      <c r="G847">
        <v>91344</v>
      </c>
      <c r="H847" t="str">
        <f t="shared" si="171"/>
        <v>High</v>
      </c>
      <c r="I847" s="3">
        <v>42592</v>
      </c>
      <c r="J847">
        <f t="shared" si="172"/>
        <v>2016</v>
      </c>
      <c r="K847">
        <f t="shared" si="173"/>
        <v>8</v>
      </c>
      <c r="L847">
        <f t="shared" si="174"/>
        <v>10</v>
      </c>
      <c r="M847" s="3">
        <f t="shared" ca="1" si="175"/>
        <v>46100</v>
      </c>
      <c r="N847">
        <f t="shared" ca="1" si="176"/>
        <v>3508</v>
      </c>
      <c r="O847">
        <f t="shared" ca="1" si="177"/>
        <v>3508</v>
      </c>
      <c r="P847">
        <f t="shared" ca="1" si="178"/>
        <v>2507</v>
      </c>
      <c r="Q847">
        <v>47</v>
      </c>
      <c r="R847" t="str">
        <f t="shared" si="179"/>
        <v>Old</v>
      </c>
      <c r="S847" t="s">
        <v>34</v>
      </c>
      <c r="T847">
        <v>9</v>
      </c>
      <c r="U847" t="s">
        <v>45</v>
      </c>
      <c r="V847">
        <v>9602.75</v>
      </c>
      <c r="W847" t="s">
        <v>35</v>
      </c>
      <c r="X847" t="s">
        <v>27</v>
      </c>
      <c r="Y847">
        <v>1</v>
      </c>
      <c r="Z847" t="str">
        <f t="shared" si="180"/>
        <v>Bad Employee</v>
      </c>
      <c r="AA847" t="b">
        <f t="shared" si="181"/>
        <v>0</v>
      </c>
      <c r="AB847" t="b">
        <f>OR(Y847&gt;20, T847&gt;6)</f>
        <v>1</v>
      </c>
      <c r="AC847" t="str">
        <f>IF(OR(Y847&gt;20,T847&gt;6), "Good employee", "Bad Employee")</f>
        <v>Good employee</v>
      </c>
      <c r="AD847" t="s">
        <v>56</v>
      </c>
      <c r="AE847" t="s">
        <v>42</v>
      </c>
      <c r="AF847">
        <v>1</v>
      </c>
      <c r="AG847">
        <v>2010</v>
      </c>
      <c r="AH847" t="s">
        <v>43</v>
      </c>
      <c r="AI847">
        <v>60</v>
      </c>
      <c r="AJ847">
        <v>3.1</v>
      </c>
    </row>
    <row r="848" spans="1:36" x14ac:dyDescent="0.25">
      <c r="A848">
        <v>10847</v>
      </c>
      <c r="B848" t="s">
        <v>60</v>
      </c>
      <c r="C848" t="s">
        <v>63</v>
      </c>
      <c r="D848" t="s">
        <v>54</v>
      </c>
      <c r="E848" t="str">
        <f t="shared" si="169"/>
        <v>Jane Miller is in Finance Department</v>
      </c>
      <c r="F848" s="6" t="str">
        <f t="shared" si="170"/>
        <v>janemiller@gmail.com</v>
      </c>
      <c r="G848">
        <v>74308</v>
      </c>
      <c r="H848" t="str">
        <f t="shared" si="171"/>
        <v>Medium</v>
      </c>
      <c r="I848" s="3">
        <v>40786</v>
      </c>
      <c r="J848">
        <f t="shared" si="172"/>
        <v>2011</v>
      </c>
      <c r="K848">
        <f t="shared" si="173"/>
        <v>8</v>
      </c>
      <c r="L848">
        <f t="shared" si="174"/>
        <v>31</v>
      </c>
      <c r="M848" s="3">
        <f t="shared" ca="1" si="175"/>
        <v>46100</v>
      </c>
      <c r="N848">
        <f t="shared" ca="1" si="176"/>
        <v>5314</v>
      </c>
      <c r="O848">
        <f t="shared" ca="1" si="177"/>
        <v>5314</v>
      </c>
      <c r="P848">
        <f t="shared" ca="1" si="178"/>
        <v>3797</v>
      </c>
      <c r="Q848">
        <v>31</v>
      </c>
      <c r="R848" t="str">
        <f t="shared" si="179"/>
        <v>Old</v>
      </c>
      <c r="S848" t="s">
        <v>34</v>
      </c>
      <c r="T848">
        <v>7</v>
      </c>
      <c r="U848" t="s">
        <v>25</v>
      </c>
      <c r="V848">
        <v>8963.09</v>
      </c>
      <c r="W848" t="s">
        <v>35</v>
      </c>
      <c r="X848" t="s">
        <v>55</v>
      </c>
      <c r="Y848">
        <v>24</v>
      </c>
      <c r="Z848" t="str">
        <f t="shared" si="180"/>
        <v>Good Employee</v>
      </c>
      <c r="AA848" t="b">
        <f t="shared" si="181"/>
        <v>1</v>
      </c>
      <c r="AB848" t="b">
        <f>OR(Y848&gt;20, T848&gt;6)</f>
        <v>1</v>
      </c>
      <c r="AC848" t="str">
        <f>IF(OR(Y848&gt;20,T848&gt;6), "Good employee", "Bad Employee")</f>
        <v>Good employee</v>
      </c>
      <c r="AD848" t="s">
        <v>28</v>
      </c>
      <c r="AE848" t="s">
        <v>37</v>
      </c>
      <c r="AF848">
        <v>16</v>
      </c>
      <c r="AG848">
        <v>2012</v>
      </c>
      <c r="AH848" t="s">
        <v>43</v>
      </c>
      <c r="AI848">
        <v>108</v>
      </c>
      <c r="AJ848">
        <v>3.9</v>
      </c>
    </row>
    <row r="849" spans="1:36" x14ac:dyDescent="0.25">
      <c r="A849">
        <v>10848</v>
      </c>
      <c r="B849" t="s">
        <v>60</v>
      </c>
      <c r="C849" t="s">
        <v>61</v>
      </c>
      <c r="D849" t="s">
        <v>54</v>
      </c>
      <c r="E849" t="str">
        <f t="shared" si="169"/>
        <v>Jane Smith is in Finance Department</v>
      </c>
      <c r="F849" s="6" t="str">
        <f t="shared" si="170"/>
        <v>janesmith@gmail.com</v>
      </c>
      <c r="G849">
        <v>80639</v>
      </c>
      <c r="H849" t="str">
        <f t="shared" si="171"/>
        <v>High</v>
      </c>
      <c r="I849" s="3">
        <v>41354</v>
      </c>
      <c r="J849">
        <f t="shared" si="172"/>
        <v>2013</v>
      </c>
      <c r="K849">
        <f t="shared" si="173"/>
        <v>3</v>
      </c>
      <c r="L849">
        <f t="shared" si="174"/>
        <v>21</v>
      </c>
      <c r="M849" s="3">
        <f t="shared" ca="1" si="175"/>
        <v>46100</v>
      </c>
      <c r="N849">
        <f t="shared" ca="1" si="176"/>
        <v>4746</v>
      </c>
      <c r="O849">
        <f t="shared" ca="1" si="177"/>
        <v>4746</v>
      </c>
      <c r="P849">
        <f t="shared" ca="1" si="178"/>
        <v>3391</v>
      </c>
      <c r="Q849">
        <v>55</v>
      </c>
      <c r="R849" t="str">
        <f t="shared" si="179"/>
        <v>Old</v>
      </c>
      <c r="S849" t="s">
        <v>24</v>
      </c>
      <c r="T849">
        <v>2</v>
      </c>
      <c r="U849" t="s">
        <v>45</v>
      </c>
      <c r="V849">
        <v>9943.09</v>
      </c>
      <c r="W849" t="s">
        <v>35</v>
      </c>
      <c r="X849" t="s">
        <v>27</v>
      </c>
      <c r="Y849">
        <v>3</v>
      </c>
      <c r="Z849" t="str">
        <f t="shared" si="180"/>
        <v>Bad Employee</v>
      </c>
      <c r="AA849" t="b">
        <f t="shared" si="181"/>
        <v>0</v>
      </c>
      <c r="AB849" t="b">
        <f>OR(Y849&gt;20, T849&gt;6)</f>
        <v>0</v>
      </c>
      <c r="AC849" t="str">
        <f>IF(OR(Y849&gt;20,T849&gt;6), "Good employee", "Bad Employee")</f>
        <v>Bad Employee</v>
      </c>
      <c r="AD849" t="s">
        <v>28</v>
      </c>
      <c r="AE849" t="s">
        <v>48</v>
      </c>
      <c r="AF849">
        <v>3</v>
      </c>
      <c r="AG849">
        <v>2023</v>
      </c>
      <c r="AH849" t="s">
        <v>49</v>
      </c>
      <c r="AI849">
        <v>128</v>
      </c>
      <c r="AJ849">
        <v>3.2</v>
      </c>
    </row>
    <row r="850" spans="1:36" x14ac:dyDescent="0.25">
      <c r="A850">
        <v>10849</v>
      </c>
      <c r="B850" t="s">
        <v>21</v>
      </c>
      <c r="C850" t="s">
        <v>61</v>
      </c>
      <c r="D850" t="s">
        <v>39</v>
      </c>
      <c r="E850" t="str">
        <f t="shared" si="169"/>
        <v>Michael Smith is in IT Department</v>
      </c>
      <c r="F850" s="6" t="str">
        <f t="shared" si="170"/>
        <v>michaelsmith@gmail.com</v>
      </c>
      <c r="G850">
        <v>51326</v>
      </c>
      <c r="H850" t="str">
        <f t="shared" si="171"/>
        <v>Medium</v>
      </c>
      <c r="I850" s="3">
        <v>37106</v>
      </c>
      <c r="J850">
        <f t="shared" si="172"/>
        <v>2001</v>
      </c>
      <c r="K850">
        <f t="shared" si="173"/>
        <v>8</v>
      </c>
      <c r="L850">
        <f t="shared" si="174"/>
        <v>3</v>
      </c>
      <c r="M850" s="3">
        <f t="shared" ca="1" si="175"/>
        <v>46100</v>
      </c>
      <c r="N850">
        <f t="shared" ca="1" si="176"/>
        <v>8994</v>
      </c>
      <c r="O850">
        <f t="shared" ca="1" si="177"/>
        <v>8994</v>
      </c>
      <c r="P850">
        <f t="shared" ca="1" si="178"/>
        <v>6425</v>
      </c>
      <c r="Q850">
        <v>35</v>
      </c>
      <c r="R850" t="str">
        <f t="shared" si="179"/>
        <v>Old</v>
      </c>
      <c r="S850" t="s">
        <v>34</v>
      </c>
      <c r="T850">
        <v>1</v>
      </c>
      <c r="U850" t="s">
        <v>25</v>
      </c>
      <c r="V850">
        <v>4459.8900000000003</v>
      </c>
      <c r="W850" t="s">
        <v>46</v>
      </c>
      <c r="X850" t="s">
        <v>36</v>
      </c>
      <c r="Y850">
        <v>17</v>
      </c>
      <c r="Z850" t="str">
        <f t="shared" si="180"/>
        <v>Bad Employee</v>
      </c>
      <c r="AA850" t="b">
        <f t="shared" si="181"/>
        <v>0</v>
      </c>
      <c r="AB850" t="b">
        <f>OR(Y850&gt;20, T850&gt;6)</f>
        <v>0</v>
      </c>
      <c r="AC850" t="str">
        <f>IF(OR(Y850&gt;20,T850&gt;6), "Good employee", "Bad Employee")</f>
        <v>Bad Employee</v>
      </c>
      <c r="AD850" t="s">
        <v>28</v>
      </c>
      <c r="AE850" t="s">
        <v>29</v>
      </c>
      <c r="AF850">
        <v>6</v>
      </c>
      <c r="AG850">
        <v>2014</v>
      </c>
      <c r="AH850" t="s">
        <v>43</v>
      </c>
      <c r="AI850">
        <v>189</v>
      </c>
      <c r="AJ850">
        <v>4.2</v>
      </c>
    </row>
    <row r="851" spans="1:36" x14ac:dyDescent="0.25">
      <c r="A851">
        <v>10850</v>
      </c>
      <c r="B851" t="s">
        <v>64</v>
      </c>
      <c r="C851" t="s">
        <v>61</v>
      </c>
      <c r="D851" t="s">
        <v>44</v>
      </c>
      <c r="E851" t="str">
        <f t="shared" si="169"/>
        <v>Katie Smith is in Sales Department</v>
      </c>
      <c r="F851" s="6" t="str">
        <f t="shared" si="170"/>
        <v>katiesmith@gmail.com</v>
      </c>
      <c r="G851">
        <v>34597</v>
      </c>
      <c r="H851" t="str">
        <f t="shared" si="171"/>
        <v>extremely low</v>
      </c>
      <c r="I851" s="3">
        <v>37346</v>
      </c>
      <c r="J851">
        <f t="shared" si="172"/>
        <v>2002</v>
      </c>
      <c r="K851">
        <f t="shared" si="173"/>
        <v>3</v>
      </c>
      <c r="L851">
        <f t="shared" si="174"/>
        <v>31</v>
      </c>
      <c r="M851" s="3">
        <f t="shared" ca="1" si="175"/>
        <v>46100</v>
      </c>
      <c r="N851">
        <f t="shared" ca="1" si="176"/>
        <v>8754</v>
      </c>
      <c r="O851">
        <f t="shared" ca="1" si="177"/>
        <v>8754</v>
      </c>
      <c r="P851">
        <f t="shared" ca="1" si="178"/>
        <v>6254</v>
      </c>
      <c r="Q851">
        <v>29</v>
      </c>
      <c r="R851" t="str">
        <f t="shared" si="179"/>
        <v>Young</v>
      </c>
      <c r="S851" t="s">
        <v>24</v>
      </c>
      <c r="T851">
        <v>2</v>
      </c>
      <c r="U851" t="s">
        <v>25</v>
      </c>
      <c r="V851">
        <v>942.4</v>
      </c>
      <c r="W851" t="s">
        <v>46</v>
      </c>
      <c r="X851" t="s">
        <v>36</v>
      </c>
      <c r="Y851">
        <v>7</v>
      </c>
      <c r="Z851" t="str">
        <f t="shared" si="180"/>
        <v>Bad Employee</v>
      </c>
      <c r="AA851" t="b">
        <f t="shared" si="181"/>
        <v>0</v>
      </c>
      <c r="AB851" t="b">
        <f>OR(Y851&gt;20, T851&gt;6)</f>
        <v>0</v>
      </c>
      <c r="AC851" t="str">
        <f>IF(OR(Y851&gt;20,T851&gt;6), "Good employee", "Bad Employee")</f>
        <v>Bad Employee</v>
      </c>
      <c r="AD851" t="s">
        <v>28</v>
      </c>
      <c r="AE851" t="s">
        <v>29</v>
      </c>
      <c r="AF851">
        <v>8</v>
      </c>
      <c r="AG851">
        <v>2012</v>
      </c>
      <c r="AH851" t="s">
        <v>43</v>
      </c>
      <c r="AI851">
        <v>181</v>
      </c>
      <c r="AJ851">
        <v>4.4000000000000004</v>
      </c>
    </row>
    <row r="852" spans="1:36" x14ac:dyDescent="0.25">
      <c r="A852">
        <v>10851</v>
      </c>
      <c r="B852" t="s">
        <v>21</v>
      </c>
      <c r="C852" t="s">
        <v>22</v>
      </c>
      <c r="D852" t="s">
        <v>39</v>
      </c>
      <c r="E852" t="str">
        <f t="shared" si="169"/>
        <v>Michael Williams is in IT Department</v>
      </c>
      <c r="F852" s="6" t="str">
        <f t="shared" si="170"/>
        <v>michaelwilliams@gmail.com</v>
      </c>
      <c r="G852">
        <v>60788</v>
      </c>
      <c r="H852" t="str">
        <f t="shared" si="171"/>
        <v>Medium</v>
      </c>
      <c r="I852" s="3">
        <v>37773</v>
      </c>
      <c r="J852">
        <f t="shared" si="172"/>
        <v>2003</v>
      </c>
      <c r="K852">
        <f t="shared" si="173"/>
        <v>6</v>
      </c>
      <c r="L852">
        <f t="shared" si="174"/>
        <v>1</v>
      </c>
      <c r="M852" s="3">
        <f t="shared" ca="1" si="175"/>
        <v>46100</v>
      </c>
      <c r="N852">
        <f t="shared" ca="1" si="176"/>
        <v>8327</v>
      </c>
      <c r="O852">
        <f t="shared" ca="1" si="177"/>
        <v>8327</v>
      </c>
      <c r="P852">
        <f t="shared" ca="1" si="178"/>
        <v>5949</v>
      </c>
      <c r="Q852">
        <v>48</v>
      </c>
      <c r="R852" t="str">
        <f t="shared" si="179"/>
        <v>Old</v>
      </c>
      <c r="S852" t="s">
        <v>34</v>
      </c>
      <c r="T852">
        <v>3</v>
      </c>
      <c r="U852" t="s">
        <v>25</v>
      </c>
      <c r="V852">
        <v>3406.58</v>
      </c>
      <c r="W852" t="s">
        <v>58</v>
      </c>
      <c r="X852" t="s">
        <v>47</v>
      </c>
      <c r="Y852">
        <v>10</v>
      </c>
      <c r="Z852" t="str">
        <f t="shared" si="180"/>
        <v>Bad Employee</v>
      </c>
      <c r="AA852" t="b">
        <f t="shared" si="181"/>
        <v>0</v>
      </c>
      <c r="AB852" t="b">
        <f>OR(Y852&gt;20, T852&gt;6)</f>
        <v>0</v>
      </c>
      <c r="AC852" t="str">
        <f>IF(OR(Y852&gt;20,T852&gt;6), "Good employee", "Bad Employee")</f>
        <v>Bad Employee</v>
      </c>
      <c r="AD852" t="s">
        <v>28</v>
      </c>
      <c r="AE852" t="s">
        <v>42</v>
      </c>
      <c r="AF852">
        <v>2</v>
      </c>
      <c r="AG852">
        <v>2012</v>
      </c>
      <c r="AH852" t="s">
        <v>30</v>
      </c>
      <c r="AI852">
        <v>129</v>
      </c>
      <c r="AJ852">
        <v>1.9</v>
      </c>
    </row>
    <row r="853" spans="1:36" x14ac:dyDescent="0.25">
      <c r="A853">
        <v>10852</v>
      </c>
      <c r="B853" t="s">
        <v>60</v>
      </c>
      <c r="C853" t="s">
        <v>57</v>
      </c>
      <c r="D853" t="s">
        <v>54</v>
      </c>
      <c r="E853" t="str">
        <f t="shared" si="169"/>
        <v>Jane Davis is in Finance Department</v>
      </c>
      <c r="F853" s="6" t="str">
        <f t="shared" si="170"/>
        <v>janedavis@gmail.com</v>
      </c>
      <c r="G853">
        <v>95020</v>
      </c>
      <c r="H853" t="str">
        <f t="shared" si="171"/>
        <v>High</v>
      </c>
      <c r="I853" s="3">
        <v>36649</v>
      </c>
      <c r="J853">
        <f t="shared" si="172"/>
        <v>2000</v>
      </c>
      <c r="K853">
        <f t="shared" si="173"/>
        <v>5</v>
      </c>
      <c r="L853">
        <f t="shared" si="174"/>
        <v>3</v>
      </c>
      <c r="M853" s="3">
        <f t="shared" ca="1" si="175"/>
        <v>46100</v>
      </c>
      <c r="N853">
        <f t="shared" ca="1" si="176"/>
        <v>9451</v>
      </c>
      <c r="O853">
        <f t="shared" ca="1" si="177"/>
        <v>9451</v>
      </c>
      <c r="P853">
        <f t="shared" ca="1" si="178"/>
        <v>6752</v>
      </c>
      <c r="Q853">
        <v>31</v>
      </c>
      <c r="R853" t="str">
        <f t="shared" si="179"/>
        <v>Old</v>
      </c>
      <c r="S853" t="s">
        <v>24</v>
      </c>
      <c r="T853">
        <v>5</v>
      </c>
      <c r="U853" t="s">
        <v>45</v>
      </c>
      <c r="V853">
        <v>6919.82</v>
      </c>
      <c r="W853" t="s">
        <v>58</v>
      </c>
      <c r="X853" t="s">
        <v>36</v>
      </c>
      <c r="Y853">
        <v>19</v>
      </c>
      <c r="Z853" t="str">
        <f t="shared" si="180"/>
        <v>Bad Employee</v>
      </c>
      <c r="AA853" t="b">
        <f t="shared" si="181"/>
        <v>0</v>
      </c>
      <c r="AB853" t="b">
        <f>OR(Y853&gt;20, T853&gt;6)</f>
        <v>0</v>
      </c>
      <c r="AC853" t="str">
        <f>IF(OR(Y853&gt;20,T853&gt;6), "Good employee", "Bad Employee")</f>
        <v>Bad Employee</v>
      </c>
      <c r="AD853" t="s">
        <v>56</v>
      </c>
      <c r="AE853" t="s">
        <v>29</v>
      </c>
      <c r="AF853">
        <v>19</v>
      </c>
      <c r="AG853">
        <v>2010</v>
      </c>
      <c r="AH853" t="s">
        <v>43</v>
      </c>
      <c r="AI853">
        <v>82</v>
      </c>
      <c r="AJ853">
        <v>2.8</v>
      </c>
    </row>
    <row r="854" spans="1:36" x14ac:dyDescent="0.25">
      <c r="A854">
        <v>10853</v>
      </c>
      <c r="B854" t="s">
        <v>38</v>
      </c>
      <c r="C854" t="s">
        <v>61</v>
      </c>
      <c r="D854" t="s">
        <v>39</v>
      </c>
      <c r="E854" t="str">
        <f t="shared" si="169"/>
        <v>Chris Smith is in IT Department</v>
      </c>
      <c r="F854" s="6" t="str">
        <f t="shared" si="170"/>
        <v>chrissmith@gmail.com</v>
      </c>
      <c r="G854">
        <v>79477</v>
      </c>
      <c r="H854" t="str">
        <f t="shared" si="171"/>
        <v>Medium</v>
      </c>
      <c r="I854" s="3">
        <v>42593</v>
      </c>
      <c r="J854">
        <f t="shared" si="172"/>
        <v>2016</v>
      </c>
      <c r="K854">
        <f t="shared" si="173"/>
        <v>8</v>
      </c>
      <c r="L854">
        <f t="shared" si="174"/>
        <v>11</v>
      </c>
      <c r="M854" s="3">
        <f t="shared" ca="1" si="175"/>
        <v>46100</v>
      </c>
      <c r="N854">
        <f t="shared" ca="1" si="176"/>
        <v>3507</v>
      </c>
      <c r="O854">
        <f t="shared" ca="1" si="177"/>
        <v>3507</v>
      </c>
      <c r="P854">
        <f t="shared" ca="1" si="178"/>
        <v>2506</v>
      </c>
      <c r="Q854">
        <v>36</v>
      </c>
      <c r="R854" t="str">
        <f t="shared" si="179"/>
        <v>Old</v>
      </c>
      <c r="S854" t="s">
        <v>24</v>
      </c>
      <c r="T854">
        <v>3</v>
      </c>
      <c r="U854" t="s">
        <v>25</v>
      </c>
      <c r="V854">
        <v>1784.06</v>
      </c>
      <c r="W854" t="s">
        <v>46</v>
      </c>
      <c r="X854" t="s">
        <v>55</v>
      </c>
      <c r="Y854">
        <v>24</v>
      </c>
      <c r="Z854" t="str">
        <f t="shared" si="180"/>
        <v>Bad Employee</v>
      </c>
      <c r="AA854" t="b">
        <f t="shared" si="181"/>
        <v>0</v>
      </c>
      <c r="AB854" t="b">
        <f>OR(Y854&gt;20, T854&gt;6)</f>
        <v>1</v>
      </c>
      <c r="AC854" t="str">
        <f>IF(OR(Y854&gt;20,T854&gt;6), "Good employee", "Bad Employee")</f>
        <v>Good employee</v>
      </c>
      <c r="AD854" t="s">
        <v>28</v>
      </c>
      <c r="AE854" t="s">
        <v>59</v>
      </c>
      <c r="AF854">
        <v>4</v>
      </c>
      <c r="AG854">
        <v>2017</v>
      </c>
      <c r="AH854" t="s">
        <v>49</v>
      </c>
      <c r="AI854">
        <v>12</v>
      </c>
      <c r="AJ854">
        <v>3.5</v>
      </c>
    </row>
    <row r="855" spans="1:36" x14ac:dyDescent="0.25">
      <c r="A855">
        <v>10854</v>
      </c>
      <c r="B855" t="s">
        <v>50</v>
      </c>
      <c r="C855" t="s">
        <v>57</v>
      </c>
      <c r="D855" t="s">
        <v>44</v>
      </c>
      <c r="E855" t="str">
        <f t="shared" si="169"/>
        <v>Alex Davis is in Sales Department</v>
      </c>
      <c r="F855" s="6" t="str">
        <f t="shared" si="170"/>
        <v>alexdavis@gmail.com</v>
      </c>
      <c r="G855">
        <v>63071</v>
      </c>
      <c r="H855" t="str">
        <f t="shared" si="171"/>
        <v>Medium</v>
      </c>
      <c r="I855" s="3">
        <v>40965</v>
      </c>
      <c r="J855">
        <f t="shared" si="172"/>
        <v>2012</v>
      </c>
      <c r="K855">
        <f t="shared" si="173"/>
        <v>2</v>
      </c>
      <c r="L855">
        <f t="shared" si="174"/>
        <v>26</v>
      </c>
      <c r="M855" s="3">
        <f t="shared" ca="1" si="175"/>
        <v>46100</v>
      </c>
      <c r="N855">
        <f t="shared" ca="1" si="176"/>
        <v>5135</v>
      </c>
      <c r="O855">
        <f t="shared" ca="1" si="177"/>
        <v>5135</v>
      </c>
      <c r="P855">
        <f t="shared" ca="1" si="178"/>
        <v>3669</v>
      </c>
      <c r="Q855">
        <v>58</v>
      </c>
      <c r="R855" t="str">
        <f t="shared" si="179"/>
        <v>Old</v>
      </c>
      <c r="S855" t="s">
        <v>34</v>
      </c>
      <c r="T855">
        <v>9</v>
      </c>
      <c r="U855" t="s">
        <v>25</v>
      </c>
      <c r="V855">
        <v>3349.74</v>
      </c>
      <c r="W855" t="s">
        <v>35</v>
      </c>
      <c r="X855" t="s">
        <v>40</v>
      </c>
      <c r="Y855">
        <v>9</v>
      </c>
      <c r="Z855" t="str">
        <f t="shared" si="180"/>
        <v>Bad Employee</v>
      </c>
      <c r="AA855" t="b">
        <f t="shared" si="181"/>
        <v>0</v>
      </c>
      <c r="AB855" t="b">
        <f>OR(Y855&gt;20, T855&gt;6)</f>
        <v>1</v>
      </c>
      <c r="AC855" t="str">
        <f>IF(OR(Y855&gt;20,T855&gt;6), "Good employee", "Bad Employee")</f>
        <v>Good employee</v>
      </c>
      <c r="AD855" t="s">
        <v>41</v>
      </c>
      <c r="AE855" t="s">
        <v>29</v>
      </c>
      <c r="AF855">
        <v>17</v>
      </c>
      <c r="AG855">
        <v>2018</v>
      </c>
      <c r="AH855" t="s">
        <v>49</v>
      </c>
      <c r="AI855">
        <v>88</v>
      </c>
      <c r="AJ855">
        <v>4.9000000000000004</v>
      </c>
    </row>
    <row r="856" spans="1:36" x14ac:dyDescent="0.25">
      <c r="A856">
        <v>10855</v>
      </c>
      <c r="B856" t="s">
        <v>21</v>
      </c>
      <c r="C856" t="s">
        <v>22</v>
      </c>
      <c r="D856" t="s">
        <v>23</v>
      </c>
      <c r="E856" t="str">
        <f t="shared" si="169"/>
        <v>Michael Williams is in HR Department</v>
      </c>
      <c r="F856" s="6" t="str">
        <f t="shared" si="170"/>
        <v>michaelwilliams@gmail.com</v>
      </c>
      <c r="G856">
        <v>100603</v>
      </c>
      <c r="H856" t="str">
        <f t="shared" si="171"/>
        <v>High</v>
      </c>
      <c r="I856" s="3">
        <v>38400</v>
      </c>
      <c r="J856">
        <f t="shared" si="172"/>
        <v>2005</v>
      </c>
      <c r="K856">
        <f t="shared" si="173"/>
        <v>2</v>
      </c>
      <c r="L856">
        <f t="shared" si="174"/>
        <v>17</v>
      </c>
      <c r="M856" s="3">
        <f t="shared" ca="1" si="175"/>
        <v>46100</v>
      </c>
      <c r="N856">
        <f t="shared" ca="1" si="176"/>
        <v>7700</v>
      </c>
      <c r="O856">
        <f t="shared" ca="1" si="177"/>
        <v>7700</v>
      </c>
      <c r="P856">
        <f t="shared" ca="1" si="178"/>
        <v>5501</v>
      </c>
      <c r="Q856">
        <v>43</v>
      </c>
      <c r="R856" t="str">
        <f t="shared" si="179"/>
        <v>Old</v>
      </c>
      <c r="S856" t="s">
        <v>24</v>
      </c>
      <c r="T856">
        <v>4</v>
      </c>
      <c r="U856" t="s">
        <v>45</v>
      </c>
      <c r="V856">
        <v>1033.58</v>
      </c>
      <c r="W856" t="s">
        <v>46</v>
      </c>
      <c r="X856" t="s">
        <v>47</v>
      </c>
      <c r="Y856">
        <v>15</v>
      </c>
      <c r="Z856" t="str">
        <f t="shared" si="180"/>
        <v>Bad Employee</v>
      </c>
      <c r="AA856" t="b">
        <f t="shared" si="181"/>
        <v>0</v>
      </c>
      <c r="AB856" t="b">
        <f>OR(Y856&gt;20, T856&gt;6)</f>
        <v>0</v>
      </c>
      <c r="AC856" t="str">
        <f>IF(OR(Y856&gt;20,T856&gt;6), "Good employee", "Bad Employee")</f>
        <v>Bad Employee</v>
      </c>
      <c r="AD856" t="s">
        <v>41</v>
      </c>
      <c r="AE856" t="s">
        <v>37</v>
      </c>
      <c r="AF856">
        <v>16</v>
      </c>
      <c r="AG856">
        <v>2014</v>
      </c>
      <c r="AH856" t="s">
        <v>30</v>
      </c>
      <c r="AI856">
        <v>195</v>
      </c>
      <c r="AJ856">
        <v>3.7</v>
      </c>
    </row>
    <row r="857" spans="1:36" x14ac:dyDescent="0.25">
      <c r="A857">
        <v>10856</v>
      </c>
      <c r="B857" t="s">
        <v>38</v>
      </c>
      <c r="C857" t="s">
        <v>63</v>
      </c>
      <c r="D857" t="s">
        <v>39</v>
      </c>
      <c r="E857" t="str">
        <f t="shared" si="169"/>
        <v>Chris Miller is in IT Department</v>
      </c>
      <c r="F857" s="6" t="str">
        <f t="shared" si="170"/>
        <v>chrismiller@gmail.com</v>
      </c>
      <c r="G857">
        <v>91923</v>
      </c>
      <c r="H857" t="str">
        <f t="shared" si="171"/>
        <v>High</v>
      </c>
      <c r="I857" s="3">
        <v>37049</v>
      </c>
      <c r="J857">
        <f t="shared" si="172"/>
        <v>2001</v>
      </c>
      <c r="K857">
        <f t="shared" si="173"/>
        <v>6</v>
      </c>
      <c r="L857">
        <f t="shared" si="174"/>
        <v>7</v>
      </c>
      <c r="M857" s="3">
        <f t="shared" ca="1" si="175"/>
        <v>46100</v>
      </c>
      <c r="N857">
        <f t="shared" ca="1" si="176"/>
        <v>9051</v>
      </c>
      <c r="O857">
        <f t="shared" ca="1" si="177"/>
        <v>9051</v>
      </c>
      <c r="P857">
        <f t="shared" ca="1" si="178"/>
        <v>6466</v>
      </c>
      <c r="Q857">
        <v>52</v>
      </c>
      <c r="R857" t="str">
        <f t="shared" si="179"/>
        <v>Old</v>
      </c>
      <c r="S857" t="s">
        <v>24</v>
      </c>
      <c r="T857">
        <v>7</v>
      </c>
      <c r="U857" t="s">
        <v>25</v>
      </c>
      <c r="V857">
        <v>5012.1899999999996</v>
      </c>
      <c r="W857" t="s">
        <v>26</v>
      </c>
      <c r="X857" t="s">
        <v>27</v>
      </c>
      <c r="Y857">
        <v>22</v>
      </c>
      <c r="Z857" t="str">
        <f t="shared" si="180"/>
        <v>Good Employee</v>
      </c>
      <c r="AA857" t="b">
        <f t="shared" si="181"/>
        <v>1</v>
      </c>
      <c r="AB857" t="b">
        <f>OR(Y857&gt;20, T857&gt;6)</f>
        <v>1</v>
      </c>
      <c r="AC857" t="str">
        <f>IF(OR(Y857&gt;20,T857&gt;6), "Good employee", "Bad Employee")</f>
        <v>Good employee</v>
      </c>
      <c r="AD857" t="s">
        <v>56</v>
      </c>
      <c r="AE857" t="s">
        <v>48</v>
      </c>
      <c r="AF857">
        <v>6</v>
      </c>
      <c r="AG857">
        <v>2010</v>
      </c>
      <c r="AH857" t="s">
        <v>43</v>
      </c>
      <c r="AI857">
        <v>86</v>
      </c>
      <c r="AJ857">
        <v>4.5999999999999996</v>
      </c>
    </row>
    <row r="858" spans="1:36" x14ac:dyDescent="0.25">
      <c r="A858">
        <v>10857</v>
      </c>
      <c r="B858" t="s">
        <v>50</v>
      </c>
      <c r="C858" t="s">
        <v>57</v>
      </c>
      <c r="D858" t="s">
        <v>39</v>
      </c>
      <c r="E858" t="str">
        <f t="shared" si="169"/>
        <v>Alex Davis is in IT Department</v>
      </c>
      <c r="F858" s="6" t="str">
        <f t="shared" si="170"/>
        <v>alexdavis@gmail.com</v>
      </c>
      <c r="G858">
        <v>100560</v>
      </c>
      <c r="H858" t="str">
        <f t="shared" si="171"/>
        <v>High</v>
      </c>
      <c r="I858" s="3">
        <v>39649</v>
      </c>
      <c r="J858">
        <f t="shared" si="172"/>
        <v>2008</v>
      </c>
      <c r="K858">
        <f t="shared" si="173"/>
        <v>7</v>
      </c>
      <c r="L858">
        <f t="shared" si="174"/>
        <v>20</v>
      </c>
      <c r="M858" s="3">
        <f t="shared" ca="1" si="175"/>
        <v>46100</v>
      </c>
      <c r="N858">
        <f t="shared" ca="1" si="176"/>
        <v>6451</v>
      </c>
      <c r="O858">
        <f t="shared" ca="1" si="177"/>
        <v>6451</v>
      </c>
      <c r="P858">
        <f t="shared" ca="1" si="178"/>
        <v>4609</v>
      </c>
      <c r="Q858">
        <v>23</v>
      </c>
      <c r="R858" t="str">
        <f t="shared" si="179"/>
        <v>Young</v>
      </c>
      <c r="S858" t="s">
        <v>34</v>
      </c>
      <c r="T858">
        <v>4</v>
      </c>
      <c r="U858" t="s">
        <v>25</v>
      </c>
      <c r="V858">
        <v>2484.75</v>
      </c>
      <c r="W858" t="s">
        <v>26</v>
      </c>
      <c r="X858" t="s">
        <v>36</v>
      </c>
      <c r="Y858">
        <v>17</v>
      </c>
      <c r="Z858" t="str">
        <f t="shared" si="180"/>
        <v>Bad Employee</v>
      </c>
      <c r="AA858" t="b">
        <f t="shared" si="181"/>
        <v>0</v>
      </c>
      <c r="AB858" t="b">
        <f>OR(Y858&gt;20, T858&gt;6)</f>
        <v>0</v>
      </c>
      <c r="AC858" t="str">
        <f>IF(OR(Y858&gt;20,T858&gt;6), "Good employee", "Bad Employee")</f>
        <v>Bad Employee</v>
      </c>
      <c r="AD858" t="s">
        <v>28</v>
      </c>
      <c r="AE858" t="s">
        <v>48</v>
      </c>
      <c r="AF858">
        <v>13</v>
      </c>
      <c r="AG858">
        <v>2010</v>
      </c>
      <c r="AH858" t="s">
        <v>43</v>
      </c>
      <c r="AI858">
        <v>92</v>
      </c>
      <c r="AJ858">
        <v>4.4000000000000004</v>
      </c>
    </row>
    <row r="859" spans="1:36" x14ac:dyDescent="0.25">
      <c r="A859">
        <v>10858</v>
      </c>
      <c r="B859" t="s">
        <v>50</v>
      </c>
      <c r="C859" t="s">
        <v>63</v>
      </c>
      <c r="D859" t="s">
        <v>54</v>
      </c>
      <c r="E859" t="str">
        <f t="shared" si="169"/>
        <v>Alex Miller is in Finance Department</v>
      </c>
      <c r="F859" s="6" t="str">
        <f t="shared" si="170"/>
        <v>alexmiller@gmail.com</v>
      </c>
      <c r="G859">
        <v>103251</v>
      </c>
      <c r="H859" t="str">
        <f t="shared" si="171"/>
        <v>High</v>
      </c>
      <c r="I859" s="3">
        <v>40750</v>
      </c>
      <c r="J859">
        <f t="shared" si="172"/>
        <v>2011</v>
      </c>
      <c r="K859">
        <f t="shared" si="173"/>
        <v>7</v>
      </c>
      <c r="L859">
        <f t="shared" si="174"/>
        <v>26</v>
      </c>
      <c r="M859" s="3">
        <f t="shared" ca="1" si="175"/>
        <v>46100</v>
      </c>
      <c r="N859">
        <f t="shared" ca="1" si="176"/>
        <v>5350</v>
      </c>
      <c r="O859">
        <f t="shared" ca="1" si="177"/>
        <v>5350</v>
      </c>
      <c r="P859">
        <f t="shared" ca="1" si="178"/>
        <v>3823</v>
      </c>
      <c r="Q859">
        <v>52</v>
      </c>
      <c r="R859" t="str">
        <f t="shared" si="179"/>
        <v>Old</v>
      </c>
      <c r="S859" t="s">
        <v>34</v>
      </c>
      <c r="T859">
        <v>3</v>
      </c>
      <c r="U859" t="s">
        <v>45</v>
      </c>
      <c r="V859">
        <v>1366.86</v>
      </c>
      <c r="W859" t="s">
        <v>35</v>
      </c>
      <c r="X859" t="s">
        <v>47</v>
      </c>
      <c r="Y859">
        <v>19</v>
      </c>
      <c r="Z859" t="str">
        <f t="shared" si="180"/>
        <v>Bad Employee</v>
      </c>
      <c r="AA859" t="b">
        <f t="shared" si="181"/>
        <v>0</v>
      </c>
      <c r="AB859" t="b">
        <f>OR(Y859&gt;20, T859&gt;6)</f>
        <v>0</v>
      </c>
      <c r="AC859" t="str">
        <f>IF(OR(Y859&gt;20,T859&gt;6), "Good employee", "Bad Employee")</f>
        <v>Bad Employee</v>
      </c>
      <c r="AD859" t="s">
        <v>28</v>
      </c>
      <c r="AE859" t="s">
        <v>59</v>
      </c>
      <c r="AF859">
        <v>14</v>
      </c>
      <c r="AG859">
        <v>2018</v>
      </c>
      <c r="AH859" t="s">
        <v>43</v>
      </c>
      <c r="AI859">
        <v>178</v>
      </c>
      <c r="AJ859">
        <v>3.3</v>
      </c>
    </row>
    <row r="860" spans="1:36" x14ac:dyDescent="0.25">
      <c r="A860">
        <v>10859</v>
      </c>
      <c r="B860" t="s">
        <v>60</v>
      </c>
      <c r="C860" t="s">
        <v>22</v>
      </c>
      <c r="D860" t="s">
        <v>23</v>
      </c>
      <c r="E860" t="str">
        <f t="shared" si="169"/>
        <v>Jane Williams is in HR Department</v>
      </c>
      <c r="F860" s="6" t="str">
        <f t="shared" si="170"/>
        <v>janewilliams@gmail.com</v>
      </c>
      <c r="G860">
        <v>87492</v>
      </c>
      <c r="H860" t="str">
        <f t="shared" si="171"/>
        <v>High</v>
      </c>
      <c r="I860" s="3">
        <v>41780</v>
      </c>
      <c r="J860">
        <f t="shared" si="172"/>
        <v>2014</v>
      </c>
      <c r="K860">
        <f t="shared" si="173"/>
        <v>5</v>
      </c>
      <c r="L860">
        <f t="shared" si="174"/>
        <v>21</v>
      </c>
      <c r="M860" s="3">
        <f t="shared" ca="1" si="175"/>
        <v>46100</v>
      </c>
      <c r="N860">
        <f t="shared" ca="1" si="176"/>
        <v>4320</v>
      </c>
      <c r="O860">
        <f t="shared" ca="1" si="177"/>
        <v>4320</v>
      </c>
      <c r="P860">
        <f t="shared" ca="1" si="178"/>
        <v>3087</v>
      </c>
      <c r="Q860">
        <v>35</v>
      </c>
      <c r="R860" t="str">
        <f t="shared" si="179"/>
        <v>Old</v>
      </c>
      <c r="S860" t="s">
        <v>34</v>
      </c>
      <c r="T860">
        <v>1</v>
      </c>
      <c r="U860" t="s">
        <v>45</v>
      </c>
      <c r="V860">
        <v>4406.55</v>
      </c>
      <c r="W860" t="s">
        <v>26</v>
      </c>
      <c r="X860" t="s">
        <v>47</v>
      </c>
      <c r="Y860">
        <v>9</v>
      </c>
      <c r="Z860" t="str">
        <f t="shared" si="180"/>
        <v>Bad Employee</v>
      </c>
      <c r="AA860" t="b">
        <f t="shared" si="181"/>
        <v>0</v>
      </c>
      <c r="AB860" t="b">
        <f>OR(Y860&gt;20, T860&gt;6)</f>
        <v>0</v>
      </c>
      <c r="AC860" t="str">
        <f>IF(OR(Y860&gt;20,T860&gt;6), "Good employee", "Bad Employee")</f>
        <v>Bad Employee</v>
      </c>
      <c r="AD860" t="s">
        <v>56</v>
      </c>
      <c r="AE860" t="s">
        <v>48</v>
      </c>
      <c r="AF860">
        <v>13</v>
      </c>
      <c r="AG860">
        <v>2023</v>
      </c>
      <c r="AH860" t="s">
        <v>43</v>
      </c>
      <c r="AI860">
        <v>71</v>
      </c>
      <c r="AJ860">
        <v>4.5999999999999996</v>
      </c>
    </row>
    <row r="861" spans="1:36" x14ac:dyDescent="0.25">
      <c r="A861">
        <v>10860</v>
      </c>
      <c r="B861" t="s">
        <v>21</v>
      </c>
      <c r="C861" t="s">
        <v>22</v>
      </c>
      <c r="D861" t="s">
        <v>33</v>
      </c>
      <c r="E861" t="str">
        <f t="shared" si="169"/>
        <v>Michael Williams is in Marketing Department</v>
      </c>
      <c r="F861" s="6" t="str">
        <f t="shared" si="170"/>
        <v>michaelwilliams@gmail.com</v>
      </c>
      <c r="G861">
        <v>61770</v>
      </c>
      <c r="H861" t="str">
        <f t="shared" si="171"/>
        <v>Medium</v>
      </c>
      <c r="I861" s="3">
        <v>43326</v>
      </c>
      <c r="J861">
        <f t="shared" si="172"/>
        <v>2018</v>
      </c>
      <c r="K861">
        <f t="shared" si="173"/>
        <v>8</v>
      </c>
      <c r="L861">
        <f t="shared" si="174"/>
        <v>14</v>
      </c>
      <c r="M861" s="3">
        <f t="shared" ca="1" si="175"/>
        <v>46100</v>
      </c>
      <c r="N861">
        <f t="shared" ca="1" si="176"/>
        <v>2774</v>
      </c>
      <c r="O861">
        <f t="shared" ca="1" si="177"/>
        <v>2774</v>
      </c>
      <c r="P861">
        <f t="shared" ca="1" si="178"/>
        <v>1983</v>
      </c>
      <c r="Q861">
        <v>31</v>
      </c>
      <c r="R861" t="str">
        <f t="shared" si="179"/>
        <v>Old</v>
      </c>
      <c r="S861" t="s">
        <v>34</v>
      </c>
      <c r="T861">
        <v>9</v>
      </c>
      <c r="U861" t="s">
        <v>45</v>
      </c>
      <c r="V861">
        <v>3836.64</v>
      </c>
      <c r="W861" t="s">
        <v>46</v>
      </c>
      <c r="X861" t="s">
        <v>47</v>
      </c>
      <c r="Y861">
        <v>38</v>
      </c>
      <c r="Z861" t="str">
        <f t="shared" si="180"/>
        <v>Good Employee</v>
      </c>
      <c r="AA861" t="b">
        <f t="shared" si="181"/>
        <v>1</v>
      </c>
      <c r="AB861" t="b">
        <f>OR(Y861&gt;20, T861&gt;6)</f>
        <v>1</v>
      </c>
      <c r="AC861" t="str">
        <f>IF(OR(Y861&gt;20,T861&gt;6), "Good employee", "Bad Employee")</f>
        <v>Good employee</v>
      </c>
      <c r="AD861" t="s">
        <v>28</v>
      </c>
      <c r="AE861" t="s">
        <v>48</v>
      </c>
      <c r="AF861">
        <v>8</v>
      </c>
      <c r="AG861">
        <v>2010</v>
      </c>
      <c r="AH861" t="s">
        <v>49</v>
      </c>
      <c r="AI861">
        <v>121</v>
      </c>
      <c r="AJ861">
        <v>2.5</v>
      </c>
    </row>
    <row r="862" spans="1:36" x14ac:dyDescent="0.25">
      <c r="A862">
        <v>10861</v>
      </c>
      <c r="B862" t="s">
        <v>31</v>
      </c>
      <c r="C862" t="s">
        <v>51</v>
      </c>
      <c r="D862" t="s">
        <v>33</v>
      </c>
      <c r="E862" t="str">
        <f t="shared" si="169"/>
        <v>Emily Brown is in Marketing Department</v>
      </c>
      <c r="F862" s="6" t="str">
        <f t="shared" si="170"/>
        <v>emilybrown@gmail.com</v>
      </c>
      <c r="G862">
        <v>106762</v>
      </c>
      <c r="H862" t="str">
        <f t="shared" si="171"/>
        <v>High</v>
      </c>
      <c r="I862" s="3">
        <v>39724</v>
      </c>
      <c r="J862">
        <f t="shared" si="172"/>
        <v>2008</v>
      </c>
      <c r="K862">
        <f t="shared" si="173"/>
        <v>10</v>
      </c>
      <c r="L862">
        <f t="shared" si="174"/>
        <v>3</v>
      </c>
      <c r="M862" s="3">
        <f t="shared" ca="1" si="175"/>
        <v>46100</v>
      </c>
      <c r="N862">
        <f t="shared" ca="1" si="176"/>
        <v>6376</v>
      </c>
      <c r="O862">
        <f t="shared" ca="1" si="177"/>
        <v>6376</v>
      </c>
      <c r="P862">
        <f t="shared" ca="1" si="178"/>
        <v>4555</v>
      </c>
      <c r="Q862">
        <v>51</v>
      </c>
      <c r="R862" t="str">
        <f t="shared" si="179"/>
        <v>Old</v>
      </c>
      <c r="S862" t="s">
        <v>34</v>
      </c>
      <c r="T862">
        <v>1</v>
      </c>
      <c r="U862" t="s">
        <v>25</v>
      </c>
      <c r="V862">
        <v>5606.42</v>
      </c>
      <c r="W862" t="s">
        <v>46</v>
      </c>
      <c r="X862" t="s">
        <v>36</v>
      </c>
      <c r="Y862">
        <v>19</v>
      </c>
      <c r="Z862" t="str">
        <f t="shared" si="180"/>
        <v>Bad Employee</v>
      </c>
      <c r="AA862" t="b">
        <f t="shared" si="181"/>
        <v>0</v>
      </c>
      <c r="AB862" t="b">
        <f>OR(Y862&gt;20, T862&gt;6)</f>
        <v>0</v>
      </c>
      <c r="AC862" t="str">
        <f>IF(OR(Y862&gt;20,T862&gt;6), "Good employee", "Bad Employee")</f>
        <v>Bad Employee</v>
      </c>
      <c r="AD862" t="s">
        <v>28</v>
      </c>
      <c r="AE862" t="s">
        <v>48</v>
      </c>
      <c r="AF862">
        <v>15</v>
      </c>
      <c r="AG862">
        <v>2018</v>
      </c>
      <c r="AH862" t="s">
        <v>49</v>
      </c>
      <c r="AI862">
        <v>178</v>
      </c>
      <c r="AJ862">
        <v>2.5</v>
      </c>
    </row>
    <row r="863" spans="1:36" x14ac:dyDescent="0.25">
      <c r="A863">
        <v>10862</v>
      </c>
      <c r="B863" t="s">
        <v>66</v>
      </c>
      <c r="C863" t="s">
        <v>22</v>
      </c>
      <c r="D863" t="s">
        <v>52</v>
      </c>
      <c r="E863" t="str">
        <f t="shared" si="169"/>
        <v>John Williams is in Operations Department</v>
      </c>
      <c r="F863" s="6" t="str">
        <f t="shared" si="170"/>
        <v>johnwilliams@gmail.com</v>
      </c>
      <c r="G863">
        <v>65399</v>
      </c>
      <c r="H863" t="str">
        <f t="shared" si="171"/>
        <v>Medium</v>
      </c>
      <c r="I863" s="3">
        <v>39311</v>
      </c>
      <c r="J863">
        <f t="shared" si="172"/>
        <v>2007</v>
      </c>
      <c r="K863">
        <f t="shared" si="173"/>
        <v>8</v>
      </c>
      <c r="L863">
        <f t="shared" si="174"/>
        <v>17</v>
      </c>
      <c r="M863" s="3">
        <f t="shared" ca="1" si="175"/>
        <v>46100</v>
      </c>
      <c r="N863">
        <f t="shared" ca="1" si="176"/>
        <v>6789</v>
      </c>
      <c r="O863">
        <f t="shared" ca="1" si="177"/>
        <v>6789</v>
      </c>
      <c r="P863">
        <f t="shared" ca="1" si="178"/>
        <v>4850</v>
      </c>
      <c r="Q863">
        <v>57</v>
      </c>
      <c r="R863" t="str">
        <f t="shared" si="179"/>
        <v>Old</v>
      </c>
      <c r="S863" t="s">
        <v>34</v>
      </c>
      <c r="T863">
        <v>1</v>
      </c>
      <c r="U863" t="s">
        <v>25</v>
      </c>
      <c r="V863">
        <v>7615.87</v>
      </c>
      <c r="W863" t="s">
        <v>58</v>
      </c>
      <c r="X863" t="s">
        <v>27</v>
      </c>
      <c r="Y863">
        <v>8</v>
      </c>
      <c r="Z863" t="str">
        <f t="shared" si="180"/>
        <v>Bad Employee</v>
      </c>
      <c r="AA863" t="b">
        <f t="shared" si="181"/>
        <v>0</v>
      </c>
      <c r="AB863" t="b">
        <f>OR(Y863&gt;20, T863&gt;6)</f>
        <v>0</v>
      </c>
      <c r="AC863" t="str">
        <f>IF(OR(Y863&gt;20,T863&gt;6), "Good employee", "Bad Employee")</f>
        <v>Bad Employee</v>
      </c>
      <c r="AD863" t="s">
        <v>41</v>
      </c>
      <c r="AE863" t="s">
        <v>62</v>
      </c>
      <c r="AF863">
        <v>18</v>
      </c>
      <c r="AG863">
        <v>2012</v>
      </c>
      <c r="AH863" t="s">
        <v>30</v>
      </c>
      <c r="AI863">
        <v>82</v>
      </c>
      <c r="AJ863">
        <v>4.0999999999999996</v>
      </c>
    </row>
    <row r="864" spans="1:36" x14ac:dyDescent="0.25">
      <c r="A864">
        <v>10863</v>
      </c>
      <c r="B864" t="s">
        <v>60</v>
      </c>
      <c r="C864" t="s">
        <v>22</v>
      </c>
      <c r="D864" t="s">
        <v>39</v>
      </c>
      <c r="E864" t="str">
        <f t="shared" si="169"/>
        <v>Jane Williams is in IT Department</v>
      </c>
      <c r="F864" s="6" t="str">
        <f t="shared" si="170"/>
        <v>janewilliams@gmail.com</v>
      </c>
      <c r="G864">
        <v>108948</v>
      </c>
      <c r="H864" t="str">
        <f t="shared" si="171"/>
        <v>High</v>
      </c>
      <c r="I864" s="3">
        <v>43608</v>
      </c>
      <c r="J864">
        <f t="shared" si="172"/>
        <v>2019</v>
      </c>
      <c r="K864">
        <f t="shared" si="173"/>
        <v>5</v>
      </c>
      <c r="L864">
        <f t="shared" si="174"/>
        <v>23</v>
      </c>
      <c r="M864" s="3">
        <f t="shared" ca="1" si="175"/>
        <v>46100</v>
      </c>
      <c r="N864">
        <f t="shared" ca="1" si="176"/>
        <v>2492</v>
      </c>
      <c r="O864">
        <f t="shared" ca="1" si="177"/>
        <v>2492</v>
      </c>
      <c r="P864">
        <f t="shared" ca="1" si="178"/>
        <v>1781</v>
      </c>
      <c r="Q864">
        <v>61</v>
      </c>
      <c r="R864" t="str">
        <f t="shared" si="179"/>
        <v>Old</v>
      </c>
      <c r="S864" t="s">
        <v>34</v>
      </c>
      <c r="T864">
        <v>1</v>
      </c>
      <c r="U864" t="s">
        <v>25</v>
      </c>
      <c r="V864">
        <v>1569.4</v>
      </c>
      <c r="W864" t="s">
        <v>26</v>
      </c>
      <c r="X864" t="s">
        <v>47</v>
      </c>
      <c r="Y864">
        <v>6</v>
      </c>
      <c r="Z864" t="str">
        <f t="shared" si="180"/>
        <v>Bad Employee</v>
      </c>
      <c r="AA864" t="b">
        <f t="shared" si="181"/>
        <v>0</v>
      </c>
      <c r="AB864" t="b">
        <f>OR(Y864&gt;20, T864&gt;6)</f>
        <v>0</v>
      </c>
      <c r="AC864" t="str">
        <f>IF(OR(Y864&gt;20,T864&gt;6), "Good employee", "Bad Employee")</f>
        <v>Bad Employee</v>
      </c>
      <c r="AD864" t="s">
        <v>28</v>
      </c>
      <c r="AE864" t="s">
        <v>59</v>
      </c>
      <c r="AF864">
        <v>0</v>
      </c>
      <c r="AG864">
        <v>2012</v>
      </c>
      <c r="AH864" t="s">
        <v>43</v>
      </c>
      <c r="AI864">
        <v>71</v>
      </c>
      <c r="AJ864">
        <v>1.5</v>
      </c>
    </row>
    <row r="865" spans="1:36" x14ac:dyDescent="0.25">
      <c r="A865">
        <v>10864</v>
      </c>
      <c r="B865" t="s">
        <v>60</v>
      </c>
      <c r="C865" t="s">
        <v>65</v>
      </c>
      <c r="D865" t="s">
        <v>39</v>
      </c>
      <c r="E865" t="str">
        <f t="shared" si="169"/>
        <v>Jane Johnson is in IT Department</v>
      </c>
      <c r="F865" s="6" t="str">
        <f t="shared" si="170"/>
        <v>janejohnson@gmail.com</v>
      </c>
      <c r="G865">
        <v>87439</v>
      </c>
      <c r="H865" t="str">
        <f t="shared" si="171"/>
        <v>High</v>
      </c>
      <c r="I865" s="3">
        <v>38644</v>
      </c>
      <c r="J865">
        <f t="shared" si="172"/>
        <v>2005</v>
      </c>
      <c r="K865">
        <f t="shared" si="173"/>
        <v>10</v>
      </c>
      <c r="L865">
        <f t="shared" si="174"/>
        <v>19</v>
      </c>
      <c r="M865" s="3">
        <f t="shared" ca="1" si="175"/>
        <v>46100</v>
      </c>
      <c r="N865">
        <f t="shared" ca="1" si="176"/>
        <v>7456</v>
      </c>
      <c r="O865">
        <f t="shared" ca="1" si="177"/>
        <v>7456</v>
      </c>
      <c r="P865">
        <f t="shared" ca="1" si="178"/>
        <v>5327</v>
      </c>
      <c r="Q865">
        <v>36</v>
      </c>
      <c r="R865" t="str">
        <f t="shared" si="179"/>
        <v>Old</v>
      </c>
      <c r="S865" t="s">
        <v>34</v>
      </c>
      <c r="T865">
        <v>5</v>
      </c>
      <c r="U865" t="s">
        <v>25</v>
      </c>
      <c r="V865">
        <v>8015.69</v>
      </c>
      <c r="W865" t="s">
        <v>26</v>
      </c>
      <c r="X865" t="s">
        <v>47</v>
      </c>
      <c r="Y865">
        <v>38</v>
      </c>
      <c r="Z865" t="str">
        <f t="shared" si="180"/>
        <v>Bad Employee</v>
      </c>
      <c r="AA865" t="b">
        <f t="shared" si="181"/>
        <v>0</v>
      </c>
      <c r="AB865" t="b">
        <f>OR(Y865&gt;20, T865&gt;6)</f>
        <v>1</v>
      </c>
      <c r="AC865" t="str">
        <f>IF(OR(Y865&gt;20,T865&gt;6), "Good employee", "Bad Employee")</f>
        <v>Good employee</v>
      </c>
      <c r="AD865" t="s">
        <v>56</v>
      </c>
      <c r="AE865" t="s">
        <v>59</v>
      </c>
      <c r="AF865">
        <v>7</v>
      </c>
      <c r="AG865">
        <v>2022</v>
      </c>
      <c r="AH865" t="s">
        <v>49</v>
      </c>
      <c r="AI865">
        <v>46</v>
      </c>
      <c r="AJ865">
        <v>2.2000000000000002</v>
      </c>
    </row>
    <row r="866" spans="1:36" x14ac:dyDescent="0.25">
      <c r="A866">
        <v>10865</v>
      </c>
      <c r="B866" t="s">
        <v>31</v>
      </c>
      <c r="C866" t="s">
        <v>61</v>
      </c>
      <c r="D866" t="s">
        <v>23</v>
      </c>
      <c r="E866" t="str">
        <f t="shared" si="169"/>
        <v>Emily Smith is in HR Department</v>
      </c>
      <c r="F866" s="6" t="str">
        <f t="shared" si="170"/>
        <v>emilysmith@gmail.com</v>
      </c>
      <c r="G866">
        <v>74415</v>
      </c>
      <c r="H866" t="str">
        <f t="shared" si="171"/>
        <v>Medium</v>
      </c>
      <c r="I866" s="3">
        <v>42942</v>
      </c>
      <c r="J866">
        <f t="shared" si="172"/>
        <v>2017</v>
      </c>
      <c r="K866">
        <f t="shared" si="173"/>
        <v>7</v>
      </c>
      <c r="L866">
        <f t="shared" si="174"/>
        <v>26</v>
      </c>
      <c r="M866" s="3">
        <f t="shared" ca="1" si="175"/>
        <v>46100</v>
      </c>
      <c r="N866">
        <f t="shared" ca="1" si="176"/>
        <v>3158</v>
      </c>
      <c r="O866">
        <f t="shared" ca="1" si="177"/>
        <v>3158</v>
      </c>
      <c r="P866">
        <f t="shared" ca="1" si="178"/>
        <v>2257</v>
      </c>
      <c r="Q866">
        <v>35</v>
      </c>
      <c r="R866" t="str">
        <f t="shared" si="179"/>
        <v>Old</v>
      </c>
      <c r="S866" t="s">
        <v>24</v>
      </c>
      <c r="T866">
        <v>7</v>
      </c>
      <c r="U866" t="s">
        <v>25</v>
      </c>
      <c r="V866">
        <v>749.75</v>
      </c>
      <c r="W866" t="s">
        <v>26</v>
      </c>
      <c r="X866" t="s">
        <v>47</v>
      </c>
      <c r="Y866">
        <v>21</v>
      </c>
      <c r="Z866" t="str">
        <f t="shared" si="180"/>
        <v>Good Employee</v>
      </c>
      <c r="AA866" t="b">
        <f t="shared" si="181"/>
        <v>1</v>
      </c>
      <c r="AB866" t="b">
        <f>OR(Y866&gt;20, T866&gt;6)</f>
        <v>1</v>
      </c>
      <c r="AC866" t="str">
        <f>IF(OR(Y866&gt;20,T866&gt;6), "Good employee", "Bad Employee")</f>
        <v>Good employee</v>
      </c>
      <c r="AD866" t="s">
        <v>41</v>
      </c>
      <c r="AE866" t="s">
        <v>29</v>
      </c>
      <c r="AF866">
        <v>17</v>
      </c>
      <c r="AG866">
        <v>2013</v>
      </c>
      <c r="AH866" t="s">
        <v>43</v>
      </c>
      <c r="AI866">
        <v>68</v>
      </c>
      <c r="AJ866">
        <v>3.4</v>
      </c>
    </row>
    <row r="867" spans="1:36" x14ac:dyDescent="0.25">
      <c r="A867">
        <v>10866</v>
      </c>
      <c r="B867" t="s">
        <v>66</v>
      </c>
      <c r="C867" t="s">
        <v>51</v>
      </c>
      <c r="D867" t="s">
        <v>44</v>
      </c>
      <c r="E867" t="str">
        <f t="shared" si="169"/>
        <v>John Brown is in Sales Department</v>
      </c>
      <c r="F867" s="6" t="str">
        <f t="shared" si="170"/>
        <v>johnbrown@gmail.com</v>
      </c>
      <c r="G867">
        <v>42569</v>
      </c>
      <c r="H867" t="str">
        <f t="shared" si="171"/>
        <v>low</v>
      </c>
      <c r="I867" s="3">
        <v>37736</v>
      </c>
      <c r="J867">
        <f t="shared" si="172"/>
        <v>2003</v>
      </c>
      <c r="K867">
        <f t="shared" si="173"/>
        <v>4</v>
      </c>
      <c r="L867">
        <f t="shared" si="174"/>
        <v>25</v>
      </c>
      <c r="M867" s="3">
        <f t="shared" ca="1" si="175"/>
        <v>46100</v>
      </c>
      <c r="N867">
        <f t="shared" ca="1" si="176"/>
        <v>8364</v>
      </c>
      <c r="O867">
        <f t="shared" ca="1" si="177"/>
        <v>8364</v>
      </c>
      <c r="P867">
        <f t="shared" ca="1" si="178"/>
        <v>5975</v>
      </c>
      <c r="Q867">
        <v>52</v>
      </c>
      <c r="R867" t="str">
        <f t="shared" si="179"/>
        <v>Old</v>
      </c>
      <c r="S867" t="s">
        <v>34</v>
      </c>
      <c r="T867">
        <v>7</v>
      </c>
      <c r="U867" t="s">
        <v>45</v>
      </c>
      <c r="V867">
        <v>4709.47</v>
      </c>
      <c r="W867" t="s">
        <v>26</v>
      </c>
      <c r="X867" t="s">
        <v>36</v>
      </c>
      <c r="Y867">
        <v>29</v>
      </c>
      <c r="Z867" t="str">
        <f t="shared" si="180"/>
        <v>Good Employee</v>
      </c>
      <c r="AA867" t="b">
        <f t="shared" si="181"/>
        <v>1</v>
      </c>
      <c r="AB867" t="b">
        <f>OR(Y867&gt;20, T867&gt;6)</f>
        <v>1</v>
      </c>
      <c r="AC867" t="str">
        <f>IF(OR(Y867&gt;20,T867&gt;6), "Good employee", "Bad Employee")</f>
        <v>Good employee</v>
      </c>
      <c r="AD867" t="s">
        <v>56</v>
      </c>
      <c r="AE867" t="s">
        <v>37</v>
      </c>
      <c r="AF867">
        <v>1</v>
      </c>
      <c r="AG867">
        <v>2014</v>
      </c>
      <c r="AH867" t="s">
        <v>49</v>
      </c>
      <c r="AI867">
        <v>132</v>
      </c>
      <c r="AJ867">
        <v>2.7</v>
      </c>
    </row>
    <row r="868" spans="1:36" x14ac:dyDescent="0.25">
      <c r="A868">
        <v>10867</v>
      </c>
      <c r="B868" t="s">
        <v>38</v>
      </c>
      <c r="C868" t="s">
        <v>32</v>
      </c>
      <c r="D868" t="s">
        <v>33</v>
      </c>
      <c r="E868" t="str">
        <f t="shared" si="169"/>
        <v>Chris Wilson is in Marketing Department</v>
      </c>
      <c r="F868" s="6" t="str">
        <f t="shared" si="170"/>
        <v>chriswilson@gmail.com</v>
      </c>
      <c r="G868">
        <v>32369</v>
      </c>
      <c r="H868" t="str">
        <f t="shared" si="171"/>
        <v>extremely low</v>
      </c>
      <c r="I868" s="3">
        <v>37552</v>
      </c>
      <c r="J868">
        <f t="shared" si="172"/>
        <v>2002</v>
      </c>
      <c r="K868">
        <f t="shared" si="173"/>
        <v>10</v>
      </c>
      <c r="L868">
        <f t="shared" si="174"/>
        <v>23</v>
      </c>
      <c r="M868" s="3">
        <f t="shared" ca="1" si="175"/>
        <v>46100</v>
      </c>
      <c r="N868">
        <f t="shared" ca="1" si="176"/>
        <v>8548</v>
      </c>
      <c r="O868">
        <f t="shared" ca="1" si="177"/>
        <v>8548</v>
      </c>
      <c r="P868">
        <f t="shared" ca="1" si="178"/>
        <v>6107</v>
      </c>
      <c r="Q868">
        <v>50</v>
      </c>
      <c r="R868" t="str">
        <f t="shared" si="179"/>
        <v>Old</v>
      </c>
      <c r="S868" t="s">
        <v>24</v>
      </c>
      <c r="T868">
        <v>1</v>
      </c>
      <c r="U868" t="s">
        <v>25</v>
      </c>
      <c r="V868">
        <v>6080.59</v>
      </c>
      <c r="W868" t="s">
        <v>35</v>
      </c>
      <c r="X868" t="s">
        <v>55</v>
      </c>
      <c r="Y868">
        <v>34</v>
      </c>
      <c r="Z868" t="str">
        <f t="shared" si="180"/>
        <v>Bad Employee</v>
      </c>
      <c r="AA868" t="b">
        <f t="shared" si="181"/>
        <v>0</v>
      </c>
      <c r="AB868" t="b">
        <f>OR(Y868&gt;20, T868&gt;6)</f>
        <v>1</v>
      </c>
      <c r="AC868" t="str">
        <f>IF(OR(Y868&gt;20,T868&gt;6), "Good employee", "Bad Employee")</f>
        <v>Good employee</v>
      </c>
      <c r="AD868" t="s">
        <v>56</v>
      </c>
      <c r="AE868" t="s">
        <v>59</v>
      </c>
      <c r="AF868">
        <v>3</v>
      </c>
      <c r="AG868">
        <v>2015</v>
      </c>
      <c r="AH868" t="s">
        <v>49</v>
      </c>
      <c r="AI868">
        <v>77</v>
      </c>
      <c r="AJ868">
        <v>4.8</v>
      </c>
    </row>
    <row r="869" spans="1:36" x14ac:dyDescent="0.25">
      <c r="A869">
        <v>10868</v>
      </c>
      <c r="B869" t="s">
        <v>64</v>
      </c>
      <c r="C869" t="s">
        <v>51</v>
      </c>
      <c r="D869" t="s">
        <v>52</v>
      </c>
      <c r="E869" t="str">
        <f t="shared" si="169"/>
        <v>Katie Brown is in Operations Department</v>
      </c>
      <c r="F869" s="6" t="str">
        <f t="shared" si="170"/>
        <v>katiebrown@gmail.com</v>
      </c>
      <c r="G869">
        <v>30528</v>
      </c>
      <c r="H869" t="str">
        <f t="shared" si="171"/>
        <v>extremely low</v>
      </c>
      <c r="I869" s="3">
        <v>41930</v>
      </c>
      <c r="J869">
        <f t="shared" si="172"/>
        <v>2014</v>
      </c>
      <c r="K869">
        <f t="shared" si="173"/>
        <v>10</v>
      </c>
      <c r="L869">
        <f t="shared" si="174"/>
        <v>18</v>
      </c>
      <c r="M869" s="3">
        <f t="shared" ca="1" si="175"/>
        <v>46100</v>
      </c>
      <c r="N869">
        <f t="shared" ca="1" si="176"/>
        <v>4170</v>
      </c>
      <c r="O869">
        <f t="shared" ca="1" si="177"/>
        <v>4170</v>
      </c>
      <c r="P869">
        <f t="shared" ca="1" si="178"/>
        <v>2979</v>
      </c>
      <c r="Q869">
        <v>48</v>
      </c>
      <c r="R869" t="str">
        <f t="shared" si="179"/>
        <v>Old</v>
      </c>
      <c r="S869" t="s">
        <v>34</v>
      </c>
      <c r="T869">
        <v>6</v>
      </c>
      <c r="U869" t="s">
        <v>45</v>
      </c>
      <c r="V869">
        <v>9591.49</v>
      </c>
      <c r="W869" t="s">
        <v>35</v>
      </c>
      <c r="X869" t="s">
        <v>27</v>
      </c>
      <c r="Y869">
        <v>12</v>
      </c>
      <c r="Z869" t="str">
        <f t="shared" si="180"/>
        <v>Bad Employee</v>
      </c>
      <c r="AA869" t="b">
        <f t="shared" si="181"/>
        <v>0</v>
      </c>
      <c r="AB869" t="b">
        <f>OR(Y869&gt;20, T869&gt;6)</f>
        <v>0</v>
      </c>
      <c r="AC869" t="str">
        <f>IF(OR(Y869&gt;20,T869&gt;6), "Good employee", "Bad Employee")</f>
        <v>Bad Employee</v>
      </c>
      <c r="AD869" t="s">
        <v>28</v>
      </c>
      <c r="AE869" t="s">
        <v>42</v>
      </c>
      <c r="AF869">
        <v>0</v>
      </c>
      <c r="AG869">
        <v>2023</v>
      </c>
      <c r="AH869" t="s">
        <v>30</v>
      </c>
      <c r="AI869">
        <v>185</v>
      </c>
      <c r="AJ869">
        <v>4.8</v>
      </c>
    </row>
    <row r="870" spans="1:36" x14ac:dyDescent="0.25">
      <c r="A870">
        <v>10869</v>
      </c>
      <c r="B870" t="s">
        <v>50</v>
      </c>
      <c r="C870" t="s">
        <v>51</v>
      </c>
      <c r="D870" t="s">
        <v>23</v>
      </c>
      <c r="E870" t="str">
        <f t="shared" si="169"/>
        <v>Alex Brown is in HR Department</v>
      </c>
      <c r="F870" s="6" t="str">
        <f t="shared" si="170"/>
        <v>alexbrown@gmail.com</v>
      </c>
      <c r="G870">
        <v>60314</v>
      </c>
      <c r="H870" t="str">
        <f t="shared" si="171"/>
        <v>Medium</v>
      </c>
      <c r="I870" s="3">
        <v>40643</v>
      </c>
      <c r="J870">
        <f t="shared" si="172"/>
        <v>2011</v>
      </c>
      <c r="K870">
        <f t="shared" si="173"/>
        <v>4</v>
      </c>
      <c r="L870">
        <f t="shared" si="174"/>
        <v>10</v>
      </c>
      <c r="M870" s="3">
        <f t="shared" ca="1" si="175"/>
        <v>46100</v>
      </c>
      <c r="N870">
        <f t="shared" ca="1" si="176"/>
        <v>5457</v>
      </c>
      <c r="O870">
        <f t="shared" ca="1" si="177"/>
        <v>5457</v>
      </c>
      <c r="P870">
        <f t="shared" ca="1" si="178"/>
        <v>3899</v>
      </c>
      <c r="Q870">
        <v>42</v>
      </c>
      <c r="R870" t="str">
        <f t="shared" si="179"/>
        <v>Old</v>
      </c>
      <c r="S870" t="s">
        <v>34</v>
      </c>
      <c r="T870">
        <v>9</v>
      </c>
      <c r="U870" t="s">
        <v>25</v>
      </c>
      <c r="V870">
        <v>5952.27</v>
      </c>
      <c r="W870" t="s">
        <v>46</v>
      </c>
      <c r="X870" t="s">
        <v>47</v>
      </c>
      <c r="Y870">
        <v>39</v>
      </c>
      <c r="Z870" t="str">
        <f t="shared" si="180"/>
        <v>Good Employee</v>
      </c>
      <c r="AA870" t="b">
        <f t="shared" si="181"/>
        <v>1</v>
      </c>
      <c r="AB870" t="b">
        <f>OR(Y870&gt;20, T870&gt;6)</f>
        <v>1</v>
      </c>
      <c r="AC870" t="str">
        <f>IF(OR(Y870&gt;20,T870&gt;6), "Good employee", "Bad Employee")</f>
        <v>Good employee</v>
      </c>
      <c r="AD870" t="s">
        <v>28</v>
      </c>
      <c r="AE870" t="s">
        <v>59</v>
      </c>
      <c r="AF870">
        <v>18</v>
      </c>
      <c r="AG870">
        <v>2015</v>
      </c>
      <c r="AH870" t="s">
        <v>43</v>
      </c>
      <c r="AI870">
        <v>94</v>
      </c>
      <c r="AJ870">
        <v>3</v>
      </c>
    </row>
    <row r="871" spans="1:36" x14ac:dyDescent="0.25">
      <c r="A871">
        <v>10870</v>
      </c>
      <c r="B871" t="s">
        <v>64</v>
      </c>
      <c r="C871" t="s">
        <v>32</v>
      </c>
      <c r="D871" t="s">
        <v>39</v>
      </c>
      <c r="E871" t="str">
        <f t="shared" si="169"/>
        <v>Katie Wilson is in IT Department</v>
      </c>
      <c r="F871" s="6" t="str">
        <f t="shared" si="170"/>
        <v>katiewilson@gmail.com</v>
      </c>
      <c r="G871">
        <v>48047</v>
      </c>
      <c r="H871" t="str">
        <f t="shared" si="171"/>
        <v>low</v>
      </c>
      <c r="I871" s="3">
        <v>40787</v>
      </c>
      <c r="J871">
        <f t="shared" si="172"/>
        <v>2011</v>
      </c>
      <c r="K871">
        <f t="shared" si="173"/>
        <v>9</v>
      </c>
      <c r="L871">
        <f t="shared" si="174"/>
        <v>1</v>
      </c>
      <c r="M871" s="3">
        <f t="shared" ca="1" si="175"/>
        <v>46100</v>
      </c>
      <c r="N871">
        <f t="shared" ca="1" si="176"/>
        <v>5313</v>
      </c>
      <c r="O871">
        <f t="shared" ca="1" si="177"/>
        <v>5313</v>
      </c>
      <c r="P871">
        <f t="shared" ca="1" si="178"/>
        <v>3796</v>
      </c>
      <c r="Q871">
        <v>30</v>
      </c>
      <c r="R871" t="str">
        <f t="shared" si="179"/>
        <v>Young</v>
      </c>
      <c r="S871" t="s">
        <v>34</v>
      </c>
      <c r="T871">
        <v>6</v>
      </c>
      <c r="U871" t="s">
        <v>25</v>
      </c>
      <c r="V871">
        <v>2008.12</v>
      </c>
      <c r="W871" t="s">
        <v>26</v>
      </c>
      <c r="X871" t="s">
        <v>47</v>
      </c>
      <c r="Y871">
        <v>32</v>
      </c>
      <c r="Z871" t="str">
        <f t="shared" si="180"/>
        <v>Bad Employee</v>
      </c>
      <c r="AA871" t="b">
        <f t="shared" si="181"/>
        <v>0</v>
      </c>
      <c r="AB871" t="b">
        <f>OR(Y871&gt;20, T871&gt;6)</f>
        <v>1</v>
      </c>
      <c r="AC871" t="str">
        <f>IF(OR(Y871&gt;20,T871&gt;6), "Good employee", "Bad Employee")</f>
        <v>Good employee</v>
      </c>
      <c r="AD871" t="s">
        <v>41</v>
      </c>
      <c r="AE871" t="s">
        <v>42</v>
      </c>
      <c r="AF871">
        <v>10</v>
      </c>
      <c r="AG871">
        <v>2019</v>
      </c>
      <c r="AH871" t="s">
        <v>30</v>
      </c>
      <c r="AI871">
        <v>11</v>
      </c>
      <c r="AJ871">
        <v>3.2</v>
      </c>
    </row>
    <row r="872" spans="1:36" x14ac:dyDescent="0.25">
      <c r="A872">
        <v>10871</v>
      </c>
      <c r="B872" t="s">
        <v>38</v>
      </c>
      <c r="C872" t="s">
        <v>65</v>
      </c>
      <c r="D872" t="s">
        <v>33</v>
      </c>
      <c r="E872" t="str">
        <f t="shared" si="169"/>
        <v>Chris Johnson is in Marketing Department</v>
      </c>
      <c r="F872" s="6" t="str">
        <f t="shared" si="170"/>
        <v>chrisjohnson@gmail.com</v>
      </c>
      <c r="G872">
        <v>49748</v>
      </c>
      <c r="H872" t="str">
        <f t="shared" si="171"/>
        <v>low</v>
      </c>
      <c r="I872" s="3">
        <v>41955</v>
      </c>
      <c r="J872">
        <f t="shared" si="172"/>
        <v>2014</v>
      </c>
      <c r="K872">
        <f t="shared" si="173"/>
        <v>11</v>
      </c>
      <c r="L872">
        <f t="shared" si="174"/>
        <v>12</v>
      </c>
      <c r="M872" s="3">
        <f t="shared" ca="1" si="175"/>
        <v>46100</v>
      </c>
      <c r="N872">
        <f t="shared" ca="1" si="176"/>
        <v>4145</v>
      </c>
      <c r="O872">
        <f t="shared" ca="1" si="177"/>
        <v>4145</v>
      </c>
      <c r="P872">
        <f t="shared" ca="1" si="178"/>
        <v>2962</v>
      </c>
      <c r="Q872">
        <v>41</v>
      </c>
      <c r="R872" t="str">
        <f t="shared" si="179"/>
        <v>Old</v>
      </c>
      <c r="S872" t="s">
        <v>34</v>
      </c>
      <c r="T872">
        <v>4</v>
      </c>
      <c r="U872" t="s">
        <v>45</v>
      </c>
      <c r="V872">
        <v>5416.65</v>
      </c>
      <c r="W872" t="s">
        <v>58</v>
      </c>
      <c r="X872" t="s">
        <v>47</v>
      </c>
      <c r="Y872">
        <v>6</v>
      </c>
      <c r="Z872" t="str">
        <f t="shared" si="180"/>
        <v>Bad Employee</v>
      </c>
      <c r="AA872" t="b">
        <f t="shared" si="181"/>
        <v>0</v>
      </c>
      <c r="AB872" t="b">
        <f>OR(Y872&gt;20, T872&gt;6)</f>
        <v>0</v>
      </c>
      <c r="AC872" t="str">
        <f>IF(OR(Y872&gt;20,T872&gt;6), "Good employee", "Bad Employee")</f>
        <v>Bad Employee</v>
      </c>
      <c r="AD872" t="s">
        <v>56</v>
      </c>
      <c r="AE872" t="s">
        <v>48</v>
      </c>
      <c r="AF872">
        <v>5</v>
      </c>
      <c r="AG872">
        <v>2022</v>
      </c>
      <c r="AH872" t="s">
        <v>30</v>
      </c>
      <c r="AI872">
        <v>11</v>
      </c>
      <c r="AJ872">
        <v>3.9</v>
      </c>
    </row>
    <row r="873" spans="1:36" x14ac:dyDescent="0.25">
      <c r="A873">
        <v>10872</v>
      </c>
      <c r="B873" t="s">
        <v>53</v>
      </c>
      <c r="C873" t="s">
        <v>63</v>
      </c>
      <c r="D873" t="s">
        <v>52</v>
      </c>
      <c r="E873" t="str">
        <f t="shared" si="169"/>
        <v>Sarah Miller is in Operations Department</v>
      </c>
      <c r="F873" s="6" t="str">
        <f t="shared" si="170"/>
        <v>sarahmiller@gmail.com</v>
      </c>
      <c r="G873">
        <v>65109</v>
      </c>
      <c r="H873" t="str">
        <f t="shared" si="171"/>
        <v>Medium</v>
      </c>
      <c r="I873" s="3">
        <v>43544</v>
      </c>
      <c r="J873">
        <f t="shared" si="172"/>
        <v>2019</v>
      </c>
      <c r="K873">
        <f t="shared" si="173"/>
        <v>3</v>
      </c>
      <c r="L873">
        <f t="shared" si="174"/>
        <v>20</v>
      </c>
      <c r="M873" s="3">
        <f t="shared" ca="1" si="175"/>
        <v>46100</v>
      </c>
      <c r="N873">
        <f t="shared" ca="1" si="176"/>
        <v>2556</v>
      </c>
      <c r="O873">
        <f t="shared" ca="1" si="177"/>
        <v>2556</v>
      </c>
      <c r="P873">
        <f t="shared" ca="1" si="178"/>
        <v>1827</v>
      </c>
      <c r="Q873">
        <v>56</v>
      </c>
      <c r="R873" t="str">
        <f t="shared" si="179"/>
        <v>Old</v>
      </c>
      <c r="S873" t="s">
        <v>24</v>
      </c>
      <c r="T873">
        <v>9</v>
      </c>
      <c r="U873" t="s">
        <v>25</v>
      </c>
      <c r="V873">
        <v>4259.95</v>
      </c>
      <c r="W873" t="s">
        <v>46</v>
      </c>
      <c r="X873" t="s">
        <v>36</v>
      </c>
      <c r="Y873">
        <v>17</v>
      </c>
      <c r="Z873" t="str">
        <f t="shared" si="180"/>
        <v>Bad Employee</v>
      </c>
      <c r="AA873" t="b">
        <f t="shared" si="181"/>
        <v>0</v>
      </c>
      <c r="AB873" t="b">
        <f>OR(Y873&gt;20, T873&gt;6)</f>
        <v>1</v>
      </c>
      <c r="AC873" t="str">
        <f>IF(OR(Y873&gt;20,T873&gt;6), "Good employee", "Bad Employee")</f>
        <v>Good employee</v>
      </c>
      <c r="AD873" t="s">
        <v>56</v>
      </c>
      <c r="AE873" t="s">
        <v>37</v>
      </c>
      <c r="AF873">
        <v>18</v>
      </c>
      <c r="AG873">
        <v>2022</v>
      </c>
      <c r="AH873" t="s">
        <v>30</v>
      </c>
      <c r="AI873">
        <v>126</v>
      </c>
      <c r="AJ873">
        <v>2.8</v>
      </c>
    </row>
    <row r="874" spans="1:36" x14ac:dyDescent="0.25">
      <c r="A874">
        <v>10873</v>
      </c>
      <c r="B874" t="s">
        <v>60</v>
      </c>
      <c r="C874" t="s">
        <v>22</v>
      </c>
      <c r="D874" t="s">
        <v>54</v>
      </c>
      <c r="E874" t="str">
        <f t="shared" si="169"/>
        <v>Jane Williams is in Finance Department</v>
      </c>
      <c r="F874" s="6" t="str">
        <f t="shared" si="170"/>
        <v>janewilliams@gmail.com</v>
      </c>
      <c r="G874">
        <v>43919</v>
      </c>
      <c r="H874" t="str">
        <f t="shared" si="171"/>
        <v>low</v>
      </c>
      <c r="I874" s="3">
        <v>42122</v>
      </c>
      <c r="J874">
        <f t="shared" si="172"/>
        <v>2015</v>
      </c>
      <c r="K874">
        <f t="shared" si="173"/>
        <v>4</v>
      </c>
      <c r="L874">
        <f t="shared" si="174"/>
        <v>28</v>
      </c>
      <c r="M874" s="3">
        <f t="shared" ca="1" si="175"/>
        <v>46100</v>
      </c>
      <c r="N874">
        <f t="shared" ca="1" si="176"/>
        <v>3978</v>
      </c>
      <c r="O874">
        <f t="shared" ca="1" si="177"/>
        <v>3978</v>
      </c>
      <c r="P874">
        <f t="shared" ca="1" si="178"/>
        <v>2843</v>
      </c>
      <c r="Q874">
        <v>36</v>
      </c>
      <c r="R874" t="str">
        <f t="shared" si="179"/>
        <v>Old</v>
      </c>
      <c r="S874" t="s">
        <v>24</v>
      </c>
      <c r="T874">
        <v>3</v>
      </c>
      <c r="U874" t="s">
        <v>25</v>
      </c>
      <c r="V874">
        <v>5053.88</v>
      </c>
      <c r="W874" t="s">
        <v>46</v>
      </c>
      <c r="X874" t="s">
        <v>55</v>
      </c>
      <c r="Y874">
        <v>32</v>
      </c>
      <c r="Z874" t="str">
        <f t="shared" si="180"/>
        <v>Bad Employee</v>
      </c>
      <c r="AA874" t="b">
        <f t="shared" si="181"/>
        <v>0</v>
      </c>
      <c r="AB874" t="b">
        <f>OR(Y874&gt;20, T874&gt;6)</f>
        <v>1</v>
      </c>
      <c r="AC874" t="str">
        <f>IF(OR(Y874&gt;20,T874&gt;6), "Good employee", "Bad Employee")</f>
        <v>Good employee</v>
      </c>
      <c r="AD874" t="s">
        <v>28</v>
      </c>
      <c r="AE874" t="s">
        <v>42</v>
      </c>
      <c r="AF874">
        <v>13</v>
      </c>
      <c r="AG874">
        <v>2018</v>
      </c>
      <c r="AH874" t="s">
        <v>30</v>
      </c>
      <c r="AI874">
        <v>168</v>
      </c>
      <c r="AJ874">
        <v>1.8</v>
      </c>
    </row>
    <row r="875" spans="1:36" x14ac:dyDescent="0.25">
      <c r="A875">
        <v>10874</v>
      </c>
      <c r="B875" t="s">
        <v>66</v>
      </c>
      <c r="C875" t="s">
        <v>61</v>
      </c>
      <c r="D875" t="s">
        <v>33</v>
      </c>
      <c r="E875" t="str">
        <f t="shared" si="169"/>
        <v>John Smith is in Marketing Department</v>
      </c>
      <c r="F875" s="6" t="str">
        <f t="shared" si="170"/>
        <v>johnsmith@gmail.com</v>
      </c>
      <c r="G875">
        <v>77498</v>
      </c>
      <c r="H875" t="str">
        <f t="shared" si="171"/>
        <v>Medium</v>
      </c>
      <c r="I875" s="3">
        <v>37023</v>
      </c>
      <c r="J875">
        <f t="shared" si="172"/>
        <v>2001</v>
      </c>
      <c r="K875">
        <f t="shared" si="173"/>
        <v>5</v>
      </c>
      <c r="L875">
        <f t="shared" si="174"/>
        <v>12</v>
      </c>
      <c r="M875" s="3">
        <f t="shared" ca="1" si="175"/>
        <v>46100</v>
      </c>
      <c r="N875">
        <f t="shared" ca="1" si="176"/>
        <v>9077</v>
      </c>
      <c r="O875">
        <f t="shared" ca="1" si="177"/>
        <v>9077</v>
      </c>
      <c r="P875">
        <f t="shared" ca="1" si="178"/>
        <v>6484</v>
      </c>
      <c r="Q875">
        <v>45</v>
      </c>
      <c r="R875" t="str">
        <f t="shared" si="179"/>
        <v>Old</v>
      </c>
      <c r="S875" t="s">
        <v>34</v>
      </c>
      <c r="T875">
        <v>4</v>
      </c>
      <c r="U875" t="s">
        <v>45</v>
      </c>
      <c r="V875">
        <v>2372.42</v>
      </c>
      <c r="W875" t="s">
        <v>35</v>
      </c>
      <c r="X875" t="s">
        <v>47</v>
      </c>
      <c r="Y875">
        <v>8</v>
      </c>
      <c r="Z875" t="str">
        <f t="shared" si="180"/>
        <v>Bad Employee</v>
      </c>
      <c r="AA875" t="b">
        <f t="shared" si="181"/>
        <v>0</v>
      </c>
      <c r="AB875" t="b">
        <f>OR(Y875&gt;20, T875&gt;6)</f>
        <v>0</v>
      </c>
      <c r="AC875" t="str">
        <f>IF(OR(Y875&gt;20,T875&gt;6), "Good employee", "Bad Employee")</f>
        <v>Bad Employee</v>
      </c>
      <c r="AD875" t="s">
        <v>56</v>
      </c>
      <c r="AE875" t="s">
        <v>37</v>
      </c>
      <c r="AF875">
        <v>18</v>
      </c>
      <c r="AG875">
        <v>2010</v>
      </c>
      <c r="AH875" t="s">
        <v>30</v>
      </c>
      <c r="AI875">
        <v>120</v>
      </c>
      <c r="AJ875">
        <v>4</v>
      </c>
    </row>
    <row r="876" spans="1:36" x14ac:dyDescent="0.25">
      <c r="A876">
        <v>10875</v>
      </c>
      <c r="B876" t="s">
        <v>60</v>
      </c>
      <c r="C876" t="s">
        <v>57</v>
      </c>
      <c r="D876" t="s">
        <v>52</v>
      </c>
      <c r="E876" t="str">
        <f t="shared" si="169"/>
        <v>Jane Davis is in Operations Department</v>
      </c>
      <c r="F876" s="6" t="str">
        <f t="shared" si="170"/>
        <v>janedavis@gmail.com</v>
      </c>
      <c r="G876">
        <v>85808</v>
      </c>
      <c r="H876" t="str">
        <f t="shared" si="171"/>
        <v>High</v>
      </c>
      <c r="I876" s="3">
        <v>41055</v>
      </c>
      <c r="J876">
        <f t="shared" si="172"/>
        <v>2012</v>
      </c>
      <c r="K876">
        <f t="shared" si="173"/>
        <v>5</v>
      </c>
      <c r="L876">
        <f t="shared" si="174"/>
        <v>26</v>
      </c>
      <c r="M876" s="3">
        <f t="shared" ca="1" si="175"/>
        <v>46100</v>
      </c>
      <c r="N876">
        <f t="shared" ca="1" si="176"/>
        <v>5045</v>
      </c>
      <c r="O876">
        <f t="shared" ca="1" si="177"/>
        <v>5045</v>
      </c>
      <c r="P876">
        <f t="shared" ca="1" si="178"/>
        <v>3604</v>
      </c>
      <c r="Q876">
        <v>37</v>
      </c>
      <c r="R876" t="str">
        <f t="shared" si="179"/>
        <v>Old</v>
      </c>
      <c r="S876" t="s">
        <v>24</v>
      </c>
      <c r="T876">
        <v>4</v>
      </c>
      <c r="U876" t="s">
        <v>45</v>
      </c>
      <c r="V876">
        <v>5257.86</v>
      </c>
      <c r="W876" t="s">
        <v>46</v>
      </c>
      <c r="X876" t="s">
        <v>47</v>
      </c>
      <c r="Y876">
        <v>38</v>
      </c>
      <c r="Z876" t="str">
        <f t="shared" si="180"/>
        <v>Bad Employee</v>
      </c>
      <c r="AA876" t="b">
        <f t="shared" si="181"/>
        <v>0</v>
      </c>
      <c r="AB876" t="b">
        <f>OR(Y876&gt;20, T876&gt;6)</f>
        <v>1</v>
      </c>
      <c r="AC876" t="str">
        <f>IF(OR(Y876&gt;20,T876&gt;6), "Good employee", "Bad Employee")</f>
        <v>Good employee</v>
      </c>
      <c r="AD876" t="s">
        <v>56</v>
      </c>
      <c r="AE876" t="s">
        <v>37</v>
      </c>
      <c r="AF876">
        <v>12</v>
      </c>
      <c r="AG876">
        <v>2018</v>
      </c>
      <c r="AH876" t="s">
        <v>30</v>
      </c>
      <c r="AI876">
        <v>17</v>
      </c>
      <c r="AJ876">
        <v>4</v>
      </c>
    </row>
    <row r="877" spans="1:36" x14ac:dyDescent="0.25">
      <c r="A877">
        <v>10876</v>
      </c>
      <c r="B877" t="s">
        <v>50</v>
      </c>
      <c r="C877" t="s">
        <v>32</v>
      </c>
      <c r="D877" t="s">
        <v>23</v>
      </c>
      <c r="E877" t="str">
        <f t="shared" si="169"/>
        <v>Alex Wilson is in HR Department</v>
      </c>
      <c r="F877" s="6" t="str">
        <f t="shared" si="170"/>
        <v>alexwilson@gmail.com</v>
      </c>
      <c r="G877">
        <v>110792</v>
      </c>
      <c r="H877" t="str">
        <f t="shared" si="171"/>
        <v>High</v>
      </c>
      <c r="I877" s="3">
        <v>39331</v>
      </c>
      <c r="J877">
        <f t="shared" si="172"/>
        <v>2007</v>
      </c>
      <c r="K877">
        <f t="shared" si="173"/>
        <v>9</v>
      </c>
      <c r="L877">
        <f t="shared" si="174"/>
        <v>6</v>
      </c>
      <c r="M877" s="3">
        <f t="shared" ca="1" si="175"/>
        <v>46100</v>
      </c>
      <c r="N877">
        <f t="shared" ca="1" si="176"/>
        <v>6769</v>
      </c>
      <c r="O877">
        <f t="shared" ca="1" si="177"/>
        <v>6769</v>
      </c>
      <c r="P877">
        <f t="shared" ca="1" si="178"/>
        <v>4836</v>
      </c>
      <c r="Q877">
        <v>57</v>
      </c>
      <c r="R877" t="str">
        <f t="shared" si="179"/>
        <v>Old</v>
      </c>
      <c r="S877" t="s">
        <v>34</v>
      </c>
      <c r="T877">
        <v>4</v>
      </c>
      <c r="U877" t="s">
        <v>25</v>
      </c>
      <c r="V877">
        <v>1925.38</v>
      </c>
      <c r="W877" t="s">
        <v>58</v>
      </c>
      <c r="X877" t="s">
        <v>36</v>
      </c>
      <c r="Y877">
        <v>29</v>
      </c>
      <c r="Z877" t="str">
        <f t="shared" si="180"/>
        <v>Bad Employee</v>
      </c>
      <c r="AA877" t="b">
        <f t="shared" si="181"/>
        <v>0</v>
      </c>
      <c r="AB877" t="b">
        <f>OR(Y877&gt;20, T877&gt;6)</f>
        <v>1</v>
      </c>
      <c r="AC877" t="str">
        <f>IF(OR(Y877&gt;20,T877&gt;6), "Good employee", "Bad Employee")</f>
        <v>Good employee</v>
      </c>
      <c r="AD877" t="s">
        <v>56</v>
      </c>
      <c r="AE877" t="s">
        <v>62</v>
      </c>
      <c r="AF877">
        <v>11</v>
      </c>
      <c r="AG877">
        <v>2013</v>
      </c>
      <c r="AH877" t="s">
        <v>30</v>
      </c>
      <c r="AI877">
        <v>199</v>
      </c>
      <c r="AJ877">
        <v>2</v>
      </c>
    </row>
  </sheetData>
  <autoFilter ref="A1:AJ878"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F506F-2F8A-4E40-A269-E60BD606DBC6}">
  <dimension ref="A1:R890"/>
  <sheetViews>
    <sheetView topLeftCell="H40" zoomScale="95" zoomScaleNormal="95" workbookViewId="0">
      <selection activeCell="G11" sqref="G11"/>
    </sheetView>
  </sheetViews>
  <sheetFormatPr defaultRowHeight="15" x14ac:dyDescent="0.25"/>
  <cols>
    <col min="1" max="1" width="13.42578125" bestFit="1" customWidth="1"/>
    <col min="2" max="2" width="34" bestFit="1" customWidth="1"/>
    <col min="3" max="3" width="8.42578125" bestFit="1" customWidth="1"/>
    <col min="4" max="4" width="11.5703125" bestFit="1" customWidth="1"/>
    <col min="5" max="5" width="13.42578125" bestFit="1" customWidth="1"/>
    <col min="6" max="7" width="20.5703125" bestFit="1" customWidth="1"/>
    <col min="8" max="8" width="13.42578125" bestFit="1" customWidth="1"/>
    <col min="9" max="9" width="23.5703125" bestFit="1" customWidth="1"/>
    <col min="10" max="10" width="13.42578125" bestFit="1" customWidth="1"/>
    <col min="11" max="11" width="20.5703125" bestFit="1" customWidth="1"/>
    <col min="12" max="12" width="13.42578125" bestFit="1" customWidth="1"/>
    <col min="13" max="13" width="34" bestFit="1" customWidth="1"/>
    <col min="14" max="14" width="11.28515625" bestFit="1" customWidth="1"/>
    <col min="15" max="15" width="13.42578125" bestFit="1" customWidth="1"/>
    <col min="16" max="16" width="16.5703125" bestFit="1" customWidth="1"/>
    <col min="17" max="17" width="16.28515625" bestFit="1" customWidth="1"/>
    <col min="18" max="18" width="17.85546875" bestFit="1" customWidth="1"/>
    <col min="19" max="28" width="13.42578125" bestFit="1" customWidth="1"/>
  </cols>
  <sheetData>
    <row r="1" spans="1:4" x14ac:dyDescent="0.25">
      <c r="A1" s="10" t="s">
        <v>11</v>
      </c>
      <c r="B1" t="s">
        <v>26</v>
      </c>
    </row>
    <row r="2" spans="1:4" x14ac:dyDescent="0.25">
      <c r="A2" s="10" t="s">
        <v>12</v>
      </c>
      <c r="B2" t="s">
        <v>109</v>
      </c>
    </row>
    <row r="3" spans="1:4" x14ac:dyDescent="0.25">
      <c r="A3" s="10" t="s">
        <v>100</v>
      </c>
      <c r="B3" t="s">
        <v>127</v>
      </c>
    </row>
    <row r="5" spans="1:4" x14ac:dyDescent="0.25">
      <c r="A5" s="10" t="s">
        <v>105</v>
      </c>
      <c r="B5" s="10" t="s">
        <v>108</v>
      </c>
    </row>
    <row r="6" spans="1:4" x14ac:dyDescent="0.25">
      <c r="A6" s="10" t="s">
        <v>106</v>
      </c>
      <c r="B6" t="s">
        <v>24</v>
      </c>
      <c r="C6" t="s">
        <v>34</v>
      </c>
      <c r="D6" t="s">
        <v>107</v>
      </c>
    </row>
    <row r="7" spans="1:4" x14ac:dyDescent="0.25">
      <c r="A7" s="11" t="s">
        <v>54</v>
      </c>
      <c r="B7" s="9">
        <v>1284081</v>
      </c>
      <c r="C7" s="9">
        <v>1023071</v>
      </c>
      <c r="D7" s="9">
        <v>2307152</v>
      </c>
    </row>
    <row r="8" spans="1:4" x14ac:dyDescent="0.25">
      <c r="A8" s="11" t="s">
        <v>23</v>
      </c>
      <c r="B8" s="9">
        <v>1189368</v>
      </c>
      <c r="C8" s="9">
        <v>1079957</v>
      </c>
      <c r="D8" s="9">
        <v>2269325</v>
      </c>
    </row>
    <row r="9" spans="1:4" x14ac:dyDescent="0.25">
      <c r="A9" s="11" t="s">
        <v>39</v>
      </c>
      <c r="B9" s="9">
        <v>1407547</v>
      </c>
      <c r="C9" s="9">
        <v>957974</v>
      </c>
      <c r="D9" s="9">
        <v>2365521</v>
      </c>
    </row>
    <row r="10" spans="1:4" x14ac:dyDescent="0.25">
      <c r="A10" s="11" t="s">
        <v>33</v>
      </c>
      <c r="B10" s="9">
        <v>719439</v>
      </c>
      <c r="C10" s="9">
        <v>1167950</v>
      </c>
      <c r="D10" s="9">
        <v>1887389</v>
      </c>
    </row>
    <row r="11" spans="1:4" x14ac:dyDescent="0.25">
      <c r="A11" s="11" t="s">
        <v>52</v>
      </c>
      <c r="B11" s="9">
        <v>1576459</v>
      </c>
      <c r="C11" s="9">
        <v>1039516</v>
      </c>
      <c r="D11" s="9">
        <v>2615975</v>
      </c>
    </row>
    <row r="12" spans="1:4" x14ac:dyDescent="0.25">
      <c r="A12" s="11" t="s">
        <v>44</v>
      </c>
      <c r="B12" s="9">
        <v>995983</v>
      </c>
      <c r="C12" s="9">
        <v>821381</v>
      </c>
      <c r="D12" s="9">
        <v>1817364</v>
      </c>
    </row>
    <row r="13" spans="1:4" x14ac:dyDescent="0.25">
      <c r="A13" s="11" t="s">
        <v>107</v>
      </c>
      <c r="B13" s="9">
        <v>7172877</v>
      </c>
      <c r="C13" s="9">
        <v>6089849</v>
      </c>
      <c r="D13" s="9">
        <v>13262726</v>
      </c>
    </row>
    <row r="18" spans="1:18" x14ac:dyDescent="0.25">
      <c r="A18" s="10" t="s">
        <v>106</v>
      </c>
      <c r="B18" t="s">
        <v>110</v>
      </c>
      <c r="E18" s="10" t="s">
        <v>106</v>
      </c>
      <c r="F18" t="s">
        <v>111</v>
      </c>
      <c r="H18" s="10" t="s">
        <v>106</v>
      </c>
      <c r="I18" t="s">
        <v>128</v>
      </c>
      <c r="P18" s="10" t="s">
        <v>106</v>
      </c>
      <c r="Q18" t="s">
        <v>129</v>
      </c>
      <c r="R18" t="s">
        <v>138</v>
      </c>
    </row>
    <row r="19" spans="1:18" x14ac:dyDescent="0.25">
      <c r="A19" s="11" t="s">
        <v>42</v>
      </c>
      <c r="B19" s="12">
        <v>3.0808823529411766</v>
      </c>
      <c r="E19" s="11" t="s">
        <v>24</v>
      </c>
      <c r="F19" s="9">
        <v>439</v>
      </c>
      <c r="H19" s="11" t="s">
        <v>56</v>
      </c>
      <c r="I19" s="12">
        <v>9.0204081632653068</v>
      </c>
      <c r="L19" s="10" t="s">
        <v>106</v>
      </c>
      <c r="M19" t="s">
        <v>110</v>
      </c>
      <c r="P19" s="11" t="s">
        <v>42</v>
      </c>
      <c r="Q19" s="15">
        <v>688192.7999999997</v>
      </c>
      <c r="R19" s="15">
        <v>5060.2411764705857</v>
      </c>
    </row>
    <row r="20" spans="1:18" x14ac:dyDescent="0.25">
      <c r="A20" s="11" t="s">
        <v>59</v>
      </c>
      <c r="B20" s="12">
        <v>3.0054794520547938</v>
      </c>
      <c r="E20" s="11" t="s">
        <v>34</v>
      </c>
      <c r="F20" s="9">
        <v>437</v>
      </c>
      <c r="H20" s="11" t="s">
        <v>28</v>
      </c>
      <c r="I20" s="12">
        <v>9.9494949494949498</v>
      </c>
      <c r="L20" s="11" t="s">
        <v>58</v>
      </c>
      <c r="M20" s="12">
        <v>2.880861244019139</v>
      </c>
      <c r="P20" s="11" t="s">
        <v>59</v>
      </c>
      <c r="Q20" s="15">
        <v>742326.64000000025</v>
      </c>
      <c r="R20" s="15">
        <v>5084.429041095892</v>
      </c>
    </row>
    <row r="21" spans="1:18" x14ac:dyDescent="0.25">
      <c r="A21" s="11" t="s">
        <v>37</v>
      </c>
      <c r="B21" s="12">
        <v>2.9399999999999995</v>
      </c>
      <c r="E21" s="11" t="s">
        <v>107</v>
      </c>
      <c r="F21" s="9">
        <v>876</v>
      </c>
      <c r="H21" s="11" t="s">
        <v>41</v>
      </c>
      <c r="I21" s="12">
        <v>9.4842105263157901</v>
      </c>
      <c r="L21" s="11" t="s">
        <v>35</v>
      </c>
      <c r="M21" s="12">
        <v>3.0095652173913034</v>
      </c>
      <c r="P21" s="11" t="s">
        <v>37</v>
      </c>
      <c r="Q21" s="15">
        <v>699700.85999999987</v>
      </c>
      <c r="R21" s="15">
        <v>5182.9693333333325</v>
      </c>
    </row>
    <row r="22" spans="1:18" x14ac:dyDescent="0.25">
      <c r="A22" s="11" t="s">
        <v>62</v>
      </c>
      <c r="B22" s="12">
        <v>3.0386666666666664</v>
      </c>
      <c r="H22" s="11" t="s">
        <v>107</v>
      </c>
      <c r="I22" s="12">
        <v>9.4863013698630141</v>
      </c>
      <c r="L22" s="11" t="s">
        <v>46</v>
      </c>
      <c r="M22" s="12">
        <v>3.1097222222222221</v>
      </c>
      <c r="P22" s="11" t="s">
        <v>62</v>
      </c>
      <c r="Q22" s="15">
        <v>762585.14999999979</v>
      </c>
      <c r="R22" s="15">
        <v>5083.9009999999989</v>
      </c>
    </row>
    <row r="23" spans="1:18" x14ac:dyDescent="0.25">
      <c r="A23" s="11" t="s">
        <v>29</v>
      </c>
      <c r="B23" s="12">
        <v>3.0889610389610374</v>
      </c>
      <c r="L23" s="11" t="s">
        <v>26</v>
      </c>
      <c r="M23" s="12">
        <v>3.0493212669683261</v>
      </c>
      <c r="P23" s="11" t="s">
        <v>29</v>
      </c>
      <c r="Q23" s="15">
        <v>784926.04999999993</v>
      </c>
      <c r="R23" s="15">
        <v>5096.9224025974017</v>
      </c>
    </row>
    <row r="24" spans="1:18" x14ac:dyDescent="0.25">
      <c r="A24" s="11" t="s">
        <v>48</v>
      </c>
      <c r="B24" s="12">
        <v>2.9270967741935485</v>
      </c>
      <c r="L24" s="11" t="s">
        <v>107</v>
      </c>
      <c r="M24" s="12">
        <v>3.013584474885846</v>
      </c>
      <c r="P24" s="11" t="s">
        <v>48</v>
      </c>
      <c r="Q24" s="15">
        <v>835480.58999999973</v>
      </c>
      <c r="R24" s="15">
        <v>5390.1973548387077</v>
      </c>
    </row>
    <row r="25" spans="1:18" x14ac:dyDescent="0.25">
      <c r="A25" s="11" t="s">
        <v>107</v>
      </c>
      <c r="B25" s="12">
        <v>3.013584474885846</v>
      </c>
      <c r="P25" s="11" t="s">
        <v>107</v>
      </c>
      <c r="Q25" s="15">
        <v>4513212.0899999971</v>
      </c>
      <c r="R25" s="15">
        <v>5152.0685958904078</v>
      </c>
    </row>
    <row r="28" spans="1:18" x14ac:dyDescent="0.25">
      <c r="D28" s="10" t="s">
        <v>106</v>
      </c>
      <c r="E28" t="s">
        <v>113</v>
      </c>
    </row>
    <row r="29" spans="1:18" x14ac:dyDescent="0.25">
      <c r="D29" s="13" t="s">
        <v>130</v>
      </c>
      <c r="E29" s="9">
        <v>108</v>
      </c>
      <c r="J29" s="10" t="s">
        <v>106</v>
      </c>
      <c r="K29" t="s">
        <v>111</v>
      </c>
      <c r="L29" t="s">
        <v>105</v>
      </c>
      <c r="M29" t="s">
        <v>148</v>
      </c>
    </row>
    <row r="30" spans="1:18" x14ac:dyDescent="0.25">
      <c r="D30" s="13" t="s">
        <v>131</v>
      </c>
      <c r="E30" s="9">
        <v>101</v>
      </c>
      <c r="J30" s="11" t="s">
        <v>47</v>
      </c>
      <c r="K30" s="9">
        <v>194</v>
      </c>
      <c r="L30" s="14">
        <v>14881080</v>
      </c>
      <c r="M30" s="15">
        <v>76706.597938144332</v>
      </c>
    </row>
    <row r="31" spans="1:18" x14ac:dyDescent="0.25">
      <c r="D31" s="13" t="s">
        <v>132</v>
      </c>
      <c r="E31" s="9">
        <v>89</v>
      </c>
      <c r="J31" s="11" t="s">
        <v>55</v>
      </c>
      <c r="K31" s="9">
        <v>177</v>
      </c>
      <c r="L31" s="14">
        <v>12711147</v>
      </c>
      <c r="M31" s="15">
        <v>71814.389830508473</v>
      </c>
    </row>
    <row r="32" spans="1:18" x14ac:dyDescent="0.25">
      <c r="D32" s="13" t="s">
        <v>133</v>
      </c>
      <c r="E32" s="9">
        <v>91</v>
      </c>
      <c r="J32" s="11" t="s">
        <v>40</v>
      </c>
      <c r="K32" s="9">
        <v>163</v>
      </c>
      <c r="L32" s="14">
        <v>12046566</v>
      </c>
      <c r="M32" s="15">
        <v>73905.312883435588</v>
      </c>
    </row>
    <row r="33" spans="4:16" x14ac:dyDescent="0.25">
      <c r="D33" s="13" t="s">
        <v>134</v>
      </c>
      <c r="E33" s="9">
        <v>99</v>
      </c>
      <c r="J33" s="11" t="s">
        <v>36</v>
      </c>
      <c r="K33" s="9">
        <v>183</v>
      </c>
      <c r="L33" s="14">
        <v>13573862</v>
      </c>
      <c r="M33" s="15">
        <v>74174.109289617481</v>
      </c>
    </row>
    <row r="34" spans="4:16" x14ac:dyDescent="0.25">
      <c r="D34" s="13" t="s">
        <v>135</v>
      </c>
      <c r="E34" s="9">
        <v>113</v>
      </c>
      <c r="J34" s="11" t="s">
        <v>27</v>
      </c>
      <c r="K34" s="9">
        <v>159</v>
      </c>
      <c r="L34" s="14">
        <v>11669628</v>
      </c>
      <c r="M34" s="15">
        <v>73393.886792452831</v>
      </c>
    </row>
    <row r="35" spans="4:16" x14ac:dyDescent="0.25">
      <c r="D35" s="13" t="s">
        <v>136</v>
      </c>
      <c r="E35" s="9">
        <v>97</v>
      </c>
      <c r="J35" s="11" t="s">
        <v>107</v>
      </c>
      <c r="K35" s="9">
        <v>876</v>
      </c>
      <c r="L35" s="14">
        <v>64882283</v>
      </c>
      <c r="M35" s="15">
        <v>74066.533105022827</v>
      </c>
    </row>
    <row r="36" spans="4:16" x14ac:dyDescent="0.25">
      <c r="D36" s="13" t="s">
        <v>137</v>
      </c>
      <c r="E36" s="9">
        <v>100</v>
      </c>
    </row>
    <row r="37" spans="4:16" x14ac:dyDescent="0.25">
      <c r="D37" s="13" t="s">
        <v>114</v>
      </c>
      <c r="E37" s="9">
        <v>78</v>
      </c>
    </row>
    <row r="38" spans="4:16" x14ac:dyDescent="0.25">
      <c r="D38" s="13" t="s">
        <v>107</v>
      </c>
      <c r="E38" s="9">
        <v>876</v>
      </c>
    </row>
    <row r="46" spans="4:16" x14ac:dyDescent="0.25">
      <c r="F46" s="10" t="s">
        <v>106</v>
      </c>
      <c r="G46" t="s">
        <v>111</v>
      </c>
      <c r="J46" s="10" t="s">
        <v>106</v>
      </c>
      <c r="K46" t="s">
        <v>147</v>
      </c>
      <c r="O46" s="10" t="s">
        <v>106</v>
      </c>
      <c r="P46" t="s">
        <v>112</v>
      </c>
    </row>
    <row r="47" spans="4:16" x14ac:dyDescent="0.25">
      <c r="F47" s="11" t="s">
        <v>139</v>
      </c>
      <c r="G47" s="9">
        <v>105</v>
      </c>
      <c r="J47" s="11" t="s">
        <v>115</v>
      </c>
      <c r="K47" s="15">
        <v>5636.262272727271</v>
      </c>
      <c r="O47" s="11" t="s">
        <v>115</v>
      </c>
      <c r="P47" s="15">
        <v>74839.954545454544</v>
      </c>
    </row>
    <row r="48" spans="4:16" x14ac:dyDescent="0.25">
      <c r="F48" s="11" t="s">
        <v>140</v>
      </c>
      <c r="G48" s="9">
        <v>109</v>
      </c>
      <c r="J48" s="16">
        <v>36526</v>
      </c>
      <c r="K48" s="15">
        <v>2366.48</v>
      </c>
      <c r="O48" s="11" t="s">
        <v>116</v>
      </c>
      <c r="P48" s="15">
        <v>68380.82432432432</v>
      </c>
    </row>
    <row r="49" spans="6:16" x14ac:dyDescent="0.25">
      <c r="F49" s="11" t="s">
        <v>141</v>
      </c>
      <c r="G49" s="9">
        <v>111</v>
      </c>
      <c r="J49" s="16">
        <v>36545</v>
      </c>
      <c r="K49" s="15">
        <v>6410.89</v>
      </c>
      <c r="O49" s="11" t="s">
        <v>117</v>
      </c>
      <c r="P49" s="15">
        <v>76615.24705882353</v>
      </c>
    </row>
    <row r="50" spans="6:16" x14ac:dyDescent="0.25">
      <c r="F50" s="11" t="s">
        <v>142</v>
      </c>
      <c r="G50" s="9">
        <v>113</v>
      </c>
      <c r="J50" s="16">
        <v>36554</v>
      </c>
      <c r="K50" s="15">
        <v>5553.86</v>
      </c>
      <c r="O50" s="11" t="s">
        <v>118</v>
      </c>
      <c r="P50" s="15">
        <v>77014.126582278477</v>
      </c>
    </row>
    <row r="51" spans="6:16" x14ac:dyDescent="0.25">
      <c r="F51" s="11" t="s">
        <v>143</v>
      </c>
      <c r="G51" s="9">
        <v>121</v>
      </c>
      <c r="J51" s="16">
        <v>36892</v>
      </c>
      <c r="K51" s="15">
        <v>4560.95</v>
      </c>
      <c r="O51" s="11" t="s">
        <v>119</v>
      </c>
      <c r="P51" s="15">
        <v>74272.069444444438</v>
      </c>
    </row>
    <row r="52" spans="6:16" x14ac:dyDescent="0.25">
      <c r="F52" s="11" t="s">
        <v>144</v>
      </c>
      <c r="G52" s="9">
        <v>118</v>
      </c>
      <c r="J52" s="16">
        <v>36896</v>
      </c>
      <c r="K52" s="15">
        <v>5084.47</v>
      </c>
      <c r="O52" s="11" t="s">
        <v>120</v>
      </c>
      <c r="P52" s="15">
        <v>71889.013513513521</v>
      </c>
    </row>
    <row r="53" spans="6:16" x14ac:dyDescent="0.25">
      <c r="F53" s="11" t="s">
        <v>145</v>
      </c>
      <c r="G53" s="9">
        <v>99</v>
      </c>
      <c r="J53" s="16">
        <v>36914</v>
      </c>
      <c r="K53" s="15">
        <v>8346.7099999999991</v>
      </c>
      <c r="O53" s="11" t="s">
        <v>121</v>
      </c>
      <c r="P53" s="15">
        <v>72196.486111111109</v>
      </c>
    </row>
    <row r="54" spans="6:16" x14ac:dyDescent="0.25">
      <c r="F54" s="11" t="s">
        <v>146</v>
      </c>
      <c r="G54" s="9">
        <v>100</v>
      </c>
      <c r="J54" s="16">
        <v>36917</v>
      </c>
      <c r="K54" s="15">
        <v>5639.87</v>
      </c>
      <c r="O54" s="11" t="s">
        <v>122</v>
      </c>
      <c r="P54" s="15">
        <v>76118.867469879522</v>
      </c>
    </row>
    <row r="55" spans="6:16" x14ac:dyDescent="0.25">
      <c r="F55" s="11" t="s">
        <v>107</v>
      </c>
      <c r="G55" s="9">
        <v>876</v>
      </c>
      <c r="J55" s="16">
        <v>36920</v>
      </c>
      <c r="K55" s="15">
        <v>6571.84</v>
      </c>
      <c r="O55" s="11" t="s">
        <v>123</v>
      </c>
      <c r="P55" s="15">
        <v>77550.411764705888</v>
      </c>
    </row>
    <row r="56" spans="6:16" x14ac:dyDescent="0.25">
      <c r="J56" s="16">
        <v>37263</v>
      </c>
      <c r="K56" s="15">
        <v>3855.47</v>
      </c>
      <c r="O56" s="11" t="s">
        <v>124</v>
      </c>
      <c r="P56" s="15">
        <v>72248.057142857142</v>
      </c>
    </row>
    <row r="57" spans="6:16" x14ac:dyDescent="0.25">
      <c r="J57" s="16">
        <v>37277</v>
      </c>
      <c r="K57" s="15">
        <v>7146.25</v>
      </c>
      <c r="O57" s="11" t="s">
        <v>125</v>
      </c>
      <c r="P57" s="15">
        <v>73653.38461538461</v>
      </c>
    </row>
    <row r="58" spans="6:16" x14ac:dyDescent="0.25">
      <c r="J58" s="16">
        <v>37279</v>
      </c>
      <c r="K58" s="15">
        <v>5102.4799999999996</v>
      </c>
      <c r="O58" s="11" t="s">
        <v>126</v>
      </c>
      <c r="P58" s="15">
        <v>73302.970588235301</v>
      </c>
    </row>
    <row r="59" spans="6:16" x14ac:dyDescent="0.25">
      <c r="J59" s="16">
        <v>37285</v>
      </c>
      <c r="K59" s="15">
        <v>785.22</v>
      </c>
      <c r="O59" s="11" t="s">
        <v>107</v>
      </c>
      <c r="P59" s="15">
        <v>74066.533105022827</v>
      </c>
    </row>
    <row r="60" spans="6:16" x14ac:dyDescent="0.25">
      <c r="J60" s="16">
        <v>37630</v>
      </c>
      <c r="K60" s="15">
        <v>3105.02</v>
      </c>
    </row>
    <row r="61" spans="6:16" x14ac:dyDescent="0.25">
      <c r="J61" s="16">
        <v>37645</v>
      </c>
      <c r="K61" s="15">
        <v>5715.02</v>
      </c>
    </row>
    <row r="62" spans="6:16" x14ac:dyDescent="0.25">
      <c r="J62" s="16">
        <v>37990</v>
      </c>
      <c r="K62" s="15">
        <v>7314.39</v>
      </c>
    </row>
    <row r="63" spans="6:16" x14ac:dyDescent="0.25">
      <c r="J63" s="16">
        <v>37992</v>
      </c>
      <c r="K63" s="15">
        <v>8359.82</v>
      </c>
    </row>
    <row r="64" spans="6:16" x14ac:dyDescent="0.25">
      <c r="J64" s="16">
        <v>37994</v>
      </c>
      <c r="K64" s="15">
        <v>3684.86</v>
      </c>
    </row>
    <row r="65" spans="10:11" x14ac:dyDescent="0.25">
      <c r="J65" s="16">
        <v>38363</v>
      </c>
      <c r="K65" s="15">
        <v>2957.8</v>
      </c>
    </row>
    <row r="66" spans="10:11" x14ac:dyDescent="0.25">
      <c r="J66" s="16">
        <v>38378</v>
      </c>
      <c r="K66" s="15">
        <v>1723.4</v>
      </c>
    </row>
    <row r="67" spans="10:11" x14ac:dyDescent="0.25">
      <c r="J67" s="16">
        <v>38743</v>
      </c>
      <c r="K67" s="15">
        <v>8414.11</v>
      </c>
    </row>
    <row r="68" spans="10:11" x14ac:dyDescent="0.25">
      <c r="J68" s="16">
        <v>39094</v>
      </c>
      <c r="K68" s="15">
        <v>4914.08</v>
      </c>
    </row>
    <row r="69" spans="10:11" x14ac:dyDescent="0.25">
      <c r="J69" s="16">
        <v>39451</v>
      </c>
      <c r="K69" s="15">
        <v>9022.43</v>
      </c>
    </row>
    <row r="70" spans="10:11" x14ac:dyDescent="0.25">
      <c r="J70" s="16">
        <v>39457</v>
      </c>
      <c r="K70" s="15">
        <v>2389.66</v>
      </c>
    </row>
    <row r="71" spans="10:11" x14ac:dyDescent="0.25">
      <c r="J71" s="16">
        <v>39467</v>
      </c>
      <c r="K71" s="15">
        <v>6474.07</v>
      </c>
    </row>
    <row r="72" spans="10:11" x14ac:dyDescent="0.25">
      <c r="J72" s="16">
        <v>39474</v>
      </c>
      <c r="K72" s="15">
        <v>7212.61</v>
      </c>
    </row>
    <row r="73" spans="10:11" x14ac:dyDescent="0.25">
      <c r="J73" s="16">
        <v>39475</v>
      </c>
      <c r="K73" s="15">
        <v>1513.78</v>
      </c>
    </row>
    <row r="74" spans="10:11" x14ac:dyDescent="0.25">
      <c r="J74" s="16">
        <v>39477</v>
      </c>
      <c r="K74" s="15">
        <v>6102.82</v>
      </c>
    </row>
    <row r="75" spans="10:11" x14ac:dyDescent="0.25">
      <c r="J75" s="16">
        <v>39815</v>
      </c>
      <c r="K75" s="15">
        <v>8320.75</v>
      </c>
    </row>
    <row r="76" spans="10:11" x14ac:dyDescent="0.25">
      <c r="J76" s="16">
        <v>39817</v>
      </c>
      <c r="K76" s="15">
        <v>4916.29</v>
      </c>
    </row>
    <row r="77" spans="10:11" x14ac:dyDescent="0.25">
      <c r="J77" s="16">
        <v>39825</v>
      </c>
      <c r="K77" s="15">
        <v>6993.73</v>
      </c>
    </row>
    <row r="78" spans="10:11" x14ac:dyDescent="0.25">
      <c r="J78" s="16">
        <v>39840</v>
      </c>
      <c r="K78" s="15">
        <v>8165.74</v>
      </c>
    </row>
    <row r="79" spans="10:11" x14ac:dyDescent="0.25">
      <c r="J79" s="16">
        <v>39843</v>
      </c>
      <c r="K79" s="15">
        <v>4901.6533333333327</v>
      </c>
    </row>
    <row r="80" spans="10:11" x14ac:dyDescent="0.25">
      <c r="J80" s="16">
        <v>40181</v>
      </c>
      <c r="K80" s="15">
        <v>6408.0050000000001</v>
      </c>
    </row>
    <row r="81" spans="10:11" x14ac:dyDescent="0.25">
      <c r="J81" s="16">
        <v>40189</v>
      </c>
      <c r="K81" s="15">
        <v>6319.84</v>
      </c>
    </row>
    <row r="82" spans="10:11" x14ac:dyDescent="0.25">
      <c r="J82" s="16">
        <v>40191</v>
      </c>
      <c r="K82" s="15">
        <v>8493.76</v>
      </c>
    </row>
    <row r="83" spans="10:11" x14ac:dyDescent="0.25">
      <c r="J83" s="16">
        <v>40204</v>
      </c>
      <c r="K83" s="15">
        <v>4346.22</v>
      </c>
    </row>
    <row r="84" spans="10:11" x14ac:dyDescent="0.25">
      <c r="J84" s="16">
        <v>40206</v>
      </c>
      <c r="K84" s="15">
        <v>5104.68</v>
      </c>
    </row>
    <row r="85" spans="10:11" x14ac:dyDescent="0.25">
      <c r="J85" s="16">
        <v>40547</v>
      </c>
      <c r="K85" s="15">
        <v>8457.9</v>
      </c>
    </row>
    <row r="86" spans="10:11" x14ac:dyDescent="0.25">
      <c r="J86" s="16">
        <v>40552</v>
      </c>
      <c r="K86" s="15">
        <v>8488.9500000000007</v>
      </c>
    </row>
    <row r="87" spans="10:11" x14ac:dyDescent="0.25">
      <c r="J87" s="16">
        <v>40572</v>
      </c>
      <c r="K87" s="15">
        <v>8189.51</v>
      </c>
    </row>
    <row r="88" spans="10:11" x14ac:dyDescent="0.25">
      <c r="J88" s="16">
        <v>41275</v>
      </c>
      <c r="K88" s="15">
        <v>3846.66</v>
      </c>
    </row>
    <row r="89" spans="10:11" x14ac:dyDescent="0.25">
      <c r="J89" s="16">
        <v>41278</v>
      </c>
      <c r="K89" s="15">
        <v>5862.6399999999994</v>
      </c>
    </row>
    <row r="90" spans="10:11" x14ac:dyDescent="0.25">
      <c r="J90" s="16">
        <v>41281</v>
      </c>
      <c r="K90" s="15">
        <v>8644.1299999999992</v>
      </c>
    </row>
    <row r="91" spans="10:11" x14ac:dyDescent="0.25">
      <c r="J91" s="16">
        <v>41286</v>
      </c>
      <c r="K91" s="15">
        <v>8009.54</v>
      </c>
    </row>
    <row r="92" spans="10:11" x14ac:dyDescent="0.25">
      <c r="J92" s="16">
        <v>41648</v>
      </c>
      <c r="K92" s="15">
        <v>9367.65</v>
      </c>
    </row>
    <row r="93" spans="10:11" x14ac:dyDescent="0.25">
      <c r="J93" s="16">
        <v>42033</v>
      </c>
      <c r="K93" s="15">
        <v>3286.8</v>
      </c>
    </row>
    <row r="94" spans="10:11" x14ac:dyDescent="0.25">
      <c r="J94" s="16">
        <v>42378</v>
      </c>
      <c r="K94" s="15">
        <v>6594.6</v>
      </c>
    </row>
    <row r="95" spans="10:11" x14ac:dyDescent="0.25">
      <c r="J95" s="16">
        <v>42381</v>
      </c>
      <c r="K95" s="15">
        <v>7619.29</v>
      </c>
    </row>
    <row r="96" spans="10:11" x14ac:dyDescent="0.25">
      <c r="J96" s="16">
        <v>42387</v>
      </c>
      <c r="K96" s="15">
        <v>9041.67</v>
      </c>
    </row>
    <row r="97" spans="10:11" x14ac:dyDescent="0.25">
      <c r="J97" s="16">
        <v>42743</v>
      </c>
      <c r="K97" s="15">
        <v>6267.07</v>
      </c>
    </row>
    <row r="98" spans="10:11" x14ac:dyDescent="0.25">
      <c r="J98" s="16">
        <v>42748</v>
      </c>
      <c r="K98" s="15">
        <v>6010.87</v>
      </c>
    </row>
    <row r="99" spans="10:11" x14ac:dyDescent="0.25">
      <c r="J99" s="16">
        <v>42754</v>
      </c>
      <c r="K99" s="15">
        <v>1437.41</v>
      </c>
    </row>
    <row r="100" spans="10:11" x14ac:dyDescent="0.25">
      <c r="J100" s="16">
        <v>42756</v>
      </c>
      <c r="K100" s="15">
        <v>3764.81</v>
      </c>
    </row>
    <row r="101" spans="10:11" x14ac:dyDescent="0.25">
      <c r="J101" s="16">
        <v>42758</v>
      </c>
      <c r="K101" s="15">
        <v>3564.57</v>
      </c>
    </row>
    <row r="102" spans="10:11" x14ac:dyDescent="0.25">
      <c r="J102" s="16">
        <v>42764</v>
      </c>
      <c r="K102" s="15">
        <v>1695.27</v>
      </c>
    </row>
    <row r="103" spans="10:11" x14ac:dyDescent="0.25">
      <c r="J103" s="16">
        <v>43101</v>
      </c>
      <c r="K103" s="15">
        <v>6073.02</v>
      </c>
    </row>
    <row r="104" spans="10:11" x14ac:dyDescent="0.25">
      <c r="J104" s="16">
        <v>43116</v>
      </c>
      <c r="K104" s="15">
        <v>4225.37</v>
      </c>
    </row>
    <row r="105" spans="10:11" x14ac:dyDescent="0.25">
      <c r="J105" s="16">
        <v>43120</v>
      </c>
      <c r="K105" s="15">
        <v>7038.38</v>
      </c>
    </row>
    <row r="106" spans="10:11" x14ac:dyDescent="0.25">
      <c r="J106" s="16">
        <v>43124</v>
      </c>
      <c r="K106" s="15">
        <v>4464.41</v>
      </c>
    </row>
    <row r="107" spans="10:11" x14ac:dyDescent="0.25">
      <c r="J107" s="16">
        <v>43466</v>
      </c>
      <c r="K107" s="15">
        <v>2517.61</v>
      </c>
    </row>
    <row r="108" spans="10:11" x14ac:dyDescent="0.25">
      <c r="J108" s="16">
        <v>43483</v>
      </c>
      <c r="K108" s="15">
        <v>4832.3599999999997</v>
      </c>
    </row>
    <row r="109" spans="10:11" x14ac:dyDescent="0.25">
      <c r="J109" s="11" t="s">
        <v>116</v>
      </c>
      <c r="K109" s="15">
        <v>5525.08554054054</v>
      </c>
    </row>
    <row r="110" spans="10:11" x14ac:dyDescent="0.25">
      <c r="J110" s="16">
        <v>36566</v>
      </c>
      <c r="K110" s="15">
        <v>4532.53</v>
      </c>
    </row>
    <row r="111" spans="10:11" x14ac:dyDescent="0.25">
      <c r="J111" s="16">
        <v>36573</v>
      </c>
      <c r="K111" s="15">
        <v>7383.75</v>
      </c>
    </row>
    <row r="112" spans="10:11" x14ac:dyDescent="0.25">
      <c r="J112" s="16">
        <v>36575</v>
      </c>
      <c r="K112" s="15">
        <v>2327.16</v>
      </c>
    </row>
    <row r="113" spans="10:11" x14ac:dyDescent="0.25">
      <c r="J113" s="16">
        <v>36924</v>
      </c>
      <c r="K113" s="15">
        <v>9401.2099999999991</v>
      </c>
    </row>
    <row r="114" spans="10:11" x14ac:dyDescent="0.25">
      <c r="J114" s="16">
        <v>36927</v>
      </c>
      <c r="K114" s="15">
        <v>8420.99</v>
      </c>
    </row>
    <row r="115" spans="10:11" x14ac:dyDescent="0.25">
      <c r="J115" s="16">
        <v>36928</v>
      </c>
      <c r="K115" s="15">
        <v>4040.95</v>
      </c>
    </row>
    <row r="116" spans="10:11" x14ac:dyDescent="0.25">
      <c r="J116" s="16">
        <v>36939</v>
      </c>
      <c r="K116" s="15">
        <v>1320.56</v>
      </c>
    </row>
    <row r="117" spans="10:11" x14ac:dyDescent="0.25">
      <c r="J117" s="16">
        <v>36940</v>
      </c>
      <c r="K117" s="15">
        <v>9479.7099999999991</v>
      </c>
    </row>
    <row r="118" spans="10:11" x14ac:dyDescent="0.25">
      <c r="J118" s="16">
        <v>36944</v>
      </c>
      <c r="K118" s="15">
        <v>1306.8699999999999</v>
      </c>
    </row>
    <row r="119" spans="10:11" x14ac:dyDescent="0.25">
      <c r="J119" s="16">
        <v>37288</v>
      </c>
      <c r="K119" s="15">
        <v>7659.67</v>
      </c>
    </row>
    <row r="120" spans="10:11" x14ac:dyDescent="0.25">
      <c r="J120" s="16">
        <v>37295</v>
      </c>
      <c r="K120" s="15">
        <v>7166.71</v>
      </c>
    </row>
    <row r="121" spans="10:11" x14ac:dyDescent="0.25">
      <c r="J121" s="16">
        <v>37298</v>
      </c>
      <c r="K121" s="15">
        <v>3103.41</v>
      </c>
    </row>
    <row r="122" spans="10:11" x14ac:dyDescent="0.25">
      <c r="J122" s="16">
        <v>37301</v>
      </c>
      <c r="K122" s="15">
        <v>7305.8</v>
      </c>
    </row>
    <row r="123" spans="10:11" x14ac:dyDescent="0.25">
      <c r="J123" s="16">
        <v>37303</v>
      </c>
      <c r="K123" s="15">
        <v>7509.84</v>
      </c>
    </row>
    <row r="124" spans="10:11" x14ac:dyDescent="0.25">
      <c r="J124" s="16">
        <v>37311</v>
      </c>
      <c r="K124" s="15">
        <v>4087.02</v>
      </c>
    </row>
    <row r="125" spans="10:11" x14ac:dyDescent="0.25">
      <c r="J125" s="16">
        <v>37314</v>
      </c>
      <c r="K125" s="15">
        <v>7683.42</v>
      </c>
    </row>
    <row r="126" spans="10:11" x14ac:dyDescent="0.25">
      <c r="J126" s="16">
        <v>37661</v>
      </c>
      <c r="K126" s="15">
        <v>1326.56</v>
      </c>
    </row>
    <row r="127" spans="10:11" x14ac:dyDescent="0.25">
      <c r="J127" s="16">
        <v>37672</v>
      </c>
      <c r="K127" s="15">
        <v>1618.74</v>
      </c>
    </row>
    <row r="128" spans="10:11" x14ac:dyDescent="0.25">
      <c r="J128" s="16">
        <v>37675</v>
      </c>
      <c r="K128" s="15">
        <v>6620.9</v>
      </c>
    </row>
    <row r="129" spans="10:11" x14ac:dyDescent="0.25">
      <c r="J129" s="16">
        <v>37676</v>
      </c>
      <c r="K129" s="15">
        <v>2644.84</v>
      </c>
    </row>
    <row r="130" spans="10:11" x14ac:dyDescent="0.25">
      <c r="J130" s="16">
        <v>37680</v>
      </c>
      <c r="K130" s="15">
        <v>9702.25</v>
      </c>
    </row>
    <row r="131" spans="10:11" x14ac:dyDescent="0.25">
      <c r="J131" s="16">
        <v>38040</v>
      </c>
      <c r="K131" s="15">
        <v>9798.15</v>
      </c>
    </row>
    <row r="132" spans="10:11" x14ac:dyDescent="0.25">
      <c r="J132" s="16">
        <v>38384</v>
      </c>
      <c r="K132" s="15">
        <v>3875.17</v>
      </c>
    </row>
    <row r="133" spans="10:11" x14ac:dyDescent="0.25">
      <c r="J133" s="16">
        <v>38385</v>
      </c>
      <c r="K133" s="15">
        <v>9195.65</v>
      </c>
    </row>
    <row r="134" spans="10:11" x14ac:dyDescent="0.25">
      <c r="J134" s="16">
        <v>38389</v>
      </c>
      <c r="K134" s="15">
        <v>2596.09</v>
      </c>
    </row>
    <row r="135" spans="10:11" x14ac:dyDescent="0.25">
      <c r="J135" s="16">
        <v>38397</v>
      </c>
      <c r="K135" s="15">
        <v>3484.82</v>
      </c>
    </row>
    <row r="136" spans="10:11" x14ac:dyDescent="0.25">
      <c r="J136" s="16">
        <v>38400</v>
      </c>
      <c r="K136" s="15">
        <v>1033.58</v>
      </c>
    </row>
    <row r="137" spans="10:11" x14ac:dyDescent="0.25">
      <c r="J137" s="16">
        <v>38404</v>
      </c>
      <c r="K137" s="15">
        <v>8949.44</v>
      </c>
    </row>
    <row r="138" spans="10:11" x14ac:dyDescent="0.25">
      <c r="J138" s="16">
        <v>38410</v>
      </c>
      <c r="K138" s="15">
        <v>3929.32</v>
      </c>
    </row>
    <row r="139" spans="10:11" x14ac:dyDescent="0.25">
      <c r="J139" s="16">
        <v>38753</v>
      </c>
      <c r="K139" s="15">
        <v>8270.76</v>
      </c>
    </row>
    <row r="140" spans="10:11" x14ac:dyDescent="0.25">
      <c r="J140" s="16">
        <v>38775</v>
      </c>
      <c r="K140" s="15">
        <v>688.82</v>
      </c>
    </row>
    <row r="141" spans="10:11" x14ac:dyDescent="0.25">
      <c r="J141" s="16">
        <v>39133</v>
      </c>
      <c r="K141" s="15">
        <v>3820.8</v>
      </c>
    </row>
    <row r="142" spans="10:11" x14ac:dyDescent="0.25">
      <c r="J142" s="16">
        <v>39136</v>
      </c>
      <c r="K142" s="15">
        <v>5730.83</v>
      </c>
    </row>
    <row r="143" spans="10:11" x14ac:dyDescent="0.25">
      <c r="J143" s="16">
        <v>39485</v>
      </c>
      <c r="K143" s="15">
        <v>7424.48</v>
      </c>
    </row>
    <row r="144" spans="10:11" x14ac:dyDescent="0.25">
      <c r="J144" s="16">
        <v>39490</v>
      </c>
      <c r="K144" s="15">
        <v>9236.27</v>
      </c>
    </row>
    <row r="145" spans="10:11" x14ac:dyDescent="0.25">
      <c r="J145" s="16">
        <v>39492</v>
      </c>
      <c r="K145" s="15">
        <v>3660.04</v>
      </c>
    </row>
    <row r="146" spans="10:11" x14ac:dyDescent="0.25">
      <c r="J146" s="16">
        <v>39499</v>
      </c>
      <c r="K146" s="15">
        <v>6835.03</v>
      </c>
    </row>
    <row r="147" spans="10:11" x14ac:dyDescent="0.25">
      <c r="J147" s="16">
        <v>39506</v>
      </c>
      <c r="K147" s="15">
        <v>4808.8</v>
      </c>
    </row>
    <row r="148" spans="10:11" x14ac:dyDescent="0.25">
      <c r="J148" s="16">
        <v>39855</v>
      </c>
      <c r="K148" s="15">
        <v>4244.24</v>
      </c>
    </row>
    <row r="149" spans="10:11" x14ac:dyDescent="0.25">
      <c r="J149" s="16">
        <v>39856</v>
      </c>
      <c r="K149" s="15">
        <v>4451.26</v>
      </c>
    </row>
    <row r="150" spans="10:11" x14ac:dyDescent="0.25">
      <c r="J150" s="16">
        <v>40219</v>
      </c>
      <c r="K150" s="15">
        <v>3659.02</v>
      </c>
    </row>
    <row r="151" spans="10:11" x14ac:dyDescent="0.25">
      <c r="J151" s="16">
        <v>40224</v>
      </c>
      <c r="K151" s="15">
        <v>3672.99</v>
      </c>
    </row>
    <row r="152" spans="10:11" x14ac:dyDescent="0.25">
      <c r="J152" s="16">
        <v>40576</v>
      </c>
      <c r="K152" s="15">
        <v>6782.66</v>
      </c>
    </row>
    <row r="153" spans="10:11" x14ac:dyDescent="0.25">
      <c r="J153" s="16">
        <v>40579</v>
      </c>
      <c r="K153" s="15">
        <v>1851.44</v>
      </c>
    </row>
    <row r="154" spans="10:11" x14ac:dyDescent="0.25">
      <c r="J154" s="16">
        <v>40588</v>
      </c>
      <c r="K154" s="15">
        <v>6386.67</v>
      </c>
    </row>
    <row r="155" spans="10:11" x14ac:dyDescent="0.25">
      <c r="J155" s="16">
        <v>40593</v>
      </c>
      <c r="K155" s="15">
        <v>8119.31</v>
      </c>
    </row>
    <row r="156" spans="10:11" x14ac:dyDescent="0.25">
      <c r="J156" s="16">
        <v>40595</v>
      </c>
      <c r="K156" s="15">
        <v>1087.78</v>
      </c>
    </row>
    <row r="157" spans="10:11" x14ac:dyDescent="0.25">
      <c r="J157" s="16">
        <v>40940</v>
      </c>
      <c r="K157" s="15">
        <v>4024.58</v>
      </c>
    </row>
    <row r="158" spans="10:11" x14ac:dyDescent="0.25">
      <c r="J158" s="16">
        <v>40952</v>
      </c>
      <c r="K158" s="15">
        <v>4718.45</v>
      </c>
    </row>
    <row r="159" spans="10:11" x14ac:dyDescent="0.25">
      <c r="J159" s="16">
        <v>40965</v>
      </c>
      <c r="K159" s="15">
        <v>3349.74</v>
      </c>
    </row>
    <row r="160" spans="10:11" x14ac:dyDescent="0.25">
      <c r="J160" s="16">
        <v>41311</v>
      </c>
      <c r="K160" s="15">
        <v>1246.43</v>
      </c>
    </row>
    <row r="161" spans="10:11" x14ac:dyDescent="0.25">
      <c r="J161" s="16">
        <v>41312</v>
      </c>
      <c r="K161" s="15">
        <v>9670.4699999999993</v>
      </c>
    </row>
    <row r="162" spans="10:11" x14ac:dyDescent="0.25">
      <c r="J162" s="16">
        <v>41313</v>
      </c>
      <c r="K162" s="15">
        <v>1896.49</v>
      </c>
    </row>
    <row r="163" spans="10:11" x14ac:dyDescent="0.25">
      <c r="J163" s="16">
        <v>41315</v>
      </c>
      <c r="K163" s="15">
        <v>3030.24</v>
      </c>
    </row>
    <row r="164" spans="10:11" x14ac:dyDescent="0.25">
      <c r="J164" s="16">
        <v>41323</v>
      </c>
      <c r="K164" s="15">
        <v>4136.33</v>
      </c>
    </row>
    <row r="165" spans="10:11" x14ac:dyDescent="0.25">
      <c r="J165" s="16">
        <v>41324</v>
      </c>
      <c r="K165" s="15">
        <v>8017.73</v>
      </c>
    </row>
    <row r="166" spans="10:11" x14ac:dyDescent="0.25">
      <c r="J166" s="16">
        <v>41676</v>
      </c>
      <c r="K166" s="15">
        <v>9783.31</v>
      </c>
    </row>
    <row r="167" spans="10:11" x14ac:dyDescent="0.25">
      <c r="J167" s="16">
        <v>41681</v>
      </c>
      <c r="K167" s="15">
        <v>4235.9049999999997</v>
      </c>
    </row>
    <row r="168" spans="10:11" x14ac:dyDescent="0.25">
      <c r="J168" s="16">
        <v>41684</v>
      </c>
      <c r="K168" s="15">
        <v>7705.97</v>
      </c>
    </row>
    <row r="169" spans="10:11" x14ac:dyDescent="0.25">
      <c r="J169" s="16">
        <v>41687</v>
      </c>
      <c r="K169" s="15">
        <v>4938.71</v>
      </c>
    </row>
    <row r="170" spans="10:11" x14ac:dyDescent="0.25">
      <c r="J170" s="16">
        <v>42411</v>
      </c>
      <c r="K170" s="15">
        <v>6929.3150000000005</v>
      </c>
    </row>
    <row r="171" spans="10:11" x14ac:dyDescent="0.25">
      <c r="J171" s="16">
        <v>42418</v>
      </c>
      <c r="K171" s="15">
        <v>898.57</v>
      </c>
    </row>
    <row r="172" spans="10:11" x14ac:dyDescent="0.25">
      <c r="J172" s="16">
        <v>42419</v>
      </c>
      <c r="K172" s="15">
        <v>4781.16</v>
      </c>
    </row>
    <row r="173" spans="10:11" x14ac:dyDescent="0.25">
      <c r="J173" s="16">
        <v>42420</v>
      </c>
      <c r="K173" s="15">
        <v>6611.35</v>
      </c>
    </row>
    <row r="174" spans="10:11" x14ac:dyDescent="0.25">
      <c r="J174" s="16">
        <v>42774</v>
      </c>
      <c r="K174" s="15">
        <v>7162.81</v>
      </c>
    </row>
    <row r="175" spans="10:11" x14ac:dyDescent="0.25">
      <c r="J175" s="16">
        <v>42783</v>
      </c>
      <c r="K175" s="15">
        <v>7435.75</v>
      </c>
    </row>
    <row r="176" spans="10:11" x14ac:dyDescent="0.25">
      <c r="J176" s="16">
        <v>42788</v>
      </c>
      <c r="K176" s="15">
        <v>8950.18</v>
      </c>
    </row>
    <row r="177" spans="10:11" x14ac:dyDescent="0.25">
      <c r="J177" s="16">
        <v>42790</v>
      </c>
      <c r="K177" s="15">
        <v>5844.89</v>
      </c>
    </row>
    <row r="178" spans="10:11" x14ac:dyDescent="0.25">
      <c r="J178" s="16">
        <v>43506</v>
      </c>
      <c r="K178" s="15">
        <v>9035.02</v>
      </c>
    </row>
    <row r="179" spans="10:11" x14ac:dyDescent="0.25">
      <c r="J179" s="16">
        <v>43517</v>
      </c>
      <c r="K179" s="15">
        <v>7884.34</v>
      </c>
    </row>
    <row r="180" spans="10:11" x14ac:dyDescent="0.25">
      <c r="J180" s="11" t="s">
        <v>117</v>
      </c>
      <c r="K180" s="15">
        <v>4663.565882352942</v>
      </c>
    </row>
    <row r="181" spans="10:11" x14ac:dyDescent="0.25">
      <c r="J181" s="16">
        <v>36587</v>
      </c>
      <c r="K181" s="15">
        <v>5285.87</v>
      </c>
    </row>
    <row r="182" spans="10:11" x14ac:dyDescent="0.25">
      <c r="J182" s="16">
        <v>36588</v>
      </c>
      <c r="K182" s="15">
        <v>4133.7649999999994</v>
      </c>
    </row>
    <row r="183" spans="10:11" x14ac:dyDescent="0.25">
      <c r="J183" s="16">
        <v>36594</v>
      </c>
      <c r="K183" s="15">
        <v>6587.94</v>
      </c>
    </row>
    <row r="184" spans="10:11" x14ac:dyDescent="0.25">
      <c r="J184" s="16">
        <v>36607</v>
      </c>
      <c r="K184" s="15">
        <v>6070.35</v>
      </c>
    </row>
    <row r="185" spans="10:11" x14ac:dyDescent="0.25">
      <c r="J185" s="16">
        <v>36609</v>
      </c>
      <c r="K185" s="15">
        <v>6227.89</v>
      </c>
    </row>
    <row r="186" spans="10:11" x14ac:dyDescent="0.25">
      <c r="J186" s="16">
        <v>36951</v>
      </c>
      <c r="K186" s="15">
        <v>1484</v>
      </c>
    </row>
    <row r="187" spans="10:11" x14ac:dyDescent="0.25">
      <c r="J187" s="16">
        <v>36952</v>
      </c>
      <c r="K187" s="15">
        <v>5304.89</v>
      </c>
    </row>
    <row r="188" spans="10:11" x14ac:dyDescent="0.25">
      <c r="J188" s="16">
        <v>36978</v>
      </c>
      <c r="K188" s="15">
        <v>2827.31</v>
      </c>
    </row>
    <row r="189" spans="10:11" x14ac:dyDescent="0.25">
      <c r="J189" s="16">
        <v>37344</v>
      </c>
      <c r="K189" s="15">
        <v>577.9</v>
      </c>
    </row>
    <row r="190" spans="10:11" x14ac:dyDescent="0.25">
      <c r="J190" s="16">
        <v>37346</v>
      </c>
      <c r="K190" s="15">
        <v>942.4</v>
      </c>
    </row>
    <row r="191" spans="10:11" x14ac:dyDescent="0.25">
      <c r="J191" s="16">
        <v>37682</v>
      </c>
      <c r="K191" s="15">
        <v>7590.43</v>
      </c>
    </row>
    <row r="192" spans="10:11" x14ac:dyDescent="0.25">
      <c r="J192" s="16">
        <v>37691</v>
      </c>
      <c r="K192" s="15">
        <v>7141.73</v>
      </c>
    </row>
    <row r="193" spans="10:11" x14ac:dyDescent="0.25">
      <c r="J193" s="16">
        <v>37694</v>
      </c>
      <c r="K193" s="15">
        <v>8103.8</v>
      </c>
    </row>
    <row r="194" spans="10:11" x14ac:dyDescent="0.25">
      <c r="J194" s="16">
        <v>37701</v>
      </c>
      <c r="K194" s="15">
        <v>544.23</v>
      </c>
    </row>
    <row r="195" spans="10:11" x14ac:dyDescent="0.25">
      <c r="J195" s="16">
        <v>37704</v>
      </c>
      <c r="K195" s="15">
        <v>7315.02</v>
      </c>
    </row>
    <row r="196" spans="10:11" x14ac:dyDescent="0.25">
      <c r="J196" s="16">
        <v>37710</v>
      </c>
      <c r="K196" s="15">
        <v>2310.65</v>
      </c>
    </row>
    <row r="197" spans="10:11" x14ac:dyDescent="0.25">
      <c r="J197" s="16">
        <v>38066</v>
      </c>
      <c r="K197" s="15">
        <v>8621.65</v>
      </c>
    </row>
    <row r="198" spans="10:11" x14ac:dyDescent="0.25">
      <c r="J198" s="16">
        <v>38069</v>
      </c>
      <c r="K198" s="15">
        <v>5061.17</v>
      </c>
    </row>
    <row r="199" spans="10:11" x14ac:dyDescent="0.25">
      <c r="J199" s="16">
        <v>38076</v>
      </c>
      <c r="K199" s="15">
        <v>1326.38</v>
      </c>
    </row>
    <row r="200" spans="10:11" x14ac:dyDescent="0.25">
      <c r="J200" s="16">
        <v>38421</v>
      </c>
      <c r="K200" s="15">
        <v>7355.15</v>
      </c>
    </row>
    <row r="201" spans="10:11" x14ac:dyDescent="0.25">
      <c r="J201" s="16">
        <v>38423</v>
      </c>
      <c r="K201" s="15">
        <v>7910.6</v>
      </c>
    </row>
    <row r="202" spans="10:11" x14ac:dyDescent="0.25">
      <c r="J202" s="16">
        <v>38430</v>
      </c>
      <c r="K202" s="15">
        <v>1425.83</v>
      </c>
    </row>
    <row r="203" spans="10:11" x14ac:dyDescent="0.25">
      <c r="J203" s="16">
        <v>38442</v>
      </c>
      <c r="K203" s="15">
        <v>4507.2950000000001</v>
      </c>
    </row>
    <row r="204" spans="10:11" x14ac:dyDescent="0.25">
      <c r="J204" s="16">
        <v>38782</v>
      </c>
      <c r="K204" s="15">
        <v>7551.7950000000001</v>
      </c>
    </row>
    <row r="205" spans="10:11" x14ac:dyDescent="0.25">
      <c r="J205" s="16">
        <v>38794</v>
      </c>
      <c r="K205" s="15">
        <v>4159.91</v>
      </c>
    </row>
    <row r="206" spans="10:11" x14ac:dyDescent="0.25">
      <c r="J206" s="16">
        <v>38797</v>
      </c>
      <c r="K206" s="15">
        <v>5946.59</v>
      </c>
    </row>
    <row r="207" spans="10:11" x14ac:dyDescent="0.25">
      <c r="J207" s="16">
        <v>38800</v>
      </c>
      <c r="K207" s="15">
        <v>3814.96</v>
      </c>
    </row>
    <row r="208" spans="10:11" x14ac:dyDescent="0.25">
      <c r="J208" s="16">
        <v>39144</v>
      </c>
      <c r="K208" s="15">
        <v>7562.52</v>
      </c>
    </row>
    <row r="209" spans="10:11" x14ac:dyDescent="0.25">
      <c r="J209" s="16">
        <v>39156</v>
      </c>
      <c r="K209" s="15">
        <v>5844.04</v>
      </c>
    </row>
    <row r="210" spans="10:11" x14ac:dyDescent="0.25">
      <c r="J210" s="16">
        <v>39516</v>
      </c>
      <c r="K210" s="15">
        <v>6647.86</v>
      </c>
    </row>
    <row r="211" spans="10:11" x14ac:dyDescent="0.25">
      <c r="J211" s="16">
        <v>39534</v>
      </c>
      <c r="K211" s="15">
        <v>9933.73</v>
      </c>
    </row>
    <row r="212" spans="10:11" x14ac:dyDescent="0.25">
      <c r="J212" s="16">
        <v>39535</v>
      </c>
      <c r="K212" s="15">
        <v>1356.28</v>
      </c>
    </row>
    <row r="213" spans="10:11" x14ac:dyDescent="0.25">
      <c r="J213" s="16">
        <v>39882</v>
      </c>
      <c r="K213" s="15">
        <v>1309.67</v>
      </c>
    </row>
    <row r="214" spans="10:11" x14ac:dyDescent="0.25">
      <c r="J214" s="16">
        <v>39885</v>
      </c>
      <c r="K214" s="15">
        <v>4226.71</v>
      </c>
    </row>
    <row r="215" spans="10:11" x14ac:dyDescent="0.25">
      <c r="J215" s="16">
        <v>39886</v>
      </c>
      <c r="K215" s="15">
        <v>2296.36</v>
      </c>
    </row>
    <row r="216" spans="10:11" x14ac:dyDescent="0.25">
      <c r="J216" s="16">
        <v>39890</v>
      </c>
      <c r="K216" s="15">
        <v>2490.5300000000002</v>
      </c>
    </row>
    <row r="217" spans="10:11" x14ac:dyDescent="0.25">
      <c r="J217" s="16">
        <v>39891</v>
      </c>
      <c r="K217" s="15">
        <v>6441.7</v>
      </c>
    </row>
    <row r="218" spans="10:11" x14ac:dyDescent="0.25">
      <c r="J218" s="16">
        <v>39894</v>
      </c>
      <c r="K218" s="15">
        <v>4041.44</v>
      </c>
    </row>
    <row r="219" spans="10:11" x14ac:dyDescent="0.25">
      <c r="J219" s="16">
        <v>39896</v>
      </c>
      <c r="K219" s="15">
        <v>4942.2299999999996</v>
      </c>
    </row>
    <row r="220" spans="10:11" x14ac:dyDescent="0.25">
      <c r="J220" s="16">
        <v>40242</v>
      </c>
      <c r="K220" s="15">
        <v>1290.79</v>
      </c>
    </row>
    <row r="221" spans="10:11" x14ac:dyDescent="0.25">
      <c r="J221" s="16">
        <v>40257</v>
      </c>
      <c r="K221" s="15">
        <v>7151.54</v>
      </c>
    </row>
    <row r="222" spans="10:11" x14ac:dyDescent="0.25">
      <c r="J222" s="16">
        <v>40264</v>
      </c>
      <c r="K222" s="15">
        <v>7487.76</v>
      </c>
    </row>
    <row r="223" spans="10:11" x14ac:dyDescent="0.25">
      <c r="J223" s="16">
        <v>40603</v>
      </c>
      <c r="K223" s="15">
        <v>3784.76</v>
      </c>
    </row>
    <row r="224" spans="10:11" x14ac:dyDescent="0.25">
      <c r="J224" s="16">
        <v>40633</v>
      </c>
      <c r="K224" s="15">
        <v>805.06</v>
      </c>
    </row>
    <row r="225" spans="10:11" x14ac:dyDescent="0.25">
      <c r="J225" s="16">
        <v>40971</v>
      </c>
      <c r="K225" s="15">
        <v>4133.13</v>
      </c>
    </row>
    <row r="226" spans="10:11" x14ac:dyDescent="0.25">
      <c r="J226" s="16">
        <v>40974</v>
      </c>
      <c r="K226" s="15">
        <v>3658.74</v>
      </c>
    </row>
    <row r="227" spans="10:11" x14ac:dyDescent="0.25">
      <c r="J227" s="16">
        <v>40982</v>
      </c>
      <c r="K227" s="15">
        <v>5935.82</v>
      </c>
    </row>
    <row r="228" spans="10:11" x14ac:dyDescent="0.25">
      <c r="J228" s="16">
        <v>40990</v>
      </c>
      <c r="K228" s="15">
        <v>3047.94</v>
      </c>
    </row>
    <row r="229" spans="10:11" x14ac:dyDescent="0.25">
      <c r="J229" s="16">
        <v>40997</v>
      </c>
      <c r="K229" s="15">
        <v>5695.43</v>
      </c>
    </row>
    <row r="230" spans="10:11" x14ac:dyDescent="0.25">
      <c r="J230" s="16">
        <v>41344</v>
      </c>
      <c r="K230" s="15">
        <v>4448.05</v>
      </c>
    </row>
    <row r="231" spans="10:11" x14ac:dyDescent="0.25">
      <c r="J231" s="16">
        <v>41349</v>
      </c>
      <c r="K231" s="15">
        <v>5092.71</v>
      </c>
    </row>
    <row r="232" spans="10:11" x14ac:dyDescent="0.25">
      <c r="J232" s="16">
        <v>41354</v>
      </c>
      <c r="K232" s="15">
        <v>9943.09</v>
      </c>
    </row>
    <row r="233" spans="10:11" x14ac:dyDescent="0.25">
      <c r="J233" s="16">
        <v>41357</v>
      </c>
      <c r="K233" s="15">
        <v>2510.0500000000002</v>
      </c>
    </row>
    <row r="234" spans="10:11" x14ac:dyDescent="0.25">
      <c r="J234" s="16">
        <v>41361</v>
      </c>
      <c r="K234" s="15">
        <v>9108</v>
      </c>
    </row>
    <row r="235" spans="10:11" x14ac:dyDescent="0.25">
      <c r="J235" s="16">
        <v>41362</v>
      </c>
      <c r="K235" s="15">
        <v>1775.22</v>
      </c>
    </row>
    <row r="236" spans="10:11" x14ac:dyDescent="0.25">
      <c r="J236" s="16">
        <v>41702</v>
      </c>
      <c r="K236" s="15">
        <v>3554.4900000000002</v>
      </c>
    </row>
    <row r="237" spans="10:11" x14ac:dyDescent="0.25">
      <c r="J237" s="16">
        <v>41717</v>
      </c>
      <c r="K237" s="15">
        <v>1242.24</v>
      </c>
    </row>
    <row r="238" spans="10:11" x14ac:dyDescent="0.25">
      <c r="J238" s="16">
        <v>41728</v>
      </c>
      <c r="K238" s="15">
        <v>2733.2</v>
      </c>
    </row>
    <row r="239" spans="10:11" x14ac:dyDescent="0.25">
      <c r="J239" s="16">
        <v>41729</v>
      </c>
      <c r="K239" s="15">
        <v>3296.61</v>
      </c>
    </row>
    <row r="240" spans="10:11" x14ac:dyDescent="0.25">
      <c r="J240" s="16">
        <v>42072</v>
      </c>
      <c r="K240" s="15">
        <v>2182.65</v>
      </c>
    </row>
    <row r="241" spans="10:11" x14ac:dyDescent="0.25">
      <c r="J241" s="16">
        <v>42081</v>
      </c>
      <c r="K241" s="15">
        <v>2036.96</v>
      </c>
    </row>
    <row r="242" spans="10:11" x14ac:dyDescent="0.25">
      <c r="J242" s="16">
        <v>42085</v>
      </c>
      <c r="K242" s="15">
        <v>7751.51</v>
      </c>
    </row>
    <row r="243" spans="10:11" x14ac:dyDescent="0.25">
      <c r="J243" s="16">
        <v>42089</v>
      </c>
      <c r="K243" s="15">
        <v>3829.1350000000002</v>
      </c>
    </row>
    <row r="244" spans="10:11" x14ac:dyDescent="0.25">
      <c r="J244" s="16">
        <v>42093</v>
      </c>
      <c r="K244" s="15">
        <v>3966.74</v>
      </c>
    </row>
    <row r="245" spans="10:11" x14ac:dyDescent="0.25">
      <c r="J245" s="16">
        <v>42435</v>
      </c>
      <c r="K245" s="15">
        <v>1559.77</v>
      </c>
    </row>
    <row r="246" spans="10:11" x14ac:dyDescent="0.25">
      <c r="J246" s="16">
        <v>42436</v>
      </c>
      <c r="K246" s="15">
        <v>1267.28</v>
      </c>
    </row>
    <row r="247" spans="10:11" x14ac:dyDescent="0.25">
      <c r="J247" s="16">
        <v>42445</v>
      </c>
      <c r="K247" s="15">
        <v>3504.36</v>
      </c>
    </row>
    <row r="248" spans="10:11" x14ac:dyDescent="0.25">
      <c r="J248" s="16">
        <v>42458</v>
      </c>
      <c r="K248" s="15">
        <v>5476.67</v>
      </c>
    </row>
    <row r="249" spans="10:11" x14ac:dyDescent="0.25">
      <c r="J249" s="16">
        <v>42797</v>
      </c>
      <c r="K249" s="15">
        <v>3742.47</v>
      </c>
    </row>
    <row r="250" spans="10:11" x14ac:dyDescent="0.25">
      <c r="J250" s="16">
        <v>42806</v>
      </c>
      <c r="K250" s="15">
        <v>8935.75</v>
      </c>
    </row>
    <row r="251" spans="10:11" x14ac:dyDescent="0.25">
      <c r="J251" s="16">
        <v>42812</v>
      </c>
      <c r="K251" s="15">
        <v>8086.9</v>
      </c>
    </row>
    <row r="252" spans="10:11" x14ac:dyDescent="0.25">
      <c r="J252" s="16">
        <v>43160</v>
      </c>
      <c r="K252" s="15">
        <v>4953.2299999999996</v>
      </c>
    </row>
    <row r="253" spans="10:11" x14ac:dyDescent="0.25">
      <c r="J253" s="16">
        <v>43173</v>
      </c>
      <c r="K253" s="15">
        <v>5702.7849999999999</v>
      </c>
    </row>
    <row r="254" spans="10:11" x14ac:dyDescent="0.25">
      <c r="J254" s="16">
        <v>43535</v>
      </c>
      <c r="K254" s="15">
        <v>5905.02</v>
      </c>
    </row>
    <row r="255" spans="10:11" x14ac:dyDescent="0.25">
      <c r="J255" s="16">
        <v>43538</v>
      </c>
      <c r="K255" s="15">
        <v>2185.65</v>
      </c>
    </row>
    <row r="256" spans="10:11" x14ac:dyDescent="0.25">
      <c r="J256" s="16">
        <v>43544</v>
      </c>
      <c r="K256" s="15">
        <v>5196.53</v>
      </c>
    </row>
    <row r="257" spans="10:11" x14ac:dyDescent="0.25">
      <c r="J257" s="16">
        <v>43554</v>
      </c>
      <c r="K257" s="15">
        <v>5790.87</v>
      </c>
    </row>
    <row r="258" spans="10:11" x14ac:dyDescent="0.25">
      <c r="J258" s="11" t="s">
        <v>118</v>
      </c>
      <c r="K258" s="15">
        <v>5072.5849367088613</v>
      </c>
    </row>
    <row r="259" spans="10:11" x14ac:dyDescent="0.25">
      <c r="J259" s="16">
        <v>36624</v>
      </c>
      <c r="K259" s="15">
        <v>3854.76</v>
      </c>
    </row>
    <row r="260" spans="10:11" x14ac:dyDescent="0.25">
      <c r="J260" s="16">
        <v>36991</v>
      </c>
      <c r="K260" s="15">
        <v>5163.75</v>
      </c>
    </row>
    <row r="261" spans="10:11" x14ac:dyDescent="0.25">
      <c r="J261" s="16">
        <v>37353</v>
      </c>
      <c r="K261" s="15">
        <v>8089.02</v>
      </c>
    </row>
    <row r="262" spans="10:11" x14ac:dyDescent="0.25">
      <c r="J262" s="16">
        <v>37358</v>
      </c>
      <c r="K262" s="15">
        <v>4283</v>
      </c>
    </row>
    <row r="263" spans="10:11" x14ac:dyDescent="0.25">
      <c r="J263" s="16">
        <v>37370</v>
      </c>
      <c r="K263" s="15">
        <v>4354.25</v>
      </c>
    </row>
    <row r="264" spans="10:11" x14ac:dyDescent="0.25">
      <c r="J264" s="16">
        <v>37720</v>
      </c>
      <c r="K264" s="15">
        <v>3379.49</v>
      </c>
    </row>
    <row r="265" spans="10:11" x14ac:dyDescent="0.25">
      <c r="J265" s="16">
        <v>37729</v>
      </c>
      <c r="K265" s="15">
        <v>6582.65</v>
      </c>
    </row>
    <row r="266" spans="10:11" x14ac:dyDescent="0.25">
      <c r="J266" s="16">
        <v>37736</v>
      </c>
      <c r="K266" s="15">
        <v>4709.47</v>
      </c>
    </row>
    <row r="267" spans="10:11" x14ac:dyDescent="0.25">
      <c r="J267" s="16">
        <v>37738</v>
      </c>
      <c r="K267" s="15">
        <v>2586.56</v>
      </c>
    </row>
    <row r="268" spans="10:11" x14ac:dyDescent="0.25">
      <c r="J268" s="16">
        <v>37739</v>
      </c>
      <c r="K268" s="15">
        <v>5653.28</v>
      </c>
    </row>
    <row r="269" spans="10:11" x14ac:dyDescent="0.25">
      <c r="J269" s="16">
        <v>38083</v>
      </c>
      <c r="K269" s="15">
        <v>4723.95</v>
      </c>
    </row>
    <row r="270" spans="10:11" x14ac:dyDescent="0.25">
      <c r="J270" s="16">
        <v>38084</v>
      </c>
      <c r="K270" s="15">
        <v>3953.53</v>
      </c>
    </row>
    <row r="271" spans="10:11" x14ac:dyDescent="0.25">
      <c r="J271" s="16">
        <v>38086</v>
      </c>
      <c r="K271" s="15">
        <v>6799.18</v>
      </c>
    </row>
    <row r="272" spans="10:11" x14ac:dyDescent="0.25">
      <c r="J272" s="16">
        <v>38088</v>
      </c>
      <c r="K272" s="15">
        <v>9198.43</v>
      </c>
    </row>
    <row r="273" spans="10:11" x14ac:dyDescent="0.25">
      <c r="J273" s="16">
        <v>38091</v>
      </c>
      <c r="K273" s="15">
        <v>3322.82</v>
      </c>
    </row>
    <row r="274" spans="10:11" x14ac:dyDescent="0.25">
      <c r="J274" s="16">
        <v>38096</v>
      </c>
      <c r="K274" s="15">
        <v>2229.77</v>
      </c>
    </row>
    <row r="275" spans="10:11" x14ac:dyDescent="0.25">
      <c r="J275" s="16">
        <v>38444</v>
      </c>
      <c r="K275" s="15">
        <v>6695.35</v>
      </c>
    </row>
    <row r="276" spans="10:11" x14ac:dyDescent="0.25">
      <c r="J276" s="16">
        <v>38460</v>
      </c>
      <c r="K276" s="15">
        <v>9567.83</v>
      </c>
    </row>
    <row r="277" spans="10:11" x14ac:dyDescent="0.25">
      <c r="J277" s="16">
        <v>38467</v>
      </c>
      <c r="K277" s="15">
        <v>3089.63</v>
      </c>
    </row>
    <row r="278" spans="10:11" x14ac:dyDescent="0.25">
      <c r="J278" s="16">
        <v>38470</v>
      </c>
      <c r="K278" s="15">
        <v>5952.85</v>
      </c>
    </row>
    <row r="279" spans="10:11" x14ac:dyDescent="0.25">
      <c r="J279" s="16">
        <v>38471</v>
      </c>
      <c r="K279" s="15">
        <v>765.26</v>
      </c>
    </row>
    <row r="280" spans="10:11" x14ac:dyDescent="0.25">
      <c r="J280" s="16">
        <v>38472</v>
      </c>
      <c r="K280" s="15">
        <v>6984.625</v>
      </c>
    </row>
    <row r="281" spans="10:11" x14ac:dyDescent="0.25">
      <c r="J281" s="16">
        <v>38808</v>
      </c>
      <c r="K281" s="15">
        <v>5772.52</v>
      </c>
    </row>
    <row r="282" spans="10:11" x14ac:dyDescent="0.25">
      <c r="J282" s="16">
        <v>38811</v>
      </c>
      <c r="K282" s="15">
        <v>4351.66</v>
      </c>
    </row>
    <row r="283" spans="10:11" x14ac:dyDescent="0.25">
      <c r="J283" s="16">
        <v>38814</v>
      </c>
      <c r="K283" s="15">
        <v>3433.37</v>
      </c>
    </row>
    <row r="284" spans="10:11" x14ac:dyDescent="0.25">
      <c r="J284" s="16">
        <v>38822</v>
      </c>
      <c r="K284" s="15">
        <v>8062.81</v>
      </c>
    </row>
    <row r="285" spans="10:11" x14ac:dyDescent="0.25">
      <c r="J285" s="16">
        <v>39177</v>
      </c>
      <c r="K285" s="15">
        <v>3078.88</v>
      </c>
    </row>
    <row r="286" spans="10:11" x14ac:dyDescent="0.25">
      <c r="J286" s="16">
        <v>39198</v>
      </c>
      <c r="K286" s="15">
        <v>2409.8000000000002</v>
      </c>
    </row>
    <row r="287" spans="10:11" x14ac:dyDescent="0.25">
      <c r="J287" s="16">
        <v>39558</v>
      </c>
      <c r="K287" s="15">
        <v>9636.49</v>
      </c>
    </row>
    <row r="288" spans="10:11" x14ac:dyDescent="0.25">
      <c r="J288" s="16">
        <v>39564</v>
      </c>
      <c r="K288" s="15">
        <v>2064.41</v>
      </c>
    </row>
    <row r="289" spans="10:11" x14ac:dyDescent="0.25">
      <c r="J289" s="16">
        <v>39905</v>
      </c>
      <c r="K289" s="15">
        <v>3125.82</v>
      </c>
    </row>
    <row r="290" spans="10:11" x14ac:dyDescent="0.25">
      <c r="J290" s="16">
        <v>39929</v>
      </c>
      <c r="K290" s="15">
        <v>6789.84</v>
      </c>
    </row>
    <row r="291" spans="10:11" x14ac:dyDescent="0.25">
      <c r="J291" s="16">
        <v>40279</v>
      </c>
      <c r="K291" s="15">
        <v>3178.53</v>
      </c>
    </row>
    <row r="292" spans="10:11" x14ac:dyDescent="0.25">
      <c r="J292" s="16">
        <v>40281</v>
      </c>
      <c r="K292" s="15">
        <v>2625.76</v>
      </c>
    </row>
    <row r="293" spans="10:11" x14ac:dyDescent="0.25">
      <c r="J293" s="16">
        <v>40282</v>
      </c>
      <c r="K293" s="15">
        <v>9708.2999999999993</v>
      </c>
    </row>
    <row r="294" spans="10:11" x14ac:dyDescent="0.25">
      <c r="J294" s="16">
        <v>40291</v>
      </c>
      <c r="K294" s="15">
        <v>4181.2849999999999</v>
      </c>
    </row>
    <row r="295" spans="10:11" x14ac:dyDescent="0.25">
      <c r="J295" s="16">
        <v>40637</v>
      </c>
      <c r="K295" s="15">
        <v>8469.2099999999991</v>
      </c>
    </row>
    <row r="296" spans="10:11" x14ac:dyDescent="0.25">
      <c r="J296" s="16">
        <v>40642</v>
      </c>
      <c r="K296" s="15">
        <v>6052.72</v>
      </c>
    </row>
    <row r="297" spans="10:11" x14ac:dyDescent="0.25">
      <c r="J297" s="16">
        <v>40643</v>
      </c>
      <c r="K297" s="15">
        <v>5952.27</v>
      </c>
    </row>
    <row r="298" spans="10:11" x14ac:dyDescent="0.25">
      <c r="J298" s="16">
        <v>40645</v>
      </c>
      <c r="K298" s="15">
        <v>533.88</v>
      </c>
    </row>
    <row r="299" spans="10:11" x14ac:dyDescent="0.25">
      <c r="J299" s="16">
        <v>40655</v>
      </c>
      <c r="K299" s="15">
        <v>8547.58</v>
      </c>
    </row>
    <row r="300" spans="10:11" x14ac:dyDescent="0.25">
      <c r="J300" s="16">
        <v>41003</v>
      </c>
      <c r="K300" s="15">
        <v>1460.66</v>
      </c>
    </row>
    <row r="301" spans="10:11" x14ac:dyDescent="0.25">
      <c r="J301" s="16">
        <v>41008</v>
      </c>
      <c r="K301" s="15">
        <v>3265.82</v>
      </c>
    </row>
    <row r="302" spans="10:11" x14ac:dyDescent="0.25">
      <c r="J302" s="16">
        <v>41025</v>
      </c>
      <c r="K302" s="15">
        <v>6912.6</v>
      </c>
    </row>
    <row r="303" spans="10:11" x14ac:dyDescent="0.25">
      <c r="J303" s="16">
        <v>41029</v>
      </c>
      <c r="K303" s="15">
        <v>5713.34</v>
      </c>
    </row>
    <row r="304" spans="10:11" x14ac:dyDescent="0.25">
      <c r="J304" s="16">
        <v>41366</v>
      </c>
      <c r="K304" s="15">
        <v>4190.93</v>
      </c>
    </row>
    <row r="305" spans="10:11" x14ac:dyDescent="0.25">
      <c r="J305" s="16">
        <v>41367</v>
      </c>
      <c r="K305" s="15">
        <v>9916.3799999999992</v>
      </c>
    </row>
    <row r="306" spans="10:11" x14ac:dyDescent="0.25">
      <c r="J306" s="16">
        <v>41379</v>
      </c>
      <c r="K306" s="15">
        <v>7690.8</v>
      </c>
    </row>
    <row r="307" spans="10:11" x14ac:dyDescent="0.25">
      <c r="J307" s="16">
        <v>41384</v>
      </c>
      <c r="K307" s="15">
        <v>2571.64</v>
      </c>
    </row>
    <row r="308" spans="10:11" x14ac:dyDescent="0.25">
      <c r="J308" s="16">
        <v>41385</v>
      </c>
      <c r="K308" s="15">
        <v>2014.23</v>
      </c>
    </row>
    <row r="309" spans="10:11" x14ac:dyDescent="0.25">
      <c r="J309" s="16">
        <v>41386</v>
      </c>
      <c r="K309" s="15">
        <v>1674.55</v>
      </c>
    </row>
    <row r="310" spans="10:11" x14ac:dyDescent="0.25">
      <c r="J310" s="16">
        <v>41388</v>
      </c>
      <c r="K310" s="15">
        <v>2371.1999999999998</v>
      </c>
    </row>
    <row r="311" spans="10:11" x14ac:dyDescent="0.25">
      <c r="J311" s="16">
        <v>41390</v>
      </c>
      <c r="K311" s="15">
        <v>503.27</v>
      </c>
    </row>
    <row r="312" spans="10:11" x14ac:dyDescent="0.25">
      <c r="J312" s="16">
        <v>41752</v>
      </c>
      <c r="K312" s="15">
        <v>885.75</v>
      </c>
    </row>
    <row r="313" spans="10:11" x14ac:dyDescent="0.25">
      <c r="J313" s="16">
        <v>41756</v>
      </c>
      <c r="K313" s="15">
        <v>2659.57</v>
      </c>
    </row>
    <row r="314" spans="10:11" x14ac:dyDescent="0.25">
      <c r="J314" s="16">
        <v>42113</v>
      </c>
      <c r="K314" s="15">
        <v>6279.12</v>
      </c>
    </row>
    <row r="315" spans="10:11" x14ac:dyDescent="0.25">
      <c r="J315" s="16">
        <v>42122</v>
      </c>
      <c r="K315" s="15">
        <v>5053.88</v>
      </c>
    </row>
    <row r="316" spans="10:11" x14ac:dyDescent="0.25">
      <c r="J316" s="16">
        <v>42463</v>
      </c>
      <c r="K316" s="15">
        <v>2524.4299999999998</v>
      </c>
    </row>
    <row r="317" spans="10:11" x14ac:dyDescent="0.25">
      <c r="J317" s="16">
        <v>42464</v>
      </c>
      <c r="K317" s="15">
        <v>8391.33</v>
      </c>
    </row>
    <row r="318" spans="10:11" x14ac:dyDescent="0.25">
      <c r="J318" s="16">
        <v>42469</v>
      </c>
      <c r="K318" s="15">
        <v>5000.9799999999996</v>
      </c>
    </row>
    <row r="319" spans="10:11" x14ac:dyDescent="0.25">
      <c r="J319" s="16">
        <v>42474</v>
      </c>
      <c r="K319" s="15">
        <v>4235.32</v>
      </c>
    </row>
    <row r="320" spans="10:11" x14ac:dyDescent="0.25">
      <c r="J320" s="16">
        <v>42485</v>
      </c>
      <c r="K320" s="15">
        <v>7898.42</v>
      </c>
    </row>
    <row r="321" spans="10:11" x14ac:dyDescent="0.25">
      <c r="J321" s="16">
        <v>42827</v>
      </c>
      <c r="K321" s="15">
        <v>2612.63</v>
      </c>
    </row>
    <row r="322" spans="10:11" x14ac:dyDescent="0.25">
      <c r="J322" s="16">
        <v>42831</v>
      </c>
      <c r="K322" s="15">
        <v>1048.0899999999999</v>
      </c>
    </row>
    <row r="323" spans="10:11" x14ac:dyDescent="0.25">
      <c r="J323" s="16">
        <v>42832</v>
      </c>
      <c r="K323" s="15">
        <v>5134.42</v>
      </c>
    </row>
    <row r="324" spans="10:11" x14ac:dyDescent="0.25">
      <c r="J324" s="16">
        <v>42838</v>
      </c>
      <c r="K324" s="15">
        <v>6281.62</v>
      </c>
    </row>
    <row r="325" spans="10:11" x14ac:dyDescent="0.25">
      <c r="J325" s="16">
        <v>42848</v>
      </c>
      <c r="K325" s="15">
        <v>630.98</v>
      </c>
    </row>
    <row r="326" spans="10:11" x14ac:dyDescent="0.25">
      <c r="J326" s="16">
        <v>42850</v>
      </c>
      <c r="K326" s="15">
        <v>9090.92</v>
      </c>
    </row>
    <row r="327" spans="10:11" x14ac:dyDescent="0.25">
      <c r="J327" s="16">
        <v>42853</v>
      </c>
      <c r="K327" s="15">
        <v>9199.65</v>
      </c>
    </row>
    <row r="328" spans="10:11" x14ac:dyDescent="0.25">
      <c r="J328" s="16">
        <v>43195</v>
      </c>
      <c r="K328" s="15">
        <v>9294.5499999999993</v>
      </c>
    </row>
    <row r="329" spans="10:11" x14ac:dyDescent="0.25">
      <c r="J329" s="16">
        <v>43196</v>
      </c>
      <c r="K329" s="15">
        <v>6281.95</v>
      </c>
    </row>
    <row r="330" spans="10:11" x14ac:dyDescent="0.25">
      <c r="J330" s="16">
        <v>43197</v>
      </c>
      <c r="K330" s="15">
        <v>8355.74</v>
      </c>
    </row>
    <row r="331" spans="10:11" x14ac:dyDescent="0.25">
      <c r="J331" s="16">
        <v>43560</v>
      </c>
      <c r="K331" s="15">
        <v>2557.8200000000002</v>
      </c>
    </row>
    <row r="332" spans="10:11" x14ac:dyDescent="0.25">
      <c r="J332" s="16">
        <v>43565</v>
      </c>
      <c r="K332" s="15">
        <v>8594.27</v>
      </c>
    </row>
    <row r="333" spans="10:11" x14ac:dyDescent="0.25">
      <c r="J333" s="16">
        <v>43580</v>
      </c>
      <c r="K333" s="15">
        <v>7174.58</v>
      </c>
    </row>
    <row r="334" spans="10:11" x14ac:dyDescent="0.25">
      <c r="J334" s="16">
        <v>43583</v>
      </c>
      <c r="K334" s="15">
        <v>4052.38</v>
      </c>
    </row>
    <row r="335" spans="10:11" x14ac:dyDescent="0.25">
      <c r="J335" s="16">
        <v>43584</v>
      </c>
      <c r="K335" s="15">
        <v>8129.89</v>
      </c>
    </row>
    <row r="336" spans="10:11" x14ac:dyDescent="0.25">
      <c r="J336" s="11" t="s">
        <v>119</v>
      </c>
      <c r="K336" s="15">
        <v>5222.776249999999</v>
      </c>
    </row>
    <row r="337" spans="10:11" x14ac:dyDescent="0.25">
      <c r="J337" s="16">
        <v>36649</v>
      </c>
      <c r="K337" s="15">
        <v>6919.82</v>
      </c>
    </row>
    <row r="338" spans="10:11" x14ac:dyDescent="0.25">
      <c r="J338" s="16">
        <v>36655</v>
      </c>
      <c r="K338" s="15">
        <v>7679.81</v>
      </c>
    </row>
    <row r="339" spans="10:11" x14ac:dyDescent="0.25">
      <c r="J339" s="16">
        <v>36661</v>
      </c>
      <c r="K339" s="15">
        <v>8422.6</v>
      </c>
    </row>
    <row r="340" spans="10:11" x14ac:dyDescent="0.25">
      <c r="J340" s="16">
        <v>36672</v>
      </c>
      <c r="K340" s="15">
        <v>4391.93</v>
      </c>
    </row>
    <row r="341" spans="10:11" x14ac:dyDescent="0.25">
      <c r="J341" s="16">
        <v>37023</v>
      </c>
      <c r="K341" s="15">
        <v>2372.42</v>
      </c>
    </row>
    <row r="342" spans="10:11" x14ac:dyDescent="0.25">
      <c r="J342" s="16">
        <v>37040</v>
      </c>
      <c r="K342" s="15">
        <v>1909.66</v>
      </c>
    </row>
    <row r="343" spans="10:11" x14ac:dyDescent="0.25">
      <c r="J343" s="16">
        <v>37041</v>
      </c>
      <c r="K343" s="15">
        <v>8810.33</v>
      </c>
    </row>
    <row r="344" spans="10:11" x14ac:dyDescent="0.25">
      <c r="J344" s="16">
        <v>37746</v>
      </c>
      <c r="K344" s="15">
        <v>4590.3599999999997</v>
      </c>
    </row>
    <row r="345" spans="10:11" x14ac:dyDescent="0.25">
      <c r="J345" s="16">
        <v>37749</v>
      </c>
      <c r="K345" s="15">
        <v>1007.55</v>
      </c>
    </row>
    <row r="346" spans="10:11" x14ac:dyDescent="0.25">
      <c r="J346" s="16">
        <v>37760</v>
      </c>
      <c r="K346" s="15">
        <v>4547.75</v>
      </c>
    </row>
    <row r="347" spans="10:11" x14ac:dyDescent="0.25">
      <c r="J347" s="16">
        <v>37761</v>
      </c>
      <c r="K347" s="15">
        <v>1965.74</v>
      </c>
    </row>
    <row r="348" spans="10:11" x14ac:dyDescent="0.25">
      <c r="J348" s="16">
        <v>37768</v>
      </c>
      <c r="K348" s="15">
        <v>2086.2399999999998</v>
      </c>
    </row>
    <row r="349" spans="10:11" x14ac:dyDescent="0.25">
      <c r="J349" s="16">
        <v>38114</v>
      </c>
      <c r="K349" s="15">
        <v>7967.24</v>
      </c>
    </row>
    <row r="350" spans="10:11" x14ac:dyDescent="0.25">
      <c r="J350" s="16">
        <v>38119</v>
      </c>
      <c r="K350" s="15">
        <v>1068.0899999999999</v>
      </c>
    </row>
    <row r="351" spans="10:11" x14ac:dyDescent="0.25">
      <c r="J351" s="16">
        <v>38120</v>
      </c>
      <c r="K351" s="15">
        <v>5330.93</v>
      </c>
    </row>
    <row r="352" spans="10:11" x14ac:dyDescent="0.25">
      <c r="J352" s="16">
        <v>38133</v>
      </c>
      <c r="K352" s="15">
        <v>9671.26</v>
      </c>
    </row>
    <row r="353" spans="10:11" x14ac:dyDescent="0.25">
      <c r="J353" s="16">
        <v>38474</v>
      </c>
      <c r="K353" s="15">
        <v>5399.23</v>
      </c>
    </row>
    <row r="354" spans="10:11" x14ac:dyDescent="0.25">
      <c r="J354" s="16">
        <v>38478</v>
      </c>
      <c r="K354" s="15">
        <v>7728</v>
      </c>
    </row>
    <row r="355" spans="10:11" x14ac:dyDescent="0.25">
      <c r="J355" s="16">
        <v>38482</v>
      </c>
      <c r="K355" s="15">
        <v>5778.3850000000002</v>
      </c>
    </row>
    <row r="356" spans="10:11" x14ac:dyDescent="0.25">
      <c r="J356" s="16">
        <v>38485</v>
      </c>
      <c r="K356" s="15">
        <v>1638.67</v>
      </c>
    </row>
    <row r="357" spans="10:11" x14ac:dyDescent="0.25">
      <c r="J357" s="16">
        <v>38490</v>
      </c>
      <c r="K357" s="15">
        <v>6775.77</v>
      </c>
    </row>
    <row r="358" spans="10:11" x14ac:dyDescent="0.25">
      <c r="J358" s="16">
        <v>38492</v>
      </c>
      <c r="K358" s="15">
        <v>6544.95</v>
      </c>
    </row>
    <row r="359" spans="10:11" x14ac:dyDescent="0.25">
      <c r="J359" s="16">
        <v>38840</v>
      </c>
      <c r="K359" s="15">
        <v>2019.42</v>
      </c>
    </row>
    <row r="360" spans="10:11" x14ac:dyDescent="0.25">
      <c r="J360" s="16">
        <v>38855</v>
      </c>
      <c r="K360" s="15">
        <v>9179.58</v>
      </c>
    </row>
    <row r="361" spans="10:11" x14ac:dyDescent="0.25">
      <c r="J361" s="16">
        <v>38865</v>
      </c>
      <c r="K361" s="15">
        <v>8253.2099999999991</v>
      </c>
    </row>
    <row r="362" spans="10:11" x14ac:dyDescent="0.25">
      <c r="J362" s="16">
        <v>39206</v>
      </c>
      <c r="K362" s="15">
        <v>1322.89</v>
      </c>
    </row>
    <row r="363" spans="10:11" x14ac:dyDescent="0.25">
      <c r="J363" s="16">
        <v>39574</v>
      </c>
      <c r="K363" s="15">
        <v>8360.2199999999993</v>
      </c>
    </row>
    <row r="364" spans="10:11" x14ac:dyDescent="0.25">
      <c r="J364" s="16">
        <v>39577</v>
      </c>
      <c r="K364" s="15">
        <v>3994.25</v>
      </c>
    </row>
    <row r="365" spans="10:11" x14ac:dyDescent="0.25">
      <c r="J365" s="16">
        <v>39585</v>
      </c>
      <c r="K365" s="15">
        <v>7686.57</v>
      </c>
    </row>
    <row r="366" spans="10:11" x14ac:dyDescent="0.25">
      <c r="J366" s="16">
        <v>39587</v>
      </c>
      <c r="K366" s="15">
        <v>5251.7250000000004</v>
      </c>
    </row>
    <row r="367" spans="10:11" x14ac:dyDescent="0.25">
      <c r="J367" s="16">
        <v>39936</v>
      </c>
      <c r="K367" s="15">
        <v>4930.0600000000004</v>
      </c>
    </row>
    <row r="368" spans="10:11" x14ac:dyDescent="0.25">
      <c r="J368" s="16">
        <v>39938</v>
      </c>
      <c r="K368" s="15">
        <v>5238.04</v>
      </c>
    </row>
    <row r="369" spans="10:11" x14ac:dyDescent="0.25">
      <c r="J369" s="16">
        <v>39940</v>
      </c>
      <c r="K369" s="15">
        <v>8213.66</v>
      </c>
    </row>
    <row r="370" spans="10:11" x14ac:dyDescent="0.25">
      <c r="J370" s="16">
        <v>40301</v>
      </c>
      <c r="K370" s="15">
        <v>712.87</v>
      </c>
    </row>
    <row r="371" spans="10:11" x14ac:dyDescent="0.25">
      <c r="J371" s="16">
        <v>40307</v>
      </c>
      <c r="K371" s="15">
        <v>5507.4</v>
      </c>
    </row>
    <row r="372" spans="10:11" x14ac:dyDescent="0.25">
      <c r="J372" s="16">
        <v>40311</v>
      </c>
      <c r="K372" s="15">
        <v>4477.58</v>
      </c>
    </row>
    <row r="373" spans="10:11" x14ac:dyDescent="0.25">
      <c r="J373" s="16">
        <v>40312</v>
      </c>
      <c r="K373" s="15">
        <v>5218.33</v>
      </c>
    </row>
    <row r="374" spans="10:11" x14ac:dyDescent="0.25">
      <c r="J374" s="16">
        <v>40316</v>
      </c>
      <c r="K374" s="15">
        <v>1029.3399999999999</v>
      </c>
    </row>
    <row r="375" spans="10:11" x14ac:dyDescent="0.25">
      <c r="J375" s="16">
        <v>40326</v>
      </c>
      <c r="K375" s="15">
        <v>8165.67</v>
      </c>
    </row>
    <row r="376" spans="10:11" x14ac:dyDescent="0.25">
      <c r="J376" s="16">
        <v>40670</v>
      </c>
      <c r="K376" s="15">
        <v>8718.65</v>
      </c>
    </row>
    <row r="377" spans="10:11" x14ac:dyDescent="0.25">
      <c r="J377" s="16">
        <v>40671</v>
      </c>
      <c r="K377" s="15">
        <v>9186.41</v>
      </c>
    </row>
    <row r="378" spans="10:11" x14ac:dyDescent="0.25">
      <c r="J378" s="16">
        <v>40676</v>
      </c>
      <c r="K378" s="15">
        <v>1659.21</v>
      </c>
    </row>
    <row r="379" spans="10:11" x14ac:dyDescent="0.25">
      <c r="J379" s="16">
        <v>41043</v>
      </c>
      <c r="K379" s="15">
        <v>9222.0400000000009</v>
      </c>
    </row>
    <row r="380" spans="10:11" x14ac:dyDescent="0.25">
      <c r="J380" s="16">
        <v>41052</v>
      </c>
      <c r="K380" s="15">
        <v>5782.17</v>
      </c>
    </row>
    <row r="381" spans="10:11" x14ac:dyDescent="0.25">
      <c r="J381" s="16">
        <v>41055</v>
      </c>
      <c r="K381" s="15">
        <v>5257.86</v>
      </c>
    </row>
    <row r="382" spans="10:11" x14ac:dyDescent="0.25">
      <c r="J382" s="16">
        <v>41402</v>
      </c>
      <c r="K382" s="15">
        <v>6435.35</v>
      </c>
    </row>
    <row r="383" spans="10:11" x14ac:dyDescent="0.25">
      <c r="J383" s="16">
        <v>41407</v>
      </c>
      <c r="K383" s="15">
        <v>2454.59</v>
      </c>
    </row>
    <row r="384" spans="10:11" x14ac:dyDescent="0.25">
      <c r="J384" s="16">
        <v>41411</v>
      </c>
      <c r="K384" s="15">
        <v>5435.13</v>
      </c>
    </row>
    <row r="385" spans="10:11" x14ac:dyDescent="0.25">
      <c r="J385" s="16">
        <v>41418</v>
      </c>
      <c r="K385" s="15">
        <v>1066.99</v>
      </c>
    </row>
    <row r="386" spans="10:11" x14ac:dyDescent="0.25">
      <c r="J386" s="16">
        <v>41423</v>
      </c>
      <c r="K386" s="15">
        <v>3938.71</v>
      </c>
    </row>
    <row r="387" spans="10:11" x14ac:dyDescent="0.25">
      <c r="J387" s="16">
        <v>41760</v>
      </c>
      <c r="K387" s="15">
        <v>5281.55</v>
      </c>
    </row>
    <row r="388" spans="10:11" x14ac:dyDescent="0.25">
      <c r="J388" s="16">
        <v>41768</v>
      </c>
      <c r="K388" s="15">
        <v>2569.98</v>
      </c>
    </row>
    <row r="389" spans="10:11" x14ac:dyDescent="0.25">
      <c r="J389" s="16">
        <v>41774</v>
      </c>
      <c r="K389" s="15">
        <v>9488.9</v>
      </c>
    </row>
    <row r="390" spans="10:11" x14ac:dyDescent="0.25">
      <c r="J390" s="16">
        <v>41776</v>
      </c>
      <c r="K390" s="15">
        <v>7240.3</v>
      </c>
    </row>
    <row r="391" spans="10:11" x14ac:dyDescent="0.25">
      <c r="J391" s="16">
        <v>41780</v>
      </c>
      <c r="K391" s="15">
        <v>4406.55</v>
      </c>
    </row>
    <row r="392" spans="10:11" x14ac:dyDescent="0.25">
      <c r="J392" s="16">
        <v>41783</v>
      </c>
      <c r="K392" s="15">
        <v>7539.44</v>
      </c>
    </row>
    <row r="393" spans="10:11" x14ac:dyDescent="0.25">
      <c r="J393" s="16">
        <v>42137</v>
      </c>
      <c r="K393" s="15">
        <v>9808.43</v>
      </c>
    </row>
    <row r="394" spans="10:11" x14ac:dyDescent="0.25">
      <c r="J394" s="16">
        <v>42494</v>
      </c>
      <c r="K394" s="15">
        <v>4552.6099999999997</v>
      </c>
    </row>
    <row r="395" spans="10:11" x14ac:dyDescent="0.25">
      <c r="J395" s="16">
        <v>42496</v>
      </c>
      <c r="K395" s="15">
        <v>8106.76</v>
      </c>
    </row>
    <row r="396" spans="10:11" x14ac:dyDescent="0.25">
      <c r="J396" s="16">
        <v>42509</v>
      </c>
      <c r="K396" s="15">
        <v>3484.38</v>
      </c>
    </row>
    <row r="397" spans="10:11" x14ac:dyDescent="0.25">
      <c r="J397" s="16">
        <v>42513</v>
      </c>
      <c r="K397" s="15">
        <v>1015.56</v>
      </c>
    </row>
    <row r="398" spans="10:11" x14ac:dyDescent="0.25">
      <c r="J398" s="16">
        <v>42873</v>
      </c>
      <c r="K398" s="15">
        <v>2326.7800000000002</v>
      </c>
    </row>
    <row r="399" spans="10:11" x14ac:dyDescent="0.25">
      <c r="J399" s="16">
        <v>42876</v>
      </c>
      <c r="K399" s="15">
        <v>2719.2</v>
      </c>
    </row>
    <row r="400" spans="10:11" x14ac:dyDescent="0.25">
      <c r="J400" s="16">
        <v>42877</v>
      </c>
      <c r="K400" s="15">
        <v>4538.26</v>
      </c>
    </row>
    <row r="401" spans="10:11" x14ac:dyDescent="0.25">
      <c r="J401" s="16">
        <v>43236</v>
      </c>
      <c r="K401" s="15">
        <v>636.79</v>
      </c>
    </row>
    <row r="402" spans="10:11" x14ac:dyDescent="0.25">
      <c r="J402" s="16">
        <v>43250</v>
      </c>
      <c r="K402" s="15">
        <v>8946.17</v>
      </c>
    </row>
    <row r="403" spans="10:11" x14ac:dyDescent="0.25">
      <c r="J403" s="16">
        <v>43608</v>
      </c>
      <c r="K403" s="15">
        <v>5772.4749999999995</v>
      </c>
    </row>
    <row r="404" spans="10:11" x14ac:dyDescent="0.25">
      <c r="J404" s="16">
        <v>43615</v>
      </c>
      <c r="K404" s="15">
        <v>4739.2550000000001</v>
      </c>
    </row>
    <row r="405" spans="10:11" x14ac:dyDescent="0.25">
      <c r="J405" s="11" t="s">
        <v>120</v>
      </c>
      <c r="K405" s="15">
        <v>5146.43472972973</v>
      </c>
    </row>
    <row r="406" spans="10:11" x14ac:dyDescent="0.25">
      <c r="J406" s="16">
        <v>36678</v>
      </c>
      <c r="K406" s="15">
        <v>6850.94</v>
      </c>
    </row>
    <row r="407" spans="10:11" x14ac:dyDescent="0.25">
      <c r="J407" s="16">
        <v>37048</v>
      </c>
      <c r="K407" s="15">
        <v>4978.1000000000004</v>
      </c>
    </row>
    <row r="408" spans="10:11" x14ac:dyDescent="0.25">
      <c r="J408" s="16">
        <v>37049</v>
      </c>
      <c r="K408" s="15">
        <v>5012.1899999999996</v>
      </c>
    </row>
    <row r="409" spans="10:11" x14ac:dyDescent="0.25">
      <c r="J409" s="16">
        <v>37051</v>
      </c>
      <c r="K409" s="15">
        <v>2440.35</v>
      </c>
    </row>
    <row r="410" spans="10:11" x14ac:dyDescent="0.25">
      <c r="J410" s="16">
        <v>37052</v>
      </c>
      <c r="K410" s="15">
        <v>7968.03</v>
      </c>
    </row>
    <row r="411" spans="10:11" x14ac:dyDescent="0.25">
      <c r="J411" s="16">
        <v>37059</v>
      </c>
      <c r="K411" s="15">
        <v>2194.59</v>
      </c>
    </row>
    <row r="412" spans="10:11" x14ac:dyDescent="0.25">
      <c r="J412" s="16">
        <v>37061</v>
      </c>
      <c r="K412" s="15">
        <v>3265.33</v>
      </c>
    </row>
    <row r="413" spans="10:11" x14ac:dyDescent="0.25">
      <c r="J413" s="16">
        <v>37065</v>
      </c>
      <c r="K413" s="15">
        <v>1102.5</v>
      </c>
    </row>
    <row r="414" spans="10:11" x14ac:dyDescent="0.25">
      <c r="J414" s="16">
        <v>37068</v>
      </c>
      <c r="K414" s="15">
        <v>4801.28</v>
      </c>
    </row>
    <row r="415" spans="10:11" x14ac:dyDescent="0.25">
      <c r="J415" s="16">
        <v>37773</v>
      </c>
      <c r="K415" s="15">
        <v>3406.58</v>
      </c>
    </row>
    <row r="416" spans="10:11" x14ac:dyDescent="0.25">
      <c r="J416" s="16">
        <v>37778</v>
      </c>
      <c r="K416" s="15">
        <v>5542.24</v>
      </c>
    </row>
    <row r="417" spans="10:11" x14ac:dyDescent="0.25">
      <c r="J417" s="16">
        <v>37779</v>
      </c>
      <c r="K417" s="15">
        <v>8260.51</v>
      </c>
    </row>
    <row r="418" spans="10:11" x14ac:dyDescent="0.25">
      <c r="J418" s="16">
        <v>37791</v>
      </c>
      <c r="K418" s="15">
        <v>3434.53</v>
      </c>
    </row>
    <row r="419" spans="10:11" x14ac:dyDescent="0.25">
      <c r="J419" s="16">
        <v>37794</v>
      </c>
      <c r="K419" s="15">
        <v>1924.44</v>
      </c>
    </row>
    <row r="420" spans="10:11" x14ac:dyDescent="0.25">
      <c r="J420" s="16">
        <v>38151</v>
      </c>
      <c r="K420" s="15">
        <v>6610.57</v>
      </c>
    </row>
    <row r="421" spans="10:11" x14ac:dyDescent="0.25">
      <c r="J421" s="16">
        <v>38152</v>
      </c>
      <c r="K421" s="15">
        <v>6006.24</v>
      </c>
    </row>
    <row r="422" spans="10:11" x14ac:dyDescent="0.25">
      <c r="J422" s="16">
        <v>38154</v>
      </c>
      <c r="K422" s="15">
        <v>2416.13</v>
      </c>
    </row>
    <row r="423" spans="10:11" x14ac:dyDescent="0.25">
      <c r="J423" s="16">
        <v>38155</v>
      </c>
      <c r="K423" s="15">
        <v>6088.73</v>
      </c>
    </row>
    <row r="424" spans="10:11" x14ac:dyDescent="0.25">
      <c r="J424" s="16">
        <v>38505</v>
      </c>
      <c r="K424" s="15">
        <v>7780.31</v>
      </c>
    </row>
    <row r="425" spans="10:11" x14ac:dyDescent="0.25">
      <c r="J425" s="16">
        <v>38509</v>
      </c>
      <c r="K425" s="15">
        <v>5951.76</v>
      </c>
    </row>
    <row r="426" spans="10:11" x14ac:dyDescent="0.25">
      <c r="J426" s="16">
        <v>38510</v>
      </c>
      <c r="K426" s="15">
        <v>9733.2999999999993</v>
      </c>
    </row>
    <row r="427" spans="10:11" x14ac:dyDescent="0.25">
      <c r="J427" s="16">
        <v>38515</v>
      </c>
      <c r="K427" s="15">
        <v>5689.02</v>
      </c>
    </row>
    <row r="428" spans="10:11" x14ac:dyDescent="0.25">
      <c r="J428" s="16">
        <v>38886</v>
      </c>
      <c r="K428" s="15">
        <v>1197.48</v>
      </c>
    </row>
    <row r="429" spans="10:11" x14ac:dyDescent="0.25">
      <c r="J429" s="16">
        <v>38890</v>
      </c>
      <c r="K429" s="15">
        <v>5384.4750000000004</v>
      </c>
    </row>
    <row r="430" spans="10:11" x14ac:dyDescent="0.25">
      <c r="J430" s="16">
        <v>38898</v>
      </c>
      <c r="K430" s="15">
        <v>4875.8950000000004</v>
      </c>
    </row>
    <row r="431" spans="10:11" x14ac:dyDescent="0.25">
      <c r="J431" s="16">
        <v>39258</v>
      </c>
      <c r="K431" s="15">
        <v>9796.9699999999993</v>
      </c>
    </row>
    <row r="432" spans="10:11" x14ac:dyDescent="0.25">
      <c r="J432" s="16">
        <v>39607</v>
      </c>
      <c r="K432" s="15">
        <v>8156.43</v>
      </c>
    </row>
    <row r="433" spans="10:11" x14ac:dyDescent="0.25">
      <c r="J433" s="16">
        <v>39615</v>
      </c>
      <c r="K433" s="15">
        <v>4541.6400000000003</v>
      </c>
    </row>
    <row r="434" spans="10:11" x14ac:dyDescent="0.25">
      <c r="J434" s="16">
        <v>39623</v>
      </c>
      <c r="K434" s="15">
        <v>914.2</v>
      </c>
    </row>
    <row r="435" spans="10:11" x14ac:dyDescent="0.25">
      <c r="J435" s="16">
        <v>39629</v>
      </c>
      <c r="K435" s="15">
        <v>3881.6</v>
      </c>
    </row>
    <row r="436" spans="10:11" x14ac:dyDescent="0.25">
      <c r="J436" s="16">
        <v>39966</v>
      </c>
      <c r="K436" s="15">
        <v>5402.58</v>
      </c>
    </row>
    <row r="437" spans="10:11" x14ac:dyDescent="0.25">
      <c r="J437" s="16">
        <v>39972</v>
      </c>
      <c r="K437" s="15">
        <v>1942.15</v>
      </c>
    </row>
    <row r="438" spans="10:11" x14ac:dyDescent="0.25">
      <c r="J438" s="16">
        <v>39975</v>
      </c>
      <c r="K438" s="15">
        <v>8181.25</v>
      </c>
    </row>
    <row r="439" spans="10:11" x14ac:dyDescent="0.25">
      <c r="J439" s="16">
        <v>39977</v>
      </c>
      <c r="K439" s="15">
        <v>5655.87</v>
      </c>
    </row>
    <row r="440" spans="10:11" x14ac:dyDescent="0.25">
      <c r="J440" s="16">
        <v>39978</v>
      </c>
      <c r="K440" s="15">
        <v>6927.47</v>
      </c>
    </row>
    <row r="441" spans="10:11" x14ac:dyDescent="0.25">
      <c r="J441" s="16">
        <v>39988</v>
      </c>
      <c r="K441" s="15">
        <v>4081.69</v>
      </c>
    </row>
    <row r="442" spans="10:11" x14ac:dyDescent="0.25">
      <c r="J442" s="16">
        <v>40335</v>
      </c>
      <c r="K442" s="15">
        <v>3279.42</v>
      </c>
    </row>
    <row r="443" spans="10:11" x14ac:dyDescent="0.25">
      <c r="J443" s="16">
        <v>40337</v>
      </c>
      <c r="K443" s="15">
        <v>7580.83</v>
      </c>
    </row>
    <row r="444" spans="10:11" x14ac:dyDescent="0.25">
      <c r="J444" s="16">
        <v>40340</v>
      </c>
      <c r="K444" s="15">
        <v>1317.17</v>
      </c>
    </row>
    <row r="445" spans="10:11" x14ac:dyDescent="0.25">
      <c r="J445" s="16">
        <v>40341</v>
      </c>
      <c r="K445" s="15">
        <v>6240.09</v>
      </c>
    </row>
    <row r="446" spans="10:11" x14ac:dyDescent="0.25">
      <c r="J446" s="16">
        <v>40345</v>
      </c>
      <c r="K446" s="15">
        <v>1146.47</v>
      </c>
    </row>
    <row r="447" spans="10:11" x14ac:dyDescent="0.25">
      <c r="J447" s="16">
        <v>40706</v>
      </c>
      <c r="K447" s="15">
        <v>9099.64</v>
      </c>
    </row>
    <row r="448" spans="10:11" x14ac:dyDescent="0.25">
      <c r="J448" s="16">
        <v>40708</v>
      </c>
      <c r="K448" s="15">
        <v>5246.07</v>
      </c>
    </row>
    <row r="449" spans="10:11" x14ac:dyDescent="0.25">
      <c r="J449" s="16">
        <v>40716</v>
      </c>
      <c r="K449" s="15">
        <v>6201.97</v>
      </c>
    </row>
    <row r="450" spans="10:11" x14ac:dyDescent="0.25">
      <c r="J450" s="16">
        <v>41078</v>
      </c>
      <c r="K450" s="15">
        <v>3402.59</v>
      </c>
    </row>
    <row r="451" spans="10:11" x14ac:dyDescent="0.25">
      <c r="J451" s="16">
        <v>41426</v>
      </c>
      <c r="K451" s="15">
        <v>6512.42</v>
      </c>
    </row>
    <row r="452" spans="10:11" x14ac:dyDescent="0.25">
      <c r="J452" s="16">
        <v>41437</v>
      </c>
      <c r="K452" s="15">
        <v>3311.91</v>
      </c>
    </row>
    <row r="453" spans="10:11" x14ac:dyDescent="0.25">
      <c r="J453" s="16">
        <v>41438</v>
      </c>
      <c r="K453" s="15">
        <v>1908.21</v>
      </c>
    </row>
    <row r="454" spans="10:11" x14ac:dyDescent="0.25">
      <c r="J454" s="16">
        <v>41795</v>
      </c>
      <c r="K454" s="15">
        <v>5625.24</v>
      </c>
    </row>
    <row r="455" spans="10:11" x14ac:dyDescent="0.25">
      <c r="J455" s="16">
        <v>41805</v>
      </c>
      <c r="K455" s="15">
        <v>9753.61</v>
      </c>
    </row>
    <row r="456" spans="10:11" x14ac:dyDescent="0.25">
      <c r="J456" s="16">
        <v>41814</v>
      </c>
      <c r="K456" s="15">
        <v>6083.8</v>
      </c>
    </row>
    <row r="457" spans="10:11" x14ac:dyDescent="0.25">
      <c r="J457" s="16">
        <v>42165</v>
      </c>
      <c r="K457" s="15">
        <v>8823.93</v>
      </c>
    </row>
    <row r="458" spans="10:11" x14ac:dyDescent="0.25">
      <c r="J458" s="16">
        <v>42182</v>
      </c>
      <c r="K458" s="15">
        <v>4198.93</v>
      </c>
    </row>
    <row r="459" spans="10:11" x14ac:dyDescent="0.25">
      <c r="J459" s="16">
        <v>42528</v>
      </c>
      <c r="K459" s="15">
        <v>3986.09</v>
      </c>
    </row>
    <row r="460" spans="10:11" x14ac:dyDescent="0.25">
      <c r="J460" s="16">
        <v>42532</v>
      </c>
      <c r="K460" s="15">
        <v>6256.63</v>
      </c>
    </row>
    <row r="461" spans="10:11" x14ac:dyDescent="0.25">
      <c r="J461" s="16">
        <v>42541</v>
      </c>
      <c r="K461" s="15">
        <v>3861.87</v>
      </c>
    </row>
    <row r="462" spans="10:11" x14ac:dyDescent="0.25">
      <c r="J462" s="16">
        <v>42544</v>
      </c>
      <c r="K462" s="15">
        <v>1958.14</v>
      </c>
    </row>
    <row r="463" spans="10:11" x14ac:dyDescent="0.25">
      <c r="J463" s="16">
        <v>42888</v>
      </c>
      <c r="K463" s="15">
        <v>4943.5</v>
      </c>
    </row>
    <row r="464" spans="10:11" x14ac:dyDescent="0.25">
      <c r="J464" s="16">
        <v>42890</v>
      </c>
      <c r="K464" s="15">
        <v>7739.91</v>
      </c>
    </row>
    <row r="465" spans="10:11" x14ac:dyDescent="0.25">
      <c r="J465" s="16">
        <v>42895</v>
      </c>
      <c r="K465" s="15">
        <v>2110.94</v>
      </c>
    </row>
    <row r="466" spans="10:11" x14ac:dyDescent="0.25">
      <c r="J466" s="16">
        <v>42908</v>
      </c>
      <c r="K466" s="15">
        <v>811.95</v>
      </c>
    </row>
    <row r="467" spans="10:11" x14ac:dyDescent="0.25">
      <c r="J467" s="16">
        <v>42909</v>
      </c>
      <c r="K467" s="15">
        <v>8470.7099999999991</v>
      </c>
    </row>
    <row r="468" spans="10:11" x14ac:dyDescent="0.25">
      <c r="J468" s="16">
        <v>42912</v>
      </c>
      <c r="K468" s="15">
        <v>6946.93</v>
      </c>
    </row>
    <row r="469" spans="10:11" x14ac:dyDescent="0.25">
      <c r="J469" s="16">
        <v>43253</v>
      </c>
      <c r="K469" s="15">
        <v>9517.8799999999992</v>
      </c>
    </row>
    <row r="470" spans="10:11" x14ac:dyDescent="0.25">
      <c r="J470" s="16">
        <v>43267</v>
      </c>
      <c r="K470" s="15">
        <v>5929.45</v>
      </c>
    </row>
    <row r="471" spans="10:11" x14ac:dyDescent="0.25">
      <c r="J471" s="16">
        <v>43281</v>
      </c>
      <c r="K471" s="15">
        <v>8552.51</v>
      </c>
    </row>
    <row r="472" spans="10:11" x14ac:dyDescent="0.25">
      <c r="J472" s="16">
        <v>43620</v>
      </c>
      <c r="K472" s="15">
        <v>1612.33</v>
      </c>
    </row>
    <row r="473" spans="10:11" x14ac:dyDescent="0.25">
      <c r="J473" s="16">
        <v>43626</v>
      </c>
      <c r="K473" s="15">
        <v>2479.25</v>
      </c>
    </row>
    <row r="474" spans="10:11" x14ac:dyDescent="0.25">
      <c r="J474" s="16">
        <v>43627</v>
      </c>
      <c r="K474" s="15">
        <v>9353.56</v>
      </c>
    </row>
    <row r="475" spans="10:11" x14ac:dyDescent="0.25">
      <c r="J475" s="16">
        <v>43634</v>
      </c>
      <c r="K475" s="15">
        <v>1314.12</v>
      </c>
    </row>
    <row r="476" spans="10:11" x14ac:dyDescent="0.25">
      <c r="J476" s="16">
        <v>43636</v>
      </c>
      <c r="K476" s="15">
        <v>4977.7</v>
      </c>
    </row>
    <row r="477" spans="10:11" x14ac:dyDescent="0.25">
      <c r="J477" s="16">
        <v>43641</v>
      </c>
      <c r="K477" s="15">
        <v>7622.66</v>
      </c>
    </row>
    <row r="478" spans="10:11" x14ac:dyDescent="0.25">
      <c r="J478" s="11" t="s">
        <v>121</v>
      </c>
      <c r="K478" s="15">
        <v>4854.205972222222</v>
      </c>
    </row>
    <row r="479" spans="10:11" x14ac:dyDescent="0.25">
      <c r="J479" s="16">
        <v>36717</v>
      </c>
      <c r="K479" s="15">
        <v>3373.96</v>
      </c>
    </row>
    <row r="480" spans="10:11" x14ac:dyDescent="0.25">
      <c r="J480" s="16">
        <v>36722</v>
      </c>
      <c r="K480" s="15">
        <v>3119.49</v>
      </c>
    </row>
    <row r="481" spans="10:11" x14ac:dyDescent="0.25">
      <c r="J481" s="16">
        <v>36729</v>
      </c>
      <c r="K481" s="15">
        <v>6780.31</v>
      </c>
    </row>
    <row r="482" spans="10:11" x14ac:dyDescent="0.25">
      <c r="J482" s="16">
        <v>37075</v>
      </c>
      <c r="K482" s="15">
        <v>5946.3</v>
      </c>
    </row>
    <row r="483" spans="10:11" x14ac:dyDescent="0.25">
      <c r="J483" s="16">
        <v>37086</v>
      </c>
      <c r="K483" s="15">
        <v>3995.42</v>
      </c>
    </row>
    <row r="484" spans="10:11" x14ac:dyDescent="0.25">
      <c r="J484" s="16">
        <v>37095</v>
      </c>
      <c r="K484" s="15">
        <v>5341.96</v>
      </c>
    </row>
    <row r="485" spans="10:11" x14ac:dyDescent="0.25">
      <c r="J485" s="16">
        <v>37440</v>
      </c>
      <c r="K485" s="15">
        <v>1730.5</v>
      </c>
    </row>
    <row r="486" spans="10:11" x14ac:dyDescent="0.25">
      <c r="J486" s="16">
        <v>37456</v>
      </c>
      <c r="K486" s="15">
        <v>3897.15</v>
      </c>
    </row>
    <row r="487" spans="10:11" x14ac:dyDescent="0.25">
      <c r="J487" s="16">
        <v>37804</v>
      </c>
      <c r="K487" s="15">
        <v>1525.34</v>
      </c>
    </row>
    <row r="488" spans="10:11" x14ac:dyDescent="0.25">
      <c r="J488" s="16">
        <v>37818</v>
      </c>
      <c r="K488" s="15">
        <v>5148.72</v>
      </c>
    </row>
    <row r="489" spans="10:11" x14ac:dyDescent="0.25">
      <c r="J489" s="16">
        <v>37825</v>
      </c>
      <c r="K489" s="15">
        <v>1866.01</v>
      </c>
    </row>
    <row r="490" spans="10:11" x14ac:dyDescent="0.25">
      <c r="J490" s="16">
        <v>37826</v>
      </c>
      <c r="K490" s="15">
        <v>2284.4899999999998</v>
      </c>
    </row>
    <row r="491" spans="10:11" x14ac:dyDescent="0.25">
      <c r="J491" s="16">
        <v>37829</v>
      </c>
      <c r="K491" s="15">
        <v>5193.82</v>
      </c>
    </row>
    <row r="492" spans="10:11" x14ac:dyDescent="0.25">
      <c r="J492" s="16">
        <v>38169</v>
      </c>
      <c r="K492" s="15">
        <v>7963.98</v>
      </c>
    </row>
    <row r="493" spans="10:11" x14ac:dyDescent="0.25">
      <c r="J493" s="16">
        <v>38175</v>
      </c>
      <c r="K493" s="15">
        <v>8070.98</v>
      </c>
    </row>
    <row r="494" spans="10:11" x14ac:dyDescent="0.25">
      <c r="J494" s="16">
        <v>38178</v>
      </c>
      <c r="K494" s="15">
        <v>9305.75</v>
      </c>
    </row>
    <row r="495" spans="10:11" x14ac:dyDescent="0.25">
      <c r="J495" s="16">
        <v>38179</v>
      </c>
      <c r="K495" s="15">
        <v>5407.12</v>
      </c>
    </row>
    <row r="496" spans="10:11" x14ac:dyDescent="0.25">
      <c r="J496" s="16">
        <v>38186</v>
      </c>
      <c r="K496" s="15">
        <v>6728.68</v>
      </c>
    </row>
    <row r="497" spans="10:11" x14ac:dyDescent="0.25">
      <c r="J497" s="16">
        <v>38191</v>
      </c>
      <c r="K497" s="15">
        <v>8820.7199999999993</v>
      </c>
    </row>
    <row r="498" spans="10:11" x14ac:dyDescent="0.25">
      <c r="J498" s="16">
        <v>38193</v>
      </c>
      <c r="K498" s="15">
        <v>6236.32</v>
      </c>
    </row>
    <row r="499" spans="10:11" x14ac:dyDescent="0.25">
      <c r="J499" s="16">
        <v>38195</v>
      </c>
      <c r="K499" s="15">
        <v>7726.92</v>
      </c>
    </row>
    <row r="500" spans="10:11" x14ac:dyDescent="0.25">
      <c r="J500" s="16">
        <v>38551</v>
      </c>
      <c r="K500" s="15">
        <v>5334.29</v>
      </c>
    </row>
    <row r="501" spans="10:11" x14ac:dyDescent="0.25">
      <c r="J501" s="16">
        <v>38557</v>
      </c>
      <c r="K501" s="15">
        <v>5129.75</v>
      </c>
    </row>
    <row r="502" spans="10:11" x14ac:dyDescent="0.25">
      <c r="J502" s="16">
        <v>39268</v>
      </c>
      <c r="K502" s="15">
        <v>3153.1</v>
      </c>
    </row>
    <row r="503" spans="10:11" x14ac:dyDescent="0.25">
      <c r="J503" s="16">
        <v>39271</v>
      </c>
      <c r="K503" s="15">
        <v>3967.99</v>
      </c>
    </row>
    <row r="504" spans="10:11" x14ac:dyDescent="0.25">
      <c r="J504" s="16">
        <v>39281</v>
      </c>
      <c r="K504" s="15">
        <v>6627.9</v>
      </c>
    </row>
    <row r="505" spans="10:11" x14ac:dyDescent="0.25">
      <c r="J505" s="16">
        <v>39282</v>
      </c>
      <c r="K505" s="15">
        <v>4911.1400000000003</v>
      </c>
    </row>
    <row r="506" spans="10:11" x14ac:dyDescent="0.25">
      <c r="J506" s="16">
        <v>39284</v>
      </c>
      <c r="K506" s="15">
        <v>5801.46</v>
      </c>
    </row>
    <row r="507" spans="10:11" x14ac:dyDescent="0.25">
      <c r="J507" s="16">
        <v>39640</v>
      </c>
      <c r="K507" s="15">
        <v>3251.56</v>
      </c>
    </row>
    <row r="508" spans="10:11" x14ac:dyDescent="0.25">
      <c r="J508" s="16">
        <v>39649</v>
      </c>
      <c r="K508" s="15">
        <v>2484.75</v>
      </c>
    </row>
    <row r="509" spans="10:11" x14ac:dyDescent="0.25">
      <c r="J509" s="16">
        <v>39652</v>
      </c>
      <c r="K509" s="15">
        <v>6662.32</v>
      </c>
    </row>
    <row r="510" spans="10:11" x14ac:dyDescent="0.25">
      <c r="J510" s="16">
        <v>40002</v>
      </c>
      <c r="K510" s="15">
        <v>4838.32</v>
      </c>
    </row>
    <row r="511" spans="10:11" x14ac:dyDescent="0.25">
      <c r="J511" s="16">
        <v>40006</v>
      </c>
      <c r="K511" s="15">
        <v>3840.2</v>
      </c>
    </row>
    <row r="512" spans="10:11" x14ac:dyDescent="0.25">
      <c r="J512" s="16">
        <v>40371</v>
      </c>
      <c r="K512" s="15">
        <v>3231.82</v>
      </c>
    </row>
    <row r="513" spans="10:11" x14ac:dyDescent="0.25">
      <c r="J513" s="16">
        <v>40387</v>
      </c>
      <c r="K513" s="15">
        <v>6327.94</v>
      </c>
    </row>
    <row r="514" spans="10:11" x14ac:dyDescent="0.25">
      <c r="J514" s="16">
        <v>40727</v>
      </c>
      <c r="K514" s="15">
        <v>9750.75</v>
      </c>
    </row>
    <row r="515" spans="10:11" x14ac:dyDescent="0.25">
      <c r="J515" s="16">
        <v>40733</v>
      </c>
      <c r="K515" s="15">
        <v>3104.26</v>
      </c>
    </row>
    <row r="516" spans="10:11" x14ac:dyDescent="0.25">
      <c r="J516" s="16">
        <v>40747</v>
      </c>
      <c r="K516" s="15">
        <v>1925.21</v>
      </c>
    </row>
    <row r="517" spans="10:11" x14ac:dyDescent="0.25">
      <c r="J517" s="16">
        <v>40750</v>
      </c>
      <c r="K517" s="15">
        <v>1366.86</v>
      </c>
    </row>
    <row r="518" spans="10:11" x14ac:dyDescent="0.25">
      <c r="J518" s="16">
        <v>41111</v>
      </c>
      <c r="K518" s="15">
        <v>3881.43</v>
      </c>
    </row>
    <row r="519" spans="10:11" x14ac:dyDescent="0.25">
      <c r="J519" s="16">
        <v>41116</v>
      </c>
      <c r="K519" s="15">
        <v>9797.81</v>
      </c>
    </row>
    <row r="520" spans="10:11" x14ac:dyDescent="0.25">
      <c r="J520" s="16">
        <v>41465</v>
      </c>
      <c r="K520" s="15">
        <v>8465.7199999999993</v>
      </c>
    </row>
    <row r="521" spans="10:11" x14ac:dyDescent="0.25">
      <c r="J521" s="16">
        <v>41468</v>
      </c>
      <c r="K521" s="15">
        <v>7108.6</v>
      </c>
    </row>
    <row r="522" spans="10:11" x14ac:dyDescent="0.25">
      <c r="J522" s="16">
        <v>41483</v>
      </c>
      <c r="K522" s="15">
        <v>4711.22</v>
      </c>
    </row>
    <row r="523" spans="10:11" x14ac:dyDescent="0.25">
      <c r="J523" s="16">
        <v>41486</v>
      </c>
      <c r="K523" s="15">
        <v>3604.54</v>
      </c>
    </row>
    <row r="524" spans="10:11" x14ac:dyDescent="0.25">
      <c r="J524" s="16">
        <v>41830</v>
      </c>
      <c r="K524" s="15">
        <v>3108.36</v>
      </c>
    </row>
    <row r="525" spans="10:11" x14ac:dyDescent="0.25">
      <c r="J525" s="16">
        <v>41835</v>
      </c>
      <c r="K525" s="15">
        <v>7311.86</v>
      </c>
    </row>
    <row r="526" spans="10:11" x14ac:dyDescent="0.25">
      <c r="J526" s="16">
        <v>41837</v>
      </c>
      <c r="K526" s="15">
        <v>5235.54</v>
      </c>
    </row>
    <row r="527" spans="10:11" x14ac:dyDescent="0.25">
      <c r="J527" s="16">
        <v>41841</v>
      </c>
      <c r="K527" s="15">
        <v>6838.47</v>
      </c>
    </row>
    <row r="528" spans="10:11" x14ac:dyDescent="0.25">
      <c r="J528" s="16">
        <v>41847</v>
      </c>
      <c r="K528" s="15">
        <v>4817.13</v>
      </c>
    </row>
    <row r="529" spans="10:11" x14ac:dyDescent="0.25">
      <c r="J529" s="16">
        <v>42192</v>
      </c>
      <c r="K529" s="15">
        <v>1614.25</v>
      </c>
    </row>
    <row r="530" spans="10:11" x14ac:dyDescent="0.25">
      <c r="J530" s="16">
        <v>42198</v>
      </c>
      <c r="K530" s="15">
        <v>4912.0300000000007</v>
      </c>
    </row>
    <row r="531" spans="10:11" x14ac:dyDescent="0.25">
      <c r="J531" s="16">
        <v>42199</v>
      </c>
      <c r="K531" s="15">
        <v>1654.94</v>
      </c>
    </row>
    <row r="532" spans="10:11" x14ac:dyDescent="0.25">
      <c r="J532" s="16">
        <v>42210</v>
      </c>
      <c r="K532" s="15">
        <v>8367.2800000000007</v>
      </c>
    </row>
    <row r="533" spans="10:11" x14ac:dyDescent="0.25">
      <c r="J533" s="16">
        <v>42213</v>
      </c>
      <c r="K533" s="15">
        <v>7910.4</v>
      </c>
    </row>
    <row r="534" spans="10:11" x14ac:dyDescent="0.25">
      <c r="J534" s="16">
        <v>42559</v>
      </c>
      <c r="K534" s="15">
        <v>3911.42</v>
      </c>
    </row>
    <row r="535" spans="10:11" x14ac:dyDescent="0.25">
      <c r="J535" s="16">
        <v>42561</v>
      </c>
      <c r="K535" s="15">
        <v>9218.8700000000008</v>
      </c>
    </row>
    <row r="536" spans="10:11" x14ac:dyDescent="0.25">
      <c r="J536" s="16">
        <v>42564</v>
      </c>
      <c r="K536" s="15">
        <v>7640.35</v>
      </c>
    </row>
    <row r="537" spans="10:11" x14ac:dyDescent="0.25">
      <c r="J537" s="16">
        <v>42576</v>
      </c>
      <c r="K537" s="15">
        <v>1199.02</v>
      </c>
    </row>
    <row r="538" spans="10:11" x14ac:dyDescent="0.25">
      <c r="J538" s="16">
        <v>42929</v>
      </c>
      <c r="K538" s="15">
        <v>1087.8599999999999</v>
      </c>
    </row>
    <row r="539" spans="10:11" x14ac:dyDescent="0.25">
      <c r="J539" s="16">
        <v>42942</v>
      </c>
      <c r="K539" s="15">
        <v>749.75</v>
      </c>
    </row>
    <row r="540" spans="10:11" x14ac:dyDescent="0.25">
      <c r="J540" s="16">
        <v>43286</v>
      </c>
      <c r="K540" s="15">
        <v>5470.71</v>
      </c>
    </row>
    <row r="541" spans="10:11" x14ac:dyDescent="0.25">
      <c r="J541" s="16">
        <v>43649</v>
      </c>
      <c r="K541" s="15">
        <v>3270.41</v>
      </c>
    </row>
    <row r="542" spans="10:11" x14ac:dyDescent="0.25">
      <c r="J542" s="16">
        <v>43652</v>
      </c>
      <c r="K542" s="15">
        <v>2569.09</v>
      </c>
    </row>
    <row r="543" spans="10:11" x14ac:dyDescent="0.25">
      <c r="J543" s="16">
        <v>43653</v>
      </c>
      <c r="K543" s="15">
        <v>1361.41</v>
      </c>
    </row>
    <row r="544" spans="10:11" x14ac:dyDescent="0.25">
      <c r="J544" s="16">
        <v>43667</v>
      </c>
      <c r="K544" s="15">
        <v>1877.71</v>
      </c>
    </row>
    <row r="545" spans="10:11" x14ac:dyDescent="0.25">
      <c r="J545" s="16">
        <v>43668</v>
      </c>
      <c r="K545" s="15">
        <v>3664.66</v>
      </c>
    </row>
    <row r="546" spans="10:11" x14ac:dyDescent="0.25">
      <c r="J546" s="16">
        <v>43669</v>
      </c>
      <c r="K546" s="15">
        <v>6332.6</v>
      </c>
    </row>
    <row r="547" spans="10:11" x14ac:dyDescent="0.25">
      <c r="J547" s="16">
        <v>43671</v>
      </c>
      <c r="K547" s="15">
        <v>3177.88</v>
      </c>
    </row>
    <row r="548" spans="10:11" x14ac:dyDescent="0.25">
      <c r="J548" s="16">
        <v>43672</v>
      </c>
      <c r="K548" s="15">
        <v>6397.2</v>
      </c>
    </row>
    <row r="549" spans="10:11" x14ac:dyDescent="0.25">
      <c r="J549" s="11" t="s">
        <v>122</v>
      </c>
      <c r="K549" s="15">
        <v>5254.4100000000017</v>
      </c>
    </row>
    <row r="550" spans="10:11" x14ac:dyDescent="0.25">
      <c r="J550" s="16">
        <v>36745</v>
      </c>
      <c r="K550" s="15">
        <v>2266.12</v>
      </c>
    </row>
    <row r="551" spans="10:11" x14ac:dyDescent="0.25">
      <c r="J551" s="16">
        <v>36751</v>
      </c>
      <c r="K551" s="15">
        <v>789.07</v>
      </c>
    </row>
    <row r="552" spans="10:11" x14ac:dyDescent="0.25">
      <c r="J552" s="16">
        <v>36764</v>
      </c>
      <c r="K552" s="15">
        <v>6781.08</v>
      </c>
    </row>
    <row r="553" spans="10:11" x14ac:dyDescent="0.25">
      <c r="J553" s="16">
        <v>36767</v>
      </c>
      <c r="K553" s="15">
        <v>7142.9449999999997</v>
      </c>
    </row>
    <row r="554" spans="10:11" x14ac:dyDescent="0.25">
      <c r="J554" s="16">
        <v>37104</v>
      </c>
      <c r="K554" s="15">
        <v>4729.28</v>
      </c>
    </row>
    <row r="555" spans="10:11" x14ac:dyDescent="0.25">
      <c r="J555" s="16">
        <v>37106</v>
      </c>
      <c r="K555" s="15">
        <v>4459.8900000000003</v>
      </c>
    </row>
    <row r="556" spans="10:11" x14ac:dyDescent="0.25">
      <c r="J556" s="16">
        <v>37131</v>
      </c>
      <c r="K556" s="15">
        <v>4871.67</v>
      </c>
    </row>
    <row r="557" spans="10:11" x14ac:dyDescent="0.25">
      <c r="J557" s="16">
        <v>37133</v>
      </c>
      <c r="K557" s="15">
        <v>8224.8799999999992</v>
      </c>
    </row>
    <row r="558" spans="10:11" x14ac:dyDescent="0.25">
      <c r="J558" s="16">
        <v>37134</v>
      </c>
      <c r="K558" s="15">
        <v>8572.08</v>
      </c>
    </row>
    <row r="559" spans="10:11" x14ac:dyDescent="0.25">
      <c r="J559" s="16">
        <v>37470</v>
      </c>
      <c r="K559" s="15">
        <v>4396.95</v>
      </c>
    </row>
    <row r="560" spans="10:11" x14ac:dyDescent="0.25">
      <c r="J560" s="16">
        <v>37475</v>
      </c>
      <c r="K560" s="15">
        <v>2047.58</v>
      </c>
    </row>
    <row r="561" spans="10:11" x14ac:dyDescent="0.25">
      <c r="J561" s="16">
        <v>37480</v>
      </c>
      <c r="K561" s="15">
        <v>2171.27</v>
      </c>
    </row>
    <row r="562" spans="10:11" x14ac:dyDescent="0.25">
      <c r="J562" s="16">
        <v>37482</v>
      </c>
      <c r="K562" s="15">
        <v>4356.0600000000004</v>
      </c>
    </row>
    <row r="563" spans="10:11" x14ac:dyDescent="0.25">
      <c r="J563" s="16">
        <v>37491</v>
      </c>
      <c r="K563" s="15">
        <v>6850.42</v>
      </c>
    </row>
    <row r="564" spans="10:11" x14ac:dyDescent="0.25">
      <c r="J564" s="16">
        <v>37494</v>
      </c>
      <c r="K564" s="15">
        <v>1117.05</v>
      </c>
    </row>
    <row r="565" spans="10:11" x14ac:dyDescent="0.25">
      <c r="J565" s="16">
        <v>37848</v>
      </c>
      <c r="K565" s="15">
        <v>2159.0700000000002</v>
      </c>
    </row>
    <row r="566" spans="10:11" x14ac:dyDescent="0.25">
      <c r="J566" s="16">
        <v>37858</v>
      </c>
      <c r="K566" s="15">
        <v>2728.42</v>
      </c>
    </row>
    <row r="567" spans="10:11" x14ac:dyDescent="0.25">
      <c r="J567" s="16">
        <v>38219</v>
      </c>
      <c r="K567" s="15">
        <v>3920.18</v>
      </c>
    </row>
    <row r="568" spans="10:11" x14ac:dyDescent="0.25">
      <c r="J568" s="16">
        <v>38221</v>
      </c>
      <c r="K568" s="15">
        <v>4845.82</v>
      </c>
    </row>
    <row r="569" spans="10:11" x14ac:dyDescent="0.25">
      <c r="J569" s="16">
        <v>38223</v>
      </c>
      <c r="K569" s="15">
        <v>2464.65</v>
      </c>
    </row>
    <row r="570" spans="10:11" x14ac:dyDescent="0.25">
      <c r="J570" s="16">
        <v>38227</v>
      </c>
      <c r="K570" s="15">
        <v>2516.7199999999998</v>
      </c>
    </row>
    <row r="571" spans="10:11" x14ac:dyDescent="0.25">
      <c r="J571" s="16">
        <v>38565</v>
      </c>
      <c r="K571" s="15">
        <v>6532.68</v>
      </c>
    </row>
    <row r="572" spans="10:11" x14ac:dyDescent="0.25">
      <c r="J572" s="16">
        <v>38572</v>
      </c>
      <c r="K572" s="15">
        <v>9805.08</v>
      </c>
    </row>
    <row r="573" spans="10:11" x14ac:dyDescent="0.25">
      <c r="J573" s="16">
        <v>38582</v>
      </c>
      <c r="K573" s="15">
        <v>4486.1899999999996</v>
      </c>
    </row>
    <row r="574" spans="10:11" x14ac:dyDescent="0.25">
      <c r="J574" s="16">
        <v>38593</v>
      </c>
      <c r="K574" s="15">
        <v>9277.7900000000009</v>
      </c>
    </row>
    <row r="575" spans="10:11" x14ac:dyDescent="0.25">
      <c r="J575" s="16">
        <v>38933</v>
      </c>
      <c r="K575" s="15">
        <v>7044.89</v>
      </c>
    </row>
    <row r="576" spans="10:11" x14ac:dyDescent="0.25">
      <c r="J576" s="16">
        <v>38942</v>
      </c>
      <c r="K576" s="15">
        <v>9016.11</v>
      </c>
    </row>
    <row r="577" spans="10:11" x14ac:dyDescent="0.25">
      <c r="J577" s="16">
        <v>38944</v>
      </c>
      <c r="K577" s="15">
        <v>8789.4</v>
      </c>
    </row>
    <row r="578" spans="10:11" x14ac:dyDescent="0.25">
      <c r="J578" s="16">
        <v>39304</v>
      </c>
      <c r="K578" s="15">
        <v>805.06</v>
      </c>
    </row>
    <row r="579" spans="10:11" x14ac:dyDescent="0.25">
      <c r="J579" s="16">
        <v>39306</v>
      </c>
      <c r="K579" s="15">
        <v>4415.8500000000004</v>
      </c>
    </row>
    <row r="580" spans="10:11" x14ac:dyDescent="0.25">
      <c r="J580" s="16">
        <v>39308</v>
      </c>
      <c r="K580" s="15">
        <v>2818.39</v>
      </c>
    </row>
    <row r="581" spans="10:11" x14ac:dyDescent="0.25">
      <c r="J581" s="16">
        <v>39311</v>
      </c>
      <c r="K581" s="15">
        <v>7615.87</v>
      </c>
    </row>
    <row r="582" spans="10:11" x14ac:dyDescent="0.25">
      <c r="J582" s="16">
        <v>39312</v>
      </c>
      <c r="K582" s="15">
        <v>9735.02</v>
      </c>
    </row>
    <row r="583" spans="10:11" x14ac:dyDescent="0.25">
      <c r="J583" s="16">
        <v>39317</v>
      </c>
      <c r="K583" s="15">
        <v>3284.27</v>
      </c>
    </row>
    <row r="584" spans="10:11" x14ac:dyDescent="0.25">
      <c r="J584" s="16">
        <v>39662</v>
      </c>
      <c r="K584" s="15">
        <v>8183.42</v>
      </c>
    </row>
    <row r="585" spans="10:11" x14ac:dyDescent="0.25">
      <c r="J585" s="16">
        <v>39665</v>
      </c>
      <c r="K585" s="15">
        <v>1481.14</v>
      </c>
    </row>
    <row r="586" spans="10:11" x14ac:dyDescent="0.25">
      <c r="J586" s="16">
        <v>39666</v>
      </c>
      <c r="K586" s="15">
        <v>1912.98</v>
      </c>
    </row>
    <row r="587" spans="10:11" x14ac:dyDescent="0.25">
      <c r="J587" s="16">
        <v>39670</v>
      </c>
      <c r="K587" s="15">
        <v>3467.29</v>
      </c>
    </row>
    <row r="588" spans="10:11" x14ac:dyDescent="0.25">
      <c r="J588" s="16">
        <v>39671</v>
      </c>
      <c r="K588" s="15">
        <v>3981.89</v>
      </c>
    </row>
    <row r="589" spans="10:11" x14ac:dyDescent="0.25">
      <c r="J589" s="16">
        <v>39679</v>
      </c>
      <c r="K589" s="15">
        <v>5658.2250000000004</v>
      </c>
    </row>
    <row r="590" spans="10:11" x14ac:dyDescent="0.25">
      <c r="J590" s="16">
        <v>40038</v>
      </c>
      <c r="K590" s="15">
        <v>1391.37</v>
      </c>
    </row>
    <row r="591" spans="10:11" x14ac:dyDescent="0.25">
      <c r="J591" s="16">
        <v>40046</v>
      </c>
      <c r="K591" s="15">
        <v>4907.97</v>
      </c>
    </row>
    <row r="592" spans="10:11" x14ac:dyDescent="0.25">
      <c r="J592" s="16">
        <v>40047</v>
      </c>
      <c r="K592" s="15">
        <v>5727.7</v>
      </c>
    </row>
    <row r="593" spans="10:11" x14ac:dyDescent="0.25">
      <c r="J593" s="16">
        <v>40050</v>
      </c>
      <c r="K593" s="15">
        <v>2605.7199999999998</v>
      </c>
    </row>
    <row r="594" spans="10:11" x14ac:dyDescent="0.25">
      <c r="J594" s="16">
        <v>40399</v>
      </c>
      <c r="K594" s="15">
        <v>9827.0499999999993</v>
      </c>
    </row>
    <row r="595" spans="10:11" x14ac:dyDescent="0.25">
      <c r="J595" s="16">
        <v>40401</v>
      </c>
      <c r="K595" s="15">
        <v>5830.76</v>
      </c>
    </row>
    <row r="596" spans="10:11" x14ac:dyDescent="0.25">
      <c r="J596" s="16">
        <v>40757</v>
      </c>
      <c r="K596" s="15">
        <v>8735.99</v>
      </c>
    </row>
    <row r="597" spans="10:11" x14ac:dyDescent="0.25">
      <c r="J597" s="16">
        <v>40760</v>
      </c>
      <c r="K597" s="15">
        <v>3297.39</v>
      </c>
    </row>
    <row r="598" spans="10:11" x14ac:dyDescent="0.25">
      <c r="J598" s="16">
        <v>40780</v>
      </c>
      <c r="K598" s="15">
        <v>7312.92</v>
      </c>
    </row>
    <row r="599" spans="10:11" x14ac:dyDescent="0.25">
      <c r="J599" s="16">
        <v>40782</v>
      </c>
      <c r="K599" s="15">
        <v>8354.24</v>
      </c>
    </row>
    <row r="600" spans="10:11" x14ac:dyDescent="0.25">
      <c r="J600" s="16">
        <v>40786</v>
      </c>
      <c r="K600" s="15">
        <v>8963.09</v>
      </c>
    </row>
    <row r="601" spans="10:11" x14ac:dyDescent="0.25">
      <c r="J601" s="16">
        <v>41140</v>
      </c>
      <c r="K601" s="15">
        <v>7086.87</v>
      </c>
    </row>
    <row r="602" spans="10:11" x14ac:dyDescent="0.25">
      <c r="J602" s="16">
        <v>41145</v>
      </c>
      <c r="K602" s="15">
        <v>8085.67</v>
      </c>
    </row>
    <row r="603" spans="10:11" x14ac:dyDescent="0.25">
      <c r="J603" s="16">
        <v>41507</v>
      </c>
      <c r="K603" s="15">
        <v>5614.24</v>
      </c>
    </row>
    <row r="604" spans="10:11" x14ac:dyDescent="0.25">
      <c r="J604" s="16">
        <v>41516</v>
      </c>
      <c r="K604" s="15">
        <v>1446.41</v>
      </c>
    </row>
    <row r="605" spans="10:11" x14ac:dyDescent="0.25">
      <c r="J605" s="16">
        <v>41864</v>
      </c>
      <c r="K605" s="15">
        <v>7049.12</v>
      </c>
    </row>
    <row r="606" spans="10:11" x14ac:dyDescent="0.25">
      <c r="J606" s="16">
        <v>41876</v>
      </c>
      <c r="K606" s="15">
        <v>5672.31</v>
      </c>
    </row>
    <row r="607" spans="10:11" x14ac:dyDescent="0.25">
      <c r="J607" s="16">
        <v>42217</v>
      </c>
      <c r="K607" s="15">
        <v>3166.94</v>
      </c>
    </row>
    <row r="608" spans="10:11" x14ac:dyDescent="0.25">
      <c r="J608" s="16">
        <v>42225</v>
      </c>
      <c r="K608" s="15">
        <v>520.65</v>
      </c>
    </row>
    <row r="609" spans="10:11" x14ac:dyDescent="0.25">
      <c r="J609" s="16">
        <v>42585</v>
      </c>
      <c r="K609" s="15">
        <v>9041.43</v>
      </c>
    </row>
    <row r="610" spans="10:11" x14ac:dyDescent="0.25">
      <c r="J610" s="16">
        <v>42592</v>
      </c>
      <c r="K610" s="15">
        <v>9602.75</v>
      </c>
    </row>
    <row r="611" spans="10:11" x14ac:dyDescent="0.25">
      <c r="J611" s="16">
        <v>42593</v>
      </c>
      <c r="K611" s="15">
        <v>1784.06</v>
      </c>
    </row>
    <row r="612" spans="10:11" x14ac:dyDescent="0.25">
      <c r="J612" s="16">
        <v>42607</v>
      </c>
      <c r="K612" s="15">
        <v>5229.07</v>
      </c>
    </row>
    <row r="613" spans="10:11" x14ac:dyDescent="0.25">
      <c r="J613" s="16">
        <v>42954</v>
      </c>
      <c r="K613" s="15">
        <v>1695.89</v>
      </c>
    </row>
    <row r="614" spans="10:11" x14ac:dyDescent="0.25">
      <c r="J614" s="16">
        <v>42962</v>
      </c>
      <c r="K614" s="15">
        <v>2724.49</v>
      </c>
    </row>
    <row r="615" spans="10:11" x14ac:dyDescent="0.25">
      <c r="J615" s="16">
        <v>42963</v>
      </c>
      <c r="K615" s="15">
        <v>5657.71</v>
      </c>
    </row>
    <row r="616" spans="10:11" x14ac:dyDescent="0.25">
      <c r="J616" s="16">
        <v>42966</v>
      </c>
      <c r="K616" s="15">
        <v>9659.19</v>
      </c>
    </row>
    <row r="617" spans="10:11" x14ac:dyDescent="0.25">
      <c r="J617" s="16">
        <v>42977</v>
      </c>
      <c r="K617" s="15">
        <v>4118.8100000000004</v>
      </c>
    </row>
    <row r="618" spans="10:11" x14ac:dyDescent="0.25">
      <c r="J618" s="16">
        <v>43323</v>
      </c>
      <c r="K618" s="15">
        <v>4259.17</v>
      </c>
    </row>
    <row r="619" spans="10:11" x14ac:dyDescent="0.25">
      <c r="J619" s="16">
        <v>43324</v>
      </c>
      <c r="K619" s="15">
        <v>3551.41</v>
      </c>
    </row>
    <row r="620" spans="10:11" x14ac:dyDescent="0.25">
      <c r="J620" s="16">
        <v>43326</v>
      </c>
      <c r="K620" s="15">
        <v>3836.64</v>
      </c>
    </row>
    <row r="621" spans="10:11" x14ac:dyDescent="0.25">
      <c r="J621" s="16">
        <v>43337</v>
      </c>
      <c r="K621" s="15">
        <v>6687.9</v>
      </c>
    </row>
    <row r="622" spans="10:11" x14ac:dyDescent="0.25">
      <c r="J622" s="16">
        <v>43338</v>
      </c>
      <c r="K622" s="15">
        <v>5315.85</v>
      </c>
    </row>
    <row r="623" spans="10:11" x14ac:dyDescent="0.25">
      <c r="J623" s="16">
        <v>43683</v>
      </c>
      <c r="K623" s="15">
        <v>6578.27</v>
      </c>
    </row>
    <row r="624" spans="10:11" x14ac:dyDescent="0.25">
      <c r="J624" s="16">
        <v>43686</v>
      </c>
      <c r="K624" s="15">
        <v>7246.5</v>
      </c>
    </row>
    <row r="625" spans="10:11" x14ac:dyDescent="0.25">
      <c r="J625" s="16">
        <v>43689</v>
      </c>
      <c r="K625" s="15">
        <v>9024.94</v>
      </c>
    </row>
    <row r="626" spans="10:11" x14ac:dyDescent="0.25">
      <c r="J626" s="16">
        <v>43691</v>
      </c>
      <c r="K626" s="15">
        <v>3826.58</v>
      </c>
    </row>
    <row r="627" spans="10:11" x14ac:dyDescent="0.25">
      <c r="J627" s="16">
        <v>43692</v>
      </c>
      <c r="K627" s="15">
        <v>9941.56</v>
      </c>
    </row>
    <row r="628" spans="10:11" x14ac:dyDescent="0.25">
      <c r="J628" s="16">
        <v>43693</v>
      </c>
      <c r="K628" s="15">
        <v>6358.9</v>
      </c>
    </row>
    <row r="629" spans="10:11" x14ac:dyDescent="0.25">
      <c r="J629" s="16">
        <v>43699</v>
      </c>
      <c r="K629" s="15">
        <v>1735.77</v>
      </c>
    </row>
    <row r="630" spans="10:11" x14ac:dyDescent="0.25">
      <c r="J630" s="11" t="s">
        <v>123</v>
      </c>
      <c r="K630" s="15">
        <v>5320.6549999999997</v>
      </c>
    </row>
    <row r="631" spans="10:11" x14ac:dyDescent="0.25">
      <c r="J631" s="16">
        <v>36774</v>
      </c>
      <c r="K631" s="15">
        <v>3627.6</v>
      </c>
    </row>
    <row r="632" spans="10:11" x14ac:dyDescent="0.25">
      <c r="J632" s="16">
        <v>36790</v>
      </c>
      <c r="K632" s="15">
        <v>7187.7</v>
      </c>
    </row>
    <row r="633" spans="10:11" x14ac:dyDescent="0.25">
      <c r="J633" s="16">
        <v>36798</v>
      </c>
      <c r="K633" s="15">
        <v>2522.83</v>
      </c>
    </row>
    <row r="634" spans="10:11" x14ac:dyDescent="0.25">
      <c r="J634" s="16">
        <v>37148</v>
      </c>
      <c r="K634" s="15">
        <v>8113.59</v>
      </c>
    </row>
    <row r="635" spans="10:11" x14ac:dyDescent="0.25">
      <c r="J635" s="16">
        <v>37159</v>
      </c>
      <c r="K635" s="15">
        <v>5957.85</v>
      </c>
    </row>
    <row r="636" spans="10:11" x14ac:dyDescent="0.25">
      <c r="J636" s="16">
        <v>37508</v>
      </c>
      <c r="K636" s="15">
        <v>9500.9500000000007</v>
      </c>
    </row>
    <row r="637" spans="10:11" x14ac:dyDescent="0.25">
      <c r="J637" s="16">
        <v>37509</v>
      </c>
      <c r="K637" s="15">
        <v>5863.35</v>
      </c>
    </row>
    <row r="638" spans="10:11" x14ac:dyDescent="0.25">
      <c r="J638" s="16">
        <v>37513</v>
      </c>
      <c r="K638" s="15">
        <v>5000.58</v>
      </c>
    </row>
    <row r="639" spans="10:11" x14ac:dyDescent="0.25">
      <c r="J639" s="16">
        <v>37524</v>
      </c>
      <c r="K639" s="15">
        <v>1011.11</v>
      </c>
    </row>
    <row r="640" spans="10:11" x14ac:dyDescent="0.25">
      <c r="J640" s="16">
        <v>37871</v>
      </c>
      <c r="K640" s="15">
        <v>5803.58</v>
      </c>
    </row>
    <row r="641" spans="10:11" x14ac:dyDescent="0.25">
      <c r="J641" s="16">
        <v>37877</v>
      </c>
      <c r="K641" s="15">
        <v>8156.85</v>
      </c>
    </row>
    <row r="642" spans="10:11" x14ac:dyDescent="0.25">
      <c r="J642" s="16">
        <v>38259</v>
      </c>
      <c r="K642" s="15">
        <v>5871.35</v>
      </c>
    </row>
    <row r="643" spans="10:11" x14ac:dyDescent="0.25">
      <c r="J643" s="16">
        <v>38599</v>
      </c>
      <c r="K643" s="15">
        <v>5442.32</v>
      </c>
    </row>
    <row r="644" spans="10:11" x14ac:dyDescent="0.25">
      <c r="J644" s="16">
        <v>38607</v>
      </c>
      <c r="K644" s="15">
        <v>1238.27</v>
      </c>
    </row>
    <row r="645" spans="10:11" x14ac:dyDescent="0.25">
      <c r="J645" s="16">
        <v>38612</v>
      </c>
      <c r="K645" s="15">
        <v>2707.98</v>
      </c>
    </row>
    <row r="646" spans="10:11" x14ac:dyDescent="0.25">
      <c r="J646" s="16">
        <v>38614</v>
      </c>
      <c r="K646" s="15">
        <v>7086.23</v>
      </c>
    </row>
    <row r="647" spans="10:11" x14ac:dyDescent="0.25">
      <c r="J647" s="16">
        <v>38615</v>
      </c>
      <c r="K647" s="15">
        <v>1949.9</v>
      </c>
    </row>
    <row r="648" spans="10:11" x14ac:dyDescent="0.25">
      <c r="J648" s="16">
        <v>38965</v>
      </c>
      <c r="K648" s="15">
        <v>7403.74</v>
      </c>
    </row>
    <row r="649" spans="10:11" x14ac:dyDescent="0.25">
      <c r="J649" s="16">
        <v>38972</v>
      </c>
      <c r="K649" s="15">
        <v>8010.5033333333331</v>
      </c>
    </row>
    <row r="650" spans="10:11" x14ac:dyDescent="0.25">
      <c r="J650" s="16">
        <v>38978</v>
      </c>
      <c r="K650" s="15">
        <v>2402.4399999999996</v>
      </c>
    </row>
    <row r="651" spans="10:11" x14ac:dyDescent="0.25">
      <c r="J651" s="16">
        <v>39328</v>
      </c>
      <c r="K651" s="15">
        <v>3095.08</v>
      </c>
    </row>
    <row r="652" spans="10:11" x14ac:dyDescent="0.25">
      <c r="J652" s="16">
        <v>39331</v>
      </c>
      <c r="K652" s="15">
        <v>1925.38</v>
      </c>
    </row>
    <row r="653" spans="10:11" x14ac:dyDescent="0.25">
      <c r="J653" s="16">
        <v>39340</v>
      </c>
      <c r="K653" s="15">
        <v>2671.43</v>
      </c>
    </row>
    <row r="654" spans="10:11" x14ac:dyDescent="0.25">
      <c r="J654" s="16">
        <v>39353</v>
      </c>
      <c r="K654" s="15">
        <v>8481.31</v>
      </c>
    </row>
    <row r="655" spans="10:11" x14ac:dyDescent="0.25">
      <c r="J655" s="16">
        <v>39355</v>
      </c>
      <c r="K655" s="15">
        <v>5692.47</v>
      </c>
    </row>
    <row r="656" spans="10:11" x14ac:dyDescent="0.25">
      <c r="J656" s="16">
        <v>39720</v>
      </c>
      <c r="K656" s="15">
        <v>8377.15</v>
      </c>
    </row>
    <row r="657" spans="10:11" x14ac:dyDescent="0.25">
      <c r="J657" s="16">
        <v>40060</v>
      </c>
      <c r="K657" s="15">
        <v>3604.6</v>
      </c>
    </row>
    <row r="658" spans="10:11" x14ac:dyDescent="0.25">
      <c r="J658" s="16">
        <v>40062</v>
      </c>
      <c r="K658" s="15">
        <v>5220.4399999999996</v>
      </c>
    </row>
    <row r="659" spans="10:11" x14ac:dyDescent="0.25">
      <c r="J659" s="16">
        <v>40068</v>
      </c>
      <c r="K659" s="15">
        <v>1333.49</v>
      </c>
    </row>
    <row r="660" spans="10:11" x14ac:dyDescent="0.25">
      <c r="J660" s="16">
        <v>40071</v>
      </c>
      <c r="K660" s="15">
        <v>1601.05</v>
      </c>
    </row>
    <row r="661" spans="10:11" x14ac:dyDescent="0.25">
      <c r="J661" s="16">
        <v>40084</v>
      </c>
      <c r="K661" s="15">
        <v>8989.2000000000007</v>
      </c>
    </row>
    <row r="662" spans="10:11" x14ac:dyDescent="0.25">
      <c r="J662" s="16">
        <v>40430</v>
      </c>
      <c r="K662" s="15">
        <v>3517.17</v>
      </c>
    </row>
    <row r="663" spans="10:11" x14ac:dyDescent="0.25">
      <c r="J663" s="16">
        <v>40787</v>
      </c>
      <c r="K663" s="15">
        <v>2008.12</v>
      </c>
    </row>
    <row r="664" spans="10:11" x14ac:dyDescent="0.25">
      <c r="J664" s="16">
        <v>40788</v>
      </c>
      <c r="K664" s="15">
        <v>4561.1499999999996</v>
      </c>
    </row>
    <row r="665" spans="10:11" x14ac:dyDescent="0.25">
      <c r="J665" s="16">
        <v>40796</v>
      </c>
      <c r="K665" s="15">
        <v>9254.2900000000009</v>
      </c>
    </row>
    <row r="666" spans="10:11" x14ac:dyDescent="0.25">
      <c r="J666" s="16">
        <v>41163</v>
      </c>
      <c r="K666" s="15">
        <v>7103.81</v>
      </c>
    </row>
    <row r="667" spans="10:11" x14ac:dyDescent="0.25">
      <c r="J667" s="16">
        <v>41169</v>
      </c>
      <c r="K667" s="15">
        <v>4929.3599999999997</v>
      </c>
    </row>
    <row r="668" spans="10:11" x14ac:dyDescent="0.25">
      <c r="J668" s="16">
        <v>41175</v>
      </c>
      <c r="K668" s="15">
        <v>8294.5499999999993</v>
      </c>
    </row>
    <row r="669" spans="10:11" x14ac:dyDescent="0.25">
      <c r="J669" s="16">
        <v>41518</v>
      </c>
      <c r="K669" s="15">
        <v>1872.02</v>
      </c>
    </row>
    <row r="670" spans="10:11" x14ac:dyDescent="0.25">
      <c r="J670" s="16">
        <v>41524</v>
      </c>
      <c r="K670" s="15">
        <v>8507.82</v>
      </c>
    </row>
    <row r="671" spans="10:11" x14ac:dyDescent="0.25">
      <c r="J671" s="16">
        <v>41541</v>
      </c>
      <c r="K671" s="15">
        <v>5505.94</v>
      </c>
    </row>
    <row r="672" spans="10:11" x14ac:dyDescent="0.25">
      <c r="J672" s="16">
        <v>41546</v>
      </c>
      <c r="K672" s="15">
        <v>6708.8</v>
      </c>
    </row>
    <row r="673" spans="10:11" x14ac:dyDescent="0.25">
      <c r="J673" s="16">
        <v>41908</v>
      </c>
      <c r="K673" s="15">
        <v>4288.2700000000004</v>
      </c>
    </row>
    <row r="674" spans="10:11" x14ac:dyDescent="0.25">
      <c r="J674" s="16">
        <v>42262</v>
      </c>
      <c r="K674" s="15">
        <v>2635.76</v>
      </c>
    </row>
    <row r="675" spans="10:11" x14ac:dyDescent="0.25">
      <c r="J675" s="16">
        <v>42263</v>
      </c>
      <c r="K675" s="15">
        <v>5910.92</v>
      </c>
    </row>
    <row r="676" spans="10:11" x14ac:dyDescent="0.25">
      <c r="J676" s="16">
        <v>42276</v>
      </c>
      <c r="K676" s="15">
        <v>4767.18</v>
      </c>
    </row>
    <row r="677" spans="10:11" x14ac:dyDescent="0.25">
      <c r="J677" s="16">
        <v>42277</v>
      </c>
      <c r="K677" s="15">
        <v>6712.09</v>
      </c>
    </row>
    <row r="678" spans="10:11" x14ac:dyDescent="0.25">
      <c r="J678" s="16">
        <v>42615</v>
      </c>
      <c r="K678" s="15">
        <v>7878.79</v>
      </c>
    </row>
    <row r="679" spans="10:11" x14ac:dyDescent="0.25">
      <c r="J679" s="16">
        <v>42636</v>
      </c>
      <c r="K679" s="15">
        <v>2453.11</v>
      </c>
    </row>
    <row r="680" spans="10:11" x14ac:dyDescent="0.25">
      <c r="J680" s="16">
        <v>42639</v>
      </c>
      <c r="K680" s="15">
        <v>9059.83</v>
      </c>
    </row>
    <row r="681" spans="10:11" x14ac:dyDescent="0.25">
      <c r="J681" s="16">
        <v>42984</v>
      </c>
      <c r="K681" s="15">
        <v>6415.38</v>
      </c>
    </row>
    <row r="682" spans="10:11" x14ac:dyDescent="0.25">
      <c r="J682" s="16">
        <v>42999</v>
      </c>
      <c r="K682" s="15">
        <v>930.3</v>
      </c>
    </row>
    <row r="683" spans="10:11" x14ac:dyDescent="0.25">
      <c r="J683" s="16">
        <v>43000</v>
      </c>
      <c r="K683" s="15">
        <v>1475.67</v>
      </c>
    </row>
    <row r="684" spans="10:11" x14ac:dyDescent="0.25">
      <c r="J684" s="16">
        <v>43005</v>
      </c>
      <c r="K684" s="15">
        <v>940.5</v>
      </c>
    </row>
    <row r="685" spans="10:11" x14ac:dyDescent="0.25">
      <c r="J685" s="16">
        <v>43344</v>
      </c>
      <c r="K685" s="15">
        <v>8797.7999999999993</v>
      </c>
    </row>
    <row r="686" spans="10:11" x14ac:dyDescent="0.25">
      <c r="J686" s="16">
        <v>43354</v>
      </c>
      <c r="K686" s="15">
        <v>8339.57</v>
      </c>
    </row>
    <row r="687" spans="10:11" x14ac:dyDescent="0.25">
      <c r="J687" s="16">
        <v>43359</v>
      </c>
      <c r="K687" s="15">
        <v>8839.76</v>
      </c>
    </row>
    <row r="688" spans="10:11" x14ac:dyDescent="0.25">
      <c r="J688" s="16">
        <v>43360</v>
      </c>
      <c r="K688" s="15">
        <v>7710.14</v>
      </c>
    </row>
    <row r="689" spans="10:11" x14ac:dyDescent="0.25">
      <c r="J689" s="16">
        <v>43362</v>
      </c>
      <c r="K689" s="15">
        <v>1524.06</v>
      </c>
    </row>
    <row r="690" spans="10:11" x14ac:dyDescent="0.25">
      <c r="J690" s="16">
        <v>43366</v>
      </c>
      <c r="K690" s="15">
        <v>9475.19</v>
      </c>
    </row>
    <row r="691" spans="10:11" x14ac:dyDescent="0.25">
      <c r="J691" s="16">
        <v>43718</v>
      </c>
      <c r="K691" s="15">
        <v>8349.0300000000007</v>
      </c>
    </row>
    <row r="692" spans="10:11" x14ac:dyDescent="0.25">
      <c r="J692" s="16">
        <v>43720</v>
      </c>
      <c r="K692" s="15">
        <v>1532.76</v>
      </c>
    </row>
    <row r="693" spans="10:11" x14ac:dyDescent="0.25">
      <c r="J693" s="16">
        <v>43736</v>
      </c>
      <c r="K693" s="15">
        <v>6427.47</v>
      </c>
    </row>
    <row r="694" spans="10:11" x14ac:dyDescent="0.25">
      <c r="J694" s="11" t="s">
        <v>124</v>
      </c>
      <c r="K694" s="15">
        <v>4934.4622857142858</v>
      </c>
    </row>
    <row r="695" spans="10:11" x14ac:dyDescent="0.25">
      <c r="J695" s="16">
        <v>36807</v>
      </c>
      <c r="K695" s="15">
        <v>2155.2199999999998</v>
      </c>
    </row>
    <row r="696" spans="10:11" x14ac:dyDescent="0.25">
      <c r="J696" s="16">
        <v>36811</v>
      </c>
      <c r="K696" s="15">
        <v>4279.62</v>
      </c>
    </row>
    <row r="697" spans="10:11" x14ac:dyDescent="0.25">
      <c r="J697" s="16">
        <v>36813</v>
      </c>
      <c r="K697" s="15">
        <v>7362.79</v>
      </c>
    </row>
    <row r="698" spans="10:11" x14ac:dyDescent="0.25">
      <c r="J698" s="16">
        <v>36825</v>
      </c>
      <c r="K698" s="15">
        <v>8586.82</v>
      </c>
    </row>
    <row r="699" spans="10:11" x14ac:dyDescent="0.25">
      <c r="J699" s="16">
        <v>37167</v>
      </c>
      <c r="K699" s="15">
        <v>3262.41</v>
      </c>
    </row>
    <row r="700" spans="10:11" x14ac:dyDescent="0.25">
      <c r="J700" s="16">
        <v>37183</v>
      </c>
      <c r="K700" s="15">
        <v>8170.7</v>
      </c>
    </row>
    <row r="701" spans="10:11" x14ac:dyDescent="0.25">
      <c r="J701" s="16">
        <v>37530</v>
      </c>
      <c r="K701" s="15">
        <v>5263.65</v>
      </c>
    </row>
    <row r="702" spans="10:11" x14ac:dyDescent="0.25">
      <c r="J702" s="16">
        <v>37534</v>
      </c>
      <c r="K702" s="15">
        <v>3634.77</v>
      </c>
    </row>
    <row r="703" spans="10:11" x14ac:dyDescent="0.25">
      <c r="J703" s="16">
        <v>37543</v>
      </c>
      <c r="K703" s="15">
        <v>8559.58</v>
      </c>
    </row>
    <row r="704" spans="10:11" x14ac:dyDescent="0.25">
      <c r="J704" s="16">
        <v>37550</v>
      </c>
      <c r="K704" s="15">
        <v>4258.91</v>
      </c>
    </row>
    <row r="705" spans="10:11" x14ac:dyDescent="0.25">
      <c r="J705" s="16">
        <v>37551</v>
      </c>
      <c r="K705" s="15">
        <v>3204.64</v>
      </c>
    </row>
    <row r="706" spans="10:11" x14ac:dyDescent="0.25">
      <c r="J706" s="16">
        <v>37552</v>
      </c>
      <c r="K706" s="15">
        <v>6080.59</v>
      </c>
    </row>
    <row r="707" spans="10:11" x14ac:dyDescent="0.25">
      <c r="J707" s="16">
        <v>37554</v>
      </c>
      <c r="K707" s="15">
        <v>6623.28</v>
      </c>
    </row>
    <row r="708" spans="10:11" x14ac:dyDescent="0.25">
      <c r="J708" s="16">
        <v>37899</v>
      </c>
      <c r="K708" s="15">
        <v>5809.64</v>
      </c>
    </row>
    <row r="709" spans="10:11" x14ac:dyDescent="0.25">
      <c r="J709" s="16">
        <v>37902</v>
      </c>
      <c r="K709" s="15">
        <v>7426.47</v>
      </c>
    </row>
    <row r="710" spans="10:11" x14ac:dyDescent="0.25">
      <c r="J710" s="16">
        <v>37920</v>
      </c>
      <c r="K710" s="15">
        <v>5135.91</v>
      </c>
    </row>
    <row r="711" spans="10:11" x14ac:dyDescent="0.25">
      <c r="J711" s="16">
        <v>38261</v>
      </c>
      <c r="K711" s="15">
        <v>1639.77</v>
      </c>
    </row>
    <row r="712" spans="10:11" x14ac:dyDescent="0.25">
      <c r="J712" s="16">
        <v>38262</v>
      </c>
      <c r="K712" s="15">
        <v>4003.47</v>
      </c>
    </row>
    <row r="713" spans="10:11" x14ac:dyDescent="0.25">
      <c r="J713" s="16">
        <v>38283</v>
      </c>
      <c r="K713" s="15">
        <v>576.69000000000005</v>
      </c>
    </row>
    <row r="714" spans="10:11" x14ac:dyDescent="0.25">
      <c r="J714" s="16">
        <v>38644</v>
      </c>
      <c r="K714" s="15">
        <v>8015.69</v>
      </c>
    </row>
    <row r="715" spans="10:11" x14ac:dyDescent="0.25">
      <c r="J715" s="16">
        <v>38647</v>
      </c>
      <c r="K715" s="15">
        <v>4946.01</v>
      </c>
    </row>
    <row r="716" spans="10:11" x14ac:dyDescent="0.25">
      <c r="J716" s="16">
        <v>38648</v>
      </c>
      <c r="K716" s="15">
        <v>8707.7099999999991</v>
      </c>
    </row>
    <row r="717" spans="10:11" x14ac:dyDescent="0.25">
      <c r="J717" s="16">
        <v>38650</v>
      </c>
      <c r="K717" s="15">
        <v>1272.8499999999999</v>
      </c>
    </row>
    <row r="718" spans="10:11" x14ac:dyDescent="0.25">
      <c r="J718" s="16">
        <v>38651</v>
      </c>
      <c r="K718" s="15">
        <v>3155.58</v>
      </c>
    </row>
    <row r="719" spans="10:11" x14ac:dyDescent="0.25">
      <c r="J719" s="16">
        <v>39004</v>
      </c>
      <c r="K719" s="15">
        <v>4523.13</v>
      </c>
    </row>
    <row r="720" spans="10:11" x14ac:dyDescent="0.25">
      <c r="J720" s="16">
        <v>39008</v>
      </c>
      <c r="K720" s="15">
        <v>2820.42</v>
      </c>
    </row>
    <row r="721" spans="10:11" x14ac:dyDescent="0.25">
      <c r="J721" s="16">
        <v>39013</v>
      </c>
      <c r="K721" s="15">
        <v>7766.14</v>
      </c>
    </row>
    <row r="722" spans="10:11" x14ac:dyDescent="0.25">
      <c r="J722" s="16">
        <v>39014</v>
      </c>
      <c r="K722" s="15">
        <v>875.73</v>
      </c>
    </row>
    <row r="723" spans="10:11" x14ac:dyDescent="0.25">
      <c r="J723" s="16">
        <v>39360</v>
      </c>
      <c r="K723" s="15">
        <v>7940.51</v>
      </c>
    </row>
    <row r="724" spans="10:11" x14ac:dyDescent="0.25">
      <c r="J724" s="16">
        <v>39372</v>
      </c>
      <c r="K724" s="15">
        <v>5795.41</v>
      </c>
    </row>
    <row r="725" spans="10:11" x14ac:dyDescent="0.25">
      <c r="J725" s="16">
        <v>39375</v>
      </c>
      <c r="K725" s="15">
        <v>6783.33</v>
      </c>
    </row>
    <row r="726" spans="10:11" x14ac:dyDescent="0.25">
      <c r="J726" s="16">
        <v>39386</v>
      </c>
      <c r="K726" s="15">
        <v>2033.86</v>
      </c>
    </row>
    <row r="727" spans="10:11" x14ac:dyDescent="0.25">
      <c r="J727" s="16">
        <v>39724</v>
      </c>
      <c r="K727" s="15">
        <v>5606.42</v>
      </c>
    </row>
    <row r="728" spans="10:11" x14ac:dyDescent="0.25">
      <c r="J728" s="16">
        <v>39743</v>
      </c>
      <c r="K728" s="15">
        <v>2478.52</v>
      </c>
    </row>
    <row r="729" spans="10:11" x14ac:dyDescent="0.25">
      <c r="J729" s="16">
        <v>39745</v>
      </c>
      <c r="K729" s="15">
        <v>5546.71</v>
      </c>
    </row>
    <row r="730" spans="10:11" x14ac:dyDescent="0.25">
      <c r="J730" s="16">
        <v>39747</v>
      </c>
      <c r="K730" s="15">
        <v>9585.15</v>
      </c>
    </row>
    <row r="731" spans="10:11" x14ac:dyDescent="0.25">
      <c r="J731" s="16">
        <v>40089</v>
      </c>
      <c r="K731" s="15">
        <v>6774.46</v>
      </c>
    </row>
    <row r="732" spans="10:11" x14ac:dyDescent="0.25">
      <c r="J732" s="16">
        <v>40105</v>
      </c>
      <c r="K732" s="15">
        <v>5812.95</v>
      </c>
    </row>
    <row r="733" spans="10:11" x14ac:dyDescent="0.25">
      <c r="J733" s="16">
        <v>40106</v>
      </c>
      <c r="K733" s="15">
        <v>5050.1899999999996</v>
      </c>
    </row>
    <row r="734" spans="10:11" x14ac:dyDescent="0.25">
      <c r="J734" s="16">
        <v>40116</v>
      </c>
      <c r="K734" s="15">
        <v>3082.43</v>
      </c>
    </row>
    <row r="735" spans="10:11" x14ac:dyDescent="0.25">
      <c r="J735" s="16">
        <v>40453</v>
      </c>
      <c r="K735" s="15">
        <v>2583.9049999999997</v>
      </c>
    </row>
    <row r="736" spans="10:11" x14ac:dyDescent="0.25">
      <c r="J736" s="16">
        <v>40460</v>
      </c>
      <c r="K736" s="15">
        <v>5569.66</v>
      </c>
    </row>
    <row r="737" spans="10:11" x14ac:dyDescent="0.25">
      <c r="J737" s="16">
        <v>40475</v>
      </c>
      <c r="K737" s="15">
        <v>2381.31</v>
      </c>
    </row>
    <row r="738" spans="10:11" x14ac:dyDescent="0.25">
      <c r="J738" s="16">
        <v>40480</v>
      </c>
      <c r="K738" s="15">
        <v>3723.9</v>
      </c>
    </row>
    <row r="739" spans="10:11" x14ac:dyDescent="0.25">
      <c r="J739" s="16">
        <v>40823</v>
      </c>
      <c r="K739" s="15">
        <v>9360.9500000000007</v>
      </c>
    </row>
    <row r="740" spans="10:11" x14ac:dyDescent="0.25">
      <c r="J740" s="16">
        <v>40838</v>
      </c>
      <c r="K740" s="15">
        <v>4915.07</v>
      </c>
    </row>
    <row r="741" spans="10:11" x14ac:dyDescent="0.25">
      <c r="J741" s="16">
        <v>40844</v>
      </c>
      <c r="K741" s="15">
        <v>8248.19</v>
      </c>
    </row>
    <row r="742" spans="10:11" x14ac:dyDescent="0.25">
      <c r="J742" s="16">
        <v>41184</v>
      </c>
      <c r="K742" s="15">
        <v>2534.0300000000002</v>
      </c>
    </row>
    <row r="743" spans="10:11" x14ac:dyDescent="0.25">
      <c r="J743" s="16">
        <v>41187</v>
      </c>
      <c r="K743" s="15">
        <v>836.1</v>
      </c>
    </row>
    <row r="744" spans="10:11" x14ac:dyDescent="0.25">
      <c r="J744" s="16">
        <v>41197</v>
      </c>
      <c r="K744" s="15">
        <v>1680.26</v>
      </c>
    </row>
    <row r="745" spans="10:11" x14ac:dyDescent="0.25">
      <c r="J745" s="16">
        <v>41198</v>
      </c>
      <c r="K745" s="15">
        <v>7471.93</v>
      </c>
    </row>
    <row r="746" spans="10:11" x14ac:dyDescent="0.25">
      <c r="J746" s="16">
        <v>41206</v>
      </c>
      <c r="K746" s="15">
        <v>4545.2</v>
      </c>
    </row>
    <row r="747" spans="10:11" x14ac:dyDescent="0.25">
      <c r="J747" s="16">
        <v>41548</v>
      </c>
      <c r="K747" s="15">
        <v>3374.69</v>
      </c>
    </row>
    <row r="748" spans="10:11" x14ac:dyDescent="0.25">
      <c r="J748" s="16">
        <v>41549</v>
      </c>
      <c r="K748" s="15">
        <v>4863.54</v>
      </c>
    </row>
    <row r="749" spans="10:11" x14ac:dyDescent="0.25">
      <c r="J749" s="16">
        <v>41553</v>
      </c>
      <c r="K749" s="15">
        <v>4609.32</v>
      </c>
    </row>
    <row r="750" spans="10:11" x14ac:dyDescent="0.25">
      <c r="J750" s="16">
        <v>41557</v>
      </c>
      <c r="K750" s="15">
        <v>6199.16</v>
      </c>
    </row>
    <row r="751" spans="10:11" x14ac:dyDescent="0.25">
      <c r="J751" s="16">
        <v>41565</v>
      </c>
      <c r="K751" s="15">
        <v>6858.29</v>
      </c>
    </row>
    <row r="752" spans="10:11" x14ac:dyDescent="0.25">
      <c r="J752" s="16">
        <v>41916</v>
      </c>
      <c r="K752" s="15">
        <v>4054</v>
      </c>
    </row>
    <row r="753" spans="10:11" x14ac:dyDescent="0.25">
      <c r="J753" s="16">
        <v>41930</v>
      </c>
      <c r="K753" s="15">
        <v>9591.49</v>
      </c>
    </row>
    <row r="754" spans="10:11" x14ac:dyDescent="0.25">
      <c r="J754" s="16">
        <v>42295</v>
      </c>
      <c r="K754" s="15">
        <v>3416.9</v>
      </c>
    </row>
    <row r="755" spans="10:11" x14ac:dyDescent="0.25">
      <c r="J755" s="16">
        <v>42296</v>
      </c>
      <c r="K755" s="15">
        <v>2215.7199999999998</v>
      </c>
    </row>
    <row r="756" spans="10:11" x14ac:dyDescent="0.25">
      <c r="J756" s="16">
        <v>42649</v>
      </c>
      <c r="K756" s="15">
        <v>1336.39</v>
      </c>
    </row>
    <row r="757" spans="10:11" x14ac:dyDescent="0.25">
      <c r="J757" s="16">
        <v>42652</v>
      </c>
      <c r="K757" s="15">
        <v>3354.47</v>
      </c>
    </row>
    <row r="758" spans="10:11" x14ac:dyDescent="0.25">
      <c r="J758" s="16">
        <v>42668</v>
      </c>
      <c r="K758" s="15">
        <v>3725.46</v>
      </c>
    </row>
    <row r="759" spans="10:11" x14ac:dyDescent="0.25">
      <c r="J759" s="16">
        <v>42673</v>
      </c>
      <c r="K759" s="15">
        <v>1538.23</v>
      </c>
    </row>
    <row r="760" spans="10:11" x14ac:dyDescent="0.25">
      <c r="J760" s="16">
        <v>43011</v>
      </c>
      <c r="K760" s="15">
        <v>9864.7800000000007</v>
      </c>
    </row>
    <row r="761" spans="10:11" x14ac:dyDescent="0.25">
      <c r="J761" s="16">
        <v>43016</v>
      </c>
      <c r="K761" s="15">
        <v>8866.73</v>
      </c>
    </row>
    <row r="762" spans="10:11" x14ac:dyDescent="0.25">
      <c r="J762" s="16">
        <v>43025</v>
      </c>
      <c r="K762" s="15">
        <v>2089.21</v>
      </c>
    </row>
    <row r="763" spans="10:11" x14ac:dyDescent="0.25">
      <c r="J763" s="16">
        <v>43745</v>
      </c>
      <c r="K763" s="15">
        <v>8411.44</v>
      </c>
    </row>
    <row r="764" spans="10:11" x14ac:dyDescent="0.25">
      <c r="J764" s="11" t="s">
        <v>125</v>
      </c>
      <c r="K764" s="15">
        <v>5283.8492307692313</v>
      </c>
    </row>
    <row r="765" spans="10:11" x14ac:dyDescent="0.25">
      <c r="J765" s="16">
        <v>36840</v>
      </c>
      <c r="K765" s="15">
        <v>802.17</v>
      </c>
    </row>
    <row r="766" spans="10:11" x14ac:dyDescent="0.25">
      <c r="J766" s="16">
        <v>36854</v>
      </c>
      <c r="K766" s="15">
        <v>9638.4599999999991</v>
      </c>
    </row>
    <row r="767" spans="10:11" x14ac:dyDescent="0.25">
      <c r="J767" s="16">
        <v>37201</v>
      </c>
      <c r="K767" s="15">
        <v>8886.16</v>
      </c>
    </row>
    <row r="768" spans="10:11" x14ac:dyDescent="0.25">
      <c r="J768" s="16">
        <v>37210</v>
      </c>
      <c r="K768" s="15">
        <v>4257.13</v>
      </c>
    </row>
    <row r="769" spans="10:11" x14ac:dyDescent="0.25">
      <c r="J769" s="16">
        <v>37212</v>
      </c>
      <c r="K769" s="15">
        <v>3890.72</v>
      </c>
    </row>
    <row r="770" spans="10:11" x14ac:dyDescent="0.25">
      <c r="J770" s="16">
        <v>37217</v>
      </c>
      <c r="K770" s="15">
        <v>9229.99</v>
      </c>
    </row>
    <row r="771" spans="10:11" x14ac:dyDescent="0.25">
      <c r="J771" s="16">
        <v>37564</v>
      </c>
      <c r="K771" s="15">
        <v>2425.64</v>
      </c>
    </row>
    <row r="772" spans="10:11" x14ac:dyDescent="0.25">
      <c r="J772" s="16">
        <v>37568</v>
      </c>
      <c r="K772" s="15">
        <v>3645.08</v>
      </c>
    </row>
    <row r="773" spans="10:11" x14ac:dyDescent="0.25">
      <c r="J773" s="16">
        <v>37936</v>
      </c>
      <c r="K773" s="15">
        <v>529.54999999999995</v>
      </c>
    </row>
    <row r="774" spans="10:11" x14ac:dyDescent="0.25">
      <c r="J774" s="16">
        <v>37947</v>
      </c>
      <c r="K774" s="15">
        <v>3506.11</v>
      </c>
    </row>
    <row r="775" spans="10:11" x14ac:dyDescent="0.25">
      <c r="J775" s="16">
        <v>38293</v>
      </c>
      <c r="K775" s="15">
        <v>2631.08</v>
      </c>
    </row>
    <row r="776" spans="10:11" x14ac:dyDescent="0.25">
      <c r="J776" s="16">
        <v>38301</v>
      </c>
      <c r="K776" s="15">
        <v>2283.8050000000003</v>
      </c>
    </row>
    <row r="777" spans="10:11" x14ac:dyDescent="0.25">
      <c r="J777" s="16">
        <v>38302</v>
      </c>
      <c r="K777" s="15">
        <v>9855.6200000000008</v>
      </c>
    </row>
    <row r="778" spans="10:11" x14ac:dyDescent="0.25">
      <c r="J778" s="16">
        <v>38309</v>
      </c>
      <c r="K778" s="15">
        <v>8792.35</v>
      </c>
    </row>
    <row r="779" spans="10:11" x14ac:dyDescent="0.25">
      <c r="J779" s="16">
        <v>38311</v>
      </c>
      <c r="K779" s="15">
        <v>4666.26</v>
      </c>
    </row>
    <row r="780" spans="10:11" x14ac:dyDescent="0.25">
      <c r="J780" s="16">
        <v>38661</v>
      </c>
      <c r="K780" s="15">
        <v>8451.5300000000007</v>
      </c>
    </row>
    <row r="781" spans="10:11" x14ac:dyDescent="0.25">
      <c r="J781" s="16">
        <v>38670</v>
      </c>
      <c r="K781" s="15">
        <v>5968.78</v>
      </c>
    </row>
    <row r="782" spans="10:11" x14ac:dyDescent="0.25">
      <c r="J782" s="16">
        <v>38682</v>
      </c>
      <c r="K782" s="15">
        <v>3777.78</v>
      </c>
    </row>
    <row r="783" spans="10:11" x14ac:dyDescent="0.25">
      <c r="J783" s="16">
        <v>38683</v>
      </c>
      <c r="K783" s="15">
        <v>6543.02</v>
      </c>
    </row>
    <row r="784" spans="10:11" x14ac:dyDescent="0.25">
      <c r="J784" s="16">
        <v>39025</v>
      </c>
      <c r="K784" s="15">
        <v>3269.3</v>
      </c>
    </row>
    <row r="785" spans="10:11" x14ac:dyDescent="0.25">
      <c r="J785" s="16">
        <v>39026</v>
      </c>
      <c r="K785" s="15">
        <v>2334.71</v>
      </c>
    </row>
    <row r="786" spans="10:11" x14ac:dyDescent="0.25">
      <c r="J786" s="16">
        <v>39028</v>
      </c>
      <c r="K786" s="15">
        <v>844.99</v>
      </c>
    </row>
    <row r="787" spans="10:11" x14ac:dyDescent="0.25">
      <c r="J787" s="16">
        <v>39413</v>
      </c>
      <c r="K787" s="15">
        <v>4547.57</v>
      </c>
    </row>
    <row r="788" spans="10:11" x14ac:dyDescent="0.25">
      <c r="J788" s="16">
        <v>39764</v>
      </c>
      <c r="K788" s="15">
        <v>5037.68</v>
      </c>
    </row>
    <row r="789" spans="10:11" x14ac:dyDescent="0.25">
      <c r="J789" s="16">
        <v>40121</v>
      </c>
      <c r="K789" s="15">
        <v>1169.96</v>
      </c>
    </row>
    <row r="790" spans="10:11" x14ac:dyDescent="0.25">
      <c r="J790" s="16">
        <v>40129</v>
      </c>
      <c r="K790" s="15">
        <v>6105.25</v>
      </c>
    </row>
    <row r="791" spans="10:11" x14ac:dyDescent="0.25">
      <c r="J791" s="16">
        <v>40485</v>
      </c>
      <c r="K791" s="15">
        <v>9611.09</v>
      </c>
    </row>
    <row r="792" spans="10:11" x14ac:dyDescent="0.25">
      <c r="J792" s="16">
        <v>40501</v>
      </c>
      <c r="K792" s="15">
        <v>4759.97</v>
      </c>
    </row>
    <row r="793" spans="10:11" x14ac:dyDescent="0.25">
      <c r="J793" s="16">
        <v>40510</v>
      </c>
      <c r="K793" s="15">
        <v>5807.9</v>
      </c>
    </row>
    <row r="794" spans="10:11" x14ac:dyDescent="0.25">
      <c r="J794" s="16">
        <v>40849</v>
      </c>
      <c r="K794" s="15">
        <v>9408.2800000000007</v>
      </c>
    </row>
    <row r="795" spans="10:11" x14ac:dyDescent="0.25">
      <c r="J795" s="16">
        <v>40866</v>
      </c>
      <c r="K795" s="15">
        <v>5859.71</v>
      </c>
    </row>
    <row r="796" spans="10:11" x14ac:dyDescent="0.25">
      <c r="J796" s="16">
        <v>40875</v>
      </c>
      <c r="K796" s="15">
        <v>7707.84</v>
      </c>
    </row>
    <row r="797" spans="10:11" x14ac:dyDescent="0.25">
      <c r="J797" s="16">
        <v>41217</v>
      </c>
      <c r="K797" s="15">
        <v>720.27</v>
      </c>
    </row>
    <row r="798" spans="10:11" x14ac:dyDescent="0.25">
      <c r="J798" s="16">
        <v>41229</v>
      </c>
      <c r="K798" s="15">
        <v>8346.01</v>
      </c>
    </row>
    <row r="799" spans="10:11" x14ac:dyDescent="0.25">
      <c r="J799" s="16">
        <v>41584</v>
      </c>
      <c r="K799" s="15">
        <v>7247.29</v>
      </c>
    </row>
    <row r="800" spans="10:11" x14ac:dyDescent="0.25">
      <c r="J800" s="16">
        <v>41585</v>
      </c>
      <c r="K800" s="15">
        <v>6592.16</v>
      </c>
    </row>
    <row r="801" spans="10:11" x14ac:dyDescent="0.25">
      <c r="J801" s="16">
        <v>41590</v>
      </c>
      <c r="K801" s="15">
        <v>7758.01</v>
      </c>
    </row>
    <row r="802" spans="10:11" x14ac:dyDescent="0.25">
      <c r="J802" s="16">
        <v>41607</v>
      </c>
      <c r="K802" s="15">
        <v>7579.72</v>
      </c>
    </row>
    <row r="803" spans="10:11" x14ac:dyDescent="0.25">
      <c r="J803" s="16">
        <v>41955</v>
      </c>
      <c r="K803" s="15">
        <v>5416.65</v>
      </c>
    </row>
    <row r="804" spans="10:11" x14ac:dyDescent="0.25">
      <c r="J804" s="16">
        <v>41960</v>
      </c>
      <c r="K804" s="15">
        <v>1659.76</v>
      </c>
    </row>
    <row r="805" spans="10:11" x14ac:dyDescent="0.25">
      <c r="J805" s="16">
        <v>42311</v>
      </c>
      <c r="K805" s="15">
        <v>809.03</v>
      </c>
    </row>
    <row r="806" spans="10:11" x14ac:dyDescent="0.25">
      <c r="J806" s="16">
        <v>42320</v>
      </c>
      <c r="K806" s="15">
        <v>1841.5</v>
      </c>
    </row>
    <row r="807" spans="10:11" x14ac:dyDescent="0.25">
      <c r="J807" s="16">
        <v>42322</v>
      </c>
      <c r="K807" s="15">
        <v>3123.17</v>
      </c>
    </row>
    <row r="808" spans="10:11" x14ac:dyDescent="0.25">
      <c r="J808" s="16">
        <v>42681</v>
      </c>
      <c r="K808" s="15">
        <v>5961.11</v>
      </c>
    </row>
    <row r="809" spans="10:11" x14ac:dyDescent="0.25">
      <c r="J809" s="16">
        <v>42688</v>
      </c>
      <c r="K809" s="15">
        <v>4481.25</v>
      </c>
    </row>
    <row r="810" spans="10:11" x14ac:dyDescent="0.25">
      <c r="J810" s="16">
        <v>42693</v>
      </c>
      <c r="K810" s="15">
        <v>2792.93</v>
      </c>
    </row>
    <row r="811" spans="10:11" x14ac:dyDescent="0.25">
      <c r="J811" s="16">
        <v>42700</v>
      </c>
      <c r="K811" s="15">
        <v>4470.41</v>
      </c>
    </row>
    <row r="812" spans="10:11" x14ac:dyDescent="0.25">
      <c r="J812" s="16">
        <v>42702</v>
      </c>
      <c r="K812" s="15">
        <v>7634.61</v>
      </c>
    </row>
    <row r="813" spans="10:11" x14ac:dyDescent="0.25">
      <c r="J813" s="16">
        <v>43047</v>
      </c>
      <c r="K813" s="15">
        <v>4132.24</v>
      </c>
    </row>
    <row r="814" spans="10:11" x14ac:dyDescent="0.25">
      <c r="J814" s="16">
        <v>43048</v>
      </c>
      <c r="K814" s="15">
        <v>9932.75</v>
      </c>
    </row>
    <row r="815" spans="10:11" x14ac:dyDescent="0.25">
      <c r="J815" s="16">
        <v>43052</v>
      </c>
      <c r="K815" s="15">
        <v>6695.89</v>
      </c>
    </row>
    <row r="816" spans="10:11" x14ac:dyDescent="0.25">
      <c r="J816" s="16">
        <v>43057</v>
      </c>
      <c r="K816" s="15">
        <v>8370.6200000000008</v>
      </c>
    </row>
    <row r="817" spans="10:11" x14ac:dyDescent="0.25">
      <c r="J817" s="16">
        <v>43069</v>
      </c>
      <c r="K817" s="15">
        <v>3266.19</v>
      </c>
    </row>
    <row r="818" spans="10:11" x14ac:dyDescent="0.25">
      <c r="J818" s="16">
        <v>43420</v>
      </c>
      <c r="K818" s="15">
        <v>7492.65</v>
      </c>
    </row>
    <row r="819" spans="10:11" x14ac:dyDescent="0.25">
      <c r="J819" s="16">
        <v>43426</v>
      </c>
      <c r="K819" s="15">
        <v>5065.3100000000004</v>
      </c>
    </row>
    <row r="820" spans="10:11" x14ac:dyDescent="0.25">
      <c r="J820" s="16">
        <v>43427</v>
      </c>
      <c r="K820" s="15">
        <v>9416.6200000000008</v>
      </c>
    </row>
    <row r="821" spans="10:11" x14ac:dyDescent="0.25">
      <c r="J821" s="16">
        <v>43428</v>
      </c>
      <c r="K821" s="15">
        <v>1465.32</v>
      </c>
    </row>
    <row r="822" spans="10:11" x14ac:dyDescent="0.25">
      <c r="J822" s="16">
        <v>43778</v>
      </c>
      <c r="K822" s="15">
        <v>6843.93</v>
      </c>
    </row>
    <row r="823" spans="10:11" x14ac:dyDescent="0.25">
      <c r="J823" s="16">
        <v>43789</v>
      </c>
      <c r="K823" s="15">
        <v>9820.02</v>
      </c>
    </row>
    <row r="824" spans="10:11" x14ac:dyDescent="0.25">
      <c r="J824" s="16">
        <v>43798</v>
      </c>
      <c r="K824" s="15">
        <v>5207.6099999999997</v>
      </c>
    </row>
    <row r="825" spans="10:11" x14ac:dyDescent="0.25">
      <c r="J825" s="11" t="s">
        <v>126</v>
      </c>
      <c r="K825" s="15">
        <v>5030.3399999999992</v>
      </c>
    </row>
    <row r="826" spans="10:11" x14ac:dyDescent="0.25">
      <c r="J826" s="16">
        <v>36865</v>
      </c>
      <c r="K826" s="15">
        <v>3268.76</v>
      </c>
    </row>
    <row r="827" spans="10:11" x14ac:dyDescent="0.25">
      <c r="J827" s="16">
        <v>36869</v>
      </c>
      <c r="K827" s="15">
        <v>681.47</v>
      </c>
    </row>
    <row r="828" spans="10:11" x14ac:dyDescent="0.25">
      <c r="J828" s="16">
        <v>36873</v>
      </c>
      <c r="K828" s="15">
        <v>6071.79</v>
      </c>
    </row>
    <row r="829" spans="10:11" x14ac:dyDescent="0.25">
      <c r="J829" s="16">
        <v>36875</v>
      </c>
      <c r="K829" s="15">
        <v>6142.83</v>
      </c>
    </row>
    <row r="830" spans="10:11" x14ac:dyDescent="0.25">
      <c r="J830" s="16">
        <v>36880</v>
      </c>
      <c r="K830" s="15">
        <v>9315.56</v>
      </c>
    </row>
    <row r="831" spans="10:11" x14ac:dyDescent="0.25">
      <c r="J831" s="16">
        <v>36882</v>
      </c>
      <c r="K831" s="15">
        <v>6654.93</v>
      </c>
    </row>
    <row r="832" spans="10:11" x14ac:dyDescent="0.25">
      <c r="J832" s="16">
        <v>37226</v>
      </c>
      <c r="K832" s="15">
        <v>1384.4549999999999</v>
      </c>
    </row>
    <row r="833" spans="10:11" x14ac:dyDescent="0.25">
      <c r="J833" s="16">
        <v>37232</v>
      </c>
      <c r="K833" s="15">
        <v>5462.46</v>
      </c>
    </row>
    <row r="834" spans="10:11" x14ac:dyDescent="0.25">
      <c r="J834" s="16">
        <v>37248</v>
      </c>
      <c r="K834" s="15">
        <v>772.51</v>
      </c>
    </row>
    <row r="835" spans="10:11" x14ac:dyDescent="0.25">
      <c r="J835" s="16">
        <v>37249</v>
      </c>
      <c r="K835" s="15">
        <v>3546.6000000000004</v>
      </c>
    </row>
    <row r="836" spans="10:11" x14ac:dyDescent="0.25">
      <c r="J836" s="16">
        <v>37255</v>
      </c>
      <c r="K836" s="15">
        <v>1957.65</v>
      </c>
    </row>
    <row r="837" spans="10:11" x14ac:dyDescent="0.25">
      <c r="J837" s="16">
        <v>37592</v>
      </c>
      <c r="K837" s="15">
        <v>2392.66</v>
      </c>
    </row>
    <row r="838" spans="10:11" x14ac:dyDescent="0.25">
      <c r="J838" s="16">
        <v>37606</v>
      </c>
      <c r="K838" s="15">
        <v>1393.42</v>
      </c>
    </row>
    <row r="839" spans="10:11" x14ac:dyDescent="0.25">
      <c r="J839" s="16">
        <v>37957</v>
      </c>
      <c r="K839" s="15">
        <v>8955.92</v>
      </c>
    </row>
    <row r="840" spans="10:11" x14ac:dyDescent="0.25">
      <c r="J840" s="16">
        <v>37962</v>
      </c>
      <c r="K840" s="15">
        <v>9019.43</v>
      </c>
    </row>
    <row r="841" spans="10:11" x14ac:dyDescent="0.25">
      <c r="J841" s="16">
        <v>37968</v>
      </c>
      <c r="K841" s="15">
        <v>5257.76</v>
      </c>
    </row>
    <row r="842" spans="10:11" x14ac:dyDescent="0.25">
      <c r="J842" s="16">
        <v>37971</v>
      </c>
      <c r="K842" s="15">
        <v>5703</v>
      </c>
    </row>
    <row r="843" spans="10:11" x14ac:dyDescent="0.25">
      <c r="J843" s="16">
        <v>38330</v>
      </c>
      <c r="K843" s="15">
        <v>4284.3500000000004</v>
      </c>
    </row>
    <row r="844" spans="10:11" x14ac:dyDescent="0.25">
      <c r="J844" s="16">
        <v>38337</v>
      </c>
      <c r="K844" s="15">
        <v>4523.2</v>
      </c>
    </row>
    <row r="845" spans="10:11" x14ac:dyDescent="0.25">
      <c r="J845" s="16">
        <v>39065</v>
      </c>
      <c r="K845" s="15">
        <v>8284.43</v>
      </c>
    </row>
    <row r="846" spans="10:11" x14ac:dyDescent="0.25">
      <c r="J846" s="16">
        <v>39066</v>
      </c>
      <c r="K846" s="15">
        <v>9530.9699999999993</v>
      </c>
    </row>
    <row r="847" spans="10:11" x14ac:dyDescent="0.25">
      <c r="J847" s="16">
        <v>39067</v>
      </c>
      <c r="K847" s="15">
        <v>1219.72</v>
      </c>
    </row>
    <row r="848" spans="10:11" x14ac:dyDescent="0.25">
      <c r="J848" s="16">
        <v>39077</v>
      </c>
      <c r="K848" s="15">
        <v>7981.2649999999994</v>
      </c>
    </row>
    <row r="849" spans="10:11" x14ac:dyDescent="0.25">
      <c r="J849" s="16">
        <v>39081</v>
      </c>
      <c r="K849" s="15">
        <v>1576.99</v>
      </c>
    </row>
    <row r="850" spans="10:11" x14ac:dyDescent="0.25">
      <c r="J850" s="16">
        <v>39418</v>
      </c>
      <c r="K850" s="15">
        <v>7928.85</v>
      </c>
    </row>
    <row r="851" spans="10:11" x14ac:dyDescent="0.25">
      <c r="J851" s="16">
        <v>39435</v>
      </c>
      <c r="K851" s="15">
        <v>4222.1099999999997</v>
      </c>
    </row>
    <row r="852" spans="10:11" x14ac:dyDescent="0.25">
      <c r="J852" s="16">
        <v>39438</v>
      </c>
      <c r="K852" s="15">
        <v>8079.47</v>
      </c>
    </row>
    <row r="853" spans="10:11" x14ac:dyDescent="0.25">
      <c r="J853" s="16">
        <v>39445</v>
      </c>
      <c r="K853" s="15">
        <v>8976.92</v>
      </c>
    </row>
    <row r="854" spans="10:11" x14ac:dyDescent="0.25">
      <c r="J854" s="16">
        <v>39786</v>
      </c>
      <c r="K854" s="15">
        <v>6220.88</v>
      </c>
    </row>
    <row r="855" spans="10:11" x14ac:dyDescent="0.25">
      <c r="J855" s="16">
        <v>39795</v>
      </c>
      <c r="K855" s="15">
        <v>9587</v>
      </c>
    </row>
    <row r="856" spans="10:11" x14ac:dyDescent="0.25">
      <c r="J856" s="16">
        <v>39809</v>
      </c>
      <c r="K856" s="15">
        <v>1860.66</v>
      </c>
    </row>
    <row r="857" spans="10:11" x14ac:dyDescent="0.25">
      <c r="J857" s="16">
        <v>39813</v>
      </c>
      <c r="K857" s="15">
        <v>683.33</v>
      </c>
    </row>
    <row r="858" spans="10:11" x14ac:dyDescent="0.25">
      <c r="J858" s="16">
        <v>40150</v>
      </c>
      <c r="K858" s="15">
        <v>1864.11</v>
      </c>
    </row>
    <row r="859" spans="10:11" x14ac:dyDescent="0.25">
      <c r="J859" s="16">
        <v>40151</v>
      </c>
      <c r="K859" s="15">
        <v>5575.99</v>
      </c>
    </row>
    <row r="860" spans="10:11" x14ac:dyDescent="0.25">
      <c r="J860" s="16">
        <v>40175</v>
      </c>
      <c r="K860" s="15">
        <v>7203.07</v>
      </c>
    </row>
    <row r="861" spans="10:11" x14ac:dyDescent="0.25">
      <c r="J861" s="16">
        <v>40178</v>
      </c>
      <c r="K861" s="15">
        <v>6310.29</v>
      </c>
    </row>
    <row r="862" spans="10:11" x14ac:dyDescent="0.25">
      <c r="J862" s="16">
        <v>40526</v>
      </c>
      <c r="K862" s="15">
        <v>5345.29</v>
      </c>
    </row>
    <row r="863" spans="10:11" x14ac:dyDescent="0.25">
      <c r="J863" s="16">
        <v>40531</v>
      </c>
      <c r="K863" s="15">
        <v>1566.8</v>
      </c>
    </row>
    <row r="864" spans="10:11" x14ac:dyDescent="0.25">
      <c r="J864" s="16">
        <v>40896</v>
      </c>
      <c r="K864" s="15">
        <v>8488.0300000000007</v>
      </c>
    </row>
    <row r="865" spans="10:11" x14ac:dyDescent="0.25">
      <c r="J865" s="16">
        <v>40897</v>
      </c>
      <c r="K865" s="15">
        <v>2587.17</v>
      </c>
    </row>
    <row r="866" spans="10:11" x14ac:dyDescent="0.25">
      <c r="J866" s="16">
        <v>40899</v>
      </c>
      <c r="K866" s="15">
        <v>2940.79</v>
      </c>
    </row>
    <row r="867" spans="10:11" x14ac:dyDescent="0.25">
      <c r="J867" s="16">
        <v>41248</v>
      </c>
      <c r="K867" s="15">
        <v>5242.7700000000004</v>
      </c>
    </row>
    <row r="868" spans="10:11" x14ac:dyDescent="0.25">
      <c r="J868" s="16">
        <v>41252</v>
      </c>
      <c r="K868" s="15">
        <v>2515.2399999999998</v>
      </c>
    </row>
    <row r="869" spans="10:11" x14ac:dyDescent="0.25">
      <c r="J869" s="16">
        <v>41253</v>
      </c>
      <c r="K869" s="15">
        <v>7092.89</v>
      </c>
    </row>
    <row r="870" spans="10:11" x14ac:dyDescent="0.25">
      <c r="J870" s="16">
        <v>41259</v>
      </c>
      <c r="K870" s="15">
        <v>1226.49</v>
      </c>
    </row>
    <row r="871" spans="10:11" x14ac:dyDescent="0.25">
      <c r="J871" s="16">
        <v>41261</v>
      </c>
      <c r="K871" s="15">
        <v>6201.96</v>
      </c>
    </row>
    <row r="872" spans="10:11" x14ac:dyDescent="0.25">
      <c r="J872" s="16">
        <v>41614</v>
      </c>
      <c r="K872" s="15">
        <v>2938.39</v>
      </c>
    </row>
    <row r="873" spans="10:11" x14ac:dyDescent="0.25">
      <c r="J873" s="16">
        <v>41623</v>
      </c>
      <c r="K873" s="15">
        <v>1162.1099999999999</v>
      </c>
    </row>
    <row r="874" spans="10:11" x14ac:dyDescent="0.25">
      <c r="J874" s="16">
        <v>41639</v>
      </c>
      <c r="K874" s="15">
        <v>2744.47</v>
      </c>
    </row>
    <row r="875" spans="10:11" x14ac:dyDescent="0.25">
      <c r="J875" s="16">
        <v>41979</v>
      </c>
      <c r="K875" s="15">
        <v>8781.7099999999991</v>
      </c>
    </row>
    <row r="876" spans="10:11" x14ac:dyDescent="0.25">
      <c r="J876" s="16">
        <v>41980</v>
      </c>
      <c r="K876" s="15">
        <v>6918.835</v>
      </c>
    </row>
    <row r="877" spans="10:11" x14ac:dyDescent="0.25">
      <c r="J877" s="16">
        <v>41988</v>
      </c>
      <c r="K877" s="15">
        <v>9515.7800000000007</v>
      </c>
    </row>
    <row r="878" spans="10:11" x14ac:dyDescent="0.25">
      <c r="J878" s="16">
        <v>41991</v>
      </c>
      <c r="K878" s="15">
        <v>8545.44</v>
      </c>
    </row>
    <row r="879" spans="10:11" x14ac:dyDescent="0.25">
      <c r="J879" s="16">
        <v>41995</v>
      </c>
      <c r="K879" s="15">
        <v>1778.97</v>
      </c>
    </row>
    <row r="880" spans="10:11" x14ac:dyDescent="0.25">
      <c r="J880" s="16">
        <v>42344</v>
      </c>
      <c r="K880" s="15">
        <v>2075.14</v>
      </c>
    </row>
    <row r="881" spans="10:11" x14ac:dyDescent="0.25">
      <c r="J881" s="16">
        <v>42346</v>
      </c>
      <c r="K881" s="15">
        <v>3805.06</v>
      </c>
    </row>
    <row r="882" spans="10:11" x14ac:dyDescent="0.25">
      <c r="J882" s="16">
        <v>42363</v>
      </c>
      <c r="K882" s="15">
        <v>7850.99</v>
      </c>
    </row>
    <row r="883" spans="10:11" x14ac:dyDescent="0.25">
      <c r="J883" s="16">
        <v>42730</v>
      </c>
      <c r="K883" s="15">
        <v>3475.56</v>
      </c>
    </row>
    <row r="884" spans="10:11" x14ac:dyDescent="0.25">
      <c r="J884" s="16">
        <v>42735</v>
      </c>
      <c r="K884" s="15">
        <v>8451.39</v>
      </c>
    </row>
    <row r="885" spans="10:11" x14ac:dyDescent="0.25">
      <c r="J885" s="16">
        <v>43092</v>
      </c>
      <c r="K885" s="15">
        <v>6261.54</v>
      </c>
    </row>
    <row r="886" spans="10:11" x14ac:dyDescent="0.25">
      <c r="J886" s="16">
        <v>43097</v>
      </c>
      <c r="K886" s="15">
        <v>4663.8900000000003</v>
      </c>
    </row>
    <row r="887" spans="10:11" x14ac:dyDescent="0.25">
      <c r="J887" s="16">
        <v>43462</v>
      </c>
      <c r="K887" s="15">
        <v>9980.43</v>
      </c>
    </row>
    <row r="888" spans="10:11" x14ac:dyDescent="0.25">
      <c r="J888" s="16">
        <v>43808</v>
      </c>
      <c r="K888" s="15">
        <v>2009.35</v>
      </c>
    </row>
    <row r="889" spans="10:11" x14ac:dyDescent="0.25">
      <c r="J889" s="16">
        <v>43812</v>
      </c>
      <c r="K889" s="15">
        <v>4170.67</v>
      </c>
    </row>
    <row r="890" spans="10:11" x14ac:dyDescent="0.25">
      <c r="J890" s="11" t="s">
        <v>107</v>
      </c>
      <c r="K890" s="15">
        <v>5152.0685958904105</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D0A5B-55FA-46E8-B99F-7B24573B83F3}">
  <dimension ref="A1:AJ877"/>
  <sheetViews>
    <sheetView workbookViewId="0">
      <selection activeCell="D12" sqref="D12"/>
    </sheetView>
  </sheetViews>
  <sheetFormatPr defaultRowHeight="15" x14ac:dyDescent="0.25"/>
  <cols>
    <col min="1" max="1" width="11.5703125" bestFit="1" customWidth="1"/>
    <col min="2" max="2" width="10" bestFit="1" customWidth="1"/>
    <col min="3" max="3" width="9.7109375" bestFit="1" customWidth="1"/>
    <col min="4" max="4" width="11.28515625" bestFit="1" customWidth="1"/>
    <col min="5" max="6" width="38" customWidth="1"/>
    <col min="7" max="7" width="9" bestFit="1" customWidth="1"/>
    <col min="8" max="8" width="14.7109375" customWidth="1"/>
    <col min="9" max="9" width="10.7109375" bestFit="1" customWidth="1"/>
    <col min="10" max="15" width="10.7109375" customWidth="1"/>
    <col min="16" max="16" width="18" bestFit="1" customWidth="1"/>
    <col min="17" max="17" width="4.28515625" bestFit="1" customWidth="1"/>
    <col min="18" max="18" width="13.28515625" customWidth="1"/>
    <col min="19" max="19" width="7.140625" bestFit="1" customWidth="1"/>
    <col min="20" max="20" width="17.28515625" bestFit="1" customWidth="1"/>
    <col min="21" max="21" width="15.85546875" bestFit="1" customWidth="1"/>
    <col min="22" max="22" width="8" bestFit="1" customWidth="1"/>
    <col min="23" max="23" width="12.85546875" bestFit="1" customWidth="1"/>
    <col min="24" max="24" width="14.28515625" bestFit="1" customWidth="1"/>
    <col min="25" max="25" width="22" bestFit="1" customWidth="1"/>
    <col min="26" max="29" width="22" customWidth="1"/>
    <col min="30" max="30" width="14" bestFit="1" customWidth="1"/>
    <col min="31" max="31" width="13.7109375" bestFit="1" customWidth="1"/>
    <col min="32" max="32" width="12.7109375" bestFit="1" customWidth="1"/>
    <col min="33" max="33" width="18.28515625" bestFit="1" customWidth="1"/>
    <col min="34" max="34" width="18.7109375" bestFit="1" customWidth="1"/>
    <col min="35" max="35" width="19.85546875" bestFit="1" customWidth="1"/>
    <col min="36" max="36" width="22.42578125" bestFit="1" customWidth="1"/>
  </cols>
  <sheetData>
    <row r="1" spans="1:36" x14ac:dyDescent="0.25">
      <c r="A1" s="1" t="s">
        <v>0</v>
      </c>
      <c r="B1" s="1" t="s">
        <v>1</v>
      </c>
      <c r="C1" s="1" t="s">
        <v>2</v>
      </c>
      <c r="D1" s="1" t="s">
        <v>3</v>
      </c>
      <c r="E1" s="1" t="s">
        <v>77</v>
      </c>
      <c r="F1" s="1" t="s">
        <v>76</v>
      </c>
      <c r="G1" s="1" t="s">
        <v>4</v>
      </c>
      <c r="H1" s="1" t="s">
        <v>101</v>
      </c>
      <c r="I1" s="2" t="s">
        <v>5</v>
      </c>
      <c r="J1" s="1" t="s">
        <v>94</v>
      </c>
      <c r="K1" s="1" t="s">
        <v>95</v>
      </c>
      <c r="L1" s="1" t="s">
        <v>96</v>
      </c>
      <c r="M1" s="2" t="s">
        <v>93</v>
      </c>
      <c r="N1" s="1" t="s">
        <v>97</v>
      </c>
      <c r="O1" s="1" t="s">
        <v>98</v>
      </c>
      <c r="P1" s="1" t="s">
        <v>99</v>
      </c>
      <c r="Q1" s="1" t="s">
        <v>6</v>
      </c>
      <c r="R1" s="1" t="s">
        <v>100</v>
      </c>
      <c r="S1" s="1" t="s">
        <v>7</v>
      </c>
      <c r="T1" s="1" t="s">
        <v>8</v>
      </c>
      <c r="U1" s="1" t="s">
        <v>9</v>
      </c>
      <c r="V1" s="1" t="s">
        <v>10</v>
      </c>
      <c r="W1" s="1" t="s">
        <v>11</v>
      </c>
      <c r="X1" s="1" t="s">
        <v>12</v>
      </c>
      <c r="Y1" s="1" t="s">
        <v>13</v>
      </c>
      <c r="Z1" s="1" t="s">
        <v>102</v>
      </c>
      <c r="AA1" s="1" t="s">
        <v>102</v>
      </c>
      <c r="AB1" s="1" t="s">
        <v>103</v>
      </c>
      <c r="AC1" s="1" t="s">
        <v>103</v>
      </c>
      <c r="AD1" s="1" t="s">
        <v>14</v>
      </c>
      <c r="AE1" s="1" t="s">
        <v>15</v>
      </c>
      <c r="AF1" s="1" t="s">
        <v>16</v>
      </c>
      <c r="AG1" s="1" t="s">
        <v>17</v>
      </c>
      <c r="AH1" s="1" t="s">
        <v>18</v>
      </c>
      <c r="AI1" s="1" t="s">
        <v>19</v>
      </c>
      <c r="AJ1" s="1" t="s">
        <v>20</v>
      </c>
    </row>
    <row r="2" spans="1:36" x14ac:dyDescent="0.25">
      <c r="A2">
        <v>10001</v>
      </c>
      <c r="B2" t="s">
        <v>21</v>
      </c>
      <c r="C2" t="s">
        <v>22</v>
      </c>
      <c r="D2" t="s">
        <v>23</v>
      </c>
      <c r="E2" t="str">
        <f>CONCATENATE(B2, " ", C2, " is in ", D2, " Department")</f>
        <v>Michael Williams is in HR Department</v>
      </c>
      <c r="F2" s="6" t="str">
        <f>LOWER(CONCATENATE(B2, C2, "@gmail.com"))</f>
        <v>michaelwilliams@gmail.com</v>
      </c>
      <c r="G2">
        <v>74291</v>
      </c>
      <c r="H2" t="str">
        <f>IF(G2&gt;80000, "High", IF(G2&gt;50000, "Medium", IF(G2&gt;40000, "low", "extremely low")))</f>
        <v>Medium</v>
      </c>
      <c r="I2" s="3">
        <v>37513</v>
      </c>
      <c r="J2">
        <f>YEAR(I2)</f>
        <v>2002</v>
      </c>
      <c r="K2">
        <f>MONTH(I2)</f>
        <v>9</v>
      </c>
      <c r="L2">
        <f>DAY(I2)</f>
        <v>14</v>
      </c>
      <c r="M2" s="3">
        <f ca="1">TODAY()</f>
        <v>46100</v>
      </c>
      <c r="N2">
        <f ca="1">M2-I2</f>
        <v>8587</v>
      </c>
      <c r="O2">
        <f ca="1">DATEDIF(I2,M2, "d")</f>
        <v>8587</v>
      </c>
      <c r="P2">
        <f ca="1">NETWORKDAYS(I2, M2)</f>
        <v>6134</v>
      </c>
      <c r="Q2">
        <v>48</v>
      </c>
      <c r="R2" t="str">
        <f>IF(Q2&gt;30, "Old", "Young")</f>
        <v>Old</v>
      </c>
      <c r="S2" t="s">
        <v>24</v>
      </c>
      <c r="T2">
        <v>9</v>
      </c>
      <c r="U2" t="s">
        <v>25</v>
      </c>
      <c r="V2">
        <v>5324.53</v>
      </c>
      <c r="W2" t="s">
        <v>26</v>
      </c>
      <c r="X2" t="s">
        <v>27</v>
      </c>
      <c r="Y2">
        <v>13</v>
      </c>
      <c r="Z2" t="str">
        <f xml:space="preserve"> IF(AND(Y2&gt;20, T2&gt;6), "Good Employee", "Bad Employee")</f>
        <v>Bad Employee</v>
      </c>
      <c r="AA2" t="b">
        <f>AND(Y2&gt;20, T2&gt;6)</f>
        <v>0</v>
      </c>
      <c r="AB2" t="b">
        <f>OR(Y2&gt;20, T2&gt;6)</f>
        <v>1</v>
      </c>
      <c r="AC2" t="str">
        <f>IF(OR(Y2&gt;20,T2&gt;6), "Good employee", "Bad Employee")</f>
        <v>Good employee</v>
      </c>
      <c r="AD2" t="s">
        <v>28</v>
      </c>
      <c r="AE2" t="s">
        <v>29</v>
      </c>
      <c r="AF2">
        <v>4</v>
      </c>
      <c r="AG2">
        <v>2022</v>
      </c>
      <c r="AH2" t="s">
        <v>30</v>
      </c>
      <c r="AI2">
        <v>150</v>
      </c>
      <c r="AJ2">
        <v>2.2000000000000002</v>
      </c>
    </row>
    <row r="3" spans="1:36" x14ac:dyDescent="0.25">
      <c r="A3">
        <v>10002</v>
      </c>
      <c r="B3" t="s">
        <v>31</v>
      </c>
      <c r="C3" t="s">
        <v>32</v>
      </c>
      <c r="D3" t="s">
        <v>33</v>
      </c>
      <c r="E3" t="str">
        <f t="shared" ref="E3:E66" si="0">CONCATENATE(B3, " ", C3, " is in ", D3, " Department")</f>
        <v>Emily Wilson is in Marketing Department</v>
      </c>
      <c r="F3" s="6" t="str">
        <f t="shared" ref="F3:F66" si="1">LOWER(CONCATENATE(B3, C3, "@gmail.com"))</f>
        <v>emilywilson@gmail.com</v>
      </c>
      <c r="G3">
        <v>93350</v>
      </c>
      <c r="H3" t="str">
        <f t="shared" ref="H3:H66" si="2">IF(G3&gt;80000, "High", IF(G3&gt;50000, "Medium", IF(G3&gt;40000, "low", "extremely low")))</f>
        <v>High</v>
      </c>
      <c r="I3" s="3">
        <v>39764</v>
      </c>
      <c r="J3">
        <f t="shared" ref="J3:J66" si="3">YEAR(I3)</f>
        <v>2008</v>
      </c>
      <c r="K3">
        <f t="shared" ref="K3:K66" si="4">MONTH(I3)</f>
        <v>11</v>
      </c>
      <c r="L3">
        <f t="shared" ref="L3:L66" si="5">DAY(I3)</f>
        <v>12</v>
      </c>
      <c r="M3" s="3">
        <f t="shared" ref="M3:M66" ca="1" si="6">TODAY()</f>
        <v>46100</v>
      </c>
      <c r="N3">
        <f t="shared" ref="N3:N66" ca="1" si="7">M3-I3</f>
        <v>6336</v>
      </c>
      <c r="O3">
        <f t="shared" ref="O3:O66" ca="1" si="8">DATEDIF(I3,M3, "d")</f>
        <v>6336</v>
      </c>
      <c r="P3">
        <f t="shared" ref="P3:P66" ca="1" si="9">NETWORKDAYS(I3, M3)</f>
        <v>4527</v>
      </c>
      <c r="Q3">
        <v>53</v>
      </c>
      <c r="R3" t="str">
        <f t="shared" ref="R3:R66" si="10">IF(Q3&gt;30, "Old", "Young")</f>
        <v>Old</v>
      </c>
      <c r="S3" t="s">
        <v>34</v>
      </c>
      <c r="T3">
        <v>7</v>
      </c>
      <c r="U3" t="s">
        <v>25</v>
      </c>
      <c r="V3">
        <v>5037.68</v>
      </c>
      <c r="W3" t="s">
        <v>35</v>
      </c>
      <c r="X3" t="s">
        <v>36</v>
      </c>
      <c r="Y3">
        <v>39</v>
      </c>
      <c r="Z3" t="str">
        <f t="shared" ref="Z3:Z66" si="11" xml:space="preserve"> IF(AND(Y3&gt;20, T3&gt;6), "Good Employee", "Bad Employee")</f>
        <v>Good Employee</v>
      </c>
      <c r="AA3" t="b">
        <f t="shared" ref="AA3:AA66" si="12">AND(Y3&gt;20, T3&gt;6)</f>
        <v>1</v>
      </c>
      <c r="AB3" t="b">
        <f>OR(Y3&gt;20, T3&gt;6)</f>
        <v>1</v>
      </c>
      <c r="AC3" t="str">
        <f>IF(OR(Y3&gt;20,T3&gt;6), "Good employee", "Bad Employee")</f>
        <v>Good employee</v>
      </c>
      <c r="AD3" t="s">
        <v>28</v>
      </c>
      <c r="AE3" t="s">
        <v>37</v>
      </c>
      <c r="AF3">
        <v>14</v>
      </c>
      <c r="AG3">
        <v>2019</v>
      </c>
      <c r="AH3" t="s">
        <v>30</v>
      </c>
      <c r="AI3">
        <v>140</v>
      </c>
      <c r="AJ3">
        <v>1.2</v>
      </c>
    </row>
    <row r="4" spans="1:36" x14ac:dyDescent="0.25">
      <c r="A4">
        <v>10003</v>
      </c>
      <c r="B4" t="s">
        <v>38</v>
      </c>
      <c r="C4" t="s">
        <v>32</v>
      </c>
      <c r="D4" t="s">
        <v>39</v>
      </c>
      <c r="E4" t="str">
        <f t="shared" si="0"/>
        <v>Chris Wilson is in IT Department</v>
      </c>
      <c r="F4" s="6" t="str">
        <f t="shared" si="1"/>
        <v>chriswilson@gmail.com</v>
      </c>
      <c r="G4">
        <v>112020</v>
      </c>
      <c r="H4" t="str">
        <f t="shared" si="2"/>
        <v>High</v>
      </c>
      <c r="I4" s="3">
        <v>42929</v>
      </c>
      <c r="J4">
        <f t="shared" si="3"/>
        <v>2017</v>
      </c>
      <c r="K4">
        <f t="shared" si="4"/>
        <v>7</v>
      </c>
      <c r="L4">
        <f t="shared" si="5"/>
        <v>13</v>
      </c>
      <c r="M4" s="3">
        <f t="shared" ca="1" si="6"/>
        <v>46100</v>
      </c>
      <c r="N4">
        <f t="shared" ca="1" si="7"/>
        <v>3171</v>
      </c>
      <c r="O4">
        <f t="shared" ca="1" si="8"/>
        <v>3171</v>
      </c>
      <c r="P4">
        <f t="shared" ca="1" si="9"/>
        <v>2266</v>
      </c>
      <c r="Q4">
        <v>33</v>
      </c>
      <c r="R4" t="str">
        <f t="shared" si="10"/>
        <v>Old</v>
      </c>
      <c r="S4" t="s">
        <v>34</v>
      </c>
      <c r="T4">
        <v>7</v>
      </c>
      <c r="U4" t="s">
        <v>25</v>
      </c>
      <c r="V4">
        <v>1087.8599999999999</v>
      </c>
      <c r="W4" t="s">
        <v>26</v>
      </c>
      <c r="X4" t="s">
        <v>40</v>
      </c>
      <c r="Y4">
        <v>20</v>
      </c>
      <c r="Z4" t="str">
        <f t="shared" si="11"/>
        <v>Bad Employee</v>
      </c>
      <c r="AA4" t="b">
        <f t="shared" si="12"/>
        <v>0</v>
      </c>
      <c r="AB4" t="b">
        <f>OR(Y4&gt;20, T4&gt;6)</f>
        <v>1</v>
      </c>
      <c r="AC4" t="str">
        <f>IF(OR(Y4&gt;20,T4&gt;6), "Good employee", "Bad Employee")</f>
        <v>Good employee</v>
      </c>
      <c r="AD4" t="s">
        <v>41</v>
      </c>
      <c r="AE4" t="s">
        <v>42</v>
      </c>
      <c r="AF4">
        <v>11</v>
      </c>
      <c r="AG4">
        <v>2012</v>
      </c>
      <c r="AH4" t="s">
        <v>43</v>
      </c>
      <c r="AI4">
        <v>159</v>
      </c>
      <c r="AJ4">
        <v>4.7</v>
      </c>
    </row>
    <row r="5" spans="1:36" x14ac:dyDescent="0.25">
      <c r="A5">
        <v>10004</v>
      </c>
      <c r="B5" t="s">
        <v>21</v>
      </c>
      <c r="C5" t="s">
        <v>32</v>
      </c>
      <c r="D5" t="s">
        <v>44</v>
      </c>
      <c r="E5" t="str">
        <f t="shared" si="0"/>
        <v>Michael Wilson is in Sales Department</v>
      </c>
      <c r="F5" s="6" t="str">
        <f t="shared" si="1"/>
        <v>michaelwilson@gmail.com</v>
      </c>
      <c r="G5">
        <v>34646</v>
      </c>
      <c r="H5" t="str">
        <f>IF(G5&gt;80000, "High", IF(G5&gt;50000, "Medium", IF(G5&gt;40000, "low", "extremely low")))</f>
        <v>extremely low</v>
      </c>
      <c r="I5" s="3">
        <v>41847</v>
      </c>
      <c r="J5">
        <f t="shared" si="3"/>
        <v>2014</v>
      </c>
      <c r="K5">
        <f t="shared" si="4"/>
        <v>7</v>
      </c>
      <c r="L5">
        <f t="shared" si="5"/>
        <v>27</v>
      </c>
      <c r="M5" s="3">
        <f t="shared" ca="1" si="6"/>
        <v>46100</v>
      </c>
      <c r="N5">
        <f t="shared" ca="1" si="7"/>
        <v>4253</v>
      </c>
      <c r="O5">
        <f t="shared" ca="1" si="8"/>
        <v>4253</v>
      </c>
      <c r="P5">
        <f t="shared" ca="1" si="9"/>
        <v>3039</v>
      </c>
      <c r="Q5">
        <v>26</v>
      </c>
      <c r="R5" t="str">
        <f t="shared" si="10"/>
        <v>Young</v>
      </c>
      <c r="S5" t="s">
        <v>24</v>
      </c>
      <c r="T5">
        <v>8</v>
      </c>
      <c r="U5" t="s">
        <v>45</v>
      </c>
      <c r="V5">
        <v>4817.13</v>
      </c>
      <c r="W5" t="s">
        <v>46</v>
      </c>
      <c r="X5" t="s">
        <v>47</v>
      </c>
      <c r="Y5">
        <v>32</v>
      </c>
      <c r="Z5" t="str">
        <f t="shared" si="11"/>
        <v>Good Employee</v>
      </c>
      <c r="AA5" t="b">
        <f t="shared" si="12"/>
        <v>1</v>
      </c>
      <c r="AB5" t="b">
        <f>OR(Y5&gt;20, T5&gt;6)</f>
        <v>1</v>
      </c>
      <c r="AC5" t="str">
        <f>IF(OR(Y5&gt;20,T5&gt;6), "Good employee", "Bad Employee")</f>
        <v>Good employee</v>
      </c>
      <c r="AD5" t="s">
        <v>28</v>
      </c>
      <c r="AE5" t="s">
        <v>48</v>
      </c>
      <c r="AF5">
        <v>16</v>
      </c>
      <c r="AG5">
        <v>2020</v>
      </c>
      <c r="AH5" t="s">
        <v>49</v>
      </c>
      <c r="AI5">
        <v>18</v>
      </c>
      <c r="AJ5">
        <v>1.9</v>
      </c>
    </row>
    <row r="6" spans="1:36" x14ac:dyDescent="0.25">
      <c r="A6">
        <v>10005</v>
      </c>
      <c r="B6" t="s">
        <v>50</v>
      </c>
      <c r="C6" t="s">
        <v>51</v>
      </c>
      <c r="D6" t="s">
        <v>52</v>
      </c>
      <c r="E6" t="str">
        <f t="shared" si="0"/>
        <v>Alex Brown is in Operations Department</v>
      </c>
      <c r="F6" s="6" t="str">
        <f t="shared" si="1"/>
        <v>alexbrown@gmail.com</v>
      </c>
      <c r="G6">
        <v>69713</v>
      </c>
      <c r="H6" t="str">
        <f t="shared" si="2"/>
        <v>Medium</v>
      </c>
      <c r="I6" s="3">
        <v>40371</v>
      </c>
      <c r="J6">
        <f t="shared" si="3"/>
        <v>2010</v>
      </c>
      <c r="K6">
        <f t="shared" si="4"/>
        <v>7</v>
      </c>
      <c r="L6">
        <f t="shared" si="5"/>
        <v>12</v>
      </c>
      <c r="M6" s="3">
        <f t="shared" ca="1" si="6"/>
        <v>46100</v>
      </c>
      <c r="N6">
        <f t="shared" ca="1" si="7"/>
        <v>5729</v>
      </c>
      <c r="O6">
        <f t="shared" ca="1" si="8"/>
        <v>5729</v>
      </c>
      <c r="P6">
        <f t="shared" ca="1" si="9"/>
        <v>4094</v>
      </c>
      <c r="Q6">
        <v>28</v>
      </c>
      <c r="R6" t="str">
        <f t="shared" si="10"/>
        <v>Young</v>
      </c>
      <c r="S6" t="s">
        <v>34</v>
      </c>
      <c r="T6">
        <v>4</v>
      </c>
      <c r="U6" t="s">
        <v>45</v>
      </c>
      <c r="V6">
        <v>3231.82</v>
      </c>
      <c r="W6" t="s">
        <v>46</v>
      </c>
      <c r="X6" t="s">
        <v>47</v>
      </c>
      <c r="Y6">
        <v>10</v>
      </c>
      <c r="Z6" t="str">
        <f t="shared" si="11"/>
        <v>Bad Employee</v>
      </c>
      <c r="AA6" t="b">
        <f t="shared" si="12"/>
        <v>0</v>
      </c>
      <c r="AB6" t="b">
        <f>OR(Y6&gt;20, T6&gt;6)</f>
        <v>0</v>
      </c>
      <c r="AC6" t="str">
        <f>IF(OR(Y6&gt;20,T6&gt;6), "Good employee", "Bad Employee")</f>
        <v>Bad Employee</v>
      </c>
      <c r="AD6" t="s">
        <v>41</v>
      </c>
      <c r="AE6" t="s">
        <v>29</v>
      </c>
      <c r="AF6">
        <v>4</v>
      </c>
      <c r="AG6">
        <v>2017</v>
      </c>
      <c r="AH6" t="s">
        <v>43</v>
      </c>
      <c r="AI6">
        <v>150</v>
      </c>
      <c r="AJ6">
        <v>2.5</v>
      </c>
    </row>
    <row r="7" spans="1:36" x14ac:dyDescent="0.25">
      <c r="A7">
        <v>10006</v>
      </c>
      <c r="B7" t="s">
        <v>53</v>
      </c>
      <c r="C7" t="s">
        <v>32</v>
      </c>
      <c r="D7" t="s">
        <v>54</v>
      </c>
      <c r="E7" t="str">
        <f t="shared" si="0"/>
        <v>Sarah Wilson is in Finance Department</v>
      </c>
      <c r="F7" s="6" t="str">
        <f t="shared" si="1"/>
        <v>sarahwilson@gmail.com</v>
      </c>
      <c r="G7">
        <v>97936</v>
      </c>
      <c r="H7" t="str">
        <f t="shared" si="2"/>
        <v>High</v>
      </c>
      <c r="I7" s="3">
        <v>41830</v>
      </c>
      <c r="J7">
        <f t="shared" si="3"/>
        <v>2014</v>
      </c>
      <c r="K7">
        <f t="shared" si="4"/>
        <v>7</v>
      </c>
      <c r="L7">
        <f t="shared" si="5"/>
        <v>10</v>
      </c>
      <c r="M7" s="3">
        <f t="shared" ca="1" si="6"/>
        <v>46100</v>
      </c>
      <c r="N7">
        <f t="shared" ca="1" si="7"/>
        <v>4270</v>
      </c>
      <c r="O7">
        <f t="shared" ca="1" si="8"/>
        <v>4270</v>
      </c>
      <c r="P7">
        <f t="shared" ca="1" si="9"/>
        <v>3051</v>
      </c>
      <c r="Q7">
        <v>43</v>
      </c>
      <c r="R7" t="str">
        <f t="shared" si="10"/>
        <v>Old</v>
      </c>
      <c r="S7" t="s">
        <v>34</v>
      </c>
      <c r="T7">
        <v>6</v>
      </c>
      <c r="U7" t="s">
        <v>25</v>
      </c>
      <c r="V7">
        <v>3108.36</v>
      </c>
      <c r="W7" t="s">
        <v>26</v>
      </c>
      <c r="X7" t="s">
        <v>55</v>
      </c>
      <c r="Y7">
        <v>26</v>
      </c>
      <c r="Z7" t="str">
        <f t="shared" si="11"/>
        <v>Bad Employee</v>
      </c>
      <c r="AA7" t="b">
        <f t="shared" si="12"/>
        <v>0</v>
      </c>
      <c r="AB7" t="b">
        <f>OR(Y7&gt;20, T7&gt;6)</f>
        <v>1</v>
      </c>
      <c r="AC7" t="str">
        <f>IF(OR(Y7&gt;20,T7&gt;6), "Good employee", "Bad Employee")</f>
        <v>Good employee</v>
      </c>
      <c r="AD7" t="s">
        <v>56</v>
      </c>
      <c r="AE7" t="s">
        <v>29</v>
      </c>
      <c r="AF7">
        <v>18</v>
      </c>
      <c r="AG7">
        <v>2017</v>
      </c>
      <c r="AH7" t="s">
        <v>30</v>
      </c>
      <c r="AI7">
        <v>69</v>
      </c>
      <c r="AJ7">
        <v>3.1</v>
      </c>
    </row>
    <row r="8" spans="1:36" x14ac:dyDescent="0.25">
      <c r="A8">
        <v>10007</v>
      </c>
      <c r="B8" t="s">
        <v>38</v>
      </c>
      <c r="C8" t="s">
        <v>57</v>
      </c>
      <c r="D8" t="s">
        <v>54</v>
      </c>
      <c r="E8" t="str">
        <f t="shared" si="0"/>
        <v>Chris Davis is in Finance Department</v>
      </c>
      <c r="F8" s="6" t="str">
        <f t="shared" si="1"/>
        <v>chrisdavis@gmail.com</v>
      </c>
      <c r="G8">
        <v>74331</v>
      </c>
      <c r="H8" t="str">
        <f t="shared" si="2"/>
        <v>Medium</v>
      </c>
      <c r="I8" s="3">
        <v>42827</v>
      </c>
      <c r="J8">
        <f t="shared" si="3"/>
        <v>2017</v>
      </c>
      <c r="K8">
        <f t="shared" si="4"/>
        <v>4</v>
      </c>
      <c r="L8">
        <f t="shared" si="5"/>
        <v>2</v>
      </c>
      <c r="M8" s="3">
        <f t="shared" ca="1" si="6"/>
        <v>46100</v>
      </c>
      <c r="N8">
        <f t="shared" ca="1" si="7"/>
        <v>3273</v>
      </c>
      <c r="O8">
        <f t="shared" ca="1" si="8"/>
        <v>3273</v>
      </c>
      <c r="P8">
        <f t="shared" ca="1" si="9"/>
        <v>2339</v>
      </c>
      <c r="Q8">
        <v>48</v>
      </c>
      <c r="R8" t="str">
        <f t="shared" si="10"/>
        <v>Old</v>
      </c>
      <c r="S8" t="s">
        <v>24</v>
      </c>
      <c r="T8">
        <v>5</v>
      </c>
      <c r="U8" t="s">
        <v>45</v>
      </c>
      <c r="V8">
        <v>2612.63</v>
      </c>
      <c r="W8" t="s">
        <v>26</v>
      </c>
      <c r="X8" t="s">
        <v>55</v>
      </c>
      <c r="Y8">
        <v>19</v>
      </c>
      <c r="Z8" t="str">
        <f t="shared" si="11"/>
        <v>Bad Employee</v>
      </c>
      <c r="AA8" t="b">
        <f t="shared" si="12"/>
        <v>0</v>
      </c>
      <c r="AB8" t="b">
        <f>OR(Y8&gt;20, T8&gt;6)</f>
        <v>0</v>
      </c>
      <c r="AC8" t="str">
        <f>IF(OR(Y8&gt;20,T8&gt;6), "Good employee", "Bad Employee")</f>
        <v>Bad Employee</v>
      </c>
      <c r="AD8" t="s">
        <v>56</v>
      </c>
      <c r="AE8" t="s">
        <v>48</v>
      </c>
      <c r="AF8">
        <v>9</v>
      </c>
      <c r="AG8">
        <v>2021</v>
      </c>
      <c r="AH8" t="s">
        <v>30</v>
      </c>
      <c r="AI8">
        <v>163</v>
      </c>
      <c r="AJ8">
        <v>4.9000000000000004</v>
      </c>
    </row>
    <row r="9" spans="1:36" x14ac:dyDescent="0.25">
      <c r="A9">
        <v>10008</v>
      </c>
      <c r="B9" t="s">
        <v>38</v>
      </c>
      <c r="C9" t="s">
        <v>22</v>
      </c>
      <c r="D9" t="s">
        <v>23</v>
      </c>
      <c r="E9" t="str">
        <f t="shared" si="0"/>
        <v>Chris Williams is in HR Department</v>
      </c>
      <c r="F9" s="6" t="str">
        <f t="shared" si="1"/>
        <v>chriswilliams@gmail.com</v>
      </c>
      <c r="G9">
        <v>52185</v>
      </c>
      <c r="H9" t="str">
        <f t="shared" si="2"/>
        <v>Medium</v>
      </c>
      <c r="I9" s="3">
        <v>40219</v>
      </c>
      <c r="J9">
        <f t="shared" si="3"/>
        <v>2010</v>
      </c>
      <c r="K9">
        <f t="shared" si="4"/>
        <v>2</v>
      </c>
      <c r="L9">
        <f t="shared" si="5"/>
        <v>10</v>
      </c>
      <c r="M9" s="3">
        <f t="shared" ca="1" si="6"/>
        <v>46100</v>
      </c>
      <c r="N9">
        <f t="shared" ca="1" si="7"/>
        <v>5881</v>
      </c>
      <c r="O9">
        <f t="shared" ca="1" si="8"/>
        <v>5881</v>
      </c>
      <c r="P9">
        <f t="shared" ca="1" si="9"/>
        <v>4202</v>
      </c>
      <c r="Q9">
        <v>36</v>
      </c>
      <c r="R9" t="str">
        <f t="shared" si="10"/>
        <v>Old</v>
      </c>
      <c r="S9" t="s">
        <v>24</v>
      </c>
      <c r="T9">
        <v>1</v>
      </c>
      <c r="U9" t="s">
        <v>45</v>
      </c>
      <c r="V9">
        <v>3659.02</v>
      </c>
      <c r="W9" t="s">
        <v>46</v>
      </c>
      <c r="X9" t="s">
        <v>55</v>
      </c>
      <c r="Y9">
        <v>29</v>
      </c>
      <c r="Z9" t="str">
        <f t="shared" si="11"/>
        <v>Bad Employee</v>
      </c>
      <c r="AA9" t="b">
        <f t="shared" si="12"/>
        <v>0</v>
      </c>
      <c r="AB9" t="b">
        <f>OR(Y9&gt;20, T9&gt;6)</f>
        <v>1</v>
      </c>
      <c r="AC9" t="str">
        <f>IF(OR(Y9&gt;20,T9&gt;6), "Good employee", "Bad Employee")</f>
        <v>Good employee</v>
      </c>
      <c r="AD9" t="s">
        <v>28</v>
      </c>
      <c r="AE9" t="s">
        <v>42</v>
      </c>
      <c r="AF9">
        <v>11</v>
      </c>
      <c r="AG9">
        <v>2016</v>
      </c>
      <c r="AH9" t="s">
        <v>43</v>
      </c>
      <c r="AI9">
        <v>24</v>
      </c>
      <c r="AJ9">
        <v>3.1</v>
      </c>
    </row>
    <row r="10" spans="1:36" x14ac:dyDescent="0.25">
      <c r="A10">
        <v>10009</v>
      </c>
      <c r="B10" t="s">
        <v>21</v>
      </c>
      <c r="C10" t="s">
        <v>32</v>
      </c>
      <c r="D10" t="s">
        <v>39</v>
      </c>
      <c r="E10" t="str">
        <f t="shared" si="0"/>
        <v>Michael Wilson is in IT Department</v>
      </c>
      <c r="F10" s="6" t="str">
        <f t="shared" si="1"/>
        <v>michaelwilson@gmail.com</v>
      </c>
      <c r="G10">
        <v>114263</v>
      </c>
      <c r="H10" t="str">
        <f t="shared" si="2"/>
        <v>High</v>
      </c>
      <c r="I10" s="3">
        <v>36624</v>
      </c>
      <c r="J10">
        <f t="shared" si="3"/>
        <v>2000</v>
      </c>
      <c r="K10">
        <f t="shared" si="4"/>
        <v>4</v>
      </c>
      <c r="L10">
        <f t="shared" si="5"/>
        <v>8</v>
      </c>
      <c r="M10" s="3">
        <f t="shared" ca="1" si="6"/>
        <v>46100</v>
      </c>
      <c r="N10">
        <f t="shared" ca="1" si="7"/>
        <v>9476</v>
      </c>
      <c r="O10">
        <f t="shared" ca="1" si="8"/>
        <v>9476</v>
      </c>
      <c r="P10">
        <f t="shared" ca="1" si="9"/>
        <v>6769</v>
      </c>
      <c r="Q10">
        <v>60</v>
      </c>
      <c r="R10" t="str">
        <f t="shared" si="10"/>
        <v>Old</v>
      </c>
      <c r="S10" t="s">
        <v>34</v>
      </c>
      <c r="T10">
        <v>9</v>
      </c>
      <c r="U10" t="s">
        <v>45</v>
      </c>
      <c r="V10">
        <v>3854.76</v>
      </c>
      <c r="W10" t="s">
        <v>58</v>
      </c>
      <c r="X10" t="s">
        <v>47</v>
      </c>
      <c r="Y10">
        <v>13</v>
      </c>
      <c r="Z10" t="str">
        <f t="shared" si="11"/>
        <v>Bad Employee</v>
      </c>
      <c r="AA10" t="b">
        <f t="shared" si="12"/>
        <v>0</v>
      </c>
      <c r="AB10" t="b">
        <f>OR(Y10&gt;20, T10&gt;6)</f>
        <v>1</v>
      </c>
      <c r="AC10" t="str">
        <f>IF(OR(Y10&gt;20,T10&gt;6), "Good employee", "Bad Employee")</f>
        <v>Good employee</v>
      </c>
      <c r="AD10" t="s">
        <v>28</v>
      </c>
      <c r="AE10" t="s">
        <v>59</v>
      </c>
      <c r="AF10">
        <v>1</v>
      </c>
      <c r="AG10">
        <v>2017</v>
      </c>
      <c r="AH10" t="s">
        <v>30</v>
      </c>
      <c r="AI10">
        <v>74</v>
      </c>
      <c r="AJ10">
        <v>2.8</v>
      </c>
    </row>
    <row r="11" spans="1:36" x14ac:dyDescent="0.25">
      <c r="A11">
        <v>10010</v>
      </c>
      <c r="B11" t="s">
        <v>60</v>
      </c>
      <c r="C11" t="s">
        <v>61</v>
      </c>
      <c r="D11" t="s">
        <v>33</v>
      </c>
      <c r="E11" t="str">
        <f t="shared" si="0"/>
        <v>Jane Smith is in Marketing Department</v>
      </c>
      <c r="F11" s="6" t="str">
        <f t="shared" si="1"/>
        <v>janesmith@gmail.com</v>
      </c>
      <c r="G11">
        <v>82107</v>
      </c>
      <c r="H11" t="str">
        <f t="shared" si="2"/>
        <v>High</v>
      </c>
      <c r="I11" s="3">
        <v>38814</v>
      </c>
      <c r="J11">
        <f t="shared" si="3"/>
        <v>2006</v>
      </c>
      <c r="K11">
        <f t="shared" si="4"/>
        <v>4</v>
      </c>
      <c r="L11">
        <f t="shared" si="5"/>
        <v>7</v>
      </c>
      <c r="M11" s="3">
        <f t="shared" ca="1" si="6"/>
        <v>46100</v>
      </c>
      <c r="N11">
        <f t="shared" ca="1" si="7"/>
        <v>7286</v>
      </c>
      <c r="O11">
        <f t="shared" ca="1" si="8"/>
        <v>7286</v>
      </c>
      <c r="P11">
        <f t="shared" ca="1" si="9"/>
        <v>5205</v>
      </c>
      <c r="Q11">
        <v>56</v>
      </c>
      <c r="R11" t="str">
        <f t="shared" si="10"/>
        <v>Old</v>
      </c>
      <c r="S11" t="s">
        <v>24</v>
      </c>
      <c r="T11">
        <v>2</v>
      </c>
      <c r="U11" t="s">
        <v>45</v>
      </c>
      <c r="V11">
        <v>3433.37</v>
      </c>
      <c r="W11" t="s">
        <v>58</v>
      </c>
      <c r="X11" t="s">
        <v>36</v>
      </c>
      <c r="Y11">
        <v>34</v>
      </c>
      <c r="Z11" t="str">
        <f t="shared" si="11"/>
        <v>Bad Employee</v>
      </c>
      <c r="AA11" t="b">
        <f t="shared" si="12"/>
        <v>0</v>
      </c>
      <c r="AB11" t="b">
        <f>OR(Y11&gt;20, T11&gt;6)</f>
        <v>1</v>
      </c>
      <c r="AC11" t="str">
        <f>IF(OR(Y11&gt;20,T11&gt;6), "Good employee", "Bad Employee")</f>
        <v>Good employee</v>
      </c>
      <c r="AD11" t="s">
        <v>41</v>
      </c>
      <c r="AE11" t="s">
        <v>62</v>
      </c>
      <c r="AF11">
        <v>16</v>
      </c>
      <c r="AG11">
        <v>2010</v>
      </c>
      <c r="AH11" t="s">
        <v>30</v>
      </c>
      <c r="AI11">
        <v>49</v>
      </c>
      <c r="AJ11">
        <v>3.3</v>
      </c>
    </row>
    <row r="12" spans="1:36" x14ac:dyDescent="0.25">
      <c r="A12">
        <v>10011</v>
      </c>
      <c r="B12" t="s">
        <v>50</v>
      </c>
      <c r="C12" t="s">
        <v>51</v>
      </c>
      <c r="D12" t="s">
        <v>54</v>
      </c>
      <c r="E12" t="str">
        <f t="shared" si="0"/>
        <v>Alex Brown is in Finance Department</v>
      </c>
      <c r="F12" s="6" t="str">
        <f t="shared" si="1"/>
        <v>alexbrown@gmail.com</v>
      </c>
      <c r="G12">
        <v>96554</v>
      </c>
      <c r="H12" t="str">
        <f t="shared" si="2"/>
        <v>High</v>
      </c>
      <c r="I12" s="3">
        <v>38040</v>
      </c>
      <c r="J12">
        <f t="shared" si="3"/>
        <v>2004</v>
      </c>
      <c r="K12">
        <f t="shared" si="4"/>
        <v>2</v>
      </c>
      <c r="L12">
        <f t="shared" si="5"/>
        <v>23</v>
      </c>
      <c r="M12" s="3">
        <f t="shared" ca="1" si="6"/>
        <v>46100</v>
      </c>
      <c r="N12">
        <f t="shared" ca="1" si="7"/>
        <v>8060</v>
      </c>
      <c r="O12">
        <f t="shared" ca="1" si="8"/>
        <v>8060</v>
      </c>
      <c r="P12">
        <f t="shared" ca="1" si="9"/>
        <v>5759</v>
      </c>
      <c r="Q12">
        <v>47</v>
      </c>
      <c r="R12" t="str">
        <f t="shared" si="10"/>
        <v>Old</v>
      </c>
      <c r="S12" t="s">
        <v>34</v>
      </c>
      <c r="T12">
        <v>6</v>
      </c>
      <c r="U12" t="s">
        <v>25</v>
      </c>
      <c r="V12">
        <v>9798.15</v>
      </c>
      <c r="W12" t="s">
        <v>58</v>
      </c>
      <c r="X12" t="s">
        <v>40</v>
      </c>
      <c r="Y12">
        <v>20</v>
      </c>
      <c r="Z12" t="str">
        <f t="shared" si="11"/>
        <v>Bad Employee</v>
      </c>
      <c r="AA12" t="b">
        <f t="shared" si="12"/>
        <v>0</v>
      </c>
      <c r="AB12" t="b">
        <f>OR(Y12&gt;20, T12&gt;6)</f>
        <v>0</v>
      </c>
      <c r="AC12" t="str">
        <f>IF(OR(Y12&gt;20,T12&gt;6), "Good employee", "Bad Employee")</f>
        <v>Bad Employee</v>
      </c>
      <c r="AD12" t="s">
        <v>28</v>
      </c>
      <c r="AE12" t="s">
        <v>42</v>
      </c>
      <c r="AF12">
        <v>4</v>
      </c>
      <c r="AG12">
        <v>2012</v>
      </c>
      <c r="AH12" t="s">
        <v>49</v>
      </c>
      <c r="AI12">
        <v>5</v>
      </c>
      <c r="AJ12">
        <v>4.9000000000000004</v>
      </c>
    </row>
    <row r="13" spans="1:36" x14ac:dyDescent="0.25">
      <c r="A13">
        <v>10012</v>
      </c>
      <c r="B13" t="s">
        <v>21</v>
      </c>
      <c r="C13" t="s">
        <v>57</v>
      </c>
      <c r="D13" t="s">
        <v>23</v>
      </c>
      <c r="E13" t="str">
        <f t="shared" si="0"/>
        <v>Michael Davis is in HR Department</v>
      </c>
      <c r="F13" s="6" t="str">
        <f t="shared" si="1"/>
        <v>michaeldavis@gmail.com</v>
      </c>
      <c r="G13">
        <v>47563</v>
      </c>
      <c r="H13" t="str">
        <f t="shared" si="2"/>
        <v>low</v>
      </c>
      <c r="I13" s="3">
        <v>40823</v>
      </c>
      <c r="J13">
        <f t="shared" si="3"/>
        <v>2011</v>
      </c>
      <c r="K13">
        <f t="shared" si="4"/>
        <v>10</v>
      </c>
      <c r="L13">
        <f t="shared" si="5"/>
        <v>7</v>
      </c>
      <c r="M13" s="3">
        <f t="shared" ca="1" si="6"/>
        <v>46100</v>
      </c>
      <c r="N13">
        <f t="shared" ca="1" si="7"/>
        <v>5277</v>
      </c>
      <c r="O13">
        <f t="shared" ca="1" si="8"/>
        <v>5277</v>
      </c>
      <c r="P13">
        <f t="shared" ca="1" si="9"/>
        <v>3770</v>
      </c>
      <c r="Q13">
        <v>44</v>
      </c>
      <c r="R13" t="str">
        <f t="shared" si="10"/>
        <v>Old</v>
      </c>
      <c r="S13" t="s">
        <v>34</v>
      </c>
      <c r="T13">
        <v>8</v>
      </c>
      <c r="U13" t="s">
        <v>25</v>
      </c>
      <c r="V13">
        <v>9360.9500000000007</v>
      </c>
      <c r="W13" t="s">
        <v>26</v>
      </c>
      <c r="X13" t="s">
        <v>55</v>
      </c>
      <c r="Y13">
        <v>18</v>
      </c>
      <c r="Z13" t="str">
        <f t="shared" si="11"/>
        <v>Bad Employee</v>
      </c>
      <c r="AA13" t="b">
        <f t="shared" si="12"/>
        <v>0</v>
      </c>
      <c r="AB13" t="b">
        <f>OR(Y13&gt;20, T13&gt;6)</f>
        <v>1</v>
      </c>
      <c r="AC13" t="str">
        <f>IF(OR(Y13&gt;20,T13&gt;6), "Good employee", "Bad Employee")</f>
        <v>Good employee</v>
      </c>
      <c r="AD13" t="s">
        <v>28</v>
      </c>
      <c r="AE13" t="s">
        <v>48</v>
      </c>
      <c r="AF13">
        <v>14</v>
      </c>
      <c r="AG13">
        <v>2015</v>
      </c>
      <c r="AH13" t="s">
        <v>49</v>
      </c>
      <c r="AI13">
        <v>151</v>
      </c>
      <c r="AJ13">
        <v>4.3</v>
      </c>
    </row>
    <row r="14" spans="1:36" x14ac:dyDescent="0.25">
      <c r="A14">
        <v>10013</v>
      </c>
      <c r="B14" t="s">
        <v>50</v>
      </c>
      <c r="C14" t="s">
        <v>61</v>
      </c>
      <c r="D14" t="s">
        <v>44</v>
      </c>
      <c r="E14" t="str">
        <f t="shared" si="0"/>
        <v>Alex Smith is in Sales Department</v>
      </c>
      <c r="F14" s="6" t="str">
        <f t="shared" si="1"/>
        <v>alexsmith@gmail.com</v>
      </c>
      <c r="G14">
        <v>100729</v>
      </c>
      <c r="H14" t="str">
        <f t="shared" si="2"/>
        <v>High</v>
      </c>
      <c r="I14" s="3">
        <v>37159</v>
      </c>
      <c r="J14">
        <f t="shared" si="3"/>
        <v>2001</v>
      </c>
      <c r="K14">
        <f t="shared" si="4"/>
        <v>9</v>
      </c>
      <c r="L14">
        <f t="shared" si="5"/>
        <v>25</v>
      </c>
      <c r="M14" s="3">
        <f t="shared" ca="1" si="6"/>
        <v>46100</v>
      </c>
      <c r="N14">
        <f t="shared" ca="1" si="7"/>
        <v>8941</v>
      </c>
      <c r="O14">
        <f t="shared" ca="1" si="8"/>
        <v>8941</v>
      </c>
      <c r="P14">
        <f t="shared" ca="1" si="9"/>
        <v>6388</v>
      </c>
      <c r="Q14">
        <v>34</v>
      </c>
      <c r="R14" t="str">
        <f t="shared" si="10"/>
        <v>Old</v>
      </c>
      <c r="S14" t="s">
        <v>34</v>
      </c>
      <c r="T14">
        <v>3</v>
      </c>
      <c r="U14" t="s">
        <v>45</v>
      </c>
      <c r="V14">
        <v>5957.85</v>
      </c>
      <c r="W14" t="s">
        <v>26</v>
      </c>
      <c r="X14" t="s">
        <v>47</v>
      </c>
      <c r="Y14">
        <v>34</v>
      </c>
      <c r="Z14" t="str">
        <f t="shared" si="11"/>
        <v>Bad Employee</v>
      </c>
      <c r="AA14" t="b">
        <f t="shared" si="12"/>
        <v>0</v>
      </c>
      <c r="AB14" t="b">
        <f>OR(Y14&gt;20, T14&gt;6)</f>
        <v>1</v>
      </c>
      <c r="AC14" t="str">
        <f>IF(OR(Y14&gt;20,T14&gt;6), "Good employee", "Bad Employee")</f>
        <v>Good employee</v>
      </c>
      <c r="AD14" t="s">
        <v>28</v>
      </c>
      <c r="AE14" t="s">
        <v>37</v>
      </c>
      <c r="AF14">
        <v>19</v>
      </c>
      <c r="AG14">
        <v>2021</v>
      </c>
      <c r="AH14" t="s">
        <v>30</v>
      </c>
      <c r="AI14">
        <v>43</v>
      </c>
      <c r="AJ14">
        <v>1.7</v>
      </c>
    </row>
    <row r="15" spans="1:36" x14ac:dyDescent="0.25">
      <c r="A15">
        <v>10014</v>
      </c>
      <c r="B15" t="s">
        <v>50</v>
      </c>
      <c r="C15" t="s">
        <v>61</v>
      </c>
      <c r="D15" t="s">
        <v>39</v>
      </c>
      <c r="E15" t="str">
        <f t="shared" si="0"/>
        <v>Alex Smith is in IT Department</v>
      </c>
      <c r="F15" s="6" t="str">
        <f t="shared" si="1"/>
        <v>alexsmith@gmail.com</v>
      </c>
      <c r="G15">
        <v>45701</v>
      </c>
      <c r="H15" t="str">
        <f t="shared" si="2"/>
        <v>low</v>
      </c>
      <c r="I15" s="3">
        <v>43789</v>
      </c>
      <c r="J15">
        <f t="shared" si="3"/>
        <v>2019</v>
      </c>
      <c r="K15">
        <f t="shared" si="4"/>
        <v>11</v>
      </c>
      <c r="L15">
        <f t="shared" si="5"/>
        <v>20</v>
      </c>
      <c r="M15" s="3">
        <f t="shared" ca="1" si="6"/>
        <v>46100</v>
      </c>
      <c r="N15">
        <f t="shared" ca="1" si="7"/>
        <v>2311</v>
      </c>
      <c r="O15">
        <f t="shared" ca="1" si="8"/>
        <v>2311</v>
      </c>
      <c r="P15">
        <f t="shared" ca="1" si="9"/>
        <v>1652</v>
      </c>
      <c r="Q15">
        <v>47</v>
      </c>
      <c r="R15" t="str">
        <f t="shared" si="10"/>
        <v>Old</v>
      </c>
      <c r="S15" t="s">
        <v>34</v>
      </c>
      <c r="T15">
        <v>5</v>
      </c>
      <c r="U15" t="s">
        <v>25</v>
      </c>
      <c r="V15">
        <v>9820.02</v>
      </c>
      <c r="W15" t="s">
        <v>46</v>
      </c>
      <c r="X15" t="s">
        <v>36</v>
      </c>
      <c r="Y15">
        <v>8</v>
      </c>
      <c r="Z15" t="str">
        <f t="shared" si="11"/>
        <v>Bad Employee</v>
      </c>
      <c r="AA15" t="b">
        <f t="shared" si="12"/>
        <v>0</v>
      </c>
      <c r="AB15" t="b">
        <f>OR(Y15&gt;20, T15&gt;6)</f>
        <v>0</v>
      </c>
      <c r="AC15" t="str">
        <f>IF(OR(Y15&gt;20,T15&gt;6), "Good employee", "Bad Employee")</f>
        <v>Bad Employee</v>
      </c>
      <c r="AD15" t="s">
        <v>41</v>
      </c>
      <c r="AE15" t="s">
        <v>37</v>
      </c>
      <c r="AF15">
        <v>12</v>
      </c>
      <c r="AG15">
        <v>2016</v>
      </c>
      <c r="AH15" t="s">
        <v>30</v>
      </c>
      <c r="AI15">
        <v>123</v>
      </c>
      <c r="AJ15">
        <v>4.2</v>
      </c>
    </row>
    <row r="16" spans="1:36" x14ac:dyDescent="0.25">
      <c r="A16">
        <v>10015</v>
      </c>
      <c r="B16" t="s">
        <v>53</v>
      </c>
      <c r="C16" t="s">
        <v>61</v>
      </c>
      <c r="D16" t="s">
        <v>39</v>
      </c>
      <c r="E16" t="str">
        <f t="shared" si="0"/>
        <v>Sarah Smith is in IT Department</v>
      </c>
      <c r="F16" s="6" t="str">
        <f t="shared" si="1"/>
        <v>sarahsmith@gmail.com</v>
      </c>
      <c r="G16">
        <v>99072</v>
      </c>
      <c r="H16" t="str">
        <f t="shared" si="2"/>
        <v>High</v>
      </c>
      <c r="I16" s="3">
        <v>41367</v>
      </c>
      <c r="J16">
        <f t="shared" si="3"/>
        <v>2013</v>
      </c>
      <c r="K16">
        <f t="shared" si="4"/>
        <v>4</v>
      </c>
      <c r="L16">
        <f t="shared" si="5"/>
        <v>3</v>
      </c>
      <c r="M16" s="3">
        <f t="shared" ca="1" si="6"/>
        <v>46100</v>
      </c>
      <c r="N16">
        <f t="shared" ca="1" si="7"/>
        <v>4733</v>
      </c>
      <c r="O16">
        <f t="shared" ca="1" si="8"/>
        <v>4733</v>
      </c>
      <c r="P16">
        <f t="shared" ca="1" si="9"/>
        <v>3382</v>
      </c>
      <c r="Q16">
        <v>24</v>
      </c>
      <c r="R16" t="str">
        <f t="shared" si="10"/>
        <v>Young</v>
      </c>
      <c r="S16" t="s">
        <v>24</v>
      </c>
      <c r="T16">
        <v>7</v>
      </c>
      <c r="U16" t="s">
        <v>25</v>
      </c>
      <c r="V16">
        <v>9916.3799999999992</v>
      </c>
      <c r="W16" t="s">
        <v>35</v>
      </c>
      <c r="X16" t="s">
        <v>55</v>
      </c>
      <c r="Y16">
        <v>16</v>
      </c>
      <c r="Z16" t="str">
        <f t="shared" si="11"/>
        <v>Bad Employee</v>
      </c>
      <c r="AA16" t="b">
        <f t="shared" si="12"/>
        <v>0</v>
      </c>
      <c r="AB16" t="b">
        <f>OR(Y16&gt;20, T16&gt;6)</f>
        <v>1</v>
      </c>
      <c r="AC16" t="str">
        <f>IF(OR(Y16&gt;20,T16&gt;6), "Good employee", "Bad Employee")</f>
        <v>Good employee</v>
      </c>
      <c r="AD16" t="s">
        <v>56</v>
      </c>
      <c r="AE16" t="s">
        <v>48</v>
      </c>
      <c r="AF16">
        <v>19</v>
      </c>
      <c r="AG16">
        <v>2016</v>
      </c>
      <c r="AH16" t="s">
        <v>43</v>
      </c>
      <c r="AI16">
        <v>159</v>
      </c>
      <c r="AJ16">
        <v>4.4000000000000004</v>
      </c>
    </row>
    <row r="17" spans="1:36" x14ac:dyDescent="0.25">
      <c r="A17">
        <v>10016</v>
      </c>
      <c r="B17" t="s">
        <v>38</v>
      </c>
      <c r="C17" t="s">
        <v>61</v>
      </c>
      <c r="D17" t="s">
        <v>23</v>
      </c>
      <c r="E17" t="str">
        <f t="shared" si="0"/>
        <v>Chris Smith is in HR Department</v>
      </c>
      <c r="F17" s="6" t="str">
        <f t="shared" si="1"/>
        <v>chrissmith@gmail.com</v>
      </c>
      <c r="G17">
        <v>78217</v>
      </c>
      <c r="H17" t="str">
        <f t="shared" si="2"/>
        <v>Medium</v>
      </c>
      <c r="I17" s="3">
        <v>41111</v>
      </c>
      <c r="J17">
        <f t="shared" si="3"/>
        <v>2012</v>
      </c>
      <c r="K17">
        <f t="shared" si="4"/>
        <v>7</v>
      </c>
      <c r="L17">
        <f t="shared" si="5"/>
        <v>21</v>
      </c>
      <c r="M17" s="3">
        <f t="shared" ca="1" si="6"/>
        <v>46100</v>
      </c>
      <c r="N17">
        <f t="shared" ca="1" si="7"/>
        <v>4989</v>
      </c>
      <c r="O17">
        <f t="shared" ca="1" si="8"/>
        <v>4989</v>
      </c>
      <c r="P17">
        <f t="shared" ca="1" si="9"/>
        <v>3564</v>
      </c>
      <c r="Q17">
        <v>50</v>
      </c>
      <c r="R17" t="str">
        <f t="shared" si="10"/>
        <v>Old</v>
      </c>
      <c r="S17" t="s">
        <v>24</v>
      </c>
      <c r="T17">
        <v>4</v>
      </c>
      <c r="U17" t="s">
        <v>25</v>
      </c>
      <c r="V17">
        <v>3881.43</v>
      </c>
      <c r="W17" t="s">
        <v>58</v>
      </c>
      <c r="X17" t="s">
        <v>55</v>
      </c>
      <c r="Y17">
        <v>23</v>
      </c>
      <c r="Z17" t="str">
        <f t="shared" si="11"/>
        <v>Bad Employee</v>
      </c>
      <c r="AA17" t="b">
        <f t="shared" si="12"/>
        <v>0</v>
      </c>
      <c r="AB17" t="b">
        <f>OR(Y17&gt;20, T17&gt;6)</f>
        <v>1</v>
      </c>
      <c r="AC17" t="str">
        <f>IF(OR(Y17&gt;20,T17&gt;6), "Good employee", "Bad Employee")</f>
        <v>Good employee</v>
      </c>
      <c r="AD17" t="s">
        <v>41</v>
      </c>
      <c r="AE17" t="s">
        <v>37</v>
      </c>
      <c r="AF17">
        <v>10</v>
      </c>
      <c r="AG17">
        <v>2020</v>
      </c>
      <c r="AH17" t="s">
        <v>43</v>
      </c>
      <c r="AI17">
        <v>60</v>
      </c>
      <c r="AJ17">
        <v>3.8</v>
      </c>
    </row>
    <row r="18" spans="1:36" x14ac:dyDescent="0.25">
      <c r="A18">
        <v>10017</v>
      </c>
      <c r="B18" t="s">
        <v>31</v>
      </c>
      <c r="C18" t="s">
        <v>22</v>
      </c>
      <c r="D18" t="s">
        <v>23</v>
      </c>
      <c r="E18" t="str">
        <f t="shared" si="0"/>
        <v>Emily Williams is in HR Department</v>
      </c>
      <c r="F18" s="6" t="str">
        <f t="shared" si="1"/>
        <v>emilywilliams@gmail.com</v>
      </c>
      <c r="G18">
        <v>74610</v>
      </c>
      <c r="H18" t="str">
        <f t="shared" si="2"/>
        <v>Medium</v>
      </c>
      <c r="I18" s="3">
        <v>37104</v>
      </c>
      <c r="J18">
        <f t="shared" si="3"/>
        <v>2001</v>
      </c>
      <c r="K18">
        <f t="shared" si="4"/>
        <v>8</v>
      </c>
      <c r="L18">
        <f t="shared" si="5"/>
        <v>1</v>
      </c>
      <c r="M18" s="3">
        <f t="shared" ca="1" si="6"/>
        <v>46100</v>
      </c>
      <c r="N18">
        <f t="shared" ca="1" si="7"/>
        <v>8996</v>
      </c>
      <c r="O18">
        <f t="shared" ca="1" si="8"/>
        <v>8996</v>
      </c>
      <c r="P18">
        <f t="shared" ca="1" si="9"/>
        <v>6427</v>
      </c>
      <c r="Q18">
        <v>23</v>
      </c>
      <c r="R18" t="str">
        <f t="shared" si="10"/>
        <v>Young</v>
      </c>
      <c r="S18" t="s">
        <v>34</v>
      </c>
      <c r="T18">
        <v>5</v>
      </c>
      <c r="U18" t="s">
        <v>25</v>
      </c>
      <c r="V18">
        <v>4729.28</v>
      </c>
      <c r="W18" t="s">
        <v>58</v>
      </c>
      <c r="X18" t="s">
        <v>40</v>
      </c>
      <c r="Y18">
        <v>32</v>
      </c>
      <c r="Z18" t="str">
        <f t="shared" si="11"/>
        <v>Bad Employee</v>
      </c>
      <c r="AA18" t="b">
        <f t="shared" si="12"/>
        <v>0</v>
      </c>
      <c r="AB18" t="b">
        <f>OR(Y18&gt;20, T18&gt;6)</f>
        <v>1</v>
      </c>
      <c r="AC18" t="str">
        <f>IF(OR(Y18&gt;20,T18&gt;6), "Good employee", "Bad Employee")</f>
        <v>Good employee</v>
      </c>
      <c r="AD18" t="s">
        <v>41</v>
      </c>
      <c r="AE18" t="s">
        <v>48</v>
      </c>
      <c r="AF18">
        <v>17</v>
      </c>
      <c r="AG18">
        <v>2015</v>
      </c>
      <c r="AH18" t="s">
        <v>30</v>
      </c>
      <c r="AI18">
        <v>148</v>
      </c>
      <c r="AJ18">
        <v>3.6</v>
      </c>
    </row>
    <row r="19" spans="1:36" x14ac:dyDescent="0.25">
      <c r="A19">
        <v>10018</v>
      </c>
      <c r="B19" t="s">
        <v>53</v>
      </c>
      <c r="C19" t="s">
        <v>32</v>
      </c>
      <c r="D19" t="s">
        <v>33</v>
      </c>
      <c r="E19" t="str">
        <f t="shared" si="0"/>
        <v>Sarah Wilson is in Marketing Department</v>
      </c>
      <c r="F19" s="6" t="str">
        <f t="shared" si="1"/>
        <v>sarahwilson@gmail.com</v>
      </c>
      <c r="G19">
        <v>114422</v>
      </c>
      <c r="H19" t="str">
        <f t="shared" si="2"/>
        <v>High</v>
      </c>
      <c r="I19" s="3">
        <v>40485</v>
      </c>
      <c r="J19">
        <f t="shared" si="3"/>
        <v>2010</v>
      </c>
      <c r="K19">
        <f t="shared" si="4"/>
        <v>11</v>
      </c>
      <c r="L19">
        <f t="shared" si="5"/>
        <v>3</v>
      </c>
      <c r="M19" s="3">
        <f t="shared" ca="1" si="6"/>
        <v>46100</v>
      </c>
      <c r="N19">
        <f t="shared" ca="1" si="7"/>
        <v>5615</v>
      </c>
      <c r="O19">
        <f t="shared" ca="1" si="8"/>
        <v>5615</v>
      </c>
      <c r="P19">
        <f t="shared" ca="1" si="9"/>
        <v>4012</v>
      </c>
      <c r="Q19">
        <v>49</v>
      </c>
      <c r="R19" t="str">
        <f t="shared" si="10"/>
        <v>Old</v>
      </c>
      <c r="S19" t="s">
        <v>24</v>
      </c>
      <c r="T19">
        <v>1</v>
      </c>
      <c r="U19" t="s">
        <v>45</v>
      </c>
      <c r="V19">
        <v>9611.09</v>
      </c>
      <c r="W19" t="s">
        <v>58</v>
      </c>
      <c r="X19" t="s">
        <v>40</v>
      </c>
      <c r="Y19">
        <v>13</v>
      </c>
      <c r="Z19" t="str">
        <f t="shared" si="11"/>
        <v>Bad Employee</v>
      </c>
      <c r="AA19" t="b">
        <f t="shared" si="12"/>
        <v>0</v>
      </c>
      <c r="AB19" t="b">
        <f>OR(Y19&gt;20, T19&gt;6)</f>
        <v>0</v>
      </c>
      <c r="AC19" t="str">
        <f>IF(OR(Y19&gt;20,T19&gt;6), "Good employee", "Bad Employee")</f>
        <v>Bad Employee</v>
      </c>
      <c r="AD19" t="s">
        <v>28</v>
      </c>
      <c r="AE19" t="s">
        <v>29</v>
      </c>
      <c r="AF19">
        <v>8</v>
      </c>
      <c r="AG19">
        <v>2022</v>
      </c>
      <c r="AH19" t="s">
        <v>49</v>
      </c>
      <c r="AI19">
        <v>11</v>
      </c>
      <c r="AJ19">
        <v>2.8</v>
      </c>
    </row>
    <row r="20" spans="1:36" x14ac:dyDescent="0.25">
      <c r="A20">
        <v>10019</v>
      </c>
      <c r="B20" t="s">
        <v>53</v>
      </c>
      <c r="C20" t="s">
        <v>63</v>
      </c>
      <c r="D20" t="s">
        <v>23</v>
      </c>
      <c r="E20" t="str">
        <f t="shared" si="0"/>
        <v>Sarah Miller is in HR Department</v>
      </c>
      <c r="F20" s="6" t="str">
        <f t="shared" si="1"/>
        <v>sarahmiller@gmail.com</v>
      </c>
      <c r="G20">
        <v>80131</v>
      </c>
      <c r="H20" t="str">
        <f t="shared" si="2"/>
        <v>High</v>
      </c>
      <c r="I20" s="3">
        <v>43196</v>
      </c>
      <c r="J20">
        <f t="shared" si="3"/>
        <v>2018</v>
      </c>
      <c r="K20">
        <f t="shared" si="4"/>
        <v>4</v>
      </c>
      <c r="L20">
        <f t="shared" si="5"/>
        <v>6</v>
      </c>
      <c r="M20" s="3">
        <f t="shared" ca="1" si="6"/>
        <v>46100</v>
      </c>
      <c r="N20">
        <f t="shared" ca="1" si="7"/>
        <v>2904</v>
      </c>
      <c r="O20">
        <f t="shared" ca="1" si="8"/>
        <v>2904</v>
      </c>
      <c r="P20">
        <f t="shared" ca="1" si="9"/>
        <v>2075</v>
      </c>
      <c r="Q20">
        <v>44</v>
      </c>
      <c r="R20" t="str">
        <f t="shared" si="10"/>
        <v>Old</v>
      </c>
      <c r="S20" t="s">
        <v>34</v>
      </c>
      <c r="T20">
        <v>4</v>
      </c>
      <c r="U20" t="s">
        <v>45</v>
      </c>
      <c r="V20">
        <v>6281.95</v>
      </c>
      <c r="W20" t="s">
        <v>46</v>
      </c>
      <c r="X20" t="s">
        <v>27</v>
      </c>
      <c r="Y20">
        <v>26</v>
      </c>
      <c r="Z20" t="str">
        <f t="shared" si="11"/>
        <v>Bad Employee</v>
      </c>
      <c r="AA20" t="b">
        <f t="shared" si="12"/>
        <v>0</v>
      </c>
      <c r="AB20" t="b">
        <f>OR(Y20&gt;20, T20&gt;6)</f>
        <v>1</v>
      </c>
      <c r="AC20" t="str">
        <f>IF(OR(Y20&gt;20,T20&gt;6), "Good employee", "Bad Employee")</f>
        <v>Good employee</v>
      </c>
      <c r="AD20" t="s">
        <v>56</v>
      </c>
      <c r="AE20" t="s">
        <v>59</v>
      </c>
      <c r="AF20">
        <v>15</v>
      </c>
      <c r="AG20">
        <v>2021</v>
      </c>
      <c r="AH20" t="s">
        <v>49</v>
      </c>
      <c r="AI20">
        <v>24</v>
      </c>
      <c r="AJ20">
        <v>3.6</v>
      </c>
    </row>
    <row r="21" spans="1:36" x14ac:dyDescent="0.25">
      <c r="A21">
        <v>10020</v>
      </c>
      <c r="B21" t="s">
        <v>50</v>
      </c>
      <c r="C21" t="s">
        <v>22</v>
      </c>
      <c r="D21" t="s">
        <v>33</v>
      </c>
      <c r="E21" t="str">
        <f t="shared" si="0"/>
        <v>Alex Williams is in Marketing Department</v>
      </c>
      <c r="F21" s="6" t="str">
        <f t="shared" si="1"/>
        <v>alexwilliams@gmail.com</v>
      </c>
      <c r="G21">
        <v>59410</v>
      </c>
      <c r="H21" t="str">
        <f t="shared" si="2"/>
        <v>Medium</v>
      </c>
      <c r="I21" s="3">
        <v>36798</v>
      </c>
      <c r="J21">
        <f t="shared" si="3"/>
        <v>2000</v>
      </c>
      <c r="K21">
        <f t="shared" si="4"/>
        <v>9</v>
      </c>
      <c r="L21">
        <f t="shared" si="5"/>
        <v>29</v>
      </c>
      <c r="M21" s="3">
        <f t="shared" ca="1" si="6"/>
        <v>46100</v>
      </c>
      <c r="N21">
        <f t="shared" ca="1" si="7"/>
        <v>9302</v>
      </c>
      <c r="O21">
        <f t="shared" ca="1" si="8"/>
        <v>9302</v>
      </c>
      <c r="P21">
        <f t="shared" ca="1" si="9"/>
        <v>6645</v>
      </c>
      <c r="Q21">
        <v>57</v>
      </c>
      <c r="R21" t="str">
        <f t="shared" si="10"/>
        <v>Old</v>
      </c>
      <c r="S21" t="s">
        <v>34</v>
      </c>
      <c r="T21">
        <v>7</v>
      </c>
      <c r="U21" t="s">
        <v>45</v>
      </c>
      <c r="V21">
        <v>2522.83</v>
      </c>
      <c r="W21" t="s">
        <v>35</v>
      </c>
      <c r="X21" t="s">
        <v>55</v>
      </c>
      <c r="Y21">
        <v>38</v>
      </c>
      <c r="Z21" t="str">
        <f t="shared" si="11"/>
        <v>Good Employee</v>
      </c>
      <c r="AA21" t="b">
        <f t="shared" si="12"/>
        <v>1</v>
      </c>
      <c r="AB21" t="b">
        <f>OR(Y21&gt;20, T21&gt;6)</f>
        <v>1</v>
      </c>
      <c r="AC21" t="str">
        <f>IF(OR(Y21&gt;20,T21&gt;6), "Good employee", "Bad Employee")</f>
        <v>Good employee</v>
      </c>
      <c r="AD21" t="s">
        <v>41</v>
      </c>
      <c r="AE21" t="s">
        <v>29</v>
      </c>
      <c r="AF21">
        <v>14</v>
      </c>
      <c r="AG21">
        <v>2021</v>
      </c>
      <c r="AH21" t="s">
        <v>43</v>
      </c>
      <c r="AI21">
        <v>163</v>
      </c>
      <c r="AJ21">
        <v>4</v>
      </c>
    </row>
    <row r="22" spans="1:36" x14ac:dyDescent="0.25">
      <c r="A22">
        <v>10021</v>
      </c>
      <c r="B22" t="s">
        <v>64</v>
      </c>
      <c r="C22" t="s">
        <v>22</v>
      </c>
      <c r="D22" t="s">
        <v>33</v>
      </c>
      <c r="E22" t="str">
        <f t="shared" si="0"/>
        <v>Katie Williams is in Marketing Department</v>
      </c>
      <c r="F22" s="6" t="str">
        <f t="shared" si="1"/>
        <v>katiewilliams@gmail.com</v>
      </c>
      <c r="G22">
        <v>88715</v>
      </c>
      <c r="H22" t="str">
        <f t="shared" si="2"/>
        <v>High</v>
      </c>
      <c r="I22" s="3">
        <v>41864</v>
      </c>
      <c r="J22">
        <f t="shared" si="3"/>
        <v>2014</v>
      </c>
      <c r="K22">
        <f t="shared" si="4"/>
        <v>8</v>
      </c>
      <c r="L22">
        <f t="shared" si="5"/>
        <v>13</v>
      </c>
      <c r="M22" s="3">
        <f t="shared" ca="1" si="6"/>
        <v>46100</v>
      </c>
      <c r="N22">
        <f t="shared" ca="1" si="7"/>
        <v>4236</v>
      </c>
      <c r="O22">
        <f t="shared" ca="1" si="8"/>
        <v>4236</v>
      </c>
      <c r="P22">
        <f t="shared" ca="1" si="9"/>
        <v>3027</v>
      </c>
      <c r="Q22">
        <v>27</v>
      </c>
      <c r="R22" t="str">
        <f t="shared" si="10"/>
        <v>Young</v>
      </c>
      <c r="S22" t="s">
        <v>24</v>
      </c>
      <c r="T22">
        <v>7</v>
      </c>
      <c r="U22" t="s">
        <v>25</v>
      </c>
      <c r="V22">
        <v>7049.12</v>
      </c>
      <c r="W22" t="s">
        <v>35</v>
      </c>
      <c r="X22" t="s">
        <v>27</v>
      </c>
      <c r="Y22">
        <v>1</v>
      </c>
      <c r="Z22" t="str">
        <f t="shared" si="11"/>
        <v>Bad Employee</v>
      </c>
      <c r="AA22" t="b">
        <f t="shared" si="12"/>
        <v>0</v>
      </c>
      <c r="AB22" t="b">
        <f>OR(Y22&gt;20, T22&gt;6)</f>
        <v>1</v>
      </c>
      <c r="AC22" t="str">
        <f>IF(OR(Y22&gt;20,T22&gt;6), "Good employee", "Bad Employee")</f>
        <v>Good employee</v>
      </c>
      <c r="AD22" t="s">
        <v>28</v>
      </c>
      <c r="AE22" t="s">
        <v>29</v>
      </c>
      <c r="AF22">
        <v>3</v>
      </c>
      <c r="AG22">
        <v>2021</v>
      </c>
      <c r="AH22" t="s">
        <v>49</v>
      </c>
      <c r="AI22">
        <v>88</v>
      </c>
      <c r="AJ22">
        <v>1.5</v>
      </c>
    </row>
    <row r="23" spans="1:36" x14ac:dyDescent="0.25">
      <c r="A23">
        <v>10022</v>
      </c>
      <c r="B23" t="s">
        <v>38</v>
      </c>
      <c r="C23" t="s">
        <v>57</v>
      </c>
      <c r="D23" t="s">
        <v>52</v>
      </c>
      <c r="E23" t="str">
        <f t="shared" si="0"/>
        <v>Chris Davis is in Operations Department</v>
      </c>
      <c r="F23" s="6" t="str">
        <f t="shared" si="1"/>
        <v>chrisdavis@gmail.com</v>
      </c>
      <c r="G23">
        <v>68665</v>
      </c>
      <c r="H23" t="str">
        <f t="shared" si="2"/>
        <v>Medium</v>
      </c>
      <c r="I23" s="3">
        <v>41407</v>
      </c>
      <c r="J23">
        <f t="shared" si="3"/>
        <v>2013</v>
      </c>
      <c r="K23">
        <f t="shared" si="4"/>
        <v>5</v>
      </c>
      <c r="L23">
        <f t="shared" si="5"/>
        <v>13</v>
      </c>
      <c r="M23" s="3">
        <f t="shared" ca="1" si="6"/>
        <v>46100</v>
      </c>
      <c r="N23">
        <f t="shared" ca="1" si="7"/>
        <v>4693</v>
      </c>
      <c r="O23">
        <f t="shared" ca="1" si="8"/>
        <v>4693</v>
      </c>
      <c r="P23">
        <f t="shared" ca="1" si="9"/>
        <v>3354</v>
      </c>
      <c r="Q23">
        <v>32</v>
      </c>
      <c r="R23" t="str">
        <f t="shared" si="10"/>
        <v>Old</v>
      </c>
      <c r="S23" t="s">
        <v>24</v>
      </c>
      <c r="T23">
        <v>4</v>
      </c>
      <c r="U23" t="s">
        <v>45</v>
      </c>
      <c r="V23">
        <v>2454.59</v>
      </c>
      <c r="W23" t="s">
        <v>35</v>
      </c>
      <c r="X23" t="s">
        <v>47</v>
      </c>
      <c r="Y23">
        <v>2</v>
      </c>
      <c r="Z23" t="str">
        <f t="shared" si="11"/>
        <v>Bad Employee</v>
      </c>
      <c r="AA23" t="b">
        <f t="shared" si="12"/>
        <v>0</v>
      </c>
      <c r="AB23" t="b">
        <f>OR(Y23&gt;20, T23&gt;6)</f>
        <v>0</v>
      </c>
      <c r="AC23" t="str">
        <f>IF(OR(Y23&gt;20,T23&gt;6), "Good employee", "Bad Employee")</f>
        <v>Bad Employee</v>
      </c>
      <c r="AD23" t="s">
        <v>41</v>
      </c>
      <c r="AE23" t="s">
        <v>29</v>
      </c>
      <c r="AF23">
        <v>11</v>
      </c>
      <c r="AG23">
        <v>2020</v>
      </c>
      <c r="AH23" t="s">
        <v>49</v>
      </c>
      <c r="AI23">
        <v>83</v>
      </c>
      <c r="AJ23">
        <v>2</v>
      </c>
    </row>
    <row r="24" spans="1:36" x14ac:dyDescent="0.25">
      <c r="A24">
        <v>10023</v>
      </c>
      <c r="B24" t="s">
        <v>60</v>
      </c>
      <c r="C24" t="s">
        <v>57</v>
      </c>
      <c r="D24" t="s">
        <v>39</v>
      </c>
      <c r="E24" t="str">
        <f t="shared" si="0"/>
        <v>Jane Davis is in IT Department</v>
      </c>
      <c r="F24" s="6" t="str">
        <f t="shared" si="1"/>
        <v>janedavis@gmail.com</v>
      </c>
      <c r="G24">
        <v>45957</v>
      </c>
      <c r="H24" t="str">
        <f t="shared" si="2"/>
        <v>low</v>
      </c>
      <c r="I24" s="3">
        <v>40480</v>
      </c>
      <c r="J24">
        <f t="shared" si="3"/>
        <v>2010</v>
      </c>
      <c r="K24">
        <f t="shared" si="4"/>
        <v>10</v>
      </c>
      <c r="L24">
        <f t="shared" si="5"/>
        <v>29</v>
      </c>
      <c r="M24" s="3">
        <f t="shared" ca="1" si="6"/>
        <v>46100</v>
      </c>
      <c r="N24">
        <f t="shared" ca="1" si="7"/>
        <v>5620</v>
      </c>
      <c r="O24">
        <f t="shared" ca="1" si="8"/>
        <v>5620</v>
      </c>
      <c r="P24">
        <f t="shared" ca="1" si="9"/>
        <v>4015</v>
      </c>
      <c r="Q24">
        <v>59</v>
      </c>
      <c r="R24" t="str">
        <f t="shared" si="10"/>
        <v>Old</v>
      </c>
      <c r="S24" t="s">
        <v>34</v>
      </c>
      <c r="T24">
        <v>6</v>
      </c>
      <c r="U24" t="s">
        <v>45</v>
      </c>
      <c r="V24">
        <v>3723.9</v>
      </c>
      <c r="W24" t="s">
        <v>58</v>
      </c>
      <c r="X24" t="s">
        <v>40</v>
      </c>
      <c r="Y24">
        <v>39</v>
      </c>
      <c r="Z24" t="str">
        <f t="shared" si="11"/>
        <v>Bad Employee</v>
      </c>
      <c r="AA24" t="b">
        <f t="shared" si="12"/>
        <v>0</v>
      </c>
      <c r="AB24" t="b">
        <f>OR(Y24&gt;20, T24&gt;6)</f>
        <v>1</v>
      </c>
      <c r="AC24" t="str">
        <f>IF(OR(Y24&gt;20,T24&gt;6), "Good employee", "Bad Employee")</f>
        <v>Good employee</v>
      </c>
      <c r="AD24" t="s">
        <v>28</v>
      </c>
      <c r="AE24" t="s">
        <v>48</v>
      </c>
      <c r="AF24">
        <v>12</v>
      </c>
      <c r="AG24">
        <v>2013</v>
      </c>
      <c r="AH24" t="s">
        <v>43</v>
      </c>
      <c r="AI24">
        <v>157</v>
      </c>
      <c r="AJ24">
        <v>1.8</v>
      </c>
    </row>
    <row r="25" spans="1:36" x14ac:dyDescent="0.25">
      <c r="A25">
        <v>10024</v>
      </c>
      <c r="B25" t="s">
        <v>53</v>
      </c>
      <c r="C25" t="s">
        <v>32</v>
      </c>
      <c r="D25" t="s">
        <v>44</v>
      </c>
      <c r="E25" t="str">
        <f t="shared" si="0"/>
        <v>Sarah Wilson is in Sales Department</v>
      </c>
      <c r="F25" s="6" t="str">
        <f t="shared" si="1"/>
        <v>sarahwilson@gmail.com</v>
      </c>
      <c r="G25">
        <v>78127</v>
      </c>
      <c r="H25" t="str">
        <f t="shared" si="2"/>
        <v>Medium</v>
      </c>
      <c r="I25" s="3">
        <v>40453</v>
      </c>
      <c r="J25">
        <f t="shared" si="3"/>
        <v>2010</v>
      </c>
      <c r="K25">
        <f t="shared" si="4"/>
        <v>10</v>
      </c>
      <c r="L25">
        <f t="shared" si="5"/>
        <v>2</v>
      </c>
      <c r="M25" s="3">
        <f t="shared" ca="1" si="6"/>
        <v>46100</v>
      </c>
      <c r="N25">
        <f t="shared" ca="1" si="7"/>
        <v>5647</v>
      </c>
      <c r="O25">
        <f t="shared" ca="1" si="8"/>
        <v>5647</v>
      </c>
      <c r="P25">
        <f t="shared" ca="1" si="9"/>
        <v>4034</v>
      </c>
      <c r="Q25">
        <v>55</v>
      </c>
      <c r="R25" t="str">
        <f t="shared" si="10"/>
        <v>Old</v>
      </c>
      <c r="S25" t="s">
        <v>24</v>
      </c>
      <c r="T25">
        <v>5</v>
      </c>
      <c r="U25" t="s">
        <v>45</v>
      </c>
      <c r="V25">
        <v>2661.82</v>
      </c>
      <c r="W25" t="s">
        <v>26</v>
      </c>
      <c r="X25" t="s">
        <v>36</v>
      </c>
      <c r="Y25">
        <v>13</v>
      </c>
      <c r="Z25" t="str">
        <f t="shared" si="11"/>
        <v>Bad Employee</v>
      </c>
      <c r="AA25" t="b">
        <f t="shared" si="12"/>
        <v>0</v>
      </c>
      <c r="AB25" t="b">
        <f>OR(Y25&gt;20, T25&gt;6)</f>
        <v>0</v>
      </c>
      <c r="AC25" t="str">
        <f>IF(OR(Y25&gt;20,T25&gt;6), "Good employee", "Bad Employee")</f>
        <v>Bad Employee</v>
      </c>
      <c r="AD25" t="s">
        <v>56</v>
      </c>
      <c r="AE25" t="s">
        <v>42</v>
      </c>
      <c r="AF25">
        <v>8</v>
      </c>
      <c r="AG25">
        <v>2014</v>
      </c>
      <c r="AH25" t="s">
        <v>43</v>
      </c>
      <c r="AI25">
        <v>114</v>
      </c>
      <c r="AJ25">
        <v>4.4000000000000004</v>
      </c>
    </row>
    <row r="26" spans="1:36" x14ac:dyDescent="0.25">
      <c r="A26">
        <v>10025</v>
      </c>
      <c r="B26" t="s">
        <v>31</v>
      </c>
      <c r="C26" t="s">
        <v>63</v>
      </c>
      <c r="D26" t="s">
        <v>39</v>
      </c>
      <c r="E26" t="str">
        <f t="shared" si="0"/>
        <v>Emily Miller is in IT Department</v>
      </c>
      <c r="F26" s="6" t="str">
        <f t="shared" si="1"/>
        <v>emilymiller@gmail.com</v>
      </c>
      <c r="G26">
        <v>93589</v>
      </c>
      <c r="H26" t="str">
        <f t="shared" si="2"/>
        <v>High</v>
      </c>
      <c r="I26" s="3">
        <v>36978</v>
      </c>
      <c r="J26">
        <f t="shared" si="3"/>
        <v>2001</v>
      </c>
      <c r="K26">
        <f t="shared" si="4"/>
        <v>3</v>
      </c>
      <c r="L26">
        <f t="shared" si="5"/>
        <v>28</v>
      </c>
      <c r="M26" s="3">
        <f t="shared" ca="1" si="6"/>
        <v>46100</v>
      </c>
      <c r="N26">
        <f t="shared" ca="1" si="7"/>
        <v>9122</v>
      </c>
      <c r="O26">
        <f t="shared" ca="1" si="8"/>
        <v>9122</v>
      </c>
      <c r="P26">
        <f t="shared" ca="1" si="9"/>
        <v>6517</v>
      </c>
      <c r="Q26">
        <v>38</v>
      </c>
      <c r="R26" t="str">
        <f t="shared" si="10"/>
        <v>Old</v>
      </c>
      <c r="S26" t="s">
        <v>34</v>
      </c>
      <c r="T26">
        <v>1</v>
      </c>
      <c r="U26" t="s">
        <v>45</v>
      </c>
      <c r="V26">
        <v>2827.31</v>
      </c>
      <c r="W26" t="s">
        <v>58</v>
      </c>
      <c r="X26" t="s">
        <v>55</v>
      </c>
      <c r="Y26">
        <v>27</v>
      </c>
      <c r="Z26" t="str">
        <f t="shared" si="11"/>
        <v>Bad Employee</v>
      </c>
      <c r="AA26" t="b">
        <f t="shared" si="12"/>
        <v>0</v>
      </c>
      <c r="AB26" t="b">
        <f>OR(Y26&gt;20, T26&gt;6)</f>
        <v>1</v>
      </c>
      <c r="AC26" t="str">
        <f>IF(OR(Y26&gt;20,T26&gt;6), "Good employee", "Bad Employee")</f>
        <v>Good employee</v>
      </c>
      <c r="AD26" t="s">
        <v>56</v>
      </c>
      <c r="AE26" t="s">
        <v>62</v>
      </c>
      <c r="AF26">
        <v>14</v>
      </c>
      <c r="AG26">
        <v>2018</v>
      </c>
      <c r="AH26" t="s">
        <v>49</v>
      </c>
      <c r="AI26">
        <v>5</v>
      </c>
      <c r="AJ26">
        <v>3.7</v>
      </c>
    </row>
    <row r="27" spans="1:36" x14ac:dyDescent="0.25">
      <c r="A27">
        <v>10026</v>
      </c>
      <c r="B27" t="s">
        <v>64</v>
      </c>
      <c r="C27" t="s">
        <v>57</v>
      </c>
      <c r="D27" t="s">
        <v>39</v>
      </c>
      <c r="E27" t="str">
        <f t="shared" si="0"/>
        <v>Katie Davis is in IT Department</v>
      </c>
      <c r="F27" s="6" t="str">
        <f t="shared" si="1"/>
        <v>katiedavis@gmail.com</v>
      </c>
      <c r="G27">
        <v>76008</v>
      </c>
      <c r="H27" t="str">
        <f t="shared" si="2"/>
        <v>Medium</v>
      </c>
      <c r="I27" s="3">
        <v>37701</v>
      </c>
      <c r="J27">
        <f t="shared" si="3"/>
        <v>2003</v>
      </c>
      <c r="K27">
        <f t="shared" si="4"/>
        <v>3</v>
      </c>
      <c r="L27">
        <f t="shared" si="5"/>
        <v>21</v>
      </c>
      <c r="M27" s="3">
        <f t="shared" ca="1" si="6"/>
        <v>46100</v>
      </c>
      <c r="N27">
        <f t="shared" ca="1" si="7"/>
        <v>8399</v>
      </c>
      <c r="O27">
        <f t="shared" ca="1" si="8"/>
        <v>8399</v>
      </c>
      <c r="P27">
        <f t="shared" ca="1" si="9"/>
        <v>6000</v>
      </c>
      <c r="Q27">
        <v>24</v>
      </c>
      <c r="R27" t="str">
        <f t="shared" si="10"/>
        <v>Young</v>
      </c>
      <c r="S27" t="s">
        <v>24</v>
      </c>
      <c r="T27">
        <v>8</v>
      </c>
      <c r="U27" t="s">
        <v>25</v>
      </c>
      <c r="V27">
        <v>544.23</v>
      </c>
      <c r="W27" t="s">
        <v>35</v>
      </c>
      <c r="X27" t="s">
        <v>55</v>
      </c>
      <c r="Y27">
        <v>4</v>
      </c>
      <c r="Z27" t="str">
        <f t="shared" si="11"/>
        <v>Bad Employee</v>
      </c>
      <c r="AA27" t="b">
        <f t="shared" si="12"/>
        <v>0</v>
      </c>
      <c r="AB27" t="b">
        <f>OR(Y27&gt;20, T27&gt;6)</f>
        <v>1</v>
      </c>
      <c r="AC27" t="str">
        <f>IF(OR(Y27&gt;20,T27&gt;6), "Good employee", "Bad Employee")</f>
        <v>Good employee</v>
      </c>
      <c r="AD27" t="s">
        <v>28</v>
      </c>
      <c r="AE27" t="s">
        <v>62</v>
      </c>
      <c r="AF27">
        <v>17</v>
      </c>
      <c r="AG27">
        <v>2010</v>
      </c>
      <c r="AH27" t="s">
        <v>43</v>
      </c>
      <c r="AI27">
        <v>149</v>
      </c>
      <c r="AJ27">
        <v>2.8</v>
      </c>
    </row>
    <row r="28" spans="1:36" x14ac:dyDescent="0.25">
      <c r="A28">
        <v>10027</v>
      </c>
      <c r="B28" t="s">
        <v>64</v>
      </c>
      <c r="C28" t="s">
        <v>32</v>
      </c>
      <c r="D28" t="s">
        <v>52</v>
      </c>
      <c r="E28" t="str">
        <f t="shared" si="0"/>
        <v>Katie Wilson is in Operations Department</v>
      </c>
      <c r="F28" s="6" t="str">
        <f t="shared" si="1"/>
        <v>katiewilson@gmail.com</v>
      </c>
      <c r="G28">
        <v>91920</v>
      </c>
      <c r="H28" t="str">
        <f t="shared" si="2"/>
        <v>High</v>
      </c>
      <c r="I28" s="3">
        <v>43016</v>
      </c>
      <c r="J28">
        <f t="shared" si="3"/>
        <v>2017</v>
      </c>
      <c r="K28">
        <f t="shared" si="4"/>
        <v>10</v>
      </c>
      <c r="L28">
        <f t="shared" si="5"/>
        <v>8</v>
      </c>
      <c r="M28" s="3">
        <f t="shared" ca="1" si="6"/>
        <v>46100</v>
      </c>
      <c r="N28">
        <f t="shared" ca="1" si="7"/>
        <v>3084</v>
      </c>
      <c r="O28">
        <f t="shared" ca="1" si="8"/>
        <v>3084</v>
      </c>
      <c r="P28">
        <f t="shared" ca="1" si="9"/>
        <v>2204</v>
      </c>
      <c r="Q28">
        <v>55</v>
      </c>
      <c r="R28" t="str">
        <f t="shared" si="10"/>
        <v>Old</v>
      </c>
      <c r="S28" t="s">
        <v>24</v>
      </c>
      <c r="T28">
        <v>7</v>
      </c>
      <c r="U28" t="s">
        <v>45</v>
      </c>
      <c r="V28">
        <v>8866.73</v>
      </c>
      <c r="W28" t="s">
        <v>46</v>
      </c>
      <c r="X28" t="s">
        <v>27</v>
      </c>
      <c r="Y28">
        <v>20</v>
      </c>
      <c r="Z28" t="str">
        <f t="shared" si="11"/>
        <v>Bad Employee</v>
      </c>
      <c r="AA28" t="b">
        <f t="shared" si="12"/>
        <v>0</v>
      </c>
      <c r="AB28" t="b">
        <f>OR(Y28&gt;20, T28&gt;6)</f>
        <v>1</v>
      </c>
      <c r="AC28" t="str">
        <f>IF(OR(Y28&gt;20,T28&gt;6), "Good employee", "Bad Employee")</f>
        <v>Good employee</v>
      </c>
      <c r="AD28" t="s">
        <v>41</v>
      </c>
      <c r="AE28" t="s">
        <v>59</v>
      </c>
      <c r="AF28">
        <v>19</v>
      </c>
      <c r="AG28">
        <v>2011</v>
      </c>
      <c r="AH28" t="s">
        <v>30</v>
      </c>
      <c r="AI28">
        <v>84</v>
      </c>
      <c r="AJ28">
        <v>4.3</v>
      </c>
    </row>
    <row r="29" spans="1:36" x14ac:dyDescent="0.25">
      <c r="A29">
        <v>10028</v>
      </c>
      <c r="B29" t="s">
        <v>60</v>
      </c>
      <c r="C29" t="s">
        <v>32</v>
      </c>
      <c r="D29" t="s">
        <v>33</v>
      </c>
      <c r="E29" t="str">
        <f t="shared" si="0"/>
        <v>Jane Wilson is in Marketing Department</v>
      </c>
      <c r="F29" s="6" t="str">
        <f t="shared" si="1"/>
        <v>janewilson@gmail.com</v>
      </c>
      <c r="G29">
        <v>62875</v>
      </c>
      <c r="H29" t="str">
        <f t="shared" si="2"/>
        <v>Medium</v>
      </c>
      <c r="I29" s="3">
        <v>41437</v>
      </c>
      <c r="J29">
        <f t="shared" si="3"/>
        <v>2013</v>
      </c>
      <c r="K29">
        <f t="shared" si="4"/>
        <v>6</v>
      </c>
      <c r="L29">
        <f t="shared" si="5"/>
        <v>12</v>
      </c>
      <c r="M29" s="3">
        <f t="shared" ca="1" si="6"/>
        <v>46100</v>
      </c>
      <c r="N29">
        <f t="shared" ca="1" si="7"/>
        <v>4663</v>
      </c>
      <c r="O29">
        <f t="shared" ca="1" si="8"/>
        <v>4663</v>
      </c>
      <c r="P29">
        <f t="shared" ca="1" si="9"/>
        <v>3332</v>
      </c>
      <c r="Q29">
        <v>43</v>
      </c>
      <c r="R29" t="str">
        <f t="shared" si="10"/>
        <v>Old</v>
      </c>
      <c r="S29" t="s">
        <v>34</v>
      </c>
      <c r="T29">
        <v>5</v>
      </c>
      <c r="U29" t="s">
        <v>25</v>
      </c>
      <c r="V29">
        <v>3311.91</v>
      </c>
      <c r="W29" t="s">
        <v>35</v>
      </c>
      <c r="X29" t="s">
        <v>40</v>
      </c>
      <c r="Y29">
        <v>3</v>
      </c>
      <c r="Z29" t="str">
        <f t="shared" si="11"/>
        <v>Bad Employee</v>
      </c>
      <c r="AA29" t="b">
        <f t="shared" si="12"/>
        <v>0</v>
      </c>
      <c r="AB29" t="b">
        <f>OR(Y29&gt;20, T29&gt;6)</f>
        <v>0</v>
      </c>
      <c r="AC29" t="str">
        <f>IF(OR(Y29&gt;20,T29&gt;6), "Good employee", "Bad Employee")</f>
        <v>Bad Employee</v>
      </c>
      <c r="AD29" t="s">
        <v>41</v>
      </c>
      <c r="AE29" t="s">
        <v>59</v>
      </c>
      <c r="AF29">
        <v>6</v>
      </c>
      <c r="AG29">
        <v>2014</v>
      </c>
      <c r="AH29" t="s">
        <v>43</v>
      </c>
      <c r="AI29">
        <v>31</v>
      </c>
      <c r="AJ29">
        <v>3.9</v>
      </c>
    </row>
    <row r="30" spans="1:36" x14ac:dyDescent="0.25">
      <c r="A30">
        <v>10029</v>
      </c>
      <c r="B30" t="s">
        <v>53</v>
      </c>
      <c r="C30" t="s">
        <v>65</v>
      </c>
      <c r="D30" t="s">
        <v>33</v>
      </c>
      <c r="E30" t="str">
        <f t="shared" si="0"/>
        <v>Sarah Johnson is in Marketing Department</v>
      </c>
      <c r="F30" s="6" t="str">
        <f t="shared" si="1"/>
        <v>sarahjohnson@gmail.com</v>
      </c>
      <c r="G30">
        <v>31626</v>
      </c>
      <c r="H30" t="str">
        <f t="shared" si="2"/>
        <v>extremely low</v>
      </c>
      <c r="I30" s="3">
        <v>36939</v>
      </c>
      <c r="J30">
        <f t="shared" si="3"/>
        <v>2001</v>
      </c>
      <c r="K30">
        <f t="shared" si="4"/>
        <v>2</v>
      </c>
      <c r="L30">
        <f t="shared" si="5"/>
        <v>17</v>
      </c>
      <c r="M30" s="3">
        <f t="shared" ca="1" si="6"/>
        <v>46100</v>
      </c>
      <c r="N30">
        <f t="shared" ca="1" si="7"/>
        <v>9161</v>
      </c>
      <c r="O30">
        <f t="shared" ca="1" si="8"/>
        <v>9161</v>
      </c>
      <c r="P30">
        <f t="shared" ca="1" si="9"/>
        <v>6544</v>
      </c>
      <c r="Q30">
        <v>50</v>
      </c>
      <c r="R30" t="str">
        <f t="shared" si="10"/>
        <v>Old</v>
      </c>
      <c r="S30" t="s">
        <v>24</v>
      </c>
      <c r="T30">
        <v>7</v>
      </c>
      <c r="U30" t="s">
        <v>25</v>
      </c>
      <c r="V30">
        <v>1320.56</v>
      </c>
      <c r="W30" t="s">
        <v>58</v>
      </c>
      <c r="X30" t="s">
        <v>27</v>
      </c>
      <c r="Y30">
        <v>23</v>
      </c>
      <c r="Z30" t="str">
        <f t="shared" si="11"/>
        <v>Good Employee</v>
      </c>
      <c r="AA30" t="b">
        <f t="shared" si="12"/>
        <v>1</v>
      </c>
      <c r="AB30" t="b">
        <f>OR(Y30&gt;20, T30&gt;6)</f>
        <v>1</v>
      </c>
      <c r="AC30" t="str">
        <f>IF(OR(Y30&gt;20,T30&gt;6), "Good employee", "Bad Employee")</f>
        <v>Good employee</v>
      </c>
      <c r="AD30" t="s">
        <v>56</v>
      </c>
      <c r="AE30" t="s">
        <v>48</v>
      </c>
      <c r="AF30">
        <v>11</v>
      </c>
      <c r="AG30">
        <v>2014</v>
      </c>
      <c r="AH30" t="s">
        <v>30</v>
      </c>
      <c r="AI30">
        <v>123</v>
      </c>
      <c r="AJ30">
        <v>4.7</v>
      </c>
    </row>
    <row r="31" spans="1:36" x14ac:dyDescent="0.25">
      <c r="A31">
        <v>10030</v>
      </c>
      <c r="B31" t="s">
        <v>31</v>
      </c>
      <c r="C31" t="s">
        <v>63</v>
      </c>
      <c r="D31" t="s">
        <v>23</v>
      </c>
      <c r="E31" t="str">
        <f t="shared" si="0"/>
        <v>Emily Miller is in HR Department</v>
      </c>
      <c r="F31" s="6" t="str">
        <f t="shared" si="1"/>
        <v>emilymiller@gmail.com</v>
      </c>
      <c r="G31">
        <v>93822</v>
      </c>
      <c r="H31" t="str">
        <f t="shared" si="2"/>
        <v>High</v>
      </c>
      <c r="I31" s="3">
        <v>38076</v>
      </c>
      <c r="J31">
        <f t="shared" si="3"/>
        <v>2004</v>
      </c>
      <c r="K31">
        <f t="shared" si="4"/>
        <v>3</v>
      </c>
      <c r="L31">
        <f t="shared" si="5"/>
        <v>30</v>
      </c>
      <c r="M31" s="3">
        <f t="shared" ca="1" si="6"/>
        <v>46100</v>
      </c>
      <c r="N31">
        <f t="shared" ca="1" si="7"/>
        <v>8024</v>
      </c>
      <c r="O31">
        <f t="shared" ca="1" si="8"/>
        <v>8024</v>
      </c>
      <c r="P31">
        <f t="shared" ca="1" si="9"/>
        <v>5733</v>
      </c>
      <c r="Q31">
        <v>50</v>
      </c>
      <c r="R31" t="str">
        <f t="shared" si="10"/>
        <v>Old</v>
      </c>
      <c r="S31" t="s">
        <v>24</v>
      </c>
      <c r="T31">
        <v>3</v>
      </c>
      <c r="U31" t="s">
        <v>45</v>
      </c>
      <c r="V31">
        <v>1326.38</v>
      </c>
      <c r="W31" t="s">
        <v>26</v>
      </c>
      <c r="X31" t="s">
        <v>55</v>
      </c>
      <c r="Y31">
        <v>2</v>
      </c>
      <c r="Z31" t="str">
        <f t="shared" si="11"/>
        <v>Bad Employee</v>
      </c>
      <c r="AA31" t="b">
        <f t="shared" si="12"/>
        <v>0</v>
      </c>
      <c r="AB31" t="b">
        <f>OR(Y31&gt;20, T31&gt;6)</f>
        <v>0</v>
      </c>
      <c r="AC31" t="str">
        <f>IF(OR(Y31&gt;20,T31&gt;6), "Good employee", "Bad Employee")</f>
        <v>Bad Employee</v>
      </c>
      <c r="AD31" t="s">
        <v>41</v>
      </c>
      <c r="AE31" t="s">
        <v>62</v>
      </c>
      <c r="AF31">
        <v>9</v>
      </c>
      <c r="AG31">
        <v>2021</v>
      </c>
      <c r="AH31" t="s">
        <v>30</v>
      </c>
      <c r="AI31">
        <v>127</v>
      </c>
      <c r="AJ31">
        <v>1.3</v>
      </c>
    </row>
    <row r="32" spans="1:36" x14ac:dyDescent="0.25">
      <c r="A32">
        <v>10031</v>
      </c>
      <c r="B32" t="s">
        <v>38</v>
      </c>
      <c r="C32" t="s">
        <v>57</v>
      </c>
      <c r="D32" t="s">
        <v>52</v>
      </c>
      <c r="E32" t="str">
        <f t="shared" si="0"/>
        <v>Chris Davis is in Operations Department</v>
      </c>
      <c r="F32" s="6" t="str">
        <f t="shared" si="1"/>
        <v>chrisdavis@gmail.com</v>
      </c>
      <c r="G32">
        <v>101765</v>
      </c>
      <c r="H32" t="str">
        <f t="shared" si="2"/>
        <v>High</v>
      </c>
      <c r="I32" s="3">
        <v>41052</v>
      </c>
      <c r="J32">
        <f t="shared" si="3"/>
        <v>2012</v>
      </c>
      <c r="K32">
        <f t="shared" si="4"/>
        <v>5</v>
      </c>
      <c r="L32">
        <f t="shared" si="5"/>
        <v>23</v>
      </c>
      <c r="M32" s="3">
        <f t="shared" ca="1" si="6"/>
        <v>46100</v>
      </c>
      <c r="N32">
        <f t="shared" ca="1" si="7"/>
        <v>5048</v>
      </c>
      <c r="O32">
        <f t="shared" ca="1" si="8"/>
        <v>5048</v>
      </c>
      <c r="P32">
        <f t="shared" ca="1" si="9"/>
        <v>3607</v>
      </c>
      <c r="Q32">
        <v>26</v>
      </c>
      <c r="R32" t="str">
        <f t="shared" si="10"/>
        <v>Young</v>
      </c>
      <c r="S32" t="s">
        <v>34</v>
      </c>
      <c r="T32">
        <v>8</v>
      </c>
      <c r="U32" t="s">
        <v>25</v>
      </c>
      <c r="V32">
        <v>5782.17</v>
      </c>
      <c r="W32" t="s">
        <v>35</v>
      </c>
      <c r="X32" t="s">
        <v>40</v>
      </c>
      <c r="Y32">
        <v>16</v>
      </c>
      <c r="Z32" t="str">
        <f t="shared" si="11"/>
        <v>Bad Employee</v>
      </c>
      <c r="AA32" t="b">
        <f t="shared" si="12"/>
        <v>0</v>
      </c>
      <c r="AB32" t="b">
        <f>OR(Y32&gt;20, T32&gt;6)</f>
        <v>1</v>
      </c>
      <c r="AC32" t="str">
        <f>IF(OR(Y32&gt;20,T32&gt;6), "Good employee", "Bad Employee")</f>
        <v>Good employee</v>
      </c>
      <c r="AD32" t="s">
        <v>28</v>
      </c>
      <c r="AE32" t="s">
        <v>42</v>
      </c>
      <c r="AF32">
        <v>6</v>
      </c>
      <c r="AG32">
        <v>2016</v>
      </c>
      <c r="AH32" t="s">
        <v>30</v>
      </c>
      <c r="AI32">
        <v>28</v>
      </c>
      <c r="AJ32">
        <v>3</v>
      </c>
    </row>
    <row r="33" spans="1:36" x14ac:dyDescent="0.25">
      <c r="A33">
        <v>10032</v>
      </c>
      <c r="B33" t="s">
        <v>66</v>
      </c>
      <c r="C33" t="s">
        <v>63</v>
      </c>
      <c r="D33" t="s">
        <v>23</v>
      </c>
      <c r="E33" t="str">
        <f t="shared" si="0"/>
        <v>John Miller is in HR Department</v>
      </c>
      <c r="F33" s="6" t="str">
        <f t="shared" si="1"/>
        <v>johnmiller@gmail.com</v>
      </c>
      <c r="G33">
        <v>102413</v>
      </c>
      <c r="H33" t="str">
        <f t="shared" si="2"/>
        <v>High</v>
      </c>
      <c r="I33" s="3">
        <v>43048</v>
      </c>
      <c r="J33">
        <f t="shared" si="3"/>
        <v>2017</v>
      </c>
      <c r="K33">
        <f t="shared" si="4"/>
        <v>11</v>
      </c>
      <c r="L33">
        <f t="shared" si="5"/>
        <v>9</v>
      </c>
      <c r="M33" s="3">
        <f t="shared" ca="1" si="6"/>
        <v>46100</v>
      </c>
      <c r="N33">
        <f t="shared" ca="1" si="7"/>
        <v>3052</v>
      </c>
      <c r="O33">
        <f t="shared" ca="1" si="8"/>
        <v>3052</v>
      </c>
      <c r="P33">
        <f t="shared" ca="1" si="9"/>
        <v>2181</v>
      </c>
      <c r="Q33">
        <v>31</v>
      </c>
      <c r="R33" t="str">
        <f t="shared" si="10"/>
        <v>Old</v>
      </c>
      <c r="S33" t="s">
        <v>34</v>
      </c>
      <c r="T33">
        <v>5</v>
      </c>
      <c r="U33" t="s">
        <v>25</v>
      </c>
      <c r="V33">
        <v>9932.75</v>
      </c>
      <c r="W33" t="s">
        <v>26</v>
      </c>
      <c r="X33" t="s">
        <v>55</v>
      </c>
      <c r="Y33">
        <v>10</v>
      </c>
      <c r="Z33" t="str">
        <f t="shared" si="11"/>
        <v>Bad Employee</v>
      </c>
      <c r="AA33" t="b">
        <f t="shared" si="12"/>
        <v>0</v>
      </c>
      <c r="AB33" t="b">
        <f>OR(Y33&gt;20, T33&gt;6)</f>
        <v>0</v>
      </c>
      <c r="AC33" t="str">
        <f>IF(OR(Y33&gt;20,T33&gt;6), "Good employee", "Bad Employee")</f>
        <v>Bad Employee</v>
      </c>
      <c r="AD33" t="s">
        <v>28</v>
      </c>
      <c r="AE33" t="s">
        <v>48</v>
      </c>
      <c r="AF33">
        <v>13</v>
      </c>
      <c r="AG33">
        <v>2017</v>
      </c>
      <c r="AH33" t="s">
        <v>43</v>
      </c>
      <c r="AI33">
        <v>194</v>
      </c>
      <c r="AJ33">
        <v>3.8</v>
      </c>
    </row>
    <row r="34" spans="1:36" x14ac:dyDescent="0.25">
      <c r="A34">
        <v>10033</v>
      </c>
      <c r="B34" t="s">
        <v>31</v>
      </c>
      <c r="C34" t="s">
        <v>22</v>
      </c>
      <c r="D34" t="s">
        <v>52</v>
      </c>
      <c r="E34" t="str">
        <f t="shared" si="0"/>
        <v>Emily Williams is in Operations Department</v>
      </c>
      <c r="F34" s="6" t="str">
        <f t="shared" si="1"/>
        <v>emilywilliams@gmail.com</v>
      </c>
      <c r="G34">
        <v>63642</v>
      </c>
      <c r="H34" t="str">
        <f t="shared" si="2"/>
        <v>Medium</v>
      </c>
      <c r="I34" s="3">
        <v>43667</v>
      </c>
      <c r="J34">
        <f t="shared" si="3"/>
        <v>2019</v>
      </c>
      <c r="K34">
        <f t="shared" si="4"/>
        <v>7</v>
      </c>
      <c r="L34">
        <f t="shared" si="5"/>
        <v>21</v>
      </c>
      <c r="M34" s="3">
        <f t="shared" ca="1" si="6"/>
        <v>46100</v>
      </c>
      <c r="N34">
        <f t="shared" ca="1" si="7"/>
        <v>2433</v>
      </c>
      <c r="O34">
        <f t="shared" ca="1" si="8"/>
        <v>2433</v>
      </c>
      <c r="P34">
        <f t="shared" ca="1" si="9"/>
        <v>1739</v>
      </c>
      <c r="Q34">
        <v>31</v>
      </c>
      <c r="R34" t="str">
        <f t="shared" si="10"/>
        <v>Old</v>
      </c>
      <c r="S34" t="s">
        <v>34</v>
      </c>
      <c r="T34">
        <v>2</v>
      </c>
      <c r="U34" t="s">
        <v>45</v>
      </c>
      <c r="V34">
        <v>1877.71</v>
      </c>
      <c r="W34" t="s">
        <v>35</v>
      </c>
      <c r="X34" t="s">
        <v>40</v>
      </c>
      <c r="Y34">
        <v>28</v>
      </c>
      <c r="Z34" t="str">
        <f t="shared" si="11"/>
        <v>Bad Employee</v>
      </c>
      <c r="AA34" t="b">
        <f t="shared" si="12"/>
        <v>0</v>
      </c>
      <c r="AB34" t="b">
        <f>OR(Y34&gt;20, T34&gt;6)</f>
        <v>1</v>
      </c>
      <c r="AC34" t="str">
        <f>IF(OR(Y34&gt;20,T34&gt;6), "Good employee", "Bad Employee")</f>
        <v>Good employee</v>
      </c>
      <c r="AD34" t="s">
        <v>28</v>
      </c>
      <c r="AE34" t="s">
        <v>59</v>
      </c>
      <c r="AF34">
        <v>14</v>
      </c>
      <c r="AG34">
        <v>2019</v>
      </c>
      <c r="AH34" t="s">
        <v>43</v>
      </c>
      <c r="AI34">
        <v>56</v>
      </c>
      <c r="AJ34">
        <v>1.8</v>
      </c>
    </row>
    <row r="35" spans="1:36" x14ac:dyDescent="0.25">
      <c r="A35">
        <v>10034</v>
      </c>
      <c r="B35" t="s">
        <v>60</v>
      </c>
      <c r="C35" t="s">
        <v>22</v>
      </c>
      <c r="D35" t="s">
        <v>23</v>
      </c>
      <c r="E35" t="str">
        <f t="shared" si="0"/>
        <v>Jane Williams is in HR Department</v>
      </c>
      <c r="F35" s="6" t="str">
        <f t="shared" si="1"/>
        <v>janewilliams@gmail.com</v>
      </c>
      <c r="G35">
        <v>68311</v>
      </c>
      <c r="H35" t="str">
        <f t="shared" si="2"/>
        <v>Medium</v>
      </c>
      <c r="I35" s="3">
        <v>41516</v>
      </c>
      <c r="J35">
        <f t="shared" si="3"/>
        <v>2013</v>
      </c>
      <c r="K35">
        <f t="shared" si="4"/>
        <v>8</v>
      </c>
      <c r="L35">
        <f t="shared" si="5"/>
        <v>30</v>
      </c>
      <c r="M35" s="3">
        <f t="shared" ca="1" si="6"/>
        <v>46100</v>
      </c>
      <c r="N35">
        <f t="shared" ca="1" si="7"/>
        <v>4584</v>
      </c>
      <c r="O35">
        <f t="shared" ca="1" si="8"/>
        <v>4584</v>
      </c>
      <c r="P35">
        <f t="shared" ca="1" si="9"/>
        <v>3275</v>
      </c>
      <c r="Q35">
        <v>30</v>
      </c>
      <c r="R35" t="str">
        <f t="shared" si="10"/>
        <v>Young</v>
      </c>
      <c r="S35" t="s">
        <v>34</v>
      </c>
      <c r="T35">
        <v>2</v>
      </c>
      <c r="U35" t="s">
        <v>45</v>
      </c>
      <c r="V35">
        <v>1446.41</v>
      </c>
      <c r="W35" t="s">
        <v>26</v>
      </c>
      <c r="X35" t="s">
        <v>55</v>
      </c>
      <c r="Y35">
        <v>18</v>
      </c>
      <c r="Z35" t="str">
        <f t="shared" si="11"/>
        <v>Bad Employee</v>
      </c>
      <c r="AA35" t="b">
        <f t="shared" si="12"/>
        <v>0</v>
      </c>
      <c r="AB35" t="b">
        <f>OR(Y35&gt;20, T35&gt;6)</f>
        <v>0</v>
      </c>
      <c r="AC35" t="str">
        <f>IF(OR(Y35&gt;20,T35&gt;6), "Good employee", "Bad Employee")</f>
        <v>Bad Employee</v>
      </c>
      <c r="AD35" t="s">
        <v>56</v>
      </c>
      <c r="AE35" t="s">
        <v>48</v>
      </c>
      <c r="AF35">
        <v>3</v>
      </c>
      <c r="AG35">
        <v>2015</v>
      </c>
      <c r="AH35" t="s">
        <v>43</v>
      </c>
      <c r="AI35">
        <v>55</v>
      </c>
      <c r="AJ35">
        <v>2.2999999999999998</v>
      </c>
    </row>
    <row r="36" spans="1:36" x14ac:dyDescent="0.25">
      <c r="A36">
        <v>10035</v>
      </c>
      <c r="B36" t="s">
        <v>64</v>
      </c>
      <c r="C36" t="s">
        <v>63</v>
      </c>
      <c r="D36" t="s">
        <v>54</v>
      </c>
      <c r="E36" t="str">
        <f t="shared" si="0"/>
        <v>Katie Miller is in Finance Department</v>
      </c>
      <c r="F36" s="6" t="str">
        <f t="shared" si="1"/>
        <v>katiemiller@gmail.com</v>
      </c>
      <c r="G36">
        <v>62356</v>
      </c>
      <c r="H36" t="str">
        <f t="shared" si="2"/>
        <v>Medium</v>
      </c>
      <c r="I36" s="3">
        <v>43097</v>
      </c>
      <c r="J36">
        <f t="shared" si="3"/>
        <v>2017</v>
      </c>
      <c r="K36">
        <f t="shared" si="4"/>
        <v>12</v>
      </c>
      <c r="L36">
        <f t="shared" si="5"/>
        <v>28</v>
      </c>
      <c r="M36" s="3">
        <f t="shared" ca="1" si="6"/>
        <v>46100</v>
      </c>
      <c r="N36">
        <f t="shared" ca="1" si="7"/>
        <v>3003</v>
      </c>
      <c r="O36">
        <f t="shared" ca="1" si="8"/>
        <v>3003</v>
      </c>
      <c r="P36">
        <f t="shared" ca="1" si="9"/>
        <v>2146</v>
      </c>
      <c r="Q36">
        <v>42</v>
      </c>
      <c r="R36" t="str">
        <f t="shared" si="10"/>
        <v>Old</v>
      </c>
      <c r="S36" t="s">
        <v>34</v>
      </c>
      <c r="T36">
        <v>4</v>
      </c>
      <c r="U36" t="s">
        <v>45</v>
      </c>
      <c r="V36">
        <v>4663.8900000000003</v>
      </c>
      <c r="W36" t="s">
        <v>26</v>
      </c>
      <c r="X36" t="s">
        <v>36</v>
      </c>
      <c r="Y36">
        <v>2</v>
      </c>
      <c r="Z36" t="str">
        <f t="shared" si="11"/>
        <v>Bad Employee</v>
      </c>
      <c r="AA36" t="b">
        <f t="shared" si="12"/>
        <v>0</v>
      </c>
      <c r="AB36" t="b">
        <f>OR(Y36&gt;20, T36&gt;6)</f>
        <v>0</v>
      </c>
      <c r="AC36" t="str">
        <f>IF(OR(Y36&gt;20,T36&gt;6), "Good employee", "Bad Employee")</f>
        <v>Bad Employee</v>
      </c>
      <c r="AD36" t="s">
        <v>56</v>
      </c>
      <c r="AE36" t="s">
        <v>59</v>
      </c>
      <c r="AF36">
        <v>7</v>
      </c>
      <c r="AG36">
        <v>2015</v>
      </c>
      <c r="AH36" t="s">
        <v>30</v>
      </c>
      <c r="AI36">
        <v>198</v>
      </c>
      <c r="AJ36">
        <v>2.7</v>
      </c>
    </row>
    <row r="37" spans="1:36" x14ac:dyDescent="0.25">
      <c r="A37">
        <v>10036</v>
      </c>
      <c r="B37" t="s">
        <v>38</v>
      </c>
      <c r="C37" t="s">
        <v>65</v>
      </c>
      <c r="D37" t="s">
        <v>39</v>
      </c>
      <c r="E37" t="str">
        <f t="shared" si="0"/>
        <v>Chris Johnson is in IT Department</v>
      </c>
      <c r="F37" s="6" t="str">
        <f t="shared" si="1"/>
        <v>chrisjohnson@gmail.com</v>
      </c>
      <c r="G37">
        <v>33809</v>
      </c>
      <c r="H37" t="str">
        <f t="shared" si="2"/>
        <v>extremely low</v>
      </c>
      <c r="I37" s="3">
        <v>38472</v>
      </c>
      <c r="J37">
        <f t="shared" si="3"/>
        <v>2005</v>
      </c>
      <c r="K37">
        <f t="shared" si="4"/>
        <v>4</v>
      </c>
      <c r="L37">
        <f t="shared" si="5"/>
        <v>30</v>
      </c>
      <c r="M37" s="3">
        <f t="shared" ca="1" si="6"/>
        <v>46100</v>
      </c>
      <c r="N37">
        <f t="shared" ca="1" si="7"/>
        <v>7628</v>
      </c>
      <c r="O37">
        <f t="shared" ca="1" si="8"/>
        <v>7628</v>
      </c>
      <c r="P37">
        <f t="shared" ca="1" si="9"/>
        <v>5449</v>
      </c>
      <c r="Q37">
        <v>34</v>
      </c>
      <c r="R37" t="str">
        <f t="shared" si="10"/>
        <v>Old</v>
      </c>
      <c r="S37" t="s">
        <v>34</v>
      </c>
      <c r="T37">
        <v>7</v>
      </c>
      <c r="U37" t="s">
        <v>45</v>
      </c>
      <c r="V37">
        <v>5851.65</v>
      </c>
      <c r="W37" t="s">
        <v>35</v>
      </c>
      <c r="X37" t="s">
        <v>27</v>
      </c>
      <c r="Y37">
        <v>14</v>
      </c>
      <c r="Z37" t="str">
        <f t="shared" si="11"/>
        <v>Bad Employee</v>
      </c>
      <c r="AA37" t="b">
        <f t="shared" si="12"/>
        <v>0</v>
      </c>
      <c r="AB37" t="b">
        <f>OR(Y37&gt;20, T37&gt;6)</f>
        <v>1</v>
      </c>
      <c r="AC37" t="str">
        <f>IF(OR(Y37&gt;20,T37&gt;6), "Good employee", "Bad Employee")</f>
        <v>Good employee</v>
      </c>
      <c r="AD37" t="s">
        <v>56</v>
      </c>
      <c r="AE37" t="s">
        <v>62</v>
      </c>
      <c r="AF37">
        <v>18</v>
      </c>
      <c r="AG37">
        <v>2014</v>
      </c>
      <c r="AH37" t="s">
        <v>43</v>
      </c>
      <c r="AI37">
        <v>61</v>
      </c>
      <c r="AJ37">
        <v>4.2</v>
      </c>
    </row>
    <row r="38" spans="1:36" x14ac:dyDescent="0.25">
      <c r="A38">
        <v>10037</v>
      </c>
      <c r="B38" t="s">
        <v>31</v>
      </c>
      <c r="C38" t="s">
        <v>65</v>
      </c>
      <c r="D38" t="s">
        <v>39</v>
      </c>
      <c r="E38" t="str">
        <f t="shared" si="0"/>
        <v>Emily Johnson is in IT Department</v>
      </c>
      <c r="F38" s="6" t="str">
        <f t="shared" si="1"/>
        <v>emilyjohnson@gmail.com</v>
      </c>
      <c r="G38">
        <v>73371</v>
      </c>
      <c r="H38" t="str">
        <f t="shared" si="2"/>
        <v>Medium</v>
      </c>
      <c r="I38" s="3">
        <v>41729</v>
      </c>
      <c r="J38">
        <f t="shared" si="3"/>
        <v>2014</v>
      </c>
      <c r="K38">
        <f t="shared" si="4"/>
        <v>3</v>
      </c>
      <c r="L38">
        <f t="shared" si="5"/>
        <v>31</v>
      </c>
      <c r="M38" s="3">
        <f t="shared" ca="1" si="6"/>
        <v>46100</v>
      </c>
      <c r="N38">
        <f t="shared" ca="1" si="7"/>
        <v>4371</v>
      </c>
      <c r="O38">
        <f t="shared" ca="1" si="8"/>
        <v>4371</v>
      </c>
      <c r="P38">
        <f t="shared" ca="1" si="9"/>
        <v>3124</v>
      </c>
      <c r="Q38">
        <v>31</v>
      </c>
      <c r="R38" t="str">
        <f t="shared" si="10"/>
        <v>Old</v>
      </c>
      <c r="S38" t="s">
        <v>24</v>
      </c>
      <c r="T38">
        <v>4</v>
      </c>
      <c r="U38" t="s">
        <v>45</v>
      </c>
      <c r="V38">
        <v>3296.61</v>
      </c>
      <c r="W38" t="s">
        <v>46</v>
      </c>
      <c r="X38" t="s">
        <v>40</v>
      </c>
      <c r="Y38">
        <v>20</v>
      </c>
      <c r="Z38" t="str">
        <f t="shared" si="11"/>
        <v>Bad Employee</v>
      </c>
      <c r="AA38" t="b">
        <f t="shared" si="12"/>
        <v>0</v>
      </c>
      <c r="AB38" t="b">
        <f>OR(Y38&gt;20, T38&gt;6)</f>
        <v>0</v>
      </c>
      <c r="AC38" t="str">
        <f>IF(OR(Y38&gt;20,T38&gt;6), "Good employee", "Bad Employee")</f>
        <v>Bad Employee</v>
      </c>
      <c r="AD38" t="s">
        <v>28</v>
      </c>
      <c r="AE38" t="s">
        <v>48</v>
      </c>
      <c r="AF38">
        <v>18</v>
      </c>
      <c r="AG38">
        <v>2014</v>
      </c>
      <c r="AH38" t="s">
        <v>49</v>
      </c>
      <c r="AI38">
        <v>59</v>
      </c>
      <c r="AJ38">
        <v>3</v>
      </c>
    </row>
    <row r="39" spans="1:36" x14ac:dyDescent="0.25">
      <c r="A39">
        <v>10038</v>
      </c>
      <c r="B39" t="s">
        <v>66</v>
      </c>
      <c r="C39" t="s">
        <v>63</v>
      </c>
      <c r="D39" t="s">
        <v>44</v>
      </c>
      <c r="E39" t="str">
        <f t="shared" si="0"/>
        <v>John Miller is in Sales Department</v>
      </c>
      <c r="F39" s="6" t="str">
        <f t="shared" si="1"/>
        <v>johnmiller@gmail.com</v>
      </c>
      <c r="G39">
        <v>64875</v>
      </c>
      <c r="H39" t="str">
        <f t="shared" si="2"/>
        <v>Medium</v>
      </c>
      <c r="I39" s="3">
        <v>36717</v>
      </c>
      <c r="J39">
        <f t="shared" si="3"/>
        <v>2000</v>
      </c>
      <c r="K39">
        <f t="shared" si="4"/>
        <v>7</v>
      </c>
      <c r="L39">
        <f t="shared" si="5"/>
        <v>10</v>
      </c>
      <c r="M39" s="3">
        <f t="shared" ca="1" si="6"/>
        <v>46100</v>
      </c>
      <c r="N39">
        <f t="shared" ca="1" si="7"/>
        <v>9383</v>
      </c>
      <c r="O39">
        <f t="shared" ca="1" si="8"/>
        <v>9383</v>
      </c>
      <c r="P39">
        <f t="shared" ca="1" si="9"/>
        <v>6704</v>
      </c>
      <c r="Q39">
        <v>59</v>
      </c>
      <c r="R39" t="str">
        <f t="shared" si="10"/>
        <v>Old</v>
      </c>
      <c r="S39" t="s">
        <v>34</v>
      </c>
      <c r="T39">
        <v>9</v>
      </c>
      <c r="U39" t="s">
        <v>25</v>
      </c>
      <c r="V39">
        <v>3373.96</v>
      </c>
      <c r="W39" t="s">
        <v>58</v>
      </c>
      <c r="X39" t="s">
        <v>27</v>
      </c>
      <c r="Y39">
        <v>23</v>
      </c>
      <c r="Z39" t="str">
        <f t="shared" si="11"/>
        <v>Good Employee</v>
      </c>
      <c r="AA39" t="b">
        <f t="shared" si="12"/>
        <v>1</v>
      </c>
      <c r="AB39" t="b">
        <f>OR(Y39&gt;20, T39&gt;6)</f>
        <v>1</v>
      </c>
      <c r="AC39" t="str">
        <f>IF(OR(Y39&gt;20,T39&gt;6), "Good employee", "Bad Employee")</f>
        <v>Good employee</v>
      </c>
      <c r="AD39" t="s">
        <v>56</v>
      </c>
      <c r="AE39" t="s">
        <v>29</v>
      </c>
      <c r="AF39">
        <v>4</v>
      </c>
      <c r="AG39">
        <v>2022</v>
      </c>
      <c r="AH39" t="s">
        <v>49</v>
      </c>
      <c r="AI39">
        <v>57</v>
      </c>
      <c r="AJ39">
        <v>3</v>
      </c>
    </row>
    <row r="40" spans="1:36" x14ac:dyDescent="0.25">
      <c r="A40">
        <v>10039</v>
      </c>
      <c r="B40" t="s">
        <v>66</v>
      </c>
      <c r="C40" t="s">
        <v>57</v>
      </c>
      <c r="D40" t="s">
        <v>33</v>
      </c>
      <c r="E40" t="str">
        <f t="shared" si="0"/>
        <v>John Davis is in Marketing Department</v>
      </c>
      <c r="F40" s="6" t="str">
        <f t="shared" si="1"/>
        <v>johndavis@gmail.com</v>
      </c>
      <c r="G40">
        <v>39465</v>
      </c>
      <c r="H40" t="str">
        <f t="shared" si="2"/>
        <v>extremely low</v>
      </c>
      <c r="I40" s="3">
        <v>36566</v>
      </c>
      <c r="J40">
        <f t="shared" si="3"/>
        <v>2000</v>
      </c>
      <c r="K40">
        <f t="shared" si="4"/>
        <v>2</v>
      </c>
      <c r="L40">
        <f t="shared" si="5"/>
        <v>10</v>
      </c>
      <c r="M40" s="3">
        <f t="shared" ca="1" si="6"/>
        <v>46100</v>
      </c>
      <c r="N40">
        <f t="shared" ca="1" si="7"/>
        <v>9534</v>
      </c>
      <c r="O40">
        <f t="shared" ca="1" si="8"/>
        <v>9534</v>
      </c>
      <c r="P40">
        <f t="shared" ca="1" si="9"/>
        <v>6811</v>
      </c>
      <c r="Q40">
        <v>32</v>
      </c>
      <c r="R40" t="str">
        <f t="shared" si="10"/>
        <v>Old</v>
      </c>
      <c r="S40" t="s">
        <v>34</v>
      </c>
      <c r="T40">
        <v>2</v>
      </c>
      <c r="U40" t="s">
        <v>45</v>
      </c>
      <c r="V40">
        <v>4532.53</v>
      </c>
      <c r="W40" t="s">
        <v>58</v>
      </c>
      <c r="X40" t="s">
        <v>40</v>
      </c>
      <c r="Y40">
        <v>7</v>
      </c>
      <c r="Z40" t="str">
        <f t="shared" si="11"/>
        <v>Bad Employee</v>
      </c>
      <c r="AA40" t="b">
        <f t="shared" si="12"/>
        <v>0</v>
      </c>
      <c r="AB40" t="b">
        <f>OR(Y40&gt;20, T40&gt;6)</f>
        <v>0</v>
      </c>
      <c r="AC40" t="str">
        <f>IF(OR(Y40&gt;20,T40&gt;6), "Good employee", "Bad Employee")</f>
        <v>Bad Employee</v>
      </c>
      <c r="AD40" t="s">
        <v>28</v>
      </c>
      <c r="AE40" t="s">
        <v>37</v>
      </c>
      <c r="AF40">
        <v>2</v>
      </c>
      <c r="AG40">
        <v>2020</v>
      </c>
      <c r="AH40" t="s">
        <v>43</v>
      </c>
      <c r="AI40">
        <v>93</v>
      </c>
      <c r="AJ40">
        <v>2.7</v>
      </c>
    </row>
    <row r="41" spans="1:36" x14ac:dyDescent="0.25">
      <c r="A41">
        <v>10040</v>
      </c>
      <c r="B41" t="s">
        <v>50</v>
      </c>
      <c r="C41" t="s">
        <v>51</v>
      </c>
      <c r="D41" t="s">
        <v>44</v>
      </c>
      <c r="E41" t="str">
        <f t="shared" si="0"/>
        <v>Alex Brown is in Sales Department</v>
      </c>
      <c r="F41" s="6" t="str">
        <f t="shared" si="1"/>
        <v>alexbrown@gmail.com</v>
      </c>
      <c r="G41">
        <v>96095</v>
      </c>
      <c r="H41" t="str">
        <f t="shared" si="2"/>
        <v>High</v>
      </c>
      <c r="I41" s="3">
        <v>42509</v>
      </c>
      <c r="J41">
        <f t="shared" si="3"/>
        <v>2016</v>
      </c>
      <c r="K41">
        <f t="shared" si="4"/>
        <v>5</v>
      </c>
      <c r="L41">
        <f t="shared" si="5"/>
        <v>19</v>
      </c>
      <c r="M41" s="3">
        <f t="shared" ca="1" si="6"/>
        <v>46100</v>
      </c>
      <c r="N41">
        <f t="shared" ca="1" si="7"/>
        <v>3591</v>
      </c>
      <c r="O41">
        <f t="shared" ca="1" si="8"/>
        <v>3591</v>
      </c>
      <c r="P41">
        <f t="shared" ca="1" si="9"/>
        <v>2566</v>
      </c>
      <c r="Q41">
        <v>25</v>
      </c>
      <c r="R41" t="str">
        <f t="shared" si="10"/>
        <v>Young</v>
      </c>
      <c r="S41" t="s">
        <v>34</v>
      </c>
      <c r="T41">
        <v>6</v>
      </c>
      <c r="U41" t="s">
        <v>25</v>
      </c>
      <c r="V41">
        <v>3484.38</v>
      </c>
      <c r="W41" t="s">
        <v>35</v>
      </c>
      <c r="X41" t="s">
        <v>40</v>
      </c>
      <c r="Y41">
        <v>14</v>
      </c>
      <c r="Z41" t="str">
        <f t="shared" si="11"/>
        <v>Bad Employee</v>
      </c>
      <c r="AA41" t="b">
        <f t="shared" si="12"/>
        <v>0</v>
      </c>
      <c r="AB41" t="b">
        <f>OR(Y41&gt;20, T41&gt;6)</f>
        <v>0</v>
      </c>
      <c r="AC41" t="str">
        <f>IF(OR(Y41&gt;20,T41&gt;6), "Good employee", "Bad Employee")</f>
        <v>Bad Employee</v>
      </c>
      <c r="AD41" t="s">
        <v>41</v>
      </c>
      <c r="AE41" t="s">
        <v>59</v>
      </c>
      <c r="AF41">
        <v>9</v>
      </c>
      <c r="AG41">
        <v>2017</v>
      </c>
      <c r="AH41" t="s">
        <v>30</v>
      </c>
      <c r="AI41">
        <v>23</v>
      </c>
      <c r="AJ41">
        <v>1.9</v>
      </c>
    </row>
    <row r="42" spans="1:36" x14ac:dyDescent="0.25">
      <c r="A42">
        <v>10041</v>
      </c>
      <c r="B42" t="s">
        <v>50</v>
      </c>
      <c r="C42" t="s">
        <v>65</v>
      </c>
      <c r="D42" t="s">
        <v>54</v>
      </c>
      <c r="E42" t="str">
        <f t="shared" si="0"/>
        <v>Alex Johnson is in Finance Department</v>
      </c>
      <c r="F42" s="6" t="str">
        <f t="shared" si="1"/>
        <v>alexjohnson@gmail.com</v>
      </c>
      <c r="G42">
        <v>103844</v>
      </c>
      <c r="H42" t="str">
        <f t="shared" si="2"/>
        <v>High</v>
      </c>
      <c r="I42" s="3">
        <v>38385</v>
      </c>
      <c r="J42">
        <f t="shared" si="3"/>
        <v>2005</v>
      </c>
      <c r="K42">
        <f t="shared" si="4"/>
        <v>2</v>
      </c>
      <c r="L42">
        <f t="shared" si="5"/>
        <v>2</v>
      </c>
      <c r="M42" s="3">
        <f t="shared" ca="1" si="6"/>
        <v>46100</v>
      </c>
      <c r="N42">
        <f t="shared" ca="1" si="7"/>
        <v>7715</v>
      </c>
      <c r="O42">
        <f t="shared" ca="1" si="8"/>
        <v>7715</v>
      </c>
      <c r="P42">
        <f t="shared" ca="1" si="9"/>
        <v>5512</v>
      </c>
      <c r="Q42">
        <v>52</v>
      </c>
      <c r="R42" t="str">
        <f t="shared" si="10"/>
        <v>Old</v>
      </c>
      <c r="S42" t="s">
        <v>24</v>
      </c>
      <c r="T42">
        <v>4</v>
      </c>
      <c r="U42" t="s">
        <v>25</v>
      </c>
      <c r="V42">
        <v>9195.65</v>
      </c>
      <c r="W42" t="s">
        <v>26</v>
      </c>
      <c r="X42" t="s">
        <v>40</v>
      </c>
      <c r="Y42">
        <v>37</v>
      </c>
      <c r="Z42" t="str">
        <f t="shared" si="11"/>
        <v>Bad Employee</v>
      </c>
      <c r="AA42" t="b">
        <f t="shared" si="12"/>
        <v>0</v>
      </c>
      <c r="AB42" t="b">
        <f>OR(Y42&gt;20, T42&gt;6)</f>
        <v>1</v>
      </c>
      <c r="AC42" t="str">
        <f>IF(OR(Y42&gt;20,T42&gt;6), "Good employee", "Bad Employee")</f>
        <v>Good employee</v>
      </c>
      <c r="AD42" t="s">
        <v>56</v>
      </c>
      <c r="AE42" t="s">
        <v>29</v>
      </c>
      <c r="AF42">
        <v>14</v>
      </c>
      <c r="AG42">
        <v>2014</v>
      </c>
      <c r="AH42" t="s">
        <v>43</v>
      </c>
      <c r="AI42">
        <v>113</v>
      </c>
      <c r="AJ42">
        <v>4.7</v>
      </c>
    </row>
    <row r="43" spans="1:36" x14ac:dyDescent="0.25">
      <c r="A43">
        <v>10042</v>
      </c>
      <c r="B43" t="s">
        <v>21</v>
      </c>
      <c r="C43" t="s">
        <v>61</v>
      </c>
      <c r="D43" t="s">
        <v>44</v>
      </c>
      <c r="E43" t="str">
        <f t="shared" si="0"/>
        <v>Michael Smith is in Sales Department</v>
      </c>
      <c r="F43" s="6" t="str">
        <f t="shared" si="1"/>
        <v>michaelsmith@gmail.com</v>
      </c>
      <c r="G43">
        <v>95250</v>
      </c>
      <c r="H43" t="str">
        <f t="shared" si="2"/>
        <v>High</v>
      </c>
      <c r="I43" s="3">
        <v>42418</v>
      </c>
      <c r="J43">
        <f t="shared" si="3"/>
        <v>2016</v>
      </c>
      <c r="K43">
        <f t="shared" si="4"/>
        <v>2</v>
      </c>
      <c r="L43">
        <f t="shared" si="5"/>
        <v>18</v>
      </c>
      <c r="M43" s="3">
        <f t="shared" ca="1" si="6"/>
        <v>46100</v>
      </c>
      <c r="N43">
        <f t="shared" ca="1" si="7"/>
        <v>3682</v>
      </c>
      <c r="O43">
        <f t="shared" ca="1" si="8"/>
        <v>3682</v>
      </c>
      <c r="P43">
        <f t="shared" ca="1" si="9"/>
        <v>2631</v>
      </c>
      <c r="Q43">
        <v>55</v>
      </c>
      <c r="R43" t="str">
        <f t="shared" si="10"/>
        <v>Old</v>
      </c>
      <c r="S43" t="s">
        <v>34</v>
      </c>
      <c r="T43">
        <v>6</v>
      </c>
      <c r="U43" t="s">
        <v>45</v>
      </c>
      <c r="V43">
        <v>898.57</v>
      </c>
      <c r="W43" t="s">
        <v>58</v>
      </c>
      <c r="X43" t="s">
        <v>55</v>
      </c>
      <c r="Y43">
        <v>8</v>
      </c>
      <c r="Z43" t="str">
        <f t="shared" si="11"/>
        <v>Bad Employee</v>
      </c>
      <c r="AA43" t="b">
        <f t="shared" si="12"/>
        <v>0</v>
      </c>
      <c r="AB43" t="b">
        <f>OR(Y43&gt;20, T43&gt;6)</f>
        <v>0</v>
      </c>
      <c r="AC43" t="str">
        <f>IF(OR(Y43&gt;20,T43&gt;6), "Good employee", "Bad Employee")</f>
        <v>Bad Employee</v>
      </c>
      <c r="AD43" t="s">
        <v>41</v>
      </c>
      <c r="AE43" t="s">
        <v>59</v>
      </c>
      <c r="AF43">
        <v>1</v>
      </c>
      <c r="AG43">
        <v>2015</v>
      </c>
      <c r="AH43" t="s">
        <v>49</v>
      </c>
      <c r="AI43">
        <v>145</v>
      </c>
      <c r="AJ43">
        <v>2.2999999999999998</v>
      </c>
    </row>
    <row r="44" spans="1:36" x14ac:dyDescent="0.25">
      <c r="A44">
        <v>10043</v>
      </c>
      <c r="B44" t="s">
        <v>60</v>
      </c>
      <c r="C44" t="s">
        <v>22</v>
      </c>
      <c r="D44" t="s">
        <v>39</v>
      </c>
      <c r="E44" t="str">
        <f t="shared" si="0"/>
        <v>Jane Williams is in IT Department</v>
      </c>
      <c r="F44" s="6" t="str">
        <f t="shared" si="1"/>
        <v>janewilliams@gmail.com</v>
      </c>
      <c r="G44">
        <v>116889</v>
      </c>
      <c r="H44" t="str">
        <f t="shared" si="2"/>
        <v>High</v>
      </c>
      <c r="I44" s="3">
        <v>37858</v>
      </c>
      <c r="J44">
        <f t="shared" si="3"/>
        <v>2003</v>
      </c>
      <c r="K44">
        <f t="shared" si="4"/>
        <v>8</v>
      </c>
      <c r="L44">
        <f t="shared" si="5"/>
        <v>25</v>
      </c>
      <c r="M44" s="3">
        <f t="shared" ca="1" si="6"/>
        <v>46100</v>
      </c>
      <c r="N44">
        <f t="shared" ca="1" si="7"/>
        <v>8242</v>
      </c>
      <c r="O44">
        <f t="shared" ca="1" si="8"/>
        <v>8242</v>
      </c>
      <c r="P44">
        <f t="shared" ca="1" si="9"/>
        <v>5889</v>
      </c>
      <c r="Q44">
        <v>63</v>
      </c>
      <c r="R44" t="str">
        <f t="shared" si="10"/>
        <v>Old</v>
      </c>
      <c r="S44" t="s">
        <v>34</v>
      </c>
      <c r="T44">
        <v>9</v>
      </c>
      <c r="U44" t="s">
        <v>25</v>
      </c>
      <c r="V44">
        <v>2728.42</v>
      </c>
      <c r="W44" t="s">
        <v>26</v>
      </c>
      <c r="X44" t="s">
        <v>47</v>
      </c>
      <c r="Y44">
        <v>5</v>
      </c>
      <c r="Z44" t="str">
        <f t="shared" si="11"/>
        <v>Bad Employee</v>
      </c>
      <c r="AA44" t="b">
        <f t="shared" si="12"/>
        <v>0</v>
      </c>
      <c r="AB44" t="b">
        <f>OR(Y44&gt;20, T44&gt;6)</f>
        <v>1</v>
      </c>
      <c r="AC44" t="str">
        <f>IF(OR(Y44&gt;20,T44&gt;6), "Good employee", "Bad Employee")</f>
        <v>Good employee</v>
      </c>
      <c r="AD44" t="s">
        <v>41</v>
      </c>
      <c r="AE44" t="s">
        <v>29</v>
      </c>
      <c r="AF44">
        <v>9</v>
      </c>
      <c r="AG44">
        <v>2012</v>
      </c>
      <c r="AH44" t="s">
        <v>30</v>
      </c>
      <c r="AI44">
        <v>33</v>
      </c>
      <c r="AJ44">
        <v>3.3</v>
      </c>
    </row>
    <row r="45" spans="1:36" x14ac:dyDescent="0.25">
      <c r="A45">
        <v>10044</v>
      </c>
      <c r="B45" t="s">
        <v>53</v>
      </c>
      <c r="C45" t="s">
        <v>63</v>
      </c>
      <c r="D45" t="s">
        <v>33</v>
      </c>
      <c r="E45" t="str">
        <f t="shared" si="0"/>
        <v>Sarah Miller is in Marketing Department</v>
      </c>
      <c r="F45" s="6" t="str">
        <f t="shared" si="1"/>
        <v>sarahmiller@gmail.com</v>
      </c>
      <c r="G45">
        <v>45250</v>
      </c>
      <c r="H45" t="str">
        <f t="shared" si="2"/>
        <v>low</v>
      </c>
      <c r="I45" s="3">
        <v>39975</v>
      </c>
      <c r="J45">
        <f t="shared" si="3"/>
        <v>2009</v>
      </c>
      <c r="K45">
        <f t="shared" si="4"/>
        <v>6</v>
      </c>
      <c r="L45">
        <f t="shared" si="5"/>
        <v>11</v>
      </c>
      <c r="M45" s="3">
        <f t="shared" ca="1" si="6"/>
        <v>46100</v>
      </c>
      <c r="N45">
        <f t="shared" ca="1" si="7"/>
        <v>6125</v>
      </c>
      <c r="O45">
        <f t="shared" ca="1" si="8"/>
        <v>6125</v>
      </c>
      <c r="P45">
        <f t="shared" ca="1" si="9"/>
        <v>4376</v>
      </c>
      <c r="Q45">
        <v>56</v>
      </c>
      <c r="R45" t="str">
        <f t="shared" si="10"/>
        <v>Old</v>
      </c>
      <c r="S45" t="s">
        <v>24</v>
      </c>
      <c r="T45">
        <v>9</v>
      </c>
      <c r="U45" t="s">
        <v>25</v>
      </c>
      <c r="V45">
        <v>8181.25</v>
      </c>
      <c r="W45" t="s">
        <v>46</v>
      </c>
      <c r="X45" t="s">
        <v>55</v>
      </c>
      <c r="Y45">
        <v>23</v>
      </c>
      <c r="Z45" t="str">
        <f t="shared" si="11"/>
        <v>Good Employee</v>
      </c>
      <c r="AA45" t="b">
        <f t="shared" si="12"/>
        <v>1</v>
      </c>
      <c r="AB45" t="b">
        <f>OR(Y45&gt;20, T45&gt;6)</f>
        <v>1</v>
      </c>
      <c r="AC45" t="str">
        <f>IF(OR(Y45&gt;20,T45&gt;6), "Good employee", "Bad Employee")</f>
        <v>Good employee</v>
      </c>
      <c r="AD45" t="s">
        <v>56</v>
      </c>
      <c r="AE45" t="s">
        <v>62</v>
      </c>
      <c r="AF45">
        <v>15</v>
      </c>
      <c r="AG45">
        <v>2023</v>
      </c>
      <c r="AH45" t="s">
        <v>43</v>
      </c>
      <c r="AI45">
        <v>138</v>
      </c>
      <c r="AJ45">
        <v>1.6</v>
      </c>
    </row>
    <row r="46" spans="1:36" x14ac:dyDescent="0.25">
      <c r="A46">
        <v>10045</v>
      </c>
      <c r="B46" t="s">
        <v>31</v>
      </c>
      <c r="C46" t="s">
        <v>61</v>
      </c>
      <c r="D46" t="s">
        <v>54</v>
      </c>
      <c r="E46" t="str">
        <f t="shared" si="0"/>
        <v>Emily Smith is in Finance Department</v>
      </c>
      <c r="F46" s="6" t="str">
        <f t="shared" si="1"/>
        <v>emilysmith@gmail.com</v>
      </c>
      <c r="G46">
        <v>76023</v>
      </c>
      <c r="H46" t="str">
        <f t="shared" si="2"/>
        <v>Medium</v>
      </c>
      <c r="I46" s="3">
        <v>36661</v>
      </c>
      <c r="J46">
        <f t="shared" si="3"/>
        <v>2000</v>
      </c>
      <c r="K46">
        <f t="shared" si="4"/>
        <v>5</v>
      </c>
      <c r="L46">
        <f t="shared" si="5"/>
        <v>15</v>
      </c>
      <c r="M46" s="3">
        <f t="shared" ca="1" si="6"/>
        <v>46100</v>
      </c>
      <c r="N46">
        <f t="shared" ca="1" si="7"/>
        <v>9439</v>
      </c>
      <c r="O46">
        <f t="shared" ca="1" si="8"/>
        <v>9439</v>
      </c>
      <c r="P46">
        <f t="shared" ca="1" si="9"/>
        <v>6744</v>
      </c>
      <c r="Q46">
        <v>60</v>
      </c>
      <c r="R46" t="str">
        <f t="shared" si="10"/>
        <v>Old</v>
      </c>
      <c r="S46" t="s">
        <v>24</v>
      </c>
      <c r="T46">
        <v>9</v>
      </c>
      <c r="U46" t="s">
        <v>45</v>
      </c>
      <c r="V46">
        <v>8422.6</v>
      </c>
      <c r="W46" t="s">
        <v>35</v>
      </c>
      <c r="X46" t="s">
        <v>47</v>
      </c>
      <c r="Y46">
        <v>10</v>
      </c>
      <c r="Z46" t="str">
        <f t="shared" si="11"/>
        <v>Bad Employee</v>
      </c>
      <c r="AA46" t="b">
        <f t="shared" si="12"/>
        <v>0</v>
      </c>
      <c r="AB46" t="b">
        <f>OR(Y46&gt;20, T46&gt;6)</f>
        <v>1</v>
      </c>
      <c r="AC46" t="str">
        <f>IF(OR(Y46&gt;20,T46&gt;6), "Good employee", "Bad Employee")</f>
        <v>Good employee</v>
      </c>
      <c r="AD46" t="s">
        <v>56</v>
      </c>
      <c r="AE46" t="s">
        <v>62</v>
      </c>
      <c r="AF46">
        <v>2</v>
      </c>
      <c r="AG46">
        <v>2014</v>
      </c>
      <c r="AH46" t="s">
        <v>43</v>
      </c>
      <c r="AI46">
        <v>124</v>
      </c>
      <c r="AJ46">
        <v>2.7</v>
      </c>
    </row>
    <row r="47" spans="1:36" x14ac:dyDescent="0.25">
      <c r="A47">
        <v>10046</v>
      </c>
      <c r="B47" t="s">
        <v>31</v>
      </c>
      <c r="C47" t="s">
        <v>63</v>
      </c>
      <c r="D47" t="s">
        <v>39</v>
      </c>
      <c r="E47" t="str">
        <f t="shared" si="0"/>
        <v>Emily Miller is in IT Department</v>
      </c>
      <c r="F47" s="6" t="str">
        <f t="shared" si="1"/>
        <v>emilymiller@gmail.com</v>
      </c>
      <c r="G47">
        <v>76624</v>
      </c>
      <c r="H47" t="str">
        <f t="shared" si="2"/>
        <v>Medium</v>
      </c>
      <c r="I47" s="3">
        <v>42435</v>
      </c>
      <c r="J47">
        <f t="shared" si="3"/>
        <v>2016</v>
      </c>
      <c r="K47">
        <f t="shared" si="4"/>
        <v>3</v>
      </c>
      <c r="L47">
        <f t="shared" si="5"/>
        <v>6</v>
      </c>
      <c r="M47" s="3">
        <f t="shared" ca="1" si="6"/>
        <v>46100</v>
      </c>
      <c r="N47">
        <f t="shared" ca="1" si="7"/>
        <v>3665</v>
      </c>
      <c r="O47">
        <f t="shared" ca="1" si="8"/>
        <v>3665</v>
      </c>
      <c r="P47">
        <f t="shared" ca="1" si="9"/>
        <v>2619</v>
      </c>
      <c r="Q47">
        <v>60</v>
      </c>
      <c r="R47" t="str">
        <f t="shared" si="10"/>
        <v>Old</v>
      </c>
      <c r="S47" t="s">
        <v>34</v>
      </c>
      <c r="T47">
        <v>9</v>
      </c>
      <c r="U47" t="s">
        <v>45</v>
      </c>
      <c r="V47">
        <v>1559.77</v>
      </c>
      <c r="W47" t="s">
        <v>46</v>
      </c>
      <c r="X47" t="s">
        <v>55</v>
      </c>
      <c r="Y47">
        <v>27</v>
      </c>
      <c r="Z47" t="str">
        <f t="shared" si="11"/>
        <v>Good Employee</v>
      </c>
      <c r="AA47" t="b">
        <f t="shared" si="12"/>
        <v>1</v>
      </c>
      <c r="AB47" t="b">
        <f>OR(Y47&gt;20, T47&gt;6)</f>
        <v>1</v>
      </c>
      <c r="AC47" t="str">
        <f>IF(OR(Y47&gt;20,T47&gt;6), "Good employee", "Bad Employee")</f>
        <v>Good employee</v>
      </c>
      <c r="AD47" t="s">
        <v>41</v>
      </c>
      <c r="AE47" t="s">
        <v>42</v>
      </c>
      <c r="AF47">
        <v>6</v>
      </c>
      <c r="AG47">
        <v>2023</v>
      </c>
      <c r="AH47" t="s">
        <v>30</v>
      </c>
      <c r="AI47">
        <v>133</v>
      </c>
      <c r="AJ47">
        <v>4.5999999999999996</v>
      </c>
    </row>
    <row r="48" spans="1:36" x14ac:dyDescent="0.25">
      <c r="A48">
        <v>10047</v>
      </c>
      <c r="B48" t="s">
        <v>53</v>
      </c>
      <c r="C48" t="s">
        <v>32</v>
      </c>
      <c r="D48" t="s">
        <v>23</v>
      </c>
      <c r="E48" t="str">
        <f t="shared" si="0"/>
        <v>Sarah Wilson is in HR Department</v>
      </c>
      <c r="F48" s="6" t="str">
        <f t="shared" si="1"/>
        <v>sarahwilson@gmail.com</v>
      </c>
      <c r="G48">
        <v>46427</v>
      </c>
      <c r="H48" t="str">
        <f t="shared" si="2"/>
        <v>low</v>
      </c>
      <c r="I48" s="3">
        <v>40727</v>
      </c>
      <c r="J48">
        <f t="shared" si="3"/>
        <v>2011</v>
      </c>
      <c r="K48">
        <f t="shared" si="4"/>
        <v>7</v>
      </c>
      <c r="L48">
        <f t="shared" si="5"/>
        <v>3</v>
      </c>
      <c r="M48" s="3">
        <f t="shared" ca="1" si="6"/>
        <v>46100</v>
      </c>
      <c r="N48">
        <f t="shared" ca="1" si="7"/>
        <v>5373</v>
      </c>
      <c r="O48">
        <f t="shared" ca="1" si="8"/>
        <v>5373</v>
      </c>
      <c r="P48">
        <f t="shared" ca="1" si="9"/>
        <v>3839</v>
      </c>
      <c r="Q48">
        <v>54</v>
      </c>
      <c r="R48" t="str">
        <f t="shared" si="10"/>
        <v>Old</v>
      </c>
      <c r="S48" t="s">
        <v>24</v>
      </c>
      <c r="T48">
        <v>3</v>
      </c>
      <c r="U48" t="s">
        <v>25</v>
      </c>
      <c r="V48">
        <v>9750.75</v>
      </c>
      <c r="W48" t="s">
        <v>26</v>
      </c>
      <c r="X48" t="s">
        <v>47</v>
      </c>
      <c r="Y48">
        <v>35</v>
      </c>
      <c r="Z48" t="str">
        <f t="shared" si="11"/>
        <v>Bad Employee</v>
      </c>
      <c r="AA48" t="b">
        <f t="shared" si="12"/>
        <v>0</v>
      </c>
      <c r="AB48" t="b">
        <f>OR(Y48&gt;20, T48&gt;6)</f>
        <v>1</v>
      </c>
      <c r="AC48" t="str">
        <f>IF(OR(Y48&gt;20,T48&gt;6), "Good employee", "Bad Employee")</f>
        <v>Good employee</v>
      </c>
      <c r="AD48" t="s">
        <v>41</v>
      </c>
      <c r="AE48" t="s">
        <v>42</v>
      </c>
      <c r="AF48">
        <v>18</v>
      </c>
      <c r="AG48">
        <v>2018</v>
      </c>
      <c r="AH48" t="s">
        <v>30</v>
      </c>
      <c r="AI48">
        <v>156</v>
      </c>
      <c r="AJ48">
        <v>5</v>
      </c>
    </row>
    <row r="49" spans="1:36" x14ac:dyDescent="0.25">
      <c r="A49">
        <v>10048</v>
      </c>
      <c r="B49" t="s">
        <v>21</v>
      </c>
      <c r="C49" t="s">
        <v>22</v>
      </c>
      <c r="D49" t="s">
        <v>52</v>
      </c>
      <c r="E49" t="str">
        <f t="shared" si="0"/>
        <v>Michael Williams is in Operations Department</v>
      </c>
      <c r="F49" s="6" t="str">
        <f t="shared" si="1"/>
        <v>michaelwilliams@gmail.com</v>
      </c>
      <c r="G49">
        <v>63276</v>
      </c>
      <c r="H49" t="str">
        <f t="shared" si="2"/>
        <v>Medium</v>
      </c>
      <c r="I49" s="3">
        <v>41140</v>
      </c>
      <c r="J49">
        <f t="shared" si="3"/>
        <v>2012</v>
      </c>
      <c r="K49">
        <f t="shared" si="4"/>
        <v>8</v>
      </c>
      <c r="L49">
        <f t="shared" si="5"/>
        <v>19</v>
      </c>
      <c r="M49" s="3">
        <f t="shared" ca="1" si="6"/>
        <v>46100</v>
      </c>
      <c r="N49">
        <f t="shared" ca="1" si="7"/>
        <v>4960</v>
      </c>
      <c r="O49">
        <f t="shared" ca="1" si="8"/>
        <v>4960</v>
      </c>
      <c r="P49">
        <f t="shared" ca="1" si="9"/>
        <v>3544</v>
      </c>
      <c r="Q49">
        <v>29</v>
      </c>
      <c r="R49" t="str">
        <f t="shared" si="10"/>
        <v>Young</v>
      </c>
      <c r="S49" t="s">
        <v>24</v>
      </c>
      <c r="T49">
        <v>9</v>
      </c>
      <c r="U49" t="s">
        <v>25</v>
      </c>
      <c r="V49">
        <v>7086.87</v>
      </c>
      <c r="W49" t="s">
        <v>26</v>
      </c>
      <c r="X49" t="s">
        <v>40</v>
      </c>
      <c r="Y49">
        <v>1</v>
      </c>
      <c r="Z49" t="str">
        <f t="shared" si="11"/>
        <v>Bad Employee</v>
      </c>
      <c r="AA49" t="b">
        <f t="shared" si="12"/>
        <v>0</v>
      </c>
      <c r="AB49" t="b">
        <f>OR(Y49&gt;20, T49&gt;6)</f>
        <v>1</v>
      </c>
      <c r="AC49" t="str">
        <f>IF(OR(Y49&gt;20,T49&gt;6), "Good employee", "Bad Employee")</f>
        <v>Good employee</v>
      </c>
      <c r="AD49" t="s">
        <v>41</v>
      </c>
      <c r="AE49" t="s">
        <v>42</v>
      </c>
      <c r="AF49">
        <v>14</v>
      </c>
      <c r="AG49">
        <v>2012</v>
      </c>
      <c r="AH49" t="s">
        <v>49</v>
      </c>
      <c r="AI49">
        <v>78</v>
      </c>
      <c r="AJ49">
        <v>2.4</v>
      </c>
    </row>
    <row r="50" spans="1:36" x14ac:dyDescent="0.25">
      <c r="A50">
        <v>10049</v>
      </c>
      <c r="B50" t="s">
        <v>64</v>
      </c>
      <c r="C50" t="s">
        <v>22</v>
      </c>
      <c r="D50" t="s">
        <v>54</v>
      </c>
      <c r="E50" t="str">
        <f t="shared" si="0"/>
        <v>Katie Williams is in Finance Department</v>
      </c>
      <c r="F50" s="6" t="str">
        <f t="shared" si="1"/>
        <v>katiewilliams@gmail.com</v>
      </c>
      <c r="G50">
        <v>101643</v>
      </c>
      <c r="H50" t="str">
        <f t="shared" si="2"/>
        <v>High</v>
      </c>
      <c r="I50" s="3">
        <v>38467</v>
      </c>
      <c r="J50">
        <f t="shared" si="3"/>
        <v>2005</v>
      </c>
      <c r="K50">
        <f t="shared" si="4"/>
        <v>4</v>
      </c>
      <c r="L50">
        <f t="shared" si="5"/>
        <v>25</v>
      </c>
      <c r="M50" s="3">
        <f t="shared" ca="1" si="6"/>
        <v>46100</v>
      </c>
      <c r="N50">
        <f t="shared" ca="1" si="7"/>
        <v>7633</v>
      </c>
      <c r="O50">
        <f t="shared" ca="1" si="8"/>
        <v>7633</v>
      </c>
      <c r="P50">
        <f t="shared" ca="1" si="9"/>
        <v>5454</v>
      </c>
      <c r="Q50">
        <v>53</v>
      </c>
      <c r="R50" t="str">
        <f t="shared" si="10"/>
        <v>Old</v>
      </c>
      <c r="S50" t="s">
        <v>34</v>
      </c>
      <c r="T50">
        <v>3</v>
      </c>
      <c r="U50" t="s">
        <v>25</v>
      </c>
      <c r="V50">
        <v>3089.63</v>
      </c>
      <c r="W50" t="s">
        <v>35</v>
      </c>
      <c r="X50" t="s">
        <v>40</v>
      </c>
      <c r="Y50">
        <v>7</v>
      </c>
      <c r="Z50" t="str">
        <f t="shared" si="11"/>
        <v>Bad Employee</v>
      </c>
      <c r="AA50" t="b">
        <f t="shared" si="12"/>
        <v>0</v>
      </c>
      <c r="AB50" t="b">
        <f>OR(Y50&gt;20, T50&gt;6)</f>
        <v>0</v>
      </c>
      <c r="AC50" t="str">
        <f>IF(OR(Y50&gt;20,T50&gt;6), "Good employee", "Bad Employee")</f>
        <v>Bad Employee</v>
      </c>
      <c r="AD50" t="s">
        <v>28</v>
      </c>
      <c r="AE50" t="s">
        <v>48</v>
      </c>
      <c r="AF50">
        <v>11</v>
      </c>
      <c r="AG50">
        <v>2017</v>
      </c>
      <c r="AH50" t="s">
        <v>43</v>
      </c>
      <c r="AI50">
        <v>103</v>
      </c>
      <c r="AJ50">
        <v>1.6</v>
      </c>
    </row>
    <row r="51" spans="1:36" x14ac:dyDescent="0.25">
      <c r="A51">
        <v>10050</v>
      </c>
      <c r="B51" t="s">
        <v>64</v>
      </c>
      <c r="C51" t="s">
        <v>65</v>
      </c>
      <c r="D51" t="s">
        <v>33</v>
      </c>
      <c r="E51" t="str">
        <f t="shared" si="0"/>
        <v>Katie Johnson is in Marketing Department</v>
      </c>
      <c r="F51" s="6" t="str">
        <f t="shared" si="1"/>
        <v>katiejohnson@gmail.com</v>
      </c>
      <c r="G51">
        <v>109012</v>
      </c>
      <c r="H51" t="str">
        <f t="shared" si="2"/>
        <v>High</v>
      </c>
      <c r="I51" s="3">
        <v>43483</v>
      </c>
      <c r="J51">
        <f t="shared" si="3"/>
        <v>2019</v>
      </c>
      <c r="K51">
        <f t="shared" si="4"/>
        <v>1</v>
      </c>
      <c r="L51">
        <f t="shared" si="5"/>
        <v>18</v>
      </c>
      <c r="M51" s="3">
        <f t="shared" ca="1" si="6"/>
        <v>46100</v>
      </c>
      <c r="N51">
        <f t="shared" ca="1" si="7"/>
        <v>2617</v>
      </c>
      <c r="O51">
        <f t="shared" ca="1" si="8"/>
        <v>2617</v>
      </c>
      <c r="P51">
        <f t="shared" ca="1" si="9"/>
        <v>1870</v>
      </c>
      <c r="Q51">
        <v>54</v>
      </c>
      <c r="R51" t="str">
        <f t="shared" si="10"/>
        <v>Old</v>
      </c>
      <c r="S51" t="s">
        <v>34</v>
      </c>
      <c r="T51">
        <v>3</v>
      </c>
      <c r="U51" t="s">
        <v>25</v>
      </c>
      <c r="V51">
        <v>4832.3599999999997</v>
      </c>
      <c r="W51" t="s">
        <v>26</v>
      </c>
      <c r="X51" t="s">
        <v>47</v>
      </c>
      <c r="Y51">
        <v>8</v>
      </c>
      <c r="Z51" t="str">
        <f t="shared" si="11"/>
        <v>Bad Employee</v>
      </c>
      <c r="AA51" t="b">
        <f t="shared" si="12"/>
        <v>0</v>
      </c>
      <c r="AB51" t="b">
        <f>OR(Y51&gt;20, T51&gt;6)</f>
        <v>0</v>
      </c>
      <c r="AC51" t="str">
        <f>IF(OR(Y51&gt;20,T51&gt;6), "Good employee", "Bad Employee")</f>
        <v>Bad Employee</v>
      </c>
      <c r="AD51" t="s">
        <v>41</v>
      </c>
      <c r="AE51" t="s">
        <v>59</v>
      </c>
      <c r="AF51">
        <v>1</v>
      </c>
      <c r="AG51">
        <v>2020</v>
      </c>
      <c r="AH51" t="s">
        <v>49</v>
      </c>
      <c r="AI51">
        <v>10</v>
      </c>
      <c r="AJ51">
        <v>2.2999999999999998</v>
      </c>
    </row>
    <row r="52" spans="1:36" x14ac:dyDescent="0.25">
      <c r="A52">
        <v>10051</v>
      </c>
      <c r="B52" t="s">
        <v>21</v>
      </c>
      <c r="C52" t="s">
        <v>65</v>
      </c>
      <c r="D52" t="s">
        <v>44</v>
      </c>
      <c r="E52" t="str">
        <f t="shared" si="0"/>
        <v>Michael Johnson is in Sales Department</v>
      </c>
      <c r="F52" s="6" t="str">
        <f t="shared" si="1"/>
        <v>michaeljohnson@gmail.com</v>
      </c>
      <c r="G52">
        <v>33439</v>
      </c>
      <c r="H52" t="str">
        <f t="shared" si="2"/>
        <v>extremely low</v>
      </c>
      <c r="I52" s="3">
        <v>38091</v>
      </c>
      <c r="J52">
        <f t="shared" si="3"/>
        <v>2004</v>
      </c>
      <c r="K52">
        <f t="shared" si="4"/>
        <v>4</v>
      </c>
      <c r="L52">
        <f t="shared" si="5"/>
        <v>14</v>
      </c>
      <c r="M52" s="3">
        <f t="shared" ca="1" si="6"/>
        <v>46100</v>
      </c>
      <c r="N52">
        <f t="shared" ca="1" si="7"/>
        <v>8009</v>
      </c>
      <c r="O52">
        <f t="shared" ca="1" si="8"/>
        <v>8009</v>
      </c>
      <c r="P52">
        <f t="shared" ca="1" si="9"/>
        <v>5722</v>
      </c>
      <c r="Q52">
        <v>29</v>
      </c>
      <c r="R52" t="str">
        <f t="shared" si="10"/>
        <v>Young</v>
      </c>
      <c r="S52" t="s">
        <v>34</v>
      </c>
      <c r="T52">
        <v>5</v>
      </c>
      <c r="U52" t="s">
        <v>25</v>
      </c>
      <c r="V52">
        <v>3322.82</v>
      </c>
      <c r="W52" t="s">
        <v>35</v>
      </c>
      <c r="X52" t="s">
        <v>47</v>
      </c>
      <c r="Y52">
        <v>11</v>
      </c>
      <c r="Z52" t="str">
        <f t="shared" si="11"/>
        <v>Bad Employee</v>
      </c>
      <c r="AA52" t="b">
        <f t="shared" si="12"/>
        <v>0</v>
      </c>
      <c r="AB52" t="b">
        <f>OR(Y52&gt;20, T52&gt;6)</f>
        <v>0</v>
      </c>
      <c r="AC52" t="str">
        <f>IF(OR(Y52&gt;20,T52&gt;6), "Good employee", "Bad Employee")</f>
        <v>Bad Employee</v>
      </c>
      <c r="AD52" t="s">
        <v>28</v>
      </c>
      <c r="AE52" t="s">
        <v>48</v>
      </c>
      <c r="AF52">
        <v>12</v>
      </c>
      <c r="AG52">
        <v>2016</v>
      </c>
      <c r="AH52" t="s">
        <v>49</v>
      </c>
      <c r="AI52">
        <v>180</v>
      </c>
      <c r="AJ52">
        <v>2.2999999999999998</v>
      </c>
    </row>
    <row r="53" spans="1:36" x14ac:dyDescent="0.25">
      <c r="A53">
        <v>10052</v>
      </c>
      <c r="B53" t="s">
        <v>64</v>
      </c>
      <c r="C53" t="s">
        <v>61</v>
      </c>
      <c r="D53" t="s">
        <v>44</v>
      </c>
      <c r="E53" t="str">
        <f t="shared" si="0"/>
        <v>Katie Smith is in Sales Department</v>
      </c>
      <c r="F53" s="6" t="str">
        <f t="shared" si="1"/>
        <v>katiesmith@gmail.com</v>
      </c>
      <c r="G53">
        <v>115848</v>
      </c>
      <c r="H53" t="str">
        <f t="shared" si="2"/>
        <v>High</v>
      </c>
      <c r="I53" s="3">
        <v>40747</v>
      </c>
      <c r="J53">
        <f t="shared" si="3"/>
        <v>2011</v>
      </c>
      <c r="K53">
        <f t="shared" si="4"/>
        <v>7</v>
      </c>
      <c r="L53">
        <f t="shared" si="5"/>
        <v>23</v>
      </c>
      <c r="M53" s="3">
        <f t="shared" ca="1" si="6"/>
        <v>46100</v>
      </c>
      <c r="N53">
        <f t="shared" ca="1" si="7"/>
        <v>5353</v>
      </c>
      <c r="O53">
        <f t="shared" ca="1" si="8"/>
        <v>5353</v>
      </c>
      <c r="P53">
        <f t="shared" ca="1" si="9"/>
        <v>3824</v>
      </c>
      <c r="Q53">
        <v>35</v>
      </c>
      <c r="R53" t="str">
        <f t="shared" si="10"/>
        <v>Old</v>
      </c>
      <c r="S53" t="s">
        <v>24</v>
      </c>
      <c r="T53">
        <v>6</v>
      </c>
      <c r="U53" t="s">
        <v>45</v>
      </c>
      <c r="V53">
        <v>1925.21</v>
      </c>
      <c r="W53" t="s">
        <v>35</v>
      </c>
      <c r="X53" t="s">
        <v>27</v>
      </c>
      <c r="Y53">
        <v>34</v>
      </c>
      <c r="Z53" t="str">
        <f t="shared" si="11"/>
        <v>Bad Employee</v>
      </c>
      <c r="AA53" t="b">
        <f t="shared" si="12"/>
        <v>0</v>
      </c>
      <c r="AB53" t="b">
        <f>OR(Y53&gt;20, T53&gt;6)</f>
        <v>1</v>
      </c>
      <c r="AC53" t="str">
        <f>IF(OR(Y53&gt;20,T53&gt;6), "Good employee", "Bad Employee")</f>
        <v>Good employee</v>
      </c>
      <c r="AD53" t="s">
        <v>56</v>
      </c>
      <c r="AE53" t="s">
        <v>42</v>
      </c>
      <c r="AF53">
        <v>19</v>
      </c>
      <c r="AG53">
        <v>2013</v>
      </c>
      <c r="AH53" t="s">
        <v>30</v>
      </c>
      <c r="AI53">
        <v>152</v>
      </c>
      <c r="AJ53">
        <v>3.6</v>
      </c>
    </row>
    <row r="54" spans="1:36" x14ac:dyDescent="0.25">
      <c r="A54">
        <v>10053</v>
      </c>
      <c r="B54" t="s">
        <v>50</v>
      </c>
      <c r="C54" t="s">
        <v>32</v>
      </c>
      <c r="D54" t="s">
        <v>54</v>
      </c>
      <c r="E54" t="str">
        <f t="shared" si="0"/>
        <v>Alex Wilson is in Finance Department</v>
      </c>
      <c r="F54" s="6" t="str">
        <f t="shared" si="1"/>
        <v>alexwilson@gmail.com</v>
      </c>
      <c r="G54">
        <v>117331</v>
      </c>
      <c r="H54" t="str">
        <f t="shared" si="2"/>
        <v>High</v>
      </c>
      <c r="I54" s="3">
        <v>43069</v>
      </c>
      <c r="J54">
        <f t="shared" si="3"/>
        <v>2017</v>
      </c>
      <c r="K54">
        <f t="shared" si="4"/>
        <v>11</v>
      </c>
      <c r="L54">
        <f t="shared" si="5"/>
        <v>30</v>
      </c>
      <c r="M54" s="3">
        <f t="shared" ca="1" si="6"/>
        <v>46100</v>
      </c>
      <c r="N54">
        <f t="shared" ca="1" si="7"/>
        <v>3031</v>
      </c>
      <c r="O54">
        <f t="shared" ca="1" si="8"/>
        <v>3031</v>
      </c>
      <c r="P54">
        <f t="shared" ca="1" si="9"/>
        <v>2166</v>
      </c>
      <c r="Q54">
        <v>55</v>
      </c>
      <c r="R54" t="str">
        <f t="shared" si="10"/>
        <v>Old</v>
      </c>
      <c r="S54" t="s">
        <v>34</v>
      </c>
      <c r="T54">
        <v>9</v>
      </c>
      <c r="U54" t="s">
        <v>45</v>
      </c>
      <c r="V54">
        <v>3266.19</v>
      </c>
      <c r="W54" t="s">
        <v>46</v>
      </c>
      <c r="X54" t="s">
        <v>40</v>
      </c>
      <c r="Y54">
        <v>28</v>
      </c>
      <c r="Z54" t="str">
        <f t="shared" si="11"/>
        <v>Good Employee</v>
      </c>
      <c r="AA54" t="b">
        <f t="shared" si="12"/>
        <v>1</v>
      </c>
      <c r="AB54" t="b">
        <f>OR(Y54&gt;20, T54&gt;6)</f>
        <v>1</v>
      </c>
      <c r="AC54" t="str">
        <f>IF(OR(Y54&gt;20,T54&gt;6), "Good employee", "Bad Employee")</f>
        <v>Good employee</v>
      </c>
      <c r="AD54" t="s">
        <v>41</v>
      </c>
      <c r="AE54" t="s">
        <v>59</v>
      </c>
      <c r="AF54">
        <v>18</v>
      </c>
      <c r="AG54">
        <v>2014</v>
      </c>
      <c r="AH54" t="s">
        <v>43</v>
      </c>
      <c r="AI54">
        <v>80</v>
      </c>
      <c r="AJ54">
        <v>3</v>
      </c>
    </row>
    <row r="55" spans="1:36" x14ac:dyDescent="0.25">
      <c r="A55">
        <v>10054</v>
      </c>
      <c r="B55" t="s">
        <v>31</v>
      </c>
      <c r="C55" t="s">
        <v>63</v>
      </c>
      <c r="D55" t="s">
        <v>33</v>
      </c>
      <c r="E55" t="str">
        <f t="shared" si="0"/>
        <v>Emily Miller is in Marketing Department</v>
      </c>
      <c r="F55" s="6" t="str">
        <f t="shared" si="1"/>
        <v>emilymiller@gmail.com</v>
      </c>
      <c r="G55">
        <v>108672</v>
      </c>
      <c r="H55" t="str">
        <f t="shared" si="2"/>
        <v>High</v>
      </c>
      <c r="I55" s="3">
        <v>42748</v>
      </c>
      <c r="J55">
        <f t="shared" si="3"/>
        <v>2017</v>
      </c>
      <c r="K55">
        <f t="shared" si="4"/>
        <v>1</v>
      </c>
      <c r="L55">
        <f t="shared" si="5"/>
        <v>13</v>
      </c>
      <c r="M55" s="3">
        <f t="shared" ca="1" si="6"/>
        <v>46100</v>
      </c>
      <c r="N55">
        <f t="shared" ca="1" si="7"/>
        <v>3352</v>
      </c>
      <c r="O55">
        <f t="shared" ca="1" si="8"/>
        <v>3352</v>
      </c>
      <c r="P55">
        <f t="shared" ca="1" si="9"/>
        <v>2395</v>
      </c>
      <c r="Q55">
        <v>29</v>
      </c>
      <c r="R55" t="str">
        <f t="shared" si="10"/>
        <v>Young</v>
      </c>
      <c r="S55" t="s">
        <v>24</v>
      </c>
      <c r="T55">
        <v>1</v>
      </c>
      <c r="U55" t="s">
        <v>45</v>
      </c>
      <c r="V55">
        <v>6010.87</v>
      </c>
      <c r="W55" t="s">
        <v>58</v>
      </c>
      <c r="X55" t="s">
        <v>55</v>
      </c>
      <c r="Y55">
        <v>34</v>
      </c>
      <c r="Z55" t="str">
        <f t="shared" si="11"/>
        <v>Bad Employee</v>
      </c>
      <c r="AA55" t="b">
        <f t="shared" si="12"/>
        <v>0</v>
      </c>
      <c r="AB55" t="b">
        <f>OR(Y55&gt;20, T55&gt;6)</f>
        <v>1</v>
      </c>
      <c r="AC55" t="str">
        <f>IF(OR(Y55&gt;20,T55&gt;6), "Good employee", "Bad Employee")</f>
        <v>Good employee</v>
      </c>
      <c r="AD55" t="s">
        <v>56</v>
      </c>
      <c r="AE55" t="s">
        <v>48</v>
      </c>
      <c r="AF55">
        <v>6</v>
      </c>
      <c r="AG55">
        <v>2017</v>
      </c>
      <c r="AH55" t="s">
        <v>49</v>
      </c>
      <c r="AI55">
        <v>71</v>
      </c>
      <c r="AJ55">
        <v>4.0999999999999996</v>
      </c>
    </row>
    <row r="56" spans="1:36" x14ac:dyDescent="0.25">
      <c r="A56">
        <v>10055</v>
      </c>
      <c r="B56" t="s">
        <v>21</v>
      </c>
      <c r="C56" t="s">
        <v>32</v>
      </c>
      <c r="D56" t="s">
        <v>54</v>
      </c>
      <c r="E56" t="str">
        <f t="shared" si="0"/>
        <v>Michael Wilson is in Finance Department</v>
      </c>
      <c r="F56" s="6" t="str">
        <f t="shared" si="1"/>
        <v>michaelwilson@gmail.com</v>
      </c>
      <c r="G56">
        <v>109703</v>
      </c>
      <c r="H56" t="str">
        <f t="shared" si="2"/>
        <v>High</v>
      </c>
      <c r="I56" s="3">
        <v>36914</v>
      </c>
      <c r="J56">
        <f t="shared" si="3"/>
        <v>2001</v>
      </c>
      <c r="K56">
        <f t="shared" si="4"/>
        <v>1</v>
      </c>
      <c r="L56">
        <f t="shared" si="5"/>
        <v>23</v>
      </c>
      <c r="M56" s="3">
        <f t="shared" ca="1" si="6"/>
        <v>46100</v>
      </c>
      <c r="N56">
        <f t="shared" ca="1" si="7"/>
        <v>9186</v>
      </c>
      <c r="O56">
        <f t="shared" ca="1" si="8"/>
        <v>9186</v>
      </c>
      <c r="P56">
        <f t="shared" ca="1" si="9"/>
        <v>6563</v>
      </c>
      <c r="Q56">
        <v>63</v>
      </c>
      <c r="R56" t="str">
        <f t="shared" si="10"/>
        <v>Old</v>
      </c>
      <c r="S56" t="s">
        <v>34</v>
      </c>
      <c r="T56">
        <v>8</v>
      </c>
      <c r="U56" t="s">
        <v>45</v>
      </c>
      <c r="V56">
        <v>8346.7099999999991</v>
      </c>
      <c r="W56" t="s">
        <v>58</v>
      </c>
      <c r="X56" t="s">
        <v>27</v>
      </c>
      <c r="Y56">
        <v>20</v>
      </c>
      <c r="Z56" t="str">
        <f t="shared" si="11"/>
        <v>Bad Employee</v>
      </c>
      <c r="AA56" t="b">
        <f t="shared" si="12"/>
        <v>0</v>
      </c>
      <c r="AB56" t="b">
        <f>OR(Y56&gt;20, T56&gt;6)</f>
        <v>1</v>
      </c>
      <c r="AC56" t="str">
        <f>IF(OR(Y56&gt;20,T56&gt;6), "Good employee", "Bad Employee")</f>
        <v>Good employee</v>
      </c>
      <c r="AD56" t="s">
        <v>41</v>
      </c>
      <c r="AE56" t="s">
        <v>62</v>
      </c>
      <c r="AF56">
        <v>2</v>
      </c>
      <c r="AG56">
        <v>2019</v>
      </c>
      <c r="AH56" t="s">
        <v>49</v>
      </c>
      <c r="AI56">
        <v>187</v>
      </c>
      <c r="AJ56">
        <v>3.8</v>
      </c>
    </row>
    <row r="57" spans="1:36" x14ac:dyDescent="0.25">
      <c r="A57">
        <v>10056</v>
      </c>
      <c r="B57" t="s">
        <v>31</v>
      </c>
      <c r="C57" t="s">
        <v>22</v>
      </c>
      <c r="D57" t="s">
        <v>33</v>
      </c>
      <c r="E57" t="str">
        <f t="shared" si="0"/>
        <v>Emily Williams is in Marketing Department</v>
      </c>
      <c r="F57" s="6" t="str">
        <f t="shared" si="1"/>
        <v>emilywilliams@gmail.com</v>
      </c>
      <c r="G57">
        <v>47300</v>
      </c>
      <c r="H57" t="str">
        <f t="shared" si="2"/>
        <v>low</v>
      </c>
      <c r="I57" s="3">
        <v>38084</v>
      </c>
      <c r="J57">
        <f t="shared" si="3"/>
        <v>2004</v>
      </c>
      <c r="K57">
        <f t="shared" si="4"/>
        <v>4</v>
      </c>
      <c r="L57">
        <f t="shared" si="5"/>
        <v>7</v>
      </c>
      <c r="M57" s="3">
        <f t="shared" ca="1" si="6"/>
        <v>46100</v>
      </c>
      <c r="N57">
        <f t="shared" ca="1" si="7"/>
        <v>8016</v>
      </c>
      <c r="O57">
        <f t="shared" ca="1" si="8"/>
        <v>8016</v>
      </c>
      <c r="P57">
        <f t="shared" ca="1" si="9"/>
        <v>5727</v>
      </c>
      <c r="Q57">
        <v>28</v>
      </c>
      <c r="R57" t="str">
        <f t="shared" si="10"/>
        <v>Young</v>
      </c>
      <c r="S57" t="s">
        <v>24</v>
      </c>
      <c r="T57">
        <v>4</v>
      </c>
      <c r="U57" t="s">
        <v>25</v>
      </c>
      <c r="V57">
        <v>3953.53</v>
      </c>
      <c r="W57" t="s">
        <v>26</v>
      </c>
      <c r="X57" t="s">
        <v>47</v>
      </c>
      <c r="Y57">
        <v>28</v>
      </c>
      <c r="Z57" t="str">
        <f t="shared" si="11"/>
        <v>Bad Employee</v>
      </c>
      <c r="AA57" t="b">
        <f t="shared" si="12"/>
        <v>0</v>
      </c>
      <c r="AB57" t="b">
        <f>OR(Y57&gt;20, T57&gt;6)</f>
        <v>1</v>
      </c>
      <c r="AC57" t="str">
        <f>IF(OR(Y57&gt;20,T57&gt;6), "Good employee", "Bad Employee")</f>
        <v>Good employee</v>
      </c>
      <c r="AD57" t="s">
        <v>56</v>
      </c>
      <c r="AE57" t="s">
        <v>59</v>
      </c>
      <c r="AF57">
        <v>5</v>
      </c>
      <c r="AG57">
        <v>2016</v>
      </c>
      <c r="AH57" t="s">
        <v>30</v>
      </c>
      <c r="AI57">
        <v>22</v>
      </c>
      <c r="AJ57">
        <v>2</v>
      </c>
    </row>
    <row r="58" spans="1:36" x14ac:dyDescent="0.25">
      <c r="A58">
        <v>10057</v>
      </c>
      <c r="B58" t="s">
        <v>53</v>
      </c>
      <c r="C58" t="s">
        <v>61</v>
      </c>
      <c r="D58" t="s">
        <v>44</v>
      </c>
      <c r="E58" t="str">
        <f t="shared" si="0"/>
        <v>Sarah Smith is in Sales Department</v>
      </c>
      <c r="F58" s="6" t="str">
        <f t="shared" si="1"/>
        <v>sarahsmith@gmail.com</v>
      </c>
      <c r="G58">
        <v>90289</v>
      </c>
      <c r="H58" t="str">
        <f t="shared" si="2"/>
        <v>High</v>
      </c>
      <c r="I58" s="3">
        <v>42346</v>
      </c>
      <c r="J58">
        <f t="shared" si="3"/>
        <v>2015</v>
      </c>
      <c r="K58">
        <f t="shared" si="4"/>
        <v>12</v>
      </c>
      <c r="L58">
        <f t="shared" si="5"/>
        <v>8</v>
      </c>
      <c r="M58" s="3">
        <f t="shared" ca="1" si="6"/>
        <v>46100</v>
      </c>
      <c r="N58">
        <f t="shared" ca="1" si="7"/>
        <v>3754</v>
      </c>
      <c r="O58">
        <f t="shared" ca="1" si="8"/>
        <v>3754</v>
      </c>
      <c r="P58">
        <f t="shared" ca="1" si="9"/>
        <v>2683</v>
      </c>
      <c r="Q58">
        <v>34</v>
      </c>
      <c r="R58" t="str">
        <f t="shared" si="10"/>
        <v>Old</v>
      </c>
      <c r="S58" t="s">
        <v>34</v>
      </c>
      <c r="T58">
        <v>7</v>
      </c>
      <c r="U58" t="s">
        <v>45</v>
      </c>
      <c r="V58">
        <v>3805.06</v>
      </c>
      <c r="W58" t="s">
        <v>58</v>
      </c>
      <c r="X58" t="s">
        <v>55</v>
      </c>
      <c r="Y58">
        <v>37</v>
      </c>
      <c r="Z58" t="str">
        <f t="shared" si="11"/>
        <v>Good Employee</v>
      </c>
      <c r="AA58" t="b">
        <f t="shared" si="12"/>
        <v>1</v>
      </c>
      <c r="AB58" t="b">
        <f>OR(Y58&gt;20, T58&gt;6)</f>
        <v>1</v>
      </c>
      <c r="AC58" t="str">
        <f>IF(OR(Y58&gt;20,T58&gt;6), "Good employee", "Bad Employee")</f>
        <v>Good employee</v>
      </c>
      <c r="AD58" t="s">
        <v>41</v>
      </c>
      <c r="AE58" t="s">
        <v>42</v>
      </c>
      <c r="AF58">
        <v>0</v>
      </c>
      <c r="AG58">
        <v>2019</v>
      </c>
      <c r="AH58" t="s">
        <v>43</v>
      </c>
      <c r="AI58">
        <v>25</v>
      </c>
      <c r="AJ58">
        <v>4.0999999999999996</v>
      </c>
    </row>
    <row r="59" spans="1:36" x14ac:dyDescent="0.25">
      <c r="A59">
        <v>10058</v>
      </c>
      <c r="B59" t="s">
        <v>66</v>
      </c>
      <c r="C59" t="s">
        <v>51</v>
      </c>
      <c r="D59" t="s">
        <v>39</v>
      </c>
      <c r="E59" t="str">
        <f t="shared" si="0"/>
        <v>John Brown is in IT Department</v>
      </c>
      <c r="F59" s="6" t="str">
        <f t="shared" si="1"/>
        <v>johnbrown@gmail.com</v>
      </c>
      <c r="G59">
        <v>47182</v>
      </c>
      <c r="H59" t="str">
        <f t="shared" si="2"/>
        <v>low</v>
      </c>
      <c r="I59" s="3">
        <v>38647</v>
      </c>
      <c r="J59">
        <f t="shared" si="3"/>
        <v>2005</v>
      </c>
      <c r="K59">
        <f t="shared" si="4"/>
        <v>10</v>
      </c>
      <c r="L59">
        <f t="shared" si="5"/>
        <v>22</v>
      </c>
      <c r="M59" s="3">
        <f t="shared" ca="1" si="6"/>
        <v>46100</v>
      </c>
      <c r="N59">
        <f t="shared" ca="1" si="7"/>
        <v>7453</v>
      </c>
      <c r="O59">
        <f t="shared" ca="1" si="8"/>
        <v>7453</v>
      </c>
      <c r="P59">
        <f t="shared" ca="1" si="9"/>
        <v>5324</v>
      </c>
      <c r="Q59">
        <v>42</v>
      </c>
      <c r="R59" t="str">
        <f t="shared" si="10"/>
        <v>Old</v>
      </c>
      <c r="S59" t="s">
        <v>24</v>
      </c>
      <c r="T59">
        <v>6</v>
      </c>
      <c r="U59" t="s">
        <v>45</v>
      </c>
      <c r="V59">
        <v>4946.01</v>
      </c>
      <c r="W59" t="s">
        <v>26</v>
      </c>
      <c r="X59" t="s">
        <v>36</v>
      </c>
      <c r="Y59">
        <v>3</v>
      </c>
      <c r="Z59" t="str">
        <f t="shared" si="11"/>
        <v>Bad Employee</v>
      </c>
      <c r="AA59" t="b">
        <f t="shared" si="12"/>
        <v>0</v>
      </c>
      <c r="AB59" t="b">
        <f>OR(Y59&gt;20, T59&gt;6)</f>
        <v>0</v>
      </c>
      <c r="AC59" t="str">
        <f>IF(OR(Y59&gt;20,T59&gt;6), "Good employee", "Bad Employee")</f>
        <v>Bad Employee</v>
      </c>
      <c r="AD59" t="s">
        <v>28</v>
      </c>
      <c r="AE59" t="s">
        <v>62</v>
      </c>
      <c r="AF59">
        <v>1</v>
      </c>
      <c r="AG59">
        <v>2019</v>
      </c>
      <c r="AH59" t="s">
        <v>43</v>
      </c>
      <c r="AI59">
        <v>196</v>
      </c>
      <c r="AJ59">
        <v>4.4000000000000004</v>
      </c>
    </row>
    <row r="60" spans="1:36" x14ac:dyDescent="0.25">
      <c r="A60">
        <v>10059</v>
      </c>
      <c r="B60" t="s">
        <v>50</v>
      </c>
      <c r="C60" t="s">
        <v>61</v>
      </c>
      <c r="D60" t="s">
        <v>23</v>
      </c>
      <c r="E60" t="str">
        <f t="shared" si="0"/>
        <v>Alex Smith is in HR Department</v>
      </c>
      <c r="F60" s="6" t="str">
        <f t="shared" si="1"/>
        <v>alexsmith@gmail.com</v>
      </c>
      <c r="G60">
        <v>100507</v>
      </c>
      <c r="H60" t="str">
        <f t="shared" si="2"/>
        <v>High</v>
      </c>
      <c r="I60" s="3">
        <v>37554</v>
      </c>
      <c r="J60">
        <f t="shared" si="3"/>
        <v>2002</v>
      </c>
      <c r="K60">
        <f t="shared" si="4"/>
        <v>10</v>
      </c>
      <c r="L60">
        <f t="shared" si="5"/>
        <v>25</v>
      </c>
      <c r="M60" s="3">
        <f t="shared" ca="1" si="6"/>
        <v>46100</v>
      </c>
      <c r="N60">
        <f t="shared" ca="1" si="7"/>
        <v>8546</v>
      </c>
      <c r="O60">
        <f t="shared" ca="1" si="8"/>
        <v>8546</v>
      </c>
      <c r="P60">
        <f t="shared" ca="1" si="9"/>
        <v>6105</v>
      </c>
      <c r="Q60">
        <v>53</v>
      </c>
      <c r="R60" t="str">
        <f t="shared" si="10"/>
        <v>Old</v>
      </c>
      <c r="S60" t="s">
        <v>34</v>
      </c>
      <c r="T60">
        <v>6</v>
      </c>
      <c r="U60" t="s">
        <v>25</v>
      </c>
      <c r="V60">
        <v>6623.28</v>
      </c>
      <c r="W60" t="s">
        <v>58</v>
      </c>
      <c r="X60" t="s">
        <v>36</v>
      </c>
      <c r="Y60">
        <v>9</v>
      </c>
      <c r="Z60" t="str">
        <f t="shared" si="11"/>
        <v>Bad Employee</v>
      </c>
      <c r="AA60" t="b">
        <f t="shared" si="12"/>
        <v>0</v>
      </c>
      <c r="AB60" t="b">
        <f>OR(Y60&gt;20, T60&gt;6)</f>
        <v>0</v>
      </c>
      <c r="AC60" t="str">
        <f>IF(OR(Y60&gt;20,T60&gt;6), "Good employee", "Bad Employee")</f>
        <v>Bad Employee</v>
      </c>
      <c r="AD60" t="s">
        <v>56</v>
      </c>
      <c r="AE60" t="s">
        <v>59</v>
      </c>
      <c r="AF60">
        <v>0</v>
      </c>
      <c r="AG60">
        <v>2011</v>
      </c>
      <c r="AH60" t="s">
        <v>49</v>
      </c>
      <c r="AI60">
        <v>169</v>
      </c>
      <c r="AJ60">
        <v>3.4</v>
      </c>
    </row>
    <row r="61" spans="1:36" x14ac:dyDescent="0.25">
      <c r="A61">
        <v>10060</v>
      </c>
      <c r="B61" t="s">
        <v>38</v>
      </c>
      <c r="C61" t="s">
        <v>57</v>
      </c>
      <c r="D61" t="s">
        <v>39</v>
      </c>
      <c r="E61" t="str">
        <f t="shared" si="0"/>
        <v>Chris Davis is in IT Department</v>
      </c>
      <c r="F61" s="6" t="str">
        <f t="shared" si="1"/>
        <v>chrisdavis@gmail.com</v>
      </c>
      <c r="G61">
        <v>80912</v>
      </c>
      <c r="H61" t="str">
        <f t="shared" si="2"/>
        <v>High</v>
      </c>
      <c r="I61" s="3">
        <v>42564</v>
      </c>
      <c r="J61">
        <f t="shared" si="3"/>
        <v>2016</v>
      </c>
      <c r="K61">
        <f t="shared" si="4"/>
        <v>7</v>
      </c>
      <c r="L61">
        <f t="shared" si="5"/>
        <v>13</v>
      </c>
      <c r="M61" s="3">
        <f t="shared" ca="1" si="6"/>
        <v>46100</v>
      </c>
      <c r="N61">
        <f t="shared" ca="1" si="7"/>
        <v>3536</v>
      </c>
      <c r="O61">
        <f t="shared" ca="1" si="8"/>
        <v>3536</v>
      </c>
      <c r="P61">
        <f t="shared" ca="1" si="9"/>
        <v>2527</v>
      </c>
      <c r="Q61">
        <v>32</v>
      </c>
      <c r="R61" t="str">
        <f t="shared" si="10"/>
        <v>Old</v>
      </c>
      <c r="S61" t="s">
        <v>34</v>
      </c>
      <c r="T61">
        <v>7</v>
      </c>
      <c r="U61" t="s">
        <v>25</v>
      </c>
      <c r="V61">
        <v>7640.35</v>
      </c>
      <c r="W61" t="s">
        <v>46</v>
      </c>
      <c r="X61" t="s">
        <v>36</v>
      </c>
      <c r="Y61">
        <v>22</v>
      </c>
      <c r="Z61" t="str">
        <f t="shared" si="11"/>
        <v>Good Employee</v>
      </c>
      <c r="AA61" t="b">
        <f t="shared" si="12"/>
        <v>1</v>
      </c>
      <c r="AB61" t="b">
        <f>OR(Y61&gt;20, T61&gt;6)</f>
        <v>1</v>
      </c>
      <c r="AC61" t="str">
        <f>IF(OR(Y61&gt;20,T61&gt;6), "Good employee", "Bad Employee")</f>
        <v>Good employee</v>
      </c>
      <c r="AD61" t="s">
        <v>56</v>
      </c>
      <c r="AE61" t="s">
        <v>48</v>
      </c>
      <c r="AF61">
        <v>3</v>
      </c>
      <c r="AG61">
        <v>2017</v>
      </c>
      <c r="AH61" t="s">
        <v>30</v>
      </c>
      <c r="AI61">
        <v>23</v>
      </c>
      <c r="AJ61">
        <v>4.7</v>
      </c>
    </row>
    <row r="62" spans="1:36" x14ac:dyDescent="0.25">
      <c r="A62">
        <v>10061</v>
      </c>
      <c r="B62" t="s">
        <v>50</v>
      </c>
      <c r="C62" t="s">
        <v>61</v>
      </c>
      <c r="D62" t="s">
        <v>23</v>
      </c>
      <c r="E62" t="str">
        <f t="shared" si="0"/>
        <v>Alex Smith is in HR Department</v>
      </c>
      <c r="F62" s="6" t="str">
        <f t="shared" si="1"/>
        <v>alexsmith@gmail.com</v>
      </c>
      <c r="G62">
        <v>56909</v>
      </c>
      <c r="H62" t="str">
        <f t="shared" si="2"/>
        <v>Medium</v>
      </c>
      <c r="I62" s="3">
        <v>40060</v>
      </c>
      <c r="J62">
        <f t="shared" si="3"/>
        <v>2009</v>
      </c>
      <c r="K62">
        <f t="shared" si="4"/>
        <v>9</v>
      </c>
      <c r="L62">
        <f t="shared" si="5"/>
        <v>4</v>
      </c>
      <c r="M62" s="3">
        <f t="shared" ca="1" si="6"/>
        <v>46100</v>
      </c>
      <c r="N62">
        <f t="shared" ca="1" si="7"/>
        <v>6040</v>
      </c>
      <c r="O62">
        <f t="shared" ca="1" si="8"/>
        <v>6040</v>
      </c>
      <c r="P62">
        <f t="shared" ca="1" si="9"/>
        <v>4315</v>
      </c>
      <c r="Q62">
        <v>35</v>
      </c>
      <c r="R62" t="str">
        <f t="shared" si="10"/>
        <v>Old</v>
      </c>
      <c r="S62" t="s">
        <v>34</v>
      </c>
      <c r="T62">
        <v>4</v>
      </c>
      <c r="U62" t="s">
        <v>25</v>
      </c>
      <c r="V62">
        <v>3604.6</v>
      </c>
      <c r="W62" t="s">
        <v>58</v>
      </c>
      <c r="X62" t="s">
        <v>55</v>
      </c>
      <c r="Y62">
        <v>25</v>
      </c>
      <c r="Z62" t="str">
        <f t="shared" si="11"/>
        <v>Bad Employee</v>
      </c>
      <c r="AA62" t="b">
        <f t="shared" si="12"/>
        <v>0</v>
      </c>
      <c r="AB62" t="b">
        <f>OR(Y62&gt;20, T62&gt;6)</f>
        <v>1</v>
      </c>
      <c r="AC62" t="str">
        <f>IF(OR(Y62&gt;20,T62&gt;6), "Good employee", "Bad Employee")</f>
        <v>Good employee</v>
      </c>
      <c r="AD62" t="s">
        <v>41</v>
      </c>
      <c r="AE62" t="s">
        <v>37</v>
      </c>
      <c r="AF62">
        <v>4</v>
      </c>
      <c r="AG62">
        <v>2017</v>
      </c>
      <c r="AH62" t="s">
        <v>43</v>
      </c>
      <c r="AI62">
        <v>60</v>
      </c>
      <c r="AJ62">
        <v>4.0999999999999996</v>
      </c>
    </row>
    <row r="63" spans="1:36" x14ac:dyDescent="0.25">
      <c r="A63">
        <v>10062</v>
      </c>
      <c r="B63" t="s">
        <v>21</v>
      </c>
      <c r="C63" t="s">
        <v>32</v>
      </c>
      <c r="D63" t="s">
        <v>44</v>
      </c>
      <c r="E63" t="str">
        <f t="shared" si="0"/>
        <v>Michael Wilson is in Sales Department</v>
      </c>
      <c r="F63" s="6" t="str">
        <f t="shared" si="1"/>
        <v>michaelwilson@gmail.com</v>
      </c>
      <c r="G63">
        <v>49659</v>
      </c>
      <c r="H63" t="str">
        <f t="shared" si="2"/>
        <v>low</v>
      </c>
      <c r="I63" s="3">
        <v>36607</v>
      </c>
      <c r="J63">
        <f t="shared" si="3"/>
        <v>2000</v>
      </c>
      <c r="K63">
        <f t="shared" si="4"/>
        <v>3</v>
      </c>
      <c r="L63">
        <f t="shared" si="5"/>
        <v>22</v>
      </c>
      <c r="M63" s="3">
        <f t="shared" ca="1" si="6"/>
        <v>46100</v>
      </c>
      <c r="N63">
        <f t="shared" ca="1" si="7"/>
        <v>9493</v>
      </c>
      <c r="O63">
        <f t="shared" ca="1" si="8"/>
        <v>9493</v>
      </c>
      <c r="P63">
        <f t="shared" ca="1" si="9"/>
        <v>6782</v>
      </c>
      <c r="Q63">
        <v>32</v>
      </c>
      <c r="R63" t="str">
        <f t="shared" si="10"/>
        <v>Old</v>
      </c>
      <c r="S63" t="s">
        <v>24</v>
      </c>
      <c r="T63">
        <v>6</v>
      </c>
      <c r="U63" t="s">
        <v>45</v>
      </c>
      <c r="V63">
        <v>6070.35</v>
      </c>
      <c r="W63" t="s">
        <v>26</v>
      </c>
      <c r="X63" t="s">
        <v>47</v>
      </c>
      <c r="Y63">
        <v>2</v>
      </c>
      <c r="Z63" t="str">
        <f t="shared" si="11"/>
        <v>Bad Employee</v>
      </c>
      <c r="AA63" t="b">
        <f t="shared" si="12"/>
        <v>0</v>
      </c>
      <c r="AB63" t="b">
        <f>OR(Y63&gt;20, T63&gt;6)</f>
        <v>0</v>
      </c>
      <c r="AC63" t="str">
        <f>IF(OR(Y63&gt;20,T63&gt;6), "Good employee", "Bad Employee")</f>
        <v>Bad Employee</v>
      </c>
      <c r="AD63" t="s">
        <v>28</v>
      </c>
      <c r="AE63" t="s">
        <v>37</v>
      </c>
      <c r="AF63">
        <v>1</v>
      </c>
      <c r="AG63">
        <v>2018</v>
      </c>
      <c r="AH63" t="s">
        <v>43</v>
      </c>
      <c r="AI63">
        <v>194</v>
      </c>
      <c r="AJ63">
        <v>3.4</v>
      </c>
    </row>
    <row r="64" spans="1:36" x14ac:dyDescent="0.25">
      <c r="A64">
        <v>10063</v>
      </c>
      <c r="B64" t="s">
        <v>38</v>
      </c>
      <c r="C64" t="s">
        <v>57</v>
      </c>
      <c r="D64" t="s">
        <v>39</v>
      </c>
      <c r="E64" t="str">
        <f t="shared" si="0"/>
        <v>Chris Davis is in IT Department</v>
      </c>
      <c r="F64" s="6" t="str">
        <f t="shared" si="1"/>
        <v>chrisdavis@gmail.com</v>
      </c>
      <c r="G64">
        <v>61403</v>
      </c>
      <c r="H64" t="str">
        <f t="shared" si="2"/>
        <v>Medium</v>
      </c>
      <c r="I64" s="3">
        <v>42182</v>
      </c>
      <c r="J64">
        <f t="shared" si="3"/>
        <v>2015</v>
      </c>
      <c r="K64">
        <f t="shared" si="4"/>
        <v>6</v>
      </c>
      <c r="L64">
        <f t="shared" si="5"/>
        <v>27</v>
      </c>
      <c r="M64" s="3">
        <f t="shared" ca="1" si="6"/>
        <v>46100</v>
      </c>
      <c r="N64">
        <f t="shared" ca="1" si="7"/>
        <v>3918</v>
      </c>
      <c r="O64">
        <f t="shared" ca="1" si="8"/>
        <v>3918</v>
      </c>
      <c r="P64">
        <f t="shared" ca="1" si="9"/>
        <v>2799</v>
      </c>
      <c r="Q64">
        <v>23</v>
      </c>
      <c r="R64" t="str">
        <f t="shared" si="10"/>
        <v>Young</v>
      </c>
      <c r="S64" t="s">
        <v>24</v>
      </c>
      <c r="T64">
        <v>3</v>
      </c>
      <c r="U64" t="s">
        <v>45</v>
      </c>
      <c r="V64">
        <v>4198.93</v>
      </c>
      <c r="W64" t="s">
        <v>26</v>
      </c>
      <c r="X64" t="s">
        <v>55</v>
      </c>
      <c r="Y64">
        <v>23</v>
      </c>
      <c r="Z64" t="str">
        <f t="shared" si="11"/>
        <v>Bad Employee</v>
      </c>
      <c r="AA64" t="b">
        <f t="shared" si="12"/>
        <v>0</v>
      </c>
      <c r="AB64" t="b">
        <f>OR(Y64&gt;20, T64&gt;6)</f>
        <v>1</v>
      </c>
      <c r="AC64" t="str">
        <f>IF(OR(Y64&gt;20,T64&gt;6), "Good employee", "Bad Employee")</f>
        <v>Good employee</v>
      </c>
      <c r="AD64" t="s">
        <v>28</v>
      </c>
      <c r="AE64" t="s">
        <v>42</v>
      </c>
      <c r="AF64">
        <v>15</v>
      </c>
      <c r="AG64">
        <v>2011</v>
      </c>
      <c r="AH64" t="s">
        <v>49</v>
      </c>
      <c r="AI64">
        <v>22</v>
      </c>
      <c r="AJ64">
        <v>4.5999999999999996</v>
      </c>
    </row>
    <row r="65" spans="1:36" x14ac:dyDescent="0.25">
      <c r="A65">
        <v>10064</v>
      </c>
      <c r="B65" t="s">
        <v>66</v>
      </c>
      <c r="C65" t="s">
        <v>57</v>
      </c>
      <c r="D65" t="s">
        <v>39</v>
      </c>
      <c r="E65" t="str">
        <f t="shared" si="0"/>
        <v>John Davis is in IT Department</v>
      </c>
      <c r="F65" s="6" t="str">
        <f t="shared" si="1"/>
        <v>johndavis@gmail.com</v>
      </c>
      <c r="G65">
        <v>63586</v>
      </c>
      <c r="H65" t="str">
        <f t="shared" si="2"/>
        <v>Medium</v>
      </c>
      <c r="I65" s="3">
        <v>37301</v>
      </c>
      <c r="J65">
        <f t="shared" si="3"/>
        <v>2002</v>
      </c>
      <c r="K65">
        <f t="shared" si="4"/>
        <v>2</v>
      </c>
      <c r="L65">
        <f t="shared" si="5"/>
        <v>14</v>
      </c>
      <c r="M65" s="3">
        <f t="shared" ca="1" si="6"/>
        <v>46100</v>
      </c>
      <c r="N65">
        <f t="shared" ca="1" si="7"/>
        <v>8799</v>
      </c>
      <c r="O65">
        <f t="shared" ca="1" si="8"/>
        <v>8799</v>
      </c>
      <c r="P65">
        <f t="shared" ca="1" si="9"/>
        <v>6286</v>
      </c>
      <c r="Q65">
        <v>55</v>
      </c>
      <c r="R65" t="str">
        <f t="shared" si="10"/>
        <v>Old</v>
      </c>
      <c r="S65" t="s">
        <v>34</v>
      </c>
      <c r="T65">
        <v>5</v>
      </c>
      <c r="U65" t="s">
        <v>25</v>
      </c>
      <c r="V65">
        <v>7305.8</v>
      </c>
      <c r="W65" t="s">
        <v>58</v>
      </c>
      <c r="X65" t="s">
        <v>27</v>
      </c>
      <c r="Y65">
        <v>17</v>
      </c>
      <c r="Z65" t="str">
        <f t="shared" si="11"/>
        <v>Bad Employee</v>
      </c>
      <c r="AA65" t="b">
        <f t="shared" si="12"/>
        <v>0</v>
      </c>
      <c r="AB65" t="b">
        <f>OR(Y65&gt;20, T65&gt;6)</f>
        <v>0</v>
      </c>
      <c r="AC65" t="str">
        <f>IF(OR(Y65&gt;20,T65&gt;6), "Good employee", "Bad Employee")</f>
        <v>Bad Employee</v>
      </c>
      <c r="AD65" t="s">
        <v>28</v>
      </c>
      <c r="AE65" t="s">
        <v>48</v>
      </c>
      <c r="AF65">
        <v>7</v>
      </c>
      <c r="AG65">
        <v>2023</v>
      </c>
      <c r="AH65" t="s">
        <v>43</v>
      </c>
      <c r="AI65">
        <v>162</v>
      </c>
      <c r="AJ65">
        <v>3.4</v>
      </c>
    </row>
    <row r="66" spans="1:36" x14ac:dyDescent="0.25">
      <c r="A66">
        <v>10065</v>
      </c>
      <c r="B66" t="s">
        <v>21</v>
      </c>
      <c r="C66" t="s">
        <v>57</v>
      </c>
      <c r="D66" t="s">
        <v>54</v>
      </c>
      <c r="E66" t="str">
        <f t="shared" si="0"/>
        <v>Michael Davis is in Finance Department</v>
      </c>
      <c r="F66" s="6" t="str">
        <f t="shared" si="1"/>
        <v>michaeldavis@gmail.com</v>
      </c>
      <c r="G66">
        <v>40360</v>
      </c>
      <c r="H66" t="str">
        <f t="shared" si="2"/>
        <v>low</v>
      </c>
      <c r="I66" s="3">
        <v>39564</v>
      </c>
      <c r="J66">
        <f t="shared" si="3"/>
        <v>2008</v>
      </c>
      <c r="K66">
        <f t="shared" si="4"/>
        <v>4</v>
      </c>
      <c r="L66">
        <f t="shared" si="5"/>
        <v>26</v>
      </c>
      <c r="M66" s="3">
        <f t="shared" ca="1" si="6"/>
        <v>46100</v>
      </c>
      <c r="N66">
        <f t="shared" ca="1" si="7"/>
        <v>6536</v>
      </c>
      <c r="O66">
        <f t="shared" ca="1" si="8"/>
        <v>6536</v>
      </c>
      <c r="P66">
        <f t="shared" ca="1" si="9"/>
        <v>4669</v>
      </c>
      <c r="Q66">
        <v>38</v>
      </c>
      <c r="R66" t="str">
        <f t="shared" si="10"/>
        <v>Old</v>
      </c>
      <c r="S66" t="s">
        <v>24</v>
      </c>
      <c r="T66">
        <v>2</v>
      </c>
      <c r="U66" t="s">
        <v>25</v>
      </c>
      <c r="V66">
        <v>2064.41</v>
      </c>
      <c r="W66" t="s">
        <v>35</v>
      </c>
      <c r="X66" t="s">
        <v>27</v>
      </c>
      <c r="Y66">
        <v>25</v>
      </c>
      <c r="Z66" t="str">
        <f t="shared" si="11"/>
        <v>Bad Employee</v>
      </c>
      <c r="AA66" t="b">
        <f t="shared" si="12"/>
        <v>0</v>
      </c>
      <c r="AB66" t="b">
        <f>OR(Y66&gt;20, T66&gt;6)</f>
        <v>1</v>
      </c>
      <c r="AC66" t="str">
        <f>IF(OR(Y66&gt;20,T66&gt;6), "Good employee", "Bad Employee")</f>
        <v>Good employee</v>
      </c>
      <c r="AD66" t="s">
        <v>41</v>
      </c>
      <c r="AE66" t="s">
        <v>62</v>
      </c>
      <c r="AF66">
        <v>14</v>
      </c>
      <c r="AG66">
        <v>2013</v>
      </c>
      <c r="AH66" t="s">
        <v>43</v>
      </c>
      <c r="AI66">
        <v>188</v>
      </c>
      <c r="AJ66">
        <v>3.1</v>
      </c>
    </row>
    <row r="67" spans="1:36" x14ac:dyDescent="0.25">
      <c r="A67">
        <v>10066</v>
      </c>
      <c r="B67" t="s">
        <v>60</v>
      </c>
      <c r="C67" t="s">
        <v>51</v>
      </c>
      <c r="D67" t="s">
        <v>52</v>
      </c>
      <c r="E67" t="str">
        <f t="shared" ref="E67:E130" si="13">CONCATENATE(B67, " ", C67, " is in ", D67, " Department")</f>
        <v>Jane Brown is in Operations Department</v>
      </c>
      <c r="F67" s="6" t="str">
        <f t="shared" ref="F67:F130" si="14">LOWER(CONCATENATE(B67, C67, "@gmail.com"))</f>
        <v>janebrown@gmail.com</v>
      </c>
      <c r="G67">
        <v>51424</v>
      </c>
      <c r="H67" t="str">
        <f t="shared" ref="H67:H130" si="15">IF(G67&gt;80000, "High", IF(G67&gt;50000, "Medium", IF(G67&gt;40000, "low", "extremely low")))</f>
        <v>Medium</v>
      </c>
      <c r="I67" s="3">
        <v>40899</v>
      </c>
      <c r="J67">
        <f t="shared" ref="J67:J130" si="16">YEAR(I67)</f>
        <v>2011</v>
      </c>
      <c r="K67">
        <f t="shared" ref="K67:K130" si="17">MONTH(I67)</f>
        <v>12</v>
      </c>
      <c r="L67">
        <f t="shared" ref="L67:L130" si="18">DAY(I67)</f>
        <v>22</v>
      </c>
      <c r="M67" s="3">
        <f t="shared" ref="M67:M130" ca="1" si="19">TODAY()</f>
        <v>46100</v>
      </c>
      <c r="N67">
        <f t="shared" ref="N67:N130" ca="1" si="20">M67-I67</f>
        <v>5201</v>
      </c>
      <c r="O67">
        <f t="shared" ref="O67:O130" ca="1" si="21">DATEDIF(I67,M67, "d")</f>
        <v>5201</v>
      </c>
      <c r="P67">
        <f t="shared" ref="P67:P130" ca="1" si="22">NETWORKDAYS(I67, M67)</f>
        <v>3716</v>
      </c>
      <c r="Q67">
        <v>35</v>
      </c>
      <c r="R67" t="str">
        <f t="shared" ref="R67:R130" si="23">IF(Q67&gt;30, "Old", "Young")</f>
        <v>Old</v>
      </c>
      <c r="S67" t="s">
        <v>34</v>
      </c>
      <c r="T67">
        <v>3</v>
      </c>
      <c r="U67" t="s">
        <v>45</v>
      </c>
      <c r="V67">
        <v>2940.79</v>
      </c>
      <c r="W67" t="s">
        <v>46</v>
      </c>
      <c r="X67" t="s">
        <v>36</v>
      </c>
      <c r="Y67">
        <v>12</v>
      </c>
      <c r="Z67" t="str">
        <f t="shared" ref="Z67:Z130" si="24" xml:space="preserve"> IF(AND(Y67&gt;20, T67&gt;6), "Good Employee", "Bad Employee")</f>
        <v>Bad Employee</v>
      </c>
      <c r="AA67" t="b">
        <f t="shared" ref="AA67:AA130" si="25">AND(Y67&gt;20, T67&gt;6)</f>
        <v>0</v>
      </c>
      <c r="AB67" t="b">
        <f>OR(Y67&gt;20, T67&gt;6)</f>
        <v>0</v>
      </c>
      <c r="AC67" t="str">
        <f>IF(OR(Y67&gt;20,T67&gt;6), "Good employee", "Bad Employee")</f>
        <v>Bad Employee</v>
      </c>
      <c r="AD67" t="s">
        <v>56</v>
      </c>
      <c r="AE67" t="s">
        <v>62</v>
      </c>
      <c r="AF67">
        <v>10</v>
      </c>
      <c r="AG67">
        <v>2011</v>
      </c>
      <c r="AH67" t="s">
        <v>43</v>
      </c>
      <c r="AI67">
        <v>110</v>
      </c>
      <c r="AJ67">
        <v>2.4</v>
      </c>
    </row>
    <row r="68" spans="1:36" x14ac:dyDescent="0.25">
      <c r="A68">
        <v>10067</v>
      </c>
      <c r="B68" t="s">
        <v>31</v>
      </c>
      <c r="C68" t="s">
        <v>61</v>
      </c>
      <c r="D68" t="s">
        <v>44</v>
      </c>
      <c r="E68" t="str">
        <f t="shared" si="13"/>
        <v>Emily Smith is in Sales Department</v>
      </c>
      <c r="F68" s="6" t="str">
        <f t="shared" si="14"/>
        <v>emilysmith@gmail.com</v>
      </c>
      <c r="G68">
        <v>78791</v>
      </c>
      <c r="H68" t="str">
        <f t="shared" si="15"/>
        <v>Medium</v>
      </c>
      <c r="I68" s="3">
        <v>39413</v>
      </c>
      <c r="J68">
        <f t="shared" si="16"/>
        <v>2007</v>
      </c>
      <c r="K68">
        <f t="shared" si="17"/>
        <v>11</v>
      </c>
      <c r="L68">
        <f t="shared" si="18"/>
        <v>27</v>
      </c>
      <c r="M68" s="3">
        <f t="shared" ca="1" si="19"/>
        <v>46100</v>
      </c>
      <c r="N68">
        <f t="shared" ca="1" si="20"/>
        <v>6687</v>
      </c>
      <c r="O68">
        <f t="shared" ca="1" si="21"/>
        <v>6687</v>
      </c>
      <c r="P68">
        <f t="shared" ca="1" si="22"/>
        <v>4778</v>
      </c>
      <c r="Q68">
        <v>46</v>
      </c>
      <c r="R68" t="str">
        <f t="shared" si="23"/>
        <v>Old</v>
      </c>
      <c r="S68" t="s">
        <v>24</v>
      </c>
      <c r="T68">
        <v>9</v>
      </c>
      <c r="U68" t="s">
        <v>25</v>
      </c>
      <c r="V68">
        <v>4547.57</v>
      </c>
      <c r="W68" t="s">
        <v>35</v>
      </c>
      <c r="X68" t="s">
        <v>47</v>
      </c>
      <c r="Y68">
        <v>27</v>
      </c>
      <c r="Z68" t="str">
        <f t="shared" si="24"/>
        <v>Good Employee</v>
      </c>
      <c r="AA68" t="b">
        <f t="shared" si="25"/>
        <v>1</v>
      </c>
      <c r="AB68" t="b">
        <f>OR(Y68&gt;20, T68&gt;6)</f>
        <v>1</v>
      </c>
      <c r="AC68" t="str">
        <f>IF(OR(Y68&gt;20,T68&gt;6), "Good employee", "Bad Employee")</f>
        <v>Good employee</v>
      </c>
      <c r="AD68" t="s">
        <v>41</v>
      </c>
      <c r="AE68" t="s">
        <v>62</v>
      </c>
      <c r="AF68">
        <v>9</v>
      </c>
      <c r="AG68">
        <v>2013</v>
      </c>
      <c r="AH68" t="s">
        <v>43</v>
      </c>
      <c r="AI68">
        <v>174</v>
      </c>
      <c r="AJ68">
        <v>4.5</v>
      </c>
    </row>
    <row r="69" spans="1:36" x14ac:dyDescent="0.25">
      <c r="A69">
        <v>10068</v>
      </c>
      <c r="B69" t="s">
        <v>66</v>
      </c>
      <c r="C69" t="s">
        <v>32</v>
      </c>
      <c r="D69" t="s">
        <v>33</v>
      </c>
      <c r="E69" t="str">
        <f t="shared" si="13"/>
        <v>John Wilson is in Marketing Department</v>
      </c>
      <c r="F69" s="6" t="str">
        <f t="shared" si="14"/>
        <v>johnwilson@gmail.com</v>
      </c>
      <c r="G69">
        <v>33065</v>
      </c>
      <c r="H69" t="str">
        <f t="shared" si="15"/>
        <v>extremely low</v>
      </c>
      <c r="I69" s="3">
        <v>38404</v>
      </c>
      <c r="J69">
        <f t="shared" si="16"/>
        <v>2005</v>
      </c>
      <c r="K69">
        <f t="shared" si="17"/>
        <v>2</v>
      </c>
      <c r="L69">
        <f t="shared" si="18"/>
        <v>21</v>
      </c>
      <c r="M69" s="3">
        <f t="shared" ca="1" si="19"/>
        <v>46100</v>
      </c>
      <c r="N69">
        <f t="shared" ca="1" si="20"/>
        <v>7696</v>
      </c>
      <c r="O69">
        <f t="shared" ca="1" si="21"/>
        <v>7696</v>
      </c>
      <c r="P69">
        <f t="shared" ca="1" si="22"/>
        <v>5499</v>
      </c>
      <c r="Q69">
        <v>48</v>
      </c>
      <c r="R69" t="str">
        <f t="shared" si="23"/>
        <v>Old</v>
      </c>
      <c r="S69" t="s">
        <v>34</v>
      </c>
      <c r="T69">
        <v>6</v>
      </c>
      <c r="U69" t="s">
        <v>25</v>
      </c>
      <c r="V69">
        <v>8949.44</v>
      </c>
      <c r="W69" t="s">
        <v>58</v>
      </c>
      <c r="X69" t="s">
        <v>27</v>
      </c>
      <c r="Y69">
        <v>20</v>
      </c>
      <c r="Z69" t="str">
        <f t="shared" si="24"/>
        <v>Bad Employee</v>
      </c>
      <c r="AA69" t="b">
        <f t="shared" si="25"/>
        <v>0</v>
      </c>
      <c r="AB69" t="b">
        <f>OR(Y69&gt;20, T69&gt;6)</f>
        <v>0</v>
      </c>
      <c r="AC69" t="str">
        <f>IF(OR(Y69&gt;20,T69&gt;6), "Good employee", "Bad Employee")</f>
        <v>Bad Employee</v>
      </c>
      <c r="AD69" t="s">
        <v>28</v>
      </c>
      <c r="AE69" t="s">
        <v>59</v>
      </c>
      <c r="AF69">
        <v>2</v>
      </c>
      <c r="AG69">
        <v>2012</v>
      </c>
      <c r="AH69" t="s">
        <v>49</v>
      </c>
      <c r="AI69">
        <v>57</v>
      </c>
      <c r="AJ69">
        <v>1.5</v>
      </c>
    </row>
    <row r="70" spans="1:36" x14ac:dyDescent="0.25">
      <c r="A70">
        <v>10069</v>
      </c>
      <c r="B70" t="s">
        <v>31</v>
      </c>
      <c r="C70" t="s">
        <v>61</v>
      </c>
      <c r="D70" t="s">
        <v>44</v>
      </c>
      <c r="E70" t="str">
        <f t="shared" si="13"/>
        <v>Emily Smith is in Sales Department</v>
      </c>
      <c r="F70" s="6" t="str">
        <f t="shared" si="14"/>
        <v>emilysmith@gmail.com</v>
      </c>
      <c r="G70">
        <v>98795</v>
      </c>
      <c r="H70" t="str">
        <f t="shared" si="15"/>
        <v>High</v>
      </c>
      <c r="I70" s="3">
        <v>38797</v>
      </c>
      <c r="J70">
        <f t="shared" si="16"/>
        <v>2006</v>
      </c>
      <c r="K70">
        <f t="shared" si="17"/>
        <v>3</v>
      </c>
      <c r="L70">
        <f t="shared" si="18"/>
        <v>21</v>
      </c>
      <c r="M70" s="3">
        <f t="shared" ca="1" si="19"/>
        <v>46100</v>
      </c>
      <c r="N70">
        <f t="shared" ca="1" si="20"/>
        <v>7303</v>
      </c>
      <c r="O70">
        <f t="shared" ca="1" si="21"/>
        <v>7303</v>
      </c>
      <c r="P70">
        <f t="shared" ca="1" si="22"/>
        <v>5218</v>
      </c>
      <c r="Q70">
        <v>29</v>
      </c>
      <c r="R70" t="str">
        <f t="shared" si="23"/>
        <v>Young</v>
      </c>
      <c r="S70" t="s">
        <v>24</v>
      </c>
      <c r="T70">
        <v>3</v>
      </c>
      <c r="U70" t="s">
        <v>25</v>
      </c>
      <c r="V70">
        <v>5946.59</v>
      </c>
      <c r="W70" t="s">
        <v>35</v>
      </c>
      <c r="X70" t="s">
        <v>40</v>
      </c>
      <c r="Y70">
        <v>9</v>
      </c>
      <c r="Z70" t="str">
        <f t="shared" si="24"/>
        <v>Bad Employee</v>
      </c>
      <c r="AA70" t="b">
        <f t="shared" si="25"/>
        <v>0</v>
      </c>
      <c r="AB70" t="b">
        <f>OR(Y70&gt;20, T70&gt;6)</f>
        <v>0</v>
      </c>
      <c r="AC70" t="str">
        <f>IF(OR(Y70&gt;20,T70&gt;6), "Good employee", "Bad Employee")</f>
        <v>Bad Employee</v>
      </c>
      <c r="AD70" t="s">
        <v>28</v>
      </c>
      <c r="AE70" t="s">
        <v>42</v>
      </c>
      <c r="AF70">
        <v>10</v>
      </c>
      <c r="AG70">
        <v>2016</v>
      </c>
      <c r="AH70" t="s">
        <v>43</v>
      </c>
      <c r="AI70">
        <v>90</v>
      </c>
      <c r="AJ70">
        <v>2.9</v>
      </c>
    </row>
    <row r="71" spans="1:36" x14ac:dyDescent="0.25">
      <c r="A71">
        <v>10070</v>
      </c>
      <c r="B71" t="s">
        <v>64</v>
      </c>
      <c r="C71" t="s">
        <v>51</v>
      </c>
      <c r="D71" t="s">
        <v>33</v>
      </c>
      <c r="E71" t="str">
        <f t="shared" si="13"/>
        <v>Katie Brown is in Marketing Department</v>
      </c>
      <c r="F71" s="6" t="str">
        <f t="shared" si="14"/>
        <v>katiebrown@gmail.com</v>
      </c>
      <c r="G71">
        <v>42300</v>
      </c>
      <c r="H71" t="str">
        <f t="shared" si="15"/>
        <v>low</v>
      </c>
      <c r="I71" s="3">
        <v>38133</v>
      </c>
      <c r="J71">
        <f t="shared" si="16"/>
        <v>2004</v>
      </c>
      <c r="K71">
        <f t="shared" si="17"/>
        <v>5</v>
      </c>
      <c r="L71">
        <f t="shared" si="18"/>
        <v>26</v>
      </c>
      <c r="M71" s="3">
        <f t="shared" ca="1" si="19"/>
        <v>46100</v>
      </c>
      <c r="N71">
        <f t="shared" ca="1" si="20"/>
        <v>7967</v>
      </c>
      <c r="O71">
        <f t="shared" ca="1" si="21"/>
        <v>7967</v>
      </c>
      <c r="P71">
        <f t="shared" ca="1" si="22"/>
        <v>5692</v>
      </c>
      <c r="Q71">
        <v>38</v>
      </c>
      <c r="R71" t="str">
        <f t="shared" si="23"/>
        <v>Old</v>
      </c>
      <c r="S71" t="s">
        <v>24</v>
      </c>
      <c r="T71">
        <v>2</v>
      </c>
      <c r="U71" t="s">
        <v>45</v>
      </c>
      <c r="V71">
        <v>9671.26</v>
      </c>
      <c r="W71" t="s">
        <v>58</v>
      </c>
      <c r="X71" t="s">
        <v>40</v>
      </c>
      <c r="Y71">
        <v>23</v>
      </c>
      <c r="Z71" t="str">
        <f t="shared" si="24"/>
        <v>Bad Employee</v>
      </c>
      <c r="AA71" t="b">
        <f t="shared" si="25"/>
        <v>0</v>
      </c>
      <c r="AB71" t="b">
        <f>OR(Y71&gt;20, T71&gt;6)</f>
        <v>1</v>
      </c>
      <c r="AC71" t="str">
        <f>IF(OR(Y71&gt;20,T71&gt;6), "Good employee", "Bad Employee")</f>
        <v>Good employee</v>
      </c>
      <c r="AD71" t="s">
        <v>56</v>
      </c>
      <c r="AE71" t="s">
        <v>37</v>
      </c>
      <c r="AF71">
        <v>16</v>
      </c>
      <c r="AG71">
        <v>2023</v>
      </c>
      <c r="AH71" t="s">
        <v>43</v>
      </c>
      <c r="AI71">
        <v>54</v>
      </c>
      <c r="AJ71">
        <v>3.1</v>
      </c>
    </row>
    <row r="72" spans="1:36" x14ac:dyDescent="0.25">
      <c r="A72">
        <v>10071</v>
      </c>
      <c r="B72" t="s">
        <v>60</v>
      </c>
      <c r="C72" t="s">
        <v>22</v>
      </c>
      <c r="D72" t="s">
        <v>33</v>
      </c>
      <c r="E72" t="str">
        <f t="shared" si="13"/>
        <v>Jane Williams is in Marketing Department</v>
      </c>
      <c r="F72" s="6" t="str">
        <f t="shared" si="14"/>
        <v>janewilliams@gmail.com</v>
      </c>
      <c r="G72">
        <v>63370</v>
      </c>
      <c r="H72" t="str">
        <f t="shared" si="15"/>
        <v>Medium</v>
      </c>
      <c r="I72" s="3">
        <v>39665</v>
      </c>
      <c r="J72">
        <f t="shared" si="16"/>
        <v>2008</v>
      </c>
      <c r="K72">
        <f t="shared" si="17"/>
        <v>8</v>
      </c>
      <c r="L72">
        <f t="shared" si="18"/>
        <v>5</v>
      </c>
      <c r="M72" s="3">
        <f t="shared" ca="1" si="19"/>
        <v>46100</v>
      </c>
      <c r="N72">
        <f t="shared" ca="1" si="20"/>
        <v>6435</v>
      </c>
      <c r="O72">
        <f t="shared" ca="1" si="21"/>
        <v>6435</v>
      </c>
      <c r="P72">
        <f t="shared" ca="1" si="22"/>
        <v>4598</v>
      </c>
      <c r="Q72">
        <v>26</v>
      </c>
      <c r="R72" t="str">
        <f t="shared" si="23"/>
        <v>Young</v>
      </c>
      <c r="S72" t="s">
        <v>24</v>
      </c>
      <c r="T72">
        <v>5</v>
      </c>
      <c r="U72" t="s">
        <v>45</v>
      </c>
      <c r="V72">
        <v>1481.14</v>
      </c>
      <c r="W72" t="s">
        <v>26</v>
      </c>
      <c r="X72" t="s">
        <v>36</v>
      </c>
      <c r="Y72">
        <v>36</v>
      </c>
      <c r="Z72" t="str">
        <f t="shared" si="24"/>
        <v>Bad Employee</v>
      </c>
      <c r="AA72" t="b">
        <f t="shared" si="25"/>
        <v>0</v>
      </c>
      <c r="AB72" t="b">
        <f>OR(Y72&gt;20, T72&gt;6)</f>
        <v>1</v>
      </c>
      <c r="AC72" t="str">
        <f>IF(OR(Y72&gt;20,T72&gt;6), "Good employee", "Bad Employee")</f>
        <v>Good employee</v>
      </c>
      <c r="AD72" t="s">
        <v>41</v>
      </c>
      <c r="AE72" t="s">
        <v>62</v>
      </c>
      <c r="AF72">
        <v>9</v>
      </c>
      <c r="AG72">
        <v>2014</v>
      </c>
      <c r="AH72" t="s">
        <v>30</v>
      </c>
      <c r="AI72">
        <v>131</v>
      </c>
      <c r="AJ72">
        <v>3.2</v>
      </c>
    </row>
    <row r="73" spans="1:36" x14ac:dyDescent="0.25">
      <c r="A73">
        <v>10072</v>
      </c>
      <c r="B73" t="s">
        <v>60</v>
      </c>
      <c r="C73" t="s">
        <v>65</v>
      </c>
      <c r="D73" t="s">
        <v>23</v>
      </c>
      <c r="E73" t="str">
        <f t="shared" si="13"/>
        <v>Jane Johnson is in HR Department</v>
      </c>
      <c r="F73" s="6" t="str">
        <f t="shared" si="14"/>
        <v>janejohnson@gmail.com</v>
      </c>
      <c r="G73">
        <v>99831</v>
      </c>
      <c r="H73" t="str">
        <f t="shared" si="15"/>
        <v>High</v>
      </c>
      <c r="I73" s="3">
        <v>37131</v>
      </c>
      <c r="J73">
        <f t="shared" si="16"/>
        <v>2001</v>
      </c>
      <c r="K73">
        <f t="shared" si="17"/>
        <v>8</v>
      </c>
      <c r="L73">
        <f t="shared" si="18"/>
        <v>28</v>
      </c>
      <c r="M73" s="3">
        <f t="shared" ca="1" si="19"/>
        <v>46100</v>
      </c>
      <c r="N73">
        <f t="shared" ca="1" si="20"/>
        <v>8969</v>
      </c>
      <c r="O73">
        <f t="shared" ca="1" si="21"/>
        <v>8969</v>
      </c>
      <c r="P73">
        <f t="shared" ca="1" si="22"/>
        <v>6408</v>
      </c>
      <c r="Q73">
        <v>33</v>
      </c>
      <c r="R73" t="str">
        <f t="shared" si="23"/>
        <v>Old</v>
      </c>
      <c r="S73" t="s">
        <v>24</v>
      </c>
      <c r="T73">
        <v>5</v>
      </c>
      <c r="U73" t="s">
        <v>45</v>
      </c>
      <c r="V73">
        <v>4871.67</v>
      </c>
      <c r="W73" t="s">
        <v>35</v>
      </c>
      <c r="X73" t="s">
        <v>36</v>
      </c>
      <c r="Y73">
        <v>28</v>
      </c>
      <c r="Z73" t="str">
        <f t="shared" si="24"/>
        <v>Bad Employee</v>
      </c>
      <c r="AA73" t="b">
        <f t="shared" si="25"/>
        <v>0</v>
      </c>
      <c r="AB73" t="b">
        <f>OR(Y73&gt;20, T73&gt;6)</f>
        <v>1</v>
      </c>
      <c r="AC73" t="str">
        <f>IF(OR(Y73&gt;20,T73&gt;6), "Good employee", "Bad Employee")</f>
        <v>Good employee</v>
      </c>
      <c r="AD73" t="s">
        <v>41</v>
      </c>
      <c r="AE73" t="s">
        <v>48</v>
      </c>
      <c r="AF73">
        <v>16</v>
      </c>
      <c r="AG73">
        <v>2016</v>
      </c>
      <c r="AH73" t="s">
        <v>49</v>
      </c>
      <c r="AI73">
        <v>8</v>
      </c>
      <c r="AJ73">
        <v>3.6</v>
      </c>
    </row>
    <row r="74" spans="1:36" x14ac:dyDescent="0.25">
      <c r="A74">
        <v>10073</v>
      </c>
      <c r="B74" t="s">
        <v>66</v>
      </c>
      <c r="C74" t="s">
        <v>32</v>
      </c>
      <c r="D74" t="s">
        <v>33</v>
      </c>
      <c r="E74" t="str">
        <f t="shared" si="13"/>
        <v>John Wilson is in Marketing Department</v>
      </c>
      <c r="F74" s="6" t="str">
        <f t="shared" si="14"/>
        <v>johnwilson@gmail.com</v>
      </c>
      <c r="G74">
        <v>57209</v>
      </c>
      <c r="H74" t="str">
        <f t="shared" si="15"/>
        <v>Medium</v>
      </c>
      <c r="I74" s="3">
        <v>42688</v>
      </c>
      <c r="J74">
        <f t="shared" si="16"/>
        <v>2016</v>
      </c>
      <c r="K74">
        <f t="shared" si="17"/>
        <v>11</v>
      </c>
      <c r="L74">
        <f t="shared" si="18"/>
        <v>14</v>
      </c>
      <c r="M74" s="3">
        <f t="shared" ca="1" si="19"/>
        <v>46100</v>
      </c>
      <c r="N74">
        <f t="shared" ca="1" si="20"/>
        <v>3412</v>
      </c>
      <c r="O74">
        <f t="shared" ca="1" si="21"/>
        <v>3412</v>
      </c>
      <c r="P74">
        <f t="shared" ca="1" si="22"/>
        <v>2439</v>
      </c>
      <c r="Q74">
        <v>59</v>
      </c>
      <c r="R74" t="str">
        <f t="shared" si="23"/>
        <v>Old</v>
      </c>
      <c r="S74" t="s">
        <v>24</v>
      </c>
      <c r="T74">
        <v>1</v>
      </c>
      <c r="U74" t="s">
        <v>25</v>
      </c>
      <c r="V74">
        <v>4481.25</v>
      </c>
      <c r="W74" t="s">
        <v>46</v>
      </c>
      <c r="X74" t="s">
        <v>36</v>
      </c>
      <c r="Y74">
        <v>29</v>
      </c>
      <c r="Z74" t="str">
        <f t="shared" si="24"/>
        <v>Bad Employee</v>
      </c>
      <c r="AA74" t="b">
        <f t="shared" si="25"/>
        <v>0</v>
      </c>
      <c r="AB74" t="b">
        <f>OR(Y74&gt;20, T74&gt;6)</f>
        <v>1</v>
      </c>
      <c r="AC74" t="str">
        <f>IF(OR(Y74&gt;20,T74&gt;6), "Good employee", "Bad Employee")</f>
        <v>Good employee</v>
      </c>
      <c r="AD74" t="s">
        <v>28</v>
      </c>
      <c r="AE74" t="s">
        <v>42</v>
      </c>
      <c r="AF74">
        <v>13</v>
      </c>
      <c r="AG74">
        <v>2011</v>
      </c>
      <c r="AH74" t="s">
        <v>43</v>
      </c>
      <c r="AI74">
        <v>67</v>
      </c>
      <c r="AJ74">
        <v>3</v>
      </c>
    </row>
    <row r="75" spans="1:36" x14ac:dyDescent="0.25">
      <c r="A75">
        <v>10074</v>
      </c>
      <c r="B75" t="s">
        <v>60</v>
      </c>
      <c r="C75" t="s">
        <v>32</v>
      </c>
      <c r="D75" t="s">
        <v>33</v>
      </c>
      <c r="E75" t="str">
        <f t="shared" si="13"/>
        <v>Jane Wilson is in Marketing Department</v>
      </c>
      <c r="F75" s="6" t="str">
        <f t="shared" si="14"/>
        <v>janewilson@gmail.com</v>
      </c>
      <c r="G75">
        <v>50927</v>
      </c>
      <c r="H75" t="str">
        <f t="shared" si="15"/>
        <v>Medium</v>
      </c>
      <c r="I75" s="3">
        <v>41261</v>
      </c>
      <c r="J75">
        <f t="shared" si="16"/>
        <v>2012</v>
      </c>
      <c r="K75">
        <f t="shared" si="17"/>
        <v>12</v>
      </c>
      <c r="L75">
        <f t="shared" si="18"/>
        <v>18</v>
      </c>
      <c r="M75" s="3">
        <f t="shared" ca="1" si="19"/>
        <v>46100</v>
      </c>
      <c r="N75">
        <f t="shared" ca="1" si="20"/>
        <v>4839</v>
      </c>
      <c r="O75">
        <f t="shared" ca="1" si="21"/>
        <v>4839</v>
      </c>
      <c r="P75">
        <f t="shared" ca="1" si="22"/>
        <v>3458</v>
      </c>
      <c r="Q75">
        <v>39</v>
      </c>
      <c r="R75" t="str">
        <f t="shared" si="23"/>
        <v>Old</v>
      </c>
      <c r="S75" t="s">
        <v>34</v>
      </c>
      <c r="T75">
        <v>3</v>
      </c>
      <c r="U75" t="s">
        <v>25</v>
      </c>
      <c r="V75">
        <v>6201.96</v>
      </c>
      <c r="W75" t="s">
        <v>35</v>
      </c>
      <c r="X75" t="s">
        <v>27</v>
      </c>
      <c r="Y75">
        <v>32</v>
      </c>
      <c r="Z75" t="str">
        <f t="shared" si="24"/>
        <v>Bad Employee</v>
      </c>
      <c r="AA75" t="b">
        <f t="shared" si="25"/>
        <v>0</v>
      </c>
      <c r="AB75" t="b">
        <f>OR(Y75&gt;20, T75&gt;6)</f>
        <v>1</v>
      </c>
      <c r="AC75" t="str">
        <f>IF(OR(Y75&gt;20,T75&gt;6), "Good employee", "Bad Employee")</f>
        <v>Good employee</v>
      </c>
      <c r="AD75" t="s">
        <v>56</v>
      </c>
      <c r="AE75" t="s">
        <v>37</v>
      </c>
      <c r="AF75">
        <v>0</v>
      </c>
      <c r="AG75">
        <v>2013</v>
      </c>
      <c r="AH75" t="s">
        <v>30</v>
      </c>
      <c r="AI75">
        <v>199</v>
      </c>
      <c r="AJ75">
        <v>2</v>
      </c>
    </row>
    <row r="76" spans="1:36" x14ac:dyDescent="0.25">
      <c r="A76">
        <v>10075</v>
      </c>
      <c r="B76" t="s">
        <v>38</v>
      </c>
      <c r="C76" t="s">
        <v>61</v>
      </c>
      <c r="D76" t="s">
        <v>54</v>
      </c>
      <c r="E76" t="str">
        <f t="shared" si="13"/>
        <v>Chris Smith is in Finance Department</v>
      </c>
      <c r="F76" s="6" t="str">
        <f t="shared" si="14"/>
        <v>chrissmith@gmail.com</v>
      </c>
      <c r="G76">
        <v>64579</v>
      </c>
      <c r="H76" t="str">
        <f t="shared" si="15"/>
        <v>Medium</v>
      </c>
      <c r="I76" s="3">
        <v>39940</v>
      </c>
      <c r="J76">
        <f t="shared" si="16"/>
        <v>2009</v>
      </c>
      <c r="K76">
        <f t="shared" si="17"/>
        <v>5</v>
      </c>
      <c r="L76">
        <f t="shared" si="18"/>
        <v>7</v>
      </c>
      <c r="M76" s="3">
        <f t="shared" ca="1" si="19"/>
        <v>46100</v>
      </c>
      <c r="N76">
        <f t="shared" ca="1" si="20"/>
        <v>6160</v>
      </c>
      <c r="O76">
        <f t="shared" ca="1" si="21"/>
        <v>6160</v>
      </c>
      <c r="P76">
        <f t="shared" ca="1" si="22"/>
        <v>4401</v>
      </c>
      <c r="Q76">
        <v>47</v>
      </c>
      <c r="R76" t="str">
        <f t="shared" si="23"/>
        <v>Old</v>
      </c>
      <c r="S76" t="s">
        <v>24</v>
      </c>
      <c r="T76">
        <v>7</v>
      </c>
      <c r="U76" t="s">
        <v>45</v>
      </c>
      <c r="V76">
        <v>8213.66</v>
      </c>
      <c r="W76" t="s">
        <v>26</v>
      </c>
      <c r="X76" t="s">
        <v>47</v>
      </c>
      <c r="Y76">
        <v>12</v>
      </c>
      <c r="Z76" t="str">
        <f t="shared" si="24"/>
        <v>Bad Employee</v>
      </c>
      <c r="AA76" t="b">
        <f t="shared" si="25"/>
        <v>0</v>
      </c>
      <c r="AB76" t="b">
        <f>OR(Y76&gt;20, T76&gt;6)</f>
        <v>1</v>
      </c>
      <c r="AC76" t="str">
        <f>IF(OR(Y76&gt;20,T76&gt;6), "Good employee", "Bad Employee")</f>
        <v>Good employee</v>
      </c>
      <c r="AD76" t="s">
        <v>56</v>
      </c>
      <c r="AE76" t="s">
        <v>48</v>
      </c>
      <c r="AF76">
        <v>8</v>
      </c>
      <c r="AG76">
        <v>2015</v>
      </c>
      <c r="AH76" t="s">
        <v>49</v>
      </c>
      <c r="AI76">
        <v>117</v>
      </c>
      <c r="AJ76">
        <v>4.4000000000000004</v>
      </c>
    </row>
    <row r="77" spans="1:36" x14ac:dyDescent="0.25">
      <c r="A77">
        <v>10076</v>
      </c>
      <c r="B77" t="s">
        <v>60</v>
      </c>
      <c r="C77" t="s">
        <v>65</v>
      </c>
      <c r="D77" t="s">
        <v>39</v>
      </c>
      <c r="E77" t="str">
        <f t="shared" si="13"/>
        <v>Jane Johnson is in IT Department</v>
      </c>
      <c r="F77" s="6" t="str">
        <f t="shared" si="14"/>
        <v>janejohnson@gmail.com</v>
      </c>
      <c r="G77">
        <v>39032</v>
      </c>
      <c r="H77" t="str">
        <f t="shared" si="15"/>
        <v>extremely low</v>
      </c>
      <c r="I77" s="3">
        <v>40191</v>
      </c>
      <c r="J77">
        <f t="shared" si="16"/>
        <v>2010</v>
      </c>
      <c r="K77">
        <f t="shared" si="17"/>
        <v>1</v>
      </c>
      <c r="L77">
        <f t="shared" si="18"/>
        <v>13</v>
      </c>
      <c r="M77" s="3">
        <f t="shared" ca="1" si="19"/>
        <v>46100</v>
      </c>
      <c r="N77">
        <f t="shared" ca="1" si="20"/>
        <v>5909</v>
      </c>
      <c r="O77">
        <f t="shared" ca="1" si="21"/>
        <v>5909</v>
      </c>
      <c r="P77">
        <f t="shared" ca="1" si="22"/>
        <v>4222</v>
      </c>
      <c r="Q77">
        <v>52</v>
      </c>
      <c r="R77" t="str">
        <f t="shared" si="23"/>
        <v>Old</v>
      </c>
      <c r="S77" t="s">
        <v>24</v>
      </c>
      <c r="T77">
        <v>9</v>
      </c>
      <c r="U77" t="s">
        <v>25</v>
      </c>
      <c r="V77">
        <v>8493.76</v>
      </c>
      <c r="W77" t="s">
        <v>26</v>
      </c>
      <c r="X77" t="s">
        <v>36</v>
      </c>
      <c r="Y77">
        <v>30</v>
      </c>
      <c r="Z77" t="str">
        <f t="shared" si="24"/>
        <v>Good Employee</v>
      </c>
      <c r="AA77" t="b">
        <f t="shared" si="25"/>
        <v>1</v>
      </c>
      <c r="AB77" t="b">
        <f>OR(Y77&gt;20, T77&gt;6)</f>
        <v>1</v>
      </c>
      <c r="AC77" t="str">
        <f>IF(OR(Y77&gt;20,T77&gt;6), "Good employee", "Bad Employee")</f>
        <v>Good employee</v>
      </c>
      <c r="AD77" t="s">
        <v>28</v>
      </c>
      <c r="AE77" t="s">
        <v>48</v>
      </c>
      <c r="AF77">
        <v>14</v>
      </c>
      <c r="AG77">
        <v>2021</v>
      </c>
      <c r="AH77" t="s">
        <v>43</v>
      </c>
      <c r="AI77">
        <v>60</v>
      </c>
      <c r="AJ77">
        <v>3.6</v>
      </c>
    </row>
    <row r="78" spans="1:36" x14ac:dyDescent="0.25">
      <c r="A78">
        <v>10077</v>
      </c>
      <c r="B78" t="s">
        <v>31</v>
      </c>
      <c r="C78" t="s">
        <v>63</v>
      </c>
      <c r="D78" t="s">
        <v>44</v>
      </c>
      <c r="E78" t="str">
        <f t="shared" si="13"/>
        <v>Emily Miller is in Sales Department</v>
      </c>
      <c r="F78" s="6" t="str">
        <f t="shared" si="14"/>
        <v>emilymiller@gmail.com</v>
      </c>
      <c r="G78">
        <v>108413</v>
      </c>
      <c r="H78" t="str">
        <f t="shared" si="15"/>
        <v>High</v>
      </c>
      <c r="I78" s="3">
        <v>42411</v>
      </c>
      <c r="J78">
        <f t="shared" si="16"/>
        <v>2016</v>
      </c>
      <c r="K78">
        <f t="shared" si="17"/>
        <v>2</v>
      </c>
      <c r="L78">
        <f t="shared" si="18"/>
        <v>11</v>
      </c>
      <c r="M78" s="3">
        <f t="shared" ca="1" si="19"/>
        <v>46100</v>
      </c>
      <c r="N78">
        <f t="shared" ca="1" si="20"/>
        <v>3689</v>
      </c>
      <c r="O78">
        <f t="shared" ca="1" si="21"/>
        <v>3689</v>
      </c>
      <c r="P78">
        <f t="shared" ca="1" si="22"/>
        <v>2636</v>
      </c>
      <c r="Q78">
        <v>58</v>
      </c>
      <c r="R78" t="str">
        <f t="shared" si="23"/>
        <v>Old</v>
      </c>
      <c r="S78" t="s">
        <v>24</v>
      </c>
      <c r="T78">
        <v>5</v>
      </c>
      <c r="U78" t="s">
        <v>25</v>
      </c>
      <c r="V78">
        <v>6866.85</v>
      </c>
      <c r="W78" t="s">
        <v>26</v>
      </c>
      <c r="X78" t="s">
        <v>55</v>
      </c>
      <c r="Y78">
        <v>11</v>
      </c>
      <c r="Z78" t="str">
        <f t="shared" si="24"/>
        <v>Bad Employee</v>
      </c>
      <c r="AA78" t="b">
        <f t="shared" si="25"/>
        <v>0</v>
      </c>
      <c r="AB78" t="b">
        <f>OR(Y78&gt;20, T78&gt;6)</f>
        <v>0</v>
      </c>
      <c r="AC78" t="str">
        <f>IF(OR(Y78&gt;20,T78&gt;6), "Good employee", "Bad Employee")</f>
        <v>Bad Employee</v>
      </c>
      <c r="AD78" t="s">
        <v>41</v>
      </c>
      <c r="AE78" t="s">
        <v>62</v>
      </c>
      <c r="AF78">
        <v>3</v>
      </c>
      <c r="AG78">
        <v>2014</v>
      </c>
      <c r="AH78" t="s">
        <v>30</v>
      </c>
      <c r="AI78">
        <v>181</v>
      </c>
      <c r="AJ78">
        <v>4.4000000000000004</v>
      </c>
    </row>
    <row r="79" spans="1:36" x14ac:dyDescent="0.25">
      <c r="A79">
        <v>10078</v>
      </c>
      <c r="B79" t="s">
        <v>31</v>
      </c>
      <c r="C79" t="s">
        <v>63</v>
      </c>
      <c r="D79" t="s">
        <v>44</v>
      </c>
      <c r="E79" t="str">
        <f t="shared" si="13"/>
        <v>Emily Miller is in Sales Department</v>
      </c>
      <c r="F79" s="6" t="str">
        <f t="shared" si="14"/>
        <v>emilymiller@gmail.com</v>
      </c>
      <c r="G79">
        <v>70731</v>
      </c>
      <c r="H79" t="str">
        <f t="shared" si="15"/>
        <v>Medium</v>
      </c>
      <c r="I79" s="3">
        <v>42378</v>
      </c>
      <c r="J79">
        <f t="shared" si="16"/>
        <v>2016</v>
      </c>
      <c r="K79">
        <f t="shared" si="17"/>
        <v>1</v>
      </c>
      <c r="L79">
        <f t="shared" si="18"/>
        <v>9</v>
      </c>
      <c r="M79" s="3">
        <f t="shared" ca="1" si="19"/>
        <v>46100</v>
      </c>
      <c r="N79">
        <f t="shared" ca="1" si="20"/>
        <v>3722</v>
      </c>
      <c r="O79">
        <f t="shared" ca="1" si="21"/>
        <v>3722</v>
      </c>
      <c r="P79">
        <f t="shared" ca="1" si="22"/>
        <v>2659</v>
      </c>
      <c r="Q79">
        <v>27</v>
      </c>
      <c r="R79" t="str">
        <f t="shared" si="23"/>
        <v>Young</v>
      </c>
      <c r="S79" t="s">
        <v>24</v>
      </c>
      <c r="T79">
        <v>4</v>
      </c>
      <c r="U79" t="s">
        <v>45</v>
      </c>
      <c r="V79">
        <v>6594.6</v>
      </c>
      <c r="W79" t="s">
        <v>35</v>
      </c>
      <c r="X79" t="s">
        <v>36</v>
      </c>
      <c r="Y79">
        <v>37</v>
      </c>
      <c r="Z79" t="str">
        <f t="shared" si="24"/>
        <v>Bad Employee</v>
      </c>
      <c r="AA79" t="b">
        <f t="shared" si="25"/>
        <v>0</v>
      </c>
      <c r="AB79" t="b">
        <f>OR(Y79&gt;20, T79&gt;6)</f>
        <v>1</v>
      </c>
      <c r="AC79" t="str">
        <f>IF(OR(Y79&gt;20,T79&gt;6), "Good employee", "Bad Employee")</f>
        <v>Good employee</v>
      </c>
      <c r="AD79" t="s">
        <v>41</v>
      </c>
      <c r="AE79" t="s">
        <v>42</v>
      </c>
      <c r="AF79">
        <v>19</v>
      </c>
      <c r="AG79">
        <v>2020</v>
      </c>
      <c r="AH79" t="s">
        <v>49</v>
      </c>
      <c r="AI79">
        <v>154</v>
      </c>
      <c r="AJ79">
        <v>2.1</v>
      </c>
    </row>
    <row r="80" spans="1:36" x14ac:dyDescent="0.25">
      <c r="A80">
        <v>10079</v>
      </c>
      <c r="B80" t="s">
        <v>21</v>
      </c>
      <c r="C80" t="s">
        <v>51</v>
      </c>
      <c r="D80" t="s">
        <v>33</v>
      </c>
      <c r="E80" t="str">
        <f t="shared" si="13"/>
        <v>Michael Brown is in Marketing Department</v>
      </c>
      <c r="F80" s="6" t="str">
        <f t="shared" si="14"/>
        <v>michaelbrown@gmail.com</v>
      </c>
      <c r="G80">
        <v>83767</v>
      </c>
      <c r="H80" t="str">
        <f t="shared" si="15"/>
        <v>High</v>
      </c>
      <c r="I80" s="3">
        <v>41988</v>
      </c>
      <c r="J80">
        <f t="shared" si="16"/>
        <v>2014</v>
      </c>
      <c r="K80">
        <f t="shared" si="17"/>
        <v>12</v>
      </c>
      <c r="L80">
        <f t="shared" si="18"/>
        <v>15</v>
      </c>
      <c r="M80" s="3">
        <f t="shared" ca="1" si="19"/>
        <v>46100</v>
      </c>
      <c r="N80">
        <f t="shared" ca="1" si="20"/>
        <v>4112</v>
      </c>
      <c r="O80">
        <f t="shared" ca="1" si="21"/>
        <v>4112</v>
      </c>
      <c r="P80">
        <f t="shared" ca="1" si="22"/>
        <v>2939</v>
      </c>
      <c r="Q80">
        <v>62</v>
      </c>
      <c r="R80" t="str">
        <f t="shared" si="23"/>
        <v>Old</v>
      </c>
      <c r="S80" t="s">
        <v>34</v>
      </c>
      <c r="T80">
        <v>3</v>
      </c>
      <c r="U80" t="s">
        <v>25</v>
      </c>
      <c r="V80">
        <v>9515.7800000000007</v>
      </c>
      <c r="W80" t="s">
        <v>26</v>
      </c>
      <c r="X80" t="s">
        <v>27</v>
      </c>
      <c r="Y80">
        <v>20</v>
      </c>
      <c r="Z80" t="str">
        <f t="shared" si="24"/>
        <v>Bad Employee</v>
      </c>
      <c r="AA80" t="b">
        <f t="shared" si="25"/>
        <v>0</v>
      </c>
      <c r="AB80" t="b">
        <f>OR(Y80&gt;20, T80&gt;6)</f>
        <v>0</v>
      </c>
      <c r="AC80" t="str">
        <f>IF(OR(Y80&gt;20,T80&gt;6), "Good employee", "Bad Employee")</f>
        <v>Bad Employee</v>
      </c>
      <c r="AD80" t="s">
        <v>56</v>
      </c>
      <c r="AE80" t="s">
        <v>29</v>
      </c>
      <c r="AF80">
        <v>2</v>
      </c>
      <c r="AG80">
        <v>2011</v>
      </c>
      <c r="AH80" t="s">
        <v>43</v>
      </c>
      <c r="AI80">
        <v>144</v>
      </c>
      <c r="AJ80">
        <v>3.5</v>
      </c>
    </row>
    <row r="81" spans="1:36" x14ac:dyDescent="0.25">
      <c r="A81">
        <v>10080</v>
      </c>
      <c r="B81" t="s">
        <v>31</v>
      </c>
      <c r="C81" t="s">
        <v>63</v>
      </c>
      <c r="D81" t="s">
        <v>52</v>
      </c>
      <c r="E81" t="str">
        <f t="shared" si="13"/>
        <v>Emily Miller is in Operations Department</v>
      </c>
      <c r="F81" s="6" t="str">
        <f t="shared" si="14"/>
        <v>emilymiller@gmail.com</v>
      </c>
      <c r="G81">
        <v>102302</v>
      </c>
      <c r="H81" t="str">
        <f t="shared" si="15"/>
        <v>High</v>
      </c>
      <c r="I81" s="3">
        <v>38670</v>
      </c>
      <c r="J81">
        <f t="shared" si="16"/>
        <v>2005</v>
      </c>
      <c r="K81">
        <f t="shared" si="17"/>
        <v>11</v>
      </c>
      <c r="L81">
        <f t="shared" si="18"/>
        <v>14</v>
      </c>
      <c r="M81" s="3">
        <f t="shared" ca="1" si="19"/>
        <v>46100</v>
      </c>
      <c r="N81">
        <f t="shared" ca="1" si="20"/>
        <v>7430</v>
      </c>
      <c r="O81">
        <f t="shared" ca="1" si="21"/>
        <v>7430</v>
      </c>
      <c r="P81">
        <f t="shared" ca="1" si="22"/>
        <v>5309</v>
      </c>
      <c r="Q81">
        <v>36</v>
      </c>
      <c r="R81" t="str">
        <f t="shared" si="23"/>
        <v>Old</v>
      </c>
      <c r="S81" t="s">
        <v>24</v>
      </c>
      <c r="T81">
        <v>9</v>
      </c>
      <c r="U81" t="s">
        <v>25</v>
      </c>
      <c r="V81">
        <v>4145.03</v>
      </c>
      <c r="W81" t="s">
        <v>26</v>
      </c>
      <c r="X81" t="s">
        <v>47</v>
      </c>
      <c r="Y81">
        <v>11</v>
      </c>
      <c r="Z81" t="str">
        <f t="shared" si="24"/>
        <v>Bad Employee</v>
      </c>
      <c r="AA81" t="b">
        <f t="shared" si="25"/>
        <v>0</v>
      </c>
      <c r="AB81" t="b">
        <f>OR(Y81&gt;20, T81&gt;6)</f>
        <v>1</v>
      </c>
      <c r="AC81" t="str">
        <f>IF(OR(Y81&gt;20,T81&gt;6), "Good employee", "Bad Employee")</f>
        <v>Good employee</v>
      </c>
      <c r="AD81" t="s">
        <v>56</v>
      </c>
      <c r="AE81" t="s">
        <v>59</v>
      </c>
      <c r="AF81">
        <v>19</v>
      </c>
      <c r="AG81">
        <v>2021</v>
      </c>
      <c r="AH81" t="s">
        <v>30</v>
      </c>
      <c r="AI81">
        <v>181</v>
      </c>
      <c r="AJ81">
        <v>3.9</v>
      </c>
    </row>
    <row r="82" spans="1:36" x14ac:dyDescent="0.25">
      <c r="A82">
        <v>10081</v>
      </c>
      <c r="B82" t="s">
        <v>21</v>
      </c>
      <c r="C82" t="s">
        <v>32</v>
      </c>
      <c r="D82" t="s">
        <v>44</v>
      </c>
      <c r="E82" t="str">
        <f t="shared" si="13"/>
        <v>Michael Wilson is in Sales Department</v>
      </c>
      <c r="F82" s="6" t="str">
        <f t="shared" si="14"/>
        <v>michaelwilson@gmail.com</v>
      </c>
      <c r="G82">
        <v>79954</v>
      </c>
      <c r="H82" t="str">
        <f t="shared" si="15"/>
        <v>Medium</v>
      </c>
      <c r="I82" s="3">
        <v>43745</v>
      </c>
      <c r="J82">
        <f t="shared" si="16"/>
        <v>2019</v>
      </c>
      <c r="K82">
        <f t="shared" si="17"/>
        <v>10</v>
      </c>
      <c r="L82">
        <f t="shared" si="18"/>
        <v>7</v>
      </c>
      <c r="M82" s="3">
        <f t="shared" ca="1" si="19"/>
        <v>46100</v>
      </c>
      <c r="N82">
        <f t="shared" ca="1" si="20"/>
        <v>2355</v>
      </c>
      <c r="O82">
        <f t="shared" ca="1" si="21"/>
        <v>2355</v>
      </c>
      <c r="P82">
        <f t="shared" ca="1" si="22"/>
        <v>1684</v>
      </c>
      <c r="Q82">
        <v>63</v>
      </c>
      <c r="R82" t="str">
        <f t="shared" si="23"/>
        <v>Old</v>
      </c>
      <c r="S82" t="s">
        <v>24</v>
      </c>
      <c r="T82">
        <v>7</v>
      </c>
      <c r="U82" t="s">
        <v>25</v>
      </c>
      <c r="V82">
        <v>8411.44</v>
      </c>
      <c r="W82" t="s">
        <v>35</v>
      </c>
      <c r="X82" t="s">
        <v>36</v>
      </c>
      <c r="Y82">
        <v>38</v>
      </c>
      <c r="Z82" t="str">
        <f t="shared" si="24"/>
        <v>Good Employee</v>
      </c>
      <c r="AA82" t="b">
        <f t="shared" si="25"/>
        <v>1</v>
      </c>
      <c r="AB82" t="b">
        <f>OR(Y82&gt;20, T82&gt;6)</f>
        <v>1</v>
      </c>
      <c r="AC82" t="str">
        <f>IF(OR(Y82&gt;20,T82&gt;6), "Good employee", "Bad Employee")</f>
        <v>Good employee</v>
      </c>
      <c r="AD82" t="s">
        <v>28</v>
      </c>
      <c r="AE82" t="s">
        <v>29</v>
      </c>
      <c r="AF82">
        <v>6</v>
      </c>
      <c r="AG82">
        <v>2016</v>
      </c>
      <c r="AH82" t="s">
        <v>49</v>
      </c>
      <c r="AI82">
        <v>17</v>
      </c>
      <c r="AJ82">
        <v>2.5</v>
      </c>
    </row>
    <row r="83" spans="1:36" x14ac:dyDescent="0.25">
      <c r="A83">
        <v>10082</v>
      </c>
      <c r="B83" t="s">
        <v>31</v>
      </c>
      <c r="C83" t="s">
        <v>63</v>
      </c>
      <c r="D83" t="s">
        <v>33</v>
      </c>
      <c r="E83" t="str">
        <f t="shared" si="13"/>
        <v>Emily Miller is in Marketing Department</v>
      </c>
      <c r="F83" s="6" t="str">
        <f t="shared" si="14"/>
        <v>emilymiller@gmail.com</v>
      </c>
      <c r="G83">
        <v>118365</v>
      </c>
      <c r="H83" t="str">
        <f t="shared" si="15"/>
        <v>High</v>
      </c>
      <c r="I83" s="3">
        <v>40796</v>
      </c>
      <c r="J83">
        <f t="shared" si="16"/>
        <v>2011</v>
      </c>
      <c r="K83">
        <f t="shared" si="17"/>
        <v>9</v>
      </c>
      <c r="L83">
        <f t="shared" si="18"/>
        <v>10</v>
      </c>
      <c r="M83" s="3">
        <f t="shared" ca="1" si="19"/>
        <v>46100</v>
      </c>
      <c r="N83">
        <f t="shared" ca="1" si="20"/>
        <v>5304</v>
      </c>
      <c r="O83">
        <f t="shared" ca="1" si="21"/>
        <v>5304</v>
      </c>
      <c r="P83">
        <f t="shared" ca="1" si="22"/>
        <v>3789</v>
      </c>
      <c r="Q83">
        <v>47</v>
      </c>
      <c r="R83" t="str">
        <f t="shared" si="23"/>
        <v>Old</v>
      </c>
      <c r="S83" t="s">
        <v>34</v>
      </c>
      <c r="T83">
        <v>7</v>
      </c>
      <c r="U83" t="s">
        <v>25</v>
      </c>
      <c r="V83">
        <v>9254.2900000000009</v>
      </c>
      <c r="W83" t="s">
        <v>35</v>
      </c>
      <c r="X83" t="s">
        <v>40</v>
      </c>
      <c r="Y83">
        <v>16</v>
      </c>
      <c r="Z83" t="str">
        <f t="shared" si="24"/>
        <v>Bad Employee</v>
      </c>
      <c r="AA83" t="b">
        <f t="shared" si="25"/>
        <v>0</v>
      </c>
      <c r="AB83" t="b">
        <f>OR(Y83&gt;20, T83&gt;6)</f>
        <v>1</v>
      </c>
      <c r="AC83" t="str">
        <f>IF(OR(Y83&gt;20,T83&gt;6), "Good employee", "Bad Employee")</f>
        <v>Good employee</v>
      </c>
      <c r="AD83" t="s">
        <v>56</v>
      </c>
      <c r="AE83" t="s">
        <v>59</v>
      </c>
      <c r="AF83">
        <v>2</v>
      </c>
      <c r="AG83">
        <v>2011</v>
      </c>
      <c r="AH83" t="s">
        <v>30</v>
      </c>
      <c r="AI83">
        <v>109</v>
      </c>
      <c r="AJ83">
        <v>4.2</v>
      </c>
    </row>
    <row r="84" spans="1:36" x14ac:dyDescent="0.25">
      <c r="A84">
        <v>10083</v>
      </c>
      <c r="B84" t="s">
        <v>38</v>
      </c>
      <c r="C84" t="s">
        <v>22</v>
      </c>
      <c r="D84" t="s">
        <v>23</v>
      </c>
      <c r="E84" t="str">
        <f t="shared" si="13"/>
        <v>Chris Williams is in HR Department</v>
      </c>
      <c r="F84" s="6" t="str">
        <f t="shared" si="14"/>
        <v>chriswilliams@gmail.com</v>
      </c>
      <c r="G84">
        <v>115757</v>
      </c>
      <c r="H84" t="str">
        <f t="shared" si="15"/>
        <v>High</v>
      </c>
      <c r="I84" s="3">
        <v>40291</v>
      </c>
      <c r="J84">
        <f t="shared" si="16"/>
        <v>2010</v>
      </c>
      <c r="K84">
        <f t="shared" si="17"/>
        <v>4</v>
      </c>
      <c r="L84">
        <f t="shared" si="18"/>
        <v>23</v>
      </c>
      <c r="M84" s="3">
        <f t="shared" ca="1" si="19"/>
        <v>46100</v>
      </c>
      <c r="N84">
        <f t="shared" ca="1" si="20"/>
        <v>5809</v>
      </c>
      <c r="O84">
        <f t="shared" ca="1" si="21"/>
        <v>5809</v>
      </c>
      <c r="P84">
        <f t="shared" ca="1" si="22"/>
        <v>4150</v>
      </c>
      <c r="Q84">
        <v>33</v>
      </c>
      <c r="R84" t="str">
        <f t="shared" si="23"/>
        <v>Old</v>
      </c>
      <c r="S84" t="s">
        <v>34</v>
      </c>
      <c r="T84">
        <v>8</v>
      </c>
      <c r="U84" t="s">
        <v>45</v>
      </c>
      <c r="V84">
        <v>5169.62</v>
      </c>
      <c r="W84" t="s">
        <v>58</v>
      </c>
      <c r="X84" t="s">
        <v>36</v>
      </c>
      <c r="Y84">
        <v>35</v>
      </c>
      <c r="Z84" t="str">
        <f t="shared" si="24"/>
        <v>Good Employee</v>
      </c>
      <c r="AA84" t="b">
        <f t="shared" si="25"/>
        <v>1</v>
      </c>
      <c r="AB84" t="b">
        <f>OR(Y84&gt;20, T84&gt;6)</f>
        <v>1</v>
      </c>
      <c r="AC84" t="str">
        <f>IF(OR(Y84&gt;20,T84&gt;6), "Good employee", "Bad Employee")</f>
        <v>Good employee</v>
      </c>
      <c r="AD84" t="s">
        <v>41</v>
      </c>
      <c r="AE84" t="s">
        <v>42</v>
      </c>
      <c r="AF84">
        <v>14</v>
      </c>
      <c r="AG84">
        <v>2023</v>
      </c>
      <c r="AH84" t="s">
        <v>30</v>
      </c>
      <c r="AI84">
        <v>37</v>
      </c>
      <c r="AJ84">
        <v>1</v>
      </c>
    </row>
    <row r="85" spans="1:36" x14ac:dyDescent="0.25">
      <c r="A85">
        <v>10084</v>
      </c>
      <c r="B85" t="s">
        <v>53</v>
      </c>
      <c r="C85" t="s">
        <v>22</v>
      </c>
      <c r="D85" t="s">
        <v>23</v>
      </c>
      <c r="E85" t="str">
        <f t="shared" si="13"/>
        <v>Sarah Williams is in HR Department</v>
      </c>
      <c r="F85" s="6" t="str">
        <f t="shared" si="14"/>
        <v>sarahwilliams@gmail.com</v>
      </c>
      <c r="G85">
        <v>55102</v>
      </c>
      <c r="H85" t="str">
        <f t="shared" si="15"/>
        <v>Medium</v>
      </c>
      <c r="I85" s="3">
        <v>37902</v>
      </c>
      <c r="J85">
        <f t="shared" si="16"/>
        <v>2003</v>
      </c>
      <c r="K85">
        <f t="shared" si="17"/>
        <v>10</v>
      </c>
      <c r="L85">
        <f t="shared" si="18"/>
        <v>8</v>
      </c>
      <c r="M85" s="3">
        <f t="shared" ca="1" si="19"/>
        <v>46100</v>
      </c>
      <c r="N85">
        <f t="shared" ca="1" si="20"/>
        <v>8198</v>
      </c>
      <c r="O85">
        <f t="shared" ca="1" si="21"/>
        <v>8198</v>
      </c>
      <c r="P85">
        <f t="shared" ca="1" si="22"/>
        <v>5857</v>
      </c>
      <c r="Q85">
        <v>62</v>
      </c>
      <c r="R85" t="str">
        <f t="shared" si="23"/>
        <v>Old</v>
      </c>
      <c r="S85" t="s">
        <v>24</v>
      </c>
      <c r="T85">
        <v>1</v>
      </c>
      <c r="U85" t="s">
        <v>25</v>
      </c>
      <c r="V85">
        <v>7426.47</v>
      </c>
      <c r="W85" t="s">
        <v>35</v>
      </c>
      <c r="X85" t="s">
        <v>36</v>
      </c>
      <c r="Y85">
        <v>1</v>
      </c>
      <c r="Z85" t="str">
        <f t="shared" si="24"/>
        <v>Bad Employee</v>
      </c>
      <c r="AA85" t="b">
        <f t="shared" si="25"/>
        <v>0</v>
      </c>
      <c r="AB85" t="b">
        <f>OR(Y85&gt;20, T85&gt;6)</f>
        <v>0</v>
      </c>
      <c r="AC85" t="str">
        <f>IF(OR(Y85&gt;20,T85&gt;6), "Good employee", "Bad Employee")</f>
        <v>Bad Employee</v>
      </c>
      <c r="AD85" t="s">
        <v>41</v>
      </c>
      <c r="AE85" t="s">
        <v>37</v>
      </c>
      <c r="AF85">
        <v>9</v>
      </c>
      <c r="AG85">
        <v>2018</v>
      </c>
      <c r="AH85" t="s">
        <v>43</v>
      </c>
      <c r="AI85">
        <v>179</v>
      </c>
      <c r="AJ85">
        <v>3.4</v>
      </c>
    </row>
    <row r="86" spans="1:36" x14ac:dyDescent="0.25">
      <c r="A86">
        <v>10085</v>
      </c>
      <c r="B86" t="s">
        <v>21</v>
      </c>
      <c r="C86" t="s">
        <v>22</v>
      </c>
      <c r="D86" t="s">
        <v>23</v>
      </c>
      <c r="E86" t="str">
        <f t="shared" si="13"/>
        <v>Michael Williams is in HR Department</v>
      </c>
      <c r="F86" s="6" t="str">
        <f t="shared" si="14"/>
        <v>michaelwilliams@gmail.com</v>
      </c>
      <c r="G86">
        <v>64433</v>
      </c>
      <c r="H86" t="str">
        <f t="shared" si="15"/>
        <v>Medium</v>
      </c>
      <c r="I86" s="3">
        <v>39988</v>
      </c>
      <c r="J86">
        <f t="shared" si="16"/>
        <v>2009</v>
      </c>
      <c r="K86">
        <f t="shared" si="17"/>
        <v>6</v>
      </c>
      <c r="L86">
        <f t="shared" si="18"/>
        <v>24</v>
      </c>
      <c r="M86" s="3">
        <f t="shared" ca="1" si="19"/>
        <v>46100</v>
      </c>
      <c r="N86">
        <f t="shared" ca="1" si="20"/>
        <v>6112</v>
      </c>
      <c r="O86">
        <f t="shared" ca="1" si="21"/>
        <v>6112</v>
      </c>
      <c r="P86">
        <f t="shared" ca="1" si="22"/>
        <v>4367</v>
      </c>
      <c r="Q86">
        <v>35</v>
      </c>
      <c r="R86" t="str">
        <f t="shared" si="23"/>
        <v>Old</v>
      </c>
      <c r="S86" t="s">
        <v>34</v>
      </c>
      <c r="T86">
        <v>4</v>
      </c>
      <c r="U86" t="s">
        <v>45</v>
      </c>
      <c r="V86">
        <v>4081.69</v>
      </c>
      <c r="W86" t="s">
        <v>26</v>
      </c>
      <c r="X86" t="s">
        <v>47</v>
      </c>
      <c r="Y86">
        <v>25</v>
      </c>
      <c r="Z86" t="str">
        <f t="shared" si="24"/>
        <v>Bad Employee</v>
      </c>
      <c r="AA86" t="b">
        <f t="shared" si="25"/>
        <v>0</v>
      </c>
      <c r="AB86" t="b">
        <f>OR(Y86&gt;20, T86&gt;6)</f>
        <v>1</v>
      </c>
      <c r="AC86" t="str">
        <f>IF(OR(Y86&gt;20,T86&gt;6), "Good employee", "Bad Employee")</f>
        <v>Good employee</v>
      </c>
      <c r="AD86" t="s">
        <v>56</v>
      </c>
      <c r="AE86" t="s">
        <v>62</v>
      </c>
      <c r="AF86">
        <v>15</v>
      </c>
      <c r="AG86">
        <v>2016</v>
      </c>
      <c r="AH86" t="s">
        <v>30</v>
      </c>
      <c r="AI86">
        <v>68</v>
      </c>
      <c r="AJ86">
        <v>3.5</v>
      </c>
    </row>
    <row r="87" spans="1:36" x14ac:dyDescent="0.25">
      <c r="A87">
        <v>10086</v>
      </c>
      <c r="B87" t="s">
        <v>50</v>
      </c>
      <c r="C87" t="s">
        <v>63</v>
      </c>
      <c r="D87" t="s">
        <v>33</v>
      </c>
      <c r="E87" t="str">
        <f t="shared" si="13"/>
        <v>Alex Miller is in Marketing Department</v>
      </c>
      <c r="F87" s="6" t="str">
        <f t="shared" si="14"/>
        <v>alexmiller@gmail.com</v>
      </c>
      <c r="G87">
        <v>45932</v>
      </c>
      <c r="H87" t="str">
        <f t="shared" si="15"/>
        <v>low</v>
      </c>
      <c r="I87" s="3">
        <v>43808</v>
      </c>
      <c r="J87">
        <f t="shared" si="16"/>
        <v>2019</v>
      </c>
      <c r="K87">
        <f t="shared" si="17"/>
        <v>12</v>
      </c>
      <c r="L87">
        <f t="shared" si="18"/>
        <v>9</v>
      </c>
      <c r="M87" s="3">
        <f t="shared" ca="1" si="19"/>
        <v>46100</v>
      </c>
      <c r="N87">
        <f t="shared" ca="1" si="20"/>
        <v>2292</v>
      </c>
      <c r="O87">
        <f t="shared" ca="1" si="21"/>
        <v>2292</v>
      </c>
      <c r="P87">
        <f t="shared" ca="1" si="22"/>
        <v>1639</v>
      </c>
      <c r="Q87">
        <v>22</v>
      </c>
      <c r="R87" t="str">
        <f t="shared" si="23"/>
        <v>Young</v>
      </c>
      <c r="S87" t="s">
        <v>24</v>
      </c>
      <c r="T87">
        <v>5</v>
      </c>
      <c r="U87" t="s">
        <v>45</v>
      </c>
      <c r="V87">
        <v>2009.35</v>
      </c>
      <c r="W87" t="s">
        <v>46</v>
      </c>
      <c r="X87" t="s">
        <v>55</v>
      </c>
      <c r="Y87">
        <v>27</v>
      </c>
      <c r="Z87" t="str">
        <f t="shared" si="24"/>
        <v>Bad Employee</v>
      </c>
      <c r="AA87" t="b">
        <f t="shared" si="25"/>
        <v>0</v>
      </c>
      <c r="AB87" t="b">
        <f>OR(Y87&gt;20, T87&gt;6)</f>
        <v>1</v>
      </c>
      <c r="AC87" t="str">
        <f>IF(OR(Y87&gt;20,T87&gt;6), "Good employee", "Bad Employee")</f>
        <v>Good employee</v>
      </c>
      <c r="AD87" t="s">
        <v>28</v>
      </c>
      <c r="AE87" t="s">
        <v>42</v>
      </c>
      <c r="AF87">
        <v>16</v>
      </c>
      <c r="AG87">
        <v>2021</v>
      </c>
      <c r="AH87" t="s">
        <v>43</v>
      </c>
      <c r="AI87">
        <v>87</v>
      </c>
      <c r="AJ87">
        <v>3.1</v>
      </c>
    </row>
    <row r="88" spans="1:36" x14ac:dyDescent="0.25">
      <c r="A88">
        <v>10087</v>
      </c>
      <c r="B88" t="s">
        <v>64</v>
      </c>
      <c r="C88" t="s">
        <v>51</v>
      </c>
      <c r="D88" t="s">
        <v>54</v>
      </c>
      <c r="E88" t="str">
        <f t="shared" si="13"/>
        <v>Katie Brown is in Finance Department</v>
      </c>
      <c r="F88" s="6" t="str">
        <f t="shared" si="14"/>
        <v>katiebrown@gmail.com</v>
      </c>
      <c r="G88">
        <v>55714</v>
      </c>
      <c r="H88" t="str">
        <f t="shared" si="15"/>
        <v>Medium</v>
      </c>
      <c r="I88" s="3">
        <v>36873</v>
      </c>
      <c r="J88">
        <f t="shared" si="16"/>
        <v>2000</v>
      </c>
      <c r="K88">
        <f t="shared" si="17"/>
        <v>12</v>
      </c>
      <c r="L88">
        <f t="shared" si="18"/>
        <v>13</v>
      </c>
      <c r="M88" s="3">
        <f t="shared" ca="1" si="19"/>
        <v>46100</v>
      </c>
      <c r="N88">
        <f t="shared" ca="1" si="20"/>
        <v>9227</v>
      </c>
      <c r="O88">
        <f t="shared" ca="1" si="21"/>
        <v>9227</v>
      </c>
      <c r="P88">
        <f t="shared" ca="1" si="22"/>
        <v>6592</v>
      </c>
      <c r="Q88">
        <v>38</v>
      </c>
      <c r="R88" t="str">
        <f t="shared" si="23"/>
        <v>Old</v>
      </c>
      <c r="S88" t="s">
        <v>24</v>
      </c>
      <c r="T88">
        <v>5</v>
      </c>
      <c r="U88" t="s">
        <v>45</v>
      </c>
      <c r="V88">
        <v>6071.79</v>
      </c>
      <c r="W88" t="s">
        <v>26</v>
      </c>
      <c r="X88" t="s">
        <v>36</v>
      </c>
      <c r="Y88">
        <v>32</v>
      </c>
      <c r="Z88" t="str">
        <f t="shared" si="24"/>
        <v>Bad Employee</v>
      </c>
      <c r="AA88" t="b">
        <f t="shared" si="25"/>
        <v>0</v>
      </c>
      <c r="AB88" t="b">
        <f>OR(Y88&gt;20, T88&gt;6)</f>
        <v>1</v>
      </c>
      <c r="AC88" t="str">
        <f>IF(OR(Y88&gt;20,T88&gt;6), "Good employee", "Bad Employee")</f>
        <v>Good employee</v>
      </c>
      <c r="AD88" t="s">
        <v>41</v>
      </c>
      <c r="AE88" t="s">
        <v>29</v>
      </c>
      <c r="AF88">
        <v>18</v>
      </c>
      <c r="AG88">
        <v>2012</v>
      </c>
      <c r="AH88" t="s">
        <v>43</v>
      </c>
      <c r="AI88">
        <v>109</v>
      </c>
      <c r="AJ88">
        <v>3.5</v>
      </c>
    </row>
    <row r="89" spans="1:36" x14ac:dyDescent="0.25">
      <c r="A89">
        <v>10088</v>
      </c>
      <c r="B89" t="s">
        <v>66</v>
      </c>
      <c r="C89" t="s">
        <v>57</v>
      </c>
      <c r="D89" t="s">
        <v>52</v>
      </c>
      <c r="E89" t="str">
        <f t="shared" si="13"/>
        <v>John Davis is in Operations Department</v>
      </c>
      <c r="F89" s="6" t="str">
        <f t="shared" si="14"/>
        <v>johndavis@gmail.com</v>
      </c>
      <c r="G89">
        <v>87803</v>
      </c>
      <c r="H89" t="str">
        <f t="shared" si="15"/>
        <v>High</v>
      </c>
      <c r="I89" s="3">
        <v>36526</v>
      </c>
      <c r="J89">
        <f t="shared" si="16"/>
        <v>2000</v>
      </c>
      <c r="K89">
        <f t="shared" si="17"/>
        <v>1</v>
      </c>
      <c r="L89">
        <f t="shared" si="18"/>
        <v>1</v>
      </c>
      <c r="M89" s="3">
        <f t="shared" ca="1" si="19"/>
        <v>46100</v>
      </c>
      <c r="N89">
        <f t="shared" ca="1" si="20"/>
        <v>9574</v>
      </c>
      <c r="O89">
        <f t="shared" ca="1" si="21"/>
        <v>9574</v>
      </c>
      <c r="P89">
        <f t="shared" ca="1" si="22"/>
        <v>6839</v>
      </c>
      <c r="Q89">
        <v>54</v>
      </c>
      <c r="R89" t="str">
        <f t="shared" si="23"/>
        <v>Old</v>
      </c>
      <c r="S89" t="s">
        <v>34</v>
      </c>
      <c r="T89">
        <v>1</v>
      </c>
      <c r="U89" t="s">
        <v>45</v>
      </c>
      <c r="V89">
        <v>2366.48</v>
      </c>
      <c r="W89" t="s">
        <v>26</v>
      </c>
      <c r="X89" t="s">
        <v>36</v>
      </c>
      <c r="Y89">
        <v>6</v>
      </c>
      <c r="Z89" t="str">
        <f t="shared" si="24"/>
        <v>Bad Employee</v>
      </c>
      <c r="AA89" t="b">
        <f t="shared" si="25"/>
        <v>0</v>
      </c>
      <c r="AB89" t="b">
        <f>OR(Y89&gt;20, T89&gt;6)</f>
        <v>0</v>
      </c>
      <c r="AC89" t="str">
        <f>IF(OR(Y89&gt;20,T89&gt;6), "Good employee", "Bad Employee")</f>
        <v>Bad Employee</v>
      </c>
      <c r="AD89" t="s">
        <v>41</v>
      </c>
      <c r="AE89" t="s">
        <v>48</v>
      </c>
      <c r="AF89">
        <v>0</v>
      </c>
      <c r="AG89">
        <v>2015</v>
      </c>
      <c r="AH89" t="s">
        <v>30</v>
      </c>
      <c r="AI89">
        <v>149</v>
      </c>
      <c r="AJ89">
        <v>1.7</v>
      </c>
    </row>
    <row r="90" spans="1:36" x14ac:dyDescent="0.25">
      <c r="A90">
        <v>10089</v>
      </c>
      <c r="B90" t="s">
        <v>31</v>
      </c>
      <c r="C90" t="s">
        <v>57</v>
      </c>
      <c r="D90" t="s">
        <v>33</v>
      </c>
      <c r="E90" t="str">
        <f t="shared" si="13"/>
        <v>Emily Davis is in Marketing Department</v>
      </c>
      <c r="F90" s="6" t="str">
        <f t="shared" si="14"/>
        <v>emilydavis@gmail.com</v>
      </c>
      <c r="G90">
        <v>69743</v>
      </c>
      <c r="H90" t="str">
        <f t="shared" si="15"/>
        <v>Medium</v>
      </c>
      <c r="I90" s="3">
        <v>36588</v>
      </c>
      <c r="J90">
        <f t="shared" si="16"/>
        <v>2000</v>
      </c>
      <c r="K90">
        <f t="shared" si="17"/>
        <v>3</v>
      </c>
      <c r="L90">
        <f t="shared" si="18"/>
        <v>3</v>
      </c>
      <c r="M90" s="3">
        <f t="shared" ca="1" si="19"/>
        <v>46100</v>
      </c>
      <c r="N90">
        <f t="shared" ca="1" si="20"/>
        <v>9512</v>
      </c>
      <c r="O90">
        <f t="shared" ca="1" si="21"/>
        <v>9512</v>
      </c>
      <c r="P90">
        <f t="shared" ca="1" si="22"/>
        <v>6795</v>
      </c>
      <c r="Q90">
        <v>50</v>
      </c>
      <c r="R90" t="str">
        <f t="shared" si="23"/>
        <v>Old</v>
      </c>
      <c r="S90" t="s">
        <v>24</v>
      </c>
      <c r="T90">
        <v>3</v>
      </c>
      <c r="U90" t="s">
        <v>25</v>
      </c>
      <c r="V90">
        <v>4847.1899999999996</v>
      </c>
      <c r="W90" t="s">
        <v>26</v>
      </c>
      <c r="X90" t="s">
        <v>27</v>
      </c>
      <c r="Y90">
        <v>36</v>
      </c>
      <c r="Z90" t="str">
        <f t="shared" si="24"/>
        <v>Bad Employee</v>
      </c>
      <c r="AA90" t="b">
        <f t="shared" si="25"/>
        <v>0</v>
      </c>
      <c r="AB90" t="b">
        <f>OR(Y90&gt;20, T90&gt;6)</f>
        <v>1</v>
      </c>
      <c r="AC90" t="str">
        <f>IF(OR(Y90&gt;20,T90&gt;6), "Good employee", "Bad Employee")</f>
        <v>Good employee</v>
      </c>
      <c r="AD90" t="s">
        <v>28</v>
      </c>
      <c r="AE90" t="s">
        <v>59</v>
      </c>
      <c r="AF90">
        <v>0</v>
      </c>
      <c r="AG90">
        <v>2014</v>
      </c>
      <c r="AH90" t="s">
        <v>30</v>
      </c>
      <c r="AI90">
        <v>38</v>
      </c>
      <c r="AJ90">
        <v>3.7</v>
      </c>
    </row>
    <row r="91" spans="1:36" x14ac:dyDescent="0.25">
      <c r="A91">
        <v>10090</v>
      </c>
      <c r="B91" t="s">
        <v>60</v>
      </c>
      <c r="C91" t="s">
        <v>65</v>
      </c>
      <c r="D91" t="s">
        <v>54</v>
      </c>
      <c r="E91" t="str">
        <f t="shared" si="13"/>
        <v>Jane Johnson is in Finance Department</v>
      </c>
      <c r="F91" s="6" t="str">
        <f t="shared" si="14"/>
        <v>janejohnson@gmail.com</v>
      </c>
      <c r="G91">
        <v>32552</v>
      </c>
      <c r="H91" t="str">
        <f t="shared" si="15"/>
        <v>extremely low</v>
      </c>
      <c r="I91" s="3">
        <v>38309</v>
      </c>
      <c r="J91">
        <f t="shared" si="16"/>
        <v>2004</v>
      </c>
      <c r="K91">
        <f t="shared" si="17"/>
        <v>11</v>
      </c>
      <c r="L91">
        <f t="shared" si="18"/>
        <v>18</v>
      </c>
      <c r="M91" s="3">
        <f t="shared" ca="1" si="19"/>
        <v>46100</v>
      </c>
      <c r="N91">
        <f t="shared" ca="1" si="20"/>
        <v>7791</v>
      </c>
      <c r="O91">
        <f t="shared" ca="1" si="21"/>
        <v>7791</v>
      </c>
      <c r="P91">
        <f t="shared" ca="1" si="22"/>
        <v>5566</v>
      </c>
      <c r="Q91">
        <v>52</v>
      </c>
      <c r="R91" t="str">
        <f t="shared" si="23"/>
        <v>Old</v>
      </c>
      <c r="S91" t="s">
        <v>34</v>
      </c>
      <c r="T91">
        <v>2</v>
      </c>
      <c r="U91" t="s">
        <v>25</v>
      </c>
      <c r="V91">
        <v>8792.35</v>
      </c>
      <c r="W91" t="s">
        <v>35</v>
      </c>
      <c r="X91" t="s">
        <v>47</v>
      </c>
      <c r="Y91">
        <v>39</v>
      </c>
      <c r="Z91" t="str">
        <f t="shared" si="24"/>
        <v>Bad Employee</v>
      </c>
      <c r="AA91" t="b">
        <f t="shared" si="25"/>
        <v>0</v>
      </c>
      <c r="AB91" t="b">
        <f>OR(Y91&gt;20, T91&gt;6)</f>
        <v>1</v>
      </c>
      <c r="AC91" t="str">
        <f>IF(OR(Y91&gt;20,T91&gt;6), "Good employee", "Bad Employee")</f>
        <v>Good employee</v>
      </c>
      <c r="AD91" t="s">
        <v>56</v>
      </c>
      <c r="AE91" t="s">
        <v>59</v>
      </c>
      <c r="AF91">
        <v>13</v>
      </c>
      <c r="AG91">
        <v>2021</v>
      </c>
      <c r="AH91" t="s">
        <v>30</v>
      </c>
      <c r="AI91">
        <v>72</v>
      </c>
      <c r="AJ91">
        <v>2.2999999999999998</v>
      </c>
    </row>
    <row r="92" spans="1:36" x14ac:dyDescent="0.25">
      <c r="A92">
        <v>10091</v>
      </c>
      <c r="B92" t="s">
        <v>53</v>
      </c>
      <c r="C92" t="s">
        <v>57</v>
      </c>
      <c r="D92" t="s">
        <v>54</v>
      </c>
      <c r="E92" t="str">
        <f t="shared" si="13"/>
        <v>Sarah Davis is in Finance Department</v>
      </c>
      <c r="F92" s="6" t="str">
        <f t="shared" si="14"/>
        <v>sarahdavis@gmail.com</v>
      </c>
      <c r="G92">
        <v>86627</v>
      </c>
      <c r="H92" t="str">
        <f t="shared" si="15"/>
        <v>High</v>
      </c>
      <c r="I92" s="3">
        <v>40340</v>
      </c>
      <c r="J92">
        <f t="shared" si="16"/>
        <v>2010</v>
      </c>
      <c r="K92">
        <f t="shared" si="17"/>
        <v>6</v>
      </c>
      <c r="L92">
        <f t="shared" si="18"/>
        <v>11</v>
      </c>
      <c r="M92" s="3">
        <f t="shared" ca="1" si="19"/>
        <v>46100</v>
      </c>
      <c r="N92">
        <f t="shared" ca="1" si="20"/>
        <v>5760</v>
      </c>
      <c r="O92">
        <f t="shared" ca="1" si="21"/>
        <v>5760</v>
      </c>
      <c r="P92">
        <f t="shared" ca="1" si="22"/>
        <v>4115</v>
      </c>
      <c r="Q92">
        <v>29</v>
      </c>
      <c r="R92" t="str">
        <f t="shared" si="23"/>
        <v>Young</v>
      </c>
      <c r="S92" t="s">
        <v>34</v>
      </c>
      <c r="T92">
        <v>7</v>
      </c>
      <c r="U92" t="s">
        <v>45</v>
      </c>
      <c r="V92">
        <v>1317.17</v>
      </c>
      <c r="W92" t="s">
        <v>46</v>
      </c>
      <c r="X92" t="s">
        <v>27</v>
      </c>
      <c r="Y92">
        <v>23</v>
      </c>
      <c r="Z92" t="str">
        <f t="shared" si="24"/>
        <v>Good Employee</v>
      </c>
      <c r="AA92" t="b">
        <f t="shared" si="25"/>
        <v>1</v>
      </c>
      <c r="AB92" t="b">
        <f>OR(Y92&gt;20, T92&gt;6)</f>
        <v>1</v>
      </c>
      <c r="AC92" t="str">
        <f>IF(OR(Y92&gt;20,T92&gt;6), "Good employee", "Bad Employee")</f>
        <v>Good employee</v>
      </c>
      <c r="AD92" t="s">
        <v>41</v>
      </c>
      <c r="AE92" t="s">
        <v>29</v>
      </c>
      <c r="AF92">
        <v>1</v>
      </c>
      <c r="AG92">
        <v>2018</v>
      </c>
      <c r="AH92" t="s">
        <v>30</v>
      </c>
      <c r="AI92">
        <v>43</v>
      </c>
      <c r="AJ92">
        <v>2.8</v>
      </c>
    </row>
    <row r="93" spans="1:36" x14ac:dyDescent="0.25">
      <c r="A93">
        <v>10092</v>
      </c>
      <c r="B93" t="s">
        <v>31</v>
      </c>
      <c r="C93" t="s">
        <v>57</v>
      </c>
      <c r="D93" t="s">
        <v>44</v>
      </c>
      <c r="E93" t="str">
        <f t="shared" si="13"/>
        <v>Emily Davis is in Sales Department</v>
      </c>
      <c r="F93" s="6" t="str">
        <f t="shared" si="14"/>
        <v>emilydavis@gmail.com</v>
      </c>
      <c r="G93">
        <v>75987</v>
      </c>
      <c r="H93" t="str">
        <f t="shared" si="15"/>
        <v>Medium</v>
      </c>
      <c r="I93" s="3">
        <v>36751</v>
      </c>
      <c r="J93">
        <f t="shared" si="16"/>
        <v>2000</v>
      </c>
      <c r="K93">
        <f t="shared" si="17"/>
        <v>8</v>
      </c>
      <c r="L93">
        <f t="shared" si="18"/>
        <v>13</v>
      </c>
      <c r="M93" s="3">
        <f t="shared" ca="1" si="19"/>
        <v>46100</v>
      </c>
      <c r="N93">
        <f t="shared" ca="1" si="20"/>
        <v>9349</v>
      </c>
      <c r="O93">
        <f t="shared" ca="1" si="21"/>
        <v>9349</v>
      </c>
      <c r="P93">
        <f t="shared" ca="1" si="22"/>
        <v>6679</v>
      </c>
      <c r="Q93">
        <v>51</v>
      </c>
      <c r="R93" t="str">
        <f t="shared" si="23"/>
        <v>Old</v>
      </c>
      <c r="S93" t="s">
        <v>24</v>
      </c>
      <c r="T93">
        <v>5</v>
      </c>
      <c r="U93" t="s">
        <v>45</v>
      </c>
      <c r="V93">
        <v>789.07</v>
      </c>
      <c r="W93" t="s">
        <v>26</v>
      </c>
      <c r="X93" t="s">
        <v>36</v>
      </c>
      <c r="Y93">
        <v>29</v>
      </c>
      <c r="Z93" t="str">
        <f t="shared" si="24"/>
        <v>Bad Employee</v>
      </c>
      <c r="AA93" t="b">
        <f t="shared" si="25"/>
        <v>0</v>
      </c>
      <c r="AB93" t="b">
        <f>OR(Y93&gt;20, T93&gt;6)</f>
        <v>1</v>
      </c>
      <c r="AC93" t="str">
        <f>IF(OR(Y93&gt;20,T93&gt;6), "Good employee", "Bad Employee")</f>
        <v>Good employee</v>
      </c>
      <c r="AD93" t="s">
        <v>41</v>
      </c>
      <c r="AE93" t="s">
        <v>62</v>
      </c>
      <c r="AF93">
        <v>1</v>
      </c>
      <c r="AG93">
        <v>2022</v>
      </c>
      <c r="AH93" t="s">
        <v>49</v>
      </c>
      <c r="AI93">
        <v>133</v>
      </c>
      <c r="AJ93">
        <v>2.2999999999999998</v>
      </c>
    </row>
    <row r="94" spans="1:36" x14ac:dyDescent="0.25">
      <c r="A94">
        <v>10093</v>
      </c>
      <c r="B94" t="s">
        <v>60</v>
      </c>
      <c r="C94" t="s">
        <v>22</v>
      </c>
      <c r="D94" t="s">
        <v>33</v>
      </c>
      <c r="E94" t="str">
        <f t="shared" si="13"/>
        <v>Jane Williams is in Marketing Department</v>
      </c>
      <c r="F94" s="6" t="str">
        <f t="shared" si="14"/>
        <v>janewilliams@gmail.com</v>
      </c>
      <c r="G94">
        <v>109810</v>
      </c>
      <c r="H94" t="str">
        <f t="shared" si="15"/>
        <v>High</v>
      </c>
      <c r="I94" s="3">
        <v>43092</v>
      </c>
      <c r="J94">
        <f t="shared" si="16"/>
        <v>2017</v>
      </c>
      <c r="K94">
        <f t="shared" si="17"/>
        <v>12</v>
      </c>
      <c r="L94">
        <f t="shared" si="18"/>
        <v>23</v>
      </c>
      <c r="M94" s="3">
        <f t="shared" ca="1" si="19"/>
        <v>46100</v>
      </c>
      <c r="N94">
        <f t="shared" ca="1" si="20"/>
        <v>3008</v>
      </c>
      <c r="O94">
        <f t="shared" ca="1" si="21"/>
        <v>3008</v>
      </c>
      <c r="P94">
        <f t="shared" ca="1" si="22"/>
        <v>2149</v>
      </c>
      <c r="Q94">
        <v>34</v>
      </c>
      <c r="R94" t="str">
        <f t="shared" si="23"/>
        <v>Old</v>
      </c>
      <c r="S94" t="s">
        <v>24</v>
      </c>
      <c r="T94">
        <v>3</v>
      </c>
      <c r="U94" t="s">
        <v>45</v>
      </c>
      <c r="V94">
        <v>6261.54</v>
      </c>
      <c r="W94" t="s">
        <v>35</v>
      </c>
      <c r="X94" t="s">
        <v>36</v>
      </c>
      <c r="Y94">
        <v>30</v>
      </c>
      <c r="Z94" t="str">
        <f t="shared" si="24"/>
        <v>Bad Employee</v>
      </c>
      <c r="AA94" t="b">
        <f t="shared" si="25"/>
        <v>0</v>
      </c>
      <c r="AB94" t="b">
        <f>OR(Y94&gt;20, T94&gt;6)</f>
        <v>1</v>
      </c>
      <c r="AC94" t="str">
        <f>IF(OR(Y94&gt;20,T94&gt;6), "Good employee", "Bad Employee")</f>
        <v>Good employee</v>
      </c>
      <c r="AD94" t="s">
        <v>28</v>
      </c>
      <c r="AE94" t="s">
        <v>42</v>
      </c>
      <c r="AF94">
        <v>19</v>
      </c>
      <c r="AG94">
        <v>2012</v>
      </c>
      <c r="AH94" t="s">
        <v>43</v>
      </c>
      <c r="AI94">
        <v>137</v>
      </c>
      <c r="AJ94">
        <v>2.9</v>
      </c>
    </row>
    <row r="95" spans="1:36" x14ac:dyDescent="0.25">
      <c r="A95">
        <v>10094</v>
      </c>
      <c r="B95" t="s">
        <v>64</v>
      </c>
      <c r="C95" t="s">
        <v>22</v>
      </c>
      <c r="D95" t="s">
        <v>33</v>
      </c>
      <c r="E95" t="str">
        <f t="shared" si="13"/>
        <v>Katie Williams is in Marketing Department</v>
      </c>
      <c r="F95" s="6" t="str">
        <f t="shared" si="14"/>
        <v>katiewilliams@gmail.com</v>
      </c>
      <c r="G95">
        <v>75380</v>
      </c>
      <c r="H95" t="str">
        <f t="shared" si="15"/>
        <v>Medium</v>
      </c>
      <c r="I95" s="3">
        <v>37568</v>
      </c>
      <c r="J95">
        <f t="shared" si="16"/>
        <v>2002</v>
      </c>
      <c r="K95">
        <f t="shared" si="17"/>
        <v>11</v>
      </c>
      <c r="L95">
        <f t="shared" si="18"/>
        <v>8</v>
      </c>
      <c r="M95" s="3">
        <f t="shared" ca="1" si="19"/>
        <v>46100</v>
      </c>
      <c r="N95">
        <f t="shared" ca="1" si="20"/>
        <v>8532</v>
      </c>
      <c r="O95">
        <f t="shared" ca="1" si="21"/>
        <v>8532</v>
      </c>
      <c r="P95">
        <f t="shared" ca="1" si="22"/>
        <v>6095</v>
      </c>
      <c r="Q95">
        <v>37</v>
      </c>
      <c r="R95" t="str">
        <f t="shared" si="23"/>
        <v>Old</v>
      </c>
      <c r="S95" t="s">
        <v>34</v>
      </c>
      <c r="T95">
        <v>8</v>
      </c>
      <c r="U95" t="s">
        <v>45</v>
      </c>
      <c r="V95">
        <v>3645.08</v>
      </c>
      <c r="W95" t="s">
        <v>58</v>
      </c>
      <c r="X95" t="s">
        <v>40</v>
      </c>
      <c r="Y95">
        <v>22</v>
      </c>
      <c r="Z95" t="str">
        <f t="shared" si="24"/>
        <v>Good Employee</v>
      </c>
      <c r="AA95" t="b">
        <f t="shared" si="25"/>
        <v>1</v>
      </c>
      <c r="AB95" t="b">
        <f>OR(Y95&gt;20, T95&gt;6)</f>
        <v>1</v>
      </c>
      <c r="AC95" t="str">
        <f>IF(OR(Y95&gt;20,T95&gt;6), "Good employee", "Bad Employee")</f>
        <v>Good employee</v>
      </c>
      <c r="AD95" t="s">
        <v>56</v>
      </c>
      <c r="AE95" t="s">
        <v>29</v>
      </c>
      <c r="AF95">
        <v>9</v>
      </c>
      <c r="AG95">
        <v>2011</v>
      </c>
      <c r="AH95" t="s">
        <v>30</v>
      </c>
      <c r="AI95">
        <v>44</v>
      </c>
      <c r="AJ95">
        <v>3.5</v>
      </c>
    </row>
    <row r="96" spans="1:36" x14ac:dyDescent="0.25">
      <c r="A96">
        <v>10095</v>
      </c>
      <c r="B96" t="s">
        <v>64</v>
      </c>
      <c r="C96" t="s">
        <v>63</v>
      </c>
      <c r="D96" t="s">
        <v>54</v>
      </c>
      <c r="E96" t="str">
        <f t="shared" si="13"/>
        <v>Katie Miller is in Finance Department</v>
      </c>
      <c r="F96" s="6" t="str">
        <f t="shared" si="14"/>
        <v>katiemiller@gmail.com</v>
      </c>
      <c r="G96">
        <v>59250</v>
      </c>
      <c r="H96" t="str">
        <f t="shared" si="15"/>
        <v>Medium</v>
      </c>
      <c r="I96" s="3">
        <v>42700</v>
      </c>
      <c r="J96">
        <f t="shared" si="16"/>
        <v>2016</v>
      </c>
      <c r="K96">
        <f t="shared" si="17"/>
        <v>11</v>
      </c>
      <c r="L96">
        <f t="shared" si="18"/>
        <v>26</v>
      </c>
      <c r="M96" s="3">
        <f t="shared" ca="1" si="19"/>
        <v>46100</v>
      </c>
      <c r="N96">
        <f t="shared" ca="1" si="20"/>
        <v>3400</v>
      </c>
      <c r="O96">
        <f t="shared" ca="1" si="21"/>
        <v>3400</v>
      </c>
      <c r="P96">
        <f t="shared" ca="1" si="22"/>
        <v>2429</v>
      </c>
      <c r="Q96">
        <v>23</v>
      </c>
      <c r="R96" t="str">
        <f t="shared" si="23"/>
        <v>Young</v>
      </c>
      <c r="S96" t="s">
        <v>24</v>
      </c>
      <c r="T96">
        <v>1</v>
      </c>
      <c r="U96" t="s">
        <v>25</v>
      </c>
      <c r="V96">
        <v>4470.41</v>
      </c>
      <c r="W96" t="s">
        <v>46</v>
      </c>
      <c r="X96" t="s">
        <v>27</v>
      </c>
      <c r="Y96">
        <v>11</v>
      </c>
      <c r="Z96" t="str">
        <f t="shared" si="24"/>
        <v>Bad Employee</v>
      </c>
      <c r="AA96" t="b">
        <f t="shared" si="25"/>
        <v>0</v>
      </c>
      <c r="AB96" t="b">
        <f>OR(Y96&gt;20, T96&gt;6)</f>
        <v>0</v>
      </c>
      <c r="AC96" t="str">
        <f>IF(OR(Y96&gt;20,T96&gt;6), "Good employee", "Bad Employee")</f>
        <v>Bad Employee</v>
      </c>
      <c r="AD96" t="s">
        <v>28</v>
      </c>
      <c r="AE96" t="s">
        <v>42</v>
      </c>
      <c r="AF96">
        <v>14</v>
      </c>
      <c r="AG96">
        <v>2011</v>
      </c>
      <c r="AH96" t="s">
        <v>49</v>
      </c>
      <c r="AI96">
        <v>67</v>
      </c>
      <c r="AJ96">
        <v>4.4000000000000004</v>
      </c>
    </row>
    <row r="97" spans="1:36" x14ac:dyDescent="0.25">
      <c r="A97">
        <v>10096</v>
      </c>
      <c r="B97" t="s">
        <v>64</v>
      </c>
      <c r="C97" t="s">
        <v>65</v>
      </c>
      <c r="D97" t="s">
        <v>54</v>
      </c>
      <c r="E97" t="str">
        <f t="shared" si="13"/>
        <v>Katie Johnson is in Finance Department</v>
      </c>
      <c r="F97" s="6" t="str">
        <f t="shared" si="14"/>
        <v>katiejohnson@gmail.com</v>
      </c>
      <c r="G97">
        <v>98344</v>
      </c>
      <c r="H97" t="str">
        <f t="shared" si="15"/>
        <v>High</v>
      </c>
      <c r="I97" s="3">
        <v>37370</v>
      </c>
      <c r="J97">
        <f t="shared" si="16"/>
        <v>2002</v>
      </c>
      <c r="K97">
        <f t="shared" si="17"/>
        <v>4</v>
      </c>
      <c r="L97">
        <f t="shared" si="18"/>
        <v>24</v>
      </c>
      <c r="M97" s="3">
        <f t="shared" ca="1" si="19"/>
        <v>46100</v>
      </c>
      <c r="N97">
        <f t="shared" ca="1" si="20"/>
        <v>8730</v>
      </c>
      <c r="O97">
        <f t="shared" ca="1" si="21"/>
        <v>8730</v>
      </c>
      <c r="P97">
        <f t="shared" ca="1" si="22"/>
        <v>6237</v>
      </c>
      <c r="Q97">
        <v>39</v>
      </c>
      <c r="R97" t="str">
        <f t="shared" si="23"/>
        <v>Old</v>
      </c>
      <c r="S97" t="s">
        <v>34</v>
      </c>
      <c r="T97">
        <v>1</v>
      </c>
      <c r="U97" t="s">
        <v>45</v>
      </c>
      <c r="V97">
        <v>4354.25</v>
      </c>
      <c r="W97" t="s">
        <v>46</v>
      </c>
      <c r="X97" t="s">
        <v>47</v>
      </c>
      <c r="Y97">
        <v>26</v>
      </c>
      <c r="Z97" t="str">
        <f t="shared" si="24"/>
        <v>Bad Employee</v>
      </c>
      <c r="AA97" t="b">
        <f t="shared" si="25"/>
        <v>0</v>
      </c>
      <c r="AB97" t="b">
        <f>OR(Y97&gt;20, T97&gt;6)</f>
        <v>1</v>
      </c>
      <c r="AC97" t="str">
        <f>IF(OR(Y97&gt;20,T97&gt;6), "Good employee", "Bad Employee")</f>
        <v>Good employee</v>
      </c>
      <c r="AD97" t="s">
        <v>28</v>
      </c>
      <c r="AE97" t="s">
        <v>62</v>
      </c>
      <c r="AF97">
        <v>14</v>
      </c>
      <c r="AG97">
        <v>2013</v>
      </c>
      <c r="AH97" t="s">
        <v>30</v>
      </c>
      <c r="AI97">
        <v>133</v>
      </c>
      <c r="AJ97">
        <v>2.9</v>
      </c>
    </row>
    <row r="98" spans="1:36" x14ac:dyDescent="0.25">
      <c r="A98">
        <v>10097</v>
      </c>
      <c r="B98" t="s">
        <v>60</v>
      </c>
      <c r="C98" t="s">
        <v>61</v>
      </c>
      <c r="D98" t="s">
        <v>54</v>
      </c>
      <c r="E98" t="str">
        <f t="shared" si="13"/>
        <v>Jane Smith is in Finance Department</v>
      </c>
      <c r="F98" s="6" t="str">
        <f t="shared" si="14"/>
        <v>janesmith@gmail.com</v>
      </c>
      <c r="G98">
        <v>94686</v>
      </c>
      <c r="H98" t="str">
        <f t="shared" si="15"/>
        <v>High</v>
      </c>
      <c r="I98" s="3">
        <v>39206</v>
      </c>
      <c r="J98">
        <f t="shared" si="16"/>
        <v>2007</v>
      </c>
      <c r="K98">
        <f t="shared" si="17"/>
        <v>5</v>
      </c>
      <c r="L98">
        <f t="shared" si="18"/>
        <v>4</v>
      </c>
      <c r="M98" s="3">
        <f t="shared" ca="1" si="19"/>
        <v>46100</v>
      </c>
      <c r="N98">
        <f t="shared" ca="1" si="20"/>
        <v>6894</v>
      </c>
      <c r="O98">
        <f t="shared" ca="1" si="21"/>
        <v>6894</v>
      </c>
      <c r="P98">
        <f t="shared" ca="1" si="22"/>
        <v>4925</v>
      </c>
      <c r="Q98">
        <v>56</v>
      </c>
      <c r="R98" t="str">
        <f t="shared" si="23"/>
        <v>Old</v>
      </c>
      <c r="S98" t="s">
        <v>34</v>
      </c>
      <c r="T98">
        <v>6</v>
      </c>
      <c r="U98" t="s">
        <v>45</v>
      </c>
      <c r="V98">
        <v>1322.89</v>
      </c>
      <c r="W98" t="s">
        <v>35</v>
      </c>
      <c r="X98" t="s">
        <v>36</v>
      </c>
      <c r="Y98">
        <v>23</v>
      </c>
      <c r="Z98" t="str">
        <f t="shared" si="24"/>
        <v>Bad Employee</v>
      </c>
      <c r="AA98" t="b">
        <f t="shared" si="25"/>
        <v>0</v>
      </c>
      <c r="AB98" t="b">
        <f>OR(Y98&gt;20, T98&gt;6)</f>
        <v>1</v>
      </c>
      <c r="AC98" t="str">
        <f>IF(OR(Y98&gt;20,T98&gt;6), "Good employee", "Bad Employee")</f>
        <v>Good employee</v>
      </c>
      <c r="AD98" t="s">
        <v>56</v>
      </c>
      <c r="AE98" t="s">
        <v>48</v>
      </c>
      <c r="AF98">
        <v>6</v>
      </c>
      <c r="AG98">
        <v>2022</v>
      </c>
      <c r="AH98" t="s">
        <v>49</v>
      </c>
      <c r="AI98">
        <v>167</v>
      </c>
      <c r="AJ98">
        <v>2.2999999999999998</v>
      </c>
    </row>
    <row r="99" spans="1:36" x14ac:dyDescent="0.25">
      <c r="A99">
        <v>10098</v>
      </c>
      <c r="B99" t="s">
        <v>31</v>
      </c>
      <c r="C99" t="s">
        <v>32</v>
      </c>
      <c r="D99" t="s">
        <v>44</v>
      </c>
      <c r="E99" t="str">
        <f t="shared" si="13"/>
        <v>Emily Wilson is in Sales Department</v>
      </c>
      <c r="F99" s="6" t="str">
        <f t="shared" si="14"/>
        <v>emilywilson@gmail.com</v>
      </c>
      <c r="G99">
        <v>75028</v>
      </c>
      <c r="H99" t="str">
        <f t="shared" si="15"/>
        <v>Medium</v>
      </c>
      <c r="I99" s="3">
        <v>40645</v>
      </c>
      <c r="J99">
        <f t="shared" si="16"/>
        <v>2011</v>
      </c>
      <c r="K99">
        <f t="shared" si="17"/>
        <v>4</v>
      </c>
      <c r="L99">
        <f t="shared" si="18"/>
        <v>12</v>
      </c>
      <c r="M99" s="3">
        <f t="shared" ca="1" si="19"/>
        <v>46100</v>
      </c>
      <c r="N99">
        <f t="shared" ca="1" si="20"/>
        <v>5455</v>
      </c>
      <c r="O99">
        <f t="shared" ca="1" si="21"/>
        <v>5455</v>
      </c>
      <c r="P99">
        <f t="shared" ca="1" si="22"/>
        <v>3898</v>
      </c>
      <c r="Q99">
        <v>40</v>
      </c>
      <c r="R99" t="str">
        <f t="shared" si="23"/>
        <v>Old</v>
      </c>
      <c r="S99" t="s">
        <v>34</v>
      </c>
      <c r="T99">
        <v>1</v>
      </c>
      <c r="U99" t="s">
        <v>25</v>
      </c>
      <c r="V99">
        <v>533.88</v>
      </c>
      <c r="W99" t="s">
        <v>58</v>
      </c>
      <c r="X99" t="s">
        <v>40</v>
      </c>
      <c r="Y99">
        <v>3</v>
      </c>
      <c r="Z99" t="str">
        <f t="shared" si="24"/>
        <v>Bad Employee</v>
      </c>
      <c r="AA99" t="b">
        <f t="shared" si="25"/>
        <v>0</v>
      </c>
      <c r="AB99" t="b">
        <f>OR(Y99&gt;20, T99&gt;6)</f>
        <v>0</v>
      </c>
      <c r="AC99" t="str">
        <f>IF(OR(Y99&gt;20,T99&gt;6), "Good employee", "Bad Employee")</f>
        <v>Bad Employee</v>
      </c>
      <c r="AD99" t="s">
        <v>41</v>
      </c>
      <c r="AE99" t="s">
        <v>42</v>
      </c>
      <c r="AF99">
        <v>7</v>
      </c>
      <c r="AG99">
        <v>2010</v>
      </c>
      <c r="AH99" t="s">
        <v>43</v>
      </c>
      <c r="AI99">
        <v>149</v>
      </c>
      <c r="AJ99">
        <v>3</v>
      </c>
    </row>
    <row r="100" spans="1:36" x14ac:dyDescent="0.25">
      <c r="A100">
        <v>10099</v>
      </c>
      <c r="B100" t="s">
        <v>64</v>
      </c>
      <c r="C100" t="s">
        <v>65</v>
      </c>
      <c r="D100" t="s">
        <v>33</v>
      </c>
      <c r="E100" t="str">
        <f t="shared" si="13"/>
        <v>Katie Johnson is in Marketing Department</v>
      </c>
      <c r="F100" s="6" t="str">
        <f t="shared" si="14"/>
        <v>katiejohnson@gmail.com</v>
      </c>
      <c r="G100">
        <v>45295</v>
      </c>
      <c r="H100" t="str">
        <f t="shared" si="15"/>
        <v>low</v>
      </c>
      <c r="I100" s="3">
        <v>43506</v>
      </c>
      <c r="J100">
        <f t="shared" si="16"/>
        <v>2019</v>
      </c>
      <c r="K100">
        <f t="shared" si="17"/>
        <v>2</v>
      </c>
      <c r="L100">
        <f t="shared" si="18"/>
        <v>10</v>
      </c>
      <c r="M100" s="3">
        <f t="shared" ca="1" si="19"/>
        <v>46100</v>
      </c>
      <c r="N100">
        <f t="shared" ca="1" si="20"/>
        <v>2594</v>
      </c>
      <c r="O100">
        <f t="shared" ca="1" si="21"/>
        <v>2594</v>
      </c>
      <c r="P100">
        <f t="shared" ca="1" si="22"/>
        <v>1854</v>
      </c>
      <c r="Q100">
        <v>34</v>
      </c>
      <c r="R100" t="str">
        <f t="shared" si="23"/>
        <v>Old</v>
      </c>
      <c r="S100" t="s">
        <v>34</v>
      </c>
      <c r="T100">
        <v>4</v>
      </c>
      <c r="U100" t="s">
        <v>45</v>
      </c>
      <c r="V100">
        <v>9035.02</v>
      </c>
      <c r="W100" t="s">
        <v>26</v>
      </c>
      <c r="X100" t="s">
        <v>40</v>
      </c>
      <c r="Y100">
        <v>6</v>
      </c>
      <c r="Z100" t="str">
        <f t="shared" si="24"/>
        <v>Bad Employee</v>
      </c>
      <c r="AA100" t="b">
        <f t="shared" si="25"/>
        <v>0</v>
      </c>
      <c r="AB100" t="b">
        <f>OR(Y100&gt;20, T100&gt;6)</f>
        <v>0</v>
      </c>
      <c r="AC100" t="str">
        <f>IF(OR(Y100&gt;20,T100&gt;6), "Good employee", "Bad Employee")</f>
        <v>Bad Employee</v>
      </c>
      <c r="AD100" t="s">
        <v>28</v>
      </c>
      <c r="AE100" t="s">
        <v>62</v>
      </c>
      <c r="AF100">
        <v>10</v>
      </c>
      <c r="AG100">
        <v>2018</v>
      </c>
      <c r="AH100" t="s">
        <v>30</v>
      </c>
      <c r="AI100">
        <v>98</v>
      </c>
      <c r="AJ100">
        <v>3.8</v>
      </c>
    </row>
    <row r="101" spans="1:36" x14ac:dyDescent="0.25">
      <c r="A101">
        <v>10100</v>
      </c>
      <c r="B101" t="s">
        <v>38</v>
      </c>
      <c r="C101" t="s">
        <v>65</v>
      </c>
      <c r="D101" t="s">
        <v>54</v>
      </c>
      <c r="E101" t="str">
        <f t="shared" si="13"/>
        <v>Chris Johnson is in Finance Department</v>
      </c>
      <c r="F101" s="6" t="str">
        <f t="shared" si="14"/>
        <v>chrisjohnson@gmail.com</v>
      </c>
      <c r="G101">
        <v>85248</v>
      </c>
      <c r="H101" t="str">
        <f t="shared" si="15"/>
        <v>High</v>
      </c>
      <c r="I101" s="3">
        <v>43652</v>
      </c>
      <c r="J101">
        <f t="shared" si="16"/>
        <v>2019</v>
      </c>
      <c r="K101">
        <f t="shared" si="17"/>
        <v>7</v>
      </c>
      <c r="L101">
        <f t="shared" si="18"/>
        <v>6</v>
      </c>
      <c r="M101" s="3">
        <f t="shared" ca="1" si="19"/>
        <v>46100</v>
      </c>
      <c r="N101">
        <f t="shared" ca="1" si="20"/>
        <v>2448</v>
      </c>
      <c r="O101">
        <f t="shared" ca="1" si="21"/>
        <v>2448</v>
      </c>
      <c r="P101">
        <f t="shared" ca="1" si="22"/>
        <v>1749</v>
      </c>
      <c r="Q101">
        <v>25</v>
      </c>
      <c r="R101" t="str">
        <f t="shared" si="23"/>
        <v>Young</v>
      </c>
      <c r="S101" t="s">
        <v>24</v>
      </c>
      <c r="T101">
        <v>6</v>
      </c>
      <c r="U101" t="s">
        <v>25</v>
      </c>
      <c r="V101">
        <v>2569.09</v>
      </c>
      <c r="W101" t="s">
        <v>58</v>
      </c>
      <c r="X101" t="s">
        <v>55</v>
      </c>
      <c r="Y101">
        <v>7</v>
      </c>
      <c r="Z101" t="str">
        <f t="shared" si="24"/>
        <v>Bad Employee</v>
      </c>
      <c r="AA101" t="b">
        <f t="shared" si="25"/>
        <v>0</v>
      </c>
      <c r="AB101" t="b">
        <f>OR(Y101&gt;20, T101&gt;6)</f>
        <v>0</v>
      </c>
      <c r="AC101" t="str">
        <f>IF(OR(Y101&gt;20,T101&gt;6), "Good employee", "Bad Employee")</f>
        <v>Bad Employee</v>
      </c>
      <c r="AD101" t="s">
        <v>41</v>
      </c>
      <c r="AE101" t="s">
        <v>29</v>
      </c>
      <c r="AF101">
        <v>15</v>
      </c>
      <c r="AG101">
        <v>2012</v>
      </c>
      <c r="AH101" t="s">
        <v>49</v>
      </c>
      <c r="AI101">
        <v>103</v>
      </c>
      <c r="AJ101">
        <v>2.4</v>
      </c>
    </row>
    <row r="102" spans="1:36" x14ac:dyDescent="0.25">
      <c r="A102">
        <v>10101</v>
      </c>
      <c r="B102" t="s">
        <v>21</v>
      </c>
      <c r="C102" t="s">
        <v>51</v>
      </c>
      <c r="D102" t="s">
        <v>23</v>
      </c>
      <c r="E102" t="str">
        <f t="shared" si="13"/>
        <v>Michael Brown is in HR Department</v>
      </c>
      <c r="F102" s="6" t="str">
        <f t="shared" si="14"/>
        <v>michaelbrown@gmail.com</v>
      </c>
      <c r="G102">
        <v>110205</v>
      </c>
      <c r="H102" t="str">
        <f t="shared" si="15"/>
        <v>High</v>
      </c>
      <c r="I102" s="3">
        <v>37760</v>
      </c>
      <c r="J102">
        <f t="shared" si="16"/>
        <v>2003</v>
      </c>
      <c r="K102">
        <f t="shared" si="17"/>
        <v>5</v>
      </c>
      <c r="L102">
        <f t="shared" si="18"/>
        <v>19</v>
      </c>
      <c r="M102" s="3">
        <f t="shared" ca="1" si="19"/>
        <v>46100</v>
      </c>
      <c r="N102">
        <f t="shared" ca="1" si="20"/>
        <v>8340</v>
      </c>
      <c r="O102">
        <f t="shared" ca="1" si="21"/>
        <v>8340</v>
      </c>
      <c r="P102">
        <f t="shared" ca="1" si="22"/>
        <v>5959</v>
      </c>
      <c r="Q102">
        <v>40</v>
      </c>
      <c r="R102" t="str">
        <f t="shared" si="23"/>
        <v>Old</v>
      </c>
      <c r="S102" t="s">
        <v>24</v>
      </c>
      <c r="T102">
        <v>1</v>
      </c>
      <c r="U102" t="s">
        <v>25</v>
      </c>
      <c r="V102">
        <v>4547.75</v>
      </c>
      <c r="W102" t="s">
        <v>46</v>
      </c>
      <c r="X102" t="s">
        <v>47</v>
      </c>
      <c r="Y102">
        <v>39</v>
      </c>
      <c r="Z102" t="str">
        <f t="shared" si="24"/>
        <v>Bad Employee</v>
      </c>
      <c r="AA102" t="b">
        <f t="shared" si="25"/>
        <v>0</v>
      </c>
      <c r="AB102" t="b">
        <f>OR(Y102&gt;20, T102&gt;6)</f>
        <v>1</v>
      </c>
      <c r="AC102" t="str">
        <f>IF(OR(Y102&gt;20,T102&gt;6), "Good employee", "Bad Employee")</f>
        <v>Good employee</v>
      </c>
      <c r="AD102" t="s">
        <v>41</v>
      </c>
      <c r="AE102" t="s">
        <v>37</v>
      </c>
      <c r="AF102">
        <v>6</v>
      </c>
      <c r="AG102">
        <v>2023</v>
      </c>
      <c r="AH102" t="s">
        <v>49</v>
      </c>
      <c r="AI102">
        <v>64</v>
      </c>
      <c r="AJ102">
        <v>2.7</v>
      </c>
    </row>
    <row r="103" spans="1:36" x14ac:dyDescent="0.25">
      <c r="A103">
        <v>10102</v>
      </c>
      <c r="B103" t="s">
        <v>60</v>
      </c>
      <c r="C103" t="s">
        <v>63</v>
      </c>
      <c r="D103" t="s">
        <v>33</v>
      </c>
      <c r="E103" t="str">
        <f t="shared" si="13"/>
        <v>Jane Miller is in Marketing Department</v>
      </c>
      <c r="F103" s="6" t="str">
        <f t="shared" si="14"/>
        <v>janemiller@gmail.com</v>
      </c>
      <c r="G103">
        <v>40523</v>
      </c>
      <c r="H103" t="str">
        <f t="shared" si="15"/>
        <v>low</v>
      </c>
      <c r="I103" s="3">
        <v>38510</v>
      </c>
      <c r="J103">
        <f t="shared" si="16"/>
        <v>2005</v>
      </c>
      <c r="K103">
        <f t="shared" si="17"/>
        <v>6</v>
      </c>
      <c r="L103">
        <f t="shared" si="18"/>
        <v>7</v>
      </c>
      <c r="M103" s="3">
        <f t="shared" ca="1" si="19"/>
        <v>46100</v>
      </c>
      <c r="N103">
        <f t="shared" ca="1" si="20"/>
        <v>7590</v>
      </c>
      <c r="O103">
        <f t="shared" ca="1" si="21"/>
        <v>7590</v>
      </c>
      <c r="P103">
        <f t="shared" ca="1" si="22"/>
        <v>5423</v>
      </c>
      <c r="Q103">
        <v>46</v>
      </c>
      <c r="R103" t="str">
        <f t="shared" si="23"/>
        <v>Old</v>
      </c>
      <c r="S103" t="s">
        <v>24</v>
      </c>
      <c r="T103">
        <v>9</v>
      </c>
      <c r="U103" t="s">
        <v>25</v>
      </c>
      <c r="V103">
        <v>9733.2999999999993</v>
      </c>
      <c r="W103" t="s">
        <v>35</v>
      </c>
      <c r="X103" t="s">
        <v>40</v>
      </c>
      <c r="Y103">
        <v>22</v>
      </c>
      <c r="Z103" t="str">
        <f t="shared" si="24"/>
        <v>Good Employee</v>
      </c>
      <c r="AA103" t="b">
        <f t="shared" si="25"/>
        <v>1</v>
      </c>
      <c r="AB103" t="b">
        <f>OR(Y103&gt;20, T103&gt;6)</f>
        <v>1</v>
      </c>
      <c r="AC103" t="str">
        <f>IF(OR(Y103&gt;20,T103&gt;6), "Good employee", "Bad Employee")</f>
        <v>Good employee</v>
      </c>
      <c r="AD103" t="s">
        <v>41</v>
      </c>
      <c r="AE103" t="s">
        <v>48</v>
      </c>
      <c r="AF103">
        <v>19</v>
      </c>
      <c r="AG103">
        <v>2022</v>
      </c>
      <c r="AH103" t="s">
        <v>43</v>
      </c>
      <c r="AI103">
        <v>133</v>
      </c>
      <c r="AJ103">
        <v>3.3</v>
      </c>
    </row>
    <row r="104" spans="1:36" x14ac:dyDescent="0.25">
      <c r="A104">
        <v>10103</v>
      </c>
      <c r="B104" t="s">
        <v>60</v>
      </c>
      <c r="C104" t="s">
        <v>51</v>
      </c>
      <c r="D104" t="s">
        <v>44</v>
      </c>
      <c r="E104" t="str">
        <f t="shared" si="13"/>
        <v>Jane Brown is in Sales Department</v>
      </c>
      <c r="F104" s="6" t="str">
        <f t="shared" si="14"/>
        <v>janebrown@gmail.com</v>
      </c>
      <c r="G104">
        <v>75530</v>
      </c>
      <c r="H104" t="str">
        <f t="shared" si="15"/>
        <v>Medium</v>
      </c>
      <c r="I104" s="3">
        <v>40782</v>
      </c>
      <c r="J104">
        <f t="shared" si="16"/>
        <v>2011</v>
      </c>
      <c r="K104">
        <f t="shared" si="17"/>
        <v>8</v>
      </c>
      <c r="L104">
        <f t="shared" si="18"/>
        <v>27</v>
      </c>
      <c r="M104" s="3">
        <f t="shared" ca="1" si="19"/>
        <v>46100</v>
      </c>
      <c r="N104">
        <f t="shared" ca="1" si="20"/>
        <v>5318</v>
      </c>
      <c r="O104">
        <f t="shared" ca="1" si="21"/>
        <v>5318</v>
      </c>
      <c r="P104">
        <f t="shared" ca="1" si="22"/>
        <v>3799</v>
      </c>
      <c r="Q104">
        <v>59</v>
      </c>
      <c r="R104" t="str">
        <f t="shared" si="23"/>
        <v>Old</v>
      </c>
      <c r="S104" t="s">
        <v>24</v>
      </c>
      <c r="T104">
        <v>4</v>
      </c>
      <c r="U104" t="s">
        <v>45</v>
      </c>
      <c r="V104">
        <v>8354.24</v>
      </c>
      <c r="W104" t="s">
        <v>58</v>
      </c>
      <c r="X104" t="s">
        <v>47</v>
      </c>
      <c r="Y104">
        <v>33</v>
      </c>
      <c r="Z104" t="str">
        <f t="shared" si="24"/>
        <v>Bad Employee</v>
      </c>
      <c r="AA104" t="b">
        <f t="shared" si="25"/>
        <v>0</v>
      </c>
      <c r="AB104" t="b">
        <f>OR(Y104&gt;20, T104&gt;6)</f>
        <v>1</v>
      </c>
      <c r="AC104" t="str">
        <f>IF(OR(Y104&gt;20,T104&gt;6), "Good employee", "Bad Employee")</f>
        <v>Good employee</v>
      </c>
      <c r="AD104" t="s">
        <v>41</v>
      </c>
      <c r="AE104" t="s">
        <v>48</v>
      </c>
      <c r="AF104">
        <v>8</v>
      </c>
      <c r="AG104">
        <v>2014</v>
      </c>
      <c r="AH104" t="s">
        <v>30</v>
      </c>
      <c r="AI104">
        <v>136</v>
      </c>
      <c r="AJ104">
        <v>2.2000000000000002</v>
      </c>
    </row>
    <row r="105" spans="1:36" x14ac:dyDescent="0.25">
      <c r="A105">
        <v>10104</v>
      </c>
      <c r="B105" t="s">
        <v>31</v>
      </c>
      <c r="C105" t="s">
        <v>65</v>
      </c>
      <c r="D105" t="s">
        <v>23</v>
      </c>
      <c r="E105" t="str">
        <f t="shared" si="13"/>
        <v>Emily Johnson is in HR Department</v>
      </c>
      <c r="F105" s="6" t="str">
        <f t="shared" si="14"/>
        <v>emilyjohnson@gmail.com</v>
      </c>
      <c r="G105">
        <v>43769</v>
      </c>
      <c r="H105" t="str">
        <f t="shared" si="15"/>
        <v>low</v>
      </c>
      <c r="I105" s="3">
        <v>37804</v>
      </c>
      <c r="J105">
        <f t="shared" si="16"/>
        <v>2003</v>
      </c>
      <c r="K105">
        <f t="shared" si="17"/>
        <v>7</v>
      </c>
      <c r="L105">
        <f t="shared" si="18"/>
        <v>2</v>
      </c>
      <c r="M105" s="3">
        <f t="shared" ca="1" si="19"/>
        <v>46100</v>
      </c>
      <c r="N105">
        <f t="shared" ca="1" si="20"/>
        <v>8296</v>
      </c>
      <c r="O105">
        <f t="shared" ca="1" si="21"/>
        <v>8296</v>
      </c>
      <c r="P105">
        <f t="shared" ca="1" si="22"/>
        <v>5927</v>
      </c>
      <c r="Q105">
        <v>52</v>
      </c>
      <c r="R105" t="str">
        <f t="shared" si="23"/>
        <v>Old</v>
      </c>
      <c r="S105" t="s">
        <v>24</v>
      </c>
      <c r="T105">
        <v>9</v>
      </c>
      <c r="U105" t="s">
        <v>25</v>
      </c>
      <c r="V105">
        <v>1525.34</v>
      </c>
      <c r="W105" t="s">
        <v>26</v>
      </c>
      <c r="X105" t="s">
        <v>36</v>
      </c>
      <c r="Y105">
        <v>3</v>
      </c>
      <c r="Z105" t="str">
        <f t="shared" si="24"/>
        <v>Bad Employee</v>
      </c>
      <c r="AA105" t="b">
        <f t="shared" si="25"/>
        <v>0</v>
      </c>
      <c r="AB105" t="b">
        <f>OR(Y105&gt;20, T105&gt;6)</f>
        <v>1</v>
      </c>
      <c r="AC105" t="str">
        <f>IF(OR(Y105&gt;20,T105&gt;6), "Good employee", "Bad Employee")</f>
        <v>Good employee</v>
      </c>
      <c r="AD105" t="s">
        <v>28</v>
      </c>
      <c r="AE105" t="s">
        <v>48</v>
      </c>
      <c r="AF105">
        <v>18</v>
      </c>
      <c r="AG105">
        <v>2011</v>
      </c>
      <c r="AH105" t="s">
        <v>30</v>
      </c>
      <c r="AI105">
        <v>141</v>
      </c>
      <c r="AJ105">
        <v>1.8</v>
      </c>
    </row>
    <row r="106" spans="1:36" x14ac:dyDescent="0.25">
      <c r="A106">
        <v>10105</v>
      </c>
      <c r="B106" t="s">
        <v>60</v>
      </c>
      <c r="C106" t="s">
        <v>65</v>
      </c>
      <c r="D106" t="s">
        <v>39</v>
      </c>
      <c r="E106" t="str">
        <f t="shared" si="13"/>
        <v>Jane Johnson is in IT Department</v>
      </c>
      <c r="F106" s="6" t="str">
        <f t="shared" si="14"/>
        <v>janejohnson@gmail.com</v>
      </c>
      <c r="G106">
        <v>93042</v>
      </c>
      <c r="H106" t="str">
        <f t="shared" si="15"/>
        <v>High</v>
      </c>
      <c r="I106" s="3">
        <v>38120</v>
      </c>
      <c r="J106">
        <f t="shared" si="16"/>
        <v>2004</v>
      </c>
      <c r="K106">
        <f t="shared" si="17"/>
        <v>5</v>
      </c>
      <c r="L106">
        <f t="shared" si="18"/>
        <v>13</v>
      </c>
      <c r="M106" s="3">
        <f t="shared" ca="1" si="19"/>
        <v>46100</v>
      </c>
      <c r="N106">
        <f t="shared" ca="1" si="20"/>
        <v>7980</v>
      </c>
      <c r="O106">
        <f t="shared" ca="1" si="21"/>
        <v>7980</v>
      </c>
      <c r="P106">
        <f t="shared" ca="1" si="22"/>
        <v>5701</v>
      </c>
      <c r="Q106">
        <v>57</v>
      </c>
      <c r="R106" t="str">
        <f t="shared" si="23"/>
        <v>Old</v>
      </c>
      <c r="S106" t="s">
        <v>24</v>
      </c>
      <c r="T106">
        <v>9</v>
      </c>
      <c r="U106" t="s">
        <v>25</v>
      </c>
      <c r="V106">
        <v>5330.93</v>
      </c>
      <c r="W106" t="s">
        <v>58</v>
      </c>
      <c r="X106" t="s">
        <v>55</v>
      </c>
      <c r="Y106">
        <v>30</v>
      </c>
      <c r="Z106" t="str">
        <f t="shared" si="24"/>
        <v>Good Employee</v>
      </c>
      <c r="AA106" t="b">
        <f t="shared" si="25"/>
        <v>1</v>
      </c>
      <c r="AB106" t="b">
        <f>OR(Y106&gt;20, T106&gt;6)</f>
        <v>1</v>
      </c>
      <c r="AC106" t="str">
        <f>IF(OR(Y106&gt;20,T106&gt;6), "Good employee", "Bad Employee")</f>
        <v>Good employee</v>
      </c>
      <c r="AD106" t="s">
        <v>56</v>
      </c>
      <c r="AE106" t="s">
        <v>59</v>
      </c>
      <c r="AF106">
        <v>0</v>
      </c>
      <c r="AG106">
        <v>2017</v>
      </c>
      <c r="AH106" t="s">
        <v>43</v>
      </c>
      <c r="AI106">
        <v>49</v>
      </c>
      <c r="AJ106">
        <v>1.6</v>
      </c>
    </row>
    <row r="107" spans="1:36" x14ac:dyDescent="0.25">
      <c r="A107">
        <v>10106</v>
      </c>
      <c r="B107" t="s">
        <v>60</v>
      </c>
      <c r="C107" t="s">
        <v>65</v>
      </c>
      <c r="D107" t="s">
        <v>33</v>
      </c>
      <c r="E107" t="str">
        <f t="shared" si="13"/>
        <v>Jane Johnson is in Marketing Department</v>
      </c>
      <c r="F107" s="6" t="str">
        <f t="shared" si="14"/>
        <v>janejohnson@gmail.com</v>
      </c>
      <c r="G107">
        <v>74645</v>
      </c>
      <c r="H107" t="str">
        <f t="shared" si="15"/>
        <v>Medium</v>
      </c>
      <c r="I107" s="3">
        <v>42783</v>
      </c>
      <c r="J107">
        <f t="shared" si="16"/>
        <v>2017</v>
      </c>
      <c r="K107">
        <f t="shared" si="17"/>
        <v>2</v>
      </c>
      <c r="L107">
        <f t="shared" si="18"/>
        <v>17</v>
      </c>
      <c r="M107" s="3">
        <f t="shared" ca="1" si="19"/>
        <v>46100</v>
      </c>
      <c r="N107">
        <f t="shared" ca="1" si="20"/>
        <v>3317</v>
      </c>
      <c r="O107">
        <f t="shared" ca="1" si="21"/>
        <v>3317</v>
      </c>
      <c r="P107">
        <f t="shared" ca="1" si="22"/>
        <v>2370</v>
      </c>
      <c r="Q107">
        <v>25</v>
      </c>
      <c r="R107" t="str">
        <f t="shared" si="23"/>
        <v>Young</v>
      </c>
      <c r="S107" t="s">
        <v>34</v>
      </c>
      <c r="T107">
        <v>6</v>
      </c>
      <c r="U107" t="s">
        <v>45</v>
      </c>
      <c r="V107">
        <v>7435.75</v>
      </c>
      <c r="W107" t="s">
        <v>58</v>
      </c>
      <c r="X107" t="s">
        <v>47</v>
      </c>
      <c r="Y107">
        <v>24</v>
      </c>
      <c r="Z107" t="str">
        <f t="shared" si="24"/>
        <v>Bad Employee</v>
      </c>
      <c r="AA107" t="b">
        <f t="shared" si="25"/>
        <v>0</v>
      </c>
      <c r="AB107" t="b">
        <f>OR(Y107&gt;20, T107&gt;6)</f>
        <v>1</v>
      </c>
      <c r="AC107" t="str">
        <f>IF(OR(Y107&gt;20,T107&gt;6), "Good employee", "Bad Employee")</f>
        <v>Good employee</v>
      </c>
      <c r="AD107" t="s">
        <v>41</v>
      </c>
      <c r="AE107" t="s">
        <v>37</v>
      </c>
      <c r="AF107">
        <v>17</v>
      </c>
      <c r="AG107">
        <v>2020</v>
      </c>
      <c r="AH107" t="s">
        <v>43</v>
      </c>
      <c r="AI107">
        <v>164</v>
      </c>
      <c r="AJ107">
        <v>2.4</v>
      </c>
    </row>
    <row r="108" spans="1:36" x14ac:dyDescent="0.25">
      <c r="A108">
        <v>10107</v>
      </c>
      <c r="B108" t="s">
        <v>64</v>
      </c>
      <c r="C108" t="s">
        <v>57</v>
      </c>
      <c r="D108" t="s">
        <v>39</v>
      </c>
      <c r="E108" t="str">
        <f t="shared" si="13"/>
        <v>Katie Davis is in IT Department</v>
      </c>
      <c r="F108" s="6" t="str">
        <f t="shared" si="14"/>
        <v>katiedavis@gmail.com</v>
      </c>
      <c r="G108">
        <v>92142</v>
      </c>
      <c r="H108" t="str">
        <f t="shared" si="15"/>
        <v>High</v>
      </c>
      <c r="I108" s="3">
        <v>39077</v>
      </c>
      <c r="J108">
        <f t="shared" si="16"/>
        <v>2006</v>
      </c>
      <c r="K108">
        <f t="shared" si="17"/>
        <v>12</v>
      </c>
      <c r="L108">
        <f t="shared" si="18"/>
        <v>26</v>
      </c>
      <c r="M108" s="3">
        <f t="shared" ca="1" si="19"/>
        <v>46100</v>
      </c>
      <c r="N108">
        <f t="shared" ca="1" si="20"/>
        <v>7023</v>
      </c>
      <c r="O108">
        <f t="shared" ca="1" si="21"/>
        <v>7023</v>
      </c>
      <c r="P108">
        <f t="shared" ca="1" si="22"/>
        <v>5018</v>
      </c>
      <c r="Q108">
        <v>60</v>
      </c>
      <c r="R108" t="str">
        <f t="shared" si="23"/>
        <v>Old</v>
      </c>
      <c r="S108" t="s">
        <v>24</v>
      </c>
      <c r="T108">
        <v>7</v>
      </c>
      <c r="U108" t="s">
        <v>45</v>
      </c>
      <c r="V108">
        <v>7134.73</v>
      </c>
      <c r="W108" t="s">
        <v>35</v>
      </c>
      <c r="X108" t="s">
        <v>55</v>
      </c>
      <c r="Y108">
        <v>3</v>
      </c>
      <c r="Z108" t="str">
        <f t="shared" si="24"/>
        <v>Bad Employee</v>
      </c>
      <c r="AA108" t="b">
        <f t="shared" si="25"/>
        <v>0</v>
      </c>
      <c r="AB108" t="b">
        <f>OR(Y108&gt;20, T108&gt;6)</f>
        <v>1</v>
      </c>
      <c r="AC108" t="str">
        <f>IF(OR(Y108&gt;20,T108&gt;6), "Good employee", "Bad Employee")</f>
        <v>Good employee</v>
      </c>
      <c r="AD108" t="s">
        <v>41</v>
      </c>
      <c r="AE108" t="s">
        <v>62</v>
      </c>
      <c r="AF108">
        <v>7</v>
      </c>
      <c r="AG108">
        <v>2020</v>
      </c>
      <c r="AH108" t="s">
        <v>43</v>
      </c>
      <c r="AI108">
        <v>73</v>
      </c>
      <c r="AJ108">
        <v>1.2</v>
      </c>
    </row>
    <row r="109" spans="1:36" x14ac:dyDescent="0.25">
      <c r="A109">
        <v>10108</v>
      </c>
      <c r="B109" t="s">
        <v>31</v>
      </c>
      <c r="C109" t="s">
        <v>32</v>
      </c>
      <c r="D109" t="s">
        <v>54</v>
      </c>
      <c r="E109" t="str">
        <f t="shared" si="13"/>
        <v>Emily Wilson is in Finance Department</v>
      </c>
      <c r="F109" s="6" t="str">
        <f t="shared" si="14"/>
        <v>emilywilson@gmail.com</v>
      </c>
      <c r="G109">
        <v>55557</v>
      </c>
      <c r="H109" t="str">
        <f t="shared" si="15"/>
        <v>Medium</v>
      </c>
      <c r="I109" s="3">
        <v>38478</v>
      </c>
      <c r="J109">
        <f t="shared" si="16"/>
        <v>2005</v>
      </c>
      <c r="K109">
        <f t="shared" si="17"/>
        <v>5</v>
      </c>
      <c r="L109">
        <f t="shared" si="18"/>
        <v>6</v>
      </c>
      <c r="M109" s="3">
        <f t="shared" ca="1" si="19"/>
        <v>46100</v>
      </c>
      <c r="N109">
        <f t="shared" ca="1" si="20"/>
        <v>7622</v>
      </c>
      <c r="O109">
        <f t="shared" ca="1" si="21"/>
        <v>7622</v>
      </c>
      <c r="P109">
        <f t="shared" ca="1" si="22"/>
        <v>5445</v>
      </c>
      <c r="Q109">
        <v>28</v>
      </c>
      <c r="R109" t="str">
        <f t="shared" si="23"/>
        <v>Young</v>
      </c>
      <c r="S109" t="s">
        <v>34</v>
      </c>
      <c r="T109">
        <v>1</v>
      </c>
      <c r="U109" t="s">
        <v>45</v>
      </c>
      <c r="V109">
        <v>7728</v>
      </c>
      <c r="W109" t="s">
        <v>35</v>
      </c>
      <c r="X109" t="s">
        <v>47</v>
      </c>
      <c r="Y109">
        <v>2</v>
      </c>
      <c r="Z109" t="str">
        <f t="shared" si="24"/>
        <v>Bad Employee</v>
      </c>
      <c r="AA109" t="b">
        <f t="shared" si="25"/>
        <v>0</v>
      </c>
      <c r="AB109" t="b">
        <f>OR(Y109&gt;20, T109&gt;6)</f>
        <v>0</v>
      </c>
      <c r="AC109" t="str">
        <f>IF(OR(Y109&gt;20,T109&gt;6), "Good employee", "Bad Employee")</f>
        <v>Bad Employee</v>
      </c>
      <c r="AD109" t="s">
        <v>41</v>
      </c>
      <c r="AE109" t="s">
        <v>42</v>
      </c>
      <c r="AF109">
        <v>7</v>
      </c>
      <c r="AG109">
        <v>2023</v>
      </c>
      <c r="AH109" t="s">
        <v>49</v>
      </c>
      <c r="AI109">
        <v>18</v>
      </c>
      <c r="AJ109">
        <v>3.3</v>
      </c>
    </row>
    <row r="110" spans="1:36" x14ac:dyDescent="0.25">
      <c r="A110">
        <v>10109</v>
      </c>
      <c r="B110" t="s">
        <v>64</v>
      </c>
      <c r="C110" t="s">
        <v>32</v>
      </c>
      <c r="D110" t="s">
        <v>44</v>
      </c>
      <c r="E110" t="str">
        <f t="shared" si="13"/>
        <v>Katie Wilson is in Sales Department</v>
      </c>
      <c r="F110" s="6" t="str">
        <f t="shared" si="14"/>
        <v>katiewilson@gmail.com</v>
      </c>
      <c r="G110">
        <v>109782</v>
      </c>
      <c r="H110" t="str">
        <f t="shared" si="15"/>
        <v>High</v>
      </c>
      <c r="I110" s="3">
        <v>38221</v>
      </c>
      <c r="J110">
        <f t="shared" si="16"/>
        <v>2004</v>
      </c>
      <c r="K110">
        <f t="shared" si="17"/>
        <v>8</v>
      </c>
      <c r="L110">
        <f t="shared" si="18"/>
        <v>22</v>
      </c>
      <c r="M110" s="3">
        <f t="shared" ca="1" si="19"/>
        <v>46100</v>
      </c>
      <c r="N110">
        <f t="shared" ca="1" si="20"/>
        <v>7879</v>
      </c>
      <c r="O110">
        <f t="shared" ca="1" si="21"/>
        <v>7879</v>
      </c>
      <c r="P110">
        <f t="shared" ca="1" si="22"/>
        <v>5629</v>
      </c>
      <c r="Q110">
        <v>37</v>
      </c>
      <c r="R110" t="str">
        <f t="shared" si="23"/>
        <v>Old</v>
      </c>
      <c r="S110" t="s">
        <v>34</v>
      </c>
      <c r="T110">
        <v>5</v>
      </c>
      <c r="U110" t="s">
        <v>45</v>
      </c>
      <c r="V110">
        <v>4845.82</v>
      </c>
      <c r="W110" t="s">
        <v>46</v>
      </c>
      <c r="X110" t="s">
        <v>47</v>
      </c>
      <c r="Y110">
        <v>19</v>
      </c>
      <c r="Z110" t="str">
        <f t="shared" si="24"/>
        <v>Bad Employee</v>
      </c>
      <c r="AA110" t="b">
        <f t="shared" si="25"/>
        <v>0</v>
      </c>
      <c r="AB110" t="b">
        <f>OR(Y110&gt;20, T110&gt;6)</f>
        <v>0</v>
      </c>
      <c r="AC110" t="str">
        <f>IF(OR(Y110&gt;20,T110&gt;6), "Good employee", "Bad Employee")</f>
        <v>Bad Employee</v>
      </c>
      <c r="AD110" t="s">
        <v>56</v>
      </c>
      <c r="AE110" t="s">
        <v>29</v>
      </c>
      <c r="AF110">
        <v>7</v>
      </c>
      <c r="AG110">
        <v>2012</v>
      </c>
      <c r="AH110" t="s">
        <v>49</v>
      </c>
      <c r="AI110">
        <v>183</v>
      </c>
      <c r="AJ110">
        <v>1.7</v>
      </c>
    </row>
    <row r="111" spans="1:36" x14ac:dyDescent="0.25">
      <c r="A111">
        <v>10110</v>
      </c>
      <c r="B111" t="s">
        <v>21</v>
      </c>
      <c r="C111" t="s">
        <v>51</v>
      </c>
      <c r="D111" t="s">
        <v>54</v>
      </c>
      <c r="E111" t="str">
        <f t="shared" si="13"/>
        <v>Michael Brown is in Finance Department</v>
      </c>
      <c r="F111" s="6" t="str">
        <f t="shared" si="14"/>
        <v>michaelbrown@gmail.com</v>
      </c>
      <c r="G111">
        <v>108382</v>
      </c>
      <c r="H111" t="str">
        <f t="shared" si="15"/>
        <v>High</v>
      </c>
      <c r="I111" s="3">
        <v>37480</v>
      </c>
      <c r="J111">
        <f t="shared" si="16"/>
        <v>2002</v>
      </c>
      <c r="K111">
        <f t="shared" si="17"/>
        <v>8</v>
      </c>
      <c r="L111">
        <f t="shared" si="18"/>
        <v>12</v>
      </c>
      <c r="M111" s="3">
        <f t="shared" ca="1" si="19"/>
        <v>46100</v>
      </c>
      <c r="N111">
        <f t="shared" ca="1" si="20"/>
        <v>8620</v>
      </c>
      <c r="O111">
        <f t="shared" ca="1" si="21"/>
        <v>8620</v>
      </c>
      <c r="P111">
        <f t="shared" ca="1" si="22"/>
        <v>6159</v>
      </c>
      <c r="Q111">
        <v>26</v>
      </c>
      <c r="R111" t="str">
        <f t="shared" si="23"/>
        <v>Young</v>
      </c>
      <c r="S111" t="s">
        <v>34</v>
      </c>
      <c r="T111">
        <v>3</v>
      </c>
      <c r="U111" t="s">
        <v>25</v>
      </c>
      <c r="V111">
        <v>2171.27</v>
      </c>
      <c r="W111" t="s">
        <v>35</v>
      </c>
      <c r="X111" t="s">
        <v>27</v>
      </c>
      <c r="Y111">
        <v>24</v>
      </c>
      <c r="Z111" t="str">
        <f t="shared" si="24"/>
        <v>Bad Employee</v>
      </c>
      <c r="AA111" t="b">
        <f t="shared" si="25"/>
        <v>0</v>
      </c>
      <c r="AB111" t="b">
        <f>OR(Y111&gt;20, T111&gt;6)</f>
        <v>1</v>
      </c>
      <c r="AC111" t="str">
        <f>IF(OR(Y111&gt;20,T111&gt;6), "Good employee", "Bad Employee")</f>
        <v>Good employee</v>
      </c>
      <c r="AD111" t="s">
        <v>41</v>
      </c>
      <c r="AE111" t="s">
        <v>48</v>
      </c>
      <c r="AF111">
        <v>13</v>
      </c>
      <c r="AG111">
        <v>2014</v>
      </c>
      <c r="AH111" t="s">
        <v>43</v>
      </c>
      <c r="AI111">
        <v>155</v>
      </c>
      <c r="AJ111">
        <v>2.5</v>
      </c>
    </row>
    <row r="112" spans="1:36" x14ac:dyDescent="0.25">
      <c r="A112">
        <v>10111</v>
      </c>
      <c r="B112" t="s">
        <v>53</v>
      </c>
      <c r="C112" t="s">
        <v>65</v>
      </c>
      <c r="D112" t="s">
        <v>44</v>
      </c>
      <c r="E112" t="str">
        <f t="shared" si="13"/>
        <v>Sarah Johnson is in Sales Department</v>
      </c>
      <c r="F112" s="6" t="str">
        <f t="shared" si="14"/>
        <v>sarahjohnson@gmail.com</v>
      </c>
      <c r="G112">
        <v>67085</v>
      </c>
      <c r="H112" t="str">
        <f t="shared" si="15"/>
        <v>Medium</v>
      </c>
      <c r="I112" s="3">
        <v>39817</v>
      </c>
      <c r="J112">
        <f t="shared" si="16"/>
        <v>2009</v>
      </c>
      <c r="K112">
        <f t="shared" si="17"/>
        <v>1</v>
      </c>
      <c r="L112">
        <f t="shared" si="18"/>
        <v>4</v>
      </c>
      <c r="M112" s="3">
        <f t="shared" ca="1" si="19"/>
        <v>46100</v>
      </c>
      <c r="N112">
        <f t="shared" ca="1" si="20"/>
        <v>6283</v>
      </c>
      <c r="O112">
        <f t="shared" ca="1" si="21"/>
        <v>6283</v>
      </c>
      <c r="P112">
        <f t="shared" ca="1" si="22"/>
        <v>4489</v>
      </c>
      <c r="Q112">
        <v>44</v>
      </c>
      <c r="R112" t="str">
        <f t="shared" si="23"/>
        <v>Old</v>
      </c>
      <c r="S112" t="s">
        <v>24</v>
      </c>
      <c r="T112">
        <v>6</v>
      </c>
      <c r="U112" t="s">
        <v>45</v>
      </c>
      <c r="V112">
        <v>4916.29</v>
      </c>
      <c r="W112" t="s">
        <v>58</v>
      </c>
      <c r="X112" t="s">
        <v>55</v>
      </c>
      <c r="Y112">
        <v>20</v>
      </c>
      <c r="Z112" t="str">
        <f t="shared" si="24"/>
        <v>Bad Employee</v>
      </c>
      <c r="AA112" t="b">
        <f t="shared" si="25"/>
        <v>0</v>
      </c>
      <c r="AB112" t="b">
        <f>OR(Y112&gt;20, T112&gt;6)</f>
        <v>0</v>
      </c>
      <c r="AC112" t="str">
        <f>IF(OR(Y112&gt;20,T112&gt;6), "Good employee", "Bad Employee")</f>
        <v>Bad Employee</v>
      </c>
      <c r="AD112" t="s">
        <v>56</v>
      </c>
      <c r="AE112" t="s">
        <v>48</v>
      </c>
      <c r="AF112">
        <v>1</v>
      </c>
      <c r="AG112">
        <v>2016</v>
      </c>
      <c r="AH112" t="s">
        <v>30</v>
      </c>
      <c r="AI112">
        <v>178</v>
      </c>
      <c r="AJ112">
        <v>2.1</v>
      </c>
    </row>
    <row r="113" spans="1:36" x14ac:dyDescent="0.25">
      <c r="A113">
        <v>10112</v>
      </c>
      <c r="B113" t="s">
        <v>21</v>
      </c>
      <c r="C113" t="s">
        <v>32</v>
      </c>
      <c r="D113" t="s">
        <v>52</v>
      </c>
      <c r="E113" t="str">
        <f t="shared" si="13"/>
        <v>Michael Wilson is in Operations Department</v>
      </c>
      <c r="F113" s="6" t="str">
        <f t="shared" si="14"/>
        <v>michaelwilson@gmail.com</v>
      </c>
      <c r="G113">
        <v>80708</v>
      </c>
      <c r="H113" t="str">
        <f t="shared" si="15"/>
        <v>High</v>
      </c>
      <c r="I113" s="3">
        <v>36882</v>
      </c>
      <c r="J113">
        <f t="shared" si="16"/>
        <v>2000</v>
      </c>
      <c r="K113">
        <f t="shared" si="17"/>
        <v>12</v>
      </c>
      <c r="L113">
        <f t="shared" si="18"/>
        <v>22</v>
      </c>
      <c r="M113" s="3">
        <f t="shared" ca="1" si="19"/>
        <v>46100</v>
      </c>
      <c r="N113">
        <f t="shared" ca="1" si="20"/>
        <v>9218</v>
      </c>
      <c r="O113">
        <f t="shared" ca="1" si="21"/>
        <v>9218</v>
      </c>
      <c r="P113">
        <f t="shared" ca="1" si="22"/>
        <v>6585</v>
      </c>
      <c r="Q113">
        <v>57</v>
      </c>
      <c r="R113" t="str">
        <f t="shared" si="23"/>
        <v>Old</v>
      </c>
      <c r="S113" t="s">
        <v>34</v>
      </c>
      <c r="T113">
        <v>4</v>
      </c>
      <c r="U113" t="s">
        <v>25</v>
      </c>
      <c r="V113">
        <v>6654.93</v>
      </c>
      <c r="W113" t="s">
        <v>26</v>
      </c>
      <c r="X113" t="s">
        <v>47</v>
      </c>
      <c r="Y113">
        <v>31</v>
      </c>
      <c r="Z113" t="str">
        <f t="shared" si="24"/>
        <v>Bad Employee</v>
      </c>
      <c r="AA113" t="b">
        <f t="shared" si="25"/>
        <v>0</v>
      </c>
      <c r="AB113" t="b">
        <f>OR(Y113&gt;20, T113&gt;6)</f>
        <v>1</v>
      </c>
      <c r="AC113" t="str">
        <f>IF(OR(Y113&gt;20,T113&gt;6), "Good employee", "Bad Employee")</f>
        <v>Good employee</v>
      </c>
      <c r="AD113" t="s">
        <v>28</v>
      </c>
      <c r="AE113" t="s">
        <v>48</v>
      </c>
      <c r="AF113">
        <v>2</v>
      </c>
      <c r="AG113">
        <v>2011</v>
      </c>
      <c r="AH113" t="s">
        <v>49</v>
      </c>
      <c r="AI113">
        <v>159</v>
      </c>
      <c r="AJ113">
        <v>3.5</v>
      </c>
    </row>
    <row r="114" spans="1:36" x14ac:dyDescent="0.25">
      <c r="A114">
        <v>10113</v>
      </c>
      <c r="B114" t="s">
        <v>53</v>
      </c>
      <c r="C114" t="s">
        <v>22</v>
      </c>
      <c r="D114" t="s">
        <v>54</v>
      </c>
      <c r="E114" t="str">
        <f t="shared" si="13"/>
        <v>Sarah Williams is in Finance Department</v>
      </c>
      <c r="F114" s="6" t="str">
        <f t="shared" si="14"/>
        <v>sarahwilliams@gmail.com</v>
      </c>
      <c r="G114">
        <v>81357</v>
      </c>
      <c r="H114" t="str">
        <f t="shared" si="15"/>
        <v>High</v>
      </c>
      <c r="I114" s="3">
        <v>42838</v>
      </c>
      <c r="J114">
        <f t="shared" si="16"/>
        <v>2017</v>
      </c>
      <c r="K114">
        <f t="shared" si="17"/>
        <v>4</v>
      </c>
      <c r="L114">
        <f t="shared" si="18"/>
        <v>13</v>
      </c>
      <c r="M114" s="3">
        <f t="shared" ca="1" si="19"/>
        <v>46100</v>
      </c>
      <c r="N114">
        <f t="shared" ca="1" si="20"/>
        <v>3262</v>
      </c>
      <c r="O114">
        <f t="shared" ca="1" si="21"/>
        <v>3262</v>
      </c>
      <c r="P114">
        <f t="shared" ca="1" si="22"/>
        <v>2331</v>
      </c>
      <c r="Q114">
        <v>53</v>
      </c>
      <c r="R114" t="str">
        <f t="shared" si="23"/>
        <v>Old</v>
      </c>
      <c r="S114" t="s">
        <v>24</v>
      </c>
      <c r="T114">
        <v>9</v>
      </c>
      <c r="U114" t="s">
        <v>25</v>
      </c>
      <c r="V114">
        <v>6281.62</v>
      </c>
      <c r="W114" t="s">
        <v>46</v>
      </c>
      <c r="X114" t="s">
        <v>27</v>
      </c>
      <c r="Y114">
        <v>31</v>
      </c>
      <c r="Z114" t="str">
        <f t="shared" si="24"/>
        <v>Good Employee</v>
      </c>
      <c r="AA114" t="b">
        <f t="shared" si="25"/>
        <v>1</v>
      </c>
      <c r="AB114" t="b">
        <f>OR(Y114&gt;20, T114&gt;6)</f>
        <v>1</v>
      </c>
      <c r="AC114" t="str">
        <f>IF(OR(Y114&gt;20,T114&gt;6), "Good employee", "Bad Employee")</f>
        <v>Good employee</v>
      </c>
      <c r="AD114" t="s">
        <v>56</v>
      </c>
      <c r="AE114" t="s">
        <v>62</v>
      </c>
      <c r="AF114">
        <v>6</v>
      </c>
      <c r="AG114">
        <v>2012</v>
      </c>
      <c r="AH114" t="s">
        <v>43</v>
      </c>
      <c r="AI114">
        <v>93</v>
      </c>
      <c r="AJ114">
        <v>4.4000000000000004</v>
      </c>
    </row>
    <row r="115" spans="1:36" x14ac:dyDescent="0.25">
      <c r="A115">
        <v>10114</v>
      </c>
      <c r="B115" t="s">
        <v>64</v>
      </c>
      <c r="C115" t="s">
        <v>32</v>
      </c>
      <c r="D115" t="s">
        <v>39</v>
      </c>
      <c r="E115" t="str">
        <f t="shared" si="13"/>
        <v>Katie Wilson is in IT Department</v>
      </c>
      <c r="F115" s="6" t="str">
        <f t="shared" si="14"/>
        <v>katiewilson@gmail.com</v>
      </c>
      <c r="G115">
        <v>43470</v>
      </c>
      <c r="H115" t="str">
        <f t="shared" si="15"/>
        <v>low</v>
      </c>
      <c r="I115" s="3">
        <v>40121</v>
      </c>
      <c r="J115">
        <f t="shared" si="16"/>
        <v>2009</v>
      </c>
      <c r="K115">
        <f t="shared" si="17"/>
        <v>11</v>
      </c>
      <c r="L115">
        <f t="shared" si="18"/>
        <v>4</v>
      </c>
      <c r="M115" s="3">
        <f t="shared" ca="1" si="19"/>
        <v>46100</v>
      </c>
      <c r="N115">
        <f t="shared" ca="1" si="20"/>
        <v>5979</v>
      </c>
      <c r="O115">
        <f t="shared" ca="1" si="21"/>
        <v>5979</v>
      </c>
      <c r="P115">
        <f t="shared" ca="1" si="22"/>
        <v>4272</v>
      </c>
      <c r="Q115">
        <v>45</v>
      </c>
      <c r="R115" t="str">
        <f t="shared" si="23"/>
        <v>Old</v>
      </c>
      <c r="S115" t="s">
        <v>34</v>
      </c>
      <c r="T115">
        <v>7</v>
      </c>
      <c r="U115" t="s">
        <v>45</v>
      </c>
      <c r="V115">
        <v>1169.96</v>
      </c>
      <c r="W115" t="s">
        <v>35</v>
      </c>
      <c r="X115" t="s">
        <v>27</v>
      </c>
      <c r="Y115">
        <v>37</v>
      </c>
      <c r="Z115" t="str">
        <f t="shared" si="24"/>
        <v>Good Employee</v>
      </c>
      <c r="AA115" t="b">
        <f t="shared" si="25"/>
        <v>1</v>
      </c>
      <c r="AB115" t="b">
        <f>OR(Y115&gt;20, T115&gt;6)</f>
        <v>1</v>
      </c>
      <c r="AC115" t="str">
        <f>IF(OR(Y115&gt;20,T115&gt;6), "Good employee", "Bad Employee")</f>
        <v>Good employee</v>
      </c>
      <c r="AD115" t="s">
        <v>41</v>
      </c>
      <c r="AE115" t="s">
        <v>29</v>
      </c>
      <c r="AF115">
        <v>2</v>
      </c>
      <c r="AG115">
        <v>2017</v>
      </c>
      <c r="AH115" t="s">
        <v>49</v>
      </c>
      <c r="AI115">
        <v>40</v>
      </c>
      <c r="AJ115">
        <v>3.5</v>
      </c>
    </row>
    <row r="116" spans="1:36" x14ac:dyDescent="0.25">
      <c r="A116">
        <v>10115</v>
      </c>
      <c r="B116" t="s">
        <v>21</v>
      </c>
      <c r="C116" t="s">
        <v>63</v>
      </c>
      <c r="D116" t="s">
        <v>44</v>
      </c>
      <c r="E116" t="str">
        <f t="shared" si="13"/>
        <v>Michael Miller is in Sales Department</v>
      </c>
      <c r="F116" s="6" t="str">
        <f t="shared" si="14"/>
        <v>michaelmiller@gmail.com</v>
      </c>
      <c r="G116">
        <v>108712</v>
      </c>
      <c r="H116" t="str">
        <f t="shared" si="15"/>
        <v>High</v>
      </c>
      <c r="I116" s="3">
        <v>37494</v>
      </c>
      <c r="J116">
        <f t="shared" si="16"/>
        <v>2002</v>
      </c>
      <c r="K116">
        <f t="shared" si="17"/>
        <v>8</v>
      </c>
      <c r="L116">
        <f t="shared" si="18"/>
        <v>26</v>
      </c>
      <c r="M116" s="3">
        <f t="shared" ca="1" si="19"/>
        <v>46100</v>
      </c>
      <c r="N116">
        <f t="shared" ca="1" si="20"/>
        <v>8606</v>
      </c>
      <c r="O116">
        <f t="shared" ca="1" si="21"/>
        <v>8606</v>
      </c>
      <c r="P116">
        <f t="shared" ca="1" si="22"/>
        <v>6149</v>
      </c>
      <c r="Q116">
        <v>46</v>
      </c>
      <c r="R116" t="str">
        <f t="shared" si="23"/>
        <v>Old</v>
      </c>
      <c r="S116" t="s">
        <v>24</v>
      </c>
      <c r="T116">
        <v>4</v>
      </c>
      <c r="U116" t="s">
        <v>45</v>
      </c>
      <c r="V116">
        <v>1117.05</v>
      </c>
      <c r="W116" t="s">
        <v>58</v>
      </c>
      <c r="X116" t="s">
        <v>55</v>
      </c>
      <c r="Y116">
        <v>29</v>
      </c>
      <c r="Z116" t="str">
        <f t="shared" si="24"/>
        <v>Bad Employee</v>
      </c>
      <c r="AA116" t="b">
        <f t="shared" si="25"/>
        <v>0</v>
      </c>
      <c r="AB116" t="b">
        <f>OR(Y116&gt;20, T116&gt;6)</f>
        <v>1</v>
      </c>
      <c r="AC116" t="str">
        <f>IF(OR(Y116&gt;20,T116&gt;6), "Good employee", "Bad Employee")</f>
        <v>Good employee</v>
      </c>
      <c r="AD116" t="s">
        <v>28</v>
      </c>
      <c r="AE116" t="s">
        <v>62</v>
      </c>
      <c r="AF116">
        <v>14</v>
      </c>
      <c r="AG116">
        <v>2019</v>
      </c>
      <c r="AH116" t="s">
        <v>49</v>
      </c>
      <c r="AI116">
        <v>36</v>
      </c>
      <c r="AJ116">
        <v>3.2</v>
      </c>
    </row>
    <row r="117" spans="1:36" x14ac:dyDescent="0.25">
      <c r="A117">
        <v>10116</v>
      </c>
      <c r="B117" t="s">
        <v>31</v>
      </c>
      <c r="C117" t="s">
        <v>63</v>
      </c>
      <c r="D117" t="s">
        <v>54</v>
      </c>
      <c r="E117" t="str">
        <f t="shared" si="13"/>
        <v>Emily Miller is in Finance Department</v>
      </c>
      <c r="F117" s="6" t="str">
        <f t="shared" si="14"/>
        <v>emilymiller@gmail.com</v>
      </c>
      <c r="G117">
        <v>109082</v>
      </c>
      <c r="H117" t="str">
        <f t="shared" si="15"/>
        <v>High</v>
      </c>
      <c r="I117" s="3">
        <v>36767</v>
      </c>
      <c r="J117">
        <f t="shared" si="16"/>
        <v>2000</v>
      </c>
      <c r="K117">
        <f t="shared" si="17"/>
        <v>8</v>
      </c>
      <c r="L117">
        <f t="shared" si="18"/>
        <v>29</v>
      </c>
      <c r="M117" s="3">
        <f t="shared" ca="1" si="19"/>
        <v>46100</v>
      </c>
      <c r="N117">
        <f t="shared" ca="1" si="20"/>
        <v>9333</v>
      </c>
      <c r="O117">
        <f t="shared" ca="1" si="21"/>
        <v>9333</v>
      </c>
      <c r="P117">
        <f t="shared" ca="1" si="22"/>
        <v>6668</v>
      </c>
      <c r="Q117">
        <v>49</v>
      </c>
      <c r="R117" t="str">
        <f t="shared" si="23"/>
        <v>Old</v>
      </c>
      <c r="S117" t="s">
        <v>24</v>
      </c>
      <c r="T117">
        <v>6</v>
      </c>
      <c r="U117" t="s">
        <v>45</v>
      </c>
      <c r="V117">
        <v>9669.9500000000007</v>
      </c>
      <c r="W117" t="s">
        <v>58</v>
      </c>
      <c r="X117" t="s">
        <v>36</v>
      </c>
      <c r="Y117">
        <v>4</v>
      </c>
      <c r="Z117" t="str">
        <f t="shared" si="24"/>
        <v>Bad Employee</v>
      </c>
      <c r="AA117" t="b">
        <f t="shared" si="25"/>
        <v>0</v>
      </c>
      <c r="AB117" t="b">
        <f>OR(Y117&gt;20, T117&gt;6)</f>
        <v>0</v>
      </c>
      <c r="AC117" t="str">
        <f>IF(OR(Y117&gt;20,T117&gt;6), "Good employee", "Bad Employee")</f>
        <v>Bad Employee</v>
      </c>
      <c r="AD117" t="s">
        <v>56</v>
      </c>
      <c r="AE117" t="s">
        <v>29</v>
      </c>
      <c r="AF117">
        <v>10</v>
      </c>
      <c r="AG117">
        <v>2023</v>
      </c>
      <c r="AH117" t="s">
        <v>43</v>
      </c>
      <c r="AI117">
        <v>77</v>
      </c>
      <c r="AJ117">
        <v>3.7</v>
      </c>
    </row>
    <row r="118" spans="1:36" x14ac:dyDescent="0.25">
      <c r="A118">
        <v>10117</v>
      </c>
      <c r="B118" t="s">
        <v>66</v>
      </c>
      <c r="C118" t="s">
        <v>32</v>
      </c>
      <c r="D118" t="s">
        <v>33</v>
      </c>
      <c r="E118" t="str">
        <f t="shared" si="13"/>
        <v>John Wilson is in Marketing Department</v>
      </c>
      <c r="F118" s="6" t="str">
        <f t="shared" si="14"/>
        <v>johnwilson@gmail.com</v>
      </c>
      <c r="G118">
        <v>36805</v>
      </c>
      <c r="H118" t="str">
        <f t="shared" si="15"/>
        <v>extremely low</v>
      </c>
      <c r="I118" s="3">
        <v>39972</v>
      </c>
      <c r="J118">
        <f t="shared" si="16"/>
        <v>2009</v>
      </c>
      <c r="K118">
        <f t="shared" si="17"/>
        <v>6</v>
      </c>
      <c r="L118">
        <f t="shared" si="18"/>
        <v>8</v>
      </c>
      <c r="M118" s="3">
        <f t="shared" ca="1" si="19"/>
        <v>46100</v>
      </c>
      <c r="N118">
        <f t="shared" ca="1" si="20"/>
        <v>6128</v>
      </c>
      <c r="O118">
        <f t="shared" ca="1" si="21"/>
        <v>6128</v>
      </c>
      <c r="P118">
        <f t="shared" ca="1" si="22"/>
        <v>4379</v>
      </c>
      <c r="Q118">
        <v>40</v>
      </c>
      <c r="R118" t="str">
        <f t="shared" si="23"/>
        <v>Old</v>
      </c>
      <c r="S118" t="s">
        <v>24</v>
      </c>
      <c r="T118">
        <v>2</v>
      </c>
      <c r="U118" t="s">
        <v>45</v>
      </c>
      <c r="V118">
        <v>1942.15</v>
      </c>
      <c r="W118" t="s">
        <v>46</v>
      </c>
      <c r="X118" t="s">
        <v>55</v>
      </c>
      <c r="Y118">
        <v>10</v>
      </c>
      <c r="Z118" t="str">
        <f t="shared" si="24"/>
        <v>Bad Employee</v>
      </c>
      <c r="AA118" t="b">
        <f t="shared" si="25"/>
        <v>0</v>
      </c>
      <c r="AB118" t="b">
        <f>OR(Y118&gt;20, T118&gt;6)</f>
        <v>0</v>
      </c>
      <c r="AC118" t="str">
        <f>IF(OR(Y118&gt;20,T118&gt;6), "Good employee", "Bad Employee")</f>
        <v>Bad Employee</v>
      </c>
      <c r="AD118" t="s">
        <v>41</v>
      </c>
      <c r="AE118" t="s">
        <v>42</v>
      </c>
      <c r="AF118">
        <v>1</v>
      </c>
      <c r="AG118">
        <v>2017</v>
      </c>
      <c r="AH118" t="s">
        <v>30</v>
      </c>
      <c r="AI118">
        <v>198</v>
      </c>
      <c r="AJ118">
        <v>1.1000000000000001</v>
      </c>
    </row>
    <row r="119" spans="1:36" x14ac:dyDescent="0.25">
      <c r="A119">
        <v>10118</v>
      </c>
      <c r="B119" t="s">
        <v>64</v>
      </c>
      <c r="C119" t="s">
        <v>22</v>
      </c>
      <c r="D119" t="s">
        <v>44</v>
      </c>
      <c r="E119" t="str">
        <f t="shared" si="13"/>
        <v>Katie Williams is in Sales Department</v>
      </c>
      <c r="F119" s="6" t="str">
        <f t="shared" si="14"/>
        <v>katiewilliams@gmail.com</v>
      </c>
      <c r="G119">
        <v>112324</v>
      </c>
      <c r="H119" t="str">
        <f t="shared" si="15"/>
        <v>High</v>
      </c>
      <c r="I119" s="3">
        <v>40760</v>
      </c>
      <c r="J119">
        <f t="shared" si="16"/>
        <v>2011</v>
      </c>
      <c r="K119">
        <f t="shared" si="17"/>
        <v>8</v>
      </c>
      <c r="L119">
        <f t="shared" si="18"/>
        <v>5</v>
      </c>
      <c r="M119" s="3">
        <f t="shared" ca="1" si="19"/>
        <v>46100</v>
      </c>
      <c r="N119">
        <f t="shared" ca="1" si="20"/>
        <v>5340</v>
      </c>
      <c r="O119">
        <f t="shared" ca="1" si="21"/>
        <v>5340</v>
      </c>
      <c r="P119">
        <f t="shared" ca="1" si="22"/>
        <v>3815</v>
      </c>
      <c r="Q119">
        <v>28</v>
      </c>
      <c r="R119" t="str">
        <f t="shared" si="23"/>
        <v>Young</v>
      </c>
      <c r="S119" t="s">
        <v>24</v>
      </c>
      <c r="T119">
        <v>3</v>
      </c>
      <c r="U119" t="s">
        <v>25</v>
      </c>
      <c r="V119">
        <v>3297.39</v>
      </c>
      <c r="W119" t="s">
        <v>46</v>
      </c>
      <c r="X119" t="s">
        <v>47</v>
      </c>
      <c r="Y119">
        <v>36</v>
      </c>
      <c r="Z119" t="str">
        <f t="shared" si="24"/>
        <v>Bad Employee</v>
      </c>
      <c r="AA119" t="b">
        <f t="shared" si="25"/>
        <v>0</v>
      </c>
      <c r="AB119" t="b">
        <f>OR(Y119&gt;20, T119&gt;6)</f>
        <v>1</v>
      </c>
      <c r="AC119" t="str">
        <f>IF(OR(Y119&gt;20,T119&gt;6), "Good employee", "Bad Employee")</f>
        <v>Good employee</v>
      </c>
      <c r="AD119" t="s">
        <v>28</v>
      </c>
      <c r="AE119" t="s">
        <v>59</v>
      </c>
      <c r="AF119">
        <v>17</v>
      </c>
      <c r="AG119">
        <v>2012</v>
      </c>
      <c r="AH119" t="s">
        <v>30</v>
      </c>
      <c r="AI119">
        <v>174</v>
      </c>
      <c r="AJ119">
        <v>1.5</v>
      </c>
    </row>
    <row r="120" spans="1:36" x14ac:dyDescent="0.25">
      <c r="A120">
        <v>10119</v>
      </c>
      <c r="B120" t="s">
        <v>53</v>
      </c>
      <c r="C120" t="s">
        <v>63</v>
      </c>
      <c r="D120" t="s">
        <v>44</v>
      </c>
      <c r="E120" t="str">
        <f t="shared" si="13"/>
        <v>Sarah Miller is in Sales Department</v>
      </c>
      <c r="F120" s="6" t="str">
        <f t="shared" si="14"/>
        <v>sarahmiller@gmail.com</v>
      </c>
      <c r="G120">
        <v>92028</v>
      </c>
      <c r="H120" t="str">
        <f t="shared" si="15"/>
        <v>High</v>
      </c>
      <c r="I120" s="3">
        <v>38670</v>
      </c>
      <c r="J120">
        <f t="shared" si="16"/>
        <v>2005</v>
      </c>
      <c r="K120">
        <f t="shared" si="17"/>
        <v>11</v>
      </c>
      <c r="L120">
        <f t="shared" si="18"/>
        <v>14</v>
      </c>
      <c r="M120" s="3">
        <f t="shared" ca="1" si="19"/>
        <v>46100</v>
      </c>
      <c r="N120">
        <f t="shared" ca="1" si="20"/>
        <v>7430</v>
      </c>
      <c r="O120">
        <f t="shared" ca="1" si="21"/>
        <v>7430</v>
      </c>
      <c r="P120">
        <f t="shared" ca="1" si="22"/>
        <v>5309</v>
      </c>
      <c r="Q120">
        <v>62</v>
      </c>
      <c r="R120" t="str">
        <f t="shared" si="23"/>
        <v>Old</v>
      </c>
      <c r="S120" t="s">
        <v>24</v>
      </c>
      <c r="T120">
        <v>7</v>
      </c>
      <c r="U120" t="s">
        <v>45</v>
      </c>
      <c r="V120">
        <v>7792.53</v>
      </c>
      <c r="W120" t="s">
        <v>35</v>
      </c>
      <c r="X120" t="s">
        <v>36</v>
      </c>
      <c r="Y120">
        <v>35</v>
      </c>
      <c r="Z120" t="str">
        <f t="shared" si="24"/>
        <v>Good Employee</v>
      </c>
      <c r="AA120" t="b">
        <f t="shared" si="25"/>
        <v>1</v>
      </c>
      <c r="AB120" t="b">
        <f>OR(Y120&gt;20, T120&gt;6)</f>
        <v>1</v>
      </c>
      <c r="AC120" t="str">
        <f>IF(OR(Y120&gt;20,T120&gt;6), "Good employee", "Bad Employee")</f>
        <v>Good employee</v>
      </c>
      <c r="AD120" t="s">
        <v>28</v>
      </c>
      <c r="AE120" t="s">
        <v>29</v>
      </c>
      <c r="AF120">
        <v>13</v>
      </c>
      <c r="AG120">
        <v>2022</v>
      </c>
      <c r="AH120" t="s">
        <v>49</v>
      </c>
      <c r="AI120">
        <v>54</v>
      </c>
      <c r="AJ120">
        <v>1.4</v>
      </c>
    </row>
    <row r="121" spans="1:36" x14ac:dyDescent="0.25">
      <c r="A121">
        <v>10120</v>
      </c>
      <c r="B121" t="s">
        <v>38</v>
      </c>
      <c r="C121" t="s">
        <v>57</v>
      </c>
      <c r="D121" t="s">
        <v>54</v>
      </c>
      <c r="E121" t="str">
        <f t="shared" si="13"/>
        <v>Chris Davis is in Finance Department</v>
      </c>
      <c r="F121" s="6" t="str">
        <f t="shared" si="14"/>
        <v>chrisdavis@gmail.com</v>
      </c>
      <c r="G121">
        <v>80772</v>
      </c>
      <c r="H121" t="str">
        <f t="shared" si="15"/>
        <v>High</v>
      </c>
      <c r="I121" s="3">
        <v>36672</v>
      </c>
      <c r="J121">
        <f t="shared" si="16"/>
        <v>2000</v>
      </c>
      <c r="K121">
        <f t="shared" si="17"/>
        <v>5</v>
      </c>
      <c r="L121">
        <f t="shared" si="18"/>
        <v>26</v>
      </c>
      <c r="M121" s="3">
        <f t="shared" ca="1" si="19"/>
        <v>46100</v>
      </c>
      <c r="N121">
        <f t="shared" ca="1" si="20"/>
        <v>9428</v>
      </c>
      <c r="O121">
        <f t="shared" ca="1" si="21"/>
        <v>9428</v>
      </c>
      <c r="P121">
        <f t="shared" ca="1" si="22"/>
        <v>6735</v>
      </c>
      <c r="Q121">
        <v>38</v>
      </c>
      <c r="R121" t="str">
        <f t="shared" si="23"/>
        <v>Old</v>
      </c>
      <c r="S121" t="s">
        <v>34</v>
      </c>
      <c r="T121">
        <v>4</v>
      </c>
      <c r="U121" t="s">
        <v>25</v>
      </c>
      <c r="V121">
        <v>4391.93</v>
      </c>
      <c r="W121" t="s">
        <v>35</v>
      </c>
      <c r="X121" t="s">
        <v>55</v>
      </c>
      <c r="Y121">
        <v>21</v>
      </c>
      <c r="Z121" t="str">
        <f t="shared" si="24"/>
        <v>Bad Employee</v>
      </c>
      <c r="AA121" t="b">
        <f t="shared" si="25"/>
        <v>0</v>
      </c>
      <c r="AB121" t="b">
        <f>OR(Y121&gt;20, T121&gt;6)</f>
        <v>1</v>
      </c>
      <c r="AC121" t="str">
        <f>IF(OR(Y121&gt;20,T121&gt;6), "Good employee", "Bad Employee")</f>
        <v>Good employee</v>
      </c>
      <c r="AD121" t="s">
        <v>56</v>
      </c>
      <c r="AE121" t="s">
        <v>37</v>
      </c>
      <c r="AF121">
        <v>17</v>
      </c>
      <c r="AG121">
        <v>2019</v>
      </c>
      <c r="AH121" t="s">
        <v>30</v>
      </c>
      <c r="AI121">
        <v>61</v>
      </c>
      <c r="AJ121">
        <v>1.4</v>
      </c>
    </row>
    <row r="122" spans="1:36" x14ac:dyDescent="0.25">
      <c r="A122">
        <v>10121</v>
      </c>
      <c r="B122" t="s">
        <v>53</v>
      </c>
      <c r="C122" t="s">
        <v>32</v>
      </c>
      <c r="D122" t="s">
        <v>52</v>
      </c>
      <c r="E122" t="str">
        <f t="shared" si="13"/>
        <v>Sarah Wilson is in Operations Department</v>
      </c>
      <c r="F122" s="6" t="str">
        <f t="shared" si="14"/>
        <v>sarahwilson@gmail.com</v>
      </c>
      <c r="G122">
        <v>82104</v>
      </c>
      <c r="H122" t="str">
        <f t="shared" si="15"/>
        <v>High</v>
      </c>
      <c r="I122" s="3">
        <v>41702</v>
      </c>
      <c r="J122">
        <f t="shared" si="16"/>
        <v>2014</v>
      </c>
      <c r="K122">
        <f t="shared" si="17"/>
        <v>3</v>
      </c>
      <c r="L122">
        <f t="shared" si="18"/>
        <v>4</v>
      </c>
      <c r="M122" s="3">
        <f t="shared" ca="1" si="19"/>
        <v>46100</v>
      </c>
      <c r="N122">
        <f t="shared" ca="1" si="20"/>
        <v>4398</v>
      </c>
      <c r="O122">
        <f t="shared" ca="1" si="21"/>
        <v>4398</v>
      </c>
      <c r="P122">
        <f t="shared" ca="1" si="22"/>
        <v>3143</v>
      </c>
      <c r="Q122">
        <v>23</v>
      </c>
      <c r="R122" t="str">
        <f t="shared" si="23"/>
        <v>Young</v>
      </c>
      <c r="S122" t="s">
        <v>24</v>
      </c>
      <c r="T122">
        <v>7</v>
      </c>
      <c r="U122" t="s">
        <v>25</v>
      </c>
      <c r="V122">
        <v>2223.92</v>
      </c>
      <c r="W122" t="s">
        <v>26</v>
      </c>
      <c r="X122" t="s">
        <v>55</v>
      </c>
      <c r="Y122">
        <v>1</v>
      </c>
      <c r="Z122" t="str">
        <f t="shared" si="24"/>
        <v>Bad Employee</v>
      </c>
      <c r="AA122" t="b">
        <f t="shared" si="25"/>
        <v>0</v>
      </c>
      <c r="AB122" t="b">
        <f>OR(Y122&gt;20, T122&gt;6)</f>
        <v>1</v>
      </c>
      <c r="AC122" t="str">
        <f>IF(OR(Y122&gt;20,T122&gt;6), "Good employee", "Bad Employee")</f>
        <v>Good employee</v>
      </c>
      <c r="AD122" t="s">
        <v>41</v>
      </c>
      <c r="AE122" t="s">
        <v>62</v>
      </c>
      <c r="AF122">
        <v>1</v>
      </c>
      <c r="AG122">
        <v>2021</v>
      </c>
      <c r="AH122" t="s">
        <v>30</v>
      </c>
      <c r="AI122">
        <v>121</v>
      </c>
      <c r="AJ122">
        <v>2</v>
      </c>
    </row>
    <row r="123" spans="1:36" x14ac:dyDescent="0.25">
      <c r="A123">
        <v>10122</v>
      </c>
      <c r="B123" t="s">
        <v>38</v>
      </c>
      <c r="C123" t="s">
        <v>57</v>
      </c>
      <c r="D123" t="s">
        <v>54</v>
      </c>
      <c r="E123" t="str">
        <f t="shared" si="13"/>
        <v>Chris Davis is in Finance Department</v>
      </c>
      <c r="F123" s="6" t="str">
        <f t="shared" si="14"/>
        <v>chrisdavis@gmail.com</v>
      </c>
      <c r="G123">
        <v>103616</v>
      </c>
      <c r="H123" t="str">
        <f t="shared" si="15"/>
        <v>High</v>
      </c>
      <c r="I123" s="3">
        <v>41687</v>
      </c>
      <c r="J123">
        <f t="shared" si="16"/>
        <v>2014</v>
      </c>
      <c r="K123">
        <f t="shared" si="17"/>
        <v>2</v>
      </c>
      <c r="L123">
        <f t="shared" si="18"/>
        <v>17</v>
      </c>
      <c r="M123" s="3">
        <f t="shared" ca="1" si="19"/>
        <v>46100</v>
      </c>
      <c r="N123">
        <f t="shared" ca="1" si="20"/>
        <v>4413</v>
      </c>
      <c r="O123">
        <f t="shared" ca="1" si="21"/>
        <v>4413</v>
      </c>
      <c r="P123">
        <f t="shared" ca="1" si="22"/>
        <v>3154</v>
      </c>
      <c r="Q123">
        <v>37</v>
      </c>
      <c r="R123" t="str">
        <f t="shared" si="23"/>
        <v>Old</v>
      </c>
      <c r="S123" t="s">
        <v>24</v>
      </c>
      <c r="T123">
        <v>9</v>
      </c>
      <c r="U123" t="s">
        <v>45</v>
      </c>
      <c r="V123">
        <v>4938.71</v>
      </c>
      <c r="W123" t="s">
        <v>46</v>
      </c>
      <c r="X123" t="s">
        <v>55</v>
      </c>
      <c r="Y123">
        <v>12</v>
      </c>
      <c r="Z123" t="str">
        <f t="shared" si="24"/>
        <v>Bad Employee</v>
      </c>
      <c r="AA123" t="b">
        <f t="shared" si="25"/>
        <v>0</v>
      </c>
      <c r="AB123" t="b">
        <f>OR(Y123&gt;20, T123&gt;6)</f>
        <v>1</v>
      </c>
      <c r="AC123" t="str">
        <f>IF(OR(Y123&gt;20,T123&gt;6), "Good employee", "Bad Employee")</f>
        <v>Good employee</v>
      </c>
      <c r="AD123" t="s">
        <v>56</v>
      </c>
      <c r="AE123" t="s">
        <v>62</v>
      </c>
      <c r="AF123">
        <v>3</v>
      </c>
      <c r="AG123">
        <v>2016</v>
      </c>
      <c r="AH123" t="s">
        <v>43</v>
      </c>
      <c r="AI123">
        <v>196</v>
      </c>
      <c r="AJ123">
        <v>3.1</v>
      </c>
    </row>
    <row r="124" spans="1:36" x14ac:dyDescent="0.25">
      <c r="A124">
        <v>10123</v>
      </c>
      <c r="B124" t="s">
        <v>60</v>
      </c>
      <c r="C124" t="s">
        <v>32</v>
      </c>
      <c r="D124" t="s">
        <v>39</v>
      </c>
      <c r="E124" t="str">
        <f t="shared" si="13"/>
        <v>Jane Wilson is in IT Department</v>
      </c>
      <c r="F124" s="6" t="str">
        <f t="shared" si="14"/>
        <v>janewilson@gmail.com</v>
      </c>
      <c r="G124">
        <v>119300</v>
      </c>
      <c r="H124" t="str">
        <f t="shared" si="15"/>
        <v>High</v>
      </c>
      <c r="I124" s="3">
        <v>43535</v>
      </c>
      <c r="J124">
        <f t="shared" si="16"/>
        <v>2019</v>
      </c>
      <c r="K124">
        <f t="shared" si="17"/>
        <v>3</v>
      </c>
      <c r="L124">
        <f t="shared" si="18"/>
        <v>11</v>
      </c>
      <c r="M124" s="3">
        <f t="shared" ca="1" si="19"/>
        <v>46100</v>
      </c>
      <c r="N124">
        <f t="shared" ca="1" si="20"/>
        <v>2565</v>
      </c>
      <c r="O124">
        <f t="shared" ca="1" si="21"/>
        <v>2565</v>
      </c>
      <c r="P124">
        <f t="shared" ca="1" si="22"/>
        <v>1834</v>
      </c>
      <c r="Q124">
        <v>60</v>
      </c>
      <c r="R124" t="str">
        <f t="shared" si="23"/>
        <v>Old</v>
      </c>
      <c r="S124" t="s">
        <v>34</v>
      </c>
      <c r="T124">
        <v>5</v>
      </c>
      <c r="U124" t="s">
        <v>45</v>
      </c>
      <c r="V124">
        <v>5905.02</v>
      </c>
      <c r="W124" t="s">
        <v>46</v>
      </c>
      <c r="X124" t="s">
        <v>55</v>
      </c>
      <c r="Y124">
        <v>24</v>
      </c>
      <c r="Z124" t="str">
        <f t="shared" si="24"/>
        <v>Bad Employee</v>
      </c>
      <c r="AA124" t="b">
        <f t="shared" si="25"/>
        <v>0</v>
      </c>
      <c r="AB124" t="b">
        <f>OR(Y124&gt;20, T124&gt;6)</f>
        <v>1</v>
      </c>
      <c r="AC124" t="str">
        <f>IF(OR(Y124&gt;20,T124&gt;6), "Good employee", "Bad Employee")</f>
        <v>Good employee</v>
      </c>
      <c r="AD124" t="s">
        <v>28</v>
      </c>
      <c r="AE124" t="s">
        <v>62</v>
      </c>
      <c r="AF124">
        <v>13</v>
      </c>
      <c r="AG124">
        <v>2023</v>
      </c>
      <c r="AH124" t="s">
        <v>43</v>
      </c>
      <c r="AI124">
        <v>178</v>
      </c>
      <c r="AJ124">
        <v>1.5</v>
      </c>
    </row>
    <row r="125" spans="1:36" x14ac:dyDescent="0.25">
      <c r="A125">
        <v>10124</v>
      </c>
      <c r="B125" t="s">
        <v>21</v>
      </c>
      <c r="C125" t="s">
        <v>61</v>
      </c>
      <c r="D125" t="s">
        <v>39</v>
      </c>
      <c r="E125" t="str">
        <f t="shared" si="13"/>
        <v>Michael Smith is in IT Department</v>
      </c>
      <c r="F125" s="6" t="str">
        <f t="shared" si="14"/>
        <v>michaelsmith@gmail.com</v>
      </c>
      <c r="G125">
        <v>36630</v>
      </c>
      <c r="H125" t="str">
        <f t="shared" si="15"/>
        <v>extremely low</v>
      </c>
      <c r="I125" s="3">
        <v>37068</v>
      </c>
      <c r="J125">
        <f t="shared" si="16"/>
        <v>2001</v>
      </c>
      <c r="K125">
        <f t="shared" si="17"/>
        <v>6</v>
      </c>
      <c r="L125">
        <f t="shared" si="18"/>
        <v>26</v>
      </c>
      <c r="M125" s="3">
        <f t="shared" ca="1" si="19"/>
        <v>46100</v>
      </c>
      <c r="N125">
        <f t="shared" ca="1" si="20"/>
        <v>9032</v>
      </c>
      <c r="O125">
        <f t="shared" ca="1" si="21"/>
        <v>9032</v>
      </c>
      <c r="P125">
        <f t="shared" ca="1" si="22"/>
        <v>6453</v>
      </c>
      <c r="Q125">
        <v>39</v>
      </c>
      <c r="R125" t="str">
        <f t="shared" si="23"/>
        <v>Old</v>
      </c>
      <c r="S125" t="s">
        <v>24</v>
      </c>
      <c r="T125">
        <v>1</v>
      </c>
      <c r="U125" t="s">
        <v>45</v>
      </c>
      <c r="V125">
        <v>4801.28</v>
      </c>
      <c r="W125" t="s">
        <v>58</v>
      </c>
      <c r="X125" t="s">
        <v>36</v>
      </c>
      <c r="Y125">
        <v>2</v>
      </c>
      <c r="Z125" t="str">
        <f t="shared" si="24"/>
        <v>Bad Employee</v>
      </c>
      <c r="AA125" t="b">
        <f t="shared" si="25"/>
        <v>0</v>
      </c>
      <c r="AB125" t="b">
        <f>OR(Y125&gt;20, T125&gt;6)</f>
        <v>0</v>
      </c>
      <c r="AC125" t="str">
        <f>IF(OR(Y125&gt;20,T125&gt;6), "Good employee", "Bad Employee")</f>
        <v>Bad Employee</v>
      </c>
      <c r="AD125" t="s">
        <v>28</v>
      </c>
      <c r="AE125" t="s">
        <v>59</v>
      </c>
      <c r="AF125">
        <v>6</v>
      </c>
      <c r="AG125">
        <v>2020</v>
      </c>
      <c r="AH125" t="s">
        <v>43</v>
      </c>
      <c r="AI125">
        <v>115</v>
      </c>
      <c r="AJ125">
        <v>4.7</v>
      </c>
    </row>
    <row r="126" spans="1:36" x14ac:dyDescent="0.25">
      <c r="A126">
        <v>10125</v>
      </c>
      <c r="B126" t="s">
        <v>38</v>
      </c>
      <c r="C126" t="s">
        <v>61</v>
      </c>
      <c r="D126" t="s">
        <v>44</v>
      </c>
      <c r="E126" t="str">
        <f t="shared" si="13"/>
        <v>Chris Smith is in Sales Department</v>
      </c>
      <c r="F126" s="6" t="str">
        <f t="shared" si="14"/>
        <v>chrissmith@gmail.com</v>
      </c>
      <c r="G126">
        <v>45701</v>
      </c>
      <c r="H126" t="str">
        <f t="shared" si="15"/>
        <v>low</v>
      </c>
      <c r="I126" s="3">
        <v>37217</v>
      </c>
      <c r="J126">
        <f t="shared" si="16"/>
        <v>2001</v>
      </c>
      <c r="K126">
        <f t="shared" si="17"/>
        <v>11</v>
      </c>
      <c r="L126">
        <f t="shared" si="18"/>
        <v>22</v>
      </c>
      <c r="M126" s="3">
        <f t="shared" ca="1" si="19"/>
        <v>46100</v>
      </c>
      <c r="N126">
        <f t="shared" ca="1" si="20"/>
        <v>8883</v>
      </c>
      <c r="O126">
        <f t="shared" ca="1" si="21"/>
        <v>8883</v>
      </c>
      <c r="P126">
        <f t="shared" ca="1" si="22"/>
        <v>6346</v>
      </c>
      <c r="Q126">
        <v>60</v>
      </c>
      <c r="R126" t="str">
        <f t="shared" si="23"/>
        <v>Old</v>
      </c>
      <c r="S126" t="s">
        <v>24</v>
      </c>
      <c r="T126">
        <v>5</v>
      </c>
      <c r="U126" t="s">
        <v>25</v>
      </c>
      <c r="V126">
        <v>9229.99</v>
      </c>
      <c r="W126" t="s">
        <v>26</v>
      </c>
      <c r="X126" t="s">
        <v>47</v>
      </c>
      <c r="Y126">
        <v>20</v>
      </c>
      <c r="Z126" t="str">
        <f t="shared" si="24"/>
        <v>Bad Employee</v>
      </c>
      <c r="AA126" t="b">
        <f t="shared" si="25"/>
        <v>0</v>
      </c>
      <c r="AB126" t="b">
        <f>OR(Y126&gt;20, T126&gt;6)</f>
        <v>0</v>
      </c>
      <c r="AC126" t="str">
        <f>IF(OR(Y126&gt;20,T126&gt;6), "Good employee", "Bad Employee")</f>
        <v>Bad Employee</v>
      </c>
      <c r="AD126" t="s">
        <v>41</v>
      </c>
      <c r="AE126" t="s">
        <v>29</v>
      </c>
      <c r="AF126">
        <v>14</v>
      </c>
      <c r="AG126">
        <v>2022</v>
      </c>
      <c r="AH126" t="s">
        <v>30</v>
      </c>
      <c r="AI126">
        <v>93</v>
      </c>
      <c r="AJ126">
        <v>4.4000000000000004</v>
      </c>
    </row>
    <row r="127" spans="1:36" x14ac:dyDescent="0.25">
      <c r="A127">
        <v>10126</v>
      </c>
      <c r="B127" t="s">
        <v>53</v>
      </c>
      <c r="C127" t="s">
        <v>61</v>
      </c>
      <c r="D127" t="s">
        <v>44</v>
      </c>
      <c r="E127" t="str">
        <f t="shared" si="13"/>
        <v>Sarah Smith is in Sales Department</v>
      </c>
      <c r="F127" s="6" t="str">
        <f t="shared" si="14"/>
        <v>sarahsmith@gmail.com</v>
      </c>
      <c r="G127">
        <v>44859</v>
      </c>
      <c r="H127" t="str">
        <f t="shared" si="15"/>
        <v>low</v>
      </c>
      <c r="I127" s="3">
        <v>37551</v>
      </c>
      <c r="J127">
        <f t="shared" si="16"/>
        <v>2002</v>
      </c>
      <c r="K127">
        <f t="shared" si="17"/>
        <v>10</v>
      </c>
      <c r="L127">
        <f t="shared" si="18"/>
        <v>22</v>
      </c>
      <c r="M127" s="3">
        <f t="shared" ca="1" si="19"/>
        <v>46100</v>
      </c>
      <c r="N127">
        <f t="shared" ca="1" si="20"/>
        <v>8549</v>
      </c>
      <c r="O127">
        <f t="shared" ca="1" si="21"/>
        <v>8549</v>
      </c>
      <c r="P127">
        <f t="shared" ca="1" si="22"/>
        <v>6108</v>
      </c>
      <c r="Q127">
        <v>22</v>
      </c>
      <c r="R127" t="str">
        <f t="shared" si="23"/>
        <v>Young</v>
      </c>
      <c r="S127" t="s">
        <v>24</v>
      </c>
      <c r="T127">
        <v>6</v>
      </c>
      <c r="U127" t="s">
        <v>25</v>
      </c>
      <c r="V127">
        <v>3204.64</v>
      </c>
      <c r="W127" t="s">
        <v>35</v>
      </c>
      <c r="X127" t="s">
        <v>27</v>
      </c>
      <c r="Y127">
        <v>16</v>
      </c>
      <c r="Z127" t="str">
        <f t="shared" si="24"/>
        <v>Bad Employee</v>
      </c>
      <c r="AA127" t="b">
        <f t="shared" si="25"/>
        <v>0</v>
      </c>
      <c r="AB127" t="b">
        <f>OR(Y127&gt;20, T127&gt;6)</f>
        <v>0</v>
      </c>
      <c r="AC127" t="str">
        <f>IF(OR(Y127&gt;20,T127&gt;6), "Good employee", "Bad Employee")</f>
        <v>Bad Employee</v>
      </c>
      <c r="AD127" t="s">
        <v>28</v>
      </c>
      <c r="AE127" t="s">
        <v>29</v>
      </c>
      <c r="AF127">
        <v>5</v>
      </c>
      <c r="AG127">
        <v>2011</v>
      </c>
      <c r="AH127" t="s">
        <v>30</v>
      </c>
      <c r="AI127">
        <v>108</v>
      </c>
      <c r="AJ127">
        <v>4.9000000000000004</v>
      </c>
    </row>
    <row r="128" spans="1:36" x14ac:dyDescent="0.25">
      <c r="A128">
        <v>10127</v>
      </c>
      <c r="B128" t="s">
        <v>60</v>
      </c>
      <c r="C128" t="s">
        <v>63</v>
      </c>
      <c r="D128" t="s">
        <v>54</v>
      </c>
      <c r="E128" t="str">
        <f t="shared" si="13"/>
        <v>Jane Miller is in Finance Department</v>
      </c>
      <c r="F128" s="6" t="str">
        <f t="shared" si="14"/>
        <v>janemiller@gmail.com</v>
      </c>
      <c r="G128">
        <v>51183</v>
      </c>
      <c r="H128" t="str">
        <f t="shared" si="15"/>
        <v>Medium</v>
      </c>
      <c r="I128" s="3">
        <v>40576</v>
      </c>
      <c r="J128">
        <f t="shared" si="16"/>
        <v>2011</v>
      </c>
      <c r="K128">
        <f t="shared" si="17"/>
        <v>2</v>
      </c>
      <c r="L128">
        <f t="shared" si="18"/>
        <v>2</v>
      </c>
      <c r="M128" s="3">
        <f t="shared" ca="1" si="19"/>
        <v>46100</v>
      </c>
      <c r="N128">
        <f t="shared" ca="1" si="20"/>
        <v>5524</v>
      </c>
      <c r="O128">
        <f t="shared" ca="1" si="21"/>
        <v>5524</v>
      </c>
      <c r="P128">
        <f t="shared" ca="1" si="22"/>
        <v>3947</v>
      </c>
      <c r="Q128">
        <v>24</v>
      </c>
      <c r="R128" t="str">
        <f t="shared" si="23"/>
        <v>Young</v>
      </c>
      <c r="S128" t="s">
        <v>24</v>
      </c>
      <c r="T128">
        <v>2</v>
      </c>
      <c r="U128" t="s">
        <v>25</v>
      </c>
      <c r="V128">
        <v>6782.66</v>
      </c>
      <c r="W128" t="s">
        <v>26</v>
      </c>
      <c r="X128" t="s">
        <v>55</v>
      </c>
      <c r="Y128">
        <v>34</v>
      </c>
      <c r="Z128" t="str">
        <f t="shared" si="24"/>
        <v>Bad Employee</v>
      </c>
      <c r="AA128" t="b">
        <f t="shared" si="25"/>
        <v>0</v>
      </c>
      <c r="AB128" t="b">
        <f>OR(Y128&gt;20, T128&gt;6)</f>
        <v>1</v>
      </c>
      <c r="AC128" t="str">
        <f>IF(OR(Y128&gt;20,T128&gt;6), "Good employee", "Bad Employee")</f>
        <v>Good employee</v>
      </c>
      <c r="AD128" t="s">
        <v>41</v>
      </c>
      <c r="AE128" t="s">
        <v>29</v>
      </c>
      <c r="AF128">
        <v>4</v>
      </c>
      <c r="AG128">
        <v>2018</v>
      </c>
      <c r="AH128" t="s">
        <v>43</v>
      </c>
      <c r="AI128">
        <v>58</v>
      </c>
      <c r="AJ128">
        <v>1.2</v>
      </c>
    </row>
    <row r="129" spans="1:36" x14ac:dyDescent="0.25">
      <c r="A129">
        <v>10128</v>
      </c>
      <c r="B129" t="s">
        <v>66</v>
      </c>
      <c r="C129" t="s">
        <v>57</v>
      </c>
      <c r="D129" t="s">
        <v>39</v>
      </c>
      <c r="E129" t="str">
        <f t="shared" si="13"/>
        <v>John Davis is in IT Department</v>
      </c>
      <c r="F129" s="6" t="str">
        <f t="shared" si="14"/>
        <v>johndavis@gmail.com</v>
      </c>
      <c r="G129">
        <v>70438</v>
      </c>
      <c r="H129" t="str">
        <f t="shared" si="15"/>
        <v>Medium</v>
      </c>
      <c r="I129" s="3">
        <v>40531</v>
      </c>
      <c r="J129">
        <f t="shared" si="16"/>
        <v>2010</v>
      </c>
      <c r="K129">
        <f t="shared" si="17"/>
        <v>12</v>
      </c>
      <c r="L129">
        <f t="shared" si="18"/>
        <v>19</v>
      </c>
      <c r="M129" s="3">
        <f t="shared" ca="1" si="19"/>
        <v>46100</v>
      </c>
      <c r="N129">
        <f t="shared" ca="1" si="20"/>
        <v>5569</v>
      </c>
      <c r="O129">
        <f t="shared" ca="1" si="21"/>
        <v>5569</v>
      </c>
      <c r="P129">
        <f t="shared" ca="1" si="22"/>
        <v>3979</v>
      </c>
      <c r="Q129">
        <v>42</v>
      </c>
      <c r="R129" t="str">
        <f t="shared" si="23"/>
        <v>Old</v>
      </c>
      <c r="S129" t="s">
        <v>24</v>
      </c>
      <c r="T129">
        <v>8</v>
      </c>
      <c r="U129" t="s">
        <v>45</v>
      </c>
      <c r="V129">
        <v>1566.8</v>
      </c>
      <c r="W129" t="s">
        <v>26</v>
      </c>
      <c r="X129" t="s">
        <v>27</v>
      </c>
      <c r="Y129">
        <v>13</v>
      </c>
      <c r="Z129" t="str">
        <f t="shared" si="24"/>
        <v>Bad Employee</v>
      </c>
      <c r="AA129" t="b">
        <f t="shared" si="25"/>
        <v>0</v>
      </c>
      <c r="AB129" t="b">
        <f>OR(Y129&gt;20, T129&gt;6)</f>
        <v>1</v>
      </c>
      <c r="AC129" t="str">
        <f>IF(OR(Y129&gt;20,T129&gt;6), "Good employee", "Bad Employee")</f>
        <v>Good employee</v>
      </c>
      <c r="AD129" t="s">
        <v>56</v>
      </c>
      <c r="AE129" t="s">
        <v>29</v>
      </c>
      <c r="AF129">
        <v>19</v>
      </c>
      <c r="AG129">
        <v>2022</v>
      </c>
      <c r="AH129" t="s">
        <v>30</v>
      </c>
      <c r="AI129">
        <v>57</v>
      </c>
      <c r="AJ129">
        <v>4.4000000000000004</v>
      </c>
    </row>
    <row r="130" spans="1:36" x14ac:dyDescent="0.25">
      <c r="A130">
        <v>10129</v>
      </c>
      <c r="B130" t="s">
        <v>31</v>
      </c>
      <c r="C130" t="s">
        <v>57</v>
      </c>
      <c r="D130" t="s">
        <v>39</v>
      </c>
      <c r="E130" t="str">
        <f t="shared" si="13"/>
        <v>Emily Davis is in IT Department</v>
      </c>
      <c r="F130" s="6" t="str">
        <f t="shared" si="14"/>
        <v>emilydavis@gmail.com</v>
      </c>
      <c r="G130">
        <v>72244</v>
      </c>
      <c r="H130" t="str">
        <f t="shared" si="15"/>
        <v>Medium</v>
      </c>
      <c r="I130" s="3">
        <v>39885</v>
      </c>
      <c r="J130">
        <f t="shared" si="16"/>
        <v>2009</v>
      </c>
      <c r="K130">
        <f t="shared" si="17"/>
        <v>3</v>
      </c>
      <c r="L130">
        <f t="shared" si="18"/>
        <v>13</v>
      </c>
      <c r="M130" s="3">
        <f t="shared" ca="1" si="19"/>
        <v>46100</v>
      </c>
      <c r="N130">
        <f t="shared" ca="1" si="20"/>
        <v>6215</v>
      </c>
      <c r="O130">
        <f t="shared" ca="1" si="21"/>
        <v>6215</v>
      </c>
      <c r="P130">
        <f t="shared" ca="1" si="22"/>
        <v>4440</v>
      </c>
      <c r="Q130">
        <v>51</v>
      </c>
      <c r="R130" t="str">
        <f t="shared" si="23"/>
        <v>Old</v>
      </c>
      <c r="S130" t="s">
        <v>34</v>
      </c>
      <c r="T130">
        <v>2</v>
      </c>
      <c r="U130" t="s">
        <v>45</v>
      </c>
      <c r="V130">
        <v>4226.71</v>
      </c>
      <c r="W130" t="s">
        <v>58</v>
      </c>
      <c r="X130" t="s">
        <v>27</v>
      </c>
      <c r="Y130">
        <v>18</v>
      </c>
      <c r="Z130" t="str">
        <f t="shared" si="24"/>
        <v>Bad Employee</v>
      </c>
      <c r="AA130" t="b">
        <f t="shared" si="25"/>
        <v>0</v>
      </c>
      <c r="AB130" t="b">
        <f>OR(Y130&gt;20, T130&gt;6)</f>
        <v>0</v>
      </c>
      <c r="AC130" t="str">
        <f>IF(OR(Y130&gt;20,T130&gt;6), "Good employee", "Bad Employee")</f>
        <v>Bad Employee</v>
      </c>
      <c r="AD130" t="s">
        <v>28</v>
      </c>
      <c r="AE130" t="s">
        <v>48</v>
      </c>
      <c r="AF130">
        <v>17</v>
      </c>
      <c r="AG130">
        <v>2022</v>
      </c>
      <c r="AH130" t="s">
        <v>43</v>
      </c>
      <c r="AI130">
        <v>161</v>
      </c>
      <c r="AJ130">
        <v>4.2</v>
      </c>
    </row>
    <row r="131" spans="1:36" x14ac:dyDescent="0.25">
      <c r="A131">
        <v>10130</v>
      </c>
      <c r="B131" t="s">
        <v>31</v>
      </c>
      <c r="C131" t="s">
        <v>57</v>
      </c>
      <c r="D131" t="s">
        <v>52</v>
      </c>
      <c r="E131" t="str">
        <f t="shared" ref="E131:E194" si="26">CONCATENATE(B131, " ", C131, " is in ", D131, " Department")</f>
        <v>Emily Davis is in Operations Department</v>
      </c>
      <c r="F131" s="6" t="str">
        <f t="shared" ref="F131:F194" si="27">LOWER(CONCATENATE(B131, C131, "@gmail.com"))</f>
        <v>emilydavis@gmail.com</v>
      </c>
      <c r="G131">
        <v>104312</v>
      </c>
      <c r="H131" t="str">
        <f t="shared" ref="H131:H194" si="28">IF(G131&gt;80000, "High", IF(G131&gt;50000, "Medium", IF(G131&gt;40000, "low", "extremely low")))</f>
        <v>High</v>
      </c>
      <c r="I131" s="3">
        <v>41783</v>
      </c>
      <c r="J131">
        <f t="shared" ref="J131:J194" si="29">YEAR(I131)</f>
        <v>2014</v>
      </c>
      <c r="K131">
        <f t="shared" ref="K131:K194" si="30">MONTH(I131)</f>
        <v>5</v>
      </c>
      <c r="L131">
        <f t="shared" ref="L131:L194" si="31">DAY(I131)</f>
        <v>24</v>
      </c>
      <c r="M131" s="3">
        <f t="shared" ref="M131:M194" ca="1" si="32">TODAY()</f>
        <v>46100</v>
      </c>
      <c r="N131">
        <f t="shared" ref="N131:N194" ca="1" si="33">M131-I131</f>
        <v>4317</v>
      </c>
      <c r="O131">
        <f t="shared" ref="O131:O194" ca="1" si="34">DATEDIF(I131,M131, "d")</f>
        <v>4317</v>
      </c>
      <c r="P131">
        <f t="shared" ref="P131:P194" ca="1" si="35">NETWORKDAYS(I131, M131)</f>
        <v>3084</v>
      </c>
      <c r="Q131">
        <v>32</v>
      </c>
      <c r="R131" t="str">
        <f t="shared" ref="R131:R194" si="36">IF(Q131&gt;30, "Old", "Young")</f>
        <v>Old</v>
      </c>
      <c r="S131" t="s">
        <v>24</v>
      </c>
      <c r="T131">
        <v>9</v>
      </c>
      <c r="U131" t="s">
        <v>45</v>
      </c>
      <c r="V131">
        <v>7539.44</v>
      </c>
      <c r="W131" t="s">
        <v>46</v>
      </c>
      <c r="X131" t="s">
        <v>27</v>
      </c>
      <c r="Y131">
        <v>29</v>
      </c>
      <c r="Z131" t="str">
        <f t="shared" ref="Z131:Z194" si="37" xml:space="preserve"> IF(AND(Y131&gt;20, T131&gt;6), "Good Employee", "Bad Employee")</f>
        <v>Good Employee</v>
      </c>
      <c r="AA131" t="b">
        <f t="shared" ref="AA131:AA194" si="38">AND(Y131&gt;20, T131&gt;6)</f>
        <v>1</v>
      </c>
      <c r="AB131" t="b">
        <f>OR(Y131&gt;20, T131&gt;6)</f>
        <v>1</v>
      </c>
      <c r="AC131" t="str">
        <f>IF(OR(Y131&gt;20,T131&gt;6), "Good employee", "Bad Employee")</f>
        <v>Good employee</v>
      </c>
      <c r="AD131" t="s">
        <v>28</v>
      </c>
      <c r="AE131" t="s">
        <v>48</v>
      </c>
      <c r="AF131">
        <v>10</v>
      </c>
      <c r="AG131">
        <v>2017</v>
      </c>
      <c r="AH131" t="s">
        <v>49</v>
      </c>
      <c r="AI131">
        <v>169</v>
      </c>
      <c r="AJ131">
        <v>4.5999999999999996</v>
      </c>
    </row>
    <row r="132" spans="1:36" x14ac:dyDescent="0.25">
      <c r="A132">
        <v>10131</v>
      </c>
      <c r="B132" t="s">
        <v>31</v>
      </c>
      <c r="C132" t="s">
        <v>22</v>
      </c>
      <c r="D132" t="s">
        <v>33</v>
      </c>
      <c r="E132" t="str">
        <f t="shared" si="26"/>
        <v>Emily Williams is in Marketing Department</v>
      </c>
      <c r="F132" s="6" t="str">
        <f t="shared" si="27"/>
        <v>emilywilliams@gmail.com</v>
      </c>
      <c r="G132">
        <v>45021</v>
      </c>
      <c r="H132" t="str">
        <f t="shared" si="28"/>
        <v>low</v>
      </c>
      <c r="I132" s="3">
        <v>42262</v>
      </c>
      <c r="J132">
        <f t="shared" si="29"/>
        <v>2015</v>
      </c>
      <c r="K132">
        <f t="shared" si="30"/>
        <v>9</v>
      </c>
      <c r="L132">
        <f t="shared" si="31"/>
        <v>15</v>
      </c>
      <c r="M132" s="3">
        <f t="shared" ca="1" si="32"/>
        <v>46100</v>
      </c>
      <c r="N132">
        <f t="shared" ca="1" si="33"/>
        <v>3838</v>
      </c>
      <c r="O132">
        <f t="shared" ca="1" si="34"/>
        <v>3838</v>
      </c>
      <c r="P132">
        <f t="shared" ca="1" si="35"/>
        <v>2743</v>
      </c>
      <c r="Q132">
        <v>43</v>
      </c>
      <c r="R132" t="str">
        <f t="shared" si="36"/>
        <v>Old</v>
      </c>
      <c r="S132" t="s">
        <v>34</v>
      </c>
      <c r="T132">
        <v>2</v>
      </c>
      <c r="U132" t="s">
        <v>45</v>
      </c>
      <c r="V132">
        <v>2635.76</v>
      </c>
      <c r="W132" t="s">
        <v>46</v>
      </c>
      <c r="X132" t="s">
        <v>55</v>
      </c>
      <c r="Y132">
        <v>14</v>
      </c>
      <c r="Z132" t="str">
        <f t="shared" si="37"/>
        <v>Bad Employee</v>
      </c>
      <c r="AA132" t="b">
        <f t="shared" si="38"/>
        <v>0</v>
      </c>
      <c r="AB132" t="b">
        <f>OR(Y132&gt;20, T132&gt;6)</f>
        <v>0</v>
      </c>
      <c r="AC132" t="str">
        <f>IF(OR(Y132&gt;20,T132&gt;6), "Good employee", "Bad Employee")</f>
        <v>Bad Employee</v>
      </c>
      <c r="AD132" t="s">
        <v>41</v>
      </c>
      <c r="AE132" t="s">
        <v>37</v>
      </c>
      <c r="AF132">
        <v>7</v>
      </c>
      <c r="AG132">
        <v>2018</v>
      </c>
      <c r="AH132" t="s">
        <v>49</v>
      </c>
      <c r="AI132">
        <v>73</v>
      </c>
      <c r="AJ132">
        <v>3.1</v>
      </c>
    </row>
    <row r="133" spans="1:36" x14ac:dyDescent="0.25">
      <c r="A133">
        <v>10132</v>
      </c>
      <c r="B133" t="s">
        <v>38</v>
      </c>
      <c r="C133" t="s">
        <v>57</v>
      </c>
      <c r="D133" t="s">
        <v>52</v>
      </c>
      <c r="E133" t="str">
        <f t="shared" si="26"/>
        <v>Chris Davis is in Operations Department</v>
      </c>
      <c r="F133" s="6" t="str">
        <f t="shared" si="27"/>
        <v>chrisdavis@gmail.com</v>
      </c>
      <c r="G133">
        <v>99863</v>
      </c>
      <c r="H133" t="str">
        <f t="shared" si="28"/>
        <v>High</v>
      </c>
      <c r="I133" s="3">
        <v>39477</v>
      </c>
      <c r="J133">
        <f t="shared" si="29"/>
        <v>2008</v>
      </c>
      <c r="K133">
        <f t="shared" si="30"/>
        <v>1</v>
      </c>
      <c r="L133">
        <f t="shared" si="31"/>
        <v>30</v>
      </c>
      <c r="M133" s="3">
        <f t="shared" ca="1" si="32"/>
        <v>46100</v>
      </c>
      <c r="N133">
        <f t="shared" ca="1" si="33"/>
        <v>6623</v>
      </c>
      <c r="O133">
        <f t="shared" ca="1" si="34"/>
        <v>6623</v>
      </c>
      <c r="P133">
        <f t="shared" ca="1" si="35"/>
        <v>4732</v>
      </c>
      <c r="Q133">
        <v>46</v>
      </c>
      <c r="R133" t="str">
        <f t="shared" si="36"/>
        <v>Old</v>
      </c>
      <c r="S133" t="s">
        <v>24</v>
      </c>
      <c r="T133">
        <v>3</v>
      </c>
      <c r="U133" t="s">
        <v>45</v>
      </c>
      <c r="V133">
        <v>6102.82</v>
      </c>
      <c r="W133" t="s">
        <v>46</v>
      </c>
      <c r="X133" t="s">
        <v>55</v>
      </c>
      <c r="Y133">
        <v>30</v>
      </c>
      <c r="Z133" t="str">
        <f t="shared" si="37"/>
        <v>Bad Employee</v>
      </c>
      <c r="AA133" t="b">
        <f t="shared" si="38"/>
        <v>0</v>
      </c>
      <c r="AB133" t="b">
        <f>OR(Y133&gt;20, T133&gt;6)</f>
        <v>1</v>
      </c>
      <c r="AC133" t="str">
        <f>IF(OR(Y133&gt;20,T133&gt;6), "Good employee", "Bad Employee")</f>
        <v>Good employee</v>
      </c>
      <c r="AD133" t="s">
        <v>41</v>
      </c>
      <c r="AE133" t="s">
        <v>62</v>
      </c>
      <c r="AF133">
        <v>11</v>
      </c>
      <c r="AG133">
        <v>2018</v>
      </c>
      <c r="AH133" t="s">
        <v>30</v>
      </c>
      <c r="AI133">
        <v>18</v>
      </c>
      <c r="AJ133">
        <v>4.2</v>
      </c>
    </row>
    <row r="134" spans="1:36" x14ac:dyDescent="0.25">
      <c r="A134">
        <v>10133</v>
      </c>
      <c r="B134" t="s">
        <v>66</v>
      </c>
      <c r="C134" t="s">
        <v>22</v>
      </c>
      <c r="D134" t="s">
        <v>23</v>
      </c>
      <c r="E134" t="str">
        <f t="shared" si="26"/>
        <v>John Williams is in HR Department</v>
      </c>
      <c r="F134" s="6" t="str">
        <f t="shared" si="27"/>
        <v>johnwilliams@gmail.com</v>
      </c>
      <c r="G134">
        <v>85565</v>
      </c>
      <c r="H134" t="str">
        <f t="shared" si="28"/>
        <v>High</v>
      </c>
      <c r="I134" s="3">
        <v>37255</v>
      </c>
      <c r="J134">
        <f t="shared" si="29"/>
        <v>2001</v>
      </c>
      <c r="K134">
        <f t="shared" si="30"/>
        <v>12</v>
      </c>
      <c r="L134">
        <f t="shared" si="31"/>
        <v>30</v>
      </c>
      <c r="M134" s="3">
        <f t="shared" ca="1" si="32"/>
        <v>46100</v>
      </c>
      <c r="N134">
        <f t="shared" ca="1" si="33"/>
        <v>8845</v>
      </c>
      <c r="O134">
        <f t="shared" ca="1" si="34"/>
        <v>8845</v>
      </c>
      <c r="P134">
        <f t="shared" ca="1" si="35"/>
        <v>6319</v>
      </c>
      <c r="Q134">
        <v>24</v>
      </c>
      <c r="R134" t="str">
        <f t="shared" si="36"/>
        <v>Young</v>
      </c>
      <c r="S134" t="s">
        <v>34</v>
      </c>
      <c r="T134">
        <v>8</v>
      </c>
      <c r="U134" t="s">
        <v>45</v>
      </c>
      <c r="V134">
        <v>1957.65</v>
      </c>
      <c r="W134" t="s">
        <v>35</v>
      </c>
      <c r="X134" t="s">
        <v>55</v>
      </c>
      <c r="Y134">
        <v>35</v>
      </c>
      <c r="Z134" t="str">
        <f t="shared" si="37"/>
        <v>Good Employee</v>
      </c>
      <c r="AA134" t="b">
        <f t="shared" si="38"/>
        <v>1</v>
      </c>
      <c r="AB134" t="b">
        <f>OR(Y134&gt;20, T134&gt;6)</f>
        <v>1</v>
      </c>
      <c r="AC134" t="str">
        <f>IF(OR(Y134&gt;20,T134&gt;6), "Good employee", "Bad Employee")</f>
        <v>Good employee</v>
      </c>
      <c r="AD134" t="s">
        <v>56</v>
      </c>
      <c r="AE134" t="s">
        <v>48</v>
      </c>
      <c r="AF134">
        <v>17</v>
      </c>
      <c r="AG134">
        <v>2016</v>
      </c>
      <c r="AH134" t="s">
        <v>30</v>
      </c>
      <c r="AI134">
        <v>159</v>
      </c>
      <c r="AJ134">
        <v>1.2</v>
      </c>
    </row>
    <row r="135" spans="1:36" x14ac:dyDescent="0.25">
      <c r="A135">
        <v>10134</v>
      </c>
      <c r="B135" t="s">
        <v>38</v>
      </c>
      <c r="C135" t="s">
        <v>61</v>
      </c>
      <c r="D135" t="s">
        <v>52</v>
      </c>
      <c r="E135" t="str">
        <f t="shared" si="26"/>
        <v>Chris Smith is in Operations Department</v>
      </c>
      <c r="F135" s="6" t="str">
        <f t="shared" si="27"/>
        <v>chrissmith@gmail.com</v>
      </c>
      <c r="G135">
        <v>78043</v>
      </c>
      <c r="H135" t="str">
        <f t="shared" si="28"/>
        <v>Medium</v>
      </c>
      <c r="I135" s="3">
        <v>43000</v>
      </c>
      <c r="J135">
        <f t="shared" si="29"/>
        <v>2017</v>
      </c>
      <c r="K135">
        <f t="shared" si="30"/>
        <v>9</v>
      </c>
      <c r="L135">
        <f t="shared" si="31"/>
        <v>22</v>
      </c>
      <c r="M135" s="3">
        <f t="shared" ca="1" si="32"/>
        <v>46100</v>
      </c>
      <c r="N135">
        <f t="shared" ca="1" si="33"/>
        <v>3100</v>
      </c>
      <c r="O135">
        <f t="shared" ca="1" si="34"/>
        <v>3100</v>
      </c>
      <c r="P135">
        <f t="shared" ca="1" si="35"/>
        <v>2215</v>
      </c>
      <c r="Q135">
        <v>51</v>
      </c>
      <c r="R135" t="str">
        <f t="shared" si="36"/>
        <v>Old</v>
      </c>
      <c r="S135" t="s">
        <v>34</v>
      </c>
      <c r="T135">
        <v>6</v>
      </c>
      <c r="U135" t="s">
        <v>45</v>
      </c>
      <c r="V135">
        <v>1475.67</v>
      </c>
      <c r="W135" t="s">
        <v>46</v>
      </c>
      <c r="X135" t="s">
        <v>55</v>
      </c>
      <c r="Y135">
        <v>9</v>
      </c>
      <c r="Z135" t="str">
        <f t="shared" si="37"/>
        <v>Bad Employee</v>
      </c>
      <c r="AA135" t="b">
        <f t="shared" si="38"/>
        <v>0</v>
      </c>
      <c r="AB135" t="b">
        <f>OR(Y135&gt;20, T135&gt;6)</f>
        <v>0</v>
      </c>
      <c r="AC135" t="str">
        <f>IF(OR(Y135&gt;20,T135&gt;6), "Good employee", "Bad Employee")</f>
        <v>Bad Employee</v>
      </c>
      <c r="AD135" t="s">
        <v>41</v>
      </c>
      <c r="AE135" t="s">
        <v>29</v>
      </c>
      <c r="AF135">
        <v>14</v>
      </c>
      <c r="AG135">
        <v>2013</v>
      </c>
      <c r="AH135" t="s">
        <v>30</v>
      </c>
      <c r="AI135">
        <v>9</v>
      </c>
      <c r="AJ135">
        <v>1.3</v>
      </c>
    </row>
    <row r="136" spans="1:36" x14ac:dyDescent="0.25">
      <c r="A136">
        <v>10135</v>
      </c>
      <c r="B136" t="s">
        <v>21</v>
      </c>
      <c r="C136" t="s">
        <v>61</v>
      </c>
      <c r="D136" t="s">
        <v>54</v>
      </c>
      <c r="E136" t="str">
        <f t="shared" si="26"/>
        <v>Michael Smith is in Finance Department</v>
      </c>
      <c r="F136" s="6" t="str">
        <f t="shared" si="27"/>
        <v>michaelsmith@gmail.com</v>
      </c>
      <c r="G136">
        <v>103150</v>
      </c>
      <c r="H136" t="str">
        <f t="shared" si="28"/>
        <v>High</v>
      </c>
      <c r="I136" s="3">
        <v>43286</v>
      </c>
      <c r="J136">
        <f t="shared" si="29"/>
        <v>2018</v>
      </c>
      <c r="K136">
        <f t="shared" si="30"/>
        <v>7</v>
      </c>
      <c r="L136">
        <f t="shared" si="31"/>
        <v>5</v>
      </c>
      <c r="M136" s="3">
        <f t="shared" ca="1" si="32"/>
        <v>46100</v>
      </c>
      <c r="N136">
        <f t="shared" ca="1" si="33"/>
        <v>2814</v>
      </c>
      <c r="O136">
        <f t="shared" ca="1" si="34"/>
        <v>2814</v>
      </c>
      <c r="P136">
        <f t="shared" ca="1" si="35"/>
        <v>2011</v>
      </c>
      <c r="Q136">
        <v>45</v>
      </c>
      <c r="R136" t="str">
        <f t="shared" si="36"/>
        <v>Old</v>
      </c>
      <c r="S136" t="s">
        <v>34</v>
      </c>
      <c r="T136">
        <v>1</v>
      </c>
      <c r="U136" t="s">
        <v>25</v>
      </c>
      <c r="V136">
        <v>5470.71</v>
      </c>
      <c r="W136" t="s">
        <v>26</v>
      </c>
      <c r="X136" t="s">
        <v>40</v>
      </c>
      <c r="Y136">
        <v>37</v>
      </c>
      <c r="Z136" t="str">
        <f t="shared" si="37"/>
        <v>Bad Employee</v>
      </c>
      <c r="AA136" t="b">
        <f t="shared" si="38"/>
        <v>0</v>
      </c>
      <c r="AB136" t="b">
        <f>OR(Y136&gt;20, T136&gt;6)</f>
        <v>1</v>
      </c>
      <c r="AC136" t="str">
        <f>IF(OR(Y136&gt;20,T136&gt;6), "Good employee", "Bad Employee")</f>
        <v>Good employee</v>
      </c>
      <c r="AD136" t="s">
        <v>28</v>
      </c>
      <c r="AE136" t="s">
        <v>29</v>
      </c>
      <c r="AF136">
        <v>7</v>
      </c>
      <c r="AG136">
        <v>2021</v>
      </c>
      <c r="AH136" t="s">
        <v>30</v>
      </c>
      <c r="AI136">
        <v>122</v>
      </c>
      <c r="AJ136">
        <v>1.5</v>
      </c>
    </row>
    <row r="137" spans="1:36" x14ac:dyDescent="0.25">
      <c r="A137">
        <v>10136</v>
      </c>
      <c r="B137" t="s">
        <v>38</v>
      </c>
      <c r="C137" t="s">
        <v>63</v>
      </c>
      <c r="D137" t="s">
        <v>33</v>
      </c>
      <c r="E137" t="str">
        <f t="shared" si="26"/>
        <v>Chris Miller is in Marketing Department</v>
      </c>
      <c r="F137" s="6" t="str">
        <f t="shared" si="27"/>
        <v>chrismiller@gmail.com</v>
      </c>
      <c r="G137">
        <v>94361</v>
      </c>
      <c r="H137" t="str">
        <f t="shared" si="28"/>
        <v>High</v>
      </c>
      <c r="I137" s="3">
        <v>41025</v>
      </c>
      <c r="J137">
        <f t="shared" si="29"/>
        <v>2012</v>
      </c>
      <c r="K137">
        <f t="shared" si="30"/>
        <v>4</v>
      </c>
      <c r="L137">
        <f t="shared" si="31"/>
        <v>26</v>
      </c>
      <c r="M137" s="3">
        <f t="shared" ca="1" si="32"/>
        <v>46100</v>
      </c>
      <c r="N137">
        <f t="shared" ca="1" si="33"/>
        <v>5075</v>
      </c>
      <c r="O137">
        <f t="shared" ca="1" si="34"/>
        <v>5075</v>
      </c>
      <c r="P137">
        <f t="shared" ca="1" si="35"/>
        <v>3626</v>
      </c>
      <c r="Q137">
        <v>57</v>
      </c>
      <c r="R137" t="str">
        <f t="shared" si="36"/>
        <v>Old</v>
      </c>
      <c r="S137" t="s">
        <v>24</v>
      </c>
      <c r="T137">
        <v>4</v>
      </c>
      <c r="U137" t="s">
        <v>25</v>
      </c>
      <c r="V137">
        <v>6912.6</v>
      </c>
      <c r="W137" t="s">
        <v>26</v>
      </c>
      <c r="X137" t="s">
        <v>47</v>
      </c>
      <c r="Y137">
        <v>39</v>
      </c>
      <c r="Z137" t="str">
        <f t="shared" si="37"/>
        <v>Bad Employee</v>
      </c>
      <c r="AA137" t="b">
        <f t="shared" si="38"/>
        <v>0</v>
      </c>
      <c r="AB137" t="b">
        <f>OR(Y137&gt;20, T137&gt;6)</f>
        <v>1</v>
      </c>
      <c r="AC137" t="str">
        <f>IF(OR(Y137&gt;20,T137&gt;6), "Good employee", "Bad Employee")</f>
        <v>Good employee</v>
      </c>
      <c r="AD137" t="s">
        <v>56</v>
      </c>
      <c r="AE137" t="s">
        <v>48</v>
      </c>
      <c r="AF137">
        <v>3</v>
      </c>
      <c r="AG137">
        <v>2021</v>
      </c>
      <c r="AH137" t="s">
        <v>49</v>
      </c>
      <c r="AI137">
        <v>176</v>
      </c>
      <c r="AJ137">
        <v>4.7</v>
      </c>
    </row>
    <row r="138" spans="1:36" x14ac:dyDescent="0.25">
      <c r="A138">
        <v>10137</v>
      </c>
      <c r="B138" t="s">
        <v>66</v>
      </c>
      <c r="C138" t="s">
        <v>32</v>
      </c>
      <c r="D138" t="s">
        <v>54</v>
      </c>
      <c r="E138" t="str">
        <f t="shared" si="26"/>
        <v>John Wilson is in Finance Department</v>
      </c>
      <c r="F138" s="6" t="str">
        <f t="shared" si="27"/>
        <v>johnwilson@gmail.com</v>
      </c>
      <c r="G138">
        <v>31245</v>
      </c>
      <c r="H138" t="str">
        <f t="shared" si="28"/>
        <v>extremely low</v>
      </c>
      <c r="I138" s="3">
        <v>39081</v>
      </c>
      <c r="J138">
        <f t="shared" si="29"/>
        <v>2006</v>
      </c>
      <c r="K138">
        <f t="shared" si="30"/>
        <v>12</v>
      </c>
      <c r="L138">
        <f t="shared" si="31"/>
        <v>30</v>
      </c>
      <c r="M138" s="3">
        <f t="shared" ca="1" si="32"/>
        <v>46100</v>
      </c>
      <c r="N138">
        <f t="shared" ca="1" si="33"/>
        <v>7019</v>
      </c>
      <c r="O138">
        <f t="shared" ca="1" si="34"/>
        <v>7019</v>
      </c>
      <c r="P138">
        <f t="shared" ca="1" si="35"/>
        <v>5014</v>
      </c>
      <c r="Q138">
        <v>44</v>
      </c>
      <c r="R138" t="str">
        <f t="shared" si="36"/>
        <v>Old</v>
      </c>
      <c r="S138" t="s">
        <v>24</v>
      </c>
      <c r="T138">
        <v>5</v>
      </c>
      <c r="U138" t="s">
        <v>25</v>
      </c>
      <c r="V138">
        <v>1576.99</v>
      </c>
      <c r="W138" t="s">
        <v>46</v>
      </c>
      <c r="X138" t="s">
        <v>40</v>
      </c>
      <c r="Y138">
        <v>12</v>
      </c>
      <c r="Z138" t="str">
        <f t="shared" si="37"/>
        <v>Bad Employee</v>
      </c>
      <c r="AA138" t="b">
        <f t="shared" si="38"/>
        <v>0</v>
      </c>
      <c r="AB138" t="b">
        <f>OR(Y138&gt;20, T138&gt;6)</f>
        <v>0</v>
      </c>
      <c r="AC138" t="str">
        <f>IF(OR(Y138&gt;20,T138&gt;6), "Good employee", "Bad Employee")</f>
        <v>Bad Employee</v>
      </c>
      <c r="AD138" t="s">
        <v>56</v>
      </c>
      <c r="AE138" t="s">
        <v>42</v>
      </c>
      <c r="AF138">
        <v>14</v>
      </c>
      <c r="AG138">
        <v>2014</v>
      </c>
      <c r="AH138" t="s">
        <v>43</v>
      </c>
      <c r="AI138">
        <v>147</v>
      </c>
      <c r="AJ138">
        <v>1.2</v>
      </c>
    </row>
    <row r="139" spans="1:36" x14ac:dyDescent="0.25">
      <c r="A139">
        <v>10138</v>
      </c>
      <c r="B139" t="s">
        <v>66</v>
      </c>
      <c r="C139" t="s">
        <v>61</v>
      </c>
      <c r="D139" t="s">
        <v>23</v>
      </c>
      <c r="E139" t="str">
        <f t="shared" si="26"/>
        <v>John Smith is in HR Department</v>
      </c>
      <c r="F139" s="6" t="str">
        <f t="shared" si="27"/>
        <v>johnsmith@gmail.com</v>
      </c>
      <c r="G139">
        <v>71011</v>
      </c>
      <c r="H139" t="str">
        <f t="shared" si="28"/>
        <v>Medium</v>
      </c>
      <c r="I139" s="3">
        <v>42561</v>
      </c>
      <c r="J139">
        <f t="shared" si="29"/>
        <v>2016</v>
      </c>
      <c r="K139">
        <f t="shared" si="30"/>
        <v>7</v>
      </c>
      <c r="L139">
        <f t="shared" si="31"/>
        <v>10</v>
      </c>
      <c r="M139" s="3">
        <f t="shared" ca="1" si="32"/>
        <v>46100</v>
      </c>
      <c r="N139">
        <f t="shared" ca="1" si="33"/>
        <v>3539</v>
      </c>
      <c r="O139">
        <f t="shared" ca="1" si="34"/>
        <v>3539</v>
      </c>
      <c r="P139">
        <f t="shared" ca="1" si="35"/>
        <v>2529</v>
      </c>
      <c r="Q139">
        <v>29</v>
      </c>
      <c r="R139" t="str">
        <f t="shared" si="36"/>
        <v>Young</v>
      </c>
      <c r="S139" t="s">
        <v>34</v>
      </c>
      <c r="T139">
        <v>3</v>
      </c>
      <c r="U139" t="s">
        <v>25</v>
      </c>
      <c r="V139">
        <v>9218.8700000000008</v>
      </c>
      <c r="W139" t="s">
        <v>26</v>
      </c>
      <c r="X139" t="s">
        <v>36</v>
      </c>
      <c r="Y139">
        <v>21</v>
      </c>
      <c r="Z139" t="str">
        <f t="shared" si="37"/>
        <v>Bad Employee</v>
      </c>
      <c r="AA139" t="b">
        <f t="shared" si="38"/>
        <v>0</v>
      </c>
      <c r="AB139" t="b">
        <f>OR(Y139&gt;20, T139&gt;6)</f>
        <v>1</v>
      </c>
      <c r="AC139" t="str">
        <f>IF(OR(Y139&gt;20,T139&gt;6), "Good employee", "Bad Employee")</f>
        <v>Good employee</v>
      </c>
      <c r="AD139" t="s">
        <v>56</v>
      </c>
      <c r="AE139" t="s">
        <v>37</v>
      </c>
      <c r="AF139">
        <v>10</v>
      </c>
      <c r="AG139">
        <v>2016</v>
      </c>
      <c r="AH139" t="s">
        <v>49</v>
      </c>
      <c r="AI139">
        <v>71</v>
      </c>
      <c r="AJ139">
        <v>1.4</v>
      </c>
    </row>
    <row r="140" spans="1:36" x14ac:dyDescent="0.25">
      <c r="A140">
        <v>10139</v>
      </c>
      <c r="B140" t="s">
        <v>21</v>
      </c>
      <c r="C140" t="s">
        <v>32</v>
      </c>
      <c r="D140" t="s">
        <v>33</v>
      </c>
      <c r="E140" t="str">
        <f t="shared" si="26"/>
        <v>Michael Wilson is in Marketing Department</v>
      </c>
      <c r="F140" s="6" t="str">
        <f t="shared" si="27"/>
        <v>michaelwilson@gmail.com</v>
      </c>
      <c r="G140">
        <v>40355</v>
      </c>
      <c r="H140" t="str">
        <f t="shared" si="28"/>
        <v>low</v>
      </c>
      <c r="I140" s="3">
        <v>37676</v>
      </c>
      <c r="J140">
        <f t="shared" si="29"/>
        <v>2003</v>
      </c>
      <c r="K140">
        <f t="shared" si="30"/>
        <v>2</v>
      </c>
      <c r="L140">
        <f t="shared" si="31"/>
        <v>24</v>
      </c>
      <c r="M140" s="3">
        <f t="shared" ca="1" si="32"/>
        <v>46100</v>
      </c>
      <c r="N140">
        <f t="shared" ca="1" si="33"/>
        <v>8424</v>
      </c>
      <c r="O140">
        <f t="shared" ca="1" si="34"/>
        <v>8424</v>
      </c>
      <c r="P140">
        <f t="shared" ca="1" si="35"/>
        <v>6019</v>
      </c>
      <c r="Q140">
        <v>25</v>
      </c>
      <c r="R140" t="str">
        <f t="shared" si="36"/>
        <v>Young</v>
      </c>
      <c r="S140" t="s">
        <v>24</v>
      </c>
      <c r="T140">
        <v>1</v>
      </c>
      <c r="U140" t="s">
        <v>45</v>
      </c>
      <c r="V140">
        <v>2644.84</v>
      </c>
      <c r="W140" t="s">
        <v>35</v>
      </c>
      <c r="X140" t="s">
        <v>40</v>
      </c>
      <c r="Y140">
        <v>18</v>
      </c>
      <c r="Z140" t="str">
        <f t="shared" si="37"/>
        <v>Bad Employee</v>
      </c>
      <c r="AA140" t="b">
        <f t="shared" si="38"/>
        <v>0</v>
      </c>
      <c r="AB140" t="b">
        <f>OR(Y140&gt;20, T140&gt;6)</f>
        <v>0</v>
      </c>
      <c r="AC140" t="str">
        <f>IF(OR(Y140&gt;20,T140&gt;6), "Good employee", "Bad Employee")</f>
        <v>Bad Employee</v>
      </c>
      <c r="AD140" t="s">
        <v>41</v>
      </c>
      <c r="AE140" t="s">
        <v>62</v>
      </c>
      <c r="AF140">
        <v>0</v>
      </c>
      <c r="AG140">
        <v>2022</v>
      </c>
      <c r="AH140" t="s">
        <v>43</v>
      </c>
      <c r="AI140">
        <v>5</v>
      </c>
      <c r="AJ140">
        <v>4.7</v>
      </c>
    </row>
    <row r="141" spans="1:36" x14ac:dyDescent="0.25">
      <c r="A141">
        <v>10140</v>
      </c>
      <c r="B141" t="s">
        <v>66</v>
      </c>
      <c r="C141" t="s">
        <v>32</v>
      </c>
      <c r="D141" t="s">
        <v>44</v>
      </c>
      <c r="E141" t="str">
        <f t="shared" si="26"/>
        <v>John Wilson is in Sales Department</v>
      </c>
      <c r="F141" s="6" t="str">
        <f t="shared" si="27"/>
        <v>johnwilson@gmail.com</v>
      </c>
      <c r="G141">
        <v>78692</v>
      </c>
      <c r="H141" t="str">
        <f t="shared" si="28"/>
        <v>Medium</v>
      </c>
      <c r="I141" s="3">
        <v>38261</v>
      </c>
      <c r="J141">
        <f t="shared" si="29"/>
        <v>2004</v>
      </c>
      <c r="K141">
        <f t="shared" si="30"/>
        <v>10</v>
      </c>
      <c r="L141">
        <f t="shared" si="31"/>
        <v>1</v>
      </c>
      <c r="M141" s="3">
        <f t="shared" ca="1" si="32"/>
        <v>46100</v>
      </c>
      <c r="N141">
        <f t="shared" ca="1" si="33"/>
        <v>7839</v>
      </c>
      <c r="O141">
        <f t="shared" ca="1" si="34"/>
        <v>7839</v>
      </c>
      <c r="P141">
        <f t="shared" ca="1" si="35"/>
        <v>5600</v>
      </c>
      <c r="Q141">
        <v>60</v>
      </c>
      <c r="R141" t="str">
        <f t="shared" si="36"/>
        <v>Old</v>
      </c>
      <c r="S141" t="s">
        <v>24</v>
      </c>
      <c r="T141">
        <v>3</v>
      </c>
      <c r="U141" t="s">
        <v>45</v>
      </c>
      <c r="V141">
        <v>1639.77</v>
      </c>
      <c r="W141" t="s">
        <v>46</v>
      </c>
      <c r="X141" t="s">
        <v>40</v>
      </c>
      <c r="Y141">
        <v>11</v>
      </c>
      <c r="Z141" t="str">
        <f t="shared" si="37"/>
        <v>Bad Employee</v>
      </c>
      <c r="AA141" t="b">
        <f t="shared" si="38"/>
        <v>0</v>
      </c>
      <c r="AB141" t="b">
        <f>OR(Y141&gt;20, T141&gt;6)</f>
        <v>0</v>
      </c>
      <c r="AC141" t="str">
        <f>IF(OR(Y141&gt;20,T141&gt;6), "Good employee", "Bad Employee")</f>
        <v>Bad Employee</v>
      </c>
      <c r="AD141" t="s">
        <v>41</v>
      </c>
      <c r="AE141" t="s">
        <v>59</v>
      </c>
      <c r="AF141">
        <v>1</v>
      </c>
      <c r="AG141">
        <v>2014</v>
      </c>
      <c r="AH141" t="s">
        <v>30</v>
      </c>
      <c r="AI141">
        <v>156</v>
      </c>
      <c r="AJ141">
        <v>1.4</v>
      </c>
    </row>
    <row r="142" spans="1:36" x14ac:dyDescent="0.25">
      <c r="A142">
        <v>10141</v>
      </c>
      <c r="B142" t="s">
        <v>53</v>
      </c>
      <c r="C142" t="s">
        <v>63</v>
      </c>
      <c r="D142" t="s">
        <v>39</v>
      </c>
      <c r="E142" t="str">
        <f t="shared" si="26"/>
        <v>Sarah Miller is in IT Department</v>
      </c>
      <c r="F142" s="6" t="str">
        <f t="shared" si="27"/>
        <v>sarahmiller@gmail.com</v>
      </c>
      <c r="G142">
        <v>79004</v>
      </c>
      <c r="H142" t="str">
        <f t="shared" si="28"/>
        <v>Medium</v>
      </c>
      <c r="I142" s="3">
        <v>37564</v>
      </c>
      <c r="J142">
        <f t="shared" si="29"/>
        <v>2002</v>
      </c>
      <c r="K142">
        <f t="shared" si="30"/>
        <v>11</v>
      </c>
      <c r="L142">
        <f t="shared" si="31"/>
        <v>4</v>
      </c>
      <c r="M142" s="3">
        <f t="shared" ca="1" si="32"/>
        <v>46100</v>
      </c>
      <c r="N142">
        <f t="shared" ca="1" si="33"/>
        <v>8536</v>
      </c>
      <c r="O142">
        <f t="shared" ca="1" si="34"/>
        <v>8536</v>
      </c>
      <c r="P142">
        <f t="shared" ca="1" si="35"/>
        <v>6099</v>
      </c>
      <c r="Q142">
        <v>64</v>
      </c>
      <c r="R142" t="str">
        <f t="shared" si="36"/>
        <v>Old</v>
      </c>
      <c r="S142" t="s">
        <v>34</v>
      </c>
      <c r="T142">
        <v>9</v>
      </c>
      <c r="U142" t="s">
        <v>45</v>
      </c>
      <c r="V142">
        <v>2425.64</v>
      </c>
      <c r="W142" t="s">
        <v>35</v>
      </c>
      <c r="X142" t="s">
        <v>40</v>
      </c>
      <c r="Y142">
        <v>27</v>
      </c>
      <c r="Z142" t="str">
        <f t="shared" si="37"/>
        <v>Good Employee</v>
      </c>
      <c r="AA142" t="b">
        <f t="shared" si="38"/>
        <v>1</v>
      </c>
      <c r="AB142" t="b">
        <f>OR(Y142&gt;20, T142&gt;6)</f>
        <v>1</v>
      </c>
      <c r="AC142" t="str">
        <f>IF(OR(Y142&gt;20,T142&gt;6), "Good employee", "Bad Employee")</f>
        <v>Good employee</v>
      </c>
      <c r="AD142" t="s">
        <v>28</v>
      </c>
      <c r="AE142" t="s">
        <v>37</v>
      </c>
      <c r="AF142">
        <v>7</v>
      </c>
      <c r="AG142">
        <v>2021</v>
      </c>
      <c r="AH142" t="s">
        <v>43</v>
      </c>
      <c r="AI142">
        <v>113</v>
      </c>
      <c r="AJ142">
        <v>4.5</v>
      </c>
    </row>
    <row r="143" spans="1:36" x14ac:dyDescent="0.25">
      <c r="A143">
        <v>10142</v>
      </c>
      <c r="B143" t="s">
        <v>66</v>
      </c>
      <c r="C143" t="s">
        <v>65</v>
      </c>
      <c r="D143" t="s">
        <v>52</v>
      </c>
      <c r="E143" t="str">
        <f t="shared" si="26"/>
        <v>John Johnson is in Operations Department</v>
      </c>
      <c r="F143" s="6" t="str">
        <f t="shared" si="27"/>
        <v>johnjohnson@gmail.com</v>
      </c>
      <c r="G143">
        <v>59714</v>
      </c>
      <c r="H143" t="str">
        <f t="shared" si="28"/>
        <v>Medium</v>
      </c>
      <c r="I143" s="3">
        <v>42895</v>
      </c>
      <c r="J143">
        <f t="shared" si="29"/>
        <v>2017</v>
      </c>
      <c r="K143">
        <f t="shared" si="30"/>
        <v>6</v>
      </c>
      <c r="L143">
        <f t="shared" si="31"/>
        <v>9</v>
      </c>
      <c r="M143" s="3">
        <f t="shared" ca="1" si="32"/>
        <v>46100</v>
      </c>
      <c r="N143">
        <f t="shared" ca="1" si="33"/>
        <v>3205</v>
      </c>
      <c r="O143">
        <f t="shared" ca="1" si="34"/>
        <v>3205</v>
      </c>
      <c r="P143">
        <f t="shared" ca="1" si="35"/>
        <v>2290</v>
      </c>
      <c r="Q143">
        <v>52</v>
      </c>
      <c r="R143" t="str">
        <f t="shared" si="36"/>
        <v>Old</v>
      </c>
      <c r="S143" t="s">
        <v>24</v>
      </c>
      <c r="T143">
        <v>2</v>
      </c>
      <c r="U143" t="s">
        <v>25</v>
      </c>
      <c r="V143">
        <v>2110.94</v>
      </c>
      <c r="W143" t="s">
        <v>46</v>
      </c>
      <c r="X143" t="s">
        <v>47</v>
      </c>
      <c r="Y143">
        <v>24</v>
      </c>
      <c r="Z143" t="str">
        <f t="shared" si="37"/>
        <v>Bad Employee</v>
      </c>
      <c r="AA143" t="b">
        <f t="shared" si="38"/>
        <v>0</v>
      </c>
      <c r="AB143" t="b">
        <f>OR(Y143&gt;20, T143&gt;6)</f>
        <v>1</v>
      </c>
      <c r="AC143" t="str">
        <f>IF(OR(Y143&gt;20,T143&gt;6), "Good employee", "Bad Employee")</f>
        <v>Good employee</v>
      </c>
      <c r="AD143" t="s">
        <v>56</v>
      </c>
      <c r="AE143" t="s">
        <v>62</v>
      </c>
      <c r="AF143">
        <v>15</v>
      </c>
      <c r="AG143">
        <v>2019</v>
      </c>
      <c r="AH143" t="s">
        <v>43</v>
      </c>
      <c r="AI143">
        <v>66</v>
      </c>
      <c r="AJ143">
        <v>4.2</v>
      </c>
    </row>
    <row r="144" spans="1:36" x14ac:dyDescent="0.25">
      <c r="A144">
        <v>10143</v>
      </c>
      <c r="B144" t="s">
        <v>31</v>
      </c>
      <c r="C144" t="s">
        <v>65</v>
      </c>
      <c r="D144" t="s">
        <v>54</v>
      </c>
      <c r="E144" t="str">
        <f t="shared" si="26"/>
        <v>Emily Johnson is in Finance Department</v>
      </c>
      <c r="F144" s="6" t="str">
        <f t="shared" si="27"/>
        <v>emilyjohnson@gmail.com</v>
      </c>
      <c r="G144">
        <v>47198</v>
      </c>
      <c r="H144" t="str">
        <f t="shared" si="28"/>
        <v>low</v>
      </c>
      <c r="I144" s="3">
        <v>43653</v>
      </c>
      <c r="J144">
        <f t="shared" si="29"/>
        <v>2019</v>
      </c>
      <c r="K144">
        <f t="shared" si="30"/>
        <v>7</v>
      </c>
      <c r="L144">
        <f t="shared" si="31"/>
        <v>7</v>
      </c>
      <c r="M144" s="3">
        <f t="shared" ca="1" si="32"/>
        <v>46100</v>
      </c>
      <c r="N144">
        <f t="shared" ca="1" si="33"/>
        <v>2447</v>
      </c>
      <c r="O144">
        <f t="shared" ca="1" si="34"/>
        <v>2447</v>
      </c>
      <c r="P144">
        <f t="shared" ca="1" si="35"/>
        <v>1749</v>
      </c>
      <c r="Q144">
        <v>50</v>
      </c>
      <c r="R144" t="str">
        <f t="shared" si="36"/>
        <v>Old</v>
      </c>
      <c r="S144" t="s">
        <v>34</v>
      </c>
      <c r="T144">
        <v>1</v>
      </c>
      <c r="U144" t="s">
        <v>45</v>
      </c>
      <c r="V144">
        <v>1361.41</v>
      </c>
      <c r="W144" t="s">
        <v>35</v>
      </c>
      <c r="X144" t="s">
        <v>27</v>
      </c>
      <c r="Y144">
        <v>34</v>
      </c>
      <c r="Z144" t="str">
        <f t="shared" si="37"/>
        <v>Bad Employee</v>
      </c>
      <c r="AA144" t="b">
        <f t="shared" si="38"/>
        <v>0</v>
      </c>
      <c r="AB144" t="b">
        <f>OR(Y144&gt;20, T144&gt;6)</f>
        <v>1</v>
      </c>
      <c r="AC144" t="str">
        <f>IF(OR(Y144&gt;20,T144&gt;6), "Good employee", "Bad Employee")</f>
        <v>Good employee</v>
      </c>
      <c r="AD144" t="s">
        <v>56</v>
      </c>
      <c r="AE144" t="s">
        <v>62</v>
      </c>
      <c r="AF144">
        <v>0</v>
      </c>
      <c r="AG144">
        <v>2017</v>
      </c>
      <c r="AH144" t="s">
        <v>43</v>
      </c>
      <c r="AI144">
        <v>82</v>
      </c>
      <c r="AJ144">
        <v>1.2</v>
      </c>
    </row>
    <row r="145" spans="1:36" x14ac:dyDescent="0.25">
      <c r="A145">
        <v>10144</v>
      </c>
      <c r="B145" t="s">
        <v>53</v>
      </c>
      <c r="C145" t="s">
        <v>51</v>
      </c>
      <c r="D145" t="s">
        <v>23</v>
      </c>
      <c r="E145" t="str">
        <f t="shared" si="26"/>
        <v>Sarah Brown is in HR Department</v>
      </c>
      <c r="F145" s="6" t="str">
        <f t="shared" si="27"/>
        <v>sarahbrown@gmail.com</v>
      </c>
      <c r="G145">
        <v>96951</v>
      </c>
      <c r="H145" t="str">
        <f t="shared" si="28"/>
        <v>High</v>
      </c>
      <c r="I145" s="3">
        <v>39438</v>
      </c>
      <c r="J145">
        <f t="shared" si="29"/>
        <v>2007</v>
      </c>
      <c r="K145">
        <f t="shared" si="30"/>
        <v>12</v>
      </c>
      <c r="L145">
        <f t="shared" si="31"/>
        <v>22</v>
      </c>
      <c r="M145" s="3">
        <f t="shared" ca="1" si="32"/>
        <v>46100</v>
      </c>
      <c r="N145">
        <f t="shared" ca="1" si="33"/>
        <v>6662</v>
      </c>
      <c r="O145">
        <f t="shared" ca="1" si="34"/>
        <v>6662</v>
      </c>
      <c r="P145">
        <f t="shared" ca="1" si="35"/>
        <v>4759</v>
      </c>
      <c r="Q145">
        <v>57</v>
      </c>
      <c r="R145" t="str">
        <f t="shared" si="36"/>
        <v>Old</v>
      </c>
      <c r="S145" t="s">
        <v>24</v>
      </c>
      <c r="T145">
        <v>7</v>
      </c>
      <c r="U145" t="s">
        <v>25</v>
      </c>
      <c r="V145">
        <v>8079.47</v>
      </c>
      <c r="W145" t="s">
        <v>35</v>
      </c>
      <c r="X145" t="s">
        <v>36</v>
      </c>
      <c r="Y145">
        <v>20</v>
      </c>
      <c r="Z145" t="str">
        <f t="shared" si="37"/>
        <v>Bad Employee</v>
      </c>
      <c r="AA145" t="b">
        <f t="shared" si="38"/>
        <v>0</v>
      </c>
      <c r="AB145" t="b">
        <f>OR(Y145&gt;20, T145&gt;6)</f>
        <v>1</v>
      </c>
      <c r="AC145" t="str">
        <f>IF(OR(Y145&gt;20,T145&gt;6), "Good employee", "Bad Employee")</f>
        <v>Good employee</v>
      </c>
      <c r="AD145" t="s">
        <v>56</v>
      </c>
      <c r="AE145" t="s">
        <v>62</v>
      </c>
      <c r="AF145">
        <v>2</v>
      </c>
      <c r="AG145">
        <v>2014</v>
      </c>
      <c r="AH145" t="s">
        <v>43</v>
      </c>
      <c r="AI145">
        <v>61</v>
      </c>
      <c r="AJ145">
        <v>1.1000000000000001</v>
      </c>
    </row>
    <row r="146" spans="1:36" x14ac:dyDescent="0.25">
      <c r="A146">
        <v>10145</v>
      </c>
      <c r="B146" t="s">
        <v>53</v>
      </c>
      <c r="C146" t="s">
        <v>63</v>
      </c>
      <c r="D146" t="s">
        <v>39</v>
      </c>
      <c r="E146" t="str">
        <f t="shared" si="26"/>
        <v>Sarah Miller is in IT Department</v>
      </c>
      <c r="F146" s="6" t="str">
        <f t="shared" si="27"/>
        <v>sarahmiller@gmail.com</v>
      </c>
      <c r="G146">
        <v>31652</v>
      </c>
      <c r="H146" t="str">
        <f t="shared" si="28"/>
        <v>extremely low</v>
      </c>
      <c r="I146" s="3">
        <v>43798</v>
      </c>
      <c r="J146">
        <f t="shared" si="29"/>
        <v>2019</v>
      </c>
      <c r="K146">
        <f t="shared" si="30"/>
        <v>11</v>
      </c>
      <c r="L146">
        <f t="shared" si="31"/>
        <v>29</v>
      </c>
      <c r="M146" s="3">
        <f t="shared" ca="1" si="32"/>
        <v>46100</v>
      </c>
      <c r="N146">
        <f t="shared" ca="1" si="33"/>
        <v>2302</v>
      </c>
      <c r="O146">
        <f t="shared" ca="1" si="34"/>
        <v>2302</v>
      </c>
      <c r="P146">
        <f t="shared" ca="1" si="35"/>
        <v>1645</v>
      </c>
      <c r="Q146">
        <v>34</v>
      </c>
      <c r="R146" t="str">
        <f t="shared" si="36"/>
        <v>Old</v>
      </c>
      <c r="S146" t="s">
        <v>34</v>
      </c>
      <c r="T146">
        <v>7</v>
      </c>
      <c r="U146" t="s">
        <v>25</v>
      </c>
      <c r="V146">
        <v>5207.6099999999997</v>
      </c>
      <c r="W146" t="s">
        <v>35</v>
      </c>
      <c r="X146" t="s">
        <v>36</v>
      </c>
      <c r="Y146">
        <v>13</v>
      </c>
      <c r="Z146" t="str">
        <f t="shared" si="37"/>
        <v>Bad Employee</v>
      </c>
      <c r="AA146" t="b">
        <f t="shared" si="38"/>
        <v>0</v>
      </c>
      <c r="AB146" t="b">
        <f>OR(Y146&gt;20, T146&gt;6)</f>
        <v>1</v>
      </c>
      <c r="AC146" t="str">
        <f>IF(OR(Y146&gt;20,T146&gt;6), "Good employee", "Bad Employee")</f>
        <v>Good employee</v>
      </c>
      <c r="AD146" t="s">
        <v>28</v>
      </c>
      <c r="AE146" t="s">
        <v>37</v>
      </c>
      <c r="AF146">
        <v>17</v>
      </c>
      <c r="AG146">
        <v>2014</v>
      </c>
      <c r="AH146" t="s">
        <v>49</v>
      </c>
      <c r="AI146">
        <v>24</v>
      </c>
      <c r="AJ146">
        <v>3.1</v>
      </c>
    </row>
    <row r="147" spans="1:36" x14ac:dyDescent="0.25">
      <c r="A147">
        <v>10146</v>
      </c>
      <c r="B147" t="s">
        <v>21</v>
      </c>
      <c r="C147" t="s">
        <v>51</v>
      </c>
      <c r="D147" t="s">
        <v>52</v>
      </c>
      <c r="E147" t="str">
        <f t="shared" si="26"/>
        <v>Michael Brown is in Operations Department</v>
      </c>
      <c r="F147" s="6" t="str">
        <f t="shared" si="27"/>
        <v>michaelbrown@gmail.com</v>
      </c>
      <c r="G147">
        <v>73625</v>
      </c>
      <c r="H147" t="str">
        <f t="shared" si="28"/>
        <v>Medium</v>
      </c>
      <c r="I147" s="3">
        <v>41366</v>
      </c>
      <c r="J147">
        <f t="shared" si="29"/>
        <v>2013</v>
      </c>
      <c r="K147">
        <f t="shared" si="30"/>
        <v>4</v>
      </c>
      <c r="L147">
        <f t="shared" si="31"/>
        <v>2</v>
      </c>
      <c r="M147" s="3">
        <f t="shared" ca="1" si="32"/>
        <v>46100</v>
      </c>
      <c r="N147">
        <f t="shared" ca="1" si="33"/>
        <v>4734</v>
      </c>
      <c r="O147">
        <f t="shared" ca="1" si="34"/>
        <v>4734</v>
      </c>
      <c r="P147">
        <f t="shared" ca="1" si="35"/>
        <v>3383</v>
      </c>
      <c r="Q147">
        <v>62</v>
      </c>
      <c r="R147" t="str">
        <f t="shared" si="36"/>
        <v>Old</v>
      </c>
      <c r="S147" t="s">
        <v>24</v>
      </c>
      <c r="T147">
        <v>5</v>
      </c>
      <c r="U147" t="s">
        <v>25</v>
      </c>
      <c r="V147">
        <v>4190.93</v>
      </c>
      <c r="W147" t="s">
        <v>26</v>
      </c>
      <c r="X147" t="s">
        <v>47</v>
      </c>
      <c r="Y147">
        <v>8</v>
      </c>
      <c r="Z147" t="str">
        <f t="shared" si="37"/>
        <v>Bad Employee</v>
      </c>
      <c r="AA147" t="b">
        <f t="shared" si="38"/>
        <v>0</v>
      </c>
      <c r="AB147" t="b">
        <f>OR(Y147&gt;20, T147&gt;6)</f>
        <v>0</v>
      </c>
      <c r="AC147" t="str">
        <f>IF(OR(Y147&gt;20,T147&gt;6), "Good employee", "Bad Employee")</f>
        <v>Bad Employee</v>
      </c>
      <c r="AD147" t="s">
        <v>41</v>
      </c>
      <c r="AE147" t="s">
        <v>37</v>
      </c>
      <c r="AF147">
        <v>15</v>
      </c>
      <c r="AG147">
        <v>2014</v>
      </c>
      <c r="AH147" t="s">
        <v>30</v>
      </c>
      <c r="AI147">
        <v>190</v>
      </c>
      <c r="AJ147">
        <v>5</v>
      </c>
    </row>
    <row r="148" spans="1:36" x14ac:dyDescent="0.25">
      <c r="A148">
        <v>10147</v>
      </c>
      <c r="B148" t="s">
        <v>50</v>
      </c>
      <c r="C148" t="s">
        <v>51</v>
      </c>
      <c r="D148" t="s">
        <v>39</v>
      </c>
      <c r="E148" t="str">
        <f t="shared" si="26"/>
        <v>Alex Brown is in IT Department</v>
      </c>
      <c r="F148" s="6" t="str">
        <f t="shared" si="27"/>
        <v>alexbrown@gmail.com</v>
      </c>
      <c r="G148">
        <v>115982</v>
      </c>
      <c r="H148" t="str">
        <f t="shared" si="28"/>
        <v>High</v>
      </c>
      <c r="I148" s="3">
        <v>39066</v>
      </c>
      <c r="J148">
        <f t="shared" si="29"/>
        <v>2006</v>
      </c>
      <c r="K148">
        <f t="shared" si="30"/>
        <v>12</v>
      </c>
      <c r="L148">
        <f t="shared" si="31"/>
        <v>15</v>
      </c>
      <c r="M148" s="3">
        <f t="shared" ca="1" si="32"/>
        <v>46100</v>
      </c>
      <c r="N148">
        <f t="shared" ca="1" si="33"/>
        <v>7034</v>
      </c>
      <c r="O148">
        <f t="shared" ca="1" si="34"/>
        <v>7034</v>
      </c>
      <c r="P148">
        <f t="shared" ca="1" si="35"/>
        <v>5025</v>
      </c>
      <c r="Q148">
        <v>30</v>
      </c>
      <c r="R148" t="str">
        <f t="shared" si="36"/>
        <v>Young</v>
      </c>
      <c r="S148" t="s">
        <v>24</v>
      </c>
      <c r="T148">
        <v>2</v>
      </c>
      <c r="U148" t="s">
        <v>45</v>
      </c>
      <c r="V148">
        <v>9530.9699999999993</v>
      </c>
      <c r="W148" t="s">
        <v>35</v>
      </c>
      <c r="X148" t="s">
        <v>40</v>
      </c>
      <c r="Y148">
        <v>37</v>
      </c>
      <c r="Z148" t="str">
        <f t="shared" si="37"/>
        <v>Bad Employee</v>
      </c>
      <c r="AA148" t="b">
        <f t="shared" si="38"/>
        <v>0</v>
      </c>
      <c r="AB148" t="b">
        <f>OR(Y148&gt;20, T148&gt;6)</f>
        <v>1</v>
      </c>
      <c r="AC148" t="str">
        <f>IF(OR(Y148&gt;20,T148&gt;6), "Good employee", "Bad Employee")</f>
        <v>Good employee</v>
      </c>
      <c r="AD148" t="s">
        <v>56</v>
      </c>
      <c r="AE148" t="s">
        <v>48</v>
      </c>
      <c r="AF148">
        <v>19</v>
      </c>
      <c r="AG148">
        <v>2013</v>
      </c>
      <c r="AH148" t="s">
        <v>30</v>
      </c>
      <c r="AI148">
        <v>18</v>
      </c>
      <c r="AJ148">
        <v>4.5</v>
      </c>
    </row>
    <row r="149" spans="1:36" x14ac:dyDescent="0.25">
      <c r="A149">
        <v>10148</v>
      </c>
      <c r="B149" t="s">
        <v>50</v>
      </c>
      <c r="C149" t="s">
        <v>65</v>
      </c>
      <c r="D149" t="s">
        <v>52</v>
      </c>
      <c r="E149" t="str">
        <f t="shared" si="26"/>
        <v>Alex Johnson is in Operations Department</v>
      </c>
      <c r="F149" s="6" t="str">
        <f t="shared" si="27"/>
        <v>alexjohnson@gmail.com</v>
      </c>
      <c r="G149">
        <v>48740</v>
      </c>
      <c r="H149" t="str">
        <f t="shared" si="28"/>
        <v>low</v>
      </c>
      <c r="I149" s="3">
        <v>40940</v>
      </c>
      <c r="J149">
        <f t="shared" si="29"/>
        <v>2012</v>
      </c>
      <c r="K149">
        <f t="shared" si="30"/>
        <v>2</v>
      </c>
      <c r="L149">
        <f t="shared" si="31"/>
        <v>1</v>
      </c>
      <c r="M149" s="3">
        <f t="shared" ca="1" si="32"/>
        <v>46100</v>
      </c>
      <c r="N149">
        <f t="shared" ca="1" si="33"/>
        <v>5160</v>
      </c>
      <c r="O149">
        <f t="shared" ca="1" si="34"/>
        <v>5160</v>
      </c>
      <c r="P149">
        <f t="shared" ca="1" si="35"/>
        <v>3687</v>
      </c>
      <c r="Q149">
        <v>42</v>
      </c>
      <c r="R149" t="str">
        <f t="shared" si="36"/>
        <v>Old</v>
      </c>
      <c r="S149" t="s">
        <v>34</v>
      </c>
      <c r="T149">
        <v>1</v>
      </c>
      <c r="U149" t="s">
        <v>45</v>
      </c>
      <c r="V149">
        <v>4024.58</v>
      </c>
      <c r="W149" t="s">
        <v>58</v>
      </c>
      <c r="X149" t="s">
        <v>27</v>
      </c>
      <c r="Y149">
        <v>5</v>
      </c>
      <c r="Z149" t="str">
        <f t="shared" si="37"/>
        <v>Bad Employee</v>
      </c>
      <c r="AA149" t="b">
        <f t="shared" si="38"/>
        <v>0</v>
      </c>
      <c r="AB149" t="b">
        <f>OR(Y149&gt;20, T149&gt;6)</f>
        <v>0</v>
      </c>
      <c r="AC149" t="str">
        <f>IF(OR(Y149&gt;20,T149&gt;6), "Good employee", "Bad Employee")</f>
        <v>Bad Employee</v>
      </c>
      <c r="AD149" t="s">
        <v>41</v>
      </c>
      <c r="AE149" t="s">
        <v>62</v>
      </c>
      <c r="AF149">
        <v>19</v>
      </c>
      <c r="AG149">
        <v>2020</v>
      </c>
      <c r="AH149" t="s">
        <v>43</v>
      </c>
      <c r="AI149">
        <v>185</v>
      </c>
      <c r="AJ149">
        <v>2.2000000000000002</v>
      </c>
    </row>
    <row r="150" spans="1:36" x14ac:dyDescent="0.25">
      <c r="A150">
        <v>10149</v>
      </c>
      <c r="B150" t="s">
        <v>66</v>
      </c>
      <c r="C150" t="s">
        <v>63</v>
      </c>
      <c r="D150" t="s">
        <v>44</v>
      </c>
      <c r="E150" t="str">
        <f t="shared" si="26"/>
        <v>John Miller is in Sales Department</v>
      </c>
      <c r="F150" s="6" t="str">
        <f t="shared" si="27"/>
        <v>johnmiller@gmail.com</v>
      </c>
      <c r="G150">
        <v>33810</v>
      </c>
      <c r="H150" t="str">
        <f t="shared" si="28"/>
        <v>extremely low</v>
      </c>
      <c r="I150" s="3">
        <v>37768</v>
      </c>
      <c r="J150">
        <f t="shared" si="29"/>
        <v>2003</v>
      </c>
      <c r="K150">
        <f t="shared" si="30"/>
        <v>5</v>
      </c>
      <c r="L150">
        <f t="shared" si="31"/>
        <v>27</v>
      </c>
      <c r="M150" s="3">
        <f t="shared" ca="1" si="32"/>
        <v>46100</v>
      </c>
      <c r="N150">
        <f t="shared" ca="1" si="33"/>
        <v>8332</v>
      </c>
      <c r="O150">
        <f t="shared" ca="1" si="34"/>
        <v>8332</v>
      </c>
      <c r="P150">
        <f t="shared" ca="1" si="35"/>
        <v>5953</v>
      </c>
      <c r="Q150">
        <v>24</v>
      </c>
      <c r="R150" t="str">
        <f t="shared" si="36"/>
        <v>Young</v>
      </c>
      <c r="S150" t="s">
        <v>34</v>
      </c>
      <c r="T150">
        <v>5</v>
      </c>
      <c r="U150" t="s">
        <v>25</v>
      </c>
      <c r="V150">
        <v>2086.2399999999998</v>
      </c>
      <c r="W150" t="s">
        <v>35</v>
      </c>
      <c r="X150" t="s">
        <v>55</v>
      </c>
      <c r="Y150">
        <v>7</v>
      </c>
      <c r="Z150" t="str">
        <f t="shared" si="37"/>
        <v>Bad Employee</v>
      </c>
      <c r="AA150" t="b">
        <f t="shared" si="38"/>
        <v>0</v>
      </c>
      <c r="AB150" t="b">
        <f>OR(Y150&gt;20, T150&gt;6)</f>
        <v>0</v>
      </c>
      <c r="AC150" t="str">
        <f>IF(OR(Y150&gt;20,T150&gt;6), "Good employee", "Bad Employee")</f>
        <v>Bad Employee</v>
      </c>
      <c r="AD150" t="s">
        <v>41</v>
      </c>
      <c r="AE150" t="s">
        <v>29</v>
      </c>
      <c r="AF150">
        <v>12</v>
      </c>
      <c r="AG150">
        <v>2021</v>
      </c>
      <c r="AH150" t="s">
        <v>30</v>
      </c>
      <c r="AI150">
        <v>39</v>
      </c>
      <c r="AJ150">
        <v>2.5</v>
      </c>
    </row>
    <row r="151" spans="1:36" x14ac:dyDescent="0.25">
      <c r="A151">
        <v>10150</v>
      </c>
      <c r="B151" t="s">
        <v>53</v>
      </c>
      <c r="C151" t="s">
        <v>65</v>
      </c>
      <c r="D151" t="s">
        <v>33</v>
      </c>
      <c r="E151" t="str">
        <f t="shared" si="26"/>
        <v>Sarah Johnson is in Marketing Department</v>
      </c>
      <c r="F151" s="6" t="str">
        <f t="shared" si="27"/>
        <v>sarahjohnson@gmail.com</v>
      </c>
      <c r="G151">
        <v>46569</v>
      </c>
      <c r="H151" t="str">
        <f t="shared" si="28"/>
        <v>low</v>
      </c>
      <c r="I151" s="3">
        <v>37298</v>
      </c>
      <c r="J151">
        <f t="shared" si="29"/>
        <v>2002</v>
      </c>
      <c r="K151">
        <f t="shared" si="30"/>
        <v>2</v>
      </c>
      <c r="L151">
        <f t="shared" si="31"/>
        <v>11</v>
      </c>
      <c r="M151" s="3">
        <f t="shared" ca="1" si="32"/>
        <v>46100</v>
      </c>
      <c r="N151">
        <f t="shared" ca="1" si="33"/>
        <v>8802</v>
      </c>
      <c r="O151">
        <f t="shared" ca="1" si="34"/>
        <v>8802</v>
      </c>
      <c r="P151">
        <f t="shared" ca="1" si="35"/>
        <v>6289</v>
      </c>
      <c r="Q151">
        <v>46</v>
      </c>
      <c r="R151" t="str">
        <f t="shared" si="36"/>
        <v>Old</v>
      </c>
      <c r="S151" t="s">
        <v>24</v>
      </c>
      <c r="T151">
        <v>4</v>
      </c>
      <c r="U151" t="s">
        <v>25</v>
      </c>
      <c r="V151">
        <v>3103.41</v>
      </c>
      <c r="W151" t="s">
        <v>35</v>
      </c>
      <c r="X151" t="s">
        <v>47</v>
      </c>
      <c r="Y151">
        <v>12</v>
      </c>
      <c r="Z151" t="str">
        <f t="shared" si="37"/>
        <v>Bad Employee</v>
      </c>
      <c r="AA151" t="b">
        <f t="shared" si="38"/>
        <v>0</v>
      </c>
      <c r="AB151" t="b">
        <f>OR(Y151&gt;20, T151&gt;6)</f>
        <v>0</v>
      </c>
      <c r="AC151" t="str">
        <f>IF(OR(Y151&gt;20,T151&gt;6), "Good employee", "Bad Employee")</f>
        <v>Bad Employee</v>
      </c>
      <c r="AD151" t="s">
        <v>41</v>
      </c>
      <c r="AE151" t="s">
        <v>62</v>
      </c>
      <c r="AF151">
        <v>19</v>
      </c>
      <c r="AG151">
        <v>2020</v>
      </c>
      <c r="AH151" t="s">
        <v>49</v>
      </c>
      <c r="AI151">
        <v>194</v>
      </c>
      <c r="AJ151">
        <v>2.6</v>
      </c>
    </row>
    <row r="152" spans="1:36" x14ac:dyDescent="0.25">
      <c r="A152">
        <v>10151</v>
      </c>
      <c r="B152" t="s">
        <v>50</v>
      </c>
      <c r="C152" t="s">
        <v>51</v>
      </c>
      <c r="D152" t="s">
        <v>39</v>
      </c>
      <c r="E152" t="str">
        <f t="shared" si="26"/>
        <v>Alex Brown is in IT Department</v>
      </c>
      <c r="F152" s="6" t="str">
        <f t="shared" si="27"/>
        <v>alexbrown@gmail.com</v>
      </c>
      <c r="G152">
        <v>109120</v>
      </c>
      <c r="H152" t="str">
        <f t="shared" si="28"/>
        <v>High</v>
      </c>
      <c r="I152" s="3">
        <v>38442</v>
      </c>
      <c r="J152">
        <f t="shared" si="29"/>
        <v>2005</v>
      </c>
      <c r="K152">
        <f t="shared" si="30"/>
        <v>3</v>
      </c>
      <c r="L152">
        <f t="shared" si="31"/>
        <v>31</v>
      </c>
      <c r="M152" s="3">
        <f t="shared" ca="1" si="32"/>
        <v>46100</v>
      </c>
      <c r="N152">
        <f t="shared" ca="1" si="33"/>
        <v>7658</v>
      </c>
      <c r="O152">
        <f t="shared" ca="1" si="34"/>
        <v>7658</v>
      </c>
      <c r="P152">
        <f t="shared" ca="1" si="35"/>
        <v>5471</v>
      </c>
      <c r="Q152">
        <v>46</v>
      </c>
      <c r="R152" t="str">
        <f t="shared" si="36"/>
        <v>Old</v>
      </c>
      <c r="S152" t="s">
        <v>34</v>
      </c>
      <c r="T152">
        <v>9</v>
      </c>
      <c r="U152" t="s">
        <v>45</v>
      </c>
      <c r="V152">
        <v>2770.18</v>
      </c>
      <c r="W152" t="s">
        <v>35</v>
      </c>
      <c r="X152" t="s">
        <v>27</v>
      </c>
      <c r="Y152">
        <v>4</v>
      </c>
      <c r="Z152" t="str">
        <f t="shared" si="37"/>
        <v>Bad Employee</v>
      </c>
      <c r="AA152" t="b">
        <f t="shared" si="38"/>
        <v>0</v>
      </c>
      <c r="AB152" t="b">
        <f>OR(Y152&gt;20, T152&gt;6)</f>
        <v>1</v>
      </c>
      <c r="AC152" t="str">
        <f>IF(OR(Y152&gt;20,T152&gt;6), "Good employee", "Bad Employee")</f>
        <v>Good employee</v>
      </c>
      <c r="AD152" t="s">
        <v>41</v>
      </c>
      <c r="AE152" t="s">
        <v>29</v>
      </c>
      <c r="AF152">
        <v>3</v>
      </c>
      <c r="AG152">
        <v>2021</v>
      </c>
      <c r="AH152" t="s">
        <v>43</v>
      </c>
      <c r="AI152">
        <v>193</v>
      </c>
      <c r="AJ152">
        <v>3.9</v>
      </c>
    </row>
    <row r="153" spans="1:36" x14ac:dyDescent="0.25">
      <c r="A153">
        <v>10152</v>
      </c>
      <c r="B153" t="s">
        <v>50</v>
      </c>
      <c r="C153" t="s">
        <v>63</v>
      </c>
      <c r="D153" t="s">
        <v>39</v>
      </c>
      <c r="E153" t="str">
        <f t="shared" si="26"/>
        <v>Alex Miller is in IT Department</v>
      </c>
      <c r="F153" s="6" t="str">
        <f t="shared" si="27"/>
        <v>alexmiller@gmail.com</v>
      </c>
      <c r="G153">
        <v>56783</v>
      </c>
      <c r="H153" t="str">
        <f t="shared" si="28"/>
        <v>Medium</v>
      </c>
      <c r="I153" s="3">
        <v>39938</v>
      </c>
      <c r="J153">
        <f t="shared" si="29"/>
        <v>2009</v>
      </c>
      <c r="K153">
        <f t="shared" si="30"/>
        <v>5</v>
      </c>
      <c r="L153">
        <f t="shared" si="31"/>
        <v>5</v>
      </c>
      <c r="M153" s="3">
        <f t="shared" ca="1" si="32"/>
        <v>46100</v>
      </c>
      <c r="N153">
        <f t="shared" ca="1" si="33"/>
        <v>6162</v>
      </c>
      <c r="O153">
        <f t="shared" ca="1" si="34"/>
        <v>6162</v>
      </c>
      <c r="P153">
        <f t="shared" ca="1" si="35"/>
        <v>4403</v>
      </c>
      <c r="Q153">
        <v>33</v>
      </c>
      <c r="R153" t="str">
        <f t="shared" si="36"/>
        <v>Old</v>
      </c>
      <c r="S153" t="s">
        <v>34</v>
      </c>
      <c r="T153">
        <v>5</v>
      </c>
      <c r="U153" t="s">
        <v>25</v>
      </c>
      <c r="V153">
        <v>5238.04</v>
      </c>
      <c r="W153" t="s">
        <v>35</v>
      </c>
      <c r="X153" t="s">
        <v>47</v>
      </c>
      <c r="Y153">
        <v>19</v>
      </c>
      <c r="Z153" t="str">
        <f t="shared" si="37"/>
        <v>Bad Employee</v>
      </c>
      <c r="AA153" t="b">
        <f t="shared" si="38"/>
        <v>0</v>
      </c>
      <c r="AB153" t="b">
        <f>OR(Y153&gt;20, T153&gt;6)</f>
        <v>0</v>
      </c>
      <c r="AC153" t="str">
        <f>IF(OR(Y153&gt;20,T153&gt;6), "Good employee", "Bad Employee")</f>
        <v>Bad Employee</v>
      </c>
      <c r="AD153" t="s">
        <v>41</v>
      </c>
      <c r="AE153" t="s">
        <v>48</v>
      </c>
      <c r="AF153">
        <v>3</v>
      </c>
      <c r="AG153">
        <v>2016</v>
      </c>
      <c r="AH153" t="s">
        <v>30</v>
      </c>
      <c r="AI153">
        <v>151</v>
      </c>
      <c r="AJ153">
        <v>2.4</v>
      </c>
    </row>
    <row r="154" spans="1:36" x14ac:dyDescent="0.25">
      <c r="A154">
        <v>10153</v>
      </c>
      <c r="B154" t="s">
        <v>66</v>
      </c>
      <c r="C154" t="s">
        <v>51</v>
      </c>
      <c r="D154" t="s">
        <v>39</v>
      </c>
      <c r="E154" t="str">
        <f t="shared" si="26"/>
        <v>John Brown is in IT Department</v>
      </c>
      <c r="F154" s="6" t="str">
        <f t="shared" si="27"/>
        <v>johnbrown@gmail.com</v>
      </c>
      <c r="G154">
        <v>108047</v>
      </c>
      <c r="H154" t="str">
        <f t="shared" si="28"/>
        <v>High</v>
      </c>
      <c r="I154" s="3">
        <v>39025</v>
      </c>
      <c r="J154">
        <f t="shared" si="29"/>
        <v>2006</v>
      </c>
      <c r="K154">
        <f t="shared" si="30"/>
        <v>11</v>
      </c>
      <c r="L154">
        <f t="shared" si="31"/>
        <v>4</v>
      </c>
      <c r="M154" s="3">
        <f t="shared" ca="1" si="32"/>
        <v>46100</v>
      </c>
      <c r="N154">
        <f t="shared" ca="1" si="33"/>
        <v>7075</v>
      </c>
      <c r="O154">
        <f t="shared" ca="1" si="34"/>
        <v>7075</v>
      </c>
      <c r="P154">
        <f t="shared" ca="1" si="35"/>
        <v>5054</v>
      </c>
      <c r="Q154">
        <v>50</v>
      </c>
      <c r="R154" t="str">
        <f t="shared" si="36"/>
        <v>Old</v>
      </c>
      <c r="S154" t="s">
        <v>34</v>
      </c>
      <c r="T154">
        <v>2</v>
      </c>
      <c r="U154" t="s">
        <v>45</v>
      </c>
      <c r="V154">
        <v>3269.3</v>
      </c>
      <c r="W154" t="s">
        <v>46</v>
      </c>
      <c r="X154" t="s">
        <v>47</v>
      </c>
      <c r="Y154">
        <v>1</v>
      </c>
      <c r="Z154" t="str">
        <f t="shared" si="37"/>
        <v>Bad Employee</v>
      </c>
      <c r="AA154" t="b">
        <f t="shared" si="38"/>
        <v>0</v>
      </c>
      <c r="AB154" t="b">
        <f>OR(Y154&gt;20, T154&gt;6)</f>
        <v>0</v>
      </c>
      <c r="AC154" t="str">
        <f>IF(OR(Y154&gt;20,T154&gt;6), "Good employee", "Bad Employee")</f>
        <v>Bad Employee</v>
      </c>
      <c r="AD154" t="s">
        <v>28</v>
      </c>
      <c r="AE154" t="s">
        <v>48</v>
      </c>
      <c r="AF154">
        <v>1</v>
      </c>
      <c r="AG154">
        <v>2011</v>
      </c>
      <c r="AH154" t="s">
        <v>30</v>
      </c>
      <c r="AI154">
        <v>88</v>
      </c>
      <c r="AJ154">
        <v>1.6</v>
      </c>
    </row>
    <row r="155" spans="1:36" x14ac:dyDescent="0.25">
      <c r="A155">
        <v>10154</v>
      </c>
      <c r="B155" t="s">
        <v>50</v>
      </c>
      <c r="C155" t="s">
        <v>57</v>
      </c>
      <c r="D155" t="s">
        <v>33</v>
      </c>
      <c r="E155" t="str">
        <f t="shared" si="26"/>
        <v>Alex Davis is in Marketing Department</v>
      </c>
      <c r="F155" s="6" t="str">
        <f t="shared" si="27"/>
        <v>alexdavis@gmail.com</v>
      </c>
      <c r="G155">
        <v>39471</v>
      </c>
      <c r="H155" t="str">
        <f t="shared" si="28"/>
        <v>extremely low</v>
      </c>
      <c r="I155" s="3">
        <v>39966</v>
      </c>
      <c r="J155">
        <f t="shared" si="29"/>
        <v>2009</v>
      </c>
      <c r="K155">
        <f t="shared" si="30"/>
        <v>6</v>
      </c>
      <c r="L155">
        <f t="shared" si="31"/>
        <v>2</v>
      </c>
      <c r="M155" s="3">
        <f t="shared" ca="1" si="32"/>
        <v>46100</v>
      </c>
      <c r="N155">
        <f t="shared" ca="1" si="33"/>
        <v>6134</v>
      </c>
      <c r="O155">
        <f t="shared" ca="1" si="34"/>
        <v>6134</v>
      </c>
      <c r="P155">
        <f t="shared" ca="1" si="35"/>
        <v>4383</v>
      </c>
      <c r="Q155">
        <v>32</v>
      </c>
      <c r="R155" t="str">
        <f t="shared" si="36"/>
        <v>Old</v>
      </c>
      <c r="S155" t="s">
        <v>34</v>
      </c>
      <c r="T155">
        <v>4</v>
      </c>
      <c r="U155" t="s">
        <v>25</v>
      </c>
      <c r="V155">
        <v>5402.58</v>
      </c>
      <c r="W155" t="s">
        <v>26</v>
      </c>
      <c r="X155" t="s">
        <v>55</v>
      </c>
      <c r="Y155">
        <v>13</v>
      </c>
      <c r="Z155" t="str">
        <f t="shared" si="37"/>
        <v>Bad Employee</v>
      </c>
      <c r="AA155" t="b">
        <f t="shared" si="38"/>
        <v>0</v>
      </c>
      <c r="AB155" t="b">
        <f>OR(Y155&gt;20, T155&gt;6)</f>
        <v>0</v>
      </c>
      <c r="AC155" t="str">
        <f>IF(OR(Y155&gt;20,T155&gt;6), "Good employee", "Bad Employee")</f>
        <v>Bad Employee</v>
      </c>
      <c r="AD155" t="s">
        <v>41</v>
      </c>
      <c r="AE155" t="s">
        <v>62</v>
      </c>
      <c r="AF155">
        <v>12</v>
      </c>
      <c r="AG155">
        <v>2019</v>
      </c>
      <c r="AH155" t="s">
        <v>43</v>
      </c>
      <c r="AI155">
        <v>46</v>
      </c>
      <c r="AJ155">
        <v>4</v>
      </c>
    </row>
    <row r="156" spans="1:36" x14ac:dyDescent="0.25">
      <c r="A156">
        <v>10155</v>
      </c>
      <c r="B156" t="s">
        <v>38</v>
      </c>
      <c r="C156" t="s">
        <v>32</v>
      </c>
      <c r="D156" t="s">
        <v>23</v>
      </c>
      <c r="E156" t="str">
        <f t="shared" si="26"/>
        <v>Chris Wilson is in HR Department</v>
      </c>
      <c r="F156" s="6" t="str">
        <f t="shared" si="27"/>
        <v>chriswilson@gmail.com</v>
      </c>
      <c r="G156">
        <v>36163</v>
      </c>
      <c r="H156" t="str">
        <f t="shared" si="28"/>
        <v>extremely low</v>
      </c>
      <c r="I156" s="3">
        <v>41565</v>
      </c>
      <c r="J156">
        <f t="shared" si="29"/>
        <v>2013</v>
      </c>
      <c r="K156">
        <f t="shared" si="30"/>
        <v>10</v>
      </c>
      <c r="L156">
        <f t="shared" si="31"/>
        <v>18</v>
      </c>
      <c r="M156" s="3">
        <f t="shared" ca="1" si="32"/>
        <v>46100</v>
      </c>
      <c r="N156">
        <f t="shared" ca="1" si="33"/>
        <v>4535</v>
      </c>
      <c r="O156">
        <f t="shared" ca="1" si="34"/>
        <v>4535</v>
      </c>
      <c r="P156">
        <f t="shared" ca="1" si="35"/>
        <v>3240</v>
      </c>
      <c r="Q156">
        <v>32</v>
      </c>
      <c r="R156" t="str">
        <f t="shared" si="36"/>
        <v>Old</v>
      </c>
      <c r="S156" t="s">
        <v>34</v>
      </c>
      <c r="T156">
        <v>9</v>
      </c>
      <c r="U156" t="s">
        <v>45</v>
      </c>
      <c r="V156">
        <v>6858.29</v>
      </c>
      <c r="W156" t="s">
        <v>26</v>
      </c>
      <c r="X156" t="s">
        <v>27</v>
      </c>
      <c r="Y156">
        <v>25</v>
      </c>
      <c r="Z156" t="str">
        <f t="shared" si="37"/>
        <v>Good Employee</v>
      </c>
      <c r="AA156" t="b">
        <f t="shared" si="38"/>
        <v>1</v>
      </c>
      <c r="AB156" t="b">
        <f>OR(Y156&gt;20, T156&gt;6)</f>
        <v>1</v>
      </c>
      <c r="AC156" t="str">
        <f>IF(OR(Y156&gt;20,T156&gt;6), "Good employee", "Bad Employee")</f>
        <v>Good employee</v>
      </c>
      <c r="AD156" t="s">
        <v>56</v>
      </c>
      <c r="AE156" t="s">
        <v>37</v>
      </c>
      <c r="AF156">
        <v>12</v>
      </c>
      <c r="AG156">
        <v>2022</v>
      </c>
      <c r="AH156" t="s">
        <v>49</v>
      </c>
      <c r="AI156">
        <v>176</v>
      </c>
      <c r="AJ156">
        <v>2.8</v>
      </c>
    </row>
    <row r="157" spans="1:36" x14ac:dyDescent="0.25">
      <c r="A157">
        <v>10156</v>
      </c>
      <c r="B157" t="s">
        <v>60</v>
      </c>
      <c r="C157" t="s">
        <v>63</v>
      </c>
      <c r="D157" t="s">
        <v>52</v>
      </c>
      <c r="E157" t="str">
        <f t="shared" si="26"/>
        <v>Jane Miller is in Operations Department</v>
      </c>
      <c r="F157" s="6" t="str">
        <f t="shared" si="27"/>
        <v>janemiller@gmail.com</v>
      </c>
      <c r="G157">
        <v>93087</v>
      </c>
      <c r="H157" t="str">
        <f t="shared" si="28"/>
        <v>High</v>
      </c>
      <c r="I157" s="3">
        <v>43517</v>
      </c>
      <c r="J157">
        <f t="shared" si="29"/>
        <v>2019</v>
      </c>
      <c r="K157">
        <f t="shared" si="30"/>
        <v>2</v>
      </c>
      <c r="L157">
        <f t="shared" si="31"/>
        <v>21</v>
      </c>
      <c r="M157" s="3">
        <f t="shared" ca="1" si="32"/>
        <v>46100</v>
      </c>
      <c r="N157">
        <f t="shared" ca="1" si="33"/>
        <v>2583</v>
      </c>
      <c r="O157">
        <f t="shared" ca="1" si="34"/>
        <v>2583</v>
      </c>
      <c r="P157">
        <f t="shared" ca="1" si="35"/>
        <v>1846</v>
      </c>
      <c r="Q157">
        <v>47</v>
      </c>
      <c r="R157" t="str">
        <f t="shared" si="36"/>
        <v>Old</v>
      </c>
      <c r="S157" t="s">
        <v>24</v>
      </c>
      <c r="T157">
        <v>8</v>
      </c>
      <c r="U157" t="s">
        <v>25</v>
      </c>
      <c r="V157">
        <v>7884.34</v>
      </c>
      <c r="W157" t="s">
        <v>26</v>
      </c>
      <c r="X157" t="s">
        <v>40</v>
      </c>
      <c r="Y157">
        <v>34</v>
      </c>
      <c r="Z157" t="str">
        <f t="shared" si="37"/>
        <v>Good Employee</v>
      </c>
      <c r="AA157" t="b">
        <f t="shared" si="38"/>
        <v>1</v>
      </c>
      <c r="AB157" t="b">
        <f>OR(Y157&gt;20, T157&gt;6)</f>
        <v>1</v>
      </c>
      <c r="AC157" t="str">
        <f>IF(OR(Y157&gt;20,T157&gt;6), "Good employee", "Bad Employee")</f>
        <v>Good employee</v>
      </c>
      <c r="AD157" t="s">
        <v>56</v>
      </c>
      <c r="AE157" t="s">
        <v>29</v>
      </c>
      <c r="AF157">
        <v>19</v>
      </c>
      <c r="AG157">
        <v>2013</v>
      </c>
      <c r="AH157" t="s">
        <v>43</v>
      </c>
      <c r="AI157">
        <v>102</v>
      </c>
      <c r="AJ157">
        <v>1.3</v>
      </c>
    </row>
    <row r="158" spans="1:36" x14ac:dyDescent="0.25">
      <c r="A158">
        <v>10157</v>
      </c>
      <c r="B158" t="s">
        <v>21</v>
      </c>
      <c r="C158" t="s">
        <v>63</v>
      </c>
      <c r="D158" t="s">
        <v>44</v>
      </c>
      <c r="E158" t="str">
        <f t="shared" si="26"/>
        <v>Michael Miller is in Sales Department</v>
      </c>
      <c r="F158" s="6" t="str">
        <f t="shared" si="27"/>
        <v>michaelmiller@gmail.com</v>
      </c>
      <c r="G158">
        <v>92071</v>
      </c>
      <c r="H158" t="str">
        <f t="shared" si="28"/>
        <v>High</v>
      </c>
      <c r="I158" s="3">
        <v>43686</v>
      </c>
      <c r="J158">
        <f t="shared" si="29"/>
        <v>2019</v>
      </c>
      <c r="K158">
        <f t="shared" si="30"/>
        <v>8</v>
      </c>
      <c r="L158">
        <f t="shared" si="31"/>
        <v>9</v>
      </c>
      <c r="M158" s="3">
        <f t="shared" ca="1" si="32"/>
        <v>46100</v>
      </c>
      <c r="N158">
        <f t="shared" ca="1" si="33"/>
        <v>2414</v>
      </c>
      <c r="O158">
        <f t="shared" ca="1" si="34"/>
        <v>2414</v>
      </c>
      <c r="P158">
        <f t="shared" ca="1" si="35"/>
        <v>1725</v>
      </c>
      <c r="Q158">
        <v>35</v>
      </c>
      <c r="R158" t="str">
        <f t="shared" si="36"/>
        <v>Old</v>
      </c>
      <c r="S158" t="s">
        <v>34</v>
      </c>
      <c r="T158">
        <v>3</v>
      </c>
      <c r="U158" t="s">
        <v>45</v>
      </c>
      <c r="V158">
        <v>7246.5</v>
      </c>
      <c r="W158" t="s">
        <v>46</v>
      </c>
      <c r="X158" t="s">
        <v>27</v>
      </c>
      <c r="Y158">
        <v>35</v>
      </c>
      <c r="Z158" t="str">
        <f t="shared" si="37"/>
        <v>Bad Employee</v>
      </c>
      <c r="AA158" t="b">
        <f t="shared" si="38"/>
        <v>0</v>
      </c>
      <c r="AB158" t="b">
        <f>OR(Y158&gt;20, T158&gt;6)</f>
        <v>1</v>
      </c>
      <c r="AC158" t="str">
        <f>IF(OR(Y158&gt;20,T158&gt;6), "Good employee", "Bad Employee")</f>
        <v>Good employee</v>
      </c>
      <c r="AD158" t="s">
        <v>56</v>
      </c>
      <c r="AE158" t="s">
        <v>29</v>
      </c>
      <c r="AF158">
        <v>6</v>
      </c>
      <c r="AG158">
        <v>2020</v>
      </c>
      <c r="AH158" t="s">
        <v>43</v>
      </c>
      <c r="AI158">
        <v>5</v>
      </c>
      <c r="AJ158">
        <v>4.2</v>
      </c>
    </row>
    <row r="159" spans="1:36" x14ac:dyDescent="0.25">
      <c r="A159">
        <v>10158</v>
      </c>
      <c r="B159" t="s">
        <v>60</v>
      </c>
      <c r="C159" t="s">
        <v>32</v>
      </c>
      <c r="D159" t="s">
        <v>39</v>
      </c>
      <c r="E159" t="str">
        <f t="shared" si="26"/>
        <v>Jane Wilson is in IT Department</v>
      </c>
      <c r="F159" s="6" t="str">
        <f t="shared" si="27"/>
        <v>janewilson@gmail.com</v>
      </c>
      <c r="G159">
        <v>46065</v>
      </c>
      <c r="H159" t="str">
        <f t="shared" si="28"/>
        <v>low</v>
      </c>
      <c r="I159" s="3">
        <v>42636</v>
      </c>
      <c r="J159">
        <f t="shared" si="29"/>
        <v>2016</v>
      </c>
      <c r="K159">
        <f t="shared" si="30"/>
        <v>9</v>
      </c>
      <c r="L159">
        <f t="shared" si="31"/>
        <v>23</v>
      </c>
      <c r="M159" s="3">
        <f t="shared" ca="1" si="32"/>
        <v>46100</v>
      </c>
      <c r="N159">
        <f t="shared" ca="1" si="33"/>
        <v>3464</v>
      </c>
      <c r="O159">
        <f t="shared" ca="1" si="34"/>
        <v>3464</v>
      </c>
      <c r="P159">
        <f t="shared" ca="1" si="35"/>
        <v>2475</v>
      </c>
      <c r="Q159">
        <v>37</v>
      </c>
      <c r="R159" t="str">
        <f t="shared" si="36"/>
        <v>Old</v>
      </c>
      <c r="S159" t="s">
        <v>34</v>
      </c>
      <c r="T159">
        <v>8</v>
      </c>
      <c r="U159" t="s">
        <v>25</v>
      </c>
      <c r="V159">
        <v>2453.11</v>
      </c>
      <c r="W159" t="s">
        <v>35</v>
      </c>
      <c r="X159" t="s">
        <v>27</v>
      </c>
      <c r="Y159">
        <v>17</v>
      </c>
      <c r="Z159" t="str">
        <f t="shared" si="37"/>
        <v>Bad Employee</v>
      </c>
      <c r="AA159" t="b">
        <f t="shared" si="38"/>
        <v>0</v>
      </c>
      <c r="AB159" t="b">
        <f>OR(Y159&gt;20, T159&gt;6)</f>
        <v>1</v>
      </c>
      <c r="AC159" t="str">
        <f>IF(OR(Y159&gt;20,T159&gt;6), "Good employee", "Bad Employee")</f>
        <v>Good employee</v>
      </c>
      <c r="AD159" t="s">
        <v>28</v>
      </c>
      <c r="AE159" t="s">
        <v>29</v>
      </c>
      <c r="AF159">
        <v>6</v>
      </c>
      <c r="AG159">
        <v>2012</v>
      </c>
      <c r="AH159" t="s">
        <v>30</v>
      </c>
      <c r="AI159">
        <v>72</v>
      </c>
      <c r="AJ159">
        <v>3.3</v>
      </c>
    </row>
    <row r="160" spans="1:36" x14ac:dyDescent="0.25">
      <c r="A160">
        <v>10159</v>
      </c>
      <c r="B160" t="s">
        <v>66</v>
      </c>
      <c r="C160" t="s">
        <v>51</v>
      </c>
      <c r="D160" t="s">
        <v>33</v>
      </c>
      <c r="E160" t="str">
        <f t="shared" si="26"/>
        <v>John Brown is in Marketing Department</v>
      </c>
      <c r="F160" s="6" t="str">
        <f t="shared" si="27"/>
        <v>johnbrown@gmail.com</v>
      </c>
      <c r="G160">
        <v>113456</v>
      </c>
      <c r="H160" t="str">
        <f t="shared" si="28"/>
        <v>High</v>
      </c>
      <c r="I160" s="3">
        <v>40071</v>
      </c>
      <c r="J160">
        <f t="shared" si="29"/>
        <v>2009</v>
      </c>
      <c r="K160">
        <f t="shared" si="30"/>
        <v>9</v>
      </c>
      <c r="L160">
        <f t="shared" si="31"/>
        <v>15</v>
      </c>
      <c r="M160" s="3">
        <f t="shared" ca="1" si="32"/>
        <v>46100</v>
      </c>
      <c r="N160">
        <f t="shared" ca="1" si="33"/>
        <v>6029</v>
      </c>
      <c r="O160">
        <f t="shared" ca="1" si="34"/>
        <v>6029</v>
      </c>
      <c r="P160">
        <f t="shared" ca="1" si="35"/>
        <v>4308</v>
      </c>
      <c r="Q160">
        <v>31</v>
      </c>
      <c r="R160" t="str">
        <f t="shared" si="36"/>
        <v>Old</v>
      </c>
      <c r="S160" t="s">
        <v>34</v>
      </c>
      <c r="T160">
        <v>2</v>
      </c>
      <c r="U160" t="s">
        <v>45</v>
      </c>
      <c r="V160">
        <v>1601.05</v>
      </c>
      <c r="W160" t="s">
        <v>35</v>
      </c>
      <c r="X160" t="s">
        <v>40</v>
      </c>
      <c r="Y160">
        <v>26</v>
      </c>
      <c r="Z160" t="str">
        <f t="shared" si="37"/>
        <v>Bad Employee</v>
      </c>
      <c r="AA160" t="b">
        <f t="shared" si="38"/>
        <v>0</v>
      </c>
      <c r="AB160" t="b">
        <f>OR(Y160&gt;20, T160&gt;6)</f>
        <v>1</v>
      </c>
      <c r="AC160" t="str">
        <f>IF(OR(Y160&gt;20,T160&gt;6), "Good employee", "Bad Employee")</f>
        <v>Good employee</v>
      </c>
      <c r="AD160" t="s">
        <v>41</v>
      </c>
      <c r="AE160" t="s">
        <v>29</v>
      </c>
      <c r="AF160">
        <v>16</v>
      </c>
      <c r="AG160">
        <v>2019</v>
      </c>
      <c r="AH160" t="s">
        <v>30</v>
      </c>
      <c r="AI160">
        <v>108</v>
      </c>
      <c r="AJ160">
        <v>3</v>
      </c>
    </row>
    <row r="161" spans="1:36" x14ac:dyDescent="0.25">
      <c r="A161">
        <v>10160</v>
      </c>
      <c r="B161" t="s">
        <v>31</v>
      </c>
      <c r="C161" t="s">
        <v>57</v>
      </c>
      <c r="D161" t="s">
        <v>23</v>
      </c>
      <c r="E161" t="str">
        <f t="shared" si="26"/>
        <v>Emily Davis is in HR Department</v>
      </c>
      <c r="F161" s="6" t="str">
        <f t="shared" si="27"/>
        <v>emilydavis@gmail.com</v>
      </c>
      <c r="G161">
        <v>78348</v>
      </c>
      <c r="H161" t="str">
        <f t="shared" si="28"/>
        <v>Medium</v>
      </c>
      <c r="I161" s="3">
        <v>37739</v>
      </c>
      <c r="J161">
        <f t="shared" si="29"/>
        <v>2003</v>
      </c>
      <c r="K161">
        <f t="shared" si="30"/>
        <v>4</v>
      </c>
      <c r="L161">
        <f t="shared" si="31"/>
        <v>28</v>
      </c>
      <c r="M161" s="3">
        <f t="shared" ca="1" si="32"/>
        <v>46100</v>
      </c>
      <c r="N161">
        <f t="shared" ca="1" si="33"/>
        <v>8361</v>
      </c>
      <c r="O161">
        <f t="shared" ca="1" si="34"/>
        <v>8361</v>
      </c>
      <c r="P161">
        <f t="shared" ca="1" si="35"/>
        <v>5974</v>
      </c>
      <c r="Q161">
        <v>52</v>
      </c>
      <c r="R161" t="str">
        <f t="shared" si="36"/>
        <v>Old</v>
      </c>
      <c r="S161" t="s">
        <v>34</v>
      </c>
      <c r="T161">
        <v>3</v>
      </c>
      <c r="U161" t="s">
        <v>25</v>
      </c>
      <c r="V161">
        <v>5653.28</v>
      </c>
      <c r="W161" t="s">
        <v>26</v>
      </c>
      <c r="X161" t="s">
        <v>55</v>
      </c>
      <c r="Y161">
        <v>21</v>
      </c>
      <c r="Z161" t="str">
        <f t="shared" si="37"/>
        <v>Bad Employee</v>
      </c>
      <c r="AA161" t="b">
        <f t="shared" si="38"/>
        <v>0</v>
      </c>
      <c r="AB161" t="b">
        <f>OR(Y161&gt;20, T161&gt;6)</f>
        <v>1</v>
      </c>
      <c r="AC161" t="str">
        <f>IF(OR(Y161&gt;20,T161&gt;6), "Good employee", "Bad Employee")</f>
        <v>Good employee</v>
      </c>
      <c r="AD161" t="s">
        <v>56</v>
      </c>
      <c r="AE161" t="s">
        <v>59</v>
      </c>
      <c r="AF161">
        <v>9</v>
      </c>
      <c r="AG161">
        <v>2022</v>
      </c>
      <c r="AH161" t="s">
        <v>43</v>
      </c>
      <c r="AI161">
        <v>82</v>
      </c>
      <c r="AJ161">
        <v>3.7</v>
      </c>
    </row>
    <row r="162" spans="1:36" x14ac:dyDescent="0.25">
      <c r="A162">
        <v>10161</v>
      </c>
      <c r="B162" t="s">
        <v>21</v>
      </c>
      <c r="C162" t="s">
        <v>22</v>
      </c>
      <c r="D162" t="s">
        <v>52</v>
      </c>
      <c r="E162" t="str">
        <f t="shared" si="26"/>
        <v>Michael Williams is in Operations Department</v>
      </c>
      <c r="F162" s="6" t="str">
        <f t="shared" si="27"/>
        <v>michaelwilliams@gmail.com</v>
      </c>
      <c r="G162">
        <v>49154</v>
      </c>
      <c r="H162" t="str">
        <f t="shared" si="28"/>
        <v>low</v>
      </c>
      <c r="I162" s="3">
        <v>39457</v>
      </c>
      <c r="J162">
        <f t="shared" si="29"/>
        <v>2008</v>
      </c>
      <c r="K162">
        <f t="shared" si="30"/>
        <v>1</v>
      </c>
      <c r="L162">
        <f t="shared" si="31"/>
        <v>10</v>
      </c>
      <c r="M162" s="3">
        <f t="shared" ca="1" si="32"/>
        <v>46100</v>
      </c>
      <c r="N162">
        <f t="shared" ca="1" si="33"/>
        <v>6643</v>
      </c>
      <c r="O162">
        <f t="shared" ca="1" si="34"/>
        <v>6643</v>
      </c>
      <c r="P162">
        <f t="shared" ca="1" si="35"/>
        <v>4746</v>
      </c>
      <c r="Q162">
        <v>52</v>
      </c>
      <c r="R162" t="str">
        <f t="shared" si="36"/>
        <v>Old</v>
      </c>
      <c r="S162" t="s">
        <v>24</v>
      </c>
      <c r="T162">
        <v>5</v>
      </c>
      <c r="U162" t="s">
        <v>45</v>
      </c>
      <c r="V162">
        <v>2389.66</v>
      </c>
      <c r="W162" t="s">
        <v>58</v>
      </c>
      <c r="X162" t="s">
        <v>27</v>
      </c>
      <c r="Y162">
        <v>12</v>
      </c>
      <c r="Z162" t="str">
        <f t="shared" si="37"/>
        <v>Bad Employee</v>
      </c>
      <c r="AA162" t="b">
        <f t="shared" si="38"/>
        <v>0</v>
      </c>
      <c r="AB162" t="b">
        <f>OR(Y162&gt;20, T162&gt;6)</f>
        <v>0</v>
      </c>
      <c r="AC162" t="str">
        <f>IF(OR(Y162&gt;20,T162&gt;6), "Good employee", "Bad Employee")</f>
        <v>Bad Employee</v>
      </c>
      <c r="AD162" t="s">
        <v>56</v>
      </c>
      <c r="AE162" t="s">
        <v>48</v>
      </c>
      <c r="AF162">
        <v>11</v>
      </c>
      <c r="AG162">
        <v>2017</v>
      </c>
      <c r="AH162" t="s">
        <v>43</v>
      </c>
      <c r="AI162">
        <v>178</v>
      </c>
      <c r="AJ162">
        <v>3</v>
      </c>
    </row>
    <row r="163" spans="1:36" x14ac:dyDescent="0.25">
      <c r="A163">
        <v>10162</v>
      </c>
      <c r="B163" t="s">
        <v>66</v>
      </c>
      <c r="C163" t="s">
        <v>32</v>
      </c>
      <c r="D163" t="s">
        <v>33</v>
      </c>
      <c r="E163" t="str">
        <f t="shared" si="26"/>
        <v>John Wilson is in Marketing Department</v>
      </c>
      <c r="F163" s="6" t="str">
        <f t="shared" si="27"/>
        <v>johnwilson@gmail.com</v>
      </c>
      <c r="G163">
        <v>50229</v>
      </c>
      <c r="H163" t="str">
        <f t="shared" si="28"/>
        <v>Medium</v>
      </c>
      <c r="I163" s="3">
        <v>36944</v>
      </c>
      <c r="J163">
        <f t="shared" si="29"/>
        <v>2001</v>
      </c>
      <c r="K163">
        <f t="shared" si="30"/>
        <v>2</v>
      </c>
      <c r="L163">
        <f t="shared" si="31"/>
        <v>22</v>
      </c>
      <c r="M163" s="3">
        <f t="shared" ca="1" si="32"/>
        <v>46100</v>
      </c>
      <c r="N163">
        <f t="shared" ca="1" si="33"/>
        <v>9156</v>
      </c>
      <c r="O163">
        <f t="shared" ca="1" si="34"/>
        <v>9156</v>
      </c>
      <c r="P163">
        <f t="shared" ca="1" si="35"/>
        <v>6541</v>
      </c>
      <c r="Q163">
        <v>57</v>
      </c>
      <c r="R163" t="str">
        <f t="shared" si="36"/>
        <v>Old</v>
      </c>
      <c r="S163" t="s">
        <v>34</v>
      </c>
      <c r="T163">
        <v>8</v>
      </c>
      <c r="U163" t="s">
        <v>25</v>
      </c>
      <c r="V163">
        <v>1306.8699999999999</v>
      </c>
      <c r="W163" t="s">
        <v>35</v>
      </c>
      <c r="X163" t="s">
        <v>40</v>
      </c>
      <c r="Y163">
        <v>16</v>
      </c>
      <c r="Z163" t="str">
        <f t="shared" si="37"/>
        <v>Bad Employee</v>
      </c>
      <c r="AA163" t="b">
        <f t="shared" si="38"/>
        <v>0</v>
      </c>
      <c r="AB163" t="b">
        <f>OR(Y163&gt;20, T163&gt;6)</f>
        <v>1</v>
      </c>
      <c r="AC163" t="str">
        <f>IF(OR(Y163&gt;20,T163&gt;6), "Good employee", "Bad Employee")</f>
        <v>Good employee</v>
      </c>
      <c r="AD163" t="s">
        <v>56</v>
      </c>
      <c r="AE163" t="s">
        <v>29</v>
      </c>
      <c r="AF163">
        <v>15</v>
      </c>
      <c r="AG163">
        <v>2016</v>
      </c>
      <c r="AH163" t="s">
        <v>30</v>
      </c>
      <c r="AI163">
        <v>55</v>
      </c>
      <c r="AJ163">
        <v>3.6</v>
      </c>
    </row>
    <row r="164" spans="1:36" x14ac:dyDescent="0.25">
      <c r="A164">
        <v>10163</v>
      </c>
      <c r="B164" t="s">
        <v>53</v>
      </c>
      <c r="C164" t="s">
        <v>65</v>
      </c>
      <c r="D164" t="s">
        <v>44</v>
      </c>
      <c r="E164" t="str">
        <f t="shared" si="26"/>
        <v>Sarah Johnson is in Sales Department</v>
      </c>
      <c r="F164" s="6" t="str">
        <f t="shared" si="27"/>
        <v>sarahjohnson@gmail.com</v>
      </c>
      <c r="G164">
        <v>82587</v>
      </c>
      <c r="H164" t="str">
        <f t="shared" si="28"/>
        <v>High</v>
      </c>
      <c r="I164" s="3">
        <v>40307</v>
      </c>
      <c r="J164">
        <f t="shared" si="29"/>
        <v>2010</v>
      </c>
      <c r="K164">
        <f t="shared" si="30"/>
        <v>5</v>
      </c>
      <c r="L164">
        <f t="shared" si="31"/>
        <v>9</v>
      </c>
      <c r="M164" s="3">
        <f t="shared" ca="1" si="32"/>
        <v>46100</v>
      </c>
      <c r="N164">
        <f t="shared" ca="1" si="33"/>
        <v>5793</v>
      </c>
      <c r="O164">
        <f t="shared" ca="1" si="34"/>
        <v>5793</v>
      </c>
      <c r="P164">
        <f t="shared" ca="1" si="35"/>
        <v>4139</v>
      </c>
      <c r="Q164">
        <v>31</v>
      </c>
      <c r="R164" t="str">
        <f t="shared" si="36"/>
        <v>Old</v>
      </c>
      <c r="S164" t="s">
        <v>24</v>
      </c>
      <c r="T164">
        <v>1</v>
      </c>
      <c r="U164" t="s">
        <v>25</v>
      </c>
      <c r="V164">
        <v>5507.4</v>
      </c>
      <c r="W164" t="s">
        <v>35</v>
      </c>
      <c r="X164" t="s">
        <v>47</v>
      </c>
      <c r="Y164">
        <v>20</v>
      </c>
      <c r="Z164" t="str">
        <f t="shared" si="37"/>
        <v>Bad Employee</v>
      </c>
      <c r="AA164" t="b">
        <f t="shared" si="38"/>
        <v>0</v>
      </c>
      <c r="AB164" t="b">
        <f>OR(Y164&gt;20, T164&gt;6)</f>
        <v>0</v>
      </c>
      <c r="AC164" t="str">
        <f>IF(OR(Y164&gt;20,T164&gt;6), "Good employee", "Bad Employee")</f>
        <v>Bad Employee</v>
      </c>
      <c r="AD164" t="s">
        <v>41</v>
      </c>
      <c r="AE164" t="s">
        <v>59</v>
      </c>
      <c r="AF164">
        <v>1</v>
      </c>
      <c r="AG164">
        <v>2012</v>
      </c>
      <c r="AH164" t="s">
        <v>43</v>
      </c>
      <c r="AI164">
        <v>36</v>
      </c>
      <c r="AJ164">
        <v>4.5</v>
      </c>
    </row>
    <row r="165" spans="1:36" x14ac:dyDescent="0.25">
      <c r="A165">
        <v>10164</v>
      </c>
      <c r="B165" t="s">
        <v>31</v>
      </c>
      <c r="C165" t="s">
        <v>51</v>
      </c>
      <c r="D165" t="s">
        <v>44</v>
      </c>
      <c r="E165" t="str">
        <f t="shared" si="26"/>
        <v>Emily Brown is in Sales Department</v>
      </c>
      <c r="F165" s="6" t="str">
        <f t="shared" si="27"/>
        <v>emilybrown@gmail.com</v>
      </c>
      <c r="G165">
        <v>79713</v>
      </c>
      <c r="H165" t="str">
        <f t="shared" si="28"/>
        <v>Medium</v>
      </c>
      <c r="I165" s="3">
        <v>41486</v>
      </c>
      <c r="J165">
        <f t="shared" si="29"/>
        <v>2013</v>
      </c>
      <c r="K165">
        <f t="shared" si="30"/>
        <v>7</v>
      </c>
      <c r="L165">
        <f t="shared" si="31"/>
        <v>31</v>
      </c>
      <c r="M165" s="3">
        <f t="shared" ca="1" si="32"/>
        <v>46100</v>
      </c>
      <c r="N165">
        <f t="shared" ca="1" si="33"/>
        <v>4614</v>
      </c>
      <c r="O165">
        <f t="shared" ca="1" si="34"/>
        <v>4614</v>
      </c>
      <c r="P165">
        <f t="shared" ca="1" si="35"/>
        <v>3297</v>
      </c>
      <c r="Q165">
        <v>47</v>
      </c>
      <c r="R165" t="str">
        <f t="shared" si="36"/>
        <v>Old</v>
      </c>
      <c r="S165" t="s">
        <v>24</v>
      </c>
      <c r="T165">
        <v>4</v>
      </c>
      <c r="U165" t="s">
        <v>25</v>
      </c>
      <c r="V165">
        <v>3604.54</v>
      </c>
      <c r="W165" t="s">
        <v>35</v>
      </c>
      <c r="X165" t="s">
        <v>47</v>
      </c>
      <c r="Y165">
        <v>10</v>
      </c>
      <c r="Z165" t="str">
        <f t="shared" si="37"/>
        <v>Bad Employee</v>
      </c>
      <c r="AA165" t="b">
        <f t="shared" si="38"/>
        <v>0</v>
      </c>
      <c r="AB165" t="b">
        <f>OR(Y165&gt;20, T165&gt;6)</f>
        <v>0</v>
      </c>
      <c r="AC165" t="str">
        <f>IF(OR(Y165&gt;20,T165&gt;6), "Good employee", "Bad Employee")</f>
        <v>Bad Employee</v>
      </c>
      <c r="AD165" t="s">
        <v>56</v>
      </c>
      <c r="AE165" t="s">
        <v>59</v>
      </c>
      <c r="AF165">
        <v>8</v>
      </c>
      <c r="AG165">
        <v>2013</v>
      </c>
      <c r="AH165" t="s">
        <v>49</v>
      </c>
      <c r="AI165">
        <v>104</v>
      </c>
      <c r="AJ165">
        <v>3.5</v>
      </c>
    </row>
    <row r="166" spans="1:36" x14ac:dyDescent="0.25">
      <c r="A166">
        <v>10165</v>
      </c>
      <c r="B166" t="s">
        <v>60</v>
      </c>
      <c r="C166" t="s">
        <v>32</v>
      </c>
      <c r="D166" t="s">
        <v>52</v>
      </c>
      <c r="E166" t="str">
        <f t="shared" si="26"/>
        <v>Jane Wilson is in Operations Department</v>
      </c>
      <c r="F166" s="6" t="str">
        <f t="shared" si="27"/>
        <v>janewilson@gmail.com</v>
      </c>
      <c r="G166">
        <v>56997</v>
      </c>
      <c r="H166" t="str">
        <f t="shared" si="28"/>
        <v>Medium</v>
      </c>
      <c r="I166" s="3">
        <v>37314</v>
      </c>
      <c r="J166">
        <f t="shared" si="29"/>
        <v>2002</v>
      </c>
      <c r="K166">
        <f t="shared" si="30"/>
        <v>2</v>
      </c>
      <c r="L166">
        <f t="shared" si="31"/>
        <v>27</v>
      </c>
      <c r="M166" s="3">
        <f t="shared" ca="1" si="32"/>
        <v>46100</v>
      </c>
      <c r="N166">
        <f t="shared" ca="1" si="33"/>
        <v>8786</v>
      </c>
      <c r="O166">
        <f t="shared" ca="1" si="34"/>
        <v>8786</v>
      </c>
      <c r="P166">
        <f t="shared" ca="1" si="35"/>
        <v>6277</v>
      </c>
      <c r="Q166">
        <v>41</v>
      </c>
      <c r="R166" t="str">
        <f t="shared" si="36"/>
        <v>Old</v>
      </c>
      <c r="S166" t="s">
        <v>34</v>
      </c>
      <c r="T166">
        <v>1</v>
      </c>
      <c r="U166" t="s">
        <v>25</v>
      </c>
      <c r="V166">
        <v>7683.42</v>
      </c>
      <c r="W166" t="s">
        <v>46</v>
      </c>
      <c r="X166" t="s">
        <v>40</v>
      </c>
      <c r="Y166">
        <v>23</v>
      </c>
      <c r="Z166" t="str">
        <f t="shared" si="37"/>
        <v>Bad Employee</v>
      </c>
      <c r="AA166" t="b">
        <f t="shared" si="38"/>
        <v>0</v>
      </c>
      <c r="AB166" t="b">
        <f>OR(Y166&gt;20, T166&gt;6)</f>
        <v>1</v>
      </c>
      <c r="AC166" t="str">
        <f>IF(OR(Y166&gt;20,T166&gt;6), "Good employee", "Bad Employee")</f>
        <v>Good employee</v>
      </c>
      <c r="AD166" t="s">
        <v>41</v>
      </c>
      <c r="AE166" t="s">
        <v>48</v>
      </c>
      <c r="AF166">
        <v>11</v>
      </c>
      <c r="AG166">
        <v>2022</v>
      </c>
      <c r="AH166" t="s">
        <v>43</v>
      </c>
      <c r="AI166">
        <v>151</v>
      </c>
      <c r="AJ166">
        <v>3.6</v>
      </c>
    </row>
    <row r="167" spans="1:36" x14ac:dyDescent="0.25">
      <c r="A167">
        <v>10166</v>
      </c>
      <c r="B167" t="s">
        <v>66</v>
      </c>
      <c r="C167" t="s">
        <v>32</v>
      </c>
      <c r="D167" t="s">
        <v>39</v>
      </c>
      <c r="E167" t="str">
        <f t="shared" si="26"/>
        <v>John Wilson is in IT Department</v>
      </c>
      <c r="F167" s="6" t="str">
        <f t="shared" si="27"/>
        <v>johnwilson@gmail.com</v>
      </c>
      <c r="G167">
        <v>51101</v>
      </c>
      <c r="H167" t="str">
        <f t="shared" si="28"/>
        <v>Medium</v>
      </c>
      <c r="I167" s="3">
        <v>38397</v>
      </c>
      <c r="J167">
        <f t="shared" si="29"/>
        <v>2005</v>
      </c>
      <c r="K167">
        <f t="shared" si="30"/>
        <v>2</v>
      </c>
      <c r="L167">
        <f t="shared" si="31"/>
        <v>14</v>
      </c>
      <c r="M167" s="3">
        <f t="shared" ca="1" si="32"/>
        <v>46100</v>
      </c>
      <c r="N167">
        <f t="shared" ca="1" si="33"/>
        <v>7703</v>
      </c>
      <c r="O167">
        <f t="shared" ca="1" si="34"/>
        <v>7703</v>
      </c>
      <c r="P167">
        <f t="shared" ca="1" si="35"/>
        <v>5504</v>
      </c>
      <c r="Q167">
        <v>30</v>
      </c>
      <c r="R167" t="str">
        <f t="shared" si="36"/>
        <v>Young</v>
      </c>
      <c r="S167" t="s">
        <v>34</v>
      </c>
      <c r="T167">
        <v>1</v>
      </c>
      <c r="U167" t="s">
        <v>25</v>
      </c>
      <c r="V167">
        <v>3484.82</v>
      </c>
      <c r="W167" t="s">
        <v>35</v>
      </c>
      <c r="X167" t="s">
        <v>47</v>
      </c>
      <c r="Y167">
        <v>30</v>
      </c>
      <c r="Z167" t="str">
        <f t="shared" si="37"/>
        <v>Bad Employee</v>
      </c>
      <c r="AA167" t="b">
        <f t="shared" si="38"/>
        <v>0</v>
      </c>
      <c r="AB167" t="b">
        <f>OR(Y167&gt;20, T167&gt;6)</f>
        <v>1</v>
      </c>
      <c r="AC167" t="str">
        <f>IF(OR(Y167&gt;20,T167&gt;6), "Good employee", "Bad Employee")</f>
        <v>Good employee</v>
      </c>
      <c r="AD167" t="s">
        <v>56</v>
      </c>
      <c r="AE167" t="s">
        <v>42</v>
      </c>
      <c r="AF167">
        <v>16</v>
      </c>
      <c r="AG167">
        <v>2023</v>
      </c>
      <c r="AH167" t="s">
        <v>49</v>
      </c>
      <c r="AI167">
        <v>43</v>
      </c>
      <c r="AJ167">
        <v>3.5</v>
      </c>
    </row>
    <row r="168" spans="1:36" x14ac:dyDescent="0.25">
      <c r="A168">
        <v>10167</v>
      </c>
      <c r="B168" t="s">
        <v>53</v>
      </c>
      <c r="C168" t="s">
        <v>63</v>
      </c>
      <c r="D168" t="s">
        <v>44</v>
      </c>
      <c r="E168" t="str">
        <f t="shared" si="26"/>
        <v>Sarah Miller is in Sales Department</v>
      </c>
      <c r="F168" s="6" t="str">
        <f t="shared" si="27"/>
        <v>sarahmiller@gmail.com</v>
      </c>
      <c r="G168">
        <v>70391</v>
      </c>
      <c r="H168" t="str">
        <f t="shared" si="28"/>
        <v>Medium</v>
      </c>
      <c r="I168" s="3">
        <v>41116</v>
      </c>
      <c r="J168">
        <f t="shared" si="29"/>
        <v>2012</v>
      </c>
      <c r="K168">
        <f t="shared" si="30"/>
        <v>7</v>
      </c>
      <c r="L168">
        <f t="shared" si="31"/>
        <v>26</v>
      </c>
      <c r="M168" s="3">
        <f t="shared" ca="1" si="32"/>
        <v>46100</v>
      </c>
      <c r="N168">
        <f t="shared" ca="1" si="33"/>
        <v>4984</v>
      </c>
      <c r="O168">
        <f t="shared" ca="1" si="34"/>
        <v>4984</v>
      </c>
      <c r="P168">
        <f t="shared" ca="1" si="35"/>
        <v>3561</v>
      </c>
      <c r="Q168">
        <v>36</v>
      </c>
      <c r="R168" t="str">
        <f t="shared" si="36"/>
        <v>Old</v>
      </c>
      <c r="S168" t="s">
        <v>24</v>
      </c>
      <c r="T168">
        <v>5</v>
      </c>
      <c r="U168" t="s">
        <v>25</v>
      </c>
      <c r="V168">
        <v>9797.81</v>
      </c>
      <c r="W168" t="s">
        <v>26</v>
      </c>
      <c r="X168" t="s">
        <v>27</v>
      </c>
      <c r="Y168">
        <v>8</v>
      </c>
      <c r="Z168" t="str">
        <f t="shared" si="37"/>
        <v>Bad Employee</v>
      </c>
      <c r="AA168" t="b">
        <f t="shared" si="38"/>
        <v>0</v>
      </c>
      <c r="AB168" t="b">
        <f>OR(Y168&gt;20, T168&gt;6)</f>
        <v>0</v>
      </c>
      <c r="AC168" t="str">
        <f>IF(OR(Y168&gt;20,T168&gt;6), "Good employee", "Bad Employee")</f>
        <v>Bad Employee</v>
      </c>
      <c r="AD168" t="s">
        <v>56</v>
      </c>
      <c r="AE168" t="s">
        <v>62</v>
      </c>
      <c r="AF168">
        <v>15</v>
      </c>
      <c r="AG168">
        <v>2013</v>
      </c>
      <c r="AH168" t="s">
        <v>43</v>
      </c>
      <c r="AI168">
        <v>146</v>
      </c>
      <c r="AJ168">
        <v>3.1</v>
      </c>
    </row>
    <row r="169" spans="1:36" x14ac:dyDescent="0.25">
      <c r="A169">
        <v>10168</v>
      </c>
      <c r="B169" t="s">
        <v>21</v>
      </c>
      <c r="C169" t="s">
        <v>65</v>
      </c>
      <c r="D169" t="s">
        <v>23</v>
      </c>
      <c r="E169" t="str">
        <f t="shared" si="26"/>
        <v>Michael Johnson is in HR Department</v>
      </c>
      <c r="F169" s="6" t="str">
        <f t="shared" si="27"/>
        <v>michaeljohnson@gmail.com</v>
      </c>
      <c r="G169">
        <v>105863</v>
      </c>
      <c r="H169" t="str">
        <f t="shared" si="28"/>
        <v>High</v>
      </c>
      <c r="I169" s="3">
        <v>41684</v>
      </c>
      <c r="J169">
        <f t="shared" si="29"/>
        <v>2014</v>
      </c>
      <c r="K169">
        <f t="shared" si="30"/>
        <v>2</v>
      </c>
      <c r="L169">
        <f t="shared" si="31"/>
        <v>14</v>
      </c>
      <c r="M169" s="3">
        <f t="shared" ca="1" si="32"/>
        <v>46100</v>
      </c>
      <c r="N169">
        <f t="shared" ca="1" si="33"/>
        <v>4416</v>
      </c>
      <c r="O169">
        <f t="shared" ca="1" si="34"/>
        <v>4416</v>
      </c>
      <c r="P169">
        <f t="shared" ca="1" si="35"/>
        <v>3155</v>
      </c>
      <c r="Q169">
        <v>30</v>
      </c>
      <c r="R169" t="str">
        <f t="shared" si="36"/>
        <v>Young</v>
      </c>
      <c r="S169" t="s">
        <v>24</v>
      </c>
      <c r="T169">
        <v>6</v>
      </c>
      <c r="U169" t="s">
        <v>45</v>
      </c>
      <c r="V169">
        <v>7705.97</v>
      </c>
      <c r="W169" t="s">
        <v>35</v>
      </c>
      <c r="X169" t="s">
        <v>40</v>
      </c>
      <c r="Y169">
        <v>5</v>
      </c>
      <c r="Z169" t="str">
        <f t="shared" si="37"/>
        <v>Bad Employee</v>
      </c>
      <c r="AA169" t="b">
        <f t="shared" si="38"/>
        <v>0</v>
      </c>
      <c r="AB169" t="b">
        <f>OR(Y169&gt;20, T169&gt;6)</f>
        <v>0</v>
      </c>
      <c r="AC169" t="str">
        <f>IF(OR(Y169&gt;20,T169&gt;6), "Good employee", "Bad Employee")</f>
        <v>Bad Employee</v>
      </c>
      <c r="AD169" t="s">
        <v>41</v>
      </c>
      <c r="AE169" t="s">
        <v>48</v>
      </c>
      <c r="AF169">
        <v>4</v>
      </c>
      <c r="AG169">
        <v>2021</v>
      </c>
      <c r="AH169" t="s">
        <v>43</v>
      </c>
      <c r="AI169">
        <v>161</v>
      </c>
      <c r="AJ169">
        <v>1.7</v>
      </c>
    </row>
    <row r="170" spans="1:36" x14ac:dyDescent="0.25">
      <c r="A170">
        <v>10169</v>
      </c>
      <c r="B170" t="s">
        <v>21</v>
      </c>
      <c r="C170" t="s">
        <v>65</v>
      </c>
      <c r="D170" t="s">
        <v>33</v>
      </c>
      <c r="E170" t="str">
        <f t="shared" si="26"/>
        <v>Michael Johnson is in Marketing Department</v>
      </c>
      <c r="F170" s="6" t="str">
        <f t="shared" si="27"/>
        <v>michaeljohnson@gmail.com</v>
      </c>
      <c r="G170">
        <v>102723</v>
      </c>
      <c r="H170" t="str">
        <f t="shared" si="28"/>
        <v>High</v>
      </c>
      <c r="I170" s="3">
        <v>42831</v>
      </c>
      <c r="J170">
        <f t="shared" si="29"/>
        <v>2017</v>
      </c>
      <c r="K170">
        <f t="shared" si="30"/>
        <v>4</v>
      </c>
      <c r="L170">
        <f t="shared" si="31"/>
        <v>6</v>
      </c>
      <c r="M170" s="3">
        <f t="shared" ca="1" si="32"/>
        <v>46100</v>
      </c>
      <c r="N170">
        <f t="shared" ca="1" si="33"/>
        <v>3269</v>
      </c>
      <c r="O170">
        <f t="shared" ca="1" si="34"/>
        <v>3269</v>
      </c>
      <c r="P170">
        <f t="shared" ca="1" si="35"/>
        <v>2336</v>
      </c>
      <c r="Q170">
        <v>28</v>
      </c>
      <c r="R170" t="str">
        <f t="shared" si="36"/>
        <v>Young</v>
      </c>
      <c r="S170" t="s">
        <v>24</v>
      </c>
      <c r="T170">
        <v>1</v>
      </c>
      <c r="U170" t="s">
        <v>45</v>
      </c>
      <c r="V170">
        <v>1048.0899999999999</v>
      </c>
      <c r="W170" t="s">
        <v>26</v>
      </c>
      <c r="X170" t="s">
        <v>27</v>
      </c>
      <c r="Y170">
        <v>12</v>
      </c>
      <c r="Z170" t="str">
        <f t="shared" si="37"/>
        <v>Bad Employee</v>
      </c>
      <c r="AA170" t="b">
        <f t="shared" si="38"/>
        <v>0</v>
      </c>
      <c r="AB170" t="b">
        <f>OR(Y170&gt;20, T170&gt;6)</f>
        <v>0</v>
      </c>
      <c r="AC170" t="str">
        <f>IF(OR(Y170&gt;20,T170&gt;6), "Good employee", "Bad Employee")</f>
        <v>Bad Employee</v>
      </c>
      <c r="AD170" t="s">
        <v>56</v>
      </c>
      <c r="AE170" t="s">
        <v>42</v>
      </c>
      <c r="AF170">
        <v>18</v>
      </c>
      <c r="AG170">
        <v>2019</v>
      </c>
      <c r="AH170" t="s">
        <v>43</v>
      </c>
      <c r="AI170">
        <v>46</v>
      </c>
      <c r="AJ170">
        <v>2.2999999999999998</v>
      </c>
    </row>
    <row r="171" spans="1:36" x14ac:dyDescent="0.25">
      <c r="A171">
        <v>10170</v>
      </c>
      <c r="B171" t="s">
        <v>64</v>
      </c>
      <c r="C171" t="s">
        <v>65</v>
      </c>
      <c r="D171" t="s">
        <v>23</v>
      </c>
      <c r="E171" t="str">
        <f t="shared" si="26"/>
        <v>Katie Johnson is in HR Department</v>
      </c>
      <c r="F171" s="6" t="str">
        <f t="shared" si="27"/>
        <v>katiejohnson@gmail.com</v>
      </c>
      <c r="G171">
        <v>89405</v>
      </c>
      <c r="H171" t="str">
        <f t="shared" si="28"/>
        <v>High</v>
      </c>
      <c r="I171" s="3">
        <v>38551</v>
      </c>
      <c r="J171">
        <f t="shared" si="29"/>
        <v>2005</v>
      </c>
      <c r="K171">
        <f t="shared" si="30"/>
        <v>7</v>
      </c>
      <c r="L171">
        <f t="shared" si="31"/>
        <v>18</v>
      </c>
      <c r="M171" s="3">
        <f t="shared" ca="1" si="32"/>
        <v>46100</v>
      </c>
      <c r="N171">
        <f t="shared" ca="1" si="33"/>
        <v>7549</v>
      </c>
      <c r="O171">
        <f t="shared" ca="1" si="34"/>
        <v>7549</v>
      </c>
      <c r="P171">
        <f t="shared" ca="1" si="35"/>
        <v>5394</v>
      </c>
      <c r="Q171">
        <v>47</v>
      </c>
      <c r="R171" t="str">
        <f t="shared" si="36"/>
        <v>Old</v>
      </c>
      <c r="S171" t="s">
        <v>34</v>
      </c>
      <c r="T171">
        <v>6</v>
      </c>
      <c r="U171" t="s">
        <v>25</v>
      </c>
      <c r="V171">
        <v>5334.29</v>
      </c>
      <c r="W171" t="s">
        <v>58</v>
      </c>
      <c r="X171" t="s">
        <v>36</v>
      </c>
      <c r="Y171">
        <v>14</v>
      </c>
      <c r="Z171" t="str">
        <f t="shared" si="37"/>
        <v>Bad Employee</v>
      </c>
      <c r="AA171" t="b">
        <f t="shared" si="38"/>
        <v>0</v>
      </c>
      <c r="AB171" t="b">
        <f>OR(Y171&gt;20, T171&gt;6)</f>
        <v>0</v>
      </c>
      <c r="AC171" t="str">
        <f>IF(OR(Y171&gt;20,T171&gt;6), "Good employee", "Bad Employee")</f>
        <v>Bad Employee</v>
      </c>
      <c r="AD171" t="s">
        <v>28</v>
      </c>
      <c r="AE171" t="s">
        <v>37</v>
      </c>
      <c r="AF171">
        <v>16</v>
      </c>
      <c r="AG171">
        <v>2016</v>
      </c>
      <c r="AH171" t="s">
        <v>30</v>
      </c>
      <c r="AI171">
        <v>18</v>
      </c>
      <c r="AJ171">
        <v>3.8</v>
      </c>
    </row>
    <row r="172" spans="1:36" x14ac:dyDescent="0.25">
      <c r="A172">
        <v>10171</v>
      </c>
      <c r="B172" t="s">
        <v>53</v>
      </c>
      <c r="C172" t="s">
        <v>32</v>
      </c>
      <c r="D172" t="s">
        <v>39</v>
      </c>
      <c r="E172" t="str">
        <f t="shared" si="26"/>
        <v>Sarah Wilson is in IT Department</v>
      </c>
      <c r="F172" s="6" t="str">
        <f t="shared" si="27"/>
        <v>sarahwilson@gmail.com</v>
      </c>
      <c r="G172">
        <v>64948</v>
      </c>
      <c r="H172" t="str">
        <f t="shared" si="28"/>
        <v>Medium</v>
      </c>
      <c r="I172" s="3">
        <v>42790</v>
      </c>
      <c r="J172">
        <f t="shared" si="29"/>
        <v>2017</v>
      </c>
      <c r="K172">
        <f t="shared" si="30"/>
        <v>2</v>
      </c>
      <c r="L172">
        <f t="shared" si="31"/>
        <v>24</v>
      </c>
      <c r="M172" s="3">
        <f t="shared" ca="1" si="32"/>
        <v>46100</v>
      </c>
      <c r="N172">
        <f t="shared" ca="1" si="33"/>
        <v>3310</v>
      </c>
      <c r="O172">
        <f t="shared" ca="1" si="34"/>
        <v>3310</v>
      </c>
      <c r="P172">
        <f t="shared" ca="1" si="35"/>
        <v>2365</v>
      </c>
      <c r="Q172">
        <v>45</v>
      </c>
      <c r="R172" t="str">
        <f t="shared" si="36"/>
        <v>Old</v>
      </c>
      <c r="S172" t="s">
        <v>24</v>
      </c>
      <c r="T172">
        <v>5</v>
      </c>
      <c r="U172" t="s">
        <v>45</v>
      </c>
      <c r="V172">
        <v>5844.89</v>
      </c>
      <c r="W172" t="s">
        <v>46</v>
      </c>
      <c r="X172" t="s">
        <v>55</v>
      </c>
      <c r="Y172">
        <v>12</v>
      </c>
      <c r="Z172" t="str">
        <f t="shared" si="37"/>
        <v>Bad Employee</v>
      </c>
      <c r="AA172" t="b">
        <f t="shared" si="38"/>
        <v>0</v>
      </c>
      <c r="AB172" t="b">
        <f>OR(Y172&gt;20, T172&gt;6)</f>
        <v>0</v>
      </c>
      <c r="AC172" t="str">
        <f>IF(OR(Y172&gt;20,T172&gt;6), "Good employee", "Bad Employee")</f>
        <v>Bad Employee</v>
      </c>
      <c r="AD172" t="s">
        <v>41</v>
      </c>
      <c r="AE172" t="s">
        <v>62</v>
      </c>
      <c r="AF172">
        <v>2</v>
      </c>
      <c r="AG172">
        <v>2017</v>
      </c>
      <c r="AH172" t="s">
        <v>30</v>
      </c>
      <c r="AI172">
        <v>120</v>
      </c>
      <c r="AJ172">
        <v>2.7</v>
      </c>
    </row>
    <row r="173" spans="1:36" x14ac:dyDescent="0.25">
      <c r="A173">
        <v>10172</v>
      </c>
      <c r="B173" t="s">
        <v>38</v>
      </c>
      <c r="C173" t="s">
        <v>22</v>
      </c>
      <c r="D173" t="s">
        <v>23</v>
      </c>
      <c r="E173" t="str">
        <f t="shared" si="26"/>
        <v>Chris Williams is in HR Department</v>
      </c>
      <c r="F173" s="6" t="str">
        <f t="shared" si="27"/>
        <v>chriswilliams@gmail.com</v>
      </c>
      <c r="G173">
        <v>83031</v>
      </c>
      <c r="H173" t="str">
        <f t="shared" si="28"/>
        <v>High</v>
      </c>
      <c r="I173" s="3">
        <v>38972</v>
      </c>
      <c r="J173">
        <f t="shared" si="29"/>
        <v>2006</v>
      </c>
      <c r="K173">
        <f t="shared" si="30"/>
        <v>9</v>
      </c>
      <c r="L173">
        <f t="shared" si="31"/>
        <v>12</v>
      </c>
      <c r="M173" s="3">
        <f t="shared" ca="1" si="32"/>
        <v>46100</v>
      </c>
      <c r="N173">
        <f t="shared" ca="1" si="33"/>
        <v>7128</v>
      </c>
      <c r="O173">
        <f t="shared" ca="1" si="34"/>
        <v>7128</v>
      </c>
      <c r="P173">
        <f t="shared" ca="1" si="35"/>
        <v>5093</v>
      </c>
      <c r="Q173">
        <v>33</v>
      </c>
      <c r="R173" t="str">
        <f t="shared" si="36"/>
        <v>Old</v>
      </c>
      <c r="S173" t="s">
        <v>34</v>
      </c>
      <c r="T173">
        <v>4</v>
      </c>
      <c r="U173" t="s">
        <v>25</v>
      </c>
      <c r="V173">
        <v>7105.38</v>
      </c>
      <c r="W173" t="s">
        <v>58</v>
      </c>
      <c r="X173" t="s">
        <v>55</v>
      </c>
      <c r="Y173">
        <v>24</v>
      </c>
      <c r="Z173" t="str">
        <f t="shared" si="37"/>
        <v>Bad Employee</v>
      </c>
      <c r="AA173" t="b">
        <f t="shared" si="38"/>
        <v>0</v>
      </c>
      <c r="AB173" t="b">
        <f>OR(Y173&gt;20, T173&gt;6)</f>
        <v>1</v>
      </c>
      <c r="AC173" t="str">
        <f>IF(OR(Y173&gt;20,T173&gt;6), "Good employee", "Bad Employee")</f>
        <v>Good employee</v>
      </c>
      <c r="AD173" t="s">
        <v>56</v>
      </c>
      <c r="AE173" t="s">
        <v>62</v>
      </c>
      <c r="AF173">
        <v>16</v>
      </c>
      <c r="AG173">
        <v>2013</v>
      </c>
      <c r="AH173" t="s">
        <v>30</v>
      </c>
      <c r="AI173">
        <v>143</v>
      </c>
      <c r="AJ173">
        <v>2.6</v>
      </c>
    </row>
    <row r="174" spans="1:36" x14ac:dyDescent="0.25">
      <c r="A174">
        <v>10173</v>
      </c>
      <c r="B174" t="s">
        <v>50</v>
      </c>
      <c r="C174" t="s">
        <v>61</v>
      </c>
      <c r="D174" t="s">
        <v>23</v>
      </c>
      <c r="E174" t="str">
        <f t="shared" si="26"/>
        <v>Alex Smith is in HR Department</v>
      </c>
      <c r="F174" s="6" t="str">
        <f t="shared" si="27"/>
        <v>alexsmith@gmail.com</v>
      </c>
      <c r="G174">
        <v>67921</v>
      </c>
      <c r="H174" t="str">
        <f t="shared" si="28"/>
        <v>Medium</v>
      </c>
      <c r="I174" s="3">
        <v>42607</v>
      </c>
      <c r="J174">
        <f t="shared" si="29"/>
        <v>2016</v>
      </c>
      <c r="K174">
        <f t="shared" si="30"/>
        <v>8</v>
      </c>
      <c r="L174">
        <f t="shared" si="31"/>
        <v>25</v>
      </c>
      <c r="M174" s="3">
        <f t="shared" ca="1" si="32"/>
        <v>46100</v>
      </c>
      <c r="N174">
        <f t="shared" ca="1" si="33"/>
        <v>3493</v>
      </c>
      <c r="O174">
        <f t="shared" ca="1" si="34"/>
        <v>3493</v>
      </c>
      <c r="P174">
        <f t="shared" ca="1" si="35"/>
        <v>2496</v>
      </c>
      <c r="Q174">
        <v>41</v>
      </c>
      <c r="R174" t="str">
        <f t="shared" si="36"/>
        <v>Old</v>
      </c>
      <c r="S174" t="s">
        <v>24</v>
      </c>
      <c r="T174">
        <v>5</v>
      </c>
      <c r="U174" t="s">
        <v>25</v>
      </c>
      <c r="V174">
        <v>5229.07</v>
      </c>
      <c r="W174" t="s">
        <v>35</v>
      </c>
      <c r="X174" t="s">
        <v>55</v>
      </c>
      <c r="Y174">
        <v>17</v>
      </c>
      <c r="Z174" t="str">
        <f t="shared" si="37"/>
        <v>Bad Employee</v>
      </c>
      <c r="AA174" t="b">
        <f t="shared" si="38"/>
        <v>0</v>
      </c>
      <c r="AB174" t="b">
        <f>OR(Y174&gt;20, T174&gt;6)</f>
        <v>0</v>
      </c>
      <c r="AC174" t="str">
        <f>IF(OR(Y174&gt;20,T174&gt;6), "Good employee", "Bad Employee")</f>
        <v>Bad Employee</v>
      </c>
      <c r="AD174" t="s">
        <v>28</v>
      </c>
      <c r="AE174" t="s">
        <v>62</v>
      </c>
      <c r="AF174">
        <v>14</v>
      </c>
      <c r="AG174">
        <v>2017</v>
      </c>
      <c r="AH174" t="s">
        <v>30</v>
      </c>
      <c r="AI174">
        <v>79</v>
      </c>
      <c r="AJ174">
        <v>4</v>
      </c>
    </row>
    <row r="175" spans="1:36" x14ac:dyDescent="0.25">
      <c r="A175">
        <v>10174</v>
      </c>
      <c r="B175" t="s">
        <v>31</v>
      </c>
      <c r="C175" t="s">
        <v>51</v>
      </c>
      <c r="D175" t="s">
        <v>54</v>
      </c>
      <c r="E175" t="str">
        <f t="shared" si="26"/>
        <v>Emily Brown is in Finance Department</v>
      </c>
      <c r="F175" s="6" t="str">
        <f t="shared" si="27"/>
        <v>emilybrown@gmail.com</v>
      </c>
      <c r="G175">
        <v>102571</v>
      </c>
      <c r="H175" t="str">
        <f t="shared" si="28"/>
        <v>High</v>
      </c>
      <c r="I175" s="3">
        <v>41349</v>
      </c>
      <c r="J175">
        <f t="shared" si="29"/>
        <v>2013</v>
      </c>
      <c r="K175">
        <f t="shared" si="30"/>
        <v>3</v>
      </c>
      <c r="L175">
        <f t="shared" si="31"/>
        <v>16</v>
      </c>
      <c r="M175" s="3">
        <f t="shared" ca="1" si="32"/>
        <v>46100</v>
      </c>
      <c r="N175">
        <f t="shared" ca="1" si="33"/>
        <v>4751</v>
      </c>
      <c r="O175">
        <f t="shared" ca="1" si="34"/>
        <v>4751</v>
      </c>
      <c r="P175">
        <f t="shared" ca="1" si="35"/>
        <v>3394</v>
      </c>
      <c r="Q175">
        <v>35</v>
      </c>
      <c r="R175" t="str">
        <f t="shared" si="36"/>
        <v>Old</v>
      </c>
      <c r="S175" t="s">
        <v>24</v>
      </c>
      <c r="T175">
        <v>8</v>
      </c>
      <c r="U175" t="s">
        <v>45</v>
      </c>
      <c r="V175">
        <v>5092.71</v>
      </c>
      <c r="W175" t="s">
        <v>58</v>
      </c>
      <c r="X175" t="s">
        <v>40</v>
      </c>
      <c r="Y175">
        <v>1</v>
      </c>
      <c r="Z175" t="str">
        <f t="shared" si="37"/>
        <v>Bad Employee</v>
      </c>
      <c r="AA175" t="b">
        <f t="shared" si="38"/>
        <v>0</v>
      </c>
      <c r="AB175" t="b">
        <f>OR(Y175&gt;20, T175&gt;6)</f>
        <v>1</v>
      </c>
      <c r="AC175" t="str">
        <f>IF(OR(Y175&gt;20,T175&gt;6), "Good employee", "Bad Employee")</f>
        <v>Good employee</v>
      </c>
      <c r="AD175" t="s">
        <v>28</v>
      </c>
      <c r="AE175" t="s">
        <v>59</v>
      </c>
      <c r="AF175">
        <v>18</v>
      </c>
      <c r="AG175">
        <v>2010</v>
      </c>
      <c r="AH175" t="s">
        <v>30</v>
      </c>
      <c r="AI175">
        <v>51</v>
      </c>
      <c r="AJ175">
        <v>1</v>
      </c>
    </row>
    <row r="176" spans="1:36" x14ac:dyDescent="0.25">
      <c r="A176">
        <v>10175</v>
      </c>
      <c r="B176" t="s">
        <v>53</v>
      </c>
      <c r="C176" t="s">
        <v>61</v>
      </c>
      <c r="D176" t="s">
        <v>23</v>
      </c>
      <c r="E176" t="str">
        <f t="shared" si="26"/>
        <v>Sarah Smith is in HR Department</v>
      </c>
      <c r="F176" s="6" t="str">
        <f t="shared" si="27"/>
        <v>sarahsmith@gmail.com</v>
      </c>
      <c r="G176">
        <v>107007</v>
      </c>
      <c r="H176" t="str">
        <f t="shared" si="28"/>
        <v>High</v>
      </c>
      <c r="I176" s="3">
        <v>37086</v>
      </c>
      <c r="J176">
        <f t="shared" si="29"/>
        <v>2001</v>
      </c>
      <c r="K176">
        <f t="shared" si="30"/>
        <v>7</v>
      </c>
      <c r="L176">
        <f t="shared" si="31"/>
        <v>14</v>
      </c>
      <c r="M176" s="3">
        <f t="shared" ca="1" si="32"/>
        <v>46100</v>
      </c>
      <c r="N176">
        <f t="shared" ca="1" si="33"/>
        <v>9014</v>
      </c>
      <c r="O176">
        <f t="shared" ca="1" si="34"/>
        <v>9014</v>
      </c>
      <c r="P176">
        <f t="shared" ca="1" si="35"/>
        <v>6439</v>
      </c>
      <c r="Q176">
        <v>43</v>
      </c>
      <c r="R176" t="str">
        <f t="shared" si="36"/>
        <v>Old</v>
      </c>
      <c r="S176" t="s">
        <v>34</v>
      </c>
      <c r="T176">
        <v>9</v>
      </c>
      <c r="U176" t="s">
        <v>25</v>
      </c>
      <c r="V176">
        <v>3995.42</v>
      </c>
      <c r="W176" t="s">
        <v>35</v>
      </c>
      <c r="X176" t="s">
        <v>36</v>
      </c>
      <c r="Y176">
        <v>37</v>
      </c>
      <c r="Z176" t="str">
        <f t="shared" si="37"/>
        <v>Good Employee</v>
      </c>
      <c r="AA176" t="b">
        <f t="shared" si="38"/>
        <v>1</v>
      </c>
      <c r="AB176" t="b">
        <f>OR(Y176&gt;20, T176&gt;6)</f>
        <v>1</v>
      </c>
      <c r="AC176" t="str">
        <f>IF(OR(Y176&gt;20,T176&gt;6), "Good employee", "Bad Employee")</f>
        <v>Good employee</v>
      </c>
      <c r="AD176" t="s">
        <v>41</v>
      </c>
      <c r="AE176" t="s">
        <v>29</v>
      </c>
      <c r="AF176">
        <v>14</v>
      </c>
      <c r="AG176">
        <v>2022</v>
      </c>
      <c r="AH176" t="s">
        <v>30</v>
      </c>
      <c r="AI176">
        <v>108</v>
      </c>
      <c r="AJ176">
        <v>3.7</v>
      </c>
    </row>
    <row r="177" spans="1:36" x14ac:dyDescent="0.25">
      <c r="A177">
        <v>10176</v>
      </c>
      <c r="B177" t="s">
        <v>64</v>
      </c>
      <c r="C177" t="s">
        <v>32</v>
      </c>
      <c r="D177" t="s">
        <v>52</v>
      </c>
      <c r="E177" t="str">
        <f t="shared" si="26"/>
        <v>Katie Wilson is in Operations Department</v>
      </c>
      <c r="F177" s="6" t="str">
        <f t="shared" si="27"/>
        <v>katiewilson@gmail.com</v>
      </c>
      <c r="G177">
        <v>58460</v>
      </c>
      <c r="H177" t="str">
        <f t="shared" si="28"/>
        <v>Medium</v>
      </c>
      <c r="I177" s="3">
        <v>39177</v>
      </c>
      <c r="J177">
        <f t="shared" si="29"/>
        <v>2007</v>
      </c>
      <c r="K177">
        <f t="shared" si="30"/>
        <v>4</v>
      </c>
      <c r="L177">
        <f t="shared" si="31"/>
        <v>5</v>
      </c>
      <c r="M177" s="3">
        <f t="shared" ca="1" si="32"/>
        <v>46100</v>
      </c>
      <c r="N177">
        <f t="shared" ca="1" si="33"/>
        <v>6923</v>
      </c>
      <c r="O177">
        <f t="shared" ca="1" si="34"/>
        <v>6923</v>
      </c>
      <c r="P177">
        <f t="shared" ca="1" si="35"/>
        <v>4946</v>
      </c>
      <c r="Q177">
        <v>37</v>
      </c>
      <c r="R177" t="str">
        <f t="shared" si="36"/>
        <v>Old</v>
      </c>
      <c r="S177" t="s">
        <v>34</v>
      </c>
      <c r="T177">
        <v>2</v>
      </c>
      <c r="U177" t="s">
        <v>25</v>
      </c>
      <c r="V177">
        <v>3078.88</v>
      </c>
      <c r="W177" t="s">
        <v>26</v>
      </c>
      <c r="X177" t="s">
        <v>55</v>
      </c>
      <c r="Y177">
        <v>11</v>
      </c>
      <c r="Z177" t="str">
        <f t="shared" si="37"/>
        <v>Bad Employee</v>
      </c>
      <c r="AA177" t="b">
        <f t="shared" si="38"/>
        <v>0</v>
      </c>
      <c r="AB177" t="b">
        <f>OR(Y177&gt;20, T177&gt;6)</f>
        <v>0</v>
      </c>
      <c r="AC177" t="str">
        <f>IF(OR(Y177&gt;20,T177&gt;6), "Good employee", "Bad Employee")</f>
        <v>Bad Employee</v>
      </c>
      <c r="AD177" t="s">
        <v>56</v>
      </c>
      <c r="AE177" t="s">
        <v>62</v>
      </c>
      <c r="AF177">
        <v>17</v>
      </c>
      <c r="AG177">
        <v>2018</v>
      </c>
      <c r="AH177" t="s">
        <v>43</v>
      </c>
      <c r="AI177">
        <v>28</v>
      </c>
      <c r="AJ177">
        <v>3</v>
      </c>
    </row>
    <row r="178" spans="1:36" x14ac:dyDescent="0.25">
      <c r="A178">
        <v>10177</v>
      </c>
      <c r="B178" t="s">
        <v>50</v>
      </c>
      <c r="C178" t="s">
        <v>61</v>
      </c>
      <c r="D178" t="s">
        <v>33</v>
      </c>
      <c r="E178" t="str">
        <f t="shared" si="26"/>
        <v>Alex Smith is in Marketing Department</v>
      </c>
      <c r="F178" s="6" t="str">
        <f t="shared" si="27"/>
        <v>alexsmith@gmail.com</v>
      </c>
      <c r="G178">
        <v>51071</v>
      </c>
      <c r="H178" t="str">
        <f t="shared" si="28"/>
        <v>Medium</v>
      </c>
      <c r="I178" s="3">
        <v>41774</v>
      </c>
      <c r="J178">
        <f t="shared" si="29"/>
        <v>2014</v>
      </c>
      <c r="K178">
        <f t="shared" si="30"/>
        <v>5</v>
      </c>
      <c r="L178">
        <f t="shared" si="31"/>
        <v>15</v>
      </c>
      <c r="M178" s="3">
        <f t="shared" ca="1" si="32"/>
        <v>46100</v>
      </c>
      <c r="N178">
        <f t="shared" ca="1" si="33"/>
        <v>4326</v>
      </c>
      <c r="O178">
        <f t="shared" ca="1" si="34"/>
        <v>4326</v>
      </c>
      <c r="P178">
        <f t="shared" ca="1" si="35"/>
        <v>3091</v>
      </c>
      <c r="Q178">
        <v>50</v>
      </c>
      <c r="R178" t="str">
        <f t="shared" si="36"/>
        <v>Old</v>
      </c>
      <c r="S178" t="s">
        <v>24</v>
      </c>
      <c r="T178">
        <v>6</v>
      </c>
      <c r="U178" t="s">
        <v>45</v>
      </c>
      <c r="V178">
        <v>9488.9</v>
      </c>
      <c r="W178" t="s">
        <v>35</v>
      </c>
      <c r="X178" t="s">
        <v>27</v>
      </c>
      <c r="Y178">
        <v>6</v>
      </c>
      <c r="Z178" t="str">
        <f t="shared" si="37"/>
        <v>Bad Employee</v>
      </c>
      <c r="AA178" t="b">
        <f t="shared" si="38"/>
        <v>0</v>
      </c>
      <c r="AB178" t="b">
        <f>OR(Y178&gt;20, T178&gt;6)</f>
        <v>0</v>
      </c>
      <c r="AC178" t="str">
        <f>IF(OR(Y178&gt;20,T178&gt;6), "Good employee", "Bad Employee")</f>
        <v>Bad Employee</v>
      </c>
      <c r="AD178" t="s">
        <v>41</v>
      </c>
      <c r="AE178" t="s">
        <v>29</v>
      </c>
      <c r="AF178">
        <v>11</v>
      </c>
      <c r="AG178">
        <v>2016</v>
      </c>
      <c r="AH178" t="s">
        <v>49</v>
      </c>
      <c r="AI178">
        <v>154</v>
      </c>
      <c r="AJ178">
        <v>2.5</v>
      </c>
    </row>
    <row r="179" spans="1:36" x14ac:dyDescent="0.25">
      <c r="A179">
        <v>10178</v>
      </c>
      <c r="B179" t="s">
        <v>50</v>
      </c>
      <c r="C179" t="s">
        <v>32</v>
      </c>
      <c r="D179" t="s">
        <v>54</v>
      </c>
      <c r="E179" t="str">
        <f t="shared" si="26"/>
        <v>Alex Wilson is in Finance Department</v>
      </c>
      <c r="F179" s="6" t="str">
        <f t="shared" si="27"/>
        <v>alexwilson@gmail.com</v>
      </c>
      <c r="G179">
        <v>96118</v>
      </c>
      <c r="H179" t="str">
        <f t="shared" si="28"/>
        <v>High</v>
      </c>
      <c r="I179" s="3">
        <v>40430</v>
      </c>
      <c r="J179">
        <f t="shared" si="29"/>
        <v>2010</v>
      </c>
      <c r="K179">
        <f t="shared" si="30"/>
        <v>9</v>
      </c>
      <c r="L179">
        <f t="shared" si="31"/>
        <v>9</v>
      </c>
      <c r="M179" s="3">
        <f t="shared" ca="1" si="32"/>
        <v>46100</v>
      </c>
      <c r="N179">
        <f t="shared" ca="1" si="33"/>
        <v>5670</v>
      </c>
      <c r="O179">
        <f t="shared" ca="1" si="34"/>
        <v>5670</v>
      </c>
      <c r="P179">
        <f t="shared" ca="1" si="35"/>
        <v>4051</v>
      </c>
      <c r="Q179">
        <v>53</v>
      </c>
      <c r="R179" t="str">
        <f t="shared" si="36"/>
        <v>Old</v>
      </c>
      <c r="S179" t="s">
        <v>34</v>
      </c>
      <c r="T179">
        <v>3</v>
      </c>
      <c r="U179" t="s">
        <v>25</v>
      </c>
      <c r="V179">
        <v>3517.17</v>
      </c>
      <c r="W179" t="s">
        <v>46</v>
      </c>
      <c r="X179" t="s">
        <v>55</v>
      </c>
      <c r="Y179">
        <v>15</v>
      </c>
      <c r="Z179" t="str">
        <f t="shared" si="37"/>
        <v>Bad Employee</v>
      </c>
      <c r="AA179" t="b">
        <f t="shared" si="38"/>
        <v>0</v>
      </c>
      <c r="AB179" t="b">
        <f>OR(Y179&gt;20, T179&gt;6)</f>
        <v>0</v>
      </c>
      <c r="AC179" t="str">
        <f>IF(OR(Y179&gt;20,T179&gt;6), "Good employee", "Bad Employee")</f>
        <v>Bad Employee</v>
      </c>
      <c r="AD179" t="s">
        <v>28</v>
      </c>
      <c r="AE179" t="s">
        <v>62</v>
      </c>
      <c r="AF179">
        <v>11</v>
      </c>
      <c r="AG179">
        <v>2013</v>
      </c>
      <c r="AH179" t="s">
        <v>30</v>
      </c>
      <c r="AI179">
        <v>181</v>
      </c>
      <c r="AJ179">
        <v>2.4</v>
      </c>
    </row>
    <row r="180" spans="1:36" x14ac:dyDescent="0.25">
      <c r="A180">
        <v>10179</v>
      </c>
      <c r="B180" t="s">
        <v>66</v>
      </c>
      <c r="C180" t="s">
        <v>61</v>
      </c>
      <c r="D180" t="s">
        <v>33</v>
      </c>
      <c r="E180" t="str">
        <f t="shared" si="26"/>
        <v>John Smith is in Marketing Department</v>
      </c>
      <c r="F180" s="6" t="str">
        <f t="shared" si="27"/>
        <v>johnsmith@gmail.com</v>
      </c>
      <c r="G180">
        <v>78282</v>
      </c>
      <c r="H180" t="str">
        <f t="shared" si="28"/>
        <v>Medium</v>
      </c>
      <c r="I180" s="3">
        <v>37065</v>
      </c>
      <c r="J180">
        <f t="shared" si="29"/>
        <v>2001</v>
      </c>
      <c r="K180">
        <f t="shared" si="30"/>
        <v>6</v>
      </c>
      <c r="L180">
        <f t="shared" si="31"/>
        <v>23</v>
      </c>
      <c r="M180" s="3">
        <f t="shared" ca="1" si="32"/>
        <v>46100</v>
      </c>
      <c r="N180">
        <f t="shared" ca="1" si="33"/>
        <v>9035</v>
      </c>
      <c r="O180">
        <f t="shared" ca="1" si="34"/>
        <v>9035</v>
      </c>
      <c r="P180">
        <f t="shared" ca="1" si="35"/>
        <v>6454</v>
      </c>
      <c r="Q180">
        <v>40</v>
      </c>
      <c r="R180" t="str">
        <f t="shared" si="36"/>
        <v>Old</v>
      </c>
      <c r="S180" t="s">
        <v>34</v>
      </c>
      <c r="T180">
        <v>2</v>
      </c>
      <c r="U180" t="s">
        <v>25</v>
      </c>
      <c r="V180">
        <v>1102.5</v>
      </c>
      <c r="W180" t="s">
        <v>58</v>
      </c>
      <c r="X180" t="s">
        <v>36</v>
      </c>
      <c r="Y180">
        <v>23</v>
      </c>
      <c r="Z180" t="str">
        <f t="shared" si="37"/>
        <v>Bad Employee</v>
      </c>
      <c r="AA180" t="b">
        <f t="shared" si="38"/>
        <v>0</v>
      </c>
      <c r="AB180" t="b">
        <f>OR(Y180&gt;20, T180&gt;6)</f>
        <v>1</v>
      </c>
      <c r="AC180" t="str">
        <f>IF(OR(Y180&gt;20,T180&gt;6), "Good employee", "Bad Employee")</f>
        <v>Good employee</v>
      </c>
      <c r="AD180" t="s">
        <v>28</v>
      </c>
      <c r="AE180" t="s">
        <v>59</v>
      </c>
      <c r="AF180">
        <v>2</v>
      </c>
      <c r="AG180">
        <v>2017</v>
      </c>
      <c r="AH180" t="s">
        <v>30</v>
      </c>
      <c r="AI180">
        <v>187</v>
      </c>
      <c r="AJ180">
        <v>1.7</v>
      </c>
    </row>
    <row r="181" spans="1:36" x14ac:dyDescent="0.25">
      <c r="A181">
        <v>10180</v>
      </c>
      <c r="B181" t="s">
        <v>50</v>
      </c>
      <c r="C181" t="s">
        <v>65</v>
      </c>
      <c r="D181" t="s">
        <v>33</v>
      </c>
      <c r="E181" t="str">
        <f t="shared" si="26"/>
        <v>Alex Johnson is in Marketing Department</v>
      </c>
      <c r="F181" s="6" t="str">
        <f t="shared" si="27"/>
        <v>alexjohnson@gmail.com</v>
      </c>
      <c r="G181">
        <v>88445</v>
      </c>
      <c r="H181" t="str">
        <f t="shared" si="28"/>
        <v>High</v>
      </c>
      <c r="I181" s="3">
        <v>43025</v>
      </c>
      <c r="J181">
        <f t="shared" si="29"/>
        <v>2017</v>
      </c>
      <c r="K181">
        <f t="shared" si="30"/>
        <v>10</v>
      </c>
      <c r="L181">
        <f t="shared" si="31"/>
        <v>17</v>
      </c>
      <c r="M181" s="3">
        <f t="shared" ca="1" si="32"/>
        <v>46100</v>
      </c>
      <c r="N181">
        <f t="shared" ca="1" si="33"/>
        <v>3075</v>
      </c>
      <c r="O181">
        <f t="shared" ca="1" si="34"/>
        <v>3075</v>
      </c>
      <c r="P181">
        <f t="shared" ca="1" si="35"/>
        <v>2198</v>
      </c>
      <c r="Q181">
        <v>56</v>
      </c>
      <c r="R181" t="str">
        <f t="shared" si="36"/>
        <v>Old</v>
      </c>
      <c r="S181" t="s">
        <v>24</v>
      </c>
      <c r="T181">
        <v>1</v>
      </c>
      <c r="U181" t="s">
        <v>45</v>
      </c>
      <c r="V181">
        <v>2089.21</v>
      </c>
      <c r="W181" t="s">
        <v>35</v>
      </c>
      <c r="X181" t="s">
        <v>27</v>
      </c>
      <c r="Y181">
        <v>23</v>
      </c>
      <c r="Z181" t="str">
        <f t="shared" si="37"/>
        <v>Bad Employee</v>
      </c>
      <c r="AA181" t="b">
        <f t="shared" si="38"/>
        <v>0</v>
      </c>
      <c r="AB181" t="b">
        <f>OR(Y181&gt;20, T181&gt;6)</f>
        <v>1</v>
      </c>
      <c r="AC181" t="str">
        <f>IF(OR(Y181&gt;20,T181&gt;6), "Good employee", "Bad Employee")</f>
        <v>Good employee</v>
      </c>
      <c r="AD181" t="s">
        <v>41</v>
      </c>
      <c r="AE181" t="s">
        <v>37</v>
      </c>
      <c r="AF181">
        <v>10</v>
      </c>
      <c r="AG181">
        <v>2021</v>
      </c>
      <c r="AH181" t="s">
        <v>43</v>
      </c>
      <c r="AI181">
        <v>59</v>
      </c>
      <c r="AJ181">
        <v>2.2999999999999998</v>
      </c>
    </row>
    <row r="182" spans="1:36" x14ac:dyDescent="0.25">
      <c r="A182">
        <v>10181</v>
      </c>
      <c r="B182" t="s">
        <v>38</v>
      </c>
      <c r="C182" t="s">
        <v>57</v>
      </c>
      <c r="D182" t="s">
        <v>39</v>
      </c>
      <c r="E182" t="str">
        <f t="shared" si="26"/>
        <v>Chris Davis is in IT Department</v>
      </c>
      <c r="F182" s="6" t="str">
        <f t="shared" si="27"/>
        <v>chrisdavis@gmail.com</v>
      </c>
      <c r="G182">
        <v>111067</v>
      </c>
      <c r="H182" t="str">
        <f t="shared" si="28"/>
        <v>High</v>
      </c>
      <c r="I182" s="3">
        <v>41281</v>
      </c>
      <c r="J182">
        <f t="shared" si="29"/>
        <v>2013</v>
      </c>
      <c r="K182">
        <f t="shared" si="30"/>
        <v>1</v>
      </c>
      <c r="L182">
        <f t="shared" si="31"/>
        <v>7</v>
      </c>
      <c r="M182" s="3">
        <f t="shared" ca="1" si="32"/>
        <v>46100</v>
      </c>
      <c r="N182">
        <f t="shared" ca="1" si="33"/>
        <v>4819</v>
      </c>
      <c r="O182">
        <f t="shared" ca="1" si="34"/>
        <v>4819</v>
      </c>
      <c r="P182">
        <f t="shared" ca="1" si="35"/>
        <v>3444</v>
      </c>
      <c r="Q182">
        <v>64</v>
      </c>
      <c r="R182" t="str">
        <f t="shared" si="36"/>
        <v>Old</v>
      </c>
      <c r="S182" t="s">
        <v>34</v>
      </c>
      <c r="T182">
        <v>4</v>
      </c>
      <c r="U182" t="s">
        <v>45</v>
      </c>
      <c r="V182">
        <v>8644.1299999999992</v>
      </c>
      <c r="W182" t="s">
        <v>26</v>
      </c>
      <c r="X182" t="s">
        <v>27</v>
      </c>
      <c r="Y182">
        <v>38</v>
      </c>
      <c r="Z182" t="str">
        <f t="shared" si="37"/>
        <v>Bad Employee</v>
      </c>
      <c r="AA182" t="b">
        <f t="shared" si="38"/>
        <v>0</v>
      </c>
      <c r="AB182" t="b">
        <f>OR(Y182&gt;20, T182&gt;6)</f>
        <v>1</v>
      </c>
      <c r="AC182" t="str">
        <f>IF(OR(Y182&gt;20,T182&gt;6), "Good employee", "Bad Employee")</f>
        <v>Good employee</v>
      </c>
      <c r="AD182" t="s">
        <v>41</v>
      </c>
      <c r="AE182" t="s">
        <v>62</v>
      </c>
      <c r="AF182">
        <v>9</v>
      </c>
      <c r="AG182">
        <v>2019</v>
      </c>
      <c r="AH182" t="s">
        <v>30</v>
      </c>
      <c r="AI182">
        <v>74</v>
      </c>
      <c r="AJ182">
        <v>2.6</v>
      </c>
    </row>
    <row r="183" spans="1:36" x14ac:dyDescent="0.25">
      <c r="A183">
        <v>10182</v>
      </c>
      <c r="B183" t="s">
        <v>21</v>
      </c>
      <c r="C183" t="s">
        <v>65</v>
      </c>
      <c r="D183" t="s">
        <v>39</v>
      </c>
      <c r="E183" t="str">
        <f t="shared" si="26"/>
        <v>Michael Johnson is in IT Department</v>
      </c>
      <c r="F183" s="6" t="str">
        <f t="shared" si="27"/>
        <v>michaeljohnson@gmail.com</v>
      </c>
      <c r="G183">
        <v>112208</v>
      </c>
      <c r="H183" t="str">
        <f t="shared" si="28"/>
        <v>High</v>
      </c>
      <c r="I183" s="3">
        <v>43101</v>
      </c>
      <c r="J183">
        <f t="shared" si="29"/>
        <v>2018</v>
      </c>
      <c r="K183">
        <f t="shared" si="30"/>
        <v>1</v>
      </c>
      <c r="L183">
        <f t="shared" si="31"/>
        <v>1</v>
      </c>
      <c r="M183" s="3">
        <f t="shared" ca="1" si="32"/>
        <v>46100</v>
      </c>
      <c r="N183">
        <f t="shared" ca="1" si="33"/>
        <v>2999</v>
      </c>
      <c r="O183">
        <f t="shared" ca="1" si="34"/>
        <v>2999</v>
      </c>
      <c r="P183">
        <f t="shared" ca="1" si="35"/>
        <v>2144</v>
      </c>
      <c r="Q183">
        <v>53</v>
      </c>
      <c r="R183" t="str">
        <f t="shared" si="36"/>
        <v>Old</v>
      </c>
      <c r="S183" t="s">
        <v>34</v>
      </c>
      <c r="T183">
        <v>8</v>
      </c>
      <c r="U183" t="s">
        <v>25</v>
      </c>
      <c r="V183">
        <v>6073.02</v>
      </c>
      <c r="W183" t="s">
        <v>58</v>
      </c>
      <c r="X183" t="s">
        <v>40</v>
      </c>
      <c r="Y183">
        <v>38</v>
      </c>
      <c r="Z183" t="str">
        <f t="shared" si="37"/>
        <v>Good Employee</v>
      </c>
      <c r="AA183" t="b">
        <f t="shared" si="38"/>
        <v>1</v>
      </c>
      <c r="AB183" t="b">
        <f>OR(Y183&gt;20, T183&gt;6)</f>
        <v>1</v>
      </c>
      <c r="AC183" t="str">
        <f>IF(OR(Y183&gt;20,T183&gt;6), "Good employee", "Bad Employee")</f>
        <v>Good employee</v>
      </c>
      <c r="AD183" t="s">
        <v>56</v>
      </c>
      <c r="AE183" t="s">
        <v>48</v>
      </c>
      <c r="AF183">
        <v>14</v>
      </c>
      <c r="AG183">
        <v>2011</v>
      </c>
      <c r="AH183" t="s">
        <v>43</v>
      </c>
      <c r="AI183">
        <v>82</v>
      </c>
      <c r="AJ183">
        <v>2.7</v>
      </c>
    </row>
    <row r="184" spans="1:36" x14ac:dyDescent="0.25">
      <c r="A184">
        <v>10183</v>
      </c>
      <c r="B184" t="s">
        <v>64</v>
      </c>
      <c r="C184" t="s">
        <v>65</v>
      </c>
      <c r="D184" t="s">
        <v>54</v>
      </c>
      <c r="E184" t="str">
        <f t="shared" si="26"/>
        <v>Katie Johnson is in Finance Department</v>
      </c>
      <c r="F184" s="6" t="str">
        <f t="shared" si="27"/>
        <v>katiejohnson@gmail.com</v>
      </c>
      <c r="G184">
        <v>84816</v>
      </c>
      <c r="H184" t="str">
        <f t="shared" si="28"/>
        <v>High</v>
      </c>
      <c r="I184" s="3">
        <v>42485</v>
      </c>
      <c r="J184">
        <f t="shared" si="29"/>
        <v>2016</v>
      </c>
      <c r="K184">
        <f t="shared" si="30"/>
        <v>4</v>
      </c>
      <c r="L184">
        <f t="shared" si="31"/>
        <v>25</v>
      </c>
      <c r="M184" s="3">
        <f t="shared" ca="1" si="32"/>
        <v>46100</v>
      </c>
      <c r="N184">
        <f t="shared" ca="1" si="33"/>
        <v>3615</v>
      </c>
      <c r="O184">
        <f t="shared" ca="1" si="34"/>
        <v>3615</v>
      </c>
      <c r="P184">
        <f t="shared" ca="1" si="35"/>
        <v>2584</v>
      </c>
      <c r="Q184">
        <v>41</v>
      </c>
      <c r="R184" t="str">
        <f t="shared" si="36"/>
        <v>Old</v>
      </c>
      <c r="S184" t="s">
        <v>24</v>
      </c>
      <c r="T184">
        <v>3</v>
      </c>
      <c r="U184" t="s">
        <v>25</v>
      </c>
      <c r="V184">
        <v>7898.42</v>
      </c>
      <c r="W184" t="s">
        <v>46</v>
      </c>
      <c r="X184" t="s">
        <v>40</v>
      </c>
      <c r="Y184">
        <v>12</v>
      </c>
      <c r="Z184" t="str">
        <f t="shared" si="37"/>
        <v>Bad Employee</v>
      </c>
      <c r="AA184" t="b">
        <f t="shared" si="38"/>
        <v>0</v>
      </c>
      <c r="AB184" t="b">
        <f>OR(Y184&gt;20, T184&gt;6)</f>
        <v>0</v>
      </c>
      <c r="AC184" t="str">
        <f>IF(OR(Y184&gt;20,T184&gt;6), "Good employee", "Bad Employee")</f>
        <v>Bad Employee</v>
      </c>
      <c r="AD184" t="s">
        <v>28</v>
      </c>
      <c r="AE184" t="s">
        <v>42</v>
      </c>
      <c r="AF184">
        <v>10</v>
      </c>
      <c r="AG184">
        <v>2023</v>
      </c>
      <c r="AH184" t="s">
        <v>30</v>
      </c>
      <c r="AI184">
        <v>77</v>
      </c>
      <c r="AJ184">
        <v>3.7</v>
      </c>
    </row>
    <row r="185" spans="1:36" x14ac:dyDescent="0.25">
      <c r="A185">
        <v>10184</v>
      </c>
      <c r="B185" t="s">
        <v>50</v>
      </c>
      <c r="C185" t="s">
        <v>63</v>
      </c>
      <c r="D185" t="s">
        <v>44</v>
      </c>
      <c r="E185" t="str">
        <f t="shared" si="26"/>
        <v>Alex Miller is in Sales Department</v>
      </c>
      <c r="F185" s="6" t="str">
        <f t="shared" si="27"/>
        <v>alexmiller@gmail.com</v>
      </c>
      <c r="G185">
        <v>115779</v>
      </c>
      <c r="H185" t="str">
        <f t="shared" si="28"/>
        <v>High</v>
      </c>
      <c r="I185" s="3">
        <v>39662</v>
      </c>
      <c r="J185">
        <f t="shared" si="29"/>
        <v>2008</v>
      </c>
      <c r="K185">
        <f t="shared" si="30"/>
        <v>8</v>
      </c>
      <c r="L185">
        <f t="shared" si="31"/>
        <v>2</v>
      </c>
      <c r="M185" s="3">
        <f t="shared" ca="1" si="32"/>
        <v>46100</v>
      </c>
      <c r="N185">
        <f t="shared" ca="1" si="33"/>
        <v>6438</v>
      </c>
      <c r="O185">
        <f t="shared" ca="1" si="34"/>
        <v>6438</v>
      </c>
      <c r="P185">
        <f t="shared" ca="1" si="35"/>
        <v>4599</v>
      </c>
      <c r="Q185">
        <v>61</v>
      </c>
      <c r="R185" t="str">
        <f t="shared" si="36"/>
        <v>Old</v>
      </c>
      <c r="S185" t="s">
        <v>24</v>
      </c>
      <c r="T185">
        <v>5</v>
      </c>
      <c r="U185" t="s">
        <v>25</v>
      </c>
      <c r="V185">
        <v>8183.42</v>
      </c>
      <c r="W185" t="s">
        <v>35</v>
      </c>
      <c r="X185" t="s">
        <v>47</v>
      </c>
      <c r="Y185">
        <v>7</v>
      </c>
      <c r="Z185" t="str">
        <f t="shared" si="37"/>
        <v>Bad Employee</v>
      </c>
      <c r="AA185" t="b">
        <f t="shared" si="38"/>
        <v>0</v>
      </c>
      <c r="AB185" t="b">
        <f>OR(Y185&gt;20, T185&gt;6)</f>
        <v>0</v>
      </c>
      <c r="AC185" t="str">
        <f>IF(OR(Y185&gt;20,T185&gt;6), "Good employee", "Bad Employee")</f>
        <v>Bad Employee</v>
      </c>
      <c r="AD185" t="s">
        <v>41</v>
      </c>
      <c r="AE185" t="s">
        <v>62</v>
      </c>
      <c r="AF185">
        <v>0</v>
      </c>
      <c r="AG185">
        <v>2017</v>
      </c>
      <c r="AH185" t="s">
        <v>49</v>
      </c>
      <c r="AI185">
        <v>167</v>
      </c>
      <c r="AJ185">
        <v>2.8</v>
      </c>
    </row>
    <row r="186" spans="1:36" x14ac:dyDescent="0.25">
      <c r="A186">
        <v>10185</v>
      </c>
      <c r="B186" t="s">
        <v>66</v>
      </c>
      <c r="C186" t="s">
        <v>63</v>
      </c>
      <c r="D186" t="s">
        <v>39</v>
      </c>
      <c r="E186" t="str">
        <f t="shared" si="26"/>
        <v>John Miller is in IT Department</v>
      </c>
      <c r="F186" s="6" t="str">
        <f t="shared" si="27"/>
        <v>johnmiller@gmail.com</v>
      </c>
      <c r="G186">
        <v>33060</v>
      </c>
      <c r="H186" t="str">
        <f t="shared" si="28"/>
        <v>extremely low</v>
      </c>
      <c r="I186" s="3">
        <v>39815</v>
      </c>
      <c r="J186">
        <f t="shared" si="29"/>
        <v>2009</v>
      </c>
      <c r="K186">
        <f t="shared" si="30"/>
        <v>1</v>
      </c>
      <c r="L186">
        <f t="shared" si="31"/>
        <v>2</v>
      </c>
      <c r="M186" s="3">
        <f t="shared" ca="1" si="32"/>
        <v>46100</v>
      </c>
      <c r="N186">
        <f t="shared" ca="1" si="33"/>
        <v>6285</v>
      </c>
      <c r="O186">
        <f t="shared" ca="1" si="34"/>
        <v>6285</v>
      </c>
      <c r="P186">
        <f t="shared" ca="1" si="35"/>
        <v>4490</v>
      </c>
      <c r="Q186">
        <v>41</v>
      </c>
      <c r="R186" t="str">
        <f t="shared" si="36"/>
        <v>Old</v>
      </c>
      <c r="S186" t="s">
        <v>34</v>
      </c>
      <c r="T186">
        <v>5</v>
      </c>
      <c r="U186" t="s">
        <v>25</v>
      </c>
      <c r="V186">
        <v>8320.75</v>
      </c>
      <c r="W186" t="s">
        <v>46</v>
      </c>
      <c r="X186" t="s">
        <v>36</v>
      </c>
      <c r="Y186">
        <v>37</v>
      </c>
      <c r="Z186" t="str">
        <f t="shared" si="37"/>
        <v>Bad Employee</v>
      </c>
      <c r="AA186" t="b">
        <f t="shared" si="38"/>
        <v>0</v>
      </c>
      <c r="AB186" t="b">
        <f>OR(Y186&gt;20, T186&gt;6)</f>
        <v>1</v>
      </c>
      <c r="AC186" t="str">
        <f>IF(OR(Y186&gt;20,T186&gt;6), "Good employee", "Bad Employee")</f>
        <v>Good employee</v>
      </c>
      <c r="AD186" t="s">
        <v>28</v>
      </c>
      <c r="AE186" t="s">
        <v>42</v>
      </c>
      <c r="AF186">
        <v>19</v>
      </c>
      <c r="AG186">
        <v>2019</v>
      </c>
      <c r="AH186" t="s">
        <v>30</v>
      </c>
      <c r="AI186">
        <v>48</v>
      </c>
      <c r="AJ186">
        <v>4.2</v>
      </c>
    </row>
    <row r="187" spans="1:36" x14ac:dyDescent="0.25">
      <c r="A187">
        <v>10186</v>
      </c>
      <c r="B187" t="s">
        <v>38</v>
      </c>
      <c r="C187" t="s">
        <v>61</v>
      </c>
      <c r="D187" t="s">
        <v>39</v>
      </c>
      <c r="E187" t="str">
        <f t="shared" si="26"/>
        <v>Chris Smith is in IT Department</v>
      </c>
      <c r="F187" s="6" t="str">
        <f t="shared" si="27"/>
        <v>chrissmith@gmail.com</v>
      </c>
      <c r="G187">
        <v>43731</v>
      </c>
      <c r="H187" t="str">
        <f t="shared" si="28"/>
        <v>low</v>
      </c>
      <c r="I187" s="3">
        <v>39136</v>
      </c>
      <c r="J187">
        <f t="shared" si="29"/>
        <v>2007</v>
      </c>
      <c r="K187">
        <f t="shared" si="30"/>
        <v>2</v>
      </c>
      <c r="L187">
        <f t="shared" si="31"/>
        <v>23</v>
      </c>
      <c r="M187" s="3">
        <f t="shared" ca="1" si="32"/>
        <v>46100</v>
      </c>
      <c r="N187">
        <f t="shared" ca="1" si="33"/>
        <v>6964</v>
      </c>
      <c r="O187">
        <f t="shared" ca="1" si="34"/>
        <v>6964</v>
      </c>
      <c r="P187">
        <f t="shared" ca="1" si="35"/>
        <v>4975</v>
      </c>
      <c r="Q187">
        <v>29</v>
      </c>
      <c r="R187" t="str">
        <f t="shared" si="36"/>
        <v>Young</v>
      </c>
      <c r="S187" t="s">
        <v>34</v>
      </c>
      <c r="T187">
        <v>5</v>
      </c>
      <c r="U187" t="s">
        <v>25</v>
      </c>
      <c r="V187">
        <v>5730.83</v>
      </c>
      <c r="W187" t="s">
        <v>26</v>
      </c>
      <c r="X187" t="s">
        <v>27</v>
      </c>
      <c r="Y187">
        <v>16</v>
      </c>
      <c r="Z187" t="str">
        <f t="shared" si="37"/>
        <v>Bad Employee</v>
      </c>
      <c r="AA187" t="b">
        <f t="shared" si="38"/>
        <v>0</v>
      </c>
      <c r="AB187" t="b">
        <f>OR(Y187&gt;20, T187&gt;6)</f>
        <v>0</v>
      </c>
      <c r="AC187" t="str">
        <f>IF(OR(Y187&gt;20,T187&gt;6), "Good employee", "Bad Employee")</f>
        <v>Bad Employee</v>
      </c>
      <c r="AD187" t="s">
        <v>41</v>
      </c>
      <c r="AE187" t="s">
        <v>42</v>
      </c>
      <c r="AF187">
        <v>3</v>
      </c>
      <c r="AG187">
        <v>2015</v>
      </c>
      <c r="AH187" t="s">
        <v>30</v>
      </c>
      <c r="AI187">
        <v>168</v>
      </c>
      <c r="AJ187">
        <v>3.6</v>
      </c>
    </row>
    <row r="188" spans="1:36" x14ac:dyDescent="0.25">
      <c r="A188">
        <v>10187</v>
      </c>
      <c r="B188" t="s">
        <v>60</v>
      </c>
      <c r="C188" t="s">
        <v>32</v>
      </c>
      <c r="D188" t="s">
        <v>39</v>
      </c>
      <c r="E188" t="str">
        <f t="shared" si="26"/>
        <v>Jane Wilson is in IT Department</v>
      </c>
      <c r="F188" s="6" t="str">
        <f t="shared" si="27"/>
        <v>janewilson@gmail.com</v>
      </c>
      <c r="G188">
        <v>107830</v>
      </c>
      <c r="H188" t="str">
        <f t="shared" si="28"/>
        <v>High</v>
      </c>
      <c r="I188" s="3">
        <v>42072</v>
      </c>
      <c r="J188">
        <f t="shared" si="29"/>
        <v>2015</v>
      </c>
      <c r="K188">
        <f t="shared" si="30"/>
        <v>3</v>
      </c>
      <c r="L188">
        <f t="shared" si="31"/>
        <v>9</v>
      </c>
      <c r="M188" s="3">
        <f t="shared" ca="1" si="32"/>
        <v>46100</v>
      </c>
      <c r="N188">
        <f t="shared" ca="1" si="33"/>
        <v>4028</v>
      </c>
      <c r="O188">
        <f t="shared" ca="1" si="34"/>
        <v>4028</v>
      </c>
      <c r="P188">
        <f t="shared" ca="1" si="35"/>
        <v>2879</v>
      </c>
      <c r="Q188">
        <v>56</v>
      </c>
      <c r="R188" t="str">
        <f t="shared" si="36"/>
        <v>Old</v>
      </c>
      <c r="S188" t="s">
        <v>34</v>
      </c>
      <c r="T188">
        <v>9</v>
      </c>
      <c r="U188" t="s">
        <v>25</v>
      </c>
      <c r="V188">
        <v>2182.65</v>
      </c>
      <c r="W188" t="s">
        <v>58</v>
      </c>
      <c r="X188" t="s">
        <v>36</v>
      </c>
      <c r="Y188">
        <v>38</v>
      </c>
      <c r="Z188" t="str">
        <f t="shared" si="37"/>
        <v>Good Employee</v>
      </c>
      <c r="AA188" t="b">
        <f t="shared" si="38"/>
        <v>1</v>
      </c>
      <c r="AB188" t="b">
        <f>OR(Y188&gt;20, T188&gt;6)</f>
        <v>1</v>
      </c>
      <c r="AC188" t="str">
        <f>IF(OR(Y188&gt;20,T188&gt;6), "Good employee", "Bad Employee")</f>
        <v>Good employee</v>
      </c>
      <c r="AD188" t="s">
        <v>56</v>
      </c>
      <c r="AE188" t="s">
        <v>59</v>
      </c>
      <c r="AF188">
        <v>7</v>
      </c>
      <c r="AG188">
        <v>2016</v>
      </c>
      <c r="AH188" t="s">
        <v>43</v>
      </c>
      <c r="AI188">
        <v>93</v>
      </c>
      <c r="AJ188">
        <v>1.8</v>
      </c>
    </row>
    <row r="189" spans="1:36" x14ac:dyDescent="0.25">
      <c r="A189">
        <v>10188</v>
      </c>
      <c r="B189" t="s">
        <v>21</v>
      </c>
      <c r="C189" t="s">
        <v>65</v>
      </c>
      <c r="D189" t="s">
        <v>33</v>
      </c>
      <c r="E189" t="str">
        <f t="shared" si="26"/>
        <v>Michael Johnson is in Marketing Department</v>
      </c>
      <c r="F189" s="6" t="str">
        <f t="shared" si="27"/>
        <v>michaeljohnson@gmail.com</v>
      </c>
      <c r="G189">
        <v>50719</v>
      </c>
      <c r="H189" t="str">
        <f t="shared" si="28"/>
        <v>Medium</v>
      </c>
      <c r="I189" s="3">
        <v>41438</v>
      </c>
      <c r="J189">
        <f t="shared" si="29"/>
        <v>2013</v>
      </c>
      <c r="K189">
        <f t="shared" si="30"/>
        <v>6</v>
      </c>
      <c r="L189">
        <f t="shared" si="31"/>
        <v>13</v>
      </c>
      <c r="M189" s="3">
        <f t="shared" ca="1" si="32"/>
        <v>46100</v>
      </c>
      <c r="N189">
        <f t="shared" ca="1" si="33"/>
        <v>4662</v>
      </c>
      <c r="O189">
        <f t="shared" ca="1" si="34"/>
        <v>4662</v>
      </c>
      <c r="P189">
        <f t="shared" ca="1" si="35"/>
        <v>3331</v>
      </c>
      <c r="Q189">
        <v>63</v>
      </c>
      <c r="R189" t="str">
        <f t="shared" si="36"/>
        <v>Old</v>
      </c>
      <c r="S189" t="s">
        <v>24</v>
      </c>
      <c r="T189">
        <v>8</v>
      </c>
      <c r="U189" t="s">
        <v>25</v>
      </c>
      <c r="V189">
        <v>1908.21</v>
      </c>
      <c r="W189" t="s">
        <v>58</v>
      </c>
      <c r="X189" t="s">
        <v>55</v>
      </c>
      <c r="Y189">
        <v>35</v>
      </c>
      <c r="Z189" t="str">
        <f t="shared" si="37"/>
        <v>Good Employee</v>
      </c>
      <c r="AA189" t="b">
        <f t="shared" si="38"/>
        <v>1</v>
      </c>
      <c r="AB189" t="b">
        <f>OR(Y189&gt;20, T189&gt;6)</f>
        <v>1</v>
      </c>
      <c r="AC189" t="str">
        <f>IF(OR(Y189&gt;20,T189&gt;6), "Good employee", "Bad Employee")</f>
        <v>Good employee</v>
      </c>
      <c r="AD189" t="s">
        <v>28</v>
      </c>
      <c r="AE189" t="s">
        <v>37</v>
      </c>
      <c r="AF189">
        <v>19</v>
      </c>
      <c r="AG189">
        <v>2016</v>
      </c>
      <c r="AH189" t="s">
        <v>30</v>
      </c>
      <c r="AI189">
        <v>19</v>
      </c>
      <c r="AJ189">
        <v>2.1</v>
      </c>
    </row>
    <row r="190" spans="1:36" x14ac:dyDescent="0.25">
      <c r="A190">
        <v>10189</v>
      </c>
      <c r="B190" t="s">
        <v>21</v>
      </c>
      <c r="C190" t="s">
        <v>61</v>
      </c>
      <c r="D190" t="s">
        <v>54</v>
      </c>
      <c r="E190" t="str">
        <f t="shared" si="26"/>
        <v>Michael Smith is in Finance Department</v>
      </c>
      <c r="F190" s="6" t="str">
        <f t="shared" si="27"/>
        <v>michaelsmith@gmail.com</v>
      </c>
      <c r="G190">
        <v>77042</v>
      </c>
      <c r="H190" t="str">
        <f t="shared" si="28"/>
        <v>Medium</v>
      </c>
      <c r="I190" s="3">
        <v>38470</v>
      </c>
      <c r="J190">
        <f t="shared" si="29"/>
        <v>2005</v>
      </c>
      <c r="K190">
        <f t="shared" si="30"/>
        <v>4</v>
      </c>
      <c r="L190">
        <f t="shared" si="31"/>
        <v>28</v>
      </c>
      <c r="M190" s="3">
        <f t="shared" ca="1" si="32"/>
        <v>46100</v>
      </c>
      <c r="N190">
        <f t="shared" ca="1" si="33"/>
        <v>7630</v>
      </c>
      <c r="O190">
        <f t="shared" ca="1" si="34"/>
        <v>7630</v>
      </c>
      <c r="P190">
        <f t="shared" ca="1" si="35"/>
        <v>5451</v>
      </c>
      <c r="Q190">
        <v>34</v>
      </c>
      <c r="R190" t="str">
        <f t="shared" si="36"/>
        <v>Old</v>
      </c>
      <c r="S190" t="s">
        <v>24</v>
      </c>
      <c r="T190">
        <v>8</v>
      </c>
      <c r="U190" t="s">
        <v>45</v>
      </c>
      <c r="V190">
        <v>5952.85</v>
      </c>
      <c r="W190" t="s">
        <v>58</v>
      </c>
      <c r="X190" t="s">
        <v>55</v>
      </c>
      <c r="Y190">
        <v>29</v>
      </c>
      <c r="Z190" t="str">
        <f t="shared" si="37"/>
        <v>Good Employee</v>
      </c>
      <c r="AA190" t="b">
        <f t="shared" si="38"/>
        <v>1</v>
      </c>
      <c r="AB190" t="b">
        <f>OR(Y190&gt;20, T190&gt;6)</f>
        <v>1</v>
      </c>
      <c r="AC190" t="str">
        <f>IF(OR(Y190&gt;20,T190&gt;6), "Good employee", "Bad Employee")</f>
        <v>Good employee</v>
      </c>
      <c r="AD190" t="s">
        <v>56</v>
      </c>
      <c r="AE190" t="s">
        <v>42</v>
      </c>
      <c r="AF190">
        <v>12</v>
      </c>
      <c r="AG190">
        <v>2011</v>
      </c>
      <c r="AH190" t="s">
        <v>43</v>
      </c>
      <c r="AI190">
        <v>49</v>
      </c>
      <c r="AJ190">
        <v>1.3</v>
      </c>
    </row>
    <row r="191" spans="1:36" x14ac:dyDescent="0.25">
      <c r="A191">
        <v>10190</v>
      </c>
      <c r="B191" t="s">
        <v>64</v>
      </c>
      <c r="C191" t="s">
        <v>63</v>
      </c>
      <c r="D191" t="s">
        <v>33</v>
      </c>
      <c r="E191" t="str">
        <f t="shared" si="26"/>
        <v>Katie Miller is in Marketing Department</v>
      </c>
      <c r="F191" s="6" t="str">
        <f t="shared" si="27"/>
        <v>katiemiller@gmail.com</v>
      </c>
      <c r="G191">
        <v>79116</v>
      </c>
      <c r="H191" t="str">
        <f t="shared" si="28"/>
        <v>Medium</v>
      </c>
      <c r="I191" s="3">
        <v>39671</v>
      </c>
      <c r="J191">
        <f t="shared" si="29"/>
        <v>2008</v>
      </c>
      <c r="K191">
        <f t="shared" si="30"/>
        <v>8</v>
      </c>
      <c r="L191">
        <f t="shared" si="31"/>
        <v>11</v>
      </c>
      <c r="M191" s="3">
        <f t="shared" ca="1" si="32"/>
        <v>46100</v>
      </c>
      <c r="N191">
        <f t="shared" ca="1" si="33"/>
        <v>6429</v>
      </c>
      <c r="O191">
        <f t="shared" ca="1" si="34"/>
        <v>6429</v>
      </c>
      <c r="P191">
        <f t="shared" ca="1" si="35"/>
        <v>4594</v>
      </c>
      <c r="Q191">
        <v>62</v>
      </c>
      <c r="R191" t="str">
        <f t="shared" si="36"/>
        <v>Old</v>
      </c>
      <c r="S191" t="s">
        <v>34</v>
      </c>
      <c r="T191">
        <v>1</v>
      </c>
      <c r="U191" t="s">
        <v>25</v>
      </c>
      <c r="V191">
        <v>3981.89</v>
      </c>
      <c r="W191" t="s">
        <v>26</v>
      </c>
      <c r="X191" t="s">
        <v>47</v>
      </c>
      <c r="Y191">
        <v>39</v>
      </c>
      <c r="Z191" t="str">
        <f t="shared" si="37"/>
        <v>Bad Employee</v>
      </c>
      <c r="AA191" t="b">
        <f t="shared" si="38"/>
        <v>0</v>
      </c>
      <c r="AB191" t="b">
        <f>OR(Y191&gt;20, T191&gt;6)</f>
        <v>1</v>
      </c>
      <c r="AC191" t="str">
        <f>IF(OR(Y191&gt;20,T191&gt;6), "Good employee", "Bad Employee")</f>
        <v>Good employee</v>
      </c>
      <c r="AD191" t="s">
        <v>56</v>
      </c>
      <c r="AE191" t="s">
        <v>59</v>
      </c>
      <c r="AF191">
        <v>16</v>
      </c>
      <c r="AG191">
        <v>2023</v>
      </c>
      <c r="AH191" t="s">
        <v>49</v>
      </c>
      <c r="AI191">
        <v>126</v>
      </c>
      <c r="AJ191">
        <v>4.8</v>
      </c>
    </row>
    <row r="192" spans="1:36" x14ac:dyDescent="0.25">
      <c r="A192">
        <v>10191</v>
      </c>
      <c r="B192" t="s">
        <v>21</v>
      </c>
      <c r="C192" t="s">
        <v>57</v>
      </c>
      <c r="D192" t="s">
        <v>52</v>
      </c>
      <c r="E192" t="str">
        <f t="shared" si="26"/>
        <v>Michael Davis is in Operations Department</v>
      </c>
      <c r="F192" s="6" t="str">
        <f t="shared" si="27"/>
        <v>michaeldavis@gmail.com</v>
      </c>
      <c r="G192">
        <v>56325</v>
      </c>
      <c r="H192" t="str">
        <f t="shared" si="28"/>
        <v>Medium</v>
      </c>
      <c r="I192" s="3">
        <v>39284</v>
      </c>
      <c r="J192">
        <f t="shared" si="29"/>
        <v>2007</v>
      </c>
      <c r="K192">
        <f t="shared" si="30"/>
        <v>7</v>
      </c>
      <c r="L192">
        <f t="shared" si="31"/>
        <v>21</v>
      </c>
      <c r="M192" s="3">
        <f t="shared" ca="1" si="32"/>
        <v>46100</v>
      </c>
      <c r="N192">
        <f t="shared" ca="1" si="33"/>
        <v>6816</v>
      </c>
      <c r="O192">
        <f t="shared" ca="1" si="34"/>
        <v>6816</v>
      </c>
      <c r="P192">
        <f t="shared" ca="1" si="35"/>
        <v>4869</v>
      </c>
      <c r="Q192">
        <v>27</v>
      </c>
      <c r="R192" t="str">
        <f t="shared" si="36"/>
        <v>Young</v>
      </c>
      <c r="S192" t="s">
        <v>34</v>
      </c>
      <c r="T192">
        <v>1</v>
      </c>
      <c r="U192" t="s">
        <v>25</v>
      </c>
      <c r="V192">
        <v>5801.46</v>
      </c>
      <c r="W192" t="s">
        <v>35</v>
      </c>
      <c r="X192" t="s">
        <v>27</v>
      </c>
      <c r="Y192">
        <v>17</v>
      </c>
      <c r="Z192" t="str">
        <f t="shared" si="37"/>
        <v>Bad Employee</v>
      </c>
      <c r="AA192" t="b">
        <f t="shared" si="38"/>
        <v>0</v>
      </c>
      <c r="AB192" t="b">
        <f>OR(Y192&gt;20, T192&gt;6)</f>
        <v>0</v>
      </c>
      <c r="AC192" t="str">
        <f>IF(OR(Y192&gt;20,T192&gt;6), "Good employee", "Bad Employee")</f>
        <v>Bad Employee</v>
      </c>
      <c r="AD192" t="s">
        <v>28</v>
      </c>
      <c r="AE192" t="s">
        <v>37</v>
      </c>
      <c r="AF192">
        <v>14</v>
      </c>
      <c r="AG192">
        <v>2020</v>
      </c>
      <c r="AH192" t="s">
        <v>30</v>
      </c>
      <c r="AI192">
        <v>66</v>
      </c>
      <c r="AJ192">
        <v>4.5</v>
      </c>
    </row>
    <row r="193" spans="1:36" x14ac:dyDescent="0.25">
      <c r="A193">
        <v>10192</v>
      </c>
      <c r="B193" t="s">
        <v>50</v>
      </c>
      <c r="C193" t="s">
        <v>51</v>
      </c>
      <c r="D193" t="s">
        <v>33</v>
      </c>
      <c r="E193" t="str">
        <f t="shared" si="26"/>
        <v>Alex Brown is in Marketing Department</v>
      </c>
      <c r="F193" s="6" t="str">
        <f t="shared" si="27"/>
        <v>alexbrown@gmail.com</v>
      </c>
      <c r="G193">
        <v>52597</v>
      </c>
      <c r="H193" t="str">
        <f t="shared" si="28"/>
        <v>Medium</v>
      </c>
      <c r="I193" s="3">
        <v>41837</v>
      </c>
      <c r="J193">
        <f t="shared" si="29"/>
        <v>2014</v>
      </c>
      <c r="K193">
        <f t="shared" si="30"/>
        <v>7</v>
      </c>
      <c r="L193">
        <f t="shared" si="31"/>
        <v>17</v>
      </c>
      <c r="M193" s="3">
        <f t="shared" ca="1" si="32"/>
        <v>46100</v>
      </c>
      <c r="N193">
        <f t="shared" ca="1" si="33"/>
        <v>4263</v>
      </c>
      <c r="O193">
        <f t="shared" ca="1" si="34"/>
        <v>4263</v>
      </c>
      <c r="P193">
        <f t="shared" ca="1" si="35"/>
        <v>3046</v>
      </c>
      <c r="Q193">
        <v>37</v>
      </c>
      <c r="R193" t="str">
        <f t="shared" si="36"/>
        <v>Old</v>
      </c>
      <c r="S193" t="s">
        <v>34</v>
      </c>
      <c r="T193">
        <v>2</v>
      </c>
      <c r="U193" t="s">
        <v>45</v>
      </c>
      <c r="V193">
        <v>5235.54</v>
      </c>
      <c r="W193" t="s">
        <v>35</v>
      </c>
      <c r="X193" t="s">
        <v>27</v>
      </c>
      <c r="Y193">
        <v>26</v>
      </c>
      <c r="Z193" t="str">
        <f t="shared" si="37"/>
        <v>Bad Employee</v>
      </c>
      <c r="AA193" t="b">
        <f t="shared" si="38"/>
        <v>0</v>
      </c>
      <c r="AB193" t="b">
        <f>OR(Y193&gt;20, T193&gt;6)</f>
        <v>1</v>
      </c>
      <c r="AC193" t="str">
        <f>IF(OR(Y193&gt;20,T193&gt;6), "Good employee", "Bad Employee")</f>
        <v>Good employee</v>
      </c>
      <c r="AD193" t="s">
        <v>41</v>
      </c>
      <c r="AE193" t="s">
        <v>62</v>
      </c>
      <c r="AF193">
        <v>0</v>
      </c>
      <c r="AG193">
        <v>2011</v>
      </c>
      <c r="AH193" t="s">
        <v>43</v>
      </c>
      <c r="AI193">
        <v>96</v>
      </c>
      <c r="AJ193">
        <v>1.3</v>
      </c>
    </row>
    <row r="194" spans="1:36" x14ac:dyDescent="0.25">
      <c r="A194">
        <v>10193</v>
      </c>
      <c r="B194" t="s">
        <v>66</v>
      </c>
      <c r="C194" t="s">
        <v>61</v>
      </c>
      <c r="D194" t="s">
        <v>52</v>
      </c>
      <c r="E194" t="str">
        <f t="shared" si="26"/>
        <v>John Smith is in Operations Department</v>
      </c>
      <c r="F194" s="6" t="str">
        <f t="shared" si="27"/>
        <v>johnsmith@gmail.com</v>
      </c>
      <c r="G194">
        <v>97439</v>
      </c>
      <c r="H194" t="str">
        <f t="shared" si="28"/>
        <v>High</v>
      </c>
      <c r="I194" s="3">
        <v>39786</v>
      </c>
      <c r="J194">
        <f t="shared" si="29"/>
        <v>2008</v>
      </c>
      <c r="K194">
        <f t="shared" si="30"/>
        <v>12</v>
      </c>
      <c r="L194">
        <f t="shared" si="31"/>
        <v>4</v>
      </c>
      <c r="M194" s="3">
        <f t="shared" ca="1" si="32"/>
        <v>46100</v>
      </c>
      <c r="N194">
        <f t="shared" ca="1" si="33"/>
        <v>6314</v>
      </c>
      <c r="O194">
        <f t="shared" ca="1" si="34"/>
        <v>6314</v>
      </c>
      <c r="P194">
        <f t="shared" ca="1" si="35"/>
        <v>4511</v>
      </c>
      <c r="Q194">
        <v>26</v>
      </c>
      <c r="R194" t="str">
        <f t="shared" si="36"/>
        <v>Young</v>
      </c>
      <c r="S194" t="s">
        <v>24</v>
      </c>
      <c r="T194">
        <v>8</v>
      </c>
      <c r="U194" t="s">
        <v>25</v>
      </c>
      <c r="V194">
        <v>6220.88</v>
      </c>
      <c r="W194" t="s">
        <v>35</v>
      </c>
      <c r="X194" t="s">
        <v>47</v>
      </c>
      <c r="Y194">
        <v>20</v>
      </c>
      <c r="Z194" t="str">
        <f t="shared" si="37"/>
        <v>Bad Employee</v>
      </c>
      <c r="AA194" t="b">
        <f t="shared" si="38"/>
        <v>0</v>
      </c>
      <c r="AB194" t="b">
        <f>OR(Y194&gt;20, T194&gt;6)</f>
        <v>1</v>
      </c>
      <c r="AC194" t="str">
        <f>IF(OR(Y194&gt;20,T194&gt;6), "Good employee", "Bad Employee")</f>
        <v>Good employee</v>
      </c>
      <c r="AD194" t="s">
        <v>56</v>
      </c>
      <c r="AE194" t="s">
        <v>29</v>
      </c>
      <c r="AF194">
        <v>2</v>
      </c>
      <c r="AG194">
        <v>2013</v>
      </c>
      <c r="AH194" t="s">
        <v>49</v>
      </c>
      <c r="AI194">
        <v>182</v>
      </c>
      <c r="AJ194">
        <v>3.3</v>
      </c>
    </row>
    <row r="195" spans="1:36" x14ac:dyDescent="0.25">
      <c r="A195">
        <v>10194</v>
      </c>
      <c r="B195" t="s">
        <v>21</v>
      </c>
      <c r="C195" t="s">
        <v>57</v>
      </c>
      <c r="D195" t="s">
        <v>23</v>
      </c>
      <c r="E195" t="str">
        <f t="shared" ref="E195:E258" si="39">CONCATENATE(B195, " ", C195, " is in ", D195, " Department")</f>
        <v>Michael Davis is in HR Department</v>
      </c>
      <c r="F195" s="6" t="str">
        <f t="shared" ref="F195:F258" si="40">LOWER(CONCATENATE(B195, C195, "@gmail.com"))</f>
        <v>michaeldavis@gmail.com</v>
      </c>
      <c r="G195">
        <v>44551</v>
      </c>
      <c r="H195" t="str">
        <f t="shared" ref="H195:H258" si="41">IF(G195&gt;80000, "High", IF(G195&gt;50000, "Medium", IF(G195&gt;40000, "low", "extremely low")))</f>
        <v>low</v>
      </c>
      <c r="I195" s="3">
        <v>40633</v>
      </c>
      <c r="J195">
        <f t="shared" ref="J195:J258" si="42">YEAR(I195)</f>
        <v>2011</v>
      </c>
      <c r="K195">
        <f t="shared" ref="K195:K258" si="43">MONTH(I195)</f>
        <v>3</v>
      </c>
      <c r="L195">
        <f t="shared" ref="L195:L258" si="44">DAY(I195)</f>
        <v>31</v>
      </c>
      <c r="M195" s="3">
        <f t="shared" ref="M195:M258" ca="1" si="45">TODAY()</f>
        <v>46100</v>
      </c>
      <c r="N195">
        <f t="shared" ref="N195:N258" ca="1" si="46">M195-I195</f>
        <v>5467</v>
      </c>
      <c r="O195">
        <f t="shared" ref="O195:O258" ca="1" si="47">DATEDIF(I195,M195, "d")</f>
        <v>5467</v>
      </c>
      <c r="P195">
        <f t="shared" ref="P195:P258" ca="1" si="48">NETWORKDAYS(I195, M195)</f>
        <v>3906</v>
      </c>
      <c r="Q195">
        <v>55</v>
      </c>
      <c r="R195" t="str">
        <f t="shared" ref="R195:R258" si="49">IF(Q195&gt;30, "Old", "Young")</f>
        <v>Old</v>
      </c>
      <c r="S195" t="s">
        <v>24</v>
      </c>
      <c r="T195">
        <v>1</v>
      </c>
      <c r="U195" t="s">
        <v>25</v>
      </c>
      <c r="V195">
        <v>805.06</v>
      </c>
      <c r="W195" t="s">
        <v>46</v>
      </c>
      <c r="X195" t="s">
        <v>55</v>
      </c>
      <c r="Y195">
        <v>25</v>
      </c>
      <c r="Z195" t="str">
        <f t="shared" ref="Z195:Z258" si="50" xml:space="preserve"> IF(AND(Y195&gt;20, T195&gt;6), "Good Employee", "Bad Employee")</f>
        <v>Bad Employee</v>
      </c>
      <c r="AA195" t="b">
        <f t="shared" ref="AA195:AA258" si="51">AND(Y195&gt;20, T195&gt;6)</f>
        <v>0</v>
      </c>
      <c r="AB195" t="b">
        <f>OR(Y195&gt;20, T195&gt;6)</f>
        <v>1</v>
      </c>
      <c r="AC195" t="str">
        <f>IF(OR(Y195&gt;20,T195&gt;6), "Good employee", "Bad Employee")</f>
        <v>Good employee</v>
      </c>
      <c r="AD195" t="s">
        <v>56</v>
      </c>
      <c r="AE195" t="s">
        <v>59</v>
      </c>
      <c r="AF195">
        <v>16</v>
      </c>
      <c r="AG195">
        <v>2015</v>
      </c>
      <c r="AH195" t="s">
        <v>49</v>
      </c>
      <c r="AI195">
        <v>17</v>
      </c>
      <c r="AJ195">
        <v>4.8</v>
      </c>
    </row>
    <row r="196" spans="1:36" x14ac:dyDescent="0.25">
      <c r="A196">
        <v>10195</v>
      </c>
      <c r="B196" t="s">
        <v>21</v>
      </c>
      <c r="C196" t="s">
        <v>51</v>
      </c>
      <c r="D196" t="s">
        <v>23</v>
      </c>
      <c r="E196" t="str">
        <f t="shared" si="39"/>
        <v>Michael Brown is in HR Department</v>
      </c>
      <c r="F196" s="6" t="str">
        <f t="shared" si="40"/>
        <v>michaelbrown@gmail.com</v>
      </c>
      <c r="G196">
        <v>54278</v>
      </c>
      <c r="H196" t="str">
        <f t="shared" si="41"/>
        <v>Medium</v>
      </c>
      <c r="I196" s="3">
        <v>42908</v>
      </c>
      <c r="J196">
        <f t="shared" si="42"/>
        <v>2017</v>
      </c>
      <c r="K196">
        <f t="shared" si="43"/>
        <v>6</v>
      </c>
      <c r="L196">
        <f t="shared" si="44"/>
        <v>22</v>
      </c>
      <c r="M196" s="3">
        <f t="shared" ca="1" si="45"/>
        <v>46100</v>
      </c>
      <c r="N196">
        <f t="shared" ca="1" si="46"/>
        <v>3192</v>
      </c>
      <c r="O196">
        <f t="shared" ca="1" si="47"/>
        <v>3192</v>
      </c>
      <c r="P196">
        <f t="shared" ca="1" si="48"/>
        <v>2281</v>
      </c>
      <c r="Q196">
        <v>27</v>
      </c>
      <c r="R196" t="str">
        <f t="shared" si="49"/>
        <v>Young</v>
      </c>
      <c r="S196" t="s">
        <v>34</v>
      </c>
      <c r="T196">
        <v>4</v>
      </c>
      <c r="U196" t="s">
        <v>45</v>
      </c>
      <c r="V196">
        <v>811.95</v>
      </c>
      <c r="W196" t="s">
        <v>26</v>
      </c>
      <c r="X196" t="s">
        <v>27</v>
      </c>
      <c r="Y196">
        <v>38</v>
      </c>
      <c r="Z196" t="str">
        <f t="shared" si="50"/>
        <v>Bad Employee</v>
      </c>
      <c r="AA196" t="b">
        <f t="shared" si="51"/>
        <v>0</v>
      </c>
      <c r="AB196" t="b">
        <f>OR(Y196&gt;20, T196&gt;6)</f>
        <v>1</v>
      </c>
      <c r="AC196" t="str">
        <f>IF(OR(Y196&gt;20,T196&gt;6), "Good employee", "Bad Employee")</f>
        <v>Good employee</v>
      </c>
      <c r="AD196" t="s">
        <v>28</v>
      </c>
      <c r="AE196" t="s">
        <v>42</v>
      </c>
      <c r="AF196">
        <v>3</v>
      </c>
      <c r="AG196">
        <v>2013</v>
      </c>
      <c r="AH196" t="s">
        <v>43</v>
      </c>
      <c r="AI196">
        <v>109</v>
      </c>
      <c r="AJ196">
        <v>4</v>
      </c>
    </row>
    <row r="197" spans="1:36" x14ac:dyDescent="0.25">
      <c r="A197">
        <v>10196</v>
      </c>
      <c r="B197" t="s">
        <v>60</v>
      </c>
      <c r="C197" t="s">
        <v>22</v>
      </c>
      <c r="D197" t="s">
        <v>52</v>
      </c>
      <c r="E197" t="str">
        <f t="shared" si="39"/>
        <v>Jane Williams is in Operations Department</v>
      </c>
      <c r="F197" s="6" t="str">
        <f t="shared" si="40"/>
        <v>janewilliams@gmail.com</v>
      </c>
      <c r="G197">
        <v>45141</v>
      </c>
      <c r="H197" t="str">
        <f t="shared" si="41"/>
        <v>low</v>
      </c>
      <c r="I197" s="3">
        <v>38421</v>
      </c>
      <c r="J197">
        <f t="shared" si="42"/>
        <v>2005</v>
      </c>
      <c r="K197">
        <f t="shared" si="43"/>
        <v>3</v>
      </c>
      <c r="L197">
        <f t="shared" si="44"/>
        <v>10</v>
      </c>
      <c r="M197" s="3">
        <f t="shared" ca="1" si="45"/>
        <v>46100</v>
      </c>
      <c r="N197">
        <f t="shared" ca="1" si="46"/>
        <v>7679</v>
      </c>
      <c r="O197">
        <f t="shared" ca="1" si="47"/>
        <v>7679</v>
      </c>
      <c r="P197">
        <f t="shared" ca="1" si="48"/>
        <v>5486</v>
      </c>
      <c r="Q197">
        <v>54</v>
      </c>
      <c r="R197" t="str">
        <f t="shared" si="49"/>
        <v>Old</v>
      </c>
      <c r="S197" t="s">
        <v>34</v>
      </c>
      <c r="T197">
        <v>9</v>
      </c>
      <c r="U197" t="s">
        <v>25</v>
      </c>
      <c r="V197">
        <v>7355.15</v>
      </c>
      <c r="W197" t="s">
        <v>58</v>
      </c>
      <c r="X197" t="s">
        <v>36</v>
      </c>
      <c r="Y197">
        <v>39</v>
      </c>
      <c r="Z197" t="str">
        <f t="shared" si="50"/>
        <v>Good Employee</v>
      </c>
      <c r="AA197" t="b">
        <f t="shared" si="51"/>
        <v>1</v>
      </c>
      <c r="AB197" t="b">
        <f>OR(Y197&gt;20, T197&gt;6)</f>
        <v>1</v>
      </c>
      <c r="AC197" t="str">
        <f>IF(OR(Y197&gt;20,T197&gt;6), "Good employee", "Bad Employee")</f>
        <v>Good employee</v>
      </c>
      <c r="AD197" t="s">
        <v>28</v>
      </c>
      <c r="AE197" t="s">
        <v>42</v>
      </c>
      <c r="AF197">
        <v>7</v>
      </c>
      <c r="AG197">
        <v>2015</v>
      </c>
      <c r="AH197" t="s">
        <v>43</v>
      </c>
      <c r="AI197">
        <v>163</v>
      </c>
      <c r="AJ197">
        <v>3</v>
      </c>
    </row>
    <row r="198" spans="1:36" x14ac:dyDescent="0.25">
      <c r="A198">
        <v>10197</v>
      </c>
      <c r="B198" t="s">
        <v>60</v>
      </c>
      <c r="C198" t="s">
        <v>61</v>
      </c>
      <c r="D198" t="s">
        <v>52</v>
      </c>
      <c r="E198" t="str">
        <f t="shared" si="39"/>
        <v>Jane Smith is in Operations Department</v>
      </c>
      <c r="F198" s="6" t="str">
        <f t="shared" si="40"/>
        <v>janesmith@gmail.com</v>
      </c>
      <c r="G198">
        <v>97913</v>
      </c>
      <c r="H198" t="str">
        <f t="shared" si="41"/>
        <v>High</v>
      </c>
      <c r="I198" s="3">
        <v>39026</v>
      </c>
      <c r="J198">
        <f t="shared" si="42"/>
        <v>2006</v>
      </c>
      <c r="K198">
        <f t="shared" si="43"/>
        <v>11</v>
      </c>
      <c r="L198">
        <f t="shared" si="44"/>
        <v>5</v>
      </c>
      <c r="M198" s="3">
        <f t="shared" ca="1" si="45"/>
        <v>46100</v>
      </c>
      <c r="N198">
        <f t="shared" ca="1" si="46"/>
        <v>7074</v>
      </c>
      <c r="O198">
        <f t="shared" ca="1" si="47"/>
        <v>7074</v>
      </c>
      <c r="P198">
        <f t="shared" ca="1" si="48"/>
        <v>5054</v>
      </c>
      <c r="Q198">
        <v>36</v>
      </c>
      <c r="R198" t="str">
        <f t="shared" si="49"/>
        <v>Old</v>
      </c>
      <c r="S198" t="s">
        <v>34</v>
      </c>
      <c r="T198">
        <v>2</v>
      </c>
      <c r="U198" t="s">
        <v>45</v>
      </c>
      <c r="V198">
        <v>2334.71</v>
      </c>
      <c r="W198" t="s">
        <v>26</v>
      </c>
      <c r="X198" t="s">
        <v>27</v>
      </c>
      <c r="Y198">
        <v>37</v>
      </c>
      <c r="Z198" t="str">
        <f t="shared" si="50"/>
        <v>Bad Employee</v>
      </c>
      <c r="AA198" t="b">
        <f t="shared" si="51"/>
        <v>0</v>
      </c>
      <c r="AB198" t="b">
        <f>OR(Y198&gt;20, T198&gt;6)</f>
        <v>1</v>
      </c>
      <c r="AC198" t="str">
        <f>IF(OR(Y198&gt;20,T198&gt;6), "Good employee", "Bad Employee")</f>
        <v>Good employee</v>
      </c>
      <c r="AD198" t="s">
        <v>28</v>
      </c>
      <c r="AE198" t="s">
        <v>62</v>
      </c>
      <c r="AF198">
        <v>14</v>
      </c>
      <c r="AG198">
        <v>2014</v>
      </c>
      <c r="AH198" t="s">
        <v>30</v>
      </c>
      <c r="AI198">
        <v>9</v>
      </c>
      <c r="AJ198">
        <v>2</v>
      </c>
    </row>
    <row r="199" spans="1:36" x14ac:dyDescent="0.25">
      <c r="A199">
        <v>10198</v>
      </c>
      <c r="B199" t="s">
        <v>31</v>
      </c>
      <c r="C199" t="s">
        <v>61</v>
      </c>
      <c r="D199" t="s">
        <v>33</v>
      </c>
      <c r="E199" t="str">
        <f t="shared" si="39"/>
        <v>Emily Smith is in Marketing Department</v>
      </c>
      <c r="F199" s="6" t="str">
        <f t="shared" si="40"/>
        <v>emilysmith@gmail.com</v>
      </c>
      <c r="G199">
        <v>63615</v>
      </c>
      <c r="H199" t="str">
        <f t="shared" si="41"/>
        <v>Medium</v>
      </c>
      <c r="I199" s="3">
        <v>43052</v>
      </c>
      <c r="J199">
        <f t="shared" si="42"/>
        <v>2017</v>
      </c>
      <c r="K199">
        <f t="shared" si="43"/>
        <v>11</v>
      </c>
      <c r="L199">
        <f t="shared" si="44"/>
        <v>13</v>
      </c>
      <c r="M199" s="3">
        <f t="shared" ca="1" si="45"/>
        <v>46100</v>
      </c>
      <c r="N199">
        <f t="shared" ca="1" si="46"/>
        <v>3048</v>
      </c>
      <c r="O199">
        <f t="shared" ca="1" si="47"/>
        <v>3048</v>
      </c>
      <c r="P199">
        <f t="shared" ca="1" si="48"/>
        <v>2179</v>
      </c>
      <c r="Q199">
        <v>36</v>
      </c>
      <c r="R199" t="str">
        <f t="shared" si="49"/>
        <v>Old</v>
      </c>
      <c r="S199" t="s">
        <v>34</v>
      </c>
      <c r="T199">
        <v>3</v>
      </c>
      <c r="U199" t="s">
        <v>45</v>
      </c>
      <c r="V199">
        <v>6695.89</v>
      </c>
      <c r="W199" t="s">
        <v>26</v>
      </c>
      <c r="X199" t="s">
        <v>55</v>
      </c>
      <c r="Y199">
        <v>19</v>
      </c>
      <c r="Z199" t="str">
        <f t="shared" si="50"/>
        <v>Bad Employee</v>
      </c>
      <c r="AA199" t="b">
        <f t="shared" si="51"/>
        <v>0</v>
      </c>
      <c r="AB199" t="b">
        <f>OR(Y199&gt;20, T199&gt;6)</f>
        <v>0</v>
      </c>
      <c r="AC199" t="str">
        <f>IF(OR(Y199&gt;20,T199&gt;6), "Good employee", "Bad Employee")</f>
        <v>Bad Employee</v>
      </c>
      <c r="AD199" t="s">
        <v>56</v>
      </c>
      <c r="AE199" t="s">
        <v>59</v>
      </c>
      <c r="AF199">
        <v>7</v>
      </c>
      <c r="AG199">
        <v>2015</v>
      </c>
      <c r="AH199" t="s">
        <v>49</v>
      </c>
      <c r="AI199">
        <v>87</v>
      </c>
      <c r="AJ199">
        <v>2.1</v>
      </c>
    </row>
    <row r="200" spans="1:36" x14ac:dyDescent="0.25">
      <c r="A200">
        <v>10199</v>
      </c>
      <c r="B200" t="s">
        <v>38</v>
      </c>
      <c r="C200" t="s">
        <v>22</v>
      </c>
      <c r="D200" t="s">
        <v>52</v>
      </c>
      <c r="E200" t="str">
        <f t="shared" si="39"/>
        <v>Chris Williams is in Operations Department</v>
      </c>
      <c r="F200" s="6" t="str">
        <f t="shared" si="40"/>
        <v>chriswilliams@gmail.com</v>
      </c>
      <c r="G200">
        <v>92751</v>
      </c>
      <c r="H200" t="str">
        <f t="shared" si="41"/>
        <v>High</v>
      </c>
      <c r="I200" s="3">
        <v>39355</v>
      </c>
      <c r="J200">
        <f t="shared" si="42"/>
        <v>2007</v>
      </c>
      <c r="K200">
        <f t="shared" si="43"/>
        <v>9</v>
      </c>
      <c r="L200">
        <f t="shared" si="44"/>
        <v>30</v>
      </c>
      <c r="M200" s="3">
        <f t="shared" ca="1" si="45"/>
        <v>46100</v>
      </c>
      <c r="N200">
        <f t="shared" ca="1" si="46"/>
        <v>6745</v>
      </c>
      <c r="O200">
        <f t="shared" ca="1" si="47"/>
        <v>6745</v>
      </c>
      <c r="P200">
        <f t="shared" ca="1" si="48"/>
        <v>4819</v>
      </c>
      <c r="Q200">
        <v>35</v>
      </c>
      <c r="R200" t="str">
        <f t="shared" si="49"/>
        <v>Old</v>
      </c>
      <c r="S200" t="s">
        <v>24</v>
      </c>
      <c r="T200">
        <v>6</v>
      </c>
      <c r="U200" t="s">
        <v>45</v>
      </c>
      <c r="V200">
        <v>5692.47</v>
      </c>
      <c r="W200" t="s">
        <v>26</v>
      </c>
      <c r="X200" t="s">
        <v>27</v>
      </c>
      <c r="Y200">
        <v>21</v>
      </c>
      <c r="Z200" t="str">
        <f t="shared" si="50"/>
        <v>Bad Employee</v>
      </c>
      <c r="AA200" t="b">
        <f t="shared" si="51"/>
        <v>0</v>
      </c>
      <c r="AB200" t="b">
        <f>OR(Y200&gt;20, T200&gt;6)</f>
        <v>1</v>
      </c>
      <c r="AC200" t="str">
        <f>IF(OR(Y200&gt;20,T200&gt;6), "Good employee", "Bad Employee")</f>
        <v>Good employee</v>
      </c>
      <c r="AD200" t="s">
        <v>41</v>
      </c>
      <c r="AE200" t="s">
        <v>62</v>
      </c>
      <c r="AF200">
        <v>13</v>
      </c>
      <c r="AG200">
        <v>2018</v>
      </c>
      <c r="AH200" t="s">
        <v>49</v>
      </c>
      <c r="AI200">
        <v>140</v>
      </c>
      <c r="AJ200">
        <v>3.9</v>
      </c>
    </row>
    <row r="201" spans="1:36" x14ac:dyDescent="0.25">
      <c r="A201">
        <v>10200</v>
      </c>
      <c r="B201" t="s">
        <v>50</v>
      </c>
      <c r="C201" t="s">
        <v>22</v>
      </c>
      <c r="D201" t="s">
        <v>54</v>
      </c>
      <c r="E201" t="str">
        <f t="shared" si="39"/>
        <v>Alex Williams is in Finance Department</v>
      </c>
      <c r="F201" s="6" t="str">
        <f t="shared" si="40"/>
        <v>alexwilliams@gmail.com</v>
      </c>
      <c r="G201">
        <v>57452</v>
      </c>
      <c r="H201" t="str">
        <f t="shared" si="41"/>
        <v>Medium</v>
      </c>
      <c r="I201" s="3">
        <v>40399</v>
      </c>
      <c r="J201">
        <f t="shared" si="42"/>
        <v>2010</v>
      </c>
      <c r="K201">
        <f t="shared" si="43"/>
        <v>8</v>
      </c>
      <c r="L201">
        <f t="shared" si="44"/>
        <v>9</v>
      </c>
      <c r="M201" s="3">
        <f t="shared" ca="1" si="45"/>
        <v>46100</v>
      </c>
      <c r="N201">
        <f t="shared" ca="1" si="46"/>
        <v>5701</v>
      </c>
      <c r="O201">
        <f t="shared" ca="1" si="47"/>
        <v>5701</v>
      </c>
      <c r="P201">
        <f t="shared" ca="1" si="48"/>
        <v>4074</v>
      </c>
      <c r="Q201">
        <v>60</v>
      </c>
      <c r="R201" t="str">
        <f t="shared" si="49"/>
        <v>Old</v>
      </c>
      <c r="S201" t="s">
        <v>34</v>
      </c>
      <c r="T201">
        <v>3</v>
      </c>
      <c r="U201" t="s">
        <v>45</v>
      </c>
      <c r="V201">
        <v>9827.0499999999993</v>
      </c>
      <c r="W201" t="s">
        <v>58</v>
      </c>
      <c r="X201" t="s">
        <v>27</v>
      </c>
      <c r="Y201">
        <v>32</v>
      </c>
      <c r="Z201" t="str">
        <f t="shared" si="50"/>
        <v>Bad Employee</v>
      </c>
      <c r="AA201" t="b">
        <f t="shared" si="51"/>
        <v>0</v>
      </c>
      <c r="AB201" t="b">
        <f>OR(Y201&gt;20, T201&gt;6)</f>
        <v>1</v>
      </c>
      <c r="AC201" t="str">
        <f>IF(OR(Y201&gt;20,T201&gt;6), "Good employee", "Bad Employee")</f>
        <v>Good employee</v>
      </c>
      <c r="AD201" t="s">
        <v>41</v>
      </c>
      <c r="AE201" t="s">
        <v>59</v>
      </c>
      <c r="AF201">
        <v>5</v>
      </c>
      <c r="AG201">
        <v>2015</v>
      </c>
      <c r="AH201" t="s">
        <v>43</v>
      </c>
      <c r="AI201">
        <v>145</v>
      </c>
      <c r="AJ201">
        <v>4.0999999999999996</v>
      </c>
    </row>
    <row r="202" spans="1:36" x14ac:dyDescent="0.25">
      <c r="A202">
        <v>10201</v>
      </c>
      <c r="B202" t="s">
        <v>21</v>
      </c>
      <c r="C202" t="s">
        <v>61</v>
      </c>
      <c r="D202" t="s">
        <v>23</v>
      </c>
      <c r="E202" t="str">
        <f t="shared" si="39"/>
        <v>Michael Smith is in HR Department</v>
      </c>
      <c r="F202" s="6" t="str">
        <f t="shared" si="40"/>
        <v>michaelsmith@gmail.com</v>
      </c>
      <c r="G202">
        <v>52725</v>
      </c>
      <c r="H202" t="str">
        <f t="shared" si="41"/>
        <v>Medium</v>
      </c>
      <c r="I202" s="3">
        <v>36573</v>
      </c>
      <c r="J202">
        <f t="shared" si="42"/>
        <v>2000</v>
      </c>
      <c r="K202">
        <f t="shared" si="43"/>
        <v>2</v>
      </c>
      <c r="L202">
        <f t="shared" si="44"/>
        <v>17</v>
      </c>
      <c r="M202" s="3">
        <f t="shared" ca="1" si="45"/>
        <v>46100</v>
      </c>
      <c r="N202">
        <f t="shared" ca="1" si="46"/>
        <v>9527</v>
      </c>
      <c r="O202">
        <f t="shared" ca="1" si="47"/>
        <v>9527</v>
      </c>
      <c r="P202">
        <f t="shared" ca="1" si="48"/>
        <v>6806</v>
      </c>
      <c r="Q202">
        <v>26</v>
      </c>
      <c r="R202" t="str">
        <f t="shared" si="49"/>
        <v>Young</v>
      </c>
      <c r="S202" t="s">
        <v>34</v>
      </c>
      <c r="T202">
        <v>4</v>
      </c>
      <c r="U202" t="s">
        <v>45</v>
      </c>
      <c r="V202">
        <v>8436.36</v>
      </c>
      <c r="W202" t="s">
        <v>58</v>
      </c>
      <c r="X202" t="s">
        <v>40</v>
      </c>
      <c r="Y202">
        <v>28</v>
      </c>
      <c r="Z202" t="str">
        <f t="shared" si="50"/>
        <v>Bad Employee</v>
      </c>
      <c r="AA202" t="b">
        <f t="shared" si="51"/>
        <v>0</v>
      </c>
      <c r="AB202" t="b">
        <f>OR(Y202&gt;20, T202&gt;6)</f>
        <v>1</v>
      </c>
      <c r="AC202" t="str">
        <f>IF(OR(Y202&gt;20,T202&gt;6), "Good employee", "Bad Employee")</f>
        <v>Good employee</v>
      </c>
      <c r="AD202" t="s">
        <v>28</v>
      </c>
      <c r="AE202" t="s">
        <v>29</v>
      </c>
      <c r="AF202">
        <v>14</v>
      </c>
      <c r="AG202">
        <v>2015</v>
      </c>
      <c r="AH202" t="s">
        <v>49</v>
      </c>
      <c r="AI202">
        <v>173</v>
      </c>
      <c r="AJ202">
        <v>3.1</v>
      </c>
    </row>
    <row r="203" spans="1:36" x14ac:dyDescent="0.25">
      <c r="A203">
        <v>10202</v>
      </c>
      <c r="B203" t="s">
        <v>53</v>
      </c>
      <c r="C203" t="s">
        <v>22</v>
      </c>
      <c r="D203" t="s">
        <v>23</v>
      </c>
      <c r="E203" t="str">
        <f t="shared" si="39"/>
        <v>Sarah Williams is in HR Department</v>
      </c>
      <c r="F203" s="6" t="str">
        <f t="shared" si="40"/>
        <v>sarahwilliams@gmail.com</v>
      </c>
      <c r="G203">
        <v>80391</v>
      </c>
      <c r="H203" t="str">
        <f t="shared" si="41"/>
        <v>High</v>
      </c>
      <c r="I203" s="3">
        <v>38890</v>
      </c>
      <c r="J203">
        <f t="shared" si="42"/>
        <v>2006</v>
      </c>
      <c r="K203">
        <f t="shared" si="43"/>
        <v>6</v>
      </c>
      <c r="L203">
        <f t="shared" si="44"/>
        <v>22</v>
      </c>
      <c r="M203" s="3">
        <f t="shared" ca="1" si="45"/>
        <v>46100</v>
      </c>
      <c r="N203">
        <f t="shared" ca="1" si="46"/>
        <v>7210</v>
      </c>
      <c r="O203">
        <f t="shared" ca="1" si="47"/>
        <v>7210</v>
      </c>
      <c r="P203">
        <f t="shared" ca="1" si="48"/>
        <v>5151</v>
      </c>
      <c r="Q203">
        <v>47</v>
      </c>
      <c r="R203" t="str">
        <f t="shared" si="49"/>
        <v>Old</v>
      </c>
      <c r="S203" t="s">
        <v>24</v>
      </c>
      <c r="T203">
        <v>9</v>
      </c>
      <c r="U203" t="s">
        <v>45</v>
      </c>
      <c r="V203">
        <v>4424.78</v>
      </c>
      <c r="W203" t="s">
        <v>46</v>
      </c>
      <c r="X203" t="s">
        <v>27</v>
      </c>
      <c r="Y203">
        <v>39</v>
      </c>
      <c r="Z203" t="str">
        <f t="shared" si="50"/>
        <v>Good Employee</v>
      </c>
      <c r="AA203" t="b">
        <f t="shared" si="51"/>
        <v>1</v>
      </c>
      <c r="AB203" t="b">
        <f>OR(Y203&gt;20, T203&gt;6)</f>
        <v>1</v>
      </c>
      <c r="AC203" t="str">
        <f>IF(OR(Y203&gt;20,T203&gt;6), "Good employee", "Bad Employee")</f>
        <v>Good employee</v>
      </c>
      <c r="AD203" t="s">
        <v>56</v>
      </c>
      <c r="AE203" t="s">
        <v>48</v>
      </c>
      <c r="AF203">
        <v>19</v>
      </c>
      <c r="AG203">
        <v>2020</v>
      </c>
      <c r="AH203" t="s">
        <v>43</v>
      </c>
      <c r="AI203">
        <v>21</v>
      </c>
      <c r="AJ203">
        <v>1.5</v>
      </c>
    </row>
    <row r="204" spans="1:36" x14ac:dyDescent="0.25">
      <c r="A204">
        <v>10203</v>
      </c>
      <c r="B204" t="s">
        <v>21</v>
      </c>
      <c r="C204" t="s">
        <v>65</v>
      </c>
      <c r="D204" t="s">
        <v>44</v>
      </c>
      <c r="E204" t="str">
        <f t="shared" si="39"/>
        <v>Michael Johnson is in Sales Department</v>
      </c>
      <c r="F204" s="6" t="str">
        <f t="shared" si="40"/>
        <v>michaeljohnson@gmail.com</v>
      </c>
      <c r="G204">
        <v>105060</v>
      </c>
      <c r="H204" t="str">
        <f t="shared" si="41"/>
        <v>High</v>
      </c>
      <c r="I204" s="3">
        <v>38782</v>
      </c>
      <c r="J204">
        <f t="shared" si="42"/>
        <v>2006</v>
      </c>
      <c r="K204">
        <f t="shared" si="43"/>
        <v>3</v>
      </c>
      <c r="L204">
        <f t="shared" si="44"/>
        <v>6</v>
      </c>
      <c r="M204" s="3">
        <f t="shared" ca="1" si="45"/>
        <v>46100</v>
      </c>
      <c r="N204">
        <f t="shared" ca="1" si="46"/>
        <v>7318</v>
      </c>
      <c r="O204">
        <f t="shared" ca="1" si="47"/>
        <v>7318</v>
      </c>
      <c r="P204">
        <f t="shared" ca="1" si="48"/>
        <v>5229</v>
      </c>
      <c r="Q204">
        <v>38</v>
      </c>
      <c r="R204" t="str">
        <f t="shared" si="49"/>
        <v>Old</v>
      </c>
      <c r="S204" t="s">
        <v>34</v>
      </c>
      <c r="T204">
        <v>9</v>
      </c>
      <c r="U204" t="s">
        <v>45</v>
      </c>
      <c r="V204">
        <v>6355.92</v>
      </c>
      <c r="W204" t="s">
        <v>26</v>
      </c>
      <c r="X204" t="s">
        <v>47</v>
      </c>
      <c r="Y204">
        <v>12</v>
      </c>
      <c r="Z204" t="str">
        <f t="shared" si="50"/>
        <v>Bad Employee</v>
      </c>
      <c r="AA204" t="b">
        <f t="shared" si="51"/>
        <v>0</v>
      </c>
      <c r="AB204" t="b">
        <f>OR(Y204&gt;20, T204&gt;6)</f>
        <v>1</v>
      </c>
      <c r="AC204" t="str">
        <f>IF(OR(Y204&gt;20,T204&gt;6), "Good employee", "Bad Employee")</f>
        <v>Good employee</v>
      </c>
      <c r="AD204" t="s">
        <v>56</v>
      </c>
      <c r="AE204" t="s">
        <v>62</v>
      </c>
      <c r="AF204">
        <v>8</v>
      </c>
      <c r="AG204">
        <v>2020</v>
      </c>
      <c r="AH204" t="s">
        <v>30</v>
      </c>
      <c r="AI204">
        <v>36</v>
      </c>
      <c r="AJ204">
        <v>4.7</v>
      </c>
    </row>
    <row r="205" spans="1:36" x14ac:dyDescent="0.25">
      <c r="A205">
        <v>10204</v>
      </c>
      <c r="B205" t="s">
        <v>66</v>
      </c>
      <c r="C205" t="s">
        <v>51</v>
      </c>
      <c r="D205" t="s">
        <v>52</v>
      </c>
      <c r="E205" t="str">
        <f t="shared" si="39"/>
        <v>John Brown is in Operations Department</v>
      </c>
      <c r="F205" s="6" t="str">
        <f t="shared" si="40"/>
        <v>johnbrown@gmail.com</v>
      </c>
      <c r="G205">
        <v>41698</v>
      </c>
      <c r="H205" t="str">
        <f t="shared" si="41"/>
        <v>low</v>
      </c>
      <c r="I205" s="3">
        <v>42192</v>
      </c>
      <c r="J205">
        <f t="shared" si="42"/>
        <v>2015</v>
      </c>
      <c r="K205">
        <f t="shared" si="43"/>
        <v>7</v>
      </c>
      <c r="L205">
        <f t="shared" si="44"/>
        <v>7</v>
      </c>
      <c r="M205" s="3">
        <f t="shared" ca="1" si="45"/>
        <v>46100</v>
      </c>
      <c r="N205">
        <f t="shared" ca="1" si="46"/>
        <v>3908</v>
      </c>
      <c r="O205">
        <f t="shared" ca="1" si="47"/>
        <v>3908</v>
      </c>
      <c r="P205">
        <f t="shared" ca="1" si="48"/>
        <v>2793</v>
      </c>
      <c r="Q205">
        <v>64</v>
      </c>
      <c r="R205" t="str">
        <f t="shared" si="49"/>
        <v>Old</v>
      </c>
      <c r="S205" t="s">
        <v>34</v>
      </c>
      <c r="T205">
        <v>5</v>
      </c>
      <c r="U205" t="s">
        <v>25</v>
      </c>
      <c r="V205">
        <v>1614.25</v>
      </c>
      <c r="W205" t="s">
        <v>35</v>
      </c>
      <c r="X205" t="s">
        <v>47</v>
      </c>
      <c r="Y205">
        <v>15</v>
      </c>
      <c r="Z205" t="str">
        <f t="shared" si="50"/>
        <v>Bad Employee</v>
      </c>
      <c r="AA205" t="b">
        <f t="shared" si="51"/>
        <v>0</v>
      </c>
      <c r="AB205" t="b">
        <f>OR(Y205&gt;20, T205&gt;6)</f>
        <v>0</v>
      </c>
      <c r="AC205" t="str">
        <f>IF(OR(Y205&gt;20,T205&gt;6), "Good employee", "Bad Employee")</f>
        <v>Bad Employee</v>
      </c>
      <c r="AD205" t="s">
        <v>56</v>
      </c>
      <c r="AE205" t="s">
        <v>42</v>
      </c>
      <c r="AF205">
        <v>4</v>
      </c>
      <c r="AG205">
        <v>2017</v>
      </c>
      <c r="AH205" t="s">
        <v>43</v>
      </c>
      <c r="AI205">
        <v>9</v>
      </c>
      <c r="AJ205">
        <v>4.4000000000000004</v>
      </c>
    </row>
    <row r="206" spans="1:36" x14ac:dyDescent="0.25">
      <c r="A206">
        <v>10205</v>
      </c>
      <c r="B206" t="s">
        <v>31</v>
      </c>
      <c r="C206" t="s">
        <v>51</v>
      </c>
      <c r="D206" t="s">
        <v>39</v>
      </c>
      <c r="E206" t="str">
        <f t="shared" si="39"/>
        <v>Emily Brown is in IT Department</v>
      </c>
      <c r="F206" s="6" t="str">
        <f t="shared" si="40"/>
        <v>emilybrown@gmail.com</v>
      </c>
      <c r="G206">
        <v>116711</v>
      </c>
      <c r="H206" t="str">
        <f t="shared" si="41"/>
        <v>High</v>
      </c>
      <c r="I206" s="3">
        <v>43812</v>
      </c>
      <c r="J206">
        <f t="shared" si="42"/>
        <v>2019</v>
      </c>
      <c r="K206">
        <f t="shared" si="43"/>
        <v>12</v>
      </c>
      <c r="L206">
        <f t="shared" si="44"/>
        <v>13</v>
      </c>
      <c r="M206" s="3">
        <f t="shared" ca="1" si="45"/>
        <v>46100</v>
      </c>
      <c r="N206">
        <f t="shared" ca="1" si="46"/>
        <v>2288</v>
      </c>
      <c r="O206">
        <f t="shared" ca="1" si="47"/>
        <v>2288</v>
      </c>
      <c r="P206">
        <f t="shared" ca="1" si="48"/>
        <v>1635</v>
      </c>
      <c r="Q206">
        <v>37</v>
      </c>
      <c r="R206" t="str">
        <f t="shared" si="49"/>
        <v>Old</v>
      </c>
      <c r="S206" t="s">
        <v>34</v>
      </c>
      <c r="T206">
        <v>7</v>
      </c>
      <c r="U206" t="s">
        <v>45</v>
      </c>
      <c r="V206">
        <v>4170.67</v>
      </c>
      <c r="W206" t="s">
        <v>46</v>
      </c>
      <c r="X206" t="s">
        <v>36</v>
      </c>
      <c r="Y206">
        <v>28</v>
      </c>
      <c r="Z206" t="str">
        <f t="shared" si="50"/>
        <v>Good Employee</v>
      </c>
      <c r="AA206" t="b">
        <f t="shared" si="51"/>
        <v>1</v>
      </c>
      <c r="AB206" t="b">
        <f>OR(Y206&gt;20, T206&gt;6)</f>
        <v>1</v>
      </c>
      <c r="AC206" t="str">
        <f>IF(OR(Y206&gt;20,T206&gt;6), "Good employee", "Bad Employee")</f>
        <v>Good employee</v>
      </c>
      <c r="AD206" t="s">
        <v>28</v>
      </c>
      <c r="AE206" t="s">
        <v>62</v>
      </c>
      <c r="AF206">
        <v>12</v>
      </c>
      <c r="AG206">
        <v>2014</v>
      </c>
      <c r="AH206" t="s">
        <v>30</v>
      </c>
      <c r="AI206">
        <v>130</v>
      </c>
      <c r="AJ206">
        <v>1.6</v>
      </c>
    </row>
    <row r="207" spans="1:36" x14ac:dyDescent="0.25">
      <c r="A207">
        <v>10206</v>
      </c>
      <c r="B207" t="s">
        <v>38</v>
      </c>
      <c r="C207" t="s">
        <v>51</v>
      </c>
      <c r="D207" t="s">
        <v>39</v>
      </c>
      <c r="E207" t="str">
        <f t="shared" si="39"/>
        <v>Chris Brown is in IT Department</v>
      </c>
      <c r="F207" s="6" t="str">
        <f t="shared" si="40"/>
        <v>chrisbrown@gmail.com</v>
      </c>
      <c r="G207">
        <v>107850</v>
      </c>
      <c r="H207" t="str">
        <f t="shared" si="41"/>
        <v>High</v>
      </c>
      <c r="I207" s="3">
        <v>41198</v>
      </c>
      <c r="J207">
        <f t="shared" si="42"/>
        <v>2012</v>
      </c>
      <c r="K207">
        <f t="shared" si="43"/>
        <v>10</v>
      </c>
      <c r="L207">
        <f t="shared" si="44"/>
        <v>16</v>
      </c>
      <c r="M207" s="3">
        <f t="shared" ca="1" si="45"/>
        <v>46100</v>
      </c>
      <c r="N207">
        <f t="shared" ca="1" si="46"/>
        <v>4902</v>
      </c>
      <c r="O207">
        <f t="shared" ca="1" si="47"/>
        <v>4902</v>
      </c>
      <c r="P207">
        <f t="shared" ca="1" si="48"/>
        <v>3503</v>
      </c>
      <c r="Q207">
        <v>56</v>
      </c>
      <c r="R207" t="str">
        <f t="shared" si="49"/>
        <v>Old</v>
      </c>
      <c r="S207" t="s">
        <v>34</v>
      </c>
      <c r="T207">
        <v>9</v>
      </c>
      <c r="U207" t="s">
        <v>45</v>
      </c>
      <c r="V207">
        <v>7471.93</v>
      </c>
      <c r="W207" t="s">
        <v>58</v>
      </c>
      <c r="X207" t="s">
        <v>27</v>
      </c>
      <c r="Y207">
        <v>21</v>
      </c>
      <c r="Z207" t="str">
        <f t="shared" si="50"/>
        <v>Good Employee</v>
      </c>
      <c r="AA207" t="b">
        <f t="shared" si="51"/>
        <v>1</v>
      </c>
      <c r="AB207" t="b">
        <f>OR(Y207&gt;20, T207&gt;6)</f>
        <v>1</v>
      </c>
      <c r="AC207" t="str">
        <f>IF(OR(Y207&gt;20,T207&gt;6), "Good employee", "Bad Employee")</f>
        <v>Good employee</v>
      </c>
      <c r="AD207" t="s">
        <v>56</v>
      </c>
      <c r="AE207" t="s">
        <v>59</v>
      </c>
      <c r="AF207">
        <v>6</v>
      </c>
      <c r="AG207">
        <v>2014</v>
      </c>
      <c r="AH207" t="s">
        <v>43</v>
      </c>
      <c r="AI207">
        <v>141</v>
      </c>
      <c r="AJ207">
        <v>1.2</v>
      </c>
    </row>
    <row r="208" spans="1:36" x14ac:dyDescent="0.25">
      <c r="A208">
        <v>10207</v>
      </c>
      <c r="B208" t="s">
        <v>53</v>
      </c>
      <c r="C208" t="s">
        <v>65</v>
      </c>
      <c r="D208" t="s">
        <v>52</v>
      </c>
      <c r="E208" t="str">
        <f t="shared" si="39"/>
        <v>Sarah Johnson is in Operations Department</v>
      </c>
      <c r="F208" s="6" t="str">
        <f t="shared" si="40"/>
        <v>sarahjohnson@gmail.com</v>
      </c>
      <c r="G208">
        <v>32365</v>
      </c>
      <c r="H208" t="str">
        <f t="shared" si="41"/>
        <v>extremely low</v>
      </c>
      <c r="I208" s="3">
        <v>42984</v>
      </c>
      <c r="J208">
        <f t="shared" si="42"/>
        <v>2017</v>
      </c>
      <c r="K208">
        <f t="shared" si="43"/>
        <v>9</v>
      </c>
      <c r="L208">
        <f t="shared" si="44"/>
        <v>6</v>
      </c>
      <c r="M208" s="3">
        <f t="shared" ca="1" si="45"/>
        <v>46100</v>
      </c>
      <c r="N208">
        <f t="shared" ca="1" si="46"/>
        <v>3116</v>
      </c>
      <c r="O208">
        <f t="shared" ca="1" si="47"/>
        <v>3116</v>
      </c>
      <c r="P208">
        <f t="shared" ca="1" si="48"/>
        <v>2227</v>
      </c>
      <c r="Q208">
        <v>59</v>
      </c>
      <c r="R208" t="str">
        <f t="shared" si="49"/>
        <v>Old</v>
      </c>
      <c r="S208" t="s">
        <v>34</v>
      </c>
      <c r="T208">
        <v>8</v>
      </c>
      <c r="U208" t="s">
        <v>25</v>
      </c>
      <c r="V208">
        <v>6415.38</v>
      </c>
      <c r="W208" t="s">
        <v>58</v>
      </c>
      <c r="X208" t="s">
        <v>36</v>
      </c>
      <c r="Y208">
        <v>16</v>
      </c>
      <c r="Z208" t="str">
        <f t="shared" si="50"/>
        <v>Bad Employee</v>
      </c>
      <c r="AA208" t="b">
        <f t="shared" si="51"/>
        <v>0</v>
      </c>
      <c r="AB208" t="b">
        <f>OR(Y208&gt;20, T208&gt;6)</f>
        <v>1</v>
      </c>
      <c r="AC208" t="str">
        <f>IF(OR(Y208&gt;20,T208&gt;6), "Good employee", "Bad Employee")</f>
        <v>Good employee</v>
      </c>
      <c r="AD208" t="s">
        <v>56</v>
      </c>
      <c r="AE208" t="s">
        <v>62</v>
      </c>
      <c r="AF208">
        <v>16</v>
      </c>
      <c r="AG208">
        <v>2019</v>
      </c>
      <c r="AH208" t="s">
        <v>30</v>
      </c>
      <c r="AI208">
        <v>111</v>
      </c>
      <c r="AJ208">
        <v>3.1</v>
      </c>
    </row>
    <row r="209" spans="1:36" x14ac:dyDescent="0.25">
      <c r="A209">
        <v>10208</v>
      </c>
      <c r="B209" t="s">
        <v>31</v>
      </c>
      <c r="C209" t="s">
        <v>32</v>
      </c>
      <c r="D209" t="s">
        <v>54</v>
      </c>
      <c r="E209" t="str">
        <f t="shared" si="39"/>
        <v>Emily Wilson is in Finance Department</v>
      </c>
      <c r="F209" s="6" t="str">
        <f t="shared" si="40"/>
        <v>emilywilson@gmail.com</v>
      </c>
      <c r="G209">
        <v>73372</v>
      </c>
      <c r="H209" t="str">
        <f t="shared" si="41"/>
        <v>Medium</v>
      </c>
      <c r="I209" s="3">
        <v>37279</v>
      </c>
      <c r="J209">
        <f t="shared" si="42"/>
        <v>2002</v>
      </c>
      <c r="K209">
        <f t="shared" si="43"/>
        <v>1</v>
      </c>
      <c r="L209">
        <f t="shared" si="44"/>
        <v>23</v>
      </c>
      <c r="M209" s="3">
        <f t="shared" ca="1" si="45"/>
        <v>46100</v>
      </c>
      <c r="N209">
        <f t="shared" ca="1" si="46"/>
        <v>8821</v>
      </c>
      <c r="O209">
        <f t="shared" ca="1" si="47"/>
        <v>8821</v>
      </c>
      <c r="P209">
        <f t="shared" ca="1" si="48"/>
        <v>6302</v>
      </c>
      <c r="Q209">
        <v>44</v>
      </c>
      <c r="R209" t="str">
        <f t="shared" si="49"/>
        <v>Old</v>
      </c>
      <c r="S209" t="s">
        <v>34</v>
      </c>
      <c r="T209">
        <v>7</v>
      </c>
      <c r="U209" t="s">
        <v>25</v>
      </c>
      <c r="V209">
        <v>5102.4799999999996</v>
      </c>
      <c r="W209" t="s">
        <v>46</v>
      </c>
      <c r="X209" t="s">
        <v>55</v>
      </c>
      <c r="Y209">
        <v>23</v>
      </c>
      <c r="Z209" t="str">
        <f t="shared" si="50"/>
        <v>Good Employee</v>
      </c>
      <c r="AA209" t="b">
        <f t="shared" si="51"/>
        <v>1</v>
      </c>
      <c r="AB209" t="b">
        <f>OR(Y209&gt;20, T209&gt;6)</f>
        <v>1</v>
      </c>
      <c r="AC209" t="str">
        <f>IF(OR(Y209&gt;20,T209&gt;6), "Good employee", "Bad Employee")</f>
        <v>Good employee</v>
      </c>
      <c r="AD209" t="s">
        <v>41</v>
      </c>
      <c r="AE209" t="s">
        <v>29</v>
      </c>
      <c r="AF209">
        <v>7</v>
      </c>
      <c r="AG209">
        <v>2022</v>
      </c>
      <c r="AH209" t="s">
        <v>49</v>
      </c>
      <c r="AI209">
        <v>166</v>
      </c>
      <c r="AJ209">
        <v>2.1</v>
      </c>
    </row>
    <row r="210" spans="1:36" x14ac:dyDescent="0.25">
      <c r="A210">
        <v>10209</v>
      </c>
      <c r="B210" t="s">
        <v>64</v>
      </c>
      <c r="C210" t="s">
        <v>22</v>
      </c>
      <c r="D210" t="s">
        <v>39</v>
      </c>
      <c r="E210" t="str">
        <f t="shared" si="39"/>
        <v>Katie Williams is in IT Department</v>
      </c>
      <c r="F210" s="6" t="str">
        <f t="shared" si="40"/>
        <v>katiewilliams@gmail.com</v>
      </c>
      <c r="G210">
        <v>74134</v>
      </c>
      <c r="H210" t="str">
        <f t="shared" si="41"/>
        <v>Medium</v>
      </c>
      <c r="I210" s="3">
        <v>41681</v>
      </c>
      <c r="J210">
        <f t="shared" si="42"/>
        <v>2014</v>
      </c>
      <c r="K210">
        <f t="shared" si="43"/>
        <v>2</v>
      </c>
      <c r="L210">
        <f t="shared" si="44"/>
        <v>11</v>
      </c>
      <c r="M210" s="3">
        <f t="shared" ca="1" si="45"/>
        <v>46100</v>
      </c>
      <c r="N210">
        <f t="shared" ca="1" si="46"/>
        <v>4419</v>
      </c>
      <c r="O210">
        <f t="shared" ca="1" si="47"/>
        <v>4419</v>
      </c>
      <c r="P210">
        <f t="shared" ca="1" si="48"/>
        <v>3158</v>
      </c>
      <c r="Q210">
        <v>34</v>
      </c>
      <c r="R210" t="str">
        <f t="shared" si="49"/>
        <v>Old</v>
      </c>
      <c r="S210" t="s">
        <v>24</v>
      </c>
      <c r="T210">
        <v>8</v>
      </c>
      <c r="U210" t="s">
        <v>45</v>
      </c>
      <c r="V210">
        <v>2177.0300000000002</v>
      </c>
      <c r="W210" t="s">
        <v>35</v>
      </c>
      <c r="X210" t="s">
        <v>55</v>
      </c>
      <c r="Y210">
        <v>26</v>
      </c>
      <c r="Z210" t="str">
        <f t="shared" si="50"/>
        <v>Good Employee</v>
      </c>
      <c r="AA210" t="b">
        <f t="shared" si="51"/>
        <v>1</v>
      </c>
      <c r="AB210" t="b">
        <f>OR(Y210&gt;20, T210&gt;6)</f>
        <v>1</v>
      </c>
      <c r="AC210" t="str">
        <f>IF(OR(Y210&gt;20,T210&gt;6), "Good employee", "Bad Employee")</f>
        <v>Good employee</v>
      </c>
      <c r="AD210" t="s">
        <v>28</v>
      </c>
      <c r="AE210" t="s">
        <v>59</v>
      </c>
      <c r="AF210">
        <v>4</v>
      </c>
      <c r="AG210">
        <v>2020</v>
      </c>
      <c r="AH210" t="s">
        <v>43</v>
      </c>
      <c r="AI210">
        <v>5</v>
      </c>
      <c r="AJ210">
        <v>2.1</v>
      </c>
    </row>
    <row r="211" spans="1:36" x14ac:dyDescent="0.25">
      <c r="A211">
        <v>10210</v>
      </c>
      <c r="B211" t="s">
        <v>38</v>
      </c>
      <c r="C211" t="s">
        <v>57</v>
      </c>
      <c r="D211" t="s">
        <v>44</v>
      </c>
      <c r="E211" t="str">
        <f t="shared" si="39"/>
        <v>Chris Davis is in Sales Department</v>
      </c>
      <c r="F211" s="6" t="str">
        <f t="shared" si="40"/>
        <v>chrisdavis@gmail.com</v>
      </c>
      <c r="G211">
        <v>67823</v>
      </c>
      <c r="H211" t="str">
        <f t="shared" si="41"/>
        <v>Medium</v>
      </c>
      <c r="I211" s="3">
        <v>43584</v>
      </c>
      <c r="J211">
        <f t="shared" si="42"/>
        <v>2019</v>
      </c>
      <c r="K211">
        <f t="shared" si="43"/>
        <v>4</v>
      </c>
      <c r="L211">
        <f t="shared" si="44"/>
        <v>29</v>
      </c>
      <c r="M211" s="3">
        <f t="shared" ca="1" si="45"/>
        <v>46100</v>
      </c>
      <c r="N211">
        <f t="shared" ca="1" si="46"/>
        <v>2516</v>
      </c>
      <c r="O211">
        <f t="shared" ca="1" si="47"/>
        <v>2516</v>
      </c>
      <c r="P211">
        <f t="shared" ca="1" si="48"/>
        <v>1799</v>
      </c>
      <c r="Q211">
        <v>54</v>
      </c>
      <c r="R211" t="str">
        <f t="shared" si="49"/>
        <v>Old</v>
      </c>
      <c r="S211" t="s">
        <v>34</v>
      </c>
      <c r="T211">
        <v>5</v>
      </c>
      <c r="U211" t="s">
        <v>45</v>
      </c>
      <c r="V211">
        <v>8129.89</v>
      </c>
      <c r="W211" t="s">
        <v>26</v>
      </c>
      <c r="X211" t="s">
        <v>40</v>
      </c>
      <c r="Y211">
        <v>15</v>
      </c>
      <c r="Z211" t="str">
        <f t="shared" si="50"/>
        <v>Bad Employee</v>
      </c>
      <c r="AA211" t="b">
        <f t="shared" si="51"/>
        <v>0</v>
      </c>
      <c r="AB211" t="b">
        <f>OR(Y211&gt;20, T211&gt;6)</f>
        <v>0</v>
      </c>
      <c r="AC211" t="str">
        <f>IF(OR(Y211&gt;20,T211&gt;6), "Good employee", "Bad Employee")</f>
        <v>Bad Employee</v>
      </c>
      <c r="AD211" t="s">
        <v>28</v>
      </c>
      <c r="AE211" t="s">
        <v>37</v>
      </c>
      <c r="AF211">
        <v>6</v>
      </c>
      <c r="AG211">
        <v>2010</v>
      </c>
      <c r="AH211" t="s">
        <v>43</v>
      </c>
      <c r="AI211">
        <v>172</v>
      </c>
      <c r="AJ211">
        <v>1.3</v>
      </c>
    </row>
    <row r="212" spans="1:36" x14ac:dyDescent="0.25">
      <c r="A212">
        <v>10211</v>
      </c>
      <c r="B212" t="s">
        <v>21</v>
      </c>
      <c r="C212" t="s">
        <v>22</v>
      </c>
      <c r="D212" t="s">
        <v>52</v>
      </c>
      <c r="E212" t="str">
        <f t="shared" si="39"/>
        <v>Michael Williams is in Operations Department</v>
      </c>
      <c r="F212" s="6" t="str">
        <f t="shared" si="40"/>
        <v>michaelwilliams@gmail.com</v>
      </c>
      <c r="G212">
        <v>101158</v>
      </c>
      <c r="H212" t="str">
        <f t="shared" si="41"/>
        <v>High</v>
      </c>
      <c r="I212" s="3">
        <v>39328</v>
      </c>
      <c r="J212">
        <f t="shared" si="42"/>
        <v>2007</v>
      </c>
      <c r="K212">
        <f t="shared" si="43"/>
        <v>9</v>
      </c>
      <c r="L212">
        <f t="shared" si="44"/>
        <v>3</v>
      </c>
      <c r="M212" s="3">
        <f t="shared" ca="1" si="45"/>
        <v>46100</v>
      </c>
      <c r="N212">
        <f t="shared" ca="1" si="46"/>
        <v>6772</v>
      </c>
      <c r="O212">
        <f t="shared" ca="1" si="47"/>
        <v>6772</v>
      </c>
      <c r="P212">
        <f t="shared" ca="1" si="48"/>
        <v>4839</v>
      </c>
      <c r="Q212">
        <v>50</v>
      </c>
      <c r="R212" t="str">
        <f t="shared" si="49"/>
        <v>Old</v>
      </c>
      <c r="S212" t="s">
        <v>24</v>
      </c>
      <c r="T212">
        <v>5</v>
      </c>
      <c r="U212" t="s">
        <v>45</v>
      </c>
      <c r="V212">
        <v>3095.08</v>
      </c>
      <c r="W212" t="s">
        <v>26</v>
      </c>
      <c r="X212" t="s">
        <v>40</v>
      </c>
      <c r="Y212">
        <v>37</v>
      </c>
      <c r="Z212" t="str">
        <f t="shared" si="50"/>
        <v>Bad Employee</v>
      </c>
      <c r="AA212" t="b">
        <f t="shared" si="51"/>
        <v>0</v>
      </c>
      <c r="AB212" t="b">
        <f>OR(Y212&gt;20, T212&gt;6)</f>
        <v>1</v>
      </c>
      <c r="AC212" t="str">
        <f>IF(OR(Y212&gt;20,T212&gt;6), "Good employee", "Bad Employee")</f>
        <v>Good employee</v>
      </c>
      <c r="AD212" t="s">
        <v>28</v>
      </c>
      <c r="AE212" t="s">
        <v>42</v>
      </c>
      <c r="AF212">
        <v>7</v>
      </c>
      <c r="AG212">
        <v>2015</v>
      </c>
      <c r="AH212" t="s">
        <v>43</v>
      </c>
      <c r="AI212">
        <v>186</v>
      </c>
      <c r="AJ212">
        <v>4.8</v>
      </c>
    </row>
    <row r="213" spans="1:36" x14ac:dyDescent="0.25">
      <c r="A213">
        <v>10212</v>
      </c>
      <c r="B213" t="s">
        <v>21</v>
      </c>
      <c r="C213" t="s">
        <v>61</v>
      </c>
      <c r="D213" t="s">
        <v>54</v>
      </c>
      <c r="E213" t="str">
        <f t="shared" si="39"/>
        <v>Michael Smith is in Finance Department</v>
      </c>
      <c r="F213" s="6" t="str">
        <f t="shared" si="40"/>
        <v>michaelsmith@gmail.com</v>
      </c>
      <c r="G213">
        <v>31949</v>
      </c>
      <c r="H213" t="str">
        <f t="shared" si="41"/>
        <v>extremely low</v>
      </c>
      <c r="I213" s="3">
        <v>41175</v>
      </c>
      <c r="J213">
        <f t="shared" si="42"/>
        <v>2012</v>
      </c>
      <c r="K213">
        <f t="shared" si="43"/>
        <v>9</v>
      </c>
      <c r="L213">
        <f t="shared" si="44"/>
        <v>23</v>
      </c>
      <c r="M213" s="3">
        <f t="shared" ca="1" si="45"/>
        <v>46100</v>
      </c>
      <c r="N213">
        <f t="shared" ca="1" si="46"/>
        <v>4925</v>
      </c>
      <c r="O213">
        <f t="shared" ca="1" si="47"/>
        <v>4925</v>
      </c>
      <c r="P213">
        <f t="shared" ca="1" si="48"/>
        <v>3519</v>
      </c>
      <c r="Q213">
        <v>55</v>
      </c>
      <c r="R213" t="str">
        <f t="shared" si="49"/>
        <v>Old</v>
      </c>
      <c r="S213" t="s">
        <v>24</v>
      </c>
      <c r="T213">
        <v>5</v>
      </c>
      <c r="U213" t="s">
        <v>45</v>
      </c>
      <c r="V213">
        <v>8294.5499999999993</v>
      </c>
      <c r="W213" t="s">
        <v>35</v>
      </c>
      <c r="X213" t="s">
        <v>27</v>
      </c>
      <c r="Y213">
        <v>12</v>
      </c>
      <c r="Z213" t="str">
        <f t="shared" si="50"/>
        <v>Bad Employee</v>
      </c>
      <c r="AA213" t="b">
        <f t="shared" si="51"/>
        <v>0</v>
      </c>
      <c r="AB213" t="b">
        <f>OR(Y213&gt;20, T213&gt;6)</f>
        <v>0</v>
      </c>
      <c r="AC213" t="str">
        <f>IF(OR(Y213&gt;20,T213&gt;6), "Good employee", "Bad Employee")</f>
        <v>Bad Employee</v>
      </c>
      <c r="AD213" t="s">
        <v>56</v>
      </c>
      <c r="AE213" t="s">
        <v>42</v>
      </c>
      <c r="AF213">
        <v>6</v>
      </c>
      <c r="AG213">
        <v>2010</v>
      </c>
      <c r="AH213" t="s">
        <v>30</v>
      </c>
      <c r="AI213">
        <v>130</v>
      </c>
      <c r="AJ213">
        <v>4.3</v>
      </c>
    </row>
    <row r="214" spans="1:36" x14ac:dyDescent="0.25">
      <c r="A214">
        <v>10213</v>
      </c>
      <c r="B214" t="s">
        <v>38</v>
      </c>
      <c r="C214" t="s">
        <v>63</v>
      </c>
      <c r="D214" t="s">
        <v>54</v>
      </c>
      <c r="E214" t="str">
        <f t="shared" si="39"/>
        <v>Chris Miller is in Finance Department</v>
      </c>
      <c r="F214" s="6" t="str">
        <f t="shared" si="40"/>
        <v>chrismiller@gmail.com</v>
      </c>
      <c r="G214">
        <v>79396</v>
      </c>
      <c r="H214" t="str">
        <f t="shared" si="41"/>
        <v>Medium</v>
      </c>
      <c r="I214" s="3">
        <v>40178</v>
      </c>
      <c r="J214">
        <f t="shared" si="42"/>
        <v>2009</v>
      </c>
      <c r="K214">
        <f t="shared" si="43"/>
        <v>12</v>
      </c>
      <c r="L214">
        <f t="shared" si="44"/>
        <v>31</v>
      </c>
      <c r="M214" s="3">
        <f t="shared" ca="1" si="45"/>
        <v>46100</v>
      </c>
      <c r="N214">
        <f t="shared" ca="1" si="46"/>
        <v>5922</v>
      </c>
      <c r="O214">
        <f t="shared" ca="1" si="47"/>
        <v>5922</v>
      </c>
      <c r="P214">
        <f t="shared" ca="1" si="48"/>
        <v>4231</v>
      </c>
      <c r="Q214">
        <v>55</v>
      </c>
      <c r="R214" t="str">
        <f t="shared" si="49"/>
        <v>Old</v>
      </c>
      <c r="S214" t="s">
        <v>24</v>
      </c>
      <c r="T214">
        <v>1</v>
      </c>
      <c r="U214" t="s">
        <v>25</v>
      </c>
      <c r="V214">
        <v>6310.29</v>
      </c>
      <c r="W214" t="s">
        <v>26</v>
      </c>
      <c r="X214" t="s">
        <v>27</v>
      </c>
      <c r="Y214">
        <v>4</v>
      </c>
      <c r="Z214" t="str">
        <f t="shared" si="50"/>
        <v>Bad Employee</v>
      </c>
      <c r="AA214" t="b">
        <f t="shared" si="51"/>
        <v>0</v>
      </c>
      <c r="AB214" t="b">
        <f>OR(Y214&gt;20, T214&gt;6)</f>
        <v>0</v>
      </c>
      <c r="AC214" t="str">
        <f>IF(OR(Y214&gt;20,T214&gt;6), "Good employee", "Bad Employee")</f>
        <v>Bad Employee</v>
      </c>
      <c r="AD214" t="s">
        <v>56</v>
      </c>
      <c r="AE214" t="s">
        <v>59</v>
      </c>
      <c r="AF214">
        <v>11</v>
      </c>
      <c r="AG214">
        <v>2020</v>
      </c>
      <c r="AH214" t="s">
        <v>43</v>
      </c>
      <c r="AI214">
        <v>36</v>
      </c>
      <c r="AJ214">
        <v>1.5</v>
      </c>
    </row>
    <row r="215" spans="1:36" x14ac:dyDescent="0.25">
      <c r="A215">
        <v>10214</v>
      </c>
      <c r="B215" t="s">
        <v>21</v>
      </c>
      <c r="C215" t="s">
        <v>51</v>
      </c>
      <c r="D215" t="s">
        <v>33</v>
      </c>
      <c r="E215" t="str">
        <f t="shared" si="39"/>
        <v>Michael Brown is in Marketing Department</v>
      </c>
      <c r="F215" s="6" t="str">
        <f t="shared" si="40"/>
        <v>michaelbrown@gmail.com</v>
      </c>
      <c r="G215">
        <v>61912</v>
      </c>
      <c r="H215" t="str">
        <f t="shared" si="41"/>
        <v>Medium</v>
      </c>
      <c r="I215" s="3">
        <v>36928</v>
      </c>
      <c r="J215">
        <f t="shared" si="42"/>
        <v>2001</v>
      </c>
      <c r="K215">
        <f t="shared" si="43"/>
        <v>2</v>
      </c>
      <c r="L215">
        <f t="shared" si="44"/>
        <v>6</v>
      </c>
      <c r="M215" s="3">
        <f t="shared" ca="1" si="45"/>
        <v>46100</v>
      </c>
      <c r="N215">
        <f t="shared" ca="1" si="46"/>
        <v>9172</v>
      </c>
      <c r="O215">
        <f t="shared" ca="1" si="47"/>
        <v>9172</v>
      </c>
      <c r="P215">
        <f t="shared" ca="1" si="48"/>
        <v>6553</v>
      </c>
      <c r="Q215">
        <v>48</v>
      </c>
      <c r="R215" t="str">
        <f t="shared" si="49"/>
        <v>Old</v>
      </c>
      <c r="S215" t="s">
        <v>24</v>
      </c>
      <c r="T215">
        <v>6</v>
      </c>
      <c r="U215" t="s">
        <v>25</v>
      </c>
      <c r="V215">
        <v>4040.95</v>
      </c>
      <c r="W215" t="s">
        <v>58</v>
      </c>
      <c r="X215" t="s">
        <v>36</v>
      </c>
      <c r="Y215">
        <v>35</v>
      </c>
      <c r="Z215" t="str">
        <f t="shared" si="50"/>
        <v>Bad Employee</v>
      </c>
      <c r="AA215" t="b">
        <f t="shared" si="51"/>
        <v>0</v>
      </c>
      <c r="AB215" t="b">
        <f>OR(Y215&gt;20, T215&gt;6)</f>
        <v>1</v>
      </c>
      <c r="AC215" t="str">
        <f>IF(OR(Y215&gt;20,T215&gt;6), "Good employee", "Bad Employee")</f>
        <v>Good employee</v>
      </c>
      <c r="AD215" t="s">
        <v>41</v>
      </c>
      <c r="AE215" t="s">
        <v>37</v>
      </c>
      <c r="AF215">
        <v>5</v>
      </c>
      <c r="AG215">
        <v>2017</v>
      </c>
      <c r="AH215" t="s">
        <v>43</v>
      </c>
      <c r="AI215">
        <v>130</v>
      </c>
      <c r="AJ215">
        <v>4.5</v>
      </c>
    </row>
    <row r="216" spans="1:36" x14ac:dyDescent="0.25">
      <c r="A216">
        <v>10215</v>
      </c>
      <c r="B216" t="s">
        <v>50</v>
      </c>
      <c r="C216" t="s">
        <v>22</v>
      </c>
      <c r="D216" t="s">
        <v>54</v>
      </c>
      <c r="E216" t="str">
        <f t="shared" si="39"/>
        <v>Alex Williams is in Finance Department</v>
      </c>
      <c r="F216" s="6" t="str">
        <f t="shared" si="40"/>
        <v>alexwilliams@gmail.com</v>
      </c>
      <c r="G216">
        <v>86947</v>
      </c>
      <c r="H216" t="str">
        <f t="shared" si="41"/>
        <v>High</v>
      </c>
      <c r="I216" s="3">
        <v>41752</v>
      </c>
      <c r="J216">
        <f t="shared" si="42"/>
        <v>2014</v>
      </c>
      <c r="K216">
        <f t="shared" si="43"/>
        <v>4</v>
      </c>
      <c r="L216">
        <f t="shared" si="44"/>
        <v>23</v>
      </c>
      <c r="M216" s="3">
        <f t="shared" ca="1" si="45"/>
        <v>46100</v>
      </c>
      <c r="N216">
        <f t="shared" ca="1" si="46"/>
        <v>4348</v>
      </c>
      <c r="O216">
        <f t="shared" ca="1" si="47"/>
        <v>4348</v>
      </c>
      <c r="P216">
        <f t="shared" ca="1" si="48"/>
        <v>3107</v>
      </c>
      <c r="Q216">
        <v>36</v>
      </c>
      <c r="R216" t="str">
        <f t="shared" si="49"/>
        <v>Old</v>
      </c>
      <c r="S216" t="s">
        <v>34</v>
      </c>
      <c r="T216">
        <v>5</v>
      </c>
      <c r="U216" t="s">
        <v>45</v>
      </c>
      <c r="V216">
        <v>885.75</v>
      </c>
      <c r="W216" t="s">
        <v>46</v>
      </c>
      <c r="X216" t="s">
        <v>36</v>
      </c>
      <c r="Y216">
        <v>31</v>
      </c>
      <c r="Z216" t="str">
        <f t="shared" si="50"/>
        <v>Bad Employee</v>
      </c>
      <c r="AA216" t="b">
        <f t="shared" si="51"/>
        <v>0</v>
      </c>
      <c r="AB216" t="b">
        <f>OR(Y216&gt;20, T216&gt;6)</f>
        <v>1</v>
      </c>
      <c r="AC216" t="str">
        <f>IF(OR(Y216&gt;20,T216&gt;6), "Good employee", "Bad Employee")</f>
        <v>Good employee</v>
      </c>
      <c r="AD216" t="s">
        <v>28</v>
      </c>
      <c r="AE216" t="s">
        <v>29</v>
      </c>
      <c r="AF216">
        <v>3</v>
      </c>
      <c r="AG216">
        <v>2019</v>
      </c>
      <c r="AH216" t="s">
        <v>49</v>
      </c>
      <c r="AI216">
        <v>103</v>
      </c>
      <c r="AJ216">
        <v>3.7</v>
      </c>
    </row>
    <row r="217" spans="1:36" x14ac:dyDescent="0.25">
      <c r="A217">
        <v>10216</v>
      </c>
      <c r="B217" t="s">
        <v>38</v>
      </c>
      <c r="C217" t="s">
        <v>57</v>
      </c>
      <c r="D217" t="s">
        <v>39</v>
      </c>
      <c r="E217" t="str">
        <f t="shared" si="39"/>
        <v>Chris Davis is in IT Department</v>
      </c>
      <c r="F217" s="6" t="str">
        <f t="shared" si="40"/>
        <v>chrisdavis@gmail.com</v>
      </c>
      <c r="G217">
        <v>74387</v>
      </c>
      <c r="H217" t="str">
        <f t="shared" si="41"/>
        <v>Medium</v>
      </c>
      <c r="I217" s="3">
        <v>38612</v>
      </c>
      <c r="J217">
        <f t="shared" si="42"/>
        <v>2005</v>
      </c>
      <c r="K217">
        <f t="shared" si="43"/>
        <v>9</v>
      </c>
      <c r="L217">
        <f t="shared" si="44"/>
        <v>17</v>
      </c>
      <c r="M217" s="3">
        <f t="shared" ca="1" si="45"/>
        <v>46100</v>
      </c>
      <c r="N217">
        <f t="shared" ca="1" si="46"/>
        <v>7488</v>
      </c>
      <c r="O217">
        <f t="shared" ca="1" si="47"/>
        <v>7488</v>
      </c>
      <c r="P217">
        <f t="shared" ca="1" si="48"/>
        <v>5349</v>
      </c>
      <c r="Q217">
        <v>30</v>
      </c>
      <c r="R217" t="str">
        <f t="shared" si="49"/>
        <v>Young</v>
      </c>
      <c r="S217" t="s">
        <v>34</v>
      </c>
      <c r="T217">
        <v>8</v>
      </c>
      <c r="U217" t="s">
        <v>25</v>
      </c>
      <c r="V217">
        <v>2707.98</v>
      </c>
      <c r="W217" t="s">
        <v>35</v>
      </c>
      <c r="X217" t="s">
        <v>27</v>
      </c>
      <c r="Y217">
        <v>27</v>
      </c>
      <c r="Z217" t="str">
        <f t="shared" si="50"/>
        <v>Good Employee</v>
      </c>
      <c r="AA217" t="b">
        <f t="shared" si="51"/>
        <v>1</v>
      </c>
      <c r="AB217" t="b">
        <f>OR(Y217&gt;20, T217&gt;6)</f>
        <v>1</v>
      </c>
      <c r="AC217" t="str">
        <f>IF(OR(Y217&gt;20,T217&gt;6), "Good employee", "Bad Employee")</f>
        <v>Good employee</v>
      </c>
      <c r="AD217" t="s">
        <v>56</v>
      </c>
      <c r="AE217" t="s">
        <v>62</v>
      </c>
      <c r="AF217">
        <v>2</v>
      </c>
      <c r="AG217">
        <v>2018</v>
      </c>
      <c r="AH217" t="s">
        <v>43</v>
      </c>
      <c r="AI217">
        <v>117</v>
      </c>
      <c r="AJ217">
        <v>2.2999999999999998</v>
      </c>
    </row>
    <row r="218" spans="1:36" x14ac:dyDescent="0.25">
      <c r="A218">
        <v>10217</v>
      </c>
      <c r="B218" t="s">
        <v>31</v>
      </c>
      <c r="C218" t="s">
        <v>61</v>
      </c>
      <c r="D218" t="s">
        <v>39</v>
      </c>
      <c r="E218" t="str">
        <f t="shared" si="39"/>
        <v>Emily Smith is in IT Department</v>
      </c>
      <c r="F218" s="6" t="str">
        <f t="shared" si="40"/>
        <v>emilysmith@gmail.com</v>
      </c>
      <c r="G218">
        <v>93965</v>
      </c>
      <c r="H218" t="str">
        <f t="shared" si="41"/>
        <v>High</v>
      </c>
      <c r="I218" s="3">
        <v>43250</v>
      </c>
      <c r="J218">
        <f t="shared" si="42"/>
        <v>2018</v>
      </c>
      <c r="K218">
        <f t="shared" si="43"/>
        <v>5</v>
      </c>
      <c r="L218">
        <f t="shared" si="44"/>
        <v>30</v>
      </c>
      <c r="M218" s="3">
        <f t="shared" ca="1" si="45"/>
        <v>46100</v>
      </c>
      <c r="N218">
        <f t="shared" ca="1" si="46"/>
        <v>2850</v>
      </c>
      <c r="O218">
        <f t="shared" ca="1" si="47"/>
        <v>2850</v>
      </c>
      <c r="P218">
        <f t="shared" ca="1" si="48"/>
        <v>2037</v>
      </c>
      <c r="Q218">
        <v>47</v>
      </c>
      <c r="R218" t="str">
        <f t="shared" si="49"/>
        <v>Old</v>
      </c>
      <c r="S218" t="s">
        <v>34</v>
      </c>
      <c r="T218">
        <v>8</v>
      </c>
      <c r="U218" t="s">
        <v>25</v>
      </c>
      <c r="V218">
        <v>8946.17</v>
      </c>
      <c r="W218" t="s">
        <v>46</v>
      </c>
      <c r="X218" t="s">
        <v>27</v>
      </c>
      <c r="Y218">
        <v>32</v>
      </c>
      <c r="Z218" t="str">
        <f t="shared" si="50"/>
        <v>Good Employee</v>
      </c>
      <c r="AA218" t="b">
        <f t="shared" si="51"/>
        <v>1</v>
      </c>
      <c r="AB218" t="b">
        <f>OR(Y218&gt;20, T218&gt;6)</f>
        <v>1</v>
      </c>
      <c r="AC218" t="str">
        <f>IF(OR(Y218&gt;20,T218&gt;6), "Good employee", "Bad Employee")</f>
        <v>Good employee</v>
      </c>
      <c r="AD218" t="s">
        <v>41</v>
      </c>
      <c r="AE218" t="s">
        <v>48</v>
      </c>
      <c r="AF218">
        <v>4</v>
      </c>
      <c r="AG218">
        <v>2015</v>
      </c>
      <c r="AH218" t="s">
        <v>43</v>
      </c>
      <c r="AI218">
        <v>182</v>
      </c>
      <c r="AJ218">
        <v>4.5</v>
      </c>
    </row>
    <row r="219" spans="1:36" x14ac:dyDescent="0.25">
      <c r="A219">
        <v>10218</v>
      </c>
      <c r="B219" t="s">
        <v>38</v>
      </c>
      <c r="C219" t="s">
        <v>65</v>
      </c>
      <c r="D219" t="s">
        <v>52</v>
      </c>
      <c r="E219" t="str">
        <f t="shared" si="39"/>
        <v>Chris Johnson is in Operations Department</v>
      </c>
      <c r="F219" s="6" t="str">
        <f t="shared" si="40"/>
        <v>chrisjohnson@gmail.com</v>
      </c>
      <c r="G219">
        <v>46508</v>
      </c>
      <c r="H219" t="str">
        <f t="shared" si="41"/>
        <v>low</v>
      </c>
      <c r="I219" s="3">
        <v>38753</v>
      </c>
      <c r="J219">
        <f t="shared" si="42"/>
        <v>2006</v>
      </c>
      <c r="K219">
        <f t="shared" si="43"/>
        <v>2</v>
      </c>
      <c r="L219">
        <f t="shared" si="44"/>
        <v>5</v>
      </c>
      <c r="M219" s="3">
        <f t="shared" ca="1" si="45"/>
        <v>46100</v>
      </c>
      <c r="N219">
        <f t="shared" ca="1" si="46"/>
        <v>7347</v>
      </c>
      <c r="O219">
        <f t="shared" ca="1" si="47"/>
        <v>7347</v>
      </c>
      <c r="P219">
        <f t="shared" ca="1" si="48"/>
        <v>5249</v>
      </c>
      <c r="Q219">
        <v>24</v>
      </c>
      <c r="R219" t="str">
        <f t="shared" si="49"/>
        <v>Young</v>
      </c>
      <c r="S219" t="s">
        <v>34</v>
      </c>
      <c r="T219">
        <v>2</v>
      </c>
      <c r="U219" t="s">
        <v>25</v>
      </c>
      <c r="V219">
        <v>8270.76</v>
      </c>
      <c r="W219" t="s">
        <v>26</v>
      </c>
      <c r="X219" t="s">
        <v>40</v>
      </c>
      <c r="Y219">
        <v>33</v>
      </c>
      <c r="Z219" t="str">
        <f t="shared" si="50"/>
        <v>Bad Employee</v>
      </c>
      <c r="AA219" t="b">
        <f t="shared" si="51"/>
        <v>0</v>
      </c>
      <c r="AB219" t="b">
        <f>OR(Y219&gt;20, T219&gt;6)</f>
        <v>1</v>
      </c>
      <c r="AC219" t="str">
        <f>IF(OR(Y219&gt;20,T219&gt;6), "Good employee", "Bad Employee")</f>
        <v>Good employee</v>
      </c>
      <c r="AD219" t="s">
        <v>56</v>
      </c>
      <c r="AE219" t="s">
        <v>42</v>
      </c>
      <c r="AF219">
        <v>18</v>
      </c>
      <c r="AG219">
        <v>2023</v>
      </c>
      <c r="AH219" t="s">
        <v>43</v>
      </c>
      <c r="AI219">
        <v>191</v>
      </c>
      <c r="AJ219">
        <v>3.4</v>
      </c>
    </row>
    <row r="220" spans="1:36" x14ac:dyDescent="0.25">
      <c r="A220">
        <v>10219</v>
      </c>
      <c r="B220" t="s">
        <v>53</v>
      </c>
      <c r="C220" t="s">
        <v>32</v>
      </c>
      <c r="D220" t="s">
        <v>52</v>
      </c>
      <c r="E220" t="str">
        <f t="shared" si="39"/>
        <v>Sarah Wilson is in Operations Department</v>
      </c>
      <c r="F220" s="6" t="str">
        <f t="shared" si="40"/>
        <v>sarahwilson@gmail.com</v>
      </c>
      <c r="G220">
        <v>75592</v>
      </c>
      <c r="H220" t="str">
        <f t="shared" si="41"/>
        <v>Medium</v>
      </c>
      <c r="I220" s="3">
        <v>42681</v>
      </c>
      <c r="J220">
        <f t="shared" si="42"/>
        <v>2016</v>
      </c>
      <c r="K220">
        <f t="shared" si="43"/>
        <v>11</v>
      </c>
      <c r="L220">
        <f t="shared" si="44"/>
        <v>7</v>
      </c>
      <c r="M220" s="3">
        <f t="shared" ca="1" si="45"/>
        <v>46100</v>
      </c>
      <c r="N220">
        <f t="shared" ca="1" si="46"/>
        <v>3419</v>
      </c>
      <c r="O220">
        <f t="shared" ca="1" si="47"/>
        <v>3419</v>
      </c>
      <c r="P220">
        <f t="shared" ca="1" si="48"/>
        <v>2444</v>
      </c>
      <c r="Q220">
        <v>57</v>
      </c>
      <c r="R220" t="str">
        <f t="shared" si="49"/>
        <v>Old</v>
      </c>
      <c r="S220" t="s">
        <v>24</v>
      </c>
      <c r="T220">
        <v>6</v>
      </c>
      <c r="U220" t="s">
        <v>25</v>
      </c>
      <c r="V220">
        <v>5961.11</v>
      </c>
      <c r="W220" t="s">
        <v>26</v>
      </c>
      <c r="X220" t="s">
        <v>40</v>
      </c>
      <c r="Y220">
        <v>13</v>
      </c>
      <c r="Z220" t="str">
        <f t="shared" si="50"/>
        <v>Bad Employee</v>
      </c>
      <c r="AA220" t="b">
        <f t="shared" si="51"/>
        <v>0</v>
      </c>
      <c r="AB220" t="b">
        <f>OR(Y220&gt;20, T220&gt;6)</f>
        <v>0</v>
      </c>
      <c r="AC220" t="str">
        <f>IF(OR(Y220&gt;20,T220&gt;6), "Good employee", "Bad Employee")</f>
        <v>Bad Employee</v>
      </c>
      <c r="AD220" t="s">
        <v>56</v>
      </c>
      <c r="AE220" t="s">
        <v>29</v>
      </c>
      <c r="AF220">
        <v>7</v>
      </c>
      <c r="AG220">
        <v>2018</v>
      </c>
      <c r="AH220" t="s">
        <v>43</v>
      </c>
      <c r="AI220">
        <v>194</v>
      </c>
      <c r="AJ220">
        <v>4.4000000000000004</v>
      </c>
    </row>
    <row r="221" spans="1:36" x14ac:dyDescent="0.25">
      <c r="A221">
        <v>10220</v>
      </c>
      <c r="B221" t="s">
        <v>21</v>
      </c>
      <c r="C221" t="s">
        <v>65</v>
      </c>
      <c r="D221" t="s">
        <v>54</v>
      </c>
      <c r="E221" t="str">
        <f t="shared" si="39"/>
        <v>Michael Johnson is in Finance Department</v>
      </c>
      <c r="F221" s="6" t="str">
        <f t="shared" si="40"/>
        <v>michaeljohnson@gmail.com</v>
      </c>
      <c r="G221">
        <v>31919</v>
      </c>
      <c r="H221" t="str">
        <f t="shared" si="41"/>
        <v>extremely low</v>
      </c>
      <c r="I221" s="3">
        <v>39936</v>
      </c>
      <c r="J221">
        <f t="shared" si="42"/>
        <v>2009</v>
      </c>
      <c r="K221">
        <f t="shared" si="43"/>
        <v>5</v>
      </c>
      <c r="L221">
        <f t="shared" si="44"/>
        <v>3</v>
      </c>
      <c r="M221" s="3">
        <f t="shared" ca="1" si="45"/>
        <v>46100</v>
      </c>
      <c r="N221">
        <f t="shared" ca="1" si="46"/>
        <v>6164</v>
      </c>
      <c r="O221">
        <f t="shared" ca="1" si="47"/>
        <v>6164</v>
      </c>
      <c r="P221">
        <f t="shared" ca="1" si="48"/>
        <v>4404</v>
      </c>
      <c r="Q221">
        <v>26</v>
      </c>
      <c r="R221" t="str">
        <f t="shared" si="49"/>
        <v>Young</v>
      </c>
      <c r="S221" t="s">
        <v>24</v>
      </c>
      <c r="T221">
        <v>6</v>
      </c>
      <c r="U221" t="s">
        <v>45</v>
      </c>
      <c r="V221">
        <v>4930.0600000000004</v>
      </c>
      <c r="W221" t="s">
        <v>58</v>
      </c>
      <c r="X221" t="s">
        <v>40</v>
      </c>
      <c r="Y221">
        <v>37</v>
      </c>
      <c r="Z221" t="str">
        <f t="shared" si="50"/>
        <v>Bad Employee</v>
      </c>
      <c r="AA221" t="b">
        <f t="shared" si="51"/>
        <v>0</v>
      </c>
      <c r="AB221" t="b">
        <f>OR(Y221&gt;20, T221&gt;6)</f>
        <v>1</v>
      </c>
      <c r="AC221" t="str">
        <f>IF(OR(Y221&gt;20,T221&gt;6), "Good employee", "Bad Employee")</f>
        <v>Good employee</v>
      </c>
      <c r="AD221" t="s">
        <v>28</v>
      </c>
      <c r="AE221" t="s">
        <v>29</v>
      </c>
      <c r="AF221">
        <v>4</v>
      </c>
      <c r="AG221">
        <v>2011</v>
      </c>
      <c r="AH221" t="s">
        <v>49</v>
      </c>
      <c r="AI221">
        <v>15</v>
      </c>
      <c r="AJ221">
        <v>2.9</v>
      </c>
    </row>
    <row r="222" spans="1:36" x14ac:dyDescent="0.25">
      <c r="A222">
        <v>10221</v>
      </c>
      <c r="B222" t="s">
        <v>50</v>
      </c>
      <c r="C222" t="s">
        <v>57</v>
      </c>
      <c r="D222" t="s">
        <v>44</v>
      </c>
      <c r="E222" t="str">
        <f t="shared" si="39"/>
        <v>Alex Davis is in Sales Department</v>
      </c>
      <c r="F222" s="6" t="str">
        <f t="shared" si="40"/>
        <v>alexdavis@gmail.com</v>
      </c>
      <c r="G222">
        <v>72595</v>
      </c>
      <c r="H222" t="str">
        <f t="shared" si="41"/>
        <v>Medium</v>
      </c>
      <c r="I222" s="3">
        <v>39516</v>
      </c>
      <c r="J222">
        <f t="shared" si="42"/>
        <v>2008</v>
      </c>
      <c r="K222">
        <f t="shared" si="43"/>
        <v>3</v>
      </c>
      <c r="L222">
        <f t="shared" si="44"/>
        <v>9</v>
      </c>
      <c r="M222" s="3">
        <f t="shared" ca="1" si="45"/>
        <v>46100</v>
      </c>
      <c r="N222">
        <f t="shared" ca="1" si="46"/>
        <v>6584</v>
      </c>
      <c r="O222">
        <f t="shared" ca="1" si="47"/>
        <v>6584</v>
      </c>
      <c r="P222">
        <f t="shared" ca="1" si="48"/>
        <v>4704</v>
      </c>
      <c r="Q222">
        <v>41</v>
      </c>
      <c r="R222" t="str">
        <f t="shared" si="49"/>
        <v>Old</v>
      </c>
      <c r="S222" t="s">
        <v>24</v>
      </c>
      <c r="T222">
        <v>3</v>
      </c>
      <c r="U222" t="s">
        <v>25</v>
      </c>
      <c r="V222">
        <v>6647.86</v>
      </c>
      <c r="W222" t="s">
        <v>58</v>
      </c>
      <c r="X222" t="s">
        <v>27</v>
      </c>
      <c r="Y222">
        <v>2</v>
      </c>
      <c r="Z222" t="str">
        <f t="shared" si="50"/>
        <v>Bad Employee</v>
      </c>
      <c r="AA222" t="b">
        <f t="shared" si="51"/>
        <v>0</v>
      </c>
      <c r="AB222" t="b">
        <f>OR(Y222&gt;20, T222&gt;6)</f>
        <v>0</v>
      </c>
      <c r="AC222" t="str">
        <f>IF(OR(Y222&gt;20,T222&gt;6), "Good employee", "Bad Employee")</f>
        <v>Bad Employee</v>
      </c>
      <c r="AD222" t="s">
        <v>28</v>
      </c>
      <c r="AE222" t="s">
        <v>29</v>
      </c>
      <c r="AF222">
        <v>12</v>
      </c>
      <c r="AG222">
        <v>2018</v>
      </c>
      <c r="AH222" t="s">
        <v>43</v>
      </c>
      <c r="AI222">
        <v>27</v>
      </c>
      <c r="AJ222">
        <v>3</v>
      </c>
    </row>
    <row r="223" spans="1:36" x14ac:dyDescent="0.25">
      <c r="A223">
        <v>10222</v>
      </c>
      <c r="B223" t="s">
        <v>50</v>
      </c>
      <c r="C223" t="s">
        <v>61</v>
      </c>
      <c r="D223" t="s">
        <v>23</v>
      </c>
      <c r="E223" t="str">
        <f t="shared" si="39"/>
        <v>Alex Smith is in HR Department</v>
      </c>
      <c r="F223" s="6" t="str">
        <f t="shared" si="40"/>
        <v>alexsmith@gmail.com</v>
      </c>
      <c r="G223">
        <v>39617</v>
      </c>
      <c r="H223" t="str">
        <f t="shared" si="41"/>
        <v>extremely low</v>
      </c>
      <c r="I223" s="3">
        <v>41169</v>
      </c>
      <c r="J223">
        <f t="shared" si="42"/>
        <v>2012</v>
      </c>
      <c r="K223">
        <f t="shared" si="43"/>
        <v>9</v>
      </c>
      <c r="L223">
        <f t="shared" si="44"/>
        <v>17</v>
      </c>
      <c r="M223" s="3">
        <f t="shared" ca="1" si="45"/>
        <v>46100</v>
      </c>
      <c r="N223">
        <f t="shared" ca="1" si="46"/>
        <v>4931</v>
      </c>
      <c r="O223">
        <f t="shared" ca="1" si="47"/>
        <v>4931</v>
      </c>
      <c r="P223">
        <f t="shared" ca="1" si="48"/>
        <v>3524</v>
      </c>
      <c r="Q223">
        <v>41</v>
      </c>
      <c r="R223" t="str">
        <f t="shared" si="49"/>
        <v>Old</v>
      </c>
      <c r="S223" t="s">
        <v>34</v>
      </c>
      <c r="T223">
        <v>1</v>
      </c>
      <c r="U223" t="s">
        <v>25</v>
      </c>
      <c r="V223">
        <v>4929.3599999999997</v>
      </c>
      <c r="W223" t="s">
        <v>26</v>
      </c>
      <c r="X223" t="s">
        <v>36</v>
      </c>
      <c r="Y223">
        <v>38</v>
      </c>
      <c r="Z223" t="str">
        <f t="shared" si="50"/>
        <v>Bad Employee</v>
      </c>
      <c r="AA223" t="b">
        <f t="shared" si="51"/>
        <v>0</v>
      </c>
      <c r="AB223" t="b">
        <f>OR(Y223&gt;20, T223&gt;6)</f>
        <v>1</v>
      </c>
      <c r="AC223" t="str">
        <f>IF(OR(Y223&gt;20,T223&gt;6), "Good employee", "Bad Employee")</f>
        <v>Good employee</v>
      </c>
      <c r="AD223" t="s">
        <v>56</v>
      </c>
      <c r="AE223" t="s">
        <v>62</v>
      </c>
      <c r="AF223">
        <v>9</v>
      </c>
      <c r="AG223">
        <v>2013</v>
      </c>
      <c r="AH223" t="s">
        <v>43</v>
      </c>
      <c r="AI223">
        <v>123</v>
      </c>
      <c r="AJ223">
        <v>2.2000000000000002</v>
      </c>
    </row>
    <row r="224" spans="1:36" x14ac:dyDescent="0.25">
      <c r="A224">
        <v>10223</v>
      </c>
      <c r="B224" t="s">
        <v>64</v>
      </c>
      <c r="C224" t="s">
        <v>51</v>
      </c>
      <c r="D224" t="s">
        <v>33</v>
      </c>
      <c r="E224" t="str">
        <f t="shared" si="39"/>
        <v>Katie Brown is in Marketing Department</v>
      </c>
      <c r="F224" s="6" t="str">
        <f t="shared" si="40"/>
        <v>katiebrown@gmail.com</v>
      </c>
      <c r="G224">
        <v>105268</v>
      </c>
      <c r="H224" t="str">
        <f t="shared" si="41"/>
        <v>High</v>
      </c>
      <c r="I224" s="3">
        <v>37675</v>
      </c>
      <c r="J224">
        <f t="shared" si="42"/>
        <v>2003</v>
      </c>
      <c r="K224">
        <f t="shared" si="43"/>
        <v>2</v>
      </c>
      <c r="L224">
        <f t="shared" si="44"/>
        <v>23</v>
      </c>
      <c r="M224" s="3">
        <f t="shared" ca="1" si="45"/>
        <v>46100</v>
      </c>
      <c r="N224">
        <f t="shared" ca="1" si="46"/>
        <v>8425</v>
      </c>
      <c r="O224">
        <f t="shared" ca="1" si="47"/>
        <v>8425</v>
      </c>
      <c r="P224">
        <f t="shared" ca="1" si="48"/>
        <v>6019</v>
      </c>
      <c r="Q224">
        <v>26</v>
      </c>
      <c r="R224" t="str">
        <f t="shared" si="49"/>
        <v>Young</v>
      </c>
      <c r="S224" t="s">
        <v>24</v>
      </c>
      <c r="T224">
        <v>7</v>
      </c>
      <c r="U224" t="s">
        <v>45</v>
      </c>
      <c r="V224">
        <v>6620.9</v>
      </c>
      <c r="W224" t="s">
        <v>26</v>
      </c>
      <c r="X224" t="s">
        <v>47</v>
      </c>
      <c r="Y224">
        <v>37</v>
      </c>
      <c r="Z224" t="str">
        <f t="shared" si="50"/>
        <v>Good Employee</v>
      </c>
      <c r="AA224" t="b">
        <f t="shared" si="51"/>
        <v>1</v>
      </c>
      <c r="AB224" t="b">
        <f>OR(Y224&gt;20, T224&gt;6)</f>
        <v>1</v>
      </c>
      <c r="AC224" t="str">
        <f>IF(OR(Y224&gt;20,T224&gt;6), "Good employee", "Bad Employee")</f>
        <v>Good employee</v>
      </c>
      <c r="AD224" t="s">
        <v>56</v>
      </c>
      <c r="AE224" t="s">
        <v>29</v>
      </c>
      <c r="AF224">
        <v>5</v>
      </c>
      <c r="AG224">
        <v>2012</v>
      </c>
      <c r="AH224" t="s">
        <v>49</v>
      </c>
      <c r="AI224">
        <v>30</v>
      </c>
      <c r="AJ224">
        <v>2.6</v>
      </c>
    </row>
    <row r="225" spans="1:36" x14ac:dyDescent="0.25">
      <c r="A225">
        <v>10224</v>
      </c>
      <c r="B225" t="s">
        <v>31</v>
      </c>
      <c r="C225" t="s">
        <v>22</v>
      </c>
      <c r="D225" t="s">
        <v>23</v>
      </c>
      <c r="E225" t="str">
        <f t="shared" si="39"/>
        <v>Emily Williams is in HR Department</v>
      </c>
      <c r="F225" s="6" t="str">
        <f t="shared" si="40"/>
        <v>emilywilliams@gmail.com</v>
      </c>
      <c r="G225">
        <v>63298</v>
      </c>
      <c r="H225" t="str">
        <f t="shared" si="41"/>
        <v>Medium</v>
      </c>
      <c r="I225" s="3">
        <v>36588</v>
      </c>
      <c r="J225">
        <f t="shared" si="42"/>
        <v>2000</v>
      </c>
      <c r="K225">
        <f t="shared" si="43"/>
        <v>3</v>
      </c>
      <c r="L225">
        <f t="shared" si="44"/>
        <v>3</v>
      </c>
      <c r="M225" s="3">
        <f t="shared" ca="1" si="45"/>
        <v>46100</v>
      </c>
      <c r="N225">
        <f t="shared" ca="1" si="46"/>
        <v>9512</v>
      </c>
      <c r="O225">
        <f t="shared" ca="1" si="47"/>
        <v>9512</v>
      </c>
      <c r="P225">
        <f t="shared" ca="1" si="48"/>
        <v>6795</v>
      </c>
      <c r="Q225">
        <v>31</v>
      </c>
      <c r="R225" t="str">
        <f t="shared" si="49"/>
        <v>Old</v>
      </c>
      <c r="S225" t="s">
        <v>34</v>
      </c>
      <c r="T225">
        <v>5</v>
      </c>
      <c r="U225" t="s">
        <v>25</v>
      </c>
      <c r="V225">
        <v>3420.34</v>
      </c>
      <c r="W225" t="s">
        <v>58</v>
      </c>
      <c r="X225" t="s">
        <v>47</v>
      </c>
      <c r="Y225">
        <v>5</v>
      </c>
      <c r="Z225" t="str">
        <f t="shared" si="50"/>
        <v>Bad Employee</v>
      </c>
      <c r="AA225" t="b">
        <f t="shared" si="51"/>
        <v>0</v>
      </c>
      <c r="AB225" t="b">
        <f>OR(Y225&gt;20, T225&gt;6)</f>
        <v>0</v>
      </c>
      <c r="AC225" t="str">
        <f>IF(OR(Y225&gt;20,T225&gt;6), "Good employee", "Bad Employee")</f>
        <v>Bad Employee</v>
      </c>
      <c r="AD225" t="s">
        <v>56</v>
      </c>
      <c r="AE225" t="s">
        <v>29</v>
      </c>
      <c r="AF225">
        <v>0</v>
      </c>
      <c r="AG225">
        <v>2010</v>
      </c>
      <c r="AH225" t="s">
        <v>30</v>
      </c>
      <c r="AI225">
        <v>67</v>
      </c>
      <c r="AJ225">
        <v>3.3</v>
      </c>
    </row>
    <row r="226" spans="1:36" x14ac:dyDescent="0.25">
      <c r="A226">
        <v>10225</v>
      </c>
      <c r="B226" t="s">
        <v>60</v>
      </c>
      <c r="C226" t="s">
        <v>61</v>
      </c>
      <c r="D226" t="s">
        <v>54</v>
      </c>
      <c r="E226" t="str">
        <f t="shared" si="39"/>
        <v>Jane Smith is in Finance Department</v>
      </c>
      <c r="F226" s="6" t="str">
        <f t="shared" si="40"/>
        <v>janesmith@gmail.com</v>
      </c>
      <c r="G226">
        <v>36929</v>
      </c>
      <c r="H226" t="str">
        <f t="shared" si="41"/>
        <v>extremely low</v>
      </c>
      <c r="I226" s="3">
        <v>41465</v>
      </c>
      <c r="J226">
        <f t="shared" si="42"/>
        <v>2013</v>
      </c>
      <c r="K226">
        <f t="shared" si="43"/>
        <v>7</v>
      </c>
      <c r="L226">
        <f t="shared" si="44"/>
        <v>10</v>
      </c>
      <c r="M226" s="3">
        <f t="shared" ca="1" si="45"/>
        <v>46100</v>
      </c>
      <c r="N226">
        <f t="shared" ca="1" si="46"/>
        <v>4635</v>
      </c>
      <c r="O226">
        <f t="shared" ca="1" si="47"/>
        <v>4635</v>
      </c>
      <c r="P226">
        <f t="shared" ca="1" si="48"/>
        <v>3312</v>
      </c>
      <c r="Q226">
        <v>37</v>
      </c>
      <c r="R226" t="str">
        <f t="shared" si="49"/>
        <v>Old</v>
      </c>
      <c r="S226" t="s">
        <v>24</v>
      </c>
      <c r="T226">
        <v>5</v>
      </c>
      <c r="U226" t="s">
        <v>45</v>
      </c>
      <c r="V226">
        <v>8465.7199999999993</v>
      </c>
      <c r="W226" t="s">
        <v>58</v>
      </c>
      <c r="X226" t="s">
        <v>36</v>
      </c>
      <c r="Y226">
        <v>18</v>
      </c>
      <c r="Z226" t="str">
        <f t="shared" si="50"/>
        <v>Bad Employee</v>
      </c>
      <c r="AA226" t="b">
        <f t="shared" si="51"/>
        <v>0</v>
      </c>
      <c r="AB226" t="b">
        <f>OR(Y226&gt;20, T226&gt;6)</f>
        <v>0</v>
      </c>
      <c r="AC226" t="str">
        <f>IF(OR(Y226&gt;20,T226&gt;6), "Good employee", "Bad Employee")</f>
        <v>Bad Employee</v>
      </c>
      <c r="AD226" t="s">
        <v>56</v>
      </c>
      <c r="AE226" t="s">
        <v>59</v>
      </c>
      <c r="AF226">
        <v>10</v>
      </c>
      <c r="AG226">
        <v>2010</v>
      </c>
      <c r="AH226" t="s">
        <v>30</v>
      </c>
      <c r="AI226">
        <v>178</v>
      </c>
      <c r="AJ226">
        <v>4.8</v>
      </c>
    </row>
    <row r="227" spans="1:36" x14ac:dyDescent="0.25">
      <c r="A227">
        <v>10226</v>
      </c>
      <c r="B227" t="s">
        <v>60</v>
      </c>
      <c r="C227" t="s">
        <v>32</v>
      </c>
      <c r="D227" t="s">
        <v>54</v>
      </c>
      <c r="E227" t="str">
        <f t="shared" si="39"/>
        <v>Jane Wilson is in Finance Department</v>
      </c>
      <c r="F227" s="6" t="str">
        <f t="shared" si="40"/>
        <v>janewilson@gmail.com</v>
      </c>
      <c r="G227">
        <v>44456</v>
      </c>
      <c r="H227" t="str">
        <f t="shared" si="41"/>
        <v>low</v>
      </c>
      <c r="I227" s="3">
        <v>39679</v>
      </c>
      <c r="J227">
        <f t="shared" si="42"/>
        <v>2008</v>
      </c>
      <c r="K227">
        <f t="shared" si="43"/>
        <v>8</v>
      </c>
      <c r="L227">
        <f t="shared" si="44"/>
        <v>19</v>
      </c>
      <c r="M227" s="3">
        <f t="shared" ca="1" si="45"/>
        <v>46100</v>
      </c>
      <c r="N227">
        <f t="shared" ca="1" si="46"/>
        <v>6421</v>
      </c>
      <c r="O227">
        <f t="shared" ca="1" si="47"/>
        <v>6421</v>
      </c>
      <c r="P227">
        <f t="shared" ca="1" si="48"/>
        <v>4588</v>
      </c>
      <c r="Q227">
        <v>46</v>
      </c>
      <c r="R227" t="str">
        <f t="shared" si="49"/>
        <v>Old</v>
      </c>
      <c r="S227" t="s">
        <v>34</v>
      </c>
      <c r="T227">
        <v>8</v>
      </c>
      <c r="U227" t="s">
        <v>45</v>
      </c>
      <c r="V227">
        <v>7168.22</v>
      </c>
      <c r="W227" t="s">
        <v>35</v>
      </c>
      <c r="X227" t="s">
        <v>36</v>
      </c>
      <c r="Y227">
        <v>17</v>
      </c>
      <c r="Z227" t="str">
        <f t="shared" si="50"/>
        <v>Bad Employee</v>
      </c>
      <c r="AA227" t="b">
        <f t="shared" si="51"/>
        <v>0</v>
      </c>
      <c r="AB227" t="b">
        <f>OR(Y227&gt;20, T227&gt;6)</f>
        <v>1</v>
      </c>
      <c r="AC227" t="str">
        <f>IF(OR(Y227&gt;20,T227&gt;6), "Good employee", "Bad Employee")</f>
        <v>Good employee</v>
      </c>
      <c r="AD227" t="s">
        <v>56</v>
      </c>
      <c r="AE227" t="s">
        <v>59</v>
      </c>
      <c r="AF227">
        <v>19</v>
      </c>
      <c r="AG227">
        <v>2017</v>
      </c>
      <c r="AH227" t="s">
        <v>49</v>
      </c>
      <c r="AI227">
        <v>73</v>
      </c>
      <c r="AJ227">
        <v>3.4</v>
      </c>
    </row>
    <row r="228" spans="1:36" x14ac:dyDescent="0.25">
      <c r="A228">
        <v>10227</v>
      </c>
      <c r="B228" t="s">
        <v>38</v>
      </c>
      <c r="C228" t="s">
        <v>65</v>
      </c>
      <c r="D228" t="s">
        <v>23</v>
      </c>
      <c r="E228" t="str">
        <f t="shared" si="39"/>
        <v>Chris Johnson is in HR Department</v>
      </c>
      <c r="F228" s="6" t="str">
        <f t="shared" si="40"/>
        <v>chrisjohnson@gmail.com</v>
      </c>
      <c r="G228">
        <v>116676</v>
      </c>
      <c r="H228" t="str">
        <f t="shared" si="41"/>
        <v>High</v>
      </c>
      <c r="I228" s="3">
        <v>37534</v>
      </c>
      <c r="J228">
        <f t="shared" si="42"/>
        <v>2002</v>
      </c>
      <c r="K228">
        <f t="shared" si="43"/>
        <v>10</v>
      </c>
      <c r="L228">
        <f t="shared" si="44"/>
        <v>5</v>
      </c>
      <c r="M228" s="3">
        <f t="shared" ca="1" si="45"/>
        <v>46100</v>
      </c>
      <c r="N228">
        <f t="shared" ca="1" si="46"/>
        <v>8566</v>
      </c>
      <c r="O228">
        <f t="shared" ca="1" si="47"/>
        <v>8566</v>
      </c>
      <c r="P228">
        <f t="shared" ca="1" si="48"/>
        <v>6119</v>
      </c>
      <c r="Q228">
        <v>46</v>
      </c>
      <c r="R228" t="str">
        <f t="shared" si="49"/>
        <v>Old</v>
      </c>
      <c r="S228" t="s">
        <v>24</v>
      </c>
      <c r="T228">
        <v>5</v>
      </c>
      <c r="U228" t="s">
        <v>25</v>
      </c>
      <c r="V228">
        <v>3634.77</v>
      </c>
      <c r="W228" t="s">
        <v>58</v>
      </c>
      <c r="X228" t="s">
        <v>36</v>
      </c>
      <c r="Y228">
        <v>2</v>
      </c>
      <c r="Z228" t="str">
        <f t="shared" si="50"/>
        <v>Bad Employee</v>
      </c>
      <c r="AA228" t="b">
        <f t="shared" si="51"/>
        <v>0</v>
      </c>
      <c r="AB228" t="b">
        <f>OR(Y228&gt;20, T228&gt;6)</f>
        <v>0</v>
      </c>
      <c r="AC228" t="str">
        <f>IF(OR(Y228&gt;20,T228&gt;6), "Good employee", "Bad Employee")</f>
        <v>Bad Employee</v>
      </c>
      <c r="AD228" t="s">
        <v>28</v>
      </c>
      <c r="AE228" t="s">
        <v>29</v>
      </c>
      <c r="AF228">
        <v>8</v>
      </c>
      <c r="AG228">
        <v>2011</v>
      </c>
      <c r="AH228" t="s">
        <v>49</v>
      </c>
      <c r="AI228">
        <v>94</v>
      </c>
      <c r="AJ228">
        <v>1.6</v>
      </c>
    </row>
    <row r="229" spans="1:36" x14ac:dyDescent="0.25">
      <c r="A229">
        <v>10228</v>
      </c>
      <c r="B229" t="s">
        <v>64</v>
      </c>
      <c r="C229" t="s">
        <v>32</v>
      </c>
      <c r="D229" t="s">
        <v>33</v>
      </c>
      <c r="E229" t="str">
        <f t="shared" si="39"/>
        <v>Katie Wilson is in Marketing Department</v>
      </c>
      <c r="F229" s="6" t="str">
        <f t="shared" si="40"/>
        <v>katiewilson@gmail.com</v>
      </c>
      <c r="G229">
        <v>113721</v>
      </c>
      <c r="H229" t="str">
        <f t="shared" si="41"/>
        <v>High</v>
      </c>
      <c r="I229" s="3">
        <v>42464</v>
      </c>
      <c r="J229">
        <f t="shared" si="42"/>
        <v>2016</v>
      </c>
      <c r="K229">
        <f t="shared" si="43"/>
        <v>4</v>
      </c>
      <c r="L229">
        <f t="shared" si="44"/>
        <v>4</v>
      </c>
      <c r="M229" s="3">
        <f t="shared" ca="1" si="45"/>
        <v>46100</v>
      </c>
      <c r="N229">
        <f t="shared" ca="1" si="46"/>
        <v>3636</v>
      </c>
      <c r="O229">
        <f t="shared" ca="1" si="47"/>
        <v>3636</v>
      </c>
      <c r="P229">
        <f t="shared" ca="1" si="48"/>
        <v>2599</v>
      </c>
      <c r="Q229">
        <v>51</v>
      </c>
      <c r="R229" t="str">
        <f t="shared" si="49"/>
        <v>Old</v>
      </c>
      <c r="S229" t="s">
        <v>24</v>
      </c>
      <c r="T229">
        <v>5</v>
      </c>
      <c r="U229" t="s">
        <v>25</v>
      </c>
      <c r="V229">
        <v>8391.33</v>
      </c>
      <c r="W229" t="s">
        <v>35</v>
      </c>
      <c r="X229" t="s">
        <v>40</v>
      </c>
      <c r="Y229">
        <v>35</v>
      </c>
      <c r="Z229" t="str">
        <f t="shared" si="50"/>
        <v>Bad Employee</v>
      </c>
      <c r="AA229" t="b">
        <f t="shared" si="51"/>
        <v>0</v>
      </c>
      <c r="AB229" t="b">
        <f>OR(Y229&gt;20, T229&gt;6)</f>
        <v>1</v>
      </c>
      <c r="AC229" t="str">
        <f>IF(OR(Y229&gt;20,T229&gt;6), "Good employee", "Bad Employee")</f>
        <v>Good employee</v>
      </c>
      <c r="AD229" t="s">
        <v>28</v>
      </c>
      <c r="AE229" t="s">
        <v>29</v>
      </c>
      <c r="AF229">
        <v>15</v>
      </c>
      <c r="AG229">
        <v>2010</v>
      </c>
      <c r="AH229" t="s">
        <v>30</v>
      </c>
      <c r="AI229">
        <v>138</v>
      </c>
      <c r="AJ229">
        <v>1</v>
      </c>
    </row>
    <row r="230" spans="1:36" x14ac:dyDescent="0.25">
      <c r="A230">
        <v>10229</v>
      </c>
      <c r="B230" t="s">
        <v>66</v>
      </c>
      <c r="C230" t="s">
        <v>32</v>
      </c>
      <c r="D230" t="s">
        <v>23</v>
      </c>
      <c r="E230" t="str">
        <f t="shared" si="39"/>
        <v>John Wilson is in HR Department</v>
      </c>
      <c r="F230" s="6" t="str">
        <f t="shared" si="40"/>
        <v>johnwilson@gmail.com</v>
      </c>
      <c r="G230">
        <v>67924</v>
      </c>
      <c r="H230" t="str">
        <f t="shared" si="41"/>
        <v>Medium</v>
      </c>
      <c r="I230" s="3">
        <v>38557</v>
      </c>
      <c r="J230">
        <f t="shared" si="42"/>
        <v>2005</v>
      </c>
      <c r="K230">
        <f t="shared" si="43"/>
        <v>7</v>
      </c>
      <c r="L230">
        <f t="shared" si="44"/>
        <v>24</v>
      </c>
      <c r="M230" s="3">
        <f t="shared" ca="1" si="45"/>
        <v>46100</v>
      </c>
      <c r="N230">
        <f t="shared" ca="1" si="46"/>
        <v>7543</v>
      </c>
      <c r="O230">
        <f t="shared" ca="1" si="47"/>
        <v>7543</v>
      </c>
      <c r="P230">
        <f t="shared" ca="1" si="48"/>
        <v>5389</v>
      </c>
      <c r="Q230">
        <v>35</v>
      </c>
      <c r="R230" t="str">
        <f t="shared" si="49"/>
        <v>Old</v>
      </c>
      <c r="S230" t="s">
        <v>34</v>
      </c>
      <c r="T230">
        <v>1</v>
      </c>
      <c r="U230" t="s">
        <v>45</v>
      </c>
      <c r="V230">
        <v>5129.75</v>
      </c>
      <c r="W230" t="s">
        <v>35</v>
      </c>
      <c r="X230" t="s">
        <v>55</v>
      </c>
      <c r="Y230">
        <v>14</v>
      </c>
      <c r="Z230" t="str">
        <f t="shared" si="50"/>
        <v>Bad Employee</v>
      </c>
      <c r="AA230" t="b">
        <f t="shared" si="51"/>
        <v>0</v>
      </c>
      <c r="AB230" t="b">
        <f>OR(Y230&gt;20, T230&gt;6)</f>
        <v>0</v>
      </c>
      <c r="AC230" t="str">
        <f>IF(OR(Y230&gt;20,T230&gt;6), "Good employee", "Bad Employee")</f>
        <v>Bad Employee</v>
      </c>
      <c r="AD230" t="s">
        <v>56</v>
      </c>
      <c r="AE230" t="s">
        <v>59</v>
      </c>
      <c r="AF230">
        <v>14</v>
      </c>
      <c r="AG230">
        <v>2011</v>
      </c>
      <c r="AH230" t="s">
        <v>43</v>
      </c>
      <c r="AI230">
        <v>55</v>
      </c>
      <c r="AJ230">
        <v>4.4000000000000004</v>
      </c>
    </row>
    <row r="231" spans="1:36" x14ac:dyDescent="0.25">
      <c r="A231">
        <v>10230</v>
      </c>
      <c r="B231" t="s">
        <v>38</v>
      </c>
      <c r="C231" t="s">
        <v>57</v>
      </c>
      <c r="D231" t="s">
        <v>52</v>
      </c>
      <c r="E231" t="str">
        <f t="shared" si="39"/>
        <v>Chris Davis is in Operations Department</v>
      </c>
      <c r="F231" s="6" t="str">
        <f t="shared" si="40"/>
        <v>chrisdavis@gmail.com</v>
      </c>
      <c r="G231">
        <v>54240</v>
      </c>
      <c r="H231" t="str">
        <f t="shared" si="41"/>
        <v>Medium</v>
      </c>
      <c r="I231" s="3">
        <v>37848</v>
      </c>
      <c r="J231">
        <f t="shared" si="42"/>
        <v>2003</v>
      </c>
      <c r="K231">
        <f t="shared" si="43"/>
        <v>8</v>
      </c>
      <c r="L231">
        <f t="shared" si="44"/>
        <v>15</v>
      </c>
      <c r="M231" s="3">
        <f t="shared" ca="1" si="45"/>
        <v>46100</v>
      </c>
      <c r="N231">
        <f t="shared" ca="1" si="46"/>
        <v>8252</v>
      </c>
      <c r="O231">
        <f t="shared" ca="1" si="47"/>
        <v>8252</v>
      </c>
      <c r="P231">
        <f t="shared" ca="1" si="48"/>
        <v>5895</v>
      </c>
      <c r="Q231">
        <v>43</v>
      </c>
      <c r="R231" t="str">
        <f t="shared" si="49"/>
        <v>Old</v>
      </c>
      <c r="S231" t="s">
        <v>24</v>
      </c>
      <c r="T231">
        <v>2</v>
      </c>
      <c r="U231" t="s">
        <v>25</v>
      </c>
      <c r="V231">
        <v>2159.0700000000002</v>
      </c>
      <c r="W231" t="s">
        <v>46</v>
      </c>
      <c r="X231" t="s">
        <v>27</v>
      </c>
      <c r="Y231">
        <v>12</v>
      </c>
      <c r="Z231" t="str">
        <f t="shared" si="50"/>
        <v>Bad Employee</v>
      </c>
      <c r="AA231" t="b">
        <f t="shared" si="51"/>
        <v>0</v>
      </c>
      <c r="AB231" t="b">
        <f>OR(Y231&gt;20, T231&gt;6)</f>
        <v>0</v>
      </c>
      <c r="AC231" t="str">
        <f>IF(OR(Y231&gt;20,T231&gt;6), "Good employee", "Bad Employee")</f>
        <v>Bad Employee</v>
      </c>
      <c r="AD231" t="s">
        <v>56</v>
      </c>
      <c r="AE231" t="s">
        <v>62</v>
      </c>
      <c r="AF231">
        <v>4</v>
      </c>
      <c r="AG231">
        <v>2012</v>
      </c>
      <c r="AH231" t="s">
        <v>30</v>
      </c>
      <c r="AI231">
        <v>47</v>
      </c>
      <c r="AJ231">
        <v>2.5</v>
      </c>
    </row>
    <row r="232" spans="1:36" x14ac:dyDescent="0.25">
      <c r="A232">
        <v>10231</v>
      </c>
      <c r="B232" t="s">
        <v>64</v>
      </c>
      <c r="C232" t="s">
        <v>57</v>
      </c>
      <c r="D232" t="s">
        <v>39</v>
      </c>
      <c r="E232" t="str">
        <f t="shared" si="39"/>
        <v>Katie Davis is in IT Department</v>
      </c>
      <c r="F232" s="6" t="str">
        <f t="shared" si="40"/>
        <v>katiedavis@gmail.com</v>
      </c>
      <c r="G232">
        <v>117381</v>
      </c>
      <c r="H232" t="str">
        <f t="shared" si="41"/>
        <v>High</v>
      </c>
      <c r="I232" s="3">
        <v>38607</v>
      </c>
      <c r="J232">
        <f t="shared" si="42"/>
        <v>2005</v>
      </c>
      <c r="K232">
        <f t="shared" si="43"/>
        <v>9</v>
      </c>
      <c r="L232">
        <f t="shared" si="44"/>
        <v>12</v>
      </c>
      <c r="M232" s="3">
        <f t="shared" ca="1" si="45"/>
        <v>46100</v>
      </c>
      <c r="N232">
        <f t="shared" ca="1" si="46"/>
        <v>7493</v>
      </c>
      <c r="O232">
        <f t="shared" ca="1" si="47"/>
        <v>7493</v>
      </c>
      <c r="P232">
        <f t="shared" ca="1" si="48"/>
        <v>5354</v>
      </c>
      <c r="Q232">
        <v>64</v>
      </c>
      <c r="R232" t="str">
        <f t="shared" si="49"/>
        <v>Old</v>
      </c>
      <c r="S232" t="s">
        <v>24</v>
      </c>
      <c r="T232">
        <v>5</v>
      </c>
      <c r="U232" t="s">
        <v>45</v>
      </c>
      <c r="V232">
        <v>1238.27</v>
      </c>
      <c r="W232" t="s">
        <v>58</v>
      </c>
      <c r="X232" t="s">
        <v>40</v>
      </c>
      <c r="Y232">
        <v>33</v>
      </c>
      <c r="Z232" t="str">
        <f t="shared" si="50"/>
        <v>Bad Employee</v>
      </c>
      <c r="AA232" t="b">
        <f t="shared" si="51"/>
        <v>0</v>
      </c>
      <c r="AB232" t="b">
        <f>OR(Y232&gt;20, T232&gt;6)</f>
        <v>1</v>
      </c>
      <c r="AC232" t="str">
        <f>IF(OR(Y232&gt;20,T232&gt;6), "Good employee", "Bad Employee")</f>
        <v>Good employee</v>
      </c>
      <c r="AD232" t="s">
        <v>28</v>
      </c>
      <c r="AE232" t="s">
        <v>59</v>
      </c>
      <c r="AF232">
        <v>14</v>
      </c>
      <c r="AG232">
        <v>2013</v>
      </c>
      <c r="AH232" t="s">
        <v>43</v>
      </c>
      <c r="AI232">
        <v>174</v>
      </c>
      <c r="AJ232">
        <v>2.2999999999999998</v>
      </c>
    </row>
    <row r="233" spans="1:36" x14ac:dyDescent="0.25">
      <c r="A233">
        <v>10232</v>
      </c>
      <c r="B233" t="s">
        <v>31</v>
      </c>
      <c r="C233" t="s">
        <v>22</v>
      </c>
      <c r="D233" t="s">
        <v>44</v>
      </c>
      <c r="E233" t="str">
        <f t="shared" si="39"/>
        <v>Emily Williams is in Sales Department</v>
      </c>
      <c r="F233" s="6" t="str">
        <f t="shared" si="40"/>
        <v>emilywilliams@gmail.com</v>
      </c>
      <c r="G233">
        <v>39228</v>
      </c>
      <c r="H233" t="str">
        <f t="shared" si="41"/>
        <v>extremely low</v>
      </c>
      <c r="I233" s="3">
        <v>37277</v>
      </c>
      <c r="J233">
        <f t="shared" si="42"/>
        <v>2002</v>
      </c>
      <c r="K233">
        <f t="shared" si="43"/>
        <v>1</v>
      </c>
      <c r="L233">
        <f t="shared" si="44"/>
        <v>21</v>
      </c>
      <c r="M233" s="3">
        <f t="shared" ca="1" si="45"/>
        <v>46100</v>
      </c>
      <c r="N233">
        <f t="shared" ca="1" si="46"/>
        <v>8823</v>
      </c>
      <c r="O233">
        <f t="shared" ca="1" si="47"/>
        <v>8823</v>
      </c>
      <c r="P233">
        <f t="shared" ca="1" si="48"/>
        <v>6304</v>
      </c>
      <c r="Q233">
        <v>49</v>
      </c>
      <c r="R233" t="str">
        <f t="shared" si="49"/>
        <v>Old</v>
      </c>
      <c r="S233" t="s">
        <v>34</v>
      </c>
      <c r="T233">
        <v>7</v>
      </c>
      <c r="U233" t="s">
        <v>45</v>
      </c>
      <c r="V233">
        <v>7146.25</v>
      </c>
      <c r="W233" t="s">
        <v>35</v>
      </c>
      <c r="X233" t="s">
        <v>47</v>
      </c>
      <c r="Y233">
        <v>7</v>
      </c>
      <c r="Z233" t="str">
        <f t="shared" si="50"/>
        <v>Bad Employee</v>
      </c>
      <c r="AA233" t="b">
        <f t="shared" si="51"/>
        <v>0</v>
      </c>
      <c r="AB233" t="b">
        <f>OR(Y233&gt;20, T233&gt;6)</f>
        <v>1</v>
      </c>
      <c r="AC233" t="str">
        <f>IF(OR(Y233&gt;20,T233&gt;6), "Good employee", "Bad Employee")</f>
        <v>Good employee</v>
      </c>
      <c r="AD233" t="s">
        <v>56</v>
      </c>
      <c r="AE233" t="s">
        <v>59</v>
      </c>
      <c r="AF233">
        <v>0</v>
      </c>
      <c r="AG233">
        <v>2022</v>
      </c>
      <c r="AH233" t="s">
        <v>49</v>
      </c>
      <c r="AI233">
        <v>145</v>
      </c>
      <c r="AJ233">
        <v>4.2</v>
      </c>
    </row>
    <row r="234" spans="1:36" x14ac:dyDescent="0.25">
      <c r="A234">
        <v>10233</v>
      </c>
      <c r="B234" t="s">
        <v>31</v>
      </c>
      <c r="C234" t="s">
        <v>57</v>
      </c>
      <c r="D234" t="s">
        <v>52</v>
      </c>
      <c r="E234" t="str">
        <f t="shared" si="39"/>
        <v>Emily Davis is in Operations Department</v>
      </c>
      <c r="F234" s="6" t="str">
        <f t="shared" si="40"/>
        <v>emilydavis@gmail.com</v>
      </c>
      <c r="G234">
        <v>51686</v>
      </c>
      <c r="H234" t="str">
        <f t="shared" si="41"/>
        <v>Medium</v>
      </c>
      <c r="I234" s="3">
        <v>40670</v>
      </c>
      <c r="J234">
        <f t="shared" si="42"/>
        <v>2011</v>
      </c>
      <c r="K234">
        <f t="shared" si="43"/>
        <v>5</v>
      </c>
      <c r="L234">
        <f t="shared" si="44"/>
        <v>7</v>
      </c>
      <c r="M234" s="3">
        <f t="shared" ca="1" si="45"/>
        <v>46100</v>
      </c>
      <c r="N234">
        <f t="shared" ca="1" si="46"/>
        <v>5430</v>
      </c>
      <c r="O234">
        <f t="shared" ca="1" si="47"/>
        <v>5430</v>
      </c>
      <c r="P234">
        <f t="shared" ca="1" si="48"/>
        <v>3879</v>
      </c>
      <c r="Q234">
        <v>51</v>
      </c>
      <c r="R234" t="str">
        <f t="shared" si="49"/>
        <v>Old</v>
      </c>
      <c r="S234" t="s">
        <v>24</v>
      </c>
      <c r="T234">
        <v>3</v>
      </c>
      <c r="U234" t="s">
        <v>25</v>
      </c>
      <c r="V234">
        <v>8718.65</v>
      </c>
      <c r="W234" t="s">
        <v>46</v>
      </c>
      <c r="X234" t="s">
        <v>27</v>
      </c>
      <c r="Y234">
        <v>39</v>
      </c>
      <c r="Z234" t="str">
        <f t="shared" si="50"/>
        <v>Bad Employee</v>
      </c>
      <c r="AA234" t="b">
        <f t="shared" si="51"/>
        <v>0</v>
      </c>
      <c r="AB234" t="b">
        <f>OR(Y234&gt;20, T234&gt;6)</f>
        <v>1</v>
      </c>
      <c r="AC234" t="str">
        <f>IF(OR(Y234&gt;20,T234&gt;6), "Good employee", "Bad Employee")</f>
        <v>Good employee</v>
      </c>
      <c r="AD234" t="s">
        <v>28</v>
      </c>
      <c r="AE234" t="s">
        <v>59</v>
      </c>
      <c r="AF234">
        <v>14</v>
      </c>
      <c r="AG234">
        <v>2020</v>
      </c>
      <c r="AH234" t="s">
        <v>49</v>
      </c>
      <c r="AI234">
        <v>29</v>
      </c>
      <c r="AJ234">
        <v>4.8</v>
      </c>
    </row>
    <row r="235" spans="1:36" x14ac:dyDescent="0.25">
      <c r="A235">
        <v>10234</v>
      </c>
      <c r="B235" t="s">
        <v>31</v>
      </c>
      <c r="C235" t="s">
        <v>57</v>
      </c>
      <c r="D235" t="s">
        <v>39</v>
      </c>
      <c r="E235" t="str">
        <f t="shared" si="39"/>
        <v>Emily Davis is in IT Department</v>
      </c>
      <c r="F235" s="6" t="str">
        <f t="shared" si="40"/>
        <v>emilydavis@gmail.com</v>
      </c>
      <c r="G235">
        <v>41920</v>
      </c>
      <c r="H235" t="str">
        <f t="shared" si="41"/>
        <v>low</v>
      </c>
      <c r="I235" s="3">
        <v>37183</v>
      </c>
      <c r="J235">
        <f t="shared" si="42"/>
        <v>2001</v>
      </c>
      <c r="K235">
        <f t="shared" si="43"/>
        <v>10</v>
      </c>
      <c r="L235">
        <f t="shared" si="44"/>
        <v>19</v>
      </c>
      <c r="M235" s="3">
        <f t="shared" ca="1" si="45"/>
        <v>46100</v>
      </c>
      <c r="N235">
        <f t="shared" ca="1" si="46"/>
        <v>8917</v>
      </c>
      <c r="O235">
        <f t="shared" ca="1" si="47"/>
        <v>8917</v>
      </c>
      <c r="P235">
        <f t="shared" ca="1" si="48"/>
        <v>6370</v>
      </c>
      <c r="Q235">
        <v>40</v>
      </c>
      <c r="R235" t="str">
        <f t="shared" si="49"/>
        <v>Old</v>
      </c>
      <c r="S235" t="s">
        <v>24</v>
      </c>
      <c r="T235">
        <v>1</v>
      </c>
      <c r="U235" t="s">
        <v>45</v>
      </c>
      <c r="V235">
        <v>8170.7</v>
      </c>
      <c r="W235" t="s">
        <v>46</v>
      </c>
      <c r="X235" t="s">
        <v>36</v>
      </c>
      <c r="Y235">
        <v>9</v>
      </c>
      <c r="Z235" t="str">
        <f t="shared" si="50"/>
        <v>Bad Employee</v>
      </c>
      <c r="AA235" t="b">
        <f t="shared" si="51"/>
        <v>0</v>
      </c>
      <c r="AB235" t="b">
        <f>OR(Y235&gt;20, T235&gt;6)</f>
        <v>0</v>
      </c>
      <c r="AC235" t="str">
        <f>IF(OR(Y235&gt;20,T235&gt;6), "Good employee", "Bad Employee")</f>
        <v>Bad Employee</v>
      </c>
      <c r="AD235" t="s">
        <v>28</v>
      </c>
      <c r="AE235" t="s">
        <v>59</v>
      </c>
      <c r="AF235">
        <v>3</v>
      </c>
      <c r="AG235">
        <v>2018</v>
      </c>
      <c r="AH235" t="s">
        <v>49</v>
      </c>
      <c r="AI235">
        <v>134</v>
      </c>
      <c r="AJ235">
        <v>4</v>
      </c>
    </row>
    <row r="236" spans="1:36" x14ac:dyDescent="0.25">
      <c r="A236">
        <v>10235</v>
      </c>
      <c r="B236" t="s">
        <v>31</v>
      </c>
      <c r="C236" t="s">
        <v>61</v>
      </c>
      <c r="D236" t="s">
        <v>44</v>
      </c>
      <c r="E236" t="str">
        <f t="shared" si="39"/>
        <v>Emily Smith is in Sales Department</v>
      </c>
      <c r="F236" s="6" t="str">
        <f t="shared" si="40"/>
        <v>emilysmith@gmail.com</v>
      </c>
      <c r="G236">
        <v>37432</v>
      </c>
      <c r="H236" t="str">
        <f t="shared" si="41"/>
        <v>extremely low</v>
      </c>
      <c r="I236" s="3">
        <v>38186</v>
      </c>
      <c r="J236">
        <f t="shared" si="42"/>
        <v>2004</v>
      </c>
      <c r="K236">
        <f t="shared" si="43"/>
        <v>7</v>
      </c>
      <c r="L236">
        <f t="shared" si="44"/>
        <v>18</v>
      </c>
      <c r="M236" s="3">
        <f t="shared" ca="1" si="45"/>
        <v>46100</v>
      </c>
      <c r="N236">
        <f t="shared" ca="1" si="46"/>
        <v>7914</v>
      </c>
      <c r="O236">
        <f t="shared" ca="1" si="47"/>
        <v>7914</v>
      </c>
      <c r="P236">
        <f t="shared" ca="1" si="48"/>
        <v>5654</v>
      </c>
      <c r="Q236">
        <v>59</v>
      </c>
      <c r="R236" t="str">
        <f t="shared" si="49"/>
        <v>Old</v>
      </c>
      <c r="S236" t="s">
        <v>24</v>
      </c>
      <c r="T236">
        <v>2</v>
      </c>
      <c r="U236" t="s">
        <v>45</v>
      </c>
      <c r="V236">
        <v>6728.68</v>
      </c>
      <c r="W236" t="s">
        <v>58</v>
      </c>
      <c r="X236" t="s">
        <v>47</v>
      </c>
      <c r="Y236">
        <v>5</v>
      </c>
      <c r="Z236" t="str">
        <f t="shared" si="50"/>
        <v>Bad Employee</v>
      </c>
      <c r="AA236" t="b">
        <f t="shared" si="51"/>
        <v>0</v>
      </c>
      <c r="AB236" t="b">
        <f>OR(Y236&gt;20, T236&gt;6)</f>
        <v>0</v>
      </c>
      <c r="AC236" t="str">
        <f>IF(OR(Y236&gt;20,T236&gt;6), "Good employee", "Bad Employee")</f>
        <v>Bad Employee</v>
      </c>
      <c r="AD236" t="s">
        <v>28</v>
      </c>
      <c r="AE236" t="s">
        <v>48</v>
      </c>
      <c r="AF236">
        <v>15</v>
      </c>
      <c r="AG236">
        <v>2016</v>
      </c>
      <c r="AH236" t="s">
        <v>30</v>
      </c>
      <c r="AI236">
        <v>18</v>
      </c>
      <c r="AJ236">
        <v>1.7</v>
      </c>
    </row>
    <row r="237" spans="1:36" x14ac:dyDescent="0.25">
      <c r="A237">
        <v>10236</v>
      </c>
      <c r="B237" t="s">
        <v>31</v>
      </c>
      <c r="C237" t="s">
        <v>51</v>
      </c>
      <c r="D237" t="s">
        <v>44</v>
      </c>
      <c r="E237" t="str">
        <f t="shared" si="39"/>
        <v>Emily Brown is in Sales Department</v>
      </c>
      <c r="F237" s="6" t="str">
        <f t="shared" si="40"/>
        <v>emilybrown@gmail.com</v>
      </c>
      <c r="G237">
        <v>93575</v>
      </c>
      <c r="H237" t="str">
        <f t="shared" si="41"/>
        <v>High</v>
      </c>
      <c r="I237" s="3">
        <v>37226</v>
      </c>
      <c r="J237">
        <f t="shared" si="42"/>
        <v>2001</v>
      </c>
      <c r="K237">
        <f t="shared" si="43"/>
        <v>12</v>
      </c>
      <c r="L237">
        <f t="shared" si="44"/>
        <v>1</v>
      </c>
      <c r="M237" s="3">
        <f t="shared" ca="1" si="45"/>
        <v>46100</v>
      </c>
      <c r="N237">
        <f t="shared" ca="1" si="46"/>
        <v>8874</v>
      </c>
      <c r="O237">
        <f t="shared" ca="1" si="47"/>
        <v>8874</v>
      </c>
      <c r="P237">
        <f t="shared" ca="1" si="48"/>
        <v>6339</v>
      </c>
      <c r="Q237">
        <v>63</v>
      </c>
      <c r="R237" t="str">
        <f t="shared" si="49"/>
        <v>Old</v>
      </c>
      <c r="S237" t="s">
        <v>24</v>
      </c>
      <c r="T237">
        <v>3</v>
      </c>
      <c r="U237" t="s">
        <v>25</v>
      </c>
      <c r="V237">
        <v>1843.06</v>
      </c>
      <c r="W237" t="s">
        <v>58</v>
      </c>
      <c r="X237" t="s">
        <v>36</v>
      </c>
      <c r="Y237">
        <v>4</v>
      </c>
      <c r="Z237" t="str">
        <f t="shared" si="50"/>
        <v>Bad Employee</v>
      </c>
      <c r="AA237" t="b">
        <f t="shared" si="51"/>
        <v>0</v>
      </c>
      <c r="AB237" t="b">
        <f>OR(Y237&gt;20, T237&gt;6)</f>
        <v>0</v>
      </c>
      <c r="AC237" t="str">
        <f>IF(OR(Y237&gt;20,T237&gt;6), "Good employee", "Bad Employee")</f>
        <v>Bad Employee</v>
      </c>
      <c r="AD237" t="s">
        <v>28</v>
      </c>
      <c r="AE237" t="s">
        <v>42</v>
      </c>
      <c r="AF237">
        <v>6</v>
      </c>
      <c r="AG237">
        <v>2021</v>
      </c>
      <c r="AH237" t="s">
        <v>49</v>
      </c>
      <c r="AI237">
        <v>149</v>
      </c>
      <c r="AJ237">
        <v>2.6</v>
      </c>
    </row>
    <row r="238" spans="1:36" x14ac:dyDescent="0.25">
      <c r="A238">
        <v>10237</v>
      </c>
      <c r="B238" t="s">
        <v>64</v>
      </c>
      <c r="C238" t="s">
        <v>22</v>
      </c>
      <c r="D238" t="s">
        <v>44</v>
      </c>
      <c r="E238" t="str">
        <f t="shared" si="39"/>
        <v>Katie Williams is in Sales Department</v>
      </c>
      <c r="F238" s="6" t="str">
        <f t="shared" si="40"/>
        <v>katiewilliams@gmail.com</v>
      </c>
      <c r="G238">
        <v>101725</v>
      </c>
      <c r="H238" t="str">
        <f t="shared" si="41"/>
        <v>High</v>
      </c>
      <c r="I238" s="3">
        <v>37606</v>
      </c>
      <c r="J238">
        <f t="shared" si="42"/>
        <v>2002</v>
      </c>
      <c r="K238">
        <f t="shared" si="43"/>
        <v>12</v>
      </c>
      <c r="L238">
        <f t="shared" si="44"/>
        <v>16</v>
      </c>
      <c r="M238" s="3">
        <f t="shared" ca="1" si="45"/>
        <v>46100</v>
      </c>
      <c r="N238">
        <f t="shared" ca="1" si="46"/>
        <v>8494</v>
      </c>
      <c r="O238">
        <f t="shared" ca="1" si="47"/>
        <v>8494</v>
      </c>
      <c r="P238">
        <f t="shared" ca="1" si="48"/>
        <v>6069</v>
      </c>
      <c r="Q238">
        <v>41</v>
      </c>
      <c r="R238" t="str">
        <f t="shared" si="49"/>
        <v>Old</v>
      </c>
      <c r="S238" t="s">
        <v>34</v>
      </c>
      <c r="T238">
        <v>9</v>
      </c>
      <c r="U238" t="s">
        <v>25</v>
      </c>
      <c r="V238">
        <v>1393.42</v>
      </c>
      <c r="W238" t="s">
        <v>46</v>
      </c>
      <c r="X238" t="s">
        <v>36</v>
      </c>
      <c r="Y238">
        <v>32</v>
      </c>
      <c r="Z238" t="str">
        <f t="shared" si="50"/>
        <v>Good Employee</v>
      </c>
      <c r="AA238" t="b">
        <f t="shared" si="51"/>
        <v>1</v>
      </c>
      <c r="AB238" t="b">
        <f>OR(Y238&gt;20, T238&gt;6)</f>
        <v>1</v>
      </c>
      <c r="AC238" t="str">
        <f>IF(OR(Y238&gt;20,T238&gt;6), "Good employee", "Bad Employee")</f>
        <v>Good employee</v>
      </c>
      <c r="AD238" t="s">
        <v>41</v>
      </c>
      <c r="AE238" t="s">
        <v>62</v>
      </c>
      <c r="AF238">
        <v>7</v>
      </c>
      <c r="AG238">
        <v>2014</v>
      </c>
      <c r="AH238" t="s">
        <v>30</v>
      </c>
      <c r="AI238">
        <v>109</v>
      </c>
      <c r="AJ238">
        <v>4</v>
      </c>
    </row>
    <row r="239" spans="1:36" x14ac:dyDescent="0.25">
      <c r="A239">
        <v>10238</v>
      </c>
      <c r="B239" t="s">
        <v>64</v>
      </c>
      <c r="C239" t="s">
        <v>61</v>
      </c>
      <c r="D239" t="s">
        <v>54</v>
      </c>
      <c r="E239" t="str">
        <f t="shared" si="39"/>
        <v>Katie Smith is in Finance Department</v>
      </c>
      <c r="F239" s="6" t="str">
        <f t="shared" si="40"/>
        <v>katiesmith@gmail.com</v>
      </c>
      <c r="G239">
        <v>63910</v>
      </c>
      <c r="H239" t="str">
        <f t="shared" si="41"/>
        <v>Medium</v>
      </c>
      <c r="I239" s="3">
        <v>38682</v>
      </c>
      <c r="J239">
        <f t="shared" si="42"/>
        <v>2005</v>
      </c>
      <c r="K239">
        <f t="shared" si="43"/>
        <v>11</v>
      </c>
      <c r="L239">
        <f t="shared" si="44"/>
        <v>26</v>
      </c>
      <c r="M239" s="3">
        <f t="shared" ca="1" si="45"/>
        <v>46100</v>
      </c>
      <c r="N239">
        <f t="shared" ca="1" si="46"/>
        <v>7418</v>
      </c>
      <c r="O239">
        <f t="shared" ca="1" si="47"/>
        <v>7418</v>
      </c>
      <c r="P239">
        <f t="shared" ca="1" si="48"/>
        <v>5299</v>
      </c>
      <c r="Q239">
        <v>56</v>
      </c>
      <c r="R239" t="str">
        <f t="shared" si="49"/>
        <v>Old</v>
      </c>
      <c r="S239" t="s">
        <v>34</v>
      </c>
      <c r="T239">
        <v>8</v>
      </c>
      <c r="U239" t="s">
        <v>45</v>
      </c>
      <c r="V239">
        <v>3777.78</v>
      </c>
      <c r="W239" t="s">
        <v>35</v>
      </c>
      <c r="X239" t="s">
        <v>36</v>
      </c>
      <c r="Y239">
        <v>5</v>
      </c>
      <c r="Z239" t="str">
        <f t="shared" si="50"/>
        <v>Bad Employee</v>
      </c>
      <c r="AA239" t="b">
        <f t="shared" si="51"/>
        <v>0</v>
      </c>
      <c r="AB239" t="b">
        <f>OR(Y239&gt;20, T239&gt;6)</f>
        <v>1</v>
      </c>
      <c r="AC239" t="str">
        <f>IF(OR(Y239&gt;20,T239&gt;6), "Good employee", "Bad Employee")</f>
        <v>Good employee</v>
      </c>
      <c r="AD239" t="s">
        <v>56</v>
      </c>
      <c r="AE239" t="s">
        <v>37</v>
      </c>
      <c r="AF239">
        <v>1</v>
      </c>
      <c r="AG239">
        <v>2014</v>
      </c>
      <c r="AH239" t="s">
        <v>43</v>
      </c>
      <c r="AI239">
        <v>108</v>
      </c>
      <c r="AJ239">
        <v>4.5999999999999996</v>
      </c>
    </row>
    <row r="240" spans="1:36" x14ac:dyDescent="0.25">
      <c r="A240">
        <v>10239</v>
      </c>
      <c r="B240" t="s">
        <v>50</v>
      </c>
      <c r="C240" t="s">
        <v>51</v>
      </c>
      <c r="D240" t="s">
        <v>44</v>
      </c>
      <c r="E240" t="str">
        <f t="shared" si="39"/>
        <v>Alex Brown is in Sales Department</v>
      </c>
      <c r="F240" s="6" t="str">
        <f t="shared" si="40"/>
        <v>alexbrown@gmail.com</v>
      </c>
      <c r="G240">
        <v>60226</v>
      </c>
      <c r="H240" t="str">
        <f t="shared" si="41"/>
        <v>Medium</v>
      </c>
      <c r="I240" s="3">
        <v>38066</v>
      </c>
      <c r="J240">
        <f t="shared" si="42"/>
        <v>2004</v>
      </c>
      <c r="K240">
        <f t="shared" si="43"/>
        <v>3</v>
      </c>
      <c r="L240">
        <f t="shared" si="44"/>
        <v>20</v>
      </c>
      <c r="M240" s="3">
        <f t="shared" ca="1" si="45"/>
        <v>46100</v>
      </c>
      <c r="N240">
        <f t="shared" ca="1" si="46"/>
        <v>8034</v>
      </c>
      <c r="O240">
        <f t="shared" ca="1" si="47"/>
        <v>8034</v>
      </c>
      <c r="P240">
        <f t="shared" ca="1" si="48"/>
        <v>5739</v>
      </c>
      <c r="Q240">
        <v>43</v>
      </c>
      <c r="R240" t="str">
        <f t="shared" si="49"/>
        <v>Old</v>
      </c>
      <c r="S240" t="s">
        <v>24</v>
      </c>
      <c r="T240">
        <v>4</v>
      </c>
      <c r="U240" t="s">
        <v>25</v>
      </c>
      <c r="V240">
        <v>8621.65</v>
      </c>
      <c r="W240" t="s">
        <v>58</v>
      </c>
      <c r="X240" t="s">
        <v>27</v>
      </c>
      <c r="Y240">
        <v>8</v>
      </c>
      <c r="Z240" t="str">
        <f t="shared" si="50"/>
        <v>Bad Employee</v>
      </c>
      <c r="AA240" t="b">
        <f t="shared" si="51"/>
        <v>0</v>
      </c>
      <c r="AB240" t="b">
        <f>OR(Y240&gt;20, T240&gt;6)</f>
        <v>0</v>
      </c>
      <c r="AC240" t="str">
        <f>IF(OR(Y240&gt;20,T240&gt;6), "Good employee", "Bad Employee")</f>
        <v>Bad Employee</v>
      </c>
      <c r="AD240" t="s">
        <v>56</v>
      </c>
      <c r="AE240" t="s">
        <v>62</v>
      </c>
      <c r="AF240">
        <v>11</v>
      </c>
      <c r="AG240">
        <v>2023</v>
      </c>
      <c r="AH240" t="s">
        <v>43</v>
      </c>
      <c r="AI240">
        <v>172</v>
      </c>
      <c r="AJ240">
        <v>5</v>
      </c>
    </row>
    <row r="241" spans="1:36" x14ac:dyDescent="0.25">
      <c r="A241">
        <v>10240</v>
      </c>
      <c r="B241" t="s">
        <v>53</v>
      </c>
      <c r="C241" t="s">
        <v>32</v>
      </c>
      <c r="D241" t="s">
        <v>33</v>
      </c>
      <c r="E241" t="str">
        <f t="shared" si="39"/>
        <v>Sarah Wilson is in Marketing Department</v>
      </c>
      <c r="F241" s="6" t="str">
        <f t="shared" si="40"/>
        <v>sarahwilson@gmail.com</v>
      </c>
      <c r="G241">
        <v>103150</v>
      </c>
      <c r="H241" t="str">
        <f t="shared" si="41"/>
        <v>High</v>
      </c>
      <c r="I241" s="3">
        <v>39558</v>
      </c>
      <c r="J241">
        <f t="shared" si="42"/>
        <v>2008</v>
      </c>
      <c r="K241">
        <f t="shared" si="43"/>
        <v>4</v>
      </c>
      <c r="L241">
        <f t="shared" si="44"/>
        <v>20</v>
      </c>
      <c r="M241" s="3">
        <f t="shared" ca="1" si="45"/>
        <v>46100</v>
      </c>
      <c r="N241">
        <f t="shared" ca="1" si="46"/>
        <v>6542</v>
      </c>
      <c r="O241">
        <f t="shared" ca="1" si="47"/>
        <v>6542</v>
      </c>
      <c r="P241">
        <f t="shared" ca="1" si="48"/>
        <v>4674</v>
      </c>
      <c r="Q241">
        <v>36</v>
      </c>
      <c r="R241" t="str">
        <f t="shared" si="49"/>
        <v>Old</v>
      </c>
      <c r="S241" t="s">
        <v>34</v>
      </c>
      <c r="T241">
        <v>8</v>
      </c>
      <c r="U241" t="s">
        <v>45</v>
      </c>
      <c r="V241">
        <v>9636.49</v>
      </c>
      <c r="W241" t="s">
        <v>46</v>
      </c>
      <c r="X241" t="s">
        <v>47</v>
      </c>
      <c r="Y241">
        <v>13</v>
      </c>
      <c r="Z241" t="str">
        <f t="shared" si="50"/>
        <v>Bad Employee</v>
      </c>
      <c r="AA241" t="b">
        <f t="shared" si="51"/>
        <v>0</v>
      </c>
      <c r="AB241" t="b">
        <f>OR(Y241&gt;20, T241&gt;6)</f>
        <v>1</v>
      </c>
      <c r="AC241" t="str">
        <f>IF(OR(Y241&gt;20,T241&gt;6), "Good employee", "Bad Employee")</f>
        <v>Good employee</v>
      </c>
      <c r="AD241" t="s">
        <v>56</v>
      </c>
      <c r="AE241" t="s">
        <v>29</v>
      </c>
      <c r="AF241">
        <v>1</v>
      </c>
      <c r="AG241">
        <v>2015</v>
      </c>
      <c r="AH241" t="s">
        <v>43</v>
      </c>
      <c r="AI241">
        <v>43</v>
      </c>
      <c r="AJ241">
        <v>3</v>
      </c>
    </row>
    <row r="242" spans="1:36" x14ac:dyDescent="0.25">
      <c r="A242">
        <v>10241</v>
      </c>
      <c r="B242" t="s">
        <v>60</v>
      </c>
      <c r="C242" t="s">
        <v>61</v>
      </c>
      <c r="D242" t="s">
        <v>23</v>
      </c>
      <c r="E242" t="str">
        <f t="shared" si="39"/>
        <v>Jane Smith is in HR Department</v>
      </c>
      <c r="F242" s="6" t="str">
        <f t="shared" si="40"/>
        <v>janesmith@gmail.com</v>
      </c>
      <c r="G242">
        <v>89099</v>
      </c>
      <c r="H242" t="str">
        <f t="shared" si="41"/>
        <v>High</v>
      </c>
      <c r="I242" s="3">
        <v>42693</v>
      </c>
      <c r="J242">
        <f t="shared" si="42"/>
        <v>2016</v>
      </c>
      <c r="K242">
        <f t="shared" si="43"/>
        <v>11</v>
      </c>
      <c r="L242">
        <f t="shared" si="44"/>
        <v>19</v>
      </c>
      <c r="M242" s="3">
        <f t="shared" ca="1" si="45"/>
        <v>46100</v>
      </c>
      <c r="N242">
        <f t="shared" ca="1" si="46"/>
        <v>3407</v>
      </c>
      <c r="O242">
        <f t="shared" ca="1" si="47"/>
        <v>3407</v>
      </c>
      <c r="P242">
        <f t="shared" ca="1" si="48"/>
        <v>2434</v>
      </c>
      <c r="Q242">
        <v>32</v>
      </c>
      <c r="R242" t="str">
        <f t="shared" si="49"/>
        <v>Old</v>
      </c>
      <c r="S242" t="s">
        <v>24</v>
      </c>
      <c r="T242">
        <v>9</v>
      </c>
      <c r="U242" t="s">
        <v>25</v>
      </c>
      <c r="V242">
        <v>2792.93</v>
      </c>
      <c r="W242" t="s">
        <v>46</v>
      </c>
      <c r="X242" t="s">
        <v>47</v>
      </c>
      <c r="Y242">
        <v>4</v>
      </c>
      <c r="Z242" t="str">
        <f t="shared" si="50"/>
        <v>Bad Employee</v>
      </c>
      <c r="AA242" t="b">
        <f t="shared" si="51"/>
        <v>0</v>
      </c>
      <c r="AB242" t="b">
        <f>OR(Y242&gt;20, T242&gt;6)</f>
        <v>1</v>
      </c>
      <c r="AC242" t="str">
        <f>IF(OR(Y242&gt;20,T242&gt;6), "Good employee", "Bad Employee")</f>
        <v>Good employee</v>
      </c>
      <c r="AD242" t="s">
        <v>28</v>
      </c>
      <c r="AE242" t="s">
        <v>48</v>
      </c>
      <c r="AF242">
        <v>13</v>
      </c>
      <c r="AG242">
        <v>2010</v>
      </c>
      <c r="AH242" t="s">
        <v>49</v>
      </c>
      <c r="AI242">
        <v>157</v>
      </c>
      <c r="AJ242">
        <v>4.3</v>
      </c>
    </row>
    <row r="243" spans="1:36" x14ac:dyDescent="0.25">
      <c r="A243">
        <v>10242</v>
      </c>
      <c r="B243" t="s">
        <v>21</v>
      </c>
      <c r="C243" t="s">
        <v>63</v>
      </c>
      <c r="D243" t="s">
        <v>33</v>
      </c>
      <c r="E243" t="str">
        <f t="shared" si="39"/>
        <v>Michael Miller is in Marketing Department</v>
      </c>
      <c r="F243" s="6" t="str">
        <f t="shared" si="40"/>
        <v>michaelmiller@gmail.com</v>
      </c>
      <c r="G243">
        <v>116760</v>
      </c>
      <c r="H243" t="str">
        <f t="shared" si="41"/>
        <v>High</v>
      </c>
      <c r="I243" s="3">
        <v>42890</v>
      </c>
      <c r="J243">
        <f t="shared" si="42"/>
        <v>2017</v>
      </c>
      <c r="K243">
        <f t="shared" si="43"/>
        <v>6</v>
      </c>
      <c r="L243">
        <f t="shared" si="44"/>
        <v>4</v>
      </c>
      <c r="M243" s="3">
        <f t="shared" ca="1" si="45"/>
        <v>46100</v>
      </c>
      <c r="N243">
        <f t="shared" ca="1" si="46"/>
        <v>3210</v>
      </c>
      <c r="O243">
        <f t="shared" ca="1" si="47"/>
        <v>3210</v>
      </c>
      <c r="P243">
        <f t="shared" ca="1" si="48"/>
        <v>2294</v>
      </c>
      <c r="Q243">
        <v>55</v>
      </c>
      <c r="R243" t="str">
        <f t="shared" si="49"/>
        <v>Old</v>
      </c>
      <c r="S243" t="s">
        <v>34</v>
      </c>
      <c r="T243">
        <v>3</v>
      </c>
      <c r="U243" t="s">
        <v>45</v>
      </c>
      <c r="V243">
        <v>7739.91</v>
      </c>
      <c r="W243" t="s">
        <v>35</v>
      </c>
      <c r="X243" t="s">
        <v>36</v>
      </c>
      <c r="Y243">
        <v>11</v>
      </c>
      <c r="Z243" t="str">
        <f t="shared" si="50"/>
        <v>Bad Employee</v>
      </c>
      <c r="AA243" t="b">
        <f t="shared" si="51"/>
        <v>0</v>
      </c>
      <c r="AB243" t="b">
        <f>OR(Y243&gt;20, T243&gt;6)</f>
        <v>0</v>
      </c>
      <c r="AC243" t="str">
        <f>IF(OR(Y243&gt;20,T243&gt;6), "Good employee", "Bad Employee")</f>
        <v>Bad Employee</v>
      </c>
      <c r="AD243" t="s">
        <v>28</v>
      </c>
      <c r="AE243" t="s">
        <v>29</v>
      </c>
      <c r="AF243">
        <v>18</v>
      </c>
      <c r="AG243">
        <v>2015</v>
      </c>
      <c r="AH243" t="s">
        <v>43</v>
      </c>
      <c r="AI243">
        <v>52</v>
      </c>
      <c r="AJ243">
        <v>1.2</v>
      </c>
    </row>
    <row r="244" spans="1:36" x14ac:dyDescent="0.25">
      <c r="A244">
        <v>10243</v>
      </c>
      <c r="B244" t="s">
        <v>31</v>
      </c>
      <c r="C244" t="s">
        <v>61</v>
      </c>
      <c r="D244" t="s">
        <v>23</v>
      </c>
      <c r="E244" t="str">
        <f t="shared" si="39"/>
        <v>Emily Smith is in HR Department</v>
      </c>
      <c r="F244" s="6" t="str">
        <f t="shared" si="40"/>
        <v>emilysmith@gmail.com</v>
      </c>
      <c r="G244">
        <v>48013</v>
      </c>
      <c r="H244" t="str">
        <f t="shared" si="41"/>
        <v>low</v>
      </c>
      <c r="I244" s="3">
        <v>38509</v>
      </c>
      <c r="J244">
        <f t="shared" si="42"/>
        <v>2005</v>
      </c>
      <c r="K244">
        <f t="shared" si="43"/>
        <v>6</v>
      </c>
      <c r="L244">
        <f t="shared" si="44"/>
        <v>6</v>
      </c>
      <c r="M244" s="3">
        <f t="shared" ca="1" si="45"/>
        <v>46100</v>
      </c>
      <c r="N244">
        <f t="shared" ca="1" si="46"/>
        <v>7591</v>
      </c>
      <c r="O244">
        <f t="shared" ca="1" si="47"/>
        <v>7591</v>
      </c>
      <c r="P244">
        <f t="shared" ca="1" si="48"/>
        <v>5424</v>
      </c>
      <c r="Q244">
        <v>45</v>
      </c>
      <c r="R244" t="str">
        <f t="shared" si="49"/>
        <v>Old</v>
      </c>
      <c r="S244" t="s">
        <v>24</v>
      </c>
      <c r="T244">
        <v>6</v>
      </c>
      <c r="U244" t="s">
        <v>25</v>
      </c>
      <c r="V244">
        <v>5951.76</v>
      </c>
      <c r="W244" t="s">
        <v>26</v>
      </c>
      <c r="X244" t="s">
        <v>40</v>
      </c>
      <c r="Y244">
        <v>15</v>
      </c>
      <c r="Z244" t="str">
        <f t="shared" si="50"/>
        <v>Bad Employee</v>
      </c>
      <c r="AA244" t="b">
        <f t="shared" si="51"/>
        <v>0</v>
      </c>
      <c r="AB244" t="b">
        <f>OR(Y244&gt;20, T244&gt;6)</f>
        <v>0</v>
      </c>
      <c r="AC244" t="str">
        <f>IF(OR(Y244&gt;20,T244&gt;6), "Good employee", "Bad Employee")</f>
        <v>Bad Employee</v>
      </c>
      <c r="AD244" t="s">
        <v>28</v>
      </c>
      <c r="AE244" t="s">
        <v>62</v>
      </c>
      <c r="AF244">
        <v>19</v>
      </c>
      <c r="AG244">
        <v>2022</v>
      </c>
      <c r="AH244" t="s">
        <v>49</v>
      </c>
      <c r="AI244">
        <v>119</v>
      </c>
      <c r="AJ244">
        <v>2.1</v>
      </c>
    </row>
    <row r="245" spans="1:36" x14ac:dyDescent="0.25">
      <c r="A245">
        <v>10244</v>
      </c>
      <c r="B245" t="s">
        <v>66</v>
      </c>
      <c r="C245" t="s">
        <v>57</v>
      </c>
      <c r="D245" t="s">
        <v>52</v>
      </c>
      <c r="E245" t="str">
        <f t="shared" si="39"/>
        <v>John Davis is in Operations Department</v>
      </c>
      <c r="F245" s="6" t="str">
        <f t="shared" si="40"/>
        <v>johndavis@gmail.com</v>
      </c>
      <c r="G245">
        <v>51446</v>
      </c>
      <c r="H245" t="str">
        <f t="shared" si="41"/>
        <v>Medium</v>
      </c>
      <c r="I245" s="3">
        <v>36840</v>
      </c>
      <c r="J245">
        <f t="shared" si="42"/>
        <v>2000</v>
      </c>
      <c r="K245">
        <f t="shared" si="43"/>
        <v>11</v>
      </c>
      <c r="L245">
        <f t="shared" si="44"/>
        <v>10</v>
      </c>
      <c r="M245" s="3">
        <f t="shared" ca="1" si="45"/>
        <v>46100</v>
      </c>
      <c r="N245">
        <f t="shared" ca="1" si="46"/>
        <v>9260</v>
      </c>
      <c r="O245">
        <f t="shared" ca="1" si="47"/>
        <v>9260</v>
      </c>
      <c r="P245">
        <f t="shared" ca="1" si="48"/>
        <v>6615</v>
      </c>
      <c r="Q245">
        <v>27</v>
      </c>
      <c r="R245" t="str">
        <f t="shared" si="49"/>
        <v>Young</v>
      </c>
      <c r="S245" t="s">
        <v>24</v>
      </c>
      <c r="T245">
        <v>8</v>
      </c>
      <c r="U245" t="s">
        <v>25</v>
      </c>
      <c r="V245">
        <v>802.17</v>
      </c>
      <c r="W245" t="s">
        <v>35</v>
      </c>
      <c r="X245" t="s">
        <v>55</v>
      </c>
      <c r="Y245">
        <v>18</v>
      </c>
      <c r="Z245" t="str">
        <f t="shared" si="50"/>
        <v>Bad Employee</v>
      </c>
      <c r="AA245" t="b">
        <f t="shared" si="51"/>
        <v>0</v>
      </c>
      <c r="AB245" t="b">
        <f>OR(Y245&gt;20, T245&gt;6)</f>
        <v>1</v>
      </c>
      <c r="AC245" t="str">
        <f>IF(OR(Y245&gt;20,T245&gt;6), "Good employee", "Bad Employee")</f>
        <v>Good employee</v>
      </c>
      <c r="AD245" t="s">
        <v>56</v>
      </c>
      <c r="AE245" t="s">
        <v>62</v>
      </c>
      <c r="AF245">
        <v>5</v>
      </c>
      <c r="AG245">
        <v>2022</v>
      </c>
      <c r="AH245" t="s">
        <v>30</v>
      </c>
      <c r="AI245">
        <v>53</v>
      </c>
      <c r="AJ245">
        <v>2.5</v>
      </c>
    </row>
    <row r="246" spans="1:36" x14ac:dyDescent="0.25">
      <c r="A246">
        <v>10245</v>
      </c>
      <c r="B246" t="s">
        <v>21</v>
      </c>
      <c r="C246" t="s">
        <v>51</v>
      </c>
      <c r="D246" t="s">
        <v>52</v>
      </c>
      <c r="E246" t="str">
        <f t="shared" si="39"/>
        <v>Michael Brown is in Operations Department</v>
      </c>
      <c r="F246" s="6" t="str">
        <f t="shared" si="40"/>
        <v>michaelbrown@gmail.com</v>
      </c>
      <c r="G246">
        <v>100375</v>
      </c>
      <c r="H246" t="str">
        <f t="shared" si="41"/>
        <v>High</v>
      </c>
      <c r="I246" s="3">
        <v>42963</v>
      </c>
      <c r="J246">
        <f t="shared" si="42"/>
        <v>2017</v>
      </c>
      <c r="K246">
        <f t="shared" si="43"/>
        <v>8</v>
      </c>
      <c r="L246">
        <f t="shared" si="44"/>
        <v>16</v>
      </c>
      <c r="M246" s="3">
        <f t="shared" ca="1" si="45"/>
        <v>46100</v>
      </c>
      <c r="N246">
        <f t="shared" ca="1" si="46"/>
        <v>3137</v>
      </c>
      <c r="O246">
        <f t="shared" ca="1" si="47"/>
        <v>3137</v>
      </c>
      <c r="P246">
        <f t="shared" ca="1" si="48"/>
        <v>2242</v>
      </c>
      <c r="Q246">
        <v>38</v>
      </c>
      <c r="R246" t="str">
        <f t="shared" si="49"/>
        <v>Old</v>
      </c>
      <c r="S246" t="s">
        <v>34</v>
      </c>
      <c r="T246">
        <v>7</v>
      </c>
      <c r="U246" t="s">
        <v>25</v>
      </c>
      <c r="V246">
        <v>5657.71</v>
      </c>
      <c r="W246" t="s">
        <v>46</v>
      </c>
      <c r="X246" t="s">
        <v>40</v>
      </c>
      <c r="Y246">
        <v>20</v>
      </c>
      <c r="Z246" t="str">
        <f t="shared" si="50"/>
        <v>Bad Employee</v>
      </c>
      <c r="AA246" t="b">
        <f t="shared" si="51"/>
        <v>0</v>
      </c>
      <c r="AB246" t="b">
        <f>OR(Y246&gt;20, T246&gt;6)</f>
        <v>1</v>
      </c>
      <c r="AC246" t="str">
        <f>IF(OR(Y246&gt;20,T246&gt;6), "Good employee", "Bad Employee")</f>
        <v>Good employee</v>
      </c>
      <c r="AD246" t="s">
        <v>28</v>
      </c>
      <c r="AE246" t="s">
        <v>37</v>
      </c>
      <c r="AF246">
        <v>18</v>
      </c>
      <c r="AG246">
        <v>2020</v>
      </c>
      <c r="AH246" t="s">
        <v>49</v>
      </c>
      <c r="AI246">
        <v>165</v>
      </c>
      <c r="AJ246">
        <v>4.9000000000000004</v>
      </c>
    </row>
    <row r="247" spans="1:36" x14ac:dyDescent="0.25">
      <c r="A247">
        <v>10246</v>
      </c>
      <c r="B247" t="s">
        <v>64</v>
      </c>
      <c r="C247" t="s">
        <v>22</v>
      </c>
      <c r="D247" t="s">
        <v>23</v>
      </c>
      <c r="E247" t="str">
        <f t="shared" si="39"/>
        <v>Katie Williams is in HR Department</v>
      </c>
      <c r="F247" s="6" t="str">
        <f t="shared" si="40"/>
        <v>katiewilliams@gmail.com</v>
      </c>
      <c r="G247">
        <v>92509</v>
      </c>
      <c r="H247" t="str">
        <f t="shared" si="41"/>
        <v>High</v>
      </c>
      <c r="I247" s="3">
        <v>39607</v>
      </c>
      <c r="J247">
        <f t="shared" si="42"/>
        <v>2008</v>
      </c>
      <c r="K247">
        <f t="shared" si="43"/>
        <v>6</v>
      </c>
      <c r="L247">
        <f t="shared" si="44"/>
        <v>8</v>
      </c>
      <c r="M247" s="3">
        <f t="shared" ca="1" si="45"/>
        <v>46100</v>
      </c>
      <c r="N247">
        <f t="shared" ca="1" si="46"/>
        <v>6493</v>
      </c>
      <c r="O247">
        <f t="shared" ca="1" si="47"/>
        <v>6493</v>
      </c>
      <c r="P247">
        <f t="shared" ca="1" si="48"/>
        <v>4639</v>
      </c>
      <c r="Q247">
        <v>49</v>
      </c>
      <c r="R247" t="str">
        <f t="shared" si="49"/>
        <v>Old</v>
      </c>
      <c r="S247" t="s">
        <v>24</v>
      </c>
      <c r="T247">
        <v>9</v>
      </c>
      <c r="U247" t="s">
        <v>25</v>
      </c>
      <c r="V247">
        <v>8156.43</v>
      </c>
      <c r="W247" t="s">
        <v>35</v>
      </c>
      <c r="X247" t="s">
        <v>27</v>
      </c>
      <c r="Y247">
        <v>1</v>
      </c>
      <c r="Z247" t="str">
        <f t="shared" si="50"/>
        <v>Bad Employee</v>
      </c>
      <c r="AA247" t="b">
        <f t="shared" si="51"/>
        <v>0</v>
      </c>
      <c r="AB247" t="b">
        <f>OR(Y247&gt;20, T247&gt;6)</f>
        <v>1</v>
      </c>
      <c r="AC247" t="str">
        <f>IF(OR(Y247&gt;20,T247&gt;6), "Good employee", "Bad Employee")</f>
        <v>Good employee</v>
      </c>
      <c r="AD247" t="s">
        <v>41</v>
      </c>
      <c r="AE247" t="s">
        <v>37</v>
      </c>
      <c r="AF247">
        <v>16</v>
      </c>
      <c r="AG247">
        <v>2015</v>
      </c>
      <c r="AH247" t="s">
        <v>43</v>
      </c>
      <c r="AI247">
        <v>31</v>
      </c>
      <c r="AJ247">
        <v>1</v>
      </c>
    </row>
    <row r="248" spans="1:36" x14ac:dyDescent="0.25">
      <c r="A248">
        <v>10247</v>
      </c>
      <c r="B248" t="s">
        <v>66</v>
      </c>
      <c r="C248" t="s">
        <v>22</v>
      </c>
      <c r="D248" t="s">
        <v>33</v>
      </c>
      <c r="E248" t="str">
        <f t="shared" si="39"/>
        <v>John Williams is in Marketing Department</v>
      </c>
      <c r="F248" s="6" t="str">
        <f t="shared" si="40"/>
        <v>johnwilliams@gmail.com</v>
      </c>
      <c r="G248">
        <v>30557</v>
      </c>
      <c r="H248" t="str">
        <f t="shared" si="41"/>
        <v>extremely low</v>
      </c>
      <c r="I248" s="3">
        <v>42322</v>
      </c>
      <c r="J248">
        <f t="shared" si="42"/>
        <v>2015</v>
      </c>
      <c r="K248">
        <f t="shared" si="43"/>
        <v>11</v>
      </c>
      <c r="L248">
        <f t="shared" si="44"/>
        <v>14</v>
      </c>
      <c r="M248" s="3">
        <f t="shared" ca="1" si="45"/>
        <v>46100</v>
      </c>
      <c r="N248">
        <f t="shared" ca="1" si="46"/>
        <v>3778</v>
      </c>
      <c r="O248">
        <f t="shared" ca="1" si="47"/>
        <v>3778</v>
      </c>
      <c r="P248">
        <f t="shared" ca="1" si="48"/>
        <v>2699</v>
      </c>
      <c r="Q248">
        <v>52</v>
      </c>
      <c r="R248" t="str">
        <f t="shared" si="49"/>
        <v>Old</v>
      </c>
      <c r="S248" t="s">
        <v>24</v>
      </c>
      <c r="T248">
        <v>7</v>
      </c>
      <c r="U248" t="s">
        <v>25</v>
      </c>
      <c r="V248">
        <v>3123.17</v>
      </c>
      <c r="W248" t="s">
        <v>58</v>
      </c>
      <c r="X248" t="s">
        <v>55</v>
      </c>
      <c r="Y248">
        <v>1</v>
      </c>
      <c r="Z248" t="str">
        <f t="shared" si="50"/>
        <v>Bad Employee</v>
      </c>
      <c r="AA248" t="b">
        <f t="shared" si="51"/>
        <v>0</v>
      </c>
      <c r="AB248" t="b">
        <f>OR(Y248&gt;20, T248&gt;6)</f>
        <v>1</v>
      </c>
      <c r="AC248" t="str">
        <f>IF(OR(Y248&gt;20,T248&gt;6), "Good employee", "Bad Employee")</f>
        <v>Good employee</v>
      </c>
      <c r="AD248" t="s">
        <v>56</v>
      </c>
      <c r="AE248" t="s">
        <v>29</v>
      </c>
      <c r="AF248">
        <v>2</v>
      </c>
      <c r="AG248">
        <v>2023</v>
      </c>
      <c r="AH248" t="s">
        <v>49</v>
      </c>
      <c r="AI248">
        <v>49</v>
      </c>
      <c r="AJ248">
        <v>2.2000000000000002</v>
      </c>
    </row>
    <row r="249" spans="1:36" x14ac:dyDescent="0.25">
      <c r="A249">
        <v>10248</v>
      </c>
      <c r="B249" t="s">
        <v>66</v>
      </c>
      <c r="C249" t="s">
        <v>51</v>
      </c>
      <c r="D249" t="s">
        <v>23</v>
      </c>
      <c r="E249" t="str">
        <f t="shared" si="39"/>
        <v>John Brown is in HR Department</v>
      </c>
      <c r="F249" s="6" t="str">
        <f t="shared" si="40"/>
        <v>johnbrown@gmail.com</v>
      </c>
      <c r="G249">
        <v>60666</v>
      </c>
      <c r="H249" t="str">
        <f t="shared" si="41"/>
        <v>Medium</v>
      </c>
      <c r="I249" s="3">
        <v>43689</v>
      </c>
      <c r="J249">
        <f t="shared" si="42"/>
        <v>2019</v>
      </c>
      <c r="K249">
        <f t="shared" si="43"/>
        <v>8</v>
      </c>
      <c r="L249">
        <f t="shared" si="44"/>
        <v>12</v>
      </c>
      <c r="M249" s="3">
        <f t="shared" ca="1" si="45"/>
        <v>46100</v>
      </c>
      <c r="N249">
        <f t="shared" ca="1" si="46"/>
        <v>2411</v>
      </c>
      <c r="O249">
        <f t="shared" ca="1" si="47"/>
        <v>2411</v>
      </c>
      <c r="P249">
        <f t="shared" ca="1" si="48"/>
        <v>1724</v>
      </c>
      <c r="Q249">
        <v>57</v>
      </c>
      <c r="R249" t="str">
        <f t="shared" si="49"/>
        <v>Old</v>
      </c>
      <c r="S249" t="s">
        <v>24</v>
      </c>
      <c r="T249">
        <v>1</v>
      </c>
      <c r="U249" t="s">
        <v>45</v>
      </c>
      <c r="V249">
        <v>9024.94</v>
      </c>
      <c r="W249" t="s">
        <v>46</v>
      </c>
      <c r="X249" t="s">
        <v>40</v>
      </c>
      <c r="Y249">
        <v>11</v>
      </c>
      <c r="Z249" t="str">
        <f t="shared" si="50"/>
        <v>Bad Employee</v>
      </c>
      <c r="AA249" t="b">
        <f t="shared" si="51"/>
        <v>0</v>
      </c>
      <c r="AB249" t="b">
        <f>OR(Y249&gt;20, T249&gt;6)</f>
        <v>0</v>
      </c>
      <c r="AC249" t="str">
        <f>IF(OR(Y249&gt;20,T249&gt;6), "Good employee", "Bad Employee")</f>
        <v>Bad Employee</v>
      </c>
      <c r="AD249" t="s">
        <v>41</v>
      </c>
      <c r="AE249" t="s">
        <v>42</v>
      </c>
      <c r="AF249">
        <v>19</v>
      </c>
      <c r="AG249">
        <v>2020</v>
      </c>
      <c r="AH249" t="s">
        <v>49</v>
      </c>
      <c r="AI249">
        <v>35</v>
      </c>
      <c r="AJ249">
        <v>4.7</v>
      </c>
    </row>
    <row r="250" spans="1:36" x14ac:dyDescent="0.25">
      <c r="A250">
        <v>10249</v>
      </c>
      <c r="B250" t="s">
        <v>66</v>
      </c>
      <c r="C250" t="s">
        <v>57</v>
      </c>
      <c r="D250" t="s">
        <v>44</v>
      </c>
      <c r="E250" t="str">
        <f t="shared" si="39"/>
        <v>John Davis is in Sales Department</v>
      </c>
      <c r="F250" s="6" t="str">
        <f t="shared" si="40"/>
        <v>johndavis@gmail.com</v>
      </c>
      <c r="G250">
        <v>67389</v>
      </c>
      <c r="H250" t="str">
        <f t="shared" si="41"/>
        <v>Medium</v>
      </c>
      <c r="I250" s="3">
        <v>41639</v>
      </c>
      <c r="J250">
        <f t="shared" si="42"/>
        <v>2013</v>
      </c>
      <c r="K250">
        <f t="shared" si="43"/>
        <v>12</v>
      </c>
      <c r="L250">
        <f t="shared" si="44"/>
        <v>31</v>
      </c>
      <c r="M250" s="3">
        <f t="shared" ca="1" si="45"/>
        <v>46100</v>
      </c>
      <c r="N250">
        <f t="shared" ca="1" si="46"/>
        <v>4461</v>
      </c>
      <c r="O250">
        <f t="shared" ca="1" si="47"/>
        <v>4461</v>
      </c>
      <c r="P250">
        <f t="shared" ca="1" si="48"/>
        <v>3188</v>
      </c>
      <c r="Q250">
        <v>30</v>
      </c>
      <c r="R250" t="str">
        <f t="shared" si="49"/>
        <v>Young</v>
      </c>
      <c r="S250" t="s">
        <v>24</v>
      </c>
      <c r="T250">
        <v>9</v>
      </c>
      <c r="U250" t="s">
        <v>45</v>
      </c>
      <c r="V250">
        <v>2744.47</v>
      </c>
      <c r="W250" t="s">
        <v>35</v>
      </c>
      <c r="X250" t="s">
        <v>47</v>
      </c>
      <c r="Y250">
        <v>29</v>
      </c>
      <c r="Z250" t="str">
        <f t="shared" si="50"/>
        <v>Good Employee</v>
      </c>
      <c r="AA250" t="b">
        <f t="shared" si="51"/>
        <v>1</v>
      </c>
      <c r="AB250" t="b">
        <f>OR(Y250&gt;20, T250&gt;6)</f>
        <v>1</v>
      </c>
      <c r="AC250" t="str">
        <f>IF(OR(Y250&gt;20,T250&gt;6), "Good employee", "Bad Employee")</f>
        <v>Good employee</v>
      </c>
      <c r="AD250" t="s">
        <v>41</v>
      </c>
      <c r="AE250" t="s">
        <v>29</v>
      </c>
      <c r="AF250">
        <v>9</v>
      </c>
      <c r="AG250">
        <v>2014</v>
      </c>
      <c r="AH250" t="s">
        <v>30</v>
      </c>
      <c r="AI250">
        <v>67</v>
      </c>
      <c r="AJ250">
        <v>2.2000000000000002</v>
      </c>
    </row>
    <row r="251" spans="1:36" x14ac:dyDescent="0.25">
      <c r="A251">
        <v>10250</v>
      </c>
      <c r="B251" t="s">
        <v>50</v>
      </c>
      <c r="C251" t="s">
        <v>65</v>
      </c>
      <c r="D251" t="s">
        <v>54</v>
      </c>
      <c r="E251" t="str">
        <f t="shared" si="39"/>
        <v>Alex Johnson is in Finance Department</v>
      </c>
      <c r="F251" s="6" t="str">
        <f t="shared" si="40"/>
        <v>alexjohnson@gmail.com</v>
      </c>
      <c r="G251">
        <v>77700</v>
      </c>
      <c r="H251" t="str">
        <f t="shared" si="41"/>
        <v>Medium</v>
      </c>
      <c r="I251" s="3">
        <v>41259</v>
      </c>
      <c r="J251">
        <f t="shared" si="42"/>
        <v>2012</v>
      </c>
      <c r="K251">
        <f t="shared" si="43"/>
        <v>12</v>
      </c>
      <c r="L251">
        <f t="shared" si="44"/>
        <v>16</v>
      </c>
      <c r="M251" s="3">
        <f t="shared" ca="1" si="45"/>
        <v>46100</v>
      </c>
      <c r="N251">
        <f t="shared" ca="1" si="46"/>
        <v>4841</v>
      </c>
      <c r="O251">
        <f t="shared" ca="1" si="47"/>
        <v>4841</v>
      </c>
      <c r="P251">
        <f t="shared" ca="1" si="48"/>
        <v>3459</v>
      </c>
      <c r="Q251">
        <v>31</v>
      </c>
      <c r="R251" t="str">
        <f t="shared" si="49"/>
        <v>Old</v>
      </c>
      <c r="S251" t="s">
        <v>34</v>
      </c>
      <c r="T251">
        <v>5</v>
      </c>
      <c r="U251" t="s">
        <v>25</v>
      </c>
      <c r="V251">
        <v>1226.49</v>
      </c>
      <c r="W251" t="s">
        <v>35</v>
      </c>
      <c r="X251" t="s">
        <v>40</v>
      </c>
      <c r="Y251">
        <v>29</v>
      </c>
      <c r="Z251" t="str">
        <f t="shared" si="50"/>
        <v>Bad Employee</v>
      </c>
      <c r="AA251" t="b">
        <f t="shared" si="51"/>
        <v>0</v>
      </c>
      <c r="AB251" t="b">
        <f>OR(Y251&gt;20, T251&gt;6)</f>
        <v>1</v>
      </c>
      <c r="AC251" t="str">
        <f>IF(OR(Y251&gt;20,T251&gt;6), "Good employee", "Bad Employee")</f>
        <v>Good employee</v>
      </c>
      <c r="AD251" t="s">
        <v>56</v>
      </c>
      <c r="AE251" t="s">
        <v>42</v>
      </c>
      <c r="AF251">
        <v>12</v>
      </c>
      <c r="AG251">
        <v>2019</v>
      </c>
      <c r="AH251" t="s">
        <v>49</v>
      </c>
      <c r="AI251">
        <v>116</v>
      </c>
      <c r="AJ251">
        <v>1.9</v>
      </c>
    </row>
    <row r="252" spans="1:36" x14ac:dyDescent="0.25">
      <c r="A252">
        <v>10251</v>
      </c>
      <c r="B252" t="s">
        <v>64</v>
      </c>
      <c r="C252" t="s">
        <v>61</v>
      </c>
      <c r="D252" t="s">
        <v>52</v>
      </c>
      <c r="E252" t="str">
        <f t="shared" si="39"/>
        <v>Katie Smith is in Operations Department</v>
      </c>
      <c r="F252" s="6" t="str">
        <f t="shared" si="40"/>
        <v>katiesmith@gmail.com</v>
      </c>
      <c r="G252">
        <v>54578</v>
      </c>
      <c r="H252" t="str">
        <f t="shared" si="41"/>
        <v>Medium</v>
      </c>
      <c r="I252" s="3">
        <v>38840</v>
      </c>
      <c r="J252">
        <f t="shared" si="42"/>
        <v>2006</v>
      </c>
      <c r="K252">
        <f t="shared" si="43"/>
        <v>5</v>
      </c>
      <c r="L252">
        <f t="shared" si="44"/>
        <v>3</v>
      </c>
      <c r="M252" s="3">
        <f t="shared" ca="1" si="45"/>
        <v>46100</v>
      </c>
      <c r="N252">
        <f t="shared" ca="1" si="46"/>
        <v>7260</v>
      </c>
      <c r="O252">
        <f t="shared" ca="1" si="47"/>
        <v>7260</v>
      </c>
      <c r="P252">
        <f t="shared" ca="1" si="48"/>
        <v>5187</v>
      </c>
      <c r="Q252">
        <v>42</v>
      </c>
      <c r="R252" t="str">
        <f t="shared" si="49"/>
        <v>Old</v>
      </c>
      <c r="S252" t="s">
        <v>34</v>
      </c>
      <c r="T252">
        <v>6</v>
      </c>
      <c r="U252" t="s">
        <v>45</v>
      </c>
      <c r="V252">
        <v>2019.42</v>
      </c>
      <c r="W252" t="s">
        <v>35</v>
      </c>
      <c r="X252" t="s">
        <v>36</v>
      </c>
      <c r="Y252">
        <v>24</v>
      </c>
      <c r="Z252" t="str">
        <f t="shared" si="50"/>
        <v>Bad Employee</v>
      </c>
      <c r="AA252" t="b">
        <f t="shared" si="51"/>
        <v>0</v>
      </c>
      <c r="AB252" t="b">
        <f>OR(Y252&gt;20, T252&gt;6)</f>
        <v>1</v>
      </c>
      <c r="AC252" t="str">
        <f>IF(OR(Y252&gt;20,T252&gt;6), "Good employee", "Bad Employee")</f>
        <v>Good employee</v>
      </c>
      <c r="AD252" t="s">
        <v>41</v>
      </c>
      <c r="AE252" t="s">
        <v>42</v>
      </c>
      <c r="AF252">
        <v>19</v>
      </c>
      <c r="AG252">
        <v>2018</v>
      </c>
      <c r="AH252" t="s">
        <v>43</v>
      </c>
      <c r="AI252">
        <v>170</v>
      </c>
      <c r="AJ252">
        <v>3.9</v>
      </c>
    </row>
    <row r="253" spans="1:36" x14ac:dyDescent="0.25">
      <c r="A253">
        <v>10252</v>
      </c>
      <c r="B253" t="s">
        <v>66</v>
      </c>
      <c r="C253" t="s">
        <v>57</v>
      </c>
      <c r="D253" t="s">
        <v>54</v>
      </c>
      <c r="E253" t="str">
        <f t="shared" si="39"/>
        <v>John Davis is in Finance Department</v>
      </c>
      <c r="F253" s="6" t="str">
        <f t="shared" si="40"/>
        <v>johndavis@gmail.com</v>
      </c>
      <c r="G253">
        <v>104779</v>
      </c>
      <c r="H253" t="str">
        <f t="shared" si="41"/>
        <v>High</v>
      </c>
      <c r="I253" s="3">
        <v>38661</v>
      </c>
      <c r="J253">
        <f t="shared" si="42"/>
        <v>2005</v>
      </c>
      <c r="K253">
        <f t="shared" si="43"/>
        <v>11</v>
      </c>
      <c r="L253">
        <f t="shared" si="44"/>
        <v>5</v>
      </c>
      <c r="M253" s="3">
        <f t="shared" ca="1" si="45"/>
        <v>46100</v>
      </c>
      <c r="N253">
        <f t="shared" ca="1" si="46"/>
        <v>7439</v>
      </c>
      <c r="O253">
        <f t="shared" ca="1" si="47"/>
        <v>7439</v>
      </c>
      <c r="P253">
        <f t="shared" ca="1" si="48"/>
        <v>5314</v>
      </c>
      <c r="Q253">
        <v>55</v>
      </c>
      <c r="R253" t="str">
        <f t="shared" si="49"/>
        <v>Old</v>
      </c>
      <c r="S253" t="s">
        <v>34</v>
      </c>
      <c r="T253">
        <v>2</v>
      </c>
      <c r="U253" t="s">
        <v>25</v>
      </c>
      <c r="V253">
        <v>8451.5300000000007</v>
      </c>
      <c r="W253" t="s">
        <v>35</v>
      </c>
      <c r="X253" t="s">
        <v>27</v>
      </c>
      <c r="Y253">
        <v>20</v>
      </c>
      <c r="Z253" t="str">
        <f t="shared" si="50"/>
        <v>Bad Employee</v>
      </c>
      <c r="AA253" t="b">
        <f t="shared" si="51"/>
        <v>0</v>
      </c>
      <c r="AB253" t="b">
        <f>OR(Y253&gt;20, T253&gt;6)</f>
        <v>0</v>
      </c>
      <c r="AC253" t="str">
        <f>IF(OR(Y253&gt;20,T253&gt;6), "Good employee", "Bad Employee")</f>
        <v>Bad Employee</v>
      </c>
      <c r="AD253" t="s">
        <v>41</v>
      </c>
      <c r="AE253" t="s">
        <v>59</v>
      </c>
      <c r="AF253">
        <v>17</v>
      </c>
      <c r="AG253">
        <v>2019</v>
      </c>
      <c r="AH253" t="s">
        <v>49</v>
      </c>
      <c r="AI253">
        <v>112</v>
      </c>
      <c r="AJ253">
        <v>4</v>
      </c>
    </row>
    <row r="254" spans="1:36" x14ac:dyDescent="0.25">
      <c r="A254">
        <v>10253</v>
      </c>
      <c r="B254" t="s">
        <v>31</v>
      </c>
      <c r="C254" t="s">
        <v>63</v>
      </c>
      <c r="D254" t="s">
        <v>44</v>
      </c>
      <c r="E254" t="str">
        <f t="shared" si="39"/>
        <v>Emily Miller is in Sales Department</v>
      </c>
      <c r="F254" s="6" t="str">
        <f t="shared" si="40"/>
        <v>emilymiller@gmail.com</v>
      </c>
      <c r="G254">
        <v>39596</v>
      </c>
      <c r="H254" t="str">
        <f t="shared" si="41"/>
        <v>extremely low</v>
      </c>
      <c r="I254" s="3">
        <v>43124</v>
      </c>
      <c r="J254">
        <f t="shared" si="42"/>
        <v>2018</v>
      </c>
      <c r="K254">
        <f t="shared" si="43"/>
        <v>1</v>
      </c>
      <c r="L254">
        <f t="shared" si="44"/>
        <v>24</v>
      </c>
      <c r="M254" s="3">
        <f t="shared" ca="1" si="45"/>
        <v>46100</v>
      </c>
      <c r="N254">
        <f t="shared" ca="1" si="46"/>
        <v>2976</v>
      </c>
      <c r="O254">
        <f t="shared" ca="1" si="47"/>
        <v>2976</v>
      </c>
      <c r="P254">
        <f t="shared" ca="1" si="48"/>
        <v>2127</v>
      </c>
      <c r="Q254">
        <v>52</v>
      </c>
      <c r="R254" t="str">
        <f t="shared" si="49"/>
        <v>Old</v>
      </c>
      <c r="S254" t="s">
        <v>34</v>
      </c>
      <c r="T254">
        <v>2</v>
      </c>
      <c r="U254" t="s">
        <v>45</v>
      </c>
      <c r="V254">
        <v>4464.41</v>
      </c>
      <c r="W254" t="s">
        <v>46</v>
      </c>
      <c r="X254" t="s">
        <v>40</v>
      </c>
      <c r="Y254">
        <v>30</v>
      </c>
      <c r="Z254" t="str">
        <f t="shared" si="50"/>
        <v>Bad Employee</v>
      </c>
      <c r="AA254" t="b">
        <f t="shared" si="51"/>
        <v>0</v>
      </c>
      <c r="AB254" t="b">
        <f>OR(Y254&gt;20, T254&gt;6)</f>
        <v>1</v>
      </c>
      <c r="AC254" t="str">
        <f>IF(OR(Y254&gt;20,T254&gt;6), "Good employee", "Bad Employee")</f>
        <v>Good employee</v>
      </c>
      <c r="AD254" t="s">
        <v>28</v>
      </c>
      <c r="AE254" t="s">
        <v>62</v>
      </c>
      <c r="AF254">
        <v>18</v>
      </c>
      <c r="AG254">
        <v>2019</v>
      </c>
      <c r="AH254" t="s">
        <v>49</v>
      </c>
      <c r="AI254">
        <v>172</v>
      </c>
      <c r="AJ254">
        <v>2.9</v>
      </c>
    </row>
    <row r="255" spans="1:36" x14ac:dyDescent="0.25">
      <c r="A255">
        <v>10254</v>
      </c>
      <c r="B255" t="s">
        <v>38</v>
      </c>
      <c r="C255" t="s">
        <v>32</v>
      </c>
      <c r="D255" t="s">
        <v>44</v>
      </c>
      <c r="E255" t="str">
        <f t="shared" si="39"/>
        <v>Chris Wilson is in Sales Department</v>
      </c>
      <c r="F255" s="6" t="str">
        <f t="shared" si="40"/>
        <v>chriswilson@gmail.com</v>
      </c>
      <c r="G255">
        <v>87500</v>
      </c>
      <c r="H255" t="str">
        <f t="shared" si="41"/>
        <v>High</v>
      </c>
      <c r="I255" s="3">
        <v>38175</v>
      </c>
      <c r="J255">
        <f t="shared" si="42"/>
        <v>2004</v>
      </c>
      <c r="K255">
        <f t="shared" si="43"/>
        <v>7</v>
      </c>
      <c r="L255">
        <f t="shared" si="44"/>
        <v>7</v>
      </c>
      <c r="M255" s="3">
        <f t="shared" ca="1" si="45"/>
        <v>46100</v>
      </c>
      <c r="N255">
        <f t="shared" ca="1" si="46"/>
        <v>7925</v>
      </c>
      <c r="O255">
        <f t="shared" ca="1" si="47"/>
        <v>7925</v>
      </c>
      <c r="P255">
        <f t="shared" ca="1" si="48"/>
        <v>5662</v>
      </c>
      <c r="Q255">
        <v>50</v>
      </c>
      <c r="R255" t="str">
        <f t="shared" si="49"/>
        <v>Old</v>
      </c>
      <c r="S255" t="s">
        <v>24</v>
      </c>
      <c r="T255">
        <v>4</v>
      </c>
      <c r="U255" t="s">
        <v>45</v>
      </c>
      <c r="V255">
        <v>8070.98</v>
      </c>
      <c r="W255" t="s">
        <v>35</v>
      </c>
      <c r="X255" t="s">
        <v>40</v>
      </c>
      <c r="Y255">
        <v>38</v>
      </c>
      <c r="Z255" t="str">
        <f t="shared" si="50"/>
        <v>Bad Employee</v>
      </c>
      <c r="AA255" t="b">
        <f t="shared" si="51"/>
        <v>0</v>
      </c>
      <c r="AB255" t="b">
        <f>OR(Y255&gt;20, T255&gt;6)</f>
        <v>1</v>
      </c>
      <c r="AC255" t="str">
        <f>IF(OR(Y255&gt;20,T255&gt;6), "Good employee", "Bad Employee")</f>
        <v>Good employee</v>
      </c>
      <c r="AD255" t="s">
        <v>41</v>
      </c>
      <c r="AE255" t="s">
        <v>59</v>
      </c>
      <c r="AF255">
        <v>16</v>
      </c>
      <c r="AG255">
        <v>2014</v>
      </c>
      <c r="AH255" t="s">
        <v>43</v>
      </c>
      <c r="AI255">
        <v>190</v>
      </c>
      <c r="AJ255">
        <v>4.8</v>
      </c>
    </row>
    <row r="256" spans="1:36" x14ac:dyDescent="0.25">
      <c r="A256">
        <v>10255</v>
      </c>
      <c r="B256" t="s">
        <v>66</v>
      </c>
      <c r="C256" t="s">
        <v>51</v>
      </c>
      <c r="D256" t="s">
        <v>52</v>
      </c>
      <c r="E256" t="str">
        <f t="shared" si="39"/>
        <v>John Brown is in Operations Department</v>
      </c>
      <c r="F256" s="6" t="str">
        <f t="shared" si="40"/>
        <v>johnbrown@gmail.com</v>
      </c>
      <c r="G256">
        <v>102534</v>
      </c>
      <c r="H256" t="str">
        <f t="shared" si="41"/>
        <v>High</v>
      </c>
      <c r="I256" s="3">
        <v>39745</v>
      </c>
      <c r="J256">
        <f t="shared" si="42"/>
        <v>2008</v>
      </c>
      <c r="K256">
        <f t="shared" si="43"/>
        <v>10</v>
      </c>
      <c r="L256">
        <f t="shared" si="44"/>
        <v>24</v>
      </c>
      <c r="M256" s="3">
        <f t="shared" ca="1" si="45"/>
        <v>46100</v>
      </c>
      <c r="N256">
        <f t="shared" ca="1" si="46"/>
        <v>6355</v>
      </c>
      <c r="O256">
        <f t="shared" ca="1" si="47"/>
        <v>6355</v>
      </c>
      <c r="P256">
        <f t="shared" ca="1" si="48"/>
        <v>4540</v>
      </c>
      <c r="Q256">
        <v>64</v>
      </c>
      <c r="R256" t="str">
        <f t="shared" si="49"/>
        <v>Old</v>
      </c>
      <c r="S256" t="s">
        <v>24</v>
      </c>
      <c r="T256">
        <v>4</v>
      </c>
      <c r="U256" t="s">
        <v>45</v>
      </c>
      <c r="V256">
        <v>5546.71</v>
      </c>
      <c r="W256" t="s">
        <v>58</v>
      </c>
      <c r="X256" t="s">
        <v>55</v>
      </c>
      <c r="Y256">
        <v>5</v>
      </c>
      <c r="Z256" t="str">
        <f t="shared" si="50"/>
        <v>Bad Employee</v>
      </c>
      <c r="AA256" t="b">
        <f t="shared" si="51"/>
        <v>0</v>
      </c>
      <c r="AB256" t="b">
        <f>OR(Y256&gt;20, T256&gt;6)</f>
        <v>0</v>
      </c>
      <c r="AC256" t="str">
        <f>IF(OR(Y256&gt;20,T256&gt;6), "Good employee", "Bad Employee")</f>
        <v>Bad Employee</v>
      </c>
      <c r="AD256" t="s">
        <v>28</v>
      </c>
      <c r="AE256" t="s">
        <v>62</v>
      </c>
      <c r="AF256">
        <v>7</v>
      </c>
      <c r="AG256">
        <v>2018</v>
      </c>
      <c r="AH256" t="s">
        <v>49</v>
      </c>
      <c r="AI256">
        <v>69</v>
      </c>
      <c r="AJ256">
        <v>1.8</v>
      </c>
    </row>
    <row r="257" spans="1:36" x14ac:dyDescent="0.25">
      <c r="A257">
        <v>10256</v>
      </c>
      <c r="B257" t="s">
        <v>50</v>
      </c>
      <c r="C257" t="s">
        <v>61</v>
      </c>
      <c r="D257" t="s">
        <v>52</v>
      </c>
      <c r="E257" t="str">
        <f t="shared" si="39"/>
        <v>Alex Smith is in Operations Department</v>
      </c>
      <c r="F257" s="6" t="str">
        <f t="shared" si="40"/>
        <v>alexsmith@gmail.com</v>
      </c>
      <c r="G257">
        <v>40129</v>
      </c>
      <c r="H257" t="str">
        <f t="shared" si="41"/>
        <v>low</v>
      </c>
      <c r="I257" s="3">
        <v>43426</v>
      </c>
      <c r="J257">
        <f t="shared" si="42"/>
        <v>2018</v>
      </c>
      <c r="K257">
        <f t="shared" si="43"/>
        <v>11</v>
      </c>
      <c r="L257">
        <f t="shared" si="44"/>
        <v>22</v>
      </c>
      <c r="M257" s="3">
        <f t="shared" ca="1" si="45"/>
        <v>46100</v>
      </c>
      <c r="N257">
        <f t="shared" ca="1" si="46"/>
        <v>2674</v>
      </c>
      <c r="O257">
        <f t="shared" ca="1" si="47"/>
        <v>2674</v>
      </c>
      <c r="P257">
        <f t="shared" ca="1" si="48"/>
        <v>1911</v>
      </c>
      <c r="Q257">
        <v>64</v>
      </c>
      <c r="R257" t="str">
        <f t="shared" si="49"/>
        <v>Old</v>
      </c>
      <c r="S257" t="s">
        <v>24</v>
      </c>
      <c r="T257">
        <v>5</v>
      </c>
      <c r="U257" t="s">
        <v>25</v>
      </c>
      <c r="V257">
        <v>5065.3100000000004</v>
      </c>
      <c r="W257" t="s">
        <v>26</v>
      </c>
      <c r="X257" t="s">
        <v>36</v>
      </c>
      <c r="Y257">
        <v>10</v>
      </c>
      <c r="Z257" t="str">
        <f t="shared" si="50"/>
        <v>Bad Employee</v>
      </c>
      <c r="AA257" t="b">
        <f t="shared" si="51"/>
        <v>0</v>
      </c>
      <c r="AB257" t="b">
        <f>OR(Y257&gt;20, T257&gt;6)</f>
        <v>0</v>
      </c>
      <c r="AC257" t="str">
        <f>IF(OR(Y257&gt;20,T257&gt;6), "Good employee", "Bad Employee")</f>
        <v>Bad Employee</v>
      </c>
      <c r="AD257" t="s">
        <v>41</v>
      </c>
      <c r="AE257" t="s">
        <v>59</v>
      </c>
      <c r="AF257">
        <v>17</v>
      </c>
      <c r="AG257">
        <v>2019</v>
      </c>
      <c r="AH257" t="s">
        <v>30</v>
      </c>
      <c r="AI257">
        <v>15</v>
      </c>
      <c r="AJ257">
        <v>4.7</v>
      </c>
    </row>
    <row r="258" spans="1:36" x14ac:dyDescent="0.25">
      <c r="A258">
        <v>10257</v>
      </c>
      <c r="B258" t="s">
        <v>21</v>
      </c>
      <c r="C258" t="s">
        <v>22</v>
      </c>
      <c r="D258" t="s">
        <v>44</v>
      </c>
      <c r="E258" t="str">
        <f t="shared" si="39"/>
        <v>Michael Williams is in Sales Department</v>
      </c>
      <c r="F258" s="6" t="str">
        <f t="shared" si="40"/>
        <v>michaelwilliams@gmail.com</v>
      </c>
      <c r="G258">
        <v>93394</v>
      </c>
      <c r="H258" t="str">
        <f t="shared" si="41"/>
        <v>High</v>
      </c>
      <c r="I258" s="3">
        <v>40326</v>
      </c>
      <c r="J258">
        <f t="shared" si="42"/>
        <v>2010</v>
      </c>
      <c r="K258">
        <f t="shared" si="43"/>
        <v>5</v>
      </c>
      <c r="L258">
        <f t="shared" si="44"/>
        <v>28</v>
      </c>
      <c r="M258" s="3">
        <f t="shared" ca="1" si="45"/>
        <v>46100</v>
      </c>
      <c r="N258">
        <f t="shared" ca="1" si="46"/>
        <v>5774</v>
      </c>
      <c r="O258">
        <f t="shared" ca="1" si="47"/>
        <v>5774</v>
      </c>
      <c r="P258">
        <f t="shared" ca="1" si="48"/>
        <v>4125</v>
      </c>
      <c r="Q258">
        <v>32</v>
      </c>
      <c r="R258" t="str">
        <f t="shared" si="49"/>
        <v>Old</v>
      </c>
      <c r="S258" t="s">
        <v>24</v>
      </c>
      <c r="T258">
        <v>7</v>
      </c>
      <c r="U258" t="s">
        <v>25</v>
      </c>
      <c r="V258">
        <v>8165.67</v>
      </c>
      <c r="W258" t="s">
        <v>26</v>
      </c>
      <c r="X258" t="s">
        <v>55</v>
      </c>
      <c r="Y258">
        <v>6</v>
      </c>
      <c r="Z258" t="str">
        <f t="shared" si="50"/>
        <v>Bad Employee</v>
      </c>
      <c r="AA258" t="b">
        <f t="shared" si="51"/>
        <v>0</v>
      </c>
      <c r="AB258" t="b">
        <f>OR(Y258&gt;20, T258&gt;6)</f>
        <v>1</v>
      </c>
      <c r="AC258" t="str">
        <f>IF(OR(Y258&gt;20,T258&gt;6), "Good employee", "Bad Employee")</f>
        <v>Good employee</v>
      </c>
      <c r="AD258" t="s">
        <v>56</v>
      </c>
      <c r="AE258" t="s">
        <v>42</v>
      </c>
      <c r="AF258">
        <v>6</v>
      </c>
      <c r="AG258">
        <v>2016</v>
      </c>
      <c r="AH258" t="s">
        <v>43</v>
      </c>
      <c r="AI258">
        <v>147</v>
      </c>
      <c r="AJ258">
        <v>4</v>
      </c>
    </row>
    <row r="259" spans="1:36" x14ac:dyDescent="0.25">
      <c r="A259">
        <v>10258</v>
      </c>
      <c r="B259" t="s">
        <v>64</v>
      </c>
      <c r="C259" t="s">
        <v>32</v>
      </c>
      <c r="D259" t="s">
        <v>39</v>
      </c>
      <c r="E259" t="str">
        <f t="shared" ref="E259:E322" si="52">CONCATENATE(B259, " ", C259, " is in ", D259, " Department")</f>
        <v>Katie Wilson is in IT Department</v>
      </c>
      <c r="F259" s="6" t="str">
        <f t="shared" ref="F259:F322" si="53">LOWER(CONCATENATE(B259, C259, "@gmail.com"))</f>
        <v>katiewilson@gmail.com</v>
      </c>
      <c r="G259">
        <v>96046</v>
      </c>
      <c r="H259" t="str">
        <f t="shared" ref="H259:H322" si="54">IF(G259&gt;80000, "High", IF(G259&gt;50000, "Medium", IF(G259&gt;40000, "low", "extremely low")))</f>
        <v>High</v>
      </c>
      <c r="I259" s="3">
        <v>39004</v>
      </c>
      <c r="J259">
        <f t="shared" ref="J259:J322" si="55">YEAR(I259)</f>
        <v>2006</v>
      </c>
      <c r="K259">
        <f t="shared" ref="K259:K322" si="56">MONTH(I259)</f>
        <v>10</v>
      </c>
      <c r="L259">
        <f t="shared" ref="L259:L322" si="57">DAY(I259)</f>
        <v>14</v>
      </c>
      <c r="M259" s="3">
        <f t="shared" ref="M259:M322" ca="1" si="58">TODAY()</f>
        <v>46100</v>
      </c>
      <c r="N259">
        <f t="shared" ref="N259:N322" ca="1" si="59">M259-I259</f>
        <v>7096</v>
      </c>
      <c r="O259">
        <f t="shared" ref="O259:O322" ca="1" si="60">DATEDIF(I259,M259, "d")</f>
        <v>7096</v>
      </c>
      <c r="P259">
        <f t="shared" ref="P259:P322" ca="1" si="61">NETWORKDAYS(I259, M259)</f>
        <v>5069</v>
      </c>
      <c r="Q259">
        <v>54</v>
      </c>
      <c r="R259" t="str">
        <f t="shared" ref="R259:R322" si="62">IF(Q259&gt;30, "Old", "Young")</f>
        <v>Old</v>
      </c>
      <c r="S259" t="s">
        <v>34</v>
      </c>
      <c r="T259">
        <v>1</v>
      </c>
      <c r="U259" t="s">
        <v>45</v>
      </c>
      <c r="V259">
        <v>4523.13</v>
      </c>
      <c r="W259" t="s">
        <v>26</v>
      </c>
      <c r="X259" t="s">
        <v>27</v>
      </c>
      <c r="Y259">
        <v>4</v>
      </c>
      <c r="Z259" t="str">
        <f t="shared" ref="Z259:Z322" si="63" xml:space="preserve"> IF(AND(Y259&gt;20, T259&gt;6), "Good Employee", "Bad Employee")</f>
        <v>Bad Employee</v>
      </c>
      <c r="AA259" t="b">
        <f t="shared" ref="AA259:AA322" si="64">AND(Y259&gt;20, T259&gt;6)</f>
        <v>0</v>
      </c>
      <c r="AB259" t="b">
        <f>OR(Y259&gt;20, T259&gt;6)</f>
        <v>0</v>
      </c>
      <c r="AC259" t="str">
        <f>IF(OR(Y259&gt;20,T259&gt;6), "Good employee", "Bad Employee")</f>
        <v>Bad Employee</v>
      </c>
      <c r="AD259" t="s">
        <v>56</v>
      </c>
      <c r="AE259" t="s">
        <v>59</v>
      </c>
      <c r="AF259">
        <v>10</v>
      </c>
      <c r="AG259">
        <v>2012</v>
      </c>
      <c r="AH259" t="s">
        <v>43</v>
      </c>
      <c r="AI259">
        <v>101</v>
      </c>
      <c r="AJ259">
        <v>2.5</v>
      </c>
    </row>
    <row r="260" spans="1:36" x14ac:dyDescent="0.25">
      <c r="A260">
        <v>10259</v>
      </c>
      <c r="B260" t="s">
        <v>53</v>
      </c>
      <c r="C260" t="s">
        <v>65</v>
      </c>
      <c r="D260" t="s">
        <v>54</v>
      </c>
      <c r="E260" t="str">
        <f t="shared" si="52"/>
        <v>Sarah Johnson is in Finance Department</v>
      </c>
      <c r="F260" s="6" t="str">
        <f t="shared" si="53"/>
        <v>sarahjohnson@gmail.com</v>
      </c>
      <c r="G260">
        <v>41596</v>
      </c>
      <c r="H260" t="str">
        <f t="shared" si="54"/>
        <v>low</v>
      </c>
      <c r="I260" s="3">
        <v>40593</v>
      </c>
      <c r="J260">
        <f t="shared" si="55"/>
        <v>2011</v>
      </c>
      <c r="K260">
        <f t="shared" si="56"/>
        <v>2</v>
      </c>
      <c r="L260">
        <f t="shared" si="57"/>
        <v>19</v>
      </c>
      <c r="M260" s="3">
        <f t="shared" ca="1" si="58"/>
        <v>46100</v>
      </c>
      <c r="N260">
        <f t="shared" ca="1" si="59"/>
        <v>5507</v>
      </c>
      <c r="O260">
        <f t="shared" ca="1" si="60"/>
        <v>5507</v>
      </c>
      <c r="P260">
        <f t="shared" ca="1" si="61"/>
        <v>3934</v>
      </c>
      <c r="Q260">
        <v>22</v>
      </c>
      <c r="R260" t="str">
        <f t="shared" si="62"/>
        <v>Young</v>
      </c>
      <c r="S260" t="s">
        <v>34</v>
      </c>
      <c r="T260">
        <v>4</v>
      </c>
      <c r="U260" t="s">
        <v>45</v>
      </c>
      <c r="V260">
        <v>8119.31</v>
      </c>
      <c r="W260" t="s">
        <v>58</v>
      </c>
      <c r="X260" t="s">
        <v>27</v>
      </c>
      <c r="Y260">
        <v>4</v>
      </c>
      <c r="Z260" t="str">
        <f t="shared" si="63"/>
        <v>Bad Employee</v>
      </c>
      <c r="AA260" t="b">
        <f t="shared" si="64"/>
        <v>0</v>
      </c>
      <c r="AB260" t="b">
        <f>OR(Y260&gt;20, T260&gt;6)</f>
        <v>0</v>
      </c>
      <c r="AC260" t="str">
        <f>IF(OR(Y260&gt;20,T260&gt;6), "Good employee", "Bad Employee")</f>
        <v>Bad Employee</v>
      </c>
      <c r="AD260" t="s">
        <v>56</v>
      </c>
      <c r="AE260" t="s">
        <v>48</v>
      </c>
      <c r="AF260">
        <v>2</v>
      </c>
      <c r="AG260">
        <v>2020</v>
      </c>
      <c r="AH260" t="s">
        <v>49</v>
      </c>
      <c r="AI260">
        <v>189</v>
      </c>
      <c r="AJ260">
        <v>4.2</v>
      </c>
    </row>
    <row r="261" spans="1:36" x14ac:dyDescent="0.25">
      <c r="A261">
        <v>10260</v>
      </c>
      <c r="B261" t="s">
        <v>50</v>
      </c>
      <c r="C261" t="s">
        <v>63</v>
      </c>
      <c r="D261" t="s">
        <v>54</v>
      </c>
      <c r="E261" t="str">
        <f t="shared" si="52"/>
        <v>Alex Miller is in Finance Department</v>
      </c>
      <c r="F261" s="6" t="str">
        <f t="shared" si="53"/>
        <v>alexmiller@gmail.com</v>
      </c>
      <c r="G261">
        <v>95355</v>
      </c>
      <c r="H261" t="str">
        <f t="shared" si="54"/>
        <v>High</v>
      </c>
      <c r="I261" s="3">
        <v>38301</v>
      </c>
      <c r="J261">
        <f t="shared" si="55"/>
        <v>2004</v>
      </c>
      <c r="K261">
        <f t="shared" si="56"/>
        <v>11</v>
      </c>
      <c r="L261">
        <f t="shared" si="57"/>
        <v>10</v>
      </c>
      <c r="M261" s="3">
        <f t="shared" ca="1" si="58"/>
        <v>46100</v>
      </c>
      <c r="N261">
        <f t="shared" ca="1" si="59"/>
        <v>7799</v>
      </c>
      <c r="O261">
        <f t="shared" ca="1" si="60"/>
        <v>7799</v>
      </c>
      <c r="P261">
        <f t="shared" ca="1" si="61"/>
        <v>5572</v>
      </c>
      <c r="Q261">
        <v>42</v>
      </c>
      <c r="R261" t="str">
        <f t="shared" si="62"/>
        <v>Old</v>
      </c>
      <c r="S261" t="s">
        <v>34</v>
      </c>
      <c r="T261">
        <v>9</v>
      </c>
      <c r="U261" t="s">
        <v>45</v>
      </c>
      <c r="V261">
        <v>1456.29</v>
      </c>
      <c r="W261" t="s">
        <v>26</v>
      </c>
      <c r="X261" t="s">
        <v>36</v>
      </c>
      <c r="Y261">
        <v>7</v>
      </c>
      <c r="Z261" t="str">
        <f t="shared" si="63"/>
        <v>Bad Employee</v>
      </c>
      <c r="AA261" t="b">
        <f t="shared" si="64"/>
        <v>0</v>
      </c>
      <c r="AB261" t="b">
        <f>OR(Y261&gt;20, T261&gt;6)</f>
        <v>1</v>
      </c>
      <c r="AC261" t="str">
        <f>IF(OR(Y261&gt;20,T261&gt;6), "Good employee", "Bad Employee")</f>
        <v>Good employee</v>
      </c>
      <c r="AD261" t="s">
        <v>56</v>
      </c>
      <c r="AE261" t="s">
        <v>59</v>
      </c>
      <c r="AF261">
        <v>1</v>
      </c>
      <c r="AG261">
        <v>2018</v>
      </c>
      <c r="AH261" t="s">
        <v>30</v>
      </c>
      <c r="AI261">
        <v>116</v>
      </c>
      <c r="AJ261">
        <v>1.5</v>
      </c>
    </row>
    <row r="262" spans="1:36" x14ac:dyDescent="0.25">
      <c r="A262">
        <v>10261</v>
      </c>
      <c r="B262" t="s">
        <v>66</v>
      </c>
      <c r="C262" t="s">
        <v>22</v>
      </c>
      <c r="D262" t="s">
        <v>39</v>
      </c>
      <c r="E262" t="str">
        <f t="shared" si="52"/>
        <v>John Williams is in IT Department</v>
      </c>
      <c r="F262" s="6" t="str">
        <f t="shared" si="53"/>
        <v>johnwilliams@gmail.com</v>
      </c>
      <c r="G262">
        <v>42974</v>
      </c>
      <c r="H262" t="str">
        <f t="shared" si="54"/>
        <v>low</v>
      </c>
      <c r="I262" s="3">
        <v>38492</v>
      </c>
      <c r="J262">
        <f t="shared" si="55"/>
        <v>2005</v>
      </c>
      <c r="K262">
        <f t="shared" si="56"/>
        <v>5</v>
      </c>
      <c r="L262">
        <f t="shared" si="57"/>
        <v>20</v>
      </c>
      <c r="M262" s="3">
        <f t="shared" ca="1" si="58"/>
        <v>46100</v>
      </c>
      <c r="N262">
        <f t="shared" ca="1" si="59"/>
        <v>7608</v>
      </c>
      <c r="O262">
        <f t="shared" ca="1" si="60"/>
        <v>7608</v>
      </c>
      <c r="P262">
        <f t="shared" ca="1" si="61"/>
        <v>5435</v>
      </c>
      <c r="Q262">
        <v>44</v>
      </c>
      <c r="R262" t="str">
        <f t="shared" si="62"/>
        <v>Old</v>
      </c>
      <c r="S262" t="s">
        <v>24</v>
      </c>
      <c r="T262">
        <v>8</v>
      </c>
      <c r="U262" t="s">
        <v>45</v>
      </c>
      <c r="V262">
        <v>6544.95</v>
      </c>
      <c r="W262" t="s">
        <v>46</v>
      </c>
      <c r="X262" t="s">
        <v>55</v>
      </c>
      <c r="Y262">
        <v>33</v>
      </c>
      <c r="Z262" t="str">
        <f t="shared" si="63"/>
        <v>Good Employee</v>
      </c>
      <c r="AA262" t="b">
        <f t="shared" si="64"/>
        <v>1</v>
      </c>
      <c r="AB262" t="b">
        <f>OR(Y262&gt;20, T262&gt;6)</f>
        <v>1</v>
      </c>
      <c r="AC262" t="str">
        <f>IF(OR(Y262&gt;20,T262&gt;6), "Good employee", "Bad Employee")</f>
        <v>Good employee</v>
      </c>
      <c r="AD262" t="s">
        <v>28</v>
      </c>
      <c r="AE262" t="s">
        <v>37</v>
      </c>
      <c r="AF262">
        <v>18</v>
      </c>
      <c r="AG262">
        <v>2019</v>
      </c>
      <c r="AH262" t="s">
        <v>30</v>
      </c>
      <c r="AI262">
        <v>157</v>
      </c>
      <c r="AJ262">
        <v>1.5</v>
      </c>
    </row>
    <row r="263" spans="1:36" x14ac:dyDescent="0.25">
      <c r="A263">
        <v>10262</v>
      </c>
      <c r="B263" t="s">
        <v>64</v>
      </c>
      <c r="C263" t="s">
        <v>51</v>
      </c>
      <c r="D263" t="s">
        <v>33</v>
      </c>
      <c r="E263" t="str">
        <f t="shared" si="52"/>
        <v>Katie Brown is in Marketing Department</v>
      </c>
      <c r="F263" s="6" t="str">
        <f t="shared" si="53"/>
        <v>katiebrown@gmail.com</v>
      </c>
      <c r="G263">
        <v>96673</v>
      </c>
      <c r="H263" t="str">
        <f t="shared" si="54"/>
        <v>High</v>
      </c>
      <c r="I263" s="3">
        <v>43580</v>
      </c>
      <c r="J263">
        <f t="shared" si="55"/>
        <v>2019</v>
      </c>
      <c r="K263">
        <f t="shared" si="56"/>
        <v>4</v>
      </c>
      <c r="L263">
        <f t="shared" si="57"/>
        <v>25</v>
      </c>
      <c r="M263" s="3">
        <f t="shared" ca="1" si="58"/>
        <v>46100</v>
      </c>
      <c r="N263">
        <f t="shared" ca="1" si="59"/>
        <v>2520</v>
      </c>
      <c r="O263">
        <f t="shared" ca="1" si="60"/>
        <v>2520</v>
      </c>
      <c r="P263">
        <f t="shared" ca="1" si="61"/>
        <v>1801</v>
      </c>
      <c r="Q263">
        <v>30</v>
      </c>
      <c r="R263" t="str">
        <f t="shared" si="62"/>
        <v>Young</v>
      </c>
      <c r="S263" t="s">
        <v>24</v>
      </c>
      <c r="T263">
        <v>3</v>
      </c>
      <c r="U263" t="s">
        <v>25</v>
      </c>
      <c r="V263">
        <v>7174.58</v>
      </c>
      <c r="W263" t="s">
        <v>46</v>
      </c>
      <c r="X263" t="s">
        <v>36</v>
      </c>
      <c r="Y263">
        <v>9</v>
      </c>
      <c r="Z263" t="str">
        <f t="shared" si="63"/>
        <v>Bad Employee</v>
      </c>
      <c r="AA263" t="b">
        <f t="shared" si="64"/>
        <v>0</v>
      </c>
      <c r="AB263" t="b">
        <f>OR(Y263&gt;20, T263&gt;6)</f>
        <v>0</v>
      </c>
      <c r="AC263" t="str">
        <f>IF(OR(Y263&gt;20,T263&gt;6), "Good employee", "Bad Employee")</f>
        <v>Bad Employee</v>
      </c>
      <c r="AD263" t="s">
        <v>41</v>
      </c>
      <c r="AE263" t="s">
        <v>37</v>
      </c>
      <c r="AF263">
        <v>10</v>
      </c>
      <c r="AG263">
        <v>2016</v>
      </c>
      <c r="AH263" t="s">
        <v>43</v>
      </c>
      <c r="AI263">
        <v>171</v>
      </c>
      <c r="AJ263">
        <v>4.7</v>
      </c>
    </row>
    <row r="264" spans="1:36" x14ac:dyDescent="0.25">
      <c r="A264">
        <v>10263</v>
      </c>
      <c r="B264" t="s">
        <v>38</v>
      </c>
      <c r="C264" t="s">
        <v>61</v>
      </c>
      <c r="D264" t="s">
        <v>54</v>
      </c>
      <c r="E264" t="str">
        <f t="shared" si="52"/>
        <v>Chris Smith is in Finance Department</v>
      </c>
      <c r="F264" s="6" t="str">
        <f t="shared" si="53"/>
        <v>chrissmith@gmail.com</v>
      </c>
      <c r="G264">
        <v>100202</v>
      </c>
      <c r="H264" t="str">
        <f t="shared" si="54"/>
        <v>High</v>
      </c>
      <c r="I264" s="3">
        <v>42585</v>
      </c>
      <c r="J264">
        <f t="shared" si="55"/>
        <v>2016</v>
      </c>
      <c r="K264">
        <f t="shared" si="56"/>
        <v>8</v>
      </c>
      <c r="L264">
        <f t="shared" si="57"/>
        <v>3</v>
      </c>
      <c r="M264" s="3">
        <f t="shared" ca="1" si="58"/>
        <v>46100</v>
      </c>
      <c r="N264">
        <f t="shared" ca="1" si="59"/>
        <v>3515</v>
      </c>
      <c r="O264">
        <f t="shared" ca="1" si="60"/>
        <v>3515</v>
      </c>
      <c r="P264">
        <f t="shared" ca="1" si="61"/>
        <v>2512</v>
      </c>
      <c r="Q264">
        <v>22</v>
      </c>
      <c r="R264" t="str">
        <f t="shared" si="62"/>
        <v>Young</v>
      </c>
      <c r="S264" t="s">
        <v>24</v>
      </c>
      <c r="T264">
        <v>6</v>
      </c>
      <c r="U264" t="s">
        <v>25</v>
      </c>
      <c r="V264">
        <v>9041.43</v>
      </c>
      <c r="W264" t="s">
        <v>58</v>
      </c>
      <c r="X264" t="s">
        <v>55</v>
      </c>
      <c r="Y264">
        <v>26</v>
      </c>
      <c r="Z264" t="str">
        <f t="shared" si="63"/>
        <v>Bad Employee</v>
      </c>
      <c r="AA264" t="b">
        <f t="shared" si="64"/>
        <v>0</v>
      </c>
      <c r="AB264" t="b">
        <f>OR(Y264&gt;20, T264&gt;6)</f>
        <v>1</v>
      </c>
      <c r="AC264" t="str">
        <f>IF(OR(Y264&gt;20,T264&gt;6), "Good employee", "Bad Employee")</f>
        <v>Good employee</v>
      </c>
      <c r="AD264" t="s">
        <v>41</v>
      </c>
      <c r="AE264" t="s">
        <v>59</v>
      </c>
      <c r="AF264">
        <v>7</v>
      </c>
      <c r="AG264">
        <v>2013</v>
      </c>
      <c r="AH264" t="s">
        <v>43</v>
      </c>
      <c r="AI264">
        <v>37</v>
      </c>
      <c r="AJ264">
        <v>1.4</v>
      </c>
    </row>
    <row r="265" spans="1:36" x14ac:dyDescent="0.25">
      <c r="A265">
        <v>10264</v>
      </c>
      <c r="B265" t="s">
        <v>66</v>
      </c>
      <c r="C265" t="s">
        <v>51</v>
      </c>
      <c r="D265" t="s">
        <v>23</v>
      </c>
      <c r="E265" t="str">
        <f t="shared" si="52"/>
        <v>John Brown is in HR Department</v>
      </c>
      <c r="F265" s="6" t="str">
        <f t="shared" si="53"/>
        <v>johnbrown@gmail.com</v>
      </c>
      <c r="G265">
        <v>104442</v>
      </c>
      <c r="H265" t="str">
        <f t="shared" si="54"/>
        <v>High</v>
      </c>
      <c r="I265" s="3">
        <v>38293</v>
      </c>
      <c r="J265">
        <f t="shared" si="55"/>
        <v>2004</v>
      </c>
      <c r="K265">
        <f t="shared" si="56"/>
        <v>11</v>
      </c>
      <c r="L265">
        <f t="shared" si="57"/>
        <v>2</v>
      </c>
      <c r="M265" s="3">
        <f t="shared" ca="1" si="58"/>
        <v>46100</v>
      </c>
      <c r="N265">
        <f t="shared" ca="1" si="59"/>
        <v>7807</v>
      </c>
      <c r="O265">
        <f t="shared" ca="1" si="60"/>
        <v>7807</v>
      </c>
      <c r="P265">
        <f t="shared" ca="1" si="61"/>
        <v>5578</v>
      </c>
      <c r="Q265">
        <v>42</v>
      </c>
      <c r="R265" t="str">
        <f t="shared" si="62"/>
        <v>Old</v>
      </c>
      <c r="S265" t="s">
        <v>24</v>
      </c>
      <c r="T265">
        <v>9</v>
      </c>
      <c r="U265" t="s">
        <v>45</v>
      </c>
      <c r="V265">
        <v>2631.08</v>
      </c>
      <c r="W265" t="s">
        <v>58</v>
      </c>
      <c r="X265" t="s">
        <v>47</v>
      </c>
      <c r="Y265">
        <v>21</v>
      </c>
      <c r="Z265" t="str">
        <f t="shared" si="63"/>
        <v>Good Employee</v>
      </c>
      <c r="AA265" t="b">
        <f t="shared" si="64"/>
        <v>1</v>
      </c>
      <c r="AB265" t="b">
        <f>OR(Y265&gt;20, T265&gt;6)</f>
        <v>1</v>
      </c>
      <c r="AC265" t="str">
        <f>IF(OR(Y265&gt;20,T265&gt;6), "Good employee", "Bad Employee")</f>
        <v>Good employee</v>
      </c>
      <c r="AD265" t="s">
        <v>56</v>
      </c>
      <c r="AE265" t="s">
        <v>59</v>
      </c>
      <c r="AF265">
        <v>10</v>
      </c>
      <c r="AG265">
        <v>2023</v>
      </c>
      <c r="AH265" t="s">
        <v>49</v>
      </c>
      <c r="AI265">
        <v>33</v>
      </c>
      <c r="AJ265">
        <v>1</v>
      </c>
    </row>
    <row r="266" spans="1:36" x14ac:dyDescent="0.25">
      <c r="A266">
        <v>10265</v>
      </c>
      <c r="B266" t="s">
        <v>50</v>
      </c>
      <c r="C266" t="s">
        <v>32</v>
      </c>
      <c r="D266" t="s">
        <v>44</v>
      </c>
      <c r="E266" t="str">
        <f t="shared" si="52"/>
        <v>Alex Wilson is in Sales Department</v>
      </c>
      <c r="F266" s="6" t="str">
        <f t="shared" si="53"/>
        <v>alexwilson@gmail.com</v>
      </c>
      <c r="G266">
        <v>51818</v>
      </c>
      <c r="H266" t="str">
        <f t="shared" si="54"/>
        <v>Medium</v>
      </c>
      <c r="I266" s="3">
        <v>40341</v>
      </c>
      <c r="J266">
        <f t="shared" si="55"/>
        <v>2010</v>
      </c>
      <c r="K266">
        <f t="shared" si="56"/>
        <v>6</v>
      </c>
      <c r="L266">
        <f t="shared" si="57"/>
        <v>12</v>
      </c>
      <c r="M266" s="3">
        <f t="shared" ca="1" si="58"/>
        <v>46100</v>
      </c>
      <c r="N266">
        <f t="shared" ca="1" si="59"/>
        <v>5759</v>
      </c>
      <c r="O266">
        <f t="shared" ca="1" si="60"/>
        <v>5759</v>
      </c>
      <c r="P266">
        <f t="shared" ca="1" si="61"/>
        <v>4114</v>
      </c>
      <c r="Q266">
        <v>43</v>
      </c>
      <c r="R266" t="str">
        <f t="shared" si="62"/>
        <v>Old</v>
      </c>
      <c r="S266" t="s">
        <v>34</v>
      </c>
      <c r="T266">
        <v>8</v>
      </c>
      <c r="U266" t="s">
        <v>25</v>
      </c>
      <c r="V266">
        <v>6240.09</v>
      </c>
      <c r="W266" t="s">
        <v>46</v>
      </c>
      <c r="X266" t="s">
        <v>36</v>
      </c>
      <c r="Y266">
        <v>22</v>
      </c>
      <c r="Z266" t="str">
        <f t="shared" si="63"/>
        <v>Good Employee</v>
      </c>
      <c r="AA266" t="b">
        <f t="shared" si="64"/>
        <v>1</v>
      </c>
      <c r="AB266" t="b">
        <f>OR(Y266&gt;20, T266&gt;6)</f>
        <v>1</v>
      </c>
      <c r="AC266" t="str">
        <f>IF(OR(Y266&gt;20,T266&gt;6), "Good employee", "Bad Employee")</f>
        <v>Good employee</v>
      </c>
      <c r="AD266" t="s">
        <v>28</v>
      </c>
      <c r="AE266" t="s">
        <v>48</v>
      </c>
      <c r="AF266">
        <v>1</v>
      </c>
      <c r="AG266">
        <v>2021</v>
      </c>
      <c r="AH266" t="s">
        <v>43</v>
      </c>
      <c r="AI266">
        <v>190</v>
      </c>
      <c r="AJ266">
        <v>2.6</v>
      </c>
    </row>
    <row r="267" spans="1:36" x14ac:dyDescent="0.25">
      <c r="A267">
        <v>10266</v>
      </c>
      <c r="B267" t="s">
        <v>60</v>
      </c>
      <c r="C267" t="s">
        <v>61</v>
      </c>
      <c r="D267" t="s">
        <v>44</v>
      </c>
      <c r="E267" t="str">
        <f t="shared" si="52"/>
        <v>Jane Smith is in Sales Department</v>
      </c>
      <c r="F267" s="6" t="str">
        <f t="shared" si="53"/>
        <v>janesmith@gmail.com</v>
      </c>
      <c r="G267">
        <v>73246</v>
      </c>
      <c r="H267" t="str">
        <f t="shared" si="54"/>
        <v>Medium</v>
      </c>
      <c r="I267" s="3">
        <v>36767</v>
      </c>
      <c r="J267">
        <f t="shared" si="55"/>
        <v>2000</v>
      </c>
      <c r="K267">
        <f t="shared" si="56"/>
        <v>8</v>
      </c>
      <c r="L267">
        <f t="shared" si="57"/>
        <v>29</v>
      </c>
      <c r="M267" s="3">
        <f t="shared" ca="1" si="58"/>
        <v>46100</v>
      </c>
      <c r="N267">
        <f t="shared" ca="1" si="59"/>
        <v>9333</v>
      </c>
      <c r="O267">
        <f t="shared" ca="1" si="60"/>
        <v>9333</v>
      </c>
      <c r="P267">
        <f t="shared" ca="1" si="61"/>
        <v>6668</v>
      </c>
      <c r="Q267">
        <v>25</v>
      </c>
      <c r="R267" t="str">
        <f t="shared" si="62"/>
        <v>Young</v>
      </c>
      <c r="S267" t="s">
        <v>34</v>
      </c>
      <c r="T267">
        <v>7</v>
      </c>
      <c r="U267" t="s">
        <v>45</v>
      </c>
      <c r="V267">
        <v>4615.9399999999996</v>
      </c>
      <c r="W267" t="s">
        <v>58</v>
      </c>
      <c r="X267" t="s">
        <v>27</v>
      </c>
      <c r="Y267">
        <v>33</v>
      </c>
      <c r="Z267" t="str">
        <f t="shared" si="63"/>
        <v>Good Employee</v>
      </c>
      <c r="AA267" t="b">
        <f t="shared" si="64"/>
        <v>1</v>
      </c>
      <c r="AB267" t="b">
        <f>OR(Y267&gt;20, T267&gt;6)</f>
        <v>1</v>
      </c>
      <c r="AC267" t="str">
        <f>IF(OR(Y267&gt;20,T267&gt;6), "Good employee", "Bad Employee")</f>
        <v>Good employee</v>
      </c>
      <c r="AD267" t="s">
        <v>28</v>
      </c>
      <c r="AE267" t="s">
        <v>62</v>
      </c>
      <c r="AF267">
        <v>11</v>
      </c>
      <c r="AG267">
        <v>2018</v>
      </c>
      <c r="AH267" t="s">
        <v>30</v>
      </c>
      <c r="AI267">
        <v>15</v>
      </c>
      <c r="AJ267">
        <v>1.4</v>
      </c>
    </row>
    <row r="268" spans="1:36" x14ac:dyDescent="0.25">
      <c r="A268">
        <v>10267</v>
      </c>
      <c r="B268" t="s">
        <v>31</v>
      </c>
      <c r="C268" t="s">
        <v>57</v>
      </c>
      <c r="D268" t="s">
        <v>39</v>
      </c>
      <c r="E268" t="str">
        <f t="shared" si="52"/>
        <v>Emily Davis is in IT Department</v>
      </c>
      <c r="F268" s="6" t="str">
        <f t="shared" si="53"/>
        <v>emilydavis@gmail.com</v>
      </c>
      <c r="G268">
        <v>85598</v>
      </c>
      <c r="H268" t="str">
        <f t="shared" si="54"/>
        <v>High</v>
      </c>
      <c r="I268" s="3">
        <v>41323</v>
      </c>
      <c r="J268">
        <f t="shared" si="55"/>
        <v>2013</v>
      </c>
      <c r="K268">
        <f t="shared" si="56"/>
        <v>2</v>
      </c>
      <c r="L268">
        <f t="shared" si="57"/>
        <v>18</v>
      </c>
      <c r="M268" s="3">
        <f t="shared" ca="1" si="58"/>
        <v>46100</v>
      </c>
      <c r="N268">
        <f t="shared" ca="1" si="59"/>
        <v>4777</v>
      </c>
      <c r="O268">
        <f t="shared" ca="1" si="60"/>
        <v>4777</v>
      </c>
      <c r="P268">
        <f t="shared" ca="1" si="61"/>
        <v>3414</v>
      </c>
      <c r="Q268">
        <v>22</v>
      </c>
      <c r="R268" t="str">
        <f t="shared" si="62"/>
        <v>Young</v>
      </c>
      <c r="S268" t="s">
        <v>34</v>
      </c>
      <c r="T268">
        <v>7</v>
      </c>
      <c r="U268" t="s">
        <v>25</v>
      </c>
      <c r="V268">
        <v>4136.33</v>
      </c>
      <c r="W268" t="s">
        <v>58</v>
      </c>
      <c r="X268" t="s">
        <v>55</v>
      </c>
      <c r="Y268">
        <v>33</v>
      </c>
      <c r="Z268" t="str">
        <f t="shared" si="63"/>
        <v>Good Employee</v>
      </c>
      <c r="AA268" t="b">
        <f t="shared" si="64"/>
        <v>1</v>
      </c>
      <c r="AB268" t="b">
        <f>OR(Y268&gt;20, T268&gt;6)</f>
        <v>1</v>
      </c>
      <c r="AC268" t="str">
        <f>IF(OR(Y268&gt;20,T268&gt;6), "Good employee", "Bad Employee")</f>
        <v>Good employee</v>
      </c>
      <c r="AD268" t="s">
        <v>56</v>
      </c>
      <c r="AE268" t="s">
        <v>59</v>
      </c>
      <c r="AF268">
        <v>8</v>
      </c>
      <c r="AG268">
        <v>2015</v>
      </c>
      <c r="AH268" t="s">
        <v>49</v>
      </c>
      <c r="AI268">
        <v>145</v>
      </c>
      <c r="AJ268">
        <v>4.5</v>
      </c>
    </row>
    <row r="269" spans="1:36" x14ac:dyDescent="0.25">
      <c r="A269">
        <v>10268</v>
      </c>
      <c r="B269" t="s">
        <v>53</v>
      </c>
      <c r="C269" t="s">
        <v>65</v>
      </c>
      <c r="D269" t="s">
        <v>54</v>
      </c>
      <c r="E269" t="str">
        <f t="shared" si="52"/>
        <v>Sarah Johnson is in Finance Department</v>
      </c>
      <c r="F269" s="6" t="str">
        <f t="shared" si="53"/>
        <v>sarahjohnson@gmail.com</v>
      </c>
      <c r="G269">
        <v>32654</v>
      </c>
      <c r="H269" t="str">
        <f t="shared" si="54"/>
        <v>extremely low</v>
      </c>
      <c r="I269" s="3">
        <v>39475</v>
      </c>
      <c r="J269">
        <f t="shared" si="55"/>
        <v>2008</v>
      </c>
      <c r="K269">
        <f t="shared" si="56"/>
        <v>1</v>
      </c>
      <c r="L269">
        <f t="shared" si="57"/>
        <v>28</v>
      </c>
      <c r="M269" s="3">
        <f t="shared" ca="1" si="58"/>
        <v>46100</v>
      </c>
      <c r="N269">
        <f t="shared" ca="1" si="59"/>
        <v>6625</v>
      </c>
      <c r="O269">
        <f t="shared" ca="1" si="60"/>
        <v>6625</v>
      </c>
      <c r="P269">
        <f t="shared" ca="1" si="61"/>
        <v>4734</v>
      </c>
      <c r="Q269">
        <v>31</v>
      </c>
      <c r="R269" t="str">
        <f t="shared" si="62"/>
        <v>Old</v>
      </c>
      <c r="S269" t="s">
        <v>24</v>
      </c>
      <c r="T269">
        <v>1</v>
      </c>
      <c r="U269" t="s">
        <v>45</v>
      </c>
      <c r="V269">
        <v>1513.78</v>
      </c>
      <c r="W269" t="s">
        <v>46</v>
      </c>
      <c r="X269" t="s">
        <v>47</v>
      </c>
      <c r="Y269">
        <v>5</v>
      </c>
      <c r="Z269" t="str">
        <f t="shared" si="63"/>
        <v>Bad Employee</v>
      </c>
      <c r="AA269" t="b">
        <f t="shared" si="64"/>
        <v>0</v>
      </c>
      <c r="AB269" t="b">
        <f>OR(Y269&gt;20, T269&gt;6)</f>
        <v>0</v>
      </c>
      <c r="AC269" t="str">
        <f>IF(OR(Y269&gt;20,T269&gt;6), "Good employee", "Bad Employee")</f>
        <v>Bad Employee</v>
      </c>
      <c r="AD269" t="s">
        <v>41</v>
      </c>
      <c r="AE269" t="s">
        <v>62</v>
      </c>
      <c r="AF269">
        <v>5</v>
      </c>
      <c r="AG269">
        <v>2018</v>
      </c>
      <c r="AH269" t="s">
        <v>49</v>
      </c>
      <c r="AI269">
        <v>73</v>
      </c>
      <c r="AJ269">
        <v>4.7</v>
      </c>
    </row>
    <row r="270" spans="1:36" x14ac:dyDescent="0.25">
      <c r="A270">
        <v>10269</v>
      </c>
      <c r="B270" t="s">
        <v>21</v>
      </c>
      <c r="C270" t="s">
        <v>57</v>
      </c>
      <c r="D270" t="s">
        <v>33</v>
      </c>
      <c r="E270" t="str">
        <f t="shared" si="52"/>
        <v>Michael Davis is in Marketing Department</v>
      </c>
      <c r="F270" s="6" t="str">
        <f t="shared" si="53"/>
        <v>michaeldavis@gmail.com</v>
      </c>
      <c r="G270">
        <v>63758</v>
      </c>
      <c r="H270" t="str">
        <f t="shared" si="54"/>
        <v>Medium</v>
      </c>
      <c r="I270" s="3">
        <v>41362</v>
      </c>
      <c r="J270">
        <f t="shared" si="55"/>
        <v>2013</v>
      </c>
      <c r="K270">
        <f t="shared" si="56"/>
        <v>3</v>
      </c>
      <c r="L270">
        <f t="shared" si="57"/>
        <v>29</v>
      </c>
      <c r="M270" s="3">
        <f t="shared" ca="1" si="58"/>
        <v>46100</v>
      </c>
      <c r="N270">
        <f t="shared" ca="1" si="59"/>
        <v>4738</v>
      </c>
      <c r="O270">
        <f t="shared" ca="1" si="60"/>
        <v>4738</v>
      </c>
      <c r="P270">
        <f t="shared" ca="1" si="61"/>
        <v>3385</v>
      </c>
      <c r="Q270">
        <v>36</v>
      </c>
      <c r="R270" t="str">
        <f t="shared" si="62"/>
        <v>Old</v>
      </c>
      <c r="S270" t="s">
        <v>34</v>
      </c>
      <c r="T270">
        <v>5</v>
      </c>
      <c r="U270" t="s">
        <v>25</v>
      </c>
      <c r="V270">
        <v>1775.22</v>
      </c>
      <c r="W270" t="s">
        <v>46</v>
      </c>
      <c r="X270" t="s">
        <v>27</v>
      </c>
      <c r="Y270">
        <v>21</v>
      </c>
      <c r="Z270" t="str">
        <f t="shared" si="63"/>
        <v>Bad Employee</v>
      </c>
      <c r="AA270" t="b">
        <f t="shared" si="64"/>
        <v>0</v>
      </c>
      <c r="AB270" t="b">
        <f>OR(Y270&gt;20, T270&gt;6)</f>
        <v>1</v>
      </c>
      <c r="AC270" t="str">
        <f>IF(OR(Y270&gt;20,T270&gt;6), "Good employee", "Bad Employee")</f>
        <v>Good employee</v>
      </c>
      <c r="AD270" t="s">
        <v>56</v>
      </c>
      <c r="AE270" t="s">
        <v>37</v>
      </c>
      <c r="AF270">
        <v>11</v>
      </c>
      <c r="AG270">
        <v>2013</v>
      </c>
      <c r="AH270" t="s">
        <v>30</v>
      </c>
      <c r="AI270">
        <v>25</v>
      </c>
      <c r="AJ270">
        <v>2.9</v>
      </c>
    </row>
    <row r="271" spans="1:36" x14ac:dyDescent="0.25">
      <c r="A271">
        <v>10270</v>
      </c>
      <c r="B271" t="s">
        <v>50</v>
      </c>
      <c r="C271" t="s">
        <v>57</v>
      </c>
      <c r="D271" t="s">
        <v>54</v>
      </c>
      <c r="E271" t="str">
        <f t="shared" si="52"/>
        <v>Alex Davis is in Finance Department</v>
      </c>
      <c r="F271" s="6" t="str">
        <f t="shared" si="53"/>
        <v>alexdavis@gmail.com</v>
      </c>
      <c r="G271">
        <v>54204</v>
      </c>
      <c r="H271" t="str">
        <f t="shared" si="54"/>
        <v>Medium</v>
      </c>
      <c r="I271" s="3">
        <v>42735</v>
      </c>
      <c r="J271">
        <f t="shared" si="55"/>
        <v>2016</v>
      </c>
      <c r="K271">
        <f t="shared" si="56"/>
        <v>12</v>
      </c>
      <c r="L271">
        <f t="shared" si="57"/>
        <v>31</v>
      </c>
      <c r="M271" s="3">
        <f t="shared" ca="1" si="58"/>
        <v>46100</v>
      </c>
      <c r="N271">
        <f t="shared" ca="1" si="59"/>
        <v>3365</v>
      </c>
      <c r="O271">
        <f t="shared" ca="1" si="60"/>
        <v>3365</v>
      </c>
      <c r="P271">
        <f t="shared" ca="1" si="61"/>
        <v>2404</v>
      </c>
      <c r="Q271">
        <v>57</v>
      </c>
      <c r="R271" t="str">
        <f t="shared" si="62"/>
        <v>Old</v>
      </c>
      <c r="S271" t="s">
        <v>24</v>
      </c>
      <c r="T271">
        <v>7</v>
      </c>
      <c r="U271" t="s">
        <v>45</v>
      </c>
      <c r="V271">
        <v>8451.39</v>
      </c>
      <c r="W271" t="s">
        <v>35</v>
      </c>
      <c r="X271" t="s">
        <v>55</v>
      </c>
      <c r="Y271">
        <v>27</v>
      </c>
      <c r="Z271" t="str">
        <f t="shared" si="63"/>
        <v>Good Employee</v>
      </c>
      <c r="AA271" t="b">
        <f t="shared" si="64"/>
        <v>1</v>
      </c>
      <c r="AB271" t="b">
        <f>OR(Y271&gt;20, T271&gt;6)</f>
        <v>1</v>
      </c>
      <c r="AC271" t="str">
        <f>IF(OR(Y271&gt;20,T271&gt;6), "Good employee", "Bad Employee")</f>
        <v>Good employee</v>
      </c>
      <c r="AD271" t="s">
        <v>41</v>
      </c>
      <c r="AE271" t="s">
        <v>29</v>
      </c>
      <c r="AF271">
        <v>17</v>
      </c>
      <c r="AG271">
        <v>2019</v>
      </c>
      <c r="AH271" t="s">
        <v>30</v>
      </c>
      <c r="AI271">
        <v>7</v>
      </c>
      <c r="AJ271">
        <v>2.7</v>
      </c>
    </row>
    <row r="272" spans="1:36" x14ac:dyDescent="0.25">
      <c r="A272">
        <v>10271</v>
      </c>
      <c r="B272" t="s">
        <v>64</v>
      </c>
      <c r="C272" t="s">
        <v>51</v>
      </c>
      <c r="D272" t="s">
        <v>44</v>
      </c>
      <c r="E272" t="str">
        <f t="shared" si="52"/>
        <v>Katie Brown is in Sales Department</v>
      </c>
      <c r="F272" s="6" t="str">
        <f t="shared" si="53"/>
        <v>katiebrown@gmail.com</v>
      </c>
      <c r="G272">
        <v>64928</v>
      </c>
      <c r="H272" t="str">
        <f t="shared" si="54"/>
        <v>Medium</v>
      </c>
      <c r="I272" s="3">
        <v>43641</v>
      </c>
      <c r="J272">
        <f t="shared" si="55"/>
        <v>2019</v>
      </c>
      <c r="K272">
        <f t="shared" si="56"/>
        <v>6</v>
      </c>
      <c r="L272">
        <f t="shared" si="57"/>
        <v>25</v>
      </c>
      <c r="M272" s="3">
        <f t="shared" ca="1" si="58"/>
        <v>46100</v>
      </c>
      <c r="N272">
        <f t="shared" ca="1" si="59"/>
        <v>2459</v>
      </c>
      <c r="O272">
        <f t="shared" ca="1" si="60"/>
        <v>2459</v>
      </c>
      <c r="P272">
        <f t="shared" ca="1" si="61"/>
        <v>1758</v>
      </c>
      <c r="Q272">
        <v>50</v>
      </c>
      <c r="R272" t="str">
        <f t="shared" si="62"/>
        <v>Old</v>
      </c>
      <c r="S272" t="s">
        <v>34</v>
      </c>
      <c r="T272">
        <v>2</v>
      </c>
      <c r="U272" t="s">
        <v>25</v>
      </c>
      <c r="V272">
        <v>7622.66</v>
      </c>
      <c r="W272" t="s">
        <v>35</v>
      </c>
      <c r="X272" t="s">
        <v>47</v>
      </c>
      <c r="Y272">
        <v>1</v>
      </c>
      <c r="Z272" t="str">
        <f t="shared" si="63"/>
        <v>Bad Employee</v>
      </c>
      <c r="AA272" t="b">
        <f t="shared" si="64"/>
        <v>0</v>
      </c>
      <c r="AB272" t="b">
        <f>OR(Y272&gt;20, T272&gt;6)</f>
        <v>0</v>
      </c>
      <c r="AC272" t="str">
        <f>IF(OR(Y272&gt;20,T272&gt;6), "Good employee", "Bad Employee")</f>
        <v>Bad Employee</v>
      </c>
      <c r="AD272" t="s">
        <v>56</v>
      </c>
      <c r="AE272" t="s">
        <v>42</v>
      </c>
      <c r="AF272">
        <v>4</v>
      </c>
      <c r="AG272">
        <v>2011</v>
      </c>
      <c r="AH272" t="s">
        <v>43</v>
      </c>
      <c r="AI272">
        <v>158</v>
      </c>
      <c r="AJ272">
        <v>3.2</v>
      </c>
    </row>
    <row r="273" spans="1:36" x14ac:dyDescent="0.25">
      <c r="A273">
        <v>10272</v>
      </c>
      <c r="B273" t="s">
        <v>53</v>
      </c>
      <c r="C273" t="s">
        <v>32</v>
      </c>
      <c r="D273" t="s">
        <v>52</v>
      </c>
      <c r="E273" t="str">
        <f t="shared" si="52"/>
        <v>Sarah Wilson is in Operations Department</v>
      </c>
      <c r="F273" s="6" t="str">
        <f t="shared" si="53"/>
        <v>sarahwilson@gmail.com</v>
      </c>
      <c r="G273">
        <v>83609</v>
      </c>
      <c r="H273" t="str">
        <f t="shared" si="54"/>
        <v>High</v>
      </c>
      <c r="I273" s="3">
        <v>43047</v>
      </c>
      <c r="J273">
        <f t="shared" si="55"/>
        <v>2017</v>
      </c>
      <c r="K273">
        <f t="shared" si="56"/>
        <v>11</v>
      </c>
      <c r="L273">
        <f t="shared" si="57"/>
        <v>8</v>
      </c>
      <c r="M273" s="3">
        <f t="shared" ca="1" si="58"/>
        <v>46100</v>
      </c>
      <c r="N273">
        <f t="shared" ca="1" si="59"/>
        <v>3053</v>
      </c>
      <c r="O273">
        <f t="shared" ca="1" si="60"/>
        <v>3053</v>
      </c>
      <c r="P273">
        <f t="shared" ca="1" si="61"/>
        <v>2182</v>
      </c>
      <c r="Q273">
        <v>26</v>
      </c>
      <c r="R273" t="str">
        <f t="shared" si="62"/>
        <v>Young</v>
      </c>
      <c r="S273" t="s">
        <v>34</v>
      </c>
      <c r="T273">
        <v>6</v>
      </c>
      <c r="U273" t="s">
        <v>45</v>
      </c>
      <c r="V273">
        <v>4132.24</v>
      </c>
      <c r="W273" t="s">
        <v>26</v>
      </c>
      <c r="X273" t="s">
        <v>27</v>
      </c>
      <c r="Y273">
        <v>16</v>
      </c>
      <c r="Z273" t="str">
        <f t="shared" si="63"/>
        <v>Bad Employee</v>
      </c>
      <c r="AA273" t="b">
        <f t="shared" si="64"/>
        <v>0</v>
      </c>
      <c r="AB273" t="b">
        <f>OR(Y273&gt;20, T273&gt;6)</f>
        <v>0</v>
      </c>
      <c r="AC273" t="str">
        <f>IF(OR(Y273&gt;20,T273&gt;6), "Good employee", "Bad Employee")</f>
        <v>Bad Employee</v>
      </c>
      <c r="AD273" t="s">
        <v>41</v>
      </c>
      <c r="AE273" t="s">
        <v>29</v>
      </c>
      <c r="AF273">
        <v>16</v>
      </c>
      <c r="AG273">
        <v>2022</v>
      </c>
      <c r="AH273" t="s">
        <v>30</v>
      </c>
      <c r="AI273">
        <v>165</v>
      </c>
      <c r="AJ273">
        <v>1.9</v>
      </c>
    </row>
    <row r="274" spans="1:36" x14ac:dyDescent="0.25">
      <c r="A274">
        <v>10273</v>
      </c>
      <c r="B274" t="s">
        <v>53</v>
      </c>
      <c r="C274" t="s">
        <v>65</v>
      </c>
      <c r="D274" t="s">
        <v>23</v>
      </c>
      <c r="E274" t="str">
        <f t="shared" si="52"/>
        <v>Sarah Johnson is in HR Department</v>
      </c>
      <c r="F274" s="6" t="str">
        <f t="shared" si="53"/>
        <v>sarahjohnson@gmail.com</v>
      </c>
      <c r="G274">
        <v>60552</v>
      </c>
      <c r="H274" t="str">
        <f t="shared" si="54"/>
        <v>Medium</v>
      </c>
      <c r="I274" s="3">
        <v>43057</v>
      </c>
      <c r="J274">
        <f t="shared" si="55"/>
        <v>2017</v>
      </c>
      <c r="K274">
        <f t="shared" si="56"/>
        <v>11</v>
      </c>
      <c r="L274">
        <f t="shared" si="57"/>
        <v>18</v>
      </c>
      <c r="M274" s="3">
        <f t="shared" ca="1" si="58"/>
        <v>46100</v>
      </c>
      <c r="N274">
        <f t="shared" ca="1" si="59"/>
        <v>3043</v>
      </c>
      <c r="O274">
        <f t="shared" ca="1" si="60"/>
        <v>3043</v>
      </c>
      <c r="P274">
        <f t="shared" ca="1" si="61"/>
        <v>2174</v>
      </c>
      <c r="Q274">
        <v>50</v>
      </c>
      <c r="R274" t="str">
        <f t="shared" si="62"/>
        <v>Old</v>
      </c>
      <c r="S274" t="s">
        <v>24</v>
      </c>
      <c r="T274">
        <v>2</v>
      </c>
      <c r="U274" t="s">
        <v>25</v>
      </c>
      <c r="V274">
        <v>8370.6200000000008</v>
      </c>
      <c r="W274" t="s">
        <v>58</v>
      </c>
      <c r="X274" t="s">
        <v>27</v>
      </c>
      <c r="Y274">
        <v>35</v>
      </c>
      <c r="Z274" t="str">
        <f t="shared" si="63"/>
        <v>Bad Employee</v>
      </c>
      <c r="AA274" t="b">
        <f t="shared" si="64"/>
        <v>0</v>
      </c>
      <c r="AB274" t="b">
        <f>OR(Y274&gt;20, T274&gt;6)</f>
        <v>1</v>
      </c>
      <c r="AC274" t="str">
        <f>IF(OR(Y274&gt;20,T274&gt;6), "Good employee", "Bad Employee")</f>
        <v>Good employee</v>
      </c>
      <c r="AD274" t="s">
        <v>28</v>
      </c>
      <c r="AE274" t="s">
        <v>48</v>
      </c>
      <c r="AF274">
        <v>15</v>
      </c>
      <c r="AG274">
        <v>2023</v>
      </c>
      <c r="AH274" t="s">
        <v>49</v>
      </c>
      <c r="AI274">
        <v>98</v>
      </c>
      <c r="AJ274">
        <v>2.2000000000000002</v>
      </c>
    </row>
    <row r="275" spans="1:36" x14ac:dyDescent="0.25">
      <c r="A275">
        <v>10274</v>
      </c>
      <c r="B275" t="s">
        <v>53</v>
      </c>
      <c r="C275" t="s">
        <v>61</v>
      </c>
      <c r="D275" t="s">
        <v>39</v>
      </c>
      <c r="E275" t="str">
        <f t="shared" si="52"/>
        <v>Sarah Smith is in IT Department</v>
      </c>
      <c r="F275" s="6" t="str">
        <f t="shared" si="53"/>
        <v>sarahsmith@gmail.com</v>
      </c>
      <c r="G275">
        <v>40336</v>
      </c>
      <c r="H275" t="str">
        <f t="shared" si="54"/>
        <v>low</v>
      </c>
      <c r="I275" s="3">
        <v>42436</v>
      </c>
      <c r="J275">
        <f t="shared" si="55"/>
        <v>2016</v>
      </c>
      <c r="K275">
        <f t="shared" si="56"/>
        <v>3</v>
      </c>
      <c r="L275">
        <f t="shared" si="57"/>
        <v>7</v>
      </c>
      <c r="M275" s="3">
        <f t="shared" ca="1" si="58"/>
        <v>46100</v>
      </c>
      <c r="N275">
        <f t="shared" ca="1" si="59"/>
        <v>3664</v>
      </c>
      <c r="O275">
        <f t="shared" ca="1" si="60"/>
        <v>3664</v>
      </c>
      <c r="P275">
        <f t="shared" ca="1" si="61"/>
        <v>2619</v>
      </c>
      <c r="Q275">
        <v>48</v>
      </c>
      <c r="R275" t="str">
        <f t="shared" si="62"/>
        <v>Old</v>
      </c>
      <c r="S275" t="s">
        <v>24</v>
      </c>
      <c r="T275">
        <v>3</v>
      </c>
      <c r="U275" t="s">
        <v>45</v>
      </c>
      <c r="V275">
        <v>1267.28</v>
      </c>
      <c r="W275" t="s">
        <v>46</v>
      </c>
      <c r="X275" t="s">
        <v>47</v>
      </c>
      <c r="Y275">
        <v>36</v>
      </c>
      <c r="Z275" t="str">
        <f t="shared" si="63"/>
        <v>Bad Employee</v>
      </c>
      <c r="AA275" t="b">
        <f t="shared" si="64"/>
        <v>0</v>
      </c>
      <c r="AB275" t="b">
        <f>OR(Y275&gt;20, T275&gt;6)</f>
        <v>1</v>
      </c>
      <c r="AC275" t="str">
        <f>IF(OR(Y275&gt;20,T275&gt;6), "Good employee", "Bad Employee")</f>
        <v>Good employee</v>
      </c>
      <c r="AD275" t="s">
        <v>56</v>
      </c>
      <c r="AE275" t="s">
        <v>48</v>
      </c>
      <c r="AF275">
        <v>11</v>
      </c>
      <c r="AG275">
        <v>2018</v>
      </c>
      <c r="AH275" t="s">
        <v>49</v>
      </c>
      <c r="AI275">
        <v>26</v>
      </c>
      <c r="AJ275">
        <v>1.4</v>
      </c>
    </row>
    <row r="276" spans="1:36" x14ac:dyDescent="0.25">
      <c r="A276">
        <v>10275</v>
      </c>
      <c r="B276" t="s">
        <v>66</v>
      </c>
      <c r="C276" t="s">
        <v>61</v>
      </c>
      <c r="D276" t="s">
        <v>52</v>
      </c>
      <c r="E276" t="str">
        <f t="shared" si="52"/>
        <v>John Smith is in Operations Department</v>
      </c>
      <c r="F276" s="6" t="str">
        <f t="shared" si="53"/>
        <v>johnsmith@gmail.com</v>
      </c>
      <c r="G276">
        <v>77037</v>
      </c>
      <c r="H276" t="str">
        <f t="shared" si="54"/>
        <v>Medium</v>
      </c>
      <c r="I276" s="3">
        <v>41402</v>
      </c>
      <c r="J276">
        <f t="shared" si="55"/>
        <v>2013</v>
      </c>
      <c r="K276">
        <f t="shared" si="56"/>
        <v>5</v>
      </c>
      <c r="L276">
        <f t="shared" si="57"/>
        <v>8</v>
      </c>
      <c r="M276" s="3">
        <f t="shared" ca="1" si="58"/>
        <v>46100</v>
      </c>
      <c r="N276">
        <f t="shared" ca="1" si="59"/>
        <v>4698</v>
      </c>
      <c r="O276">
        <f t="shared" ca="1" si="60"/>
        <v>4698</v>
      </c>
      <c r="P276">
        <f t="shared" ca="1" si="61"/>
        <v>3357</v>
      </c>
      <c r="Q276">
        <v>46</v>
      </c>
      <c r="R276" t="str">
        <f t="shared" si="62"/>
        <v>Old</v>
      </c>
      <c r="S276" t="s">
        <v>24</v>
      </c>
      <c r="T276">
        <v>1</v>
      </c>
      <c r="U276" t="s">
        <v>45</v>
      </c>
      <c r="V276">
        <v>6435.35</v>
      </c>
      <c r="W276" t="s">
        <v>26</v>
      </c>
      <c r="X276" t="s">
        <v>27</v>
      </c>
      <c r="Y276">
        <v>32</v>
      </c>
      <c r="Z276" t="str">
        <f t="shared" si="63"/>
        <v>Bad Employee</v>
      </c>
      <c r="AA276" t="b">
        <f t="shared" si="64"/>
        <v>0</v>
      </c>
      <c r="AB276" t="b">
        <f>OR(Y276&gt;20, T276&gt;6)</f>
        <v>1</v>
      </c>
      <c r="AC276" t="str">
        <f>IF(OR(Y276&gt;20,T276&gt;6), "Good employee", "Bad Employee")</f>
        <v>Good employee</v>
      </c>
      <c r="AD276" t="s">
        <v>41</v>
      </c>
      <c r="AE276" t="s">
        <v>62</v>
      </c>
      <c r="AF276">
        <v>1</v>
      </c>
      <c r="AG276">
        <v>2019</v>
      </c>
      <c r="AH276" t="s">
        <v>30</v>
      </c>
      <c r="AI276">
        <v>66</v>
      </c>
      <c r="AJ276">
        <v>2.8</v>
      </c>
    </row>
    <row r="277" spans="1:36" x14ac:dyDescent="0.25">
      <c r="A277">
        <v>10276</v>
      </c>
      <c r="B277" t="s">
        <v>31</v>
      </c>
      <c r="C277" t="s">
        <v>63</v>
      </c>
      <c r="D277" t="s">
        <v>33</v>
      </c>
      <c r="E277" t="str">
        <f t="shared" si="52"/>
        <v>Emily Miller is in Marketing Department</v>
      </c>
      <c r="F277" s="6" t="str">
        <f t="shared" si="53"/>
        <v>emilymiller@gmail.com</v>
      </c>
      <c r="G277">
        <v>46206</v>
      </c>
      <c r="H277" t="str">
        <f t="shared" si="54"/>
        <v>low</v>
      </c>
      <c r="I277" s="3">
        <v>38782</v>
      </c>
      <c r="J277">
        <f t="shared" si="55"/>
        <v>2006</v>
      </c>
      <c r="K277">
        <f t="shared" si="56"/>
        <v>3</v>
      </c>
      <c r="L277">
        <f t="shared" si="57"/>
        <v>6</v>
      </c>
      <c r="M277" s="3">
        <f t="shared" ca="1" si="58"/>
        <v>46100</v>
      </c>
      <c r="N277">
        <f t="shared" ca="1" si="59"/>
        <v>7318</v>
      </c>
      <c r="O277">
        <f t="shared" ca="1" si="60"/>
        <v>7318</v>
      </c>
      <c r="P277">
        <f t="shared" ca="1" si="61"/>
        <v>5229</v>
      </c>
      <c r="Q277">
        <v>37</v>
      </c>
      <c r="R277" t="str">
        <f t="shared" si="62"/>
        <v>Old</v>
      </c>
      <c r="S277" t="s">
        <v>34</v>
      </c>
      <c r="T277">
        <v>3</v>
      </c>
      <c r="U277" t="s">
        <v>25</v>
      </c>
      <c r="V277">
        <v>8747.67</v>
      </c>
      <c r="W277" t="s">
        <v>35</v>
      </c>
      <c r="X277" t="s">
        <v>55</v>
      </c>
      <c r="Y277">
        <v>29</v>
      </c>
      <c r="Z277" t="str">
        <f t="shared" si="63"/>
        <v>Bad Employee</v>
      </c>
      <c r="AA277" t="b">
        <f t="shared" si="64"/>
        <v>0</v>
      </c>
      <c r="AB277" t="b">
        <f>OR(Y277&gt;20, T277&gt;6)</f>
        <v>1</v>
      </c>
      <c r="AC277" t="str">
        <f>IF(OR(Y277&gt;20,T277&gt;6), "Good employee", "Bad Employee")</f>
        <v>Good employee</v>
      </c>
      <c r="AD277" t="s">
        <v>41</v>
      </c>
      <c r="AE277" t="s">
        <v>62</v>
      </c>
      <c r="AF277">
        <v>15</v>
      </c>
      <c r="AG277">
        <v>2021</v>
      </c>
      <c r="AH277" t="s">
        <v>43</v>
      </c>
      <c r="AI277">
        <v>9</v>
      </c>
      <c r="AJ277">
        <v>3.4</v>
      </c>
    </row>
    <row r="278" spans="1:36" x14ac:dyDescent="0.25">
      <c r="A278">
        <v>10277</v>
      </c>
      <c r="B278" t="s">
        <v>66</v>
      </c>
      <c r="C278" t="s">
        <v>22</v>
      </c>
      <c r="D278" t="s">
        <v>52</v>
      </c>
      <c r="E278" t="str">
        <f t="shared" si="52"/>
        <v>John Williams is in Operations Department</v>
      </c>
      <c r="F278" s="6" t="str">
        <f t="shared" si="53"/>
        <v>johnwilliams@gmail.com</v>
      </c>
      <c r="G278">
        <v>64831</v>
      </c>
      <c r="H278" t="str">
        <f t="shared" si="54"/>
        <v>Medium</v>
      </c>
      <c r="I278" s="3">
        <v>40637</v>
      </c>
      <c r="J278">
        <f t="shared" si="55"/>
        <v>2011</v>
      </c>
      <c r="K278">
        <f t="shared" si="56"/>
        <v>4</v>
      </c>
      <c r="L278">
        <f t="shared" si="57"/>
        <v>4</v>
      </c>
      <c r="M278" s="3">
        <f t="shared" ca="1" si="58"/>
        <v>46100</v>
      </c>
      <c r="N278">
        <f t="shared" ca="1" si="59"/>
        <v>5463</v>
      </c>
      <c r="O278">
        <f t="shared" ca="1" si="60"/>
        <v>5463</v>
      </c>
      <c r="P278">
        <f t="shared" ca="1" si="61"/>
        <v>3904</v>
      </c>
      <c r="Q278">
        <v>37</v>
      </c>
      <c r="R278" t="str">
        <f t="shared" si="62"/>
        <v>Old</v>
      </c>
      <c r="S278" t="s">
        <v>34</v>
      </c>
      <c r="T278">
        <v>7</v>
      </c>
      <c r="U278" t="s">
        <v>25</v>
      </c>
      <c r="V278">
        <v>8469.2099999999991</v>
      </c>
      <c r="W278" t="s">
        <v>58</v>
      </c>
      <c r="X278" t="s">
        <v>55</v>
      </c>
      <c r="Y278">
        <v>39</v>
      </c>
      <c r="Z278" t="str">
        <f t="shared" si="63"/>
        <v>Good Employee</v>
      </c>
      <c r="AA278" t="b">
        <f t="shared" si="64"/>
        <v>1</v>
      </c>
      <c r="AB278" t="b">
        <f>OR(Y278&gt;20, T278&gt;6)</f>
        <v>1</v>
      </c>
      <c r="AC278" t="str">
        <f>IF(OR(Y278&gt;20,T278&gt;6), "Good employee", "Bad Employee")</f>
        <v>Good employee</v>
      </c>
      <c r="AD278" t="s">
        <v>41</v>
      </c>
      <c r="AE278" t="s">
        <v>59</v>
      </c>
      <c r="AF278">
        <v>0</v>
      </c>
      <c r="AG278">
        <v>2023</v>
      </c>
      <c r="AH278" t="s">
        <v>49</v>
      </c>
      <c r="AI278">
        <v>151</v>
      </c>
      <c r="AJ278">
        <v>4.7</v>
      </c>
    </row>
    <row r="279" spans="1:36" x14ac:dyDescent="0.25">
      <c r="A279">
        <v>10278</v>
      </c>
      <c r="B279" t="s">
        <v>64</v>
      </c>
      <c r="C279" t="s">
        <v>63</v>
      </c>
      <c r="D279" t="s">
        <v>52</v>
      </c>
      <c r="E279" t="str">
        <f t="shared" si="52"/>
        <v>Katie Miller is in Operations Department</v>
      </c>
      <c r="F279" s="6" t="str">
        <f t="shared" si="53"/>
        <v>katiemiller@gmail.com</v>
      </c>
      <c r="G279">
        <v>73563</v>
      </c>
      <c r="H279" t="str">
        <f t="shared" si="54"/>
        <v>Medium</v>
      </c>
      <c r="I279" s="3">
        <v>39894</v>
      </c>
      <c r="J279">
        <f t="shared" si="55"/>
        <v>2009</v>
      </c>
      <c r="K279">
        <f t="shared" si="56"/>
        <v>3</v>
      </c>
      <c r="L279">
        <f t="shared" si="57"/>
        <v>22</v>
      </c>
      <c r="M279" s="3">
        <f t="shared" ca="1" si="58"/>
        <v>46100</v>
      </c>
      <c r="N279">
        <f t="shared" ca="1" si="59"/>
        <v>6206</v>
      </c>
      <c r="O279">
        <f t="shared" ca="1" si="60"/>
        <v>6206</v>
      </c>
      <c r="P279">
        <f t="shared" ca="1" si="61"/>
        <v>4434</v>
      </c>
      <c r="Q279">
        <v>57</v>
      </c>
      <c r="R279" t="str">
        <f t="shared" si="62"/>
        <v>Old</v>
      </c>
      <c r="S279" t="s">
        <v>34</v>
      </c>
      <c r="T279">
        <v>5</v>
      </c>
      <c r="U279" t="s">
        <v>25</v>
      </c>
      <c r="V279">
        <v>4041.44</v>
      </c>
      <c r="W279" t="s">
        <v>26</v>
      </c>
      <c r="X279" t="s">
        <v>27</v>
      </c>
      <c r="Y279">
        <v>23</v>
      </c>
      <c r="Z279" t="str">
        <f t="shared" si="63"/>
        <v>Bad Employee</v>
      </c>
      <c r="AA279" t="b">
        <f t="shared" si="64"/>
        <v>0</v>
      </c>
      <c r="AB279" t="b">
        <f>OR(Y279&gt;20, T279&gt;6)</f>
        <v>1</v>
      </c>
      <c r="AC279" t="str">
        <f>IF(OR(Y279&gt;20,T279&gt;6), "Good employee", "Bad Employee")</f>
        <v>Good employee</v>
      </c>
      <c r="AD279" t="s">
        <v>41</v>
      </c>
      <c r="AE279" t="s">
        <v>29</v>
      </c>
      <c r="AF279">
        <v>19</v>
      </c>
      <c r="AG279">
        <v>2013</v>
      </c>
      <c r="AH279" t="s">
        <v>43</v>
      </c>
      <c r="AI279">
        <v>13</v>
      </c>
      <c r="AJ279">
        <v>4</v>
      </c>
    </row>
    <row r="280" spans="1:36" x14ac:dyDescent="0.25">
      <c r="A280">
        <v>10279</v>
      </c>
      <c r="B280" t="s">
        <v>66</v>
      </c>
      <c r="C280" t="s">
        <v>63</v>
      </c>
      <c r="D280" t="s">
        <v>33</v>
      </c>
      <c r="E280" t="str">
        <f t="shared" si="52"/>
        <v>John Miller is in Marketing Department</v>
      </c>
      <c r="F280" s="6" t="str">
        <f t="shared" si="53"/>
        <v>johnmiller@gmail.com</v>
      </c>
      <c r="G280">
        <v>48361</v>
      </c>
      <c r="H280" t="str">
        <f t="shared" si="54"/>
        <v>low</v>
      </c>
      <c r="I280" s="3">
        <v>41607</v>
      </c>
      <c r="J280">
        <f t="shared" si="55"/>
        <v>2013</v>
      </c>
      <c r="K280">
        <f t="shared" si="56"/>
        <v>11</v>
      </c>
      <c r="L280">
        <f t="shared" si="57"/>
        <v>29</v>
      </c>
      <c r="M280" s="3">
        <f t="shared" ca="1" si="58"/>
        <v>46100</v>
      </c>
      <c r="N280">
        <f t="shared" ca="1" si="59"/>
        <v>4493</v>
      </c>
      <c r="O280">
        <f t="shared" ca="1" si="60"/>
        <v>4493</v>
      </c>
      <c r="P280">
        <f t="shared" ca="1" si="61"/>
        <v>3210</v>
      </c>
      <c r="Q280">
        <v>46</v>
      </c>
      <c r="R280" t="str">
        <f t="shared" si="62"/>
        <v>Old</v>
      </c>
      <c r="S280" t="s">
        <v>34</v>
      </c>
      <c r="T280">
        <v>4</v>
      </c>
      <c r="U280" t="s">
        <v>45</v>
      </c>
      <c r="V280">
        <v>7579.72</v>
      </c>
      <c r="W280" t="s">
        <v>58</v>
      </c>
      <c r="X280" t="s">
        <v>40</v>
      </c>
      <c r="Y280">
        <v>15</v>
      </c>
      <c r="Z280" t="str">
        <f t="shared" si="63"/>
        <v>Bad Employee</v>
      </c>
      <c r="AA280" t="b">
        <f t="shared" si="64"/>
        <v>0</v>
      </c>
      <c r="AB280" t="b">
        <f>OR(Y280&gt;20, T280&gt;6)</f>
        <v>0</v>
      </c>
      <c r="AC280" t="str">
        <f>IF(OR(Y280&gt;20,T280&gt;6), "Good employee", "Bad Employee")</f>
        <v>Bad Employee</v>
      </c>
      <c r="AD280" t="s">
        <v>28</v>
      </c>
      <c r="AE280" t="s">
        <v>62</v>
      </c>
      <c r="AF280">
        <v>1</v>
      </c>
      <c r="AG280">
        <v>2020</v>
      </c>
      <c r="AH280" t="s">
        <v>30</v>
      </c>
      <c r="AI280">
        <v>62</v>
      </c>
      <c r="AJ280">
        <v>3.9</v>
      </c>
    </row>
    <row r="281" spans="1:36" x14ac:dyDescent="0.25">
      <c r="A281">
        <v>10280</v>
      </c>
      <c r="B281" t="s">
        <v>60</v>
      </c>
      <c r="C281" t="s">
        <v>61</v>
      </c>
      <c r="D281" t="s">
        <v>52</v>
      </c>
      <c r="E281" t="str">
        <f t="shared" si="52"/>
        <v>Jane Smith is in Operations Department</v>
      </c>
      <c r="F281" s="6" t="str">
        <f t="shared" si="53"/>
        <v>janesmith@gmail.com</v>
      </c>
      <c r="G281">
        <v>71335</v>
      </c>
      <c r="H281" t="str">
        <f t="shared" si="54"/>
        <v>Medium</v>
      </c>
      <c r="I281" s="3">
        <v>36892</v>
      </c>
      <c r="J281">
        <f t="shared" si="55"/>
        <v>2001</v>
      </c>
      <c r="K281">
        <f t="shared" si="56"/>
        <v>1</v>
      </c>
      <c r="L281">
        <f t="shared" si="57"/>
        <v>1</v>
      </c>
      <c r="M281" s="3">
        <f t="shared" ca="1" si="58"/>
        <v>46100</v>
      </c>
      <c r="N281">
        <f t="shared" ca="1" si="59"/>
        <v>9208</v>
      </c>
      <c r="O281">
        <f t="shared" ca="1" si="60"/>
        <v>9208</v>
      </c>
      <c r="P281">
        <f t="shared" ca="1" si="61"/>
        <v>6579</v>
      </c>
      <c r="Q281">
        <v>62</v>
      </c>
      <c r="R281" t="str">
        <f t="shared" si="62"/>
        <v>Old</v>
      </c>
      <c r="S281" t="s">
        <v>24</v>
      </c>
      <c r="T281">
        <v>8</v>
      </c>
      <c r="U281" t="s">
        <v>45</v>
      </c>
      <c r="V281">
        <v>4560.95</v>
      </c>
      <c r="W281" t="s">
        <v>26</v>
      </c>
      <c r="X281" t="s">
        <v>47</v>
      </c>
      <c r="Y281">
        <v>26</v>
      </c>
      <c r="Z281" t="str">
        <f t="shared" si="63"/>
        <v>Good Employee</v>
      </c>
      <c r="AA281" t="b">
        <f t="shared" si="64"/>
        <v>1</v>
      </c>
      <c r="AB281" t="b">
        <f>OR(Y281&gt;20, T281&gt;6)</f>
        <v>1</v>
      </c>
      <c r="AC281" t="str">
        <f>IF(OR(Y281&gt;20,T281&gt;6), "Good employee", "Bad Employee")</f>
        <v>Good employee</v>
      </c>
      <c r="AD281" t="s">
        <v>41</v>
      </c>
      <c r="AE281" t="s">
        <v>37</v>
      </c>
      <c r="AF281">
        <v>12</v>
      </c>
      <c r="AG281">
        <v>2011</v>
      </c>
      <c r="AH281" t="s">
        <v>43</v>
      </c>
      <c r="AI281">
        <v>28</v>
      </c>
      <c r="AJ281">
        <v>2.2000000000000002</v>
      </c>
    </row>
    <row r="282" spans="1:36" x14ac:dyDescent="0.25">
      <c r="A282">
        <v>10281</v>
      </c>
      <c r="B282" t="s">
        <v>31</v>
      </c>
      <c r="C282" t="s">
        <v>51</v>
      </c>
      <c r="D282" t="s">
        <v>39</v>
      </c>
      <c r="E282" t="str">
        <f t="shared" si="52"/>
        <v>Emily Brown is in IT Department</v>
      </c>
      <c r="F282" s="6" t="str">
        <f t="shared" si="53"/>
        <v>emilybrown@gmail.com</v>
      </c>
      <c r="G282">
        <v>104469</v>
      </c>
      <c r="H282" t="str">
        <f t="shared" si="54"/>
        <v>High</v>
      </c>
      <c r="I282" s="3">
        <v>39353</v>
      </c>
      <c r="J282">
        <f t="shared" si="55"/>
        <v>2007</v>
      </c>
      <c r="K282">
        <f t="shared" si="56"/>
        <v>9</v>
      </c>
      <c r="L282">
        <f t="shared" si="57"/>
        <v>28</v>
      </c>
      <c r="M282" s="3">
        <f t="shared" ca="1" si="58"/>
        <v>46100</v>
      </c>
      <c r="N282">
        <f t="shared" ca="1" si="59"/>
        <v>6747</v>
      </c>
      <c r="O282">
        <f t="shared" ca="1" si="60"/>
        <v>6747</v>
      </c>
      <c r="P282">
        <f t="shared" ca="1" si="61"/>
        <v>4820</v>
      </c>
      <c r="Q282">
        <v>22</v>
      </c>
      <c r="R282" t="str">
        <f t="shared" si="62"/>
        <v>Young</v>
      </c>
      <c r="S282" t="s">
        <v>34</v>
      </c>
      <c r="T282">
        <v>8</v>
      </c>
      <c r="U282" t="s">
        <v>45</v>
      </c>
      <c r="V282">
        <v>8481.31</v>
      </c>
      <c r="W282" t="s">
        <v>58</v>
      </c>
      <c r="X282" t="s">
        <v>40</v>
      </c>
      <c r="Y282">
        <v>37</v>
      </c>
      <c r="Z282" t="str">
        <f t="shared" si="63"/>
        <v>Good Employee</v>
      </c>
      <c r="AA282" t="b">
        <f t="shared" si="64"/>
        <v>1</v>
      </c>
      <c r="AB282" t="b">
        <f>OR(Y282&gt;20, T282&gt;6)</f>
        <v>1</v>
      </c>
      <c r="AC282" t="str">
        <f>IF(OR(Y282&gt;20,T282&gt;6), "Good employee", "Bad Employee")</f>
        <v>Good employee</v>
      </c>
      <c r="AD282" t="s">
        <v>28</v>
      </c>
      <c r="AE282" t="s">
        <v>62</v>
      </c>
      <c r="AF282">
        <v>15</v>
      </c>
      <c r="AG282">
        <v>2016</v>
      </c>
      <c r="AH282" t="s">
        <v>49</v>
      </c>
      <c r="AI282">
        <v>171</v>
      </c>
      <c r="AJ282">
        <v>4.5999999999999996</v>
      </c>
    </row>
    <row r="283" spans="1:36" x14ac:dyDescent="0.25">
      <c r="A283">
        <v>10282</v>
      </c>
      <c r="B283" t="s">
        <v>31</v>
      </c>
      <c r="C283" t="s">
        <v>57</v>
      </c>
      <c r="D283" t="s">
        <v>44</v>
      </c>
      <c r="E283" t="str">
        <f t="shared" si="52"/>
        <v>Emily Davis is in Sales Department</v>
      </c>
      <c r="F283" s="6" t="str">
        <f t="shared" si="53"/>
        <v>emilydavis@gmail.com</v>
      </c>
      <c r="G283">
        <v>55816</v>
      </c>
      <c r="H283" t="str">
        <f t="shared" si="54"/>
        <v>Medium</v>
      </c>
      <c r="I283" s="3">
        <v>37778</v>
      </c>
      <c r="J283">
        <f t="shared" si="55"/>
        <v>2003</v>
      </c>
      <c r="K283">
        <f t="shared" si="56"/>
        <v>6</v>
      </c>
      <c r="L283">
        <f t="shared" si="57"/>
        <v>6</v>
      </c>
      <c r="M283" s="3">
        <f t="shared" ca="1" si="58"/>
        <v>46100</v>
      </c>
      <c r="N283">
        <f t="shared" ca="1" si="59"/>
        <v>8322</v>
      </c>
      <c r="O283">
        <f t="shared" ca="1" si="60"/>
        <v>8322</v>
      </c>
      <c r="P283">
        <f t="shared" ca="1" si="61"/>
        <v>5945</v>
      </c>
      <c r="Q283">
        <v>26</v>
      </c>
      <c r="R283" t="str">
        <f t="shared" si="62"/>
        <v>Young</v>
      </c>
      <c r="S283" t="s">
        <v>24</v>
      </c>
      <c r="T283">
        <v>1</v>
      </c>
      <c r="U283" t="s">
        <v>25</v>
      </c>
      <c r="V283">
        <v>5542.24</v>
      </c>
      <c r="W283" t="s">
        <v>58</v>
      </c>
      <c r="X283" t="s">
        <v>55</v>
      </c>
      <c r="Y283">
        <v>25</v>
      </c>
      <c r="Z283" t="str">
        <f t="shared" si="63"/>
        <v>Bad Employee</v>
      </c>
      <c r="AA283" t="b">
        <f t="shared" si="64"/>
        <v>0</v>
      </c>
      <c r="AB283" t="b">
        <f>OR(Y283&gt;20, T283&gt;6)</f>
        <v>1</v>
      </c>
      <c r="AC283" t="str">
        <f>IF(OR(Y283&gt;20,T283&gt;6), "Good employee", "Bad Employee")</f>
        <v>Good employee</v>
      </c>
      <c r="AD283" t="s">
        <v>41</v>
      </c>
      <c r="AE283" t="s">
        <v>37</v>
      </c>
      <c r="AF283">
        <v>0</v>
      </c>
      <c r="AG283">
        <v>2016</v>
      </c>
      <c r="AH283" t="s">
        <v>30</v>
      </c>
      <c r="AI283">
        <v>65</v>
      </c>
      <c r="AJ283">
        <v>4.8</v>
      </c>
    </row>
    <row r="284" spans="1:36" x14ac:dyDescent="0.25">
      <c r="A284">
        <v>10283</v>
      </c>
      <c r="B284" t="s">
        <v>64</v>
      </c>
      <c r="C284" t="s">
        <v>32</v>
      </c>
      <c r="D284" t="s">
        <v>54</v>
      </c>
      <c r="E284" t="str">
        <f t="shared" si="52"/>
        <v>Katie Wilson is in Finance Department</v>
      </c>
      <c r="F284" s="6" t="str">
        <f t="shared" si="53"/>
        <v>katiewilson@gmail.com</v>
      </c>
      <c r="G284">
        <v>45619</v>
      </c>
      <c r="H284" t="str">
        <f t="shared" si="54"/>
        <v>low</v>
      </c>
      <c r="I284" s="3">
        <v>39013</v>
      </c>
      <c r="J284">
        <f t="shared" si="55"/>
        <v>2006</v>
      </c>
      <c r="K284">
        <f t="shared" si="56"/>
        <v>10</v>
      </c>
      <c r="L284">
        <f t="shared" si="57"/>
        <v>23</v>
      </c>
      <c r="M284" s="3">
        <f t="shared" ca="1" si="58"/>
        <v>46100</v>
      </c>
      <c r="N284">
        <f t="shared" ca="1" si="59"/>
        <v>7087</v>
      </c>
      <c r="O284">
        <f t="shared" ca="1" si="60"/>
        <v>7087</v>
      </c>
      <c r="P284">
        <f t="shared" ca="1" si="61"/>
        <v>5064</v>
      </c>
      <c r="Q284">
        <v>62</v>
      </c>
      <c r="R284" t="str">
        <f t="shared" si="62"/>
        <v>Old</v>
      </c>
      <c r="S284" t="s">
        <v>34</v>
      </c>
      <c r="T284">
        <v>9</v>
      </c>
      <c r="U284" t="s">
        <v>45</v>
      </c>
      <c r="V284">
        <v>7766.14</v>
      </c>
      <c r="W284" t="s">
        <v>46</v>
      </c>
      <c r="X284" t="s">
        <v>27</v>
      </c>
      <c r="Y284">
        <v>2</v>
      </c>
      <c r="Z284" t="str">
        <f t="shared" si="63"/>
        <v>Bad Employee</v>
      </c>
      <c r="AA284" t="b">
        <f t="shared" si="64"/>
        <v>0</v>
      </c>
      <c r="AB284" t="b">
        <f>OR(Y284&gt;20, T284&gt;6)</f>
        <v>1</v>
      </c>
      <c r="AC284" t="str">
        <f>IF(OR(Y284&gt;20,T284&gt;6), "Good employee", "Bad Employee")</f>
        <v>Good employee</v>
      </c>
      <c r="AD284" t="s">
        <v>28</v>
      </c>
      <c r="AE284" t="s">
        <v>62</v>
      </c>
      <c r="AF284">
        <v>18</v>
      </c>
      <c r="AG284">
        <v>2014</v>
      </c>
      <c r="AH284" t="s">
        <v>49</v>
      </c>
      <c r="AI284">
        <v>131</v>
      </c>
      <c r="AJ284">
        <v>4.7</v>
      </c>
    </row>
    <row r="285" spans="1:36" x14ac:dyDescent="0.25">
      <c r="A285">
        <v>10284</v>
      </c>
      <c r="B285" t="s">
        <v>21</v>
      </c>
      <c r="C285" t="s">
        <v>57</v>
      </c>
      <c r="D285" t="s">
        <v>52</v>
      </c>
      <c r="E285" t="str">
        <f t="shared" si="52"/>
        <v>Michael Davis is in Operations Department</v>
      </c>
      <c r="F285" s="6" t="str">
        <f t="shared" si="53"/>
        <v>michaeldavis@gmail.com</v>
      </c>
      <c r="G285">
        <v>56819</v>
      </c>
      <c r="H285" t="str">
        <f t="shared" si="54"/>
        <v>Medium</v>
      </c>
      <c r="I285" s="3">
        <v>41311</v>
      </c>
      <c r="J285">
        <f t="shared" si="55"/>
        <v>2013</v>
      </c>
      <c r="K285">
        <f t="shared" si="56"/>
        <v>2</v>
      </c>
      <c r="L285">
        <f t="shared" si="57"/>
        <v>6</v>
      </c>
      <c r="M285" s="3">
        <f t="shared" ca="1" si="58"/>
        <v>46100</v>
      </c>
      <c r="N285">
        <f t="shared" ca="1" si="59"/>
        <v>4789</v>
      </c>
      <c r="O285">
        <f t="shared" ca="1" si="60"/>
        <v>4789</v>
      </c>
      <c r="P285">
        <f t="shared" ca="1" si="61"/>
        <v>3422</v>
      </c>
      <c r="Q285">
        <v>41</v>
      </c>
      <c r="R285" t="str">
        <f t="shared" si="62"/>
        <v>Old</v>
      </c>
      <c r="S285" t="s">
        <v>24</v>
      </c>
      <c r="T285">
        <v>9</v>
      </c>
      <c r="U285" t="s">
        <v>25</v>
      </c>
      <c r="V285">
        <v>1246.43</v>
      </c>
      <c r="W285" t="s">
        <v>58</v>
      </c>
      <c r="X285" t="s">
        <v>36</v>
      </c>
      <c r="Y285">
        <v>12</v>
      </c>
      <c r="Z285" t="str">
        <f t="shared" si="63"/>
        <v>Bad Employee</v>
      </c>
      <c r="AA285" t="b">
        <f t="shared" si="64"/>
        <v>0</v>
      </c>
      <c r="AB285" t="b">
        <f>OR(Y285&gt;20, T285&gt;6)</f>
        <v>1</v>
      </c>
      <c r="AC285" t="str">
        <f>IF(OR(Y285&gt;20,T285&gt;6), "Good employee", "Bad Employee")</f>
        <v>Good employee</v>
      </c>
      <c r="AD285" t="s">
        <v>28</v>
      </c>
      <c r="AE285" t="s">
        <v>42</v>
      </c>
      <c r="AF285">
        <v>3</v>
      </c>
      <c r="AG285">
        <v>2014</v>
      </c>
      <c r="AH285" t="s">
        <v>49</v>
      </c>
      <c r="AI285">
        <v>52</v>
      </c>
      <c r="AJ285">
        <v>1.2</v>
      </c>
    </row>
    <row r="286" spans="1:36" x14ac:dyDescent="0.25">
      <c r="A286">
        <v>10285</v>
      </c>
      <c r="B286" t="s">
        <v>60</v>
      </c>
      <c r="C286" t="s">
        <v>57</v>
      </c>
      <c r="D286" t="s">
        <v>39</v>
      </c>
      <c r="E286" t="str">
        <f t="shared" si="52"/>
        <v>Jane Davis is in IT Department</v>
      </c>
      <c r="F286" s="6" t="str">
        <f t="shared" si="53"/>
        <v>janedavis@gmail.com</v>
      </c>
      <c r="G286">
        <v>41741</v>
      </c>
      <c r="H286" t="str">
        <f t="shared" si="54"/>
        <v>low</v>
      </c>
      <c r="I286" s="3">
        <v>40129</v>
      </c>
      <c r="J286">
        <f t="shared" si="55"/>
        <v>2009</v>
      </c>
      <c r="K286">
        <f t="shared" si="56"/>
        <v>11</v>
      </c>
      <c r="L286">
        <f t="shared" si="57"/>
        <v>12</v>
      </c>
      <c r="M286" s="3">
        <f t="shared" ca="1" si="58"/>
        <v>46100</v>
      </c>
      <c r="N286">
        <f t="shared" ca="1" si="59"/>
        <v>5971</v>
      </c>
      <c r="O286">
        <f t="shared" ca="1" si="60"/>
        <v>5971</v>
      </c>
      <c r="P286">
        <f t="shared" ca="1" si="61"/>
        <v>4266</v>
      </c>
      <c r="Q286">
        <v>26</v>
      </c>
      <c r="R286" t="str">
        <f t="shared" si="62"/>
        <v>Young</v>
      </c>
      <c r="S286" t="s">
        <v>24</v>
      </c>
      <c r="T286">
        <v>2</v>
      </c>
      <c r="U286" t="s">
        <v>45</v>
      </c>
      <c r="V286">
        <v>6105.25</v>
      </c>
      <c r="W286" t="s">
        <v>35</v>
      </c>
      <c r="X286" t="s">
        <v>36</v>
      </c>
      <c r="Y286">
        <v>19</v>
      </c>
      <c r="Z286" t="str">
        <f t="shared" si="63"/>
        <v>Bad Employee</v>
      </c>
      <c r="AA286" t="b">
        <f t="shared" si="64"/>
        <v>0</v>
      </c>
      <c r="AB286" t="b">
        <f>OR(Y286&gt;20, T286&gt;6)</f>
        <v>0</v>
      </c>
      <c r="AC286" t="str">
        <f>IF(OR(Y286&gt;20,T286&gt;6), "Good employee", "Bad Employee")</f>
        <v>Bad Employee</v>
      </c>
      <c r="AD286" t="s">
        <v>41</v>
      </c>
      <c r="AE286" t="s">
        <v>62</v>
      </c>
      <c r="AF286">
        <v>19</v>
      </c>
      <c r="AG286">
        <v>2017</v>
      </c>
      <c r="AH286" t="s">
        <v>30</v>
      </c>
      <c r="AI286">
        <v>182</v>
      </c>
      <c r="AJ286">
        <v>3.4</v>
      </c>
    </row>
    <row r="287" spans="1:36" x14ac:dyDescent="0.25">
      <c r="A287">
        <v>10286</v>
      </c>
      <c r="B287" t="s">
        <v>50</v>
      </c>
      <c r="C287" t="s">
        <v>65</v>
      </c>
      <c r="D287" t="s">
        <v>54</v>
      </c>
      <c r="E287" t="str">
        <f t="shared" si="52"/>
        <v>Alex Johnson is in Finance Department</v>
      </c>
      <c r="F287" s="6" t="str">
        <f t="shared" si="53"/>
        <v>alexjohnson@gmail.com</v>
      </c>
      <c r="G287">
        <v>38798</v>
      </c>
      <c r="H287" t="str">
        <f t="shared" si="54"/>
        <v>extremely low</v>
      </c>
      <c r="I287" s="3">
        <v>40047</v>
      </c>
      <c r="J287">
        <f t="shared" si="55"/>
        <v>2009</v>
      </c>
      <c r="K287">
        <f t="shared" si="56"/>
        <v>8</v>
      </c>
      <c r="L287">
        <f t="shared" si="57"/>
        <v>22</v>
      </c>
      <c r="M287" s="3">
        <f t="shared" ca="1" si="58"/>
        <v>46100</v>
      </c>
      <c r="N287">
        <f t="shared" ca="1" si="59"/>
        <v>6053</v>
      </c>
      <c r="O287">
        <f t="shared" ca="1" si="60"/>
        <v>6053</v>
      </c>
      <c r="P287">
        <f t="shared" ca="1" si="61"/>
        <v>4324</v>
      </c>
      <c r="Q287">
        <v>57</v>
      </c>
      <c r="R287" t="str">
        <f t="shared" si="62"/>
        <v>Old</v>
      </c>
      <c r="S287" t="s">
        <v>34</v>
      </c>
      <c r="T287">
        <v>2</v>
      </c>
      <c r="U287" t="s">
        <v>45</v>
      </c>
      <c r="V287">
        <v>5727.7</v>
      </c>
      <c r="W287" t="s">
        <v>46</v>
      </c>
      <c r="X287" t="s">
        <v>40</v>
      </c>
      <c r="Y287">
        <v>32</v>
      </c>
      <c r="Z287" t="str">
        <f t="shared" si="63"/>
        <v>Bad Employee</v>
      </c>
      <c r="AA287" t="b">
        <f t="shared" si="64"/>
        <v>0</v>
      </c>
      <c r="AB287" t="b">
        <f>OR(Y287&gt;20, T287&gt;6)</f>
        <v>1</v>
      </c>
      <c r="AC287" t="str">
        <f>IF(OR(Y287&gt;20,T287&gt;6), "Good employee", "Bad Employee")</f>
        <v>Good employee</v>
      </c>
      <c r="AD287" t="s">
        <v>28</v>
      </c>
      <c r="AE287" t="s">
        <v>42</v>
      </c>
      <c r="AF287">
        <v>2</v>
      </c>
      <c r="AG287">
        <v>2015</v>
      </c>
      <c r="AH287" t="s">
        <v>43</v>
      </c>
      <c r="AI287">
        <v>66</v>
      </c>
      <c r="AJ287">
        <v>3.6</v>
      </c>
    </row>
    <row r="288" spans="1:36" x14ac:dyDescent="0.25">
      <c r="A288">
        <v>10287</v>
      </c>
      <c r="B288" t="s">
        <v>66</v>
      </c>
      <c r="C288" t="s">
        <v>61</v>
      </c>
      <c r="D288" t="s">
        <v>54</v>
      </c>
      <c r="E288" t="str">
        <f t="shared" si="52"/>
        <v>John Smith is in Finance Department</v>
      </c>
      <c r="F288" s="6" t="str">
        <f t="shared" si="53"/>
        <v>johnsmith@gmail.com</v>
      </c>
      <c r="G288">
        <v>55143</v>
      </c>
      <c r="H288" t="str">
        <f t="shared" si="54"/>
        <v>Medium</v>
      </c>
      <c r="I288" s="3">
        <v>41681</v>
      </c>
      <c r="J288">
        <f t="shared" si="55"/>
        <v>2014</v>
      </c>
      <c r="K288">
        <f t="shared" si="56"/>
        <v>2</v>
      </c>
      <c r="L288">
        <f t="shared" si="57"/>
        <v>11</v>
      </c>
      <c r="M288" s="3">
        <f t="shared" ca="1" si="58"/>
        <v>46100</v>
      </c>
      <c r="N288">
        <f t="shared" ca="1" si="59"/>
        <v>4419</v>
      </c>
      <c r="O288">
        <f t="shared" ca="1" si="60"/>
        <v>4419</v>
      </c>
      <c r="P288">
        <f t="shared" ca="1" si="61"/>
        <v>3158</v>
      </c>
      <c r="Q288">
        <v>50</v>
      </c>
      <c r="R288" t="str">
        <f t="shared" si="62"/>
        <v>Old</v>
      </c>
      <c r="S288" t="s">
        <v>34</v>
      </c>
      <c r="T288">
        <v>8</v>
      </c>
      <c r="U288" t="s">
        <v>45</v>
      </c>
      <c r="V288">
        <v>6294.78</v>
      </c>
      <c r="W288" t="s">
        <v>58</v>
      </c>
      <c r="X288" t="s">
        <v>40</v>
      </c>
      <c r="Y288">
        <v>23</v>
      </c>
      <c r="Z288" t="str">
        <f t="shared" si="63"/>
        <v>Good Employee</v>
      </c>
      <c r="AA288" t="b">
        <f t="shared" si="64"/>
        <v>1</v>
      </c>
      <c r="AB288" t="b">
        <f>OR(Y288&gt;20, T288&gt;6)</f>
        <v>1</v>
      </c>
      <c r="AC288" t="str">
        <f>IF(OR(Y288&gt;20,T288&gt;6), "Good employee", "Bad Employee")</f>
        <v>Good employee</v>
      </c>
      <c r="AD288" t="s">
        <v>56</v>
      </c>
      <c r="AE288" t="s">
        <v>48</v>
      </c>
      <c r="AF288">
        <v>1</v>
      </c>
      <c r="AG288">
        <v>2010</v>
      </c>
      <c r="AH288" t="s">
        <v>30</v>
      </c>
      <c r="AI288">
        <v>185</v>
      </c>
      <c r="AJ288">
        <v>2.2000000000000002</v>
      </c>
    </row>
    <row r="289" spans="1:36" x14ac:dyDescent="0.25">
      <c r="A289">
        <v>10288</v>
      </c>
      <c r="B289" t="s">
        <v>38</v>
      </c>
      <c r="C289" t="s">
        <v>32</v>
      </c>
      <c r="D289" t="s">
        <v>52</v>
      </c>
      <c r="E289" t="str">
        <f t="shared" si="52"/>
        <v>Chris Wilson is in Operations Department</v>
      </c>
      <c r="F289" s="6" t="str">
        <f t="shared" si="53"/>
        <v>chriswilson@gmail.com</v>
      </c>
      <c r="G289">
        <v>79695</v>
      </c>
      <c r="H289" t="str">
        <f t="shared" si="54"/>
        <v>Medium</v>
      </c>
      <c r="I289" s="3">
        <v>41468</v>
      </c>
      <c r="J289">
        <f t="shared" si="55"/>
        <v>2013</v>
      </c>
      <c r="K289">
        <f t="shared" si="56"/>
        <v>7</v>
      </c>
      <c r="L289">
        <f t="shared" si="57"/>
        <v>13</v>
      </c>
      <c r="M289" s="3">
        <f t="shared" ca="1" si="58"/>
        <v>46100</v>
      </c>
      <c r="N289">
        <f t="shared" ca="1" si="59"/>
        <v>4632</v>
      </c>
      <c r="O289">
        <f t="shared" ca="1" si="60"/>
        <v>4632</v>
      </c>
      <c r="P289">
        <f t="shared" ca="1" si="61"/>
        <v>3309</v>
      </c>
      <c r="Q289">
        <v>55</v>
      </c>
      <c r="R289" t="str">
        <f t="shared" si="62"/>
        <v>Old</v>
      </c>
      <c r="S289" t="s">
        <v>24</v>
      </c>
      <c r="T289">
        <v>6</v>
      </c>
      <c r="U289" t="s">
        <v>25</v>
      </c>
      <c r="V289">
        <v>7108.6</v>
      </c>
      <c r="W289" t="s">
        <v>35</v>
      </c>
      <c r="X289" t="s">
        <v>40</v>
      </c>
      <c r="Y289">
        <v>5</v>
      </c>
      <c r="Z289" t="str">
        <f t="shared" si="63"/>
        <v>Bad Employee</v>
      </c>
      <c r="AA289" t="b">
        <f t="shared" si="64"/>
        <v>0</v>
      </c>
      <c r="AB289" t="b">
        <f>OR(Y289&gt;20, T289&gt;6)</f>
        <v>0</v>
      </c>
      <c r="AC289" t="str">
        <f>IF(OR(Y289&gt;20,T289&gt;6), "Good employee", "Bad Employee")</f>
        <v>Bad Employee</v>
      </c>
      <c r="AD289" t="s">
        <v>41</v>
      </c>
      <c r="AE289" t="s">
        <v>59</v>
      </c>
      <c r="AF289">
        <v>11</v>
      </c>
      <c r="AG289">
        <v>2020</v>
      </c>
      <c r="AH289" t="s">
        <v>49</v>
      </c>
      <c r="AI289">
        <v>153</v>
      </c>
      <c r="AJ289">
        <v>5</v>
      </c>
    </row>
    <row r="290" spans="1:36" x14ac:dyDescent="0.25">
      <c r="A290">
        <v>10289</v>
      </c>
      <c r="B290" t="s">
        <v>66</v>
      </c>
      <c r="C290" t="s">
        <v>51</v>
      </c>
      <c r="D290" t="s">
        <v>39</v>
      </c>
      <c r="E290" t="str">
        <f t="shared" si="52"/>
        <v>John Brown is in IT Department</v>
      </c>
      <c r="F290" s="6" t="str">
        <f t="shared" si="53"/>
        <v>johnbrown@gmail.com</v>
      </c>
      <c r="G290">
        <v>62747</v>
      </c>
      <c r="H290" t="str">
        <f t="shared" si="54"/>
        <v>Medium</v>
      </c>
      <c r="I290" s="3">
        <v>41043</v>
      </c>
      <c r="J290">
        <f t="shared" si="55"/>
        <v>2012</v>
      </c>
      <c r="K290">
        <f t="shared" si="56"/>
        <v>5</v>
      </c>
      <c r="L290">
        <f t="shared" si="57"/>
        <v>14</v>
      </c>
      <c r="M290" s="3">
        <f t="shared" ca="1" si="58"/>
        <v>46100</v>
      </c>
      <c r="N290">
        <f t="shared" ca="1" si="59"/>
        <v>5057</v>
      </c>
      <c r="O290">
        <f t="shared" ca="1" si="60"/>
        <v>5057</v>
      </c>
      <c r="P290">
        <f t="shared" ca="1" si="61"/>
        <v>3614</v>
      </c>
      <c r="Q290">
        <v>39</v>
      </c>
      <c r="R290" t="str">
        <f t="shared" si="62"/>
        <v>Old</v>
      </c>
      <c r="S290" t="s">
        <v>34</v>
      </c>
      <c r="T290">
        <v>3</v>
      </c>
      <c r="U290" t="s">
        <v>45</v>
      </c>
      <c r="V290">
        <v>9222.0400000000009</v>
      </c>
      <c r="W290" t="s">
        <v>35</v>
      </c>
      <c r="X290" t="s">
        <v>55</v>
      </c>
      <c r="Y290">
        <v>25</v>
      </c>
      <c r="Z290" t="str">
        <f t="shared" si="63"/>
        <v>Bad Employee</v>
      </c>
      <c r="AA290" t="b">
        <f t="shared" si="64"/>
        <v>0</v>
      </c>
      <c r="AB290" t="b">
        <f>OR(Y290&gt;20, T290&gt;6)</f>
        <v>1</v>
      </c>
      <c r="AC290" t="str">
        <f>IF(OR(Y290&gt;20,T290&gt;6), "Good employee", "Bad Employee")</f>
        <v>Good employee</v>
      </c>
      <c r="AD290" t="s">
        <v>56</v>
      </c>
      <c r="AE290" t="s">
        <v>29</v>
      </c>
      <c r="AF290">
        <v>12</v>
      </c>
      <c r="AG290">
        <v>2023</v>
      </c>
      <c r="AH290" t="s">
        <v>49</v>
      </c>
      <c r="AI290">
        <v>42</v>
      </c>
      <c r="AJ290">
        <v>2.2000000000000002</v>
      </c>
    </row>
    <row r="291" spans="1:36" x14ac:dyDescent="0.25">
      <c r="A291">
        <v>10290</v>
      </c>
      <c r="B291" t="s">
        <v>53</v>
      </c>
      <c r="C291" t="s">
        <v>65</v>
      </c>
      <c r="D291" t="s">
        <v>44</v>
      </c>
      <c r="E291" t="str">
        <f t="shared" si="52"/>
        <v>Sarah Johnson is in Sales Department</v>
      </c>
      <c r="F291" s="6" t="str">
        <f t="shared" si="53"/>
        <v>sarahjohnson@gmail.com</v>
      </c>
      <c r="G291">
        <v>51182</v>
      </c>
      <c r="H291" t="str">
        <f t="shared" si="54"/>
        <v>Medium</v>
      </c>
      <c r="I291" s="3">
        <v>38169</v>
      </c>
      <c r="J291">
        <f t="shared" si="55"/>
        <v>2004</v>
      </c>
      <c r="K291">
        <f t="shared" si="56"/>
        <v>7</v>
      </c>
      <c r="L291">
        <f t="shared" si="57"/>
        <v>1</v>
      </c>
      <c r="M291" s="3">
        <f t="shared" ca="1" si="58"/>
        <v>46100</v>
      </c>
      <c r="N291">
        <f t="shared" ca="1" si="59"/>
        <v>7931</v>
      </c>
      <c r="O291">
        <f t="shared" ca="1" si="60"/>
        <v>7931</v>
      </c>
      <c r="P291">
        <f t="shared" ca="1" si="61"/>
        <v>5666</v>
      </c>
      <c r="Q291">
        <v>23</v>
      </c>
      <c r="R291" t="str">
        <f t="shared" si="62"/>
        <v>Young</v>
      </c>
      <c r="S291" t="s">
        <v>24</v>
      </c>
      <c r="T291">
        <v>2</v>
      </c>
      <c r="U291" t="s">
        <v>45</v>
      </c>
      <c r="V291">
        <v>7963.98</v>
      </c>
      <c r="W291" t="s">
        <v>26</v>
      </c>
      <c r="X291" t="s">
        <v>55</v>
      </c>
      <c r="Y291">
        <v>35</v>
      </c>
      <c r="Z291" t="str">
        <f t="shared" si="63"/>
        <v>Bad Employee</v>
      </c>
      <c r="AA291" t="b">
        <f t="shared" si="64"/>
        <v>0</v>
      </c>
      <c r="AB291" t="b">
        <f>OR(Y291&gt;20, T291&gt;6)</f>
        <v>1</v>
      </c>
      <c r="AC291" t="str">
        <f>IF(OR(Y291&gt;20,T291&gt;6), "Good employee", "Bad Employee")</f>
        <v>Good employee</v>
      </c>
      <c r="AD291" t="s">
        <v>28</v>
      </c>
      <c r="AE291" t="s">
        <v>62</v>
      </c>
      <c r="AF291">
        <v>17</v>
      </c>
      <c r="AG291">
        <v>2021</v>
      </c>
      <c r="AH291" t="s">
        <v>49</v>
      </c>
      <c r="AI291">
        <v>122</v>
      </c>
      <c r="AJ291">
        <v>1.9</v>
      </c>
    </row>
    <row r="292" spans="1:36" x14ac:dyDescent="0.25">
      <c r="A292">
        <v>10291</v>
      </c>
      <c r="B292" t="s">
        <v>66</v>
      </c>
      <c r="C292" t="s">
        <v>22</v>
      </c>
      <c r="D292" t="s">
        <v>52</v>
      </c>
      <c r="E292" t="str">
        <f t="shared" si="52"/>
        <v>John Williams is in Operations Department</v>
      </c>
      <c r="F292" s="6" t="str">
        <f t="shared" si="53"/>
        <v>johnwilliams@gmail.com</v>
      </c>
      <c r="G292">
        <v>39415</v>
      </c>
      <c r="H292" t="str">
        <f t="shared" si="54"/>
        <v>extremely low</v>
      </c>
      <c r="I292" s="3">
        <v>37738</v>
      </c>
      <c r="J292">
        <f t="shared" si="55"/>
        <v>2003</v>
      </c>
      <c r="K292">
        <f t="shared" si="56"/>
        <v>4</v>
      </c>
      <c r="L292">
        <f t="shared" si="57"/>
        <v>27</v>
      </c>
      <c r="M292" s="3">
        <f t="shared" ca="1" si="58"/>
        <v>46100</v>
      </c>
      <c r="N292">
        <f t="shared" ca="1" si="59"/>
        <v>8362</v>
      </c>
      <c r="O292">
        <f t="shared" ca="1" si="60"/>
        <v>8362</v>
      </c>
      <c r="P292">
        <f t="shared" ca="1" si="61"/>
        <v>5974</v>
      </c>
      <c r="Q292">
        <v>37</v>
      </c>
      <c r="R292" t="str">
        <f t="shared" si="62"/>
        <v>Old</v>
      </c>
      <c r="S292" t="s">
        <v>34</v>
      </c>
      <c r="T292">
        <v>5</v>
      </c>
      <c r="U292" t="s">
        <v>25</v>
      </c>
      <c r="V292">
        <v>2586.56</v>
      </c>
      <c r="W292" t="s">
        <v>46</v>
      </c>
      <c r="X292" t="s">
        <v>27</v>
      </c>
      <c r="Y292">
        <v>29</v>
      </c>
      <c r="Z292" t="str">
        <f t="shared" si="63"/>
        <v>Bad Employee</v>
      </c>
      <c r="AA292" t="b">
        <f t="shared" si="64"/>
        <v>0</v>
      </c>
      <c r="AB292" t="b">
        <f>OR(Y292&gt;20, T292&gt;6)</f>
        <v>1</v>
      </c>
      <c r="AC292" t="str">
        <f>IF(OR(Y292&gt;20,T292&gt;6), "Good employee", "Bad Employee")</f>
        <v>Good employee</v>
      </c>
      <c r="AD292" t="s">
        <v>28</v>
      </c>
      <c r="AE292" t="s">
        <v>42</v>
      </c>
      <c r="AF292">
        <v>4</v>
      </c>
      <c r="AG292">
        <v>2013</v>
      </c>
      <c r="AH292" t="s">
        <v>30</v>
      </c>
      <c r="AI292">
        <v>63</v>
      </c>
      <c r="AJ292">
        <v>2.9</v>
      </c>
    </row>
    <row r="293" spans="1:36" x14ac:dyDescent="0.25">
      <c r="A293">
        <v>10292</v>
      </c>
      <c r="B293" t="s">
        <v>50</v>
      </c>
      <c r="C293" t="s">
        <v>51</v>
      </c>
      <c r="D293" t="s">
        <v>33</v>
      </c>
      <c r="E293" t="str">
        <f t="shared" si="52"/>
        <v>Alex Brown is in Marketing Department</v>
      </c>
      <c r="F293" s="6" t="str">
        <f t="shared" si="53"/>
        <v>alexbrown@gmail.com</v>
      </c>
      <c r="G293">
        <v>41085</v>
      </c>
      <c r="H293" t="str">
        <f t="shared" si="54"/>
        <v>low</v>
      </c>
      <c r="I293" s="3">
        <v>41229</v>
      </c>
      <c r="J293">
        <f t="shared" si="55"/>
        <v>2012</v>
      </c>
      <c r="K293">
        <f t="shared" si="56"/>
        <v>11</v>
      </c>
      <c r="L293">
        <f t="shared" si="57"/>
        <v>16</v>
      </c>
      <c r="M293" s="3">
        <f t="shared" ca="1" si="58"/>
        <v>46100</v>
      </c>
      <c r="N293">
        <f t="shared" ca="1" si="59"/>
        <v>4871</v>
      </c>
      <c r="O293">
        <f t="shared" ca="1" si="60"/>
        <v>4871</v>
      </c>
      <c r="P293">
        <f t="shared" ca="1" si="61"/>
        <v>3480</v>
      </c>
      <c r="Q293">
        <v>50</v>
      </c>
      <c r="R293" t="str">
        <f t="shared" si="62"/>
        <v>Old</v>
      </c>
      <c r="S293" t="s">
        <v>34</v>
      </c>
      <c r="T293">
        <v>8</v>
      </c>
      <c r="U293" t="s">
        <v>45</v>
      </c>
      <c r="V293">
        <v>8346.01</v>
      </c>
      <c r="W293" t="s">
        <v>46</v>
      </c>
      <c r="X293" t="s">
        <v>55</v>
      </c>
      <c r="Y293">
        <v>38</v>
      </c>
      <c r="Z293" t="str">
        <f t="shared" si="63"/>
        <v>Good Employee</v>
      </c>
      <c r="AA293" t="b">
        <f t="shared" si="64"/>
        <v>1</v>
      </c>
      <c r="AB293" t="b">
        <f>OR(Y293&gt;20, T293&gt;6)</f>
        <v>1</v>
      </c>
      <c r="AC293" t="str">
        <f>IF(OR(Y293&gt;20,T293&gt;6), "Good employee", "Bad Employee")</f>
        <v>Good employee</v>
      </c>
      <c r="AD293" t="s">
        <v>56</v>
      </c>
      <c r="AE293" t="s">
        <v>62</v>
      </c>
      <c r="AF293">
        <v>11</v>
      </c>
      <c r="AG293">
        <v>2010</v>
      </c>
      <c r="AH293" t="s">
        <v>30</v>
      </c>
      <c r="AI293">
        <v>101</v>
      </c>
      <c r="AJ293">
        <v>2.2999999999999998</v>
      </c>
    </row>
    <row r="294" spans="1:36" x14ac:dyDescent="0.25">
      <c r="A294">
        <v>10293</v>
      </c>
      <c r="B294" t="s">
        <v>66</v>
      </c>
      <c r="C294" t="s">
        <v>63</v>
      </c>
      <c r="D294" t="s">
        <v>54</v>
      </c>
      <c r="E294" t="str">
        <f t="shared" si="52"/>
        <v>John Miller is in Finance Department</v>
      </c>
      <c r="F294" s="6" t="str">
        <f t="shared" si="53"/>
        <v>johnmiller@gmail.com</v>
      </c>
      <c r="G294">
        <v>45008</v>
      </c>
      <c r="H294" t="str">
        <f t="shared" si="54"/>
        <v>low</v>
      </c>
      <c r="I294" s="3">
        <v>41960</v>
      </c>
      <c r="J294">
        <f t="shared" si="55"/>
        <v>2014</v>
      </c>
      <c r="K294">
        <f t="shared" si="56"/>
        <v>11</v>
      </c>
      <c r="L294">
        <f t="shared" si="57"/>
        <v>17</v>
      </c>
      <c r="M294" s="3">
        <f t="shared" ca="1" si="58"/>
        <v>46100</v>
      </c>
      <c r="N294">
        <f t="shared" ca="1" si="59"/>
        <v>4140</v>
      </c>
      <c r="O294">
        <f t="shared" ca="1" si="60"/>
        <v>4140</v>
      </c>
      <c r="P294">
        <f t="shared" ca="1" si="61"/>
        <v>2959</v>
      </c>
      <c r="Q294">
        <v>54</v>
      </c>
      <c r="R294" t="str">
        <f t="shared" si="62"/>
        <v>Old</v>
      </c>
      <c r="S294" t="s">
        <v>34</v>
      </c>
      <c r="T294">
        <v>6</v>
      </c>
      <c r="U294" t="s">
        <v>25</v>
      </c>
      <c r="V294">
        <v>1659.76</v>
      </c>
      <c r="W294" t="s">
        <v>26</v>
      </c>
      <c r="X294" t="s">
        <v>27</v>
      </c>
      <c r="Y294">
        <v>20</v>
      </c>
      <c r="Z294" t="str">
        <f t="shared" si="63"/>
        <v>Bad Employee</v>
      </c>
      <c r="AA294" t="b">
        <f t="shared" si="64"/>
        <v>0</v>
      </c>
      <c r="AB294" t="b">
        <f>OR(Y294&gt;20, T294&gt;6)</f>
        <v>0</v>
      </c>
      <c r="AC294" t="str">
        <f>IF(OR(Y294&gt;20,T294&gt;6), "Good employee", "Bad Employee")</f>
        <v>Bad Employee</v>
      </c>
      <c r="AD294" t="s">
        <v>41</v>
      </c>
      <c r="AE294" t="s">
        <v>62</v>
      </c>
      <c r="AF294">
        <v>18</v>
      </c>
      <c r="AG294">
        <v>2014</v>
      </c>
      <c r="AH294" t="s">
        <v>30</v>
      </c>
      <c r="AI294">
        <v>175</v>
      </c>
      <c r="AJ294">
        <v>4.7</v>
      </c>
    </row>
    <row r="295" spans="1:36" x14ac:dyDescent="0.25">
      <c r="A295">
        <v>10294</v>
      </c>
      <c r="B295" t="s">
        <v>60</v>
      </c>
      <c r="C295" t="s">
        <v>51</v>
      </c>
      <c r="D295" t="s">
        <v>52</v>
      </c>
      <c r="E295" t="str">
        <f t="shared" si="52"/>
        <v>Jane Brown is in Operations Department</v>
      </c>
      <c r="F295" s="6" t="str">
        <f t="shared" si="53"/>
        <v>janebrown@gmail.com</v>
      </c>
      <c r="G295">
        <v>117638</v>
      </c>
      <c r="H295" t="str">
        <f t="shared" si="54"/>
        <v>High</v>
      </c>
      <c r="I295" s="3">
        <v>36545</v>
      </c>
      <c r="J295">
        <f t="shared" si="55"/>
        <v>2000</v>
      </c>
      <c r="K295">
        <f t="shared" si="56"/>
        <v>1</v>
      </c>
      <c r="L295">
        <f t="shared" si="57"/>
        <v>20</v>
      </c>
      <c r="M295" s="3">
        <f t="shared" ca="1" si="58"/>
        <v>46100</v>
      </c>
      <c r="N295">
        <f t="shared" ca="1" si="59"/>
        <v>9555</v>
      </c>
      <c r="O295">
        <f t="shared" ca="1" si="60"/>
        <v>9555</v>
      </c>
      <c r="P295">
        <f t="shared" ca="1" si="61"/>
        <v>6826</v>
      </c>
      <c r="Q295">
        <v>37</v>
      </c>
      <c r="R295" t="str">
        <f t="shared" si="62"/>
        <v>Old</v>
      </c>
      <c r="S295" t="s">
        <v>34</v>
      </c>
      <c r="T295">
        <v>3</v>
      </c>
      <c r="U295" t="s">
        <v>45</v>
      </c>
      <c r="V295">
        <v>6410.89</v>
      </c>
      <c r="W295" t="s">
        <v>26</v>
      </c>
      <c r="X295" t="s">
        <v>27</v>
      </c>
      <c r="Y295">
        <v>36</v>
      </c>
      <c r="Z295" t="str">
        <f t="shared" si="63"/>
        <v>Bad Employee</v>
      </c>
      <c r="AA295" t="b">
        <f t="shared" si="64"/>
        <v>0</v>
      </c>
      <c r="AB295" t="b">
        <f>OR(Y295&gt;20, T295&gt;6)</f>
        <v>1</v>
      </c>
      <c r="AC295" t="str">
        <f>IF(OR(Y295&gt;20,T295&gt;6), "Good employee", "Bad Employee")</f>
        <v>Good employee</v>
      </c>
      <c r="AD295" t="s">
        <v>56</v>
      </c>
      <c r="AE295" t="s">
        <v>42</v>
      </c>
      <c r="AF295">
        <v>0</v>
      </c>
      <c r="AG295">
        <v>2014</v>
      </c>
      <c r="AH295" t="s">
        <v>30</v>
      </c>
      <c r="AI295">
        <v>21</v>
      </c>
      <c r="AJ295">
        <v>2.8</v>
      </c>
    </row>
    <row r="296" spans="1:36" x14ac:dyDescent="0.25">
      <c r="A296">
        <v>10295</v>
      </c>
      <c r="B296" t="s">
        <v>60</v>
      </c>
      <c r="C296" t="s">
        <v>51</v>
      </c>
      <c r="D296" t="s">
        <v>54</v>
      </c>
      <c r="E296" t="str">
        <f t="shared" si="52"/>
        <v>Jane Brown is in Finance Department</v>
      </c>
      <c r="F296" s="6" t="str">
        <f t="shared" si="53"/>
        <v>janebrown@gmail.com</v>
      </c>
      <c r="G296">
        <v>48452</v>
      </c>
      <c r="H296" t="str">
        <f t="shared" si="54"/>
        <v>low</v>
      </c>
      <c r="I296" s="3">
        <v>37201</v>
      </c>
      <c r="J296">
        <f t="shared" si="55"/>
        <v>2001</v>
      </c>
      <c r="K296">
        <f t="shared" si="56"/>
        <v>11</v>
      </c>
      <c r="L296">
        <f t="shared" si="57"/>
        <v>6</v>
      </c>
      <c r="M296" s="3">
        <f t="shared" ca="1" si="58"/>
        <v>46100</v>
      </c>
      <c r="N296">
        <f t="shared" ca="1" si="59"/>
        <v>8899</v>
      </c>
      <c r="O296">
        <f t="shared" ca="1" si="60"/>
        <v>8899</v>
      </c>
      <c r="P296">
        <f t="shared" ca="1" si="61"/>
        <v>6358</v>
      </c>
      <c r="Q296">
        <v>56</v>
      </c>
      <c r="R296" t="str">
        <f t="shared" si="62"/>
        <v>Old</v>
      </c>
      <c r="S296" t="s">
        <v>34</v>
      </c>
      <c r="T296">
        <v>9</v>
      </c>
      <c r="U296" t="s">
        <v>45</v>
      </c>
      <c r="V296">
        <v>8886.16</v>
      </c>
      <c r="W296" t="s">
        <v>26</v>
      </c>
      <c r="X296" t="s">
        <v>40</v>
      </c>
      <c r="Y296">
        <v>7</v>
      </c>
      <c r="Z296" t="str">
        <f t="shared" si="63"/>
        <v>Bad Employee</v>
      </c>
      <c r="AA296" t="b">
        <f t="shared" si="64"/>
        <v>0</v>
      </c>
      <c r="AB296" t="b">
        <f>OR(Y296&gt;20, T296&gt;6)</f>
        <v>1</v>
      </c>
      <c r="AC296" t="str">
        <f>IF(OR(Y296&gt;20,T296&gt;6), "Good employee", "Bad Employee")</f>
        <v>Good employee</v>
      </c>
      <c r="AD296" t="s">
        <v>28</v>
      </c>
      <c r="AE296" t="s">
        <v>62</v>
      </c>
      <c r="AF296">
        <v>8</v>
      </c>
      <c r="AG296">
        <v>2013</v>
      </c>
      <c r="AH296" t="s">
        <v>43</v>
      </c>
      <c r="AI296">
        <v>73</v>
      </c>
      <c r="AJ296">
        <v>2.6</v>
      </c>
    </row>
    <row r="297" spans="1:36" x14ac:dyDescent="0.25">
      <c r="A297">
        <v>10296</v>
      </c>
      <c r="B297" t="s">
        <v>31</v>
      </c>
      <c r="C297" t="s">
        <v>57</v>
      </c>
      <c r="D297" t="s">
        <v>39</v>
      </c>
      <c r="E297" t="str">
        <f t="shared" si="52"/>
        <v>Emily Davis is in IT Department</v>
      </c>
      <c r="F297" s="6" t="str">
        <f t="shared" si="53"/>
        <v>emilydavis@gmail.com</v>
      </c>
      <c r="G297">
        <v>94075</v>
      </c>
      <c r="H297" t="str">
        <f t="shared" si="54"/>
        <v>High</v>
      </c>
      <c r="I297" s="3">
        <v>41003</v>
      </c>
      <c r="J297">
        <f t="shared" si="55"/>
        <v>2012</v>
      </c>
      <c r="K297">
        <f t="shared" si="56"/>
        <v>4</v>
      </c>
      <c r="L297">
        <f t="shared" si="57"/>
        <v>4</v>
      </c>
      <c r="M297" s="3">
        <f t="shared" ca="1" si="58"/>
        <v>46100</v>
      </c>
      <c r="N297">
        <f t="shared" ca="1" si="59"/>
        <v>5097</v>
      </c>
      <c r="O297">
        <f t="shared" ca="1" si="60"/>
        <v>5097</v>
      </c>
      <c r="P297">
        <f t="shared" ca="1" si="61"/>
        <v>3642</v>
      </c>
      <c r="Q297">
        <v>64</v>
      </c>
      <c r="R297" t="str">
        <f t="shared" si="62"/>
        <v>Old</v>
      </c>
      <c r="S297" t="s">
        <v>24</v>
      </c>
      <c r="T297">
        <v>8</v>
      </c>
      <c r="U297" t="s">
        <v>25</v>
      </c>
      <c r="V297">
        <v>1460.66</v>
      </c>
      <c r="W297" t="s">
        <v>46</v>
      </c>
      <c r="X297" t="s">
        <v>36</v>
      </c>
      <c r="Y297">
        <v>22</v>
      </c>
      <c r="Z297" t="str">
        <f t="shared" si="63"/>
        <v>Good Employee</v>
      </c>
      <c r="AA297" t="b">
        <f t="shared" si="64"/>
        <v>1</v>
      </c>
      <c r="AB297" t="b">
        <f>OR(Y297&gt;20, T297&gt;6)</f>
        <v>1</v>
      </c>
      <c r="AC297" t="str">
        <f>IF(OR(Y297&gt;20,T297&gt;6), "Good employee", "Bad Employee")</f>
        <v>Good employee</v>
      </c>
      <c r="AD297" t="s">
        <v>41</v>
      </c>
      <c r="AE297" t="s">
        <v>29</v>
      </c>
      <c r="AF297">
        <v>0</v>
      </c>
      <c r="AG297">
        <v>2018</v>
      </c>
      <c r="AH297" t="s">
        <v>49</v>
      </c>
      <c r="AI297">
        <v>176</v>
      </c>
      <c r="AJ297">
        <v>3.5</v>
      </c>
    </row>
    <row r="298" spans="1:36" x14ac:dyDescent="0.25">
      <c r="A298">
        <v>10297</v>
      </c>
      <c r="B298" t="s">
        <v>64</v>
      </c>
      <c r="C298" t="s">
        <v>51</v>
      </c>
      <c r="D298" t="s">
        <v>23</v>
      </c>
      <c r="E298" t="str">
        <f t="shared" si="52"/>
        <v>Katie Brown is in HR Department</v>
      </c>
      <c r="F298" s="6" t="str">
        <f t="shared" si="53"/>
        <v>katiebrown@gmail.com</v>
      </c>
      <c r="G298">
        <v>38120</v>
      </c>
      <c r="H298" t="str">
        <f t="shared" si="54"/>
        <v>extremely low</v>
      </c>
      <c r="I298" s="3">
        <v>37134</v>
      </c>
      <c r="J298">
        <f t="shared" si="55"/>
        <v>2001</v>
      </c>
      <c r="K298">
        <f t="shared" si="56"/>
        <v>8</v>
      </c>
      <c r="L298">
        <f t="shared" si="57"/>
        <v>31</v>
      </c>
      <c r="M298" s="3">
        <f t="shared" ca="1" si="58"/>
        <v>46100</v>
      </c>
      <c r="N298">
        <f t="shared" ca="1" si="59"/>
        <v>8966</v>
      </c>
      <c r="O298">
        <f t="shared" ca="1" si="60"/>
        <v>8966</v>
      </c>
      <c r="P298">
        <f t="shared" ca="1" si="61"/>
        <v>6405</v>
      </c>
      <c r="Q298">
        <v>63</v>
      </c>
      <c r="R298" t="str">
        <f t="shared" si="62"/>
        <v>Old</v>
      </c>
      <c r="S298" t="s">
        <v>34</v>
      </c>
      <c r="T298">
        <v>6</v>
      </c>
      <c r="U298" t="s">
        <v>45</v>
      </c>
      <c r="V298">
        <v>8572.08</v>
      </c>
      <c r="W298" t="s">
        <v>35</v>
      </c>
      <c r="X298" t="s">
        <v>40</v>
      </c>
      <c r="Y298">
        <v>18</v>
      </c>
      <c r="Z298" t="str">
        <f t="shared" si="63"/>
        <v>Bad Employee</v>
      </c>
      <c r="AA298" t="b">
        <f t="shared" si="64"/>
        <v>0</v>
      </c>
      <c r="AB298" t="b">
        <f>OR(Y298&gt;20, T298&gt;6)</f>
        <v>0</v>
      </c>
      <c r="AC298" t="str">
        <f>IF(OR(Y298&gt;20,T298&gt;6), "Good employee", "Bad Employee")</f>
        <v>Bad Employee</v>
      </c>
      <c r="AD298" t="s">
        <v>56</v>
      </c>
      <c r="AE298" t="s">
        <v>37</v>
      </c>
      <c r="AF298">
        <v>17</v>
      </c>
      <c r="AG298">
        <v>2017</v>
      </c>
      <c r="AH298" t="s">
        <v>43</v>
      </c>
      <c r="AI298">
        <v>195</v>
      </c>
      <c r="AJ298">
        <v>1.3</v>
      </c>
    </row>
    <row r="299" spans="1:36" x14ac:dyDescent="0.25">
      <c r="A299">
        <v>10298</v>
      </c>
      <c r="B299" t="s">
        <v>21</v>
      </c>
      <c r="C299" t="s">
        <v>63</v>
      </c>
      <c r="D299" t="s">
        <v>52</v>
      </c>
      <c r="E299" t="str">
        <f t="shared" si="52"/>
        <v>Michael Miller is in Operations Department</v>
      </c>
      <c r="F299" s="6" t="str">
        <f t="shared" si="53"/>
        <v>michaelmiller@gmail.com</v>
      </c>
      <c r="G299">
        <v>94385</v>
      </c>
      <c r="H299" t="str">
        <f t="shared" si="54"/>
        <v>High</v>
      </c>
      <c r="I299" s="3">
        <v>42812</v>
      </c>
      <c r="J299">
        <f t="shared" si="55"/>
        <v>2017</v>
      </c>
      <c r="K299">
        <f t="shared" si="56"/>
        <v>3</v>
      </c>
      <c r="L299">
        <f t="shared" si="57"/>
        <v>18</v>
      </c>
      <c r="M299" s="3">
        <f t="shared" ca="1" si="58"/>
        <v>46100</v>
      </c>
      <c r="N299">
        <f t="shared" ca="1" si="59"/>
        <v>3288</v>
      </c>
      <c r="O299">
        <f t="shared" ca="1" si="60"/>
        <v>3288</v>
      </c>
      <c r="P299">
        <f t="shared" ca="1" si="61"/>
        <v>2349</v>
      </c>
      <c r="Q299">
        <v>38</v>
      </c>
      <c r="R299" t="str">
        <f t="shared" si="62"/>
        <v>Old</v>
      </c>
      <c r="S299" t="s">
        <v>24</v>
      </c>
      <c r="T299">
        <v>1</v>
      </c>
      <c r="U299" t="s">
        <v>25</v>
      </c>
      <c r="V299">
        <v>8086.9</v>
      </c>
      <c r="W299" t="s">
        <v>35</v>
      </c>
      <c r="X299" t="s">
        <v>55</v>
      </c>
      <c r="Y299">
        <v>21</v>
      </c>
      <c r="Z299" t="str">
        <f t="shared" si="63"/>
        <v>Bad Employee</v>
      </c>
      <c r="AA299" t="b">
        <f t="shared" si="64"/>
        <v>0</v>
      </c>
      <c r="AB299" t="b">
        <f>OR(Y299&gt;20, T299&gt;6)</f>
        <v>1</v>
      </c>
      <c r="AC299" t="str">
        <f>IF(OR(Y299&gt;20,T299&gt;6), "Good employee", "Bad Employee")</f>
        <v>Good employee</v>
      </c>
      <c r="AD299" t="s">
        <v>56</v>
      </c>
      <c r="AE299" t="s">
        <v>37</v>
      </c>
      <c r="AF299">
        <v>2</v>
      </c>
      <c r="AG299">
        <v>2023</v>
      </c>
      <c r="AH299" t="s">
        <v>49</v>
      </c>
      <c r="AI299">
        <v>27</v>
      </c>
      <c r="AJ299">
        <v>4</v>
      </c>
    </row>
    <row r="300" spans="1:36" x14ac:dyDescent="0.25">
      <c r="A300">
        <v>10299</v>
      </c>
      <c r="B300" t="s">
        <v>38</v>
      </c>
      <c r="C300" t="s">
        <v>63</v>
      </c>
      <c r="D300" t="s">
        <v>44</v>
      </c>
      <c r="E300" t="str">
        <f t="shared" si="52"/>
        <v>Chris Miller is in Sales Department</v>
      </c>
      <c r="F300" s="6" t="str">
        <f t="shared" si="53"/>
        <v>chrismiller@gmail.com</v>
      </c>
      <c r="G300">
        <v>103356</v>
      </c>
      <c r="H300" t="str">
        <f t="shared" si="54"/>
        <v>High</v>
      </c>
      <c r="I300" s="3">
        <v>36587</v>
      </c>
      <c r="J300">
        <f t="shared" si="55"/>
        <v>2000</v>
      </c>
      <c r="K300">
        <f t="shared" si="56"/>
        <v>3</v>
      </c>
      <c r="L300">
        <f t="shared" si="57"/>
        <v>2</v>
      </c>
      <c r="M300" s="3">
        <f t="shared" ca="1" si="58"/>
        <v>46100</v>
      </c>
      <c r="N300">
        <f t="shared" ca="1" si="59"/>
        <v>9513</v>
      </c>
      <c r="O300">
        <f t="shared" ca="1" si="60"/>
        <v>9513</v>
      </c>
      <c r="P300">
        <f t="shared" ca="1" si="61"/>
        <v>6796</v>
      </c>
      <c r="Q300">
        <v>25</v>
      </c>
      <c r="R300" t="str">
        <f t="shared" si="62"/>
        <v>Young</v>
      </c>
      <c r="S300" t="s">
        <v>24</v>
      </c>
      <c r="T300">
        <v>2</v>
      </c>
      <c r="U300" t="s">
        <v>25</v>
      </c>
      <c r="V300">
        <v>5285.87</v>
      </c>
      <c r="W300" t="s">
        <v>58</v>
      </c>
      <c r="X300" t="s">
        <v>47</v>
      </c>
      <c r="Y300">
        <v>22</v>
      </c>
      <c r="Z300" t="str">
        <f t="shared" si="63"/>
        <v>Bad Employee</v>
      </c>
      <c r="AA300" t="b">
        <f t="shared" si="64"/>
        <v>0</v>
      </c>
      <c r="AB300" t="b">
        <f>OR(Y300&gt;20, T300&gt;6)</f>
        <v>1</v>
      </c>
      <c r="AC300" t="str">
        <f>IF(OR(Y300&gt;20,T300&gt;6), "Good employee", "Bad Employee")</f>
        <v>Good employee</v>
      </c>
      <c r="AD300" t="s">
        <v>41</v>
      </c>
      <c r="AE300" t="s">
        <v>37</v>
      </c>
      <c r="AF300">
        <v>5</v>
      </c>
      <c r="AG300">
        <v>2019</v>
      </c>
      <c r="AH300" t="s">
        <v>49</v>
      </c>
      <c r="AI300">
        <v>107</v>
      </c>
      <c r="AJ300">
        <v>4.0999999999999996</v>
      </c>
    </row>
    <row r="301" spans="1:36" x14ac:dyDescent="0.25">
      <c r="A301">
        <v>10300</v>
      </c>
      <c r="B301" t="s">
        <v>53</v>
      </c>
      <c r="C301" t="s">
        <v>61</v>
      </c>
      <c r="D301" t="s">
        <v>52</v>
      </c>
      <c r="E301" t="str">
        <f t="shared" si="52"/>
        <v>Sarah Smith is in Operations Department</v>
      </c>
      <c r="F301" s="6" t="str">
        <f t="shared" si="53"/>
        <v>sarahsmith@gmail.com</v>
      </c>
      <c r="G301">
        <v>48170</v>
      </c>
      <c r="H301" t="str">
        <f t="shared" si="54"/>
        <v>low</v>
      </c>
      <c r="I301" s="3">
        <v>37791</v>
      </c>
      <c r="J301">
        <f t="shared" si="55"/>
        <v>2003</v>
      </c>
      <c r="K301">
        <f t="shared" si="56"/>
        <v>6</v>
      </c>
      <c r="L301">
        <f t="shared" si="57"/>
        <v>19</v>
      </c>
      <c r="M301" s="3">
        <f t="shared" ca="1" si="58"/>
        <v>46100</v>
      </c>
      <c r="N301">
        <f t="shared" ca="1" si="59"/>
        <v>8309</v>
      </c>
      <c r="O301">
        <f t="shared" ca="1" si="60"/>
        <v>8309</v>
      </c>
      <c r="P301">
        <f t="shared" ca="1" si="61"/>
        <v>5936</v>
      </c>
      <c r="Q301">
        <v>25</v>
      </c>
      <c r="R301" t="str">
        <f t="shared" si="62"/>
        <v>Young</v>
      </c>
      <c r="S301" t="s">
        <v>24</v>
      </c>
      <c r="T301">
        <v>4</v>
      </c>
      <c r="U301" t="s">
        <v>45</v>
      </c>
      <c r="V301">
        <v>3434.53</v>
      </c>
      <c r="W301" t="s">
        <v>46</v>
      </c>
      <c r="X301" t="s">
        <v>55</v>
      </c>
      <c r="Y301">
        <v>39</v>
      </c>
      <c r="Z301" t="str">
        <f t="shared" si="63"/>
        <v>Bad Employee</v>
      </c>
      <c r="AA301" t="b">
        <f t="shared" si="64"/>
        <v>0</v>
      </c>
      <c r="AB301" t="b">
        <f>OR(Y301&gt;20, T301&gt;6)</f>
        <v>1</v>
      </c>
      <c r="AC301" t="str">
        <f>IF(OR(Y301&gt;20,T301&gt;6), "Good employee", "Bad Employee")</f>
        <v>Good employee</v>
      </c>
      <c r="AD301" t="s">
        <v>56</v>
      </c>
      <c r="AE301" t="s">
        <v>37</v>
      </c>
      <c r="AF301">
        <v>3</v>
      </c>
      <c r="AG301">
        <v>2023</v>
      </c>
      <c r="AH301" t="s">
        <v>43</v>
      </c>
      <c r="AI301">
        <v>158</v>
      </c>
      <c r="AJ301">
        <v>2.9</v>
      </c>
    </row>
    <row r="302" spans="1:36" x14ac:dyDescent="0.25">
      <c r="A302">
        <v>10301</v>
      </c>
      <c r="B302" t="s">
        <v>66</v>
      </c>
      <c r="C302" t="s">
        <v>51</v>
      </c>
      <c r="D302" t="s">
        <v>54</v>
      </c>
      <c r="E302" t="str">
        <f t="shared" si="52"/>
        <v>John Brown is in Finance Department</v>
      </c>
      <c r="F302" s="6" t="str">
        <f t="shared" si="53"/>
        <v>johnbrown@gmail.com</v>
      </c>
      <c r="G302">
        <v>46259</v>
      </c>
      <c r="H302" t="str">
        <f t="shared" si="54"/>
        <v>low</v>
      </c>
      <c r="I302" s="3">
        <v>38811</v>
      </c>
      <c r="J302">
        <f t="shared" si="55"/>
        <v>2006</v>
      </c>
      <c r="K302">
        <f t="shared" si="56"/>
        <v>4</v>
      </c>
      <c r="L302">
        <f t="shared" si="57"/>
        <v>4</v>
      </c>
      <c r="M302" s="3">
        <f t="shared" ca="1" si="58"/>
        <v>46100</v>
      </c>
      <c r="N302">
        <f t="shared" ca="1" si="59"/>
        <v>7289</v>
      </c>
      <c r="O302">
        <f t="shared" ca="1" si="60"/>
        <v>7289</v>
      </c>
      <c r="P302">
        <f t="shared" ca="1" si="61"/>
        <v>5208</v>
      </c>
      <c r="Q302">
        <v>46</v>
      </c>
      <c r="R302" t="str">
        <f t="shared" si="62"/>
        <v>Old</v>
      </c>
      <c r="S302" t="s">
        <v>34</v>
      </c>
      <c r="T302">
        <v>2</v>
      </c>
      <c r="U302" t="s">
        <v>45</v>
      </c>
      <c r="V302">
        <v>4351.66</v>
      </c>
      <c r="W302" t="s">
        <v>46</v>
      </c>
      <c r="X302" t="s">
        <v>36</v>
      </c>
      <c r="Y302">
        <v>12</v>
      </c>
      <c r="Z302" t="str">
        <f t="shared" si="63"/>
        <v>Bad Employee</v>
      </c>
      <c r="AA302" t="b">
        <f t="shared" si="64"/>
        <v>0</v>
      </c>
      <c r="AB302" t="b">
        <f>OR(Y302&gt;20, T302&gt;6)</f>
        <v>0</v>
      </c>
      <c r="AC302" t="str">
        <f>IF(OR(Y302&gt;20,T302&gt;6), "Good employee", "Bad Employee")</f>
        <v>Bad Employee</v>
      </c>
      <c r="AD302" t="s">
        <v>41</v>
      </c>
      <c r="AE302" t="s">
        <v>48</v>
      </c>
      <c r="AF302">
        <v>11</v>
      </c>
      <c r="AG302">
        <v>2012</v>
      </c>
      <c r="AH302" t="s">
        <v>30</v>
      </c>
      <c r="AI302">
        <v>98</v>
      </c>
      <c r="AJ302">
        <v>4.8</v>
      </c>
    </row>
    <row r="303" spans="1:36" x14ac:dyDescent="0.25">
      <c r="A303">
        <v>10302</v>
      </c>
      <c r="B303" t="s">
        <v>66</v>
      </c>
      <c r="C303" t="s">
        <v>57</v>
      </c>
      <c r="D303" t="s">
        <v>39</v>
      </c>
      <c r="E303" t="str">
        <f t="shared" si="52"/>
        <v>John Davis is in IT Department</v>
      </c>
      <c r="F303" s="6" t="str">
        <f t="shared" si="53"/>
        <v>johndavis@gmail.com</v>
      </c>
      <c r="G303">
        <v>52099</v>
      </c>
      <c r="H303" t="str">
        <f t="shared" si="54"/>
        <v>Medium</v>
      </c>
      <c r="I303" s="3">
        <v>37680</v>
      </c>
      <c r="J303">
        <f t="shared" si="55"/>
        <v>2003</v>
      </c>
      <c r="K303">
        <f t="shared" si="56"/>
        <v>2</v>
      </c>
      <c r="L303">
        <f t="shared" si="57"/>
        <v>28</v>
      </c>
      <c r="M303" s="3">
        <f t="shared" ca="1" si="58"/>
        <v>46100</v>
      </c>
      <c r="N303">
        <f t="shared" ca="1" si="59"/>
        <v>8420</v>
      </c>
      <c r="O303">
        <f t="shared" ca="1" si="60"/>
        <v>8420</v>
      </c>
      <c r="P303">
        <f t="shared" ca="1" si="61"/>
        <v>6015</v>
      </c>
      <c r="Q303">
        <v>54</v>
      </c>
      <c r="R303" t="str">
        <f t="shared" si="62"/>
        <v>Old</v>
      </c>
      <c r="S303" t="s">
        <v>24</v>
      </c>
      <c r="T303">
        <v>3</v>
      </c>
      <c r="U303" t="s">
        <v>45</v>
      </c>
      <c r="V303">
        <v>9702.25</v>
      </c>
      <c r="W303" t="s">
        <v>26</v>
      </c>
      <c r="X303" t="s">
        <v>55</v>
      </c>
      <c r="Y303">
        <v>11</v>
      </c>
      <c r="Z303" t="str">
        <f t="shared" si="63"/>
        <v>Bad Employee</v>
      </c>
      <c r="AA303" t="b">
        <f t="shared" si="64"/>
        <v>0</v>
      </c>
      <c r="AB303" t="b">
        <f>OR(Y303&gt;20, T303&gt;6)</f>
        <v>0</v>
      </c>
      <c r="AC303" t="str">
        <f>IF(OR(Y303&gt;20,T303&gt;6), "Good employee", "Bad Employee")</f>
        <v>Bad Employee</v>
      </c>
      <c r="AD303" t="s">
        <v>41</v>
      </c>
      <c r="AE303" t="s">
        <v>59</v>
      </c>
      <c r="AF303">
        <v>11</v>
      </c>
      <c r="AG303">
        <v>2014</v>
      </c>
      <c r="AH303" t="s">
        <v>49</v>
      </c>
      <c r="AI303">
        <v>180</v>
      </c>
      <c r="AJ303">
        <v>3.3</v>
      </c>
    </row>
    <row r="304" spans="1:36" x14ac:dyDescent="0.25">
      <c r="A304">
        <v>10303</v>
      </c>
      <c r="B304" t="s">
        <v>50</v>
      </c>
      <c r="C304" t="s">
        <v>51</v>
      </c>
      <c r="D304" t="s">
        <v>33</v>
      </c>
      <c r="E304" t="str">
        <f t="shared" si="52"/>
        <v>Alex Brown is in Marketing Department</v>
      </c>
      <c r="F304" s="6" t="str">
        <f t="shared" si="53"/>
        <v>alexbrown@gmail.com</v>
      </c>
      <c r="G304">
        <v>39649</v>
      </c>
      <c r="H304" t="str">
        <f t="shared" si="54"/>
        <v>extremely low</v>
      </c>
      <c r="I304" s="3">
        <v>38154</v>
      </c>
      <c r="J304">
        <f t="shared" si="55"/>
        <v>2004</v>
      </c>
      <c r="K304">
        <f t="shared" si="56"/>
        <v>6</v>
      </c>
      <c r="L304">
        <f t="shared" si="57"/>
        <v>16</v>
      </c>
      <c r="M304" s="3">
        <f t="shared" ca="1" si="58"/>
        <v>46100</v>
      </c>
      <c r="N304">
        <f t="shared" ca="1" si="59"/>
        <v>7946</v>
      </c>
      <c r="O304">
        <f t="shared" ca="1" si="60"/>
        <v>7946</v>
      </c>
      <c r="P304">
        <f t="shared" ca="1" si="61"/>
        <v>5677</v>
      </c>
      <c r="Q304">
        <v>35</v>
      </c>
      <c r="R304" t="str">
        <f t="shared" si="62"/>
        <v>Old</v>
      </c>
      <c r="S304" t="s">
        <v>24</v>
      </c>
      <c r="T304">
        <v>8</v>
      </c>
      <c r="U304" t="s">
        <v>45</v>
      </c>
      <c r="V304">
        <v>2416.13</v>
      </c>
      <c r="W304" t="s">
        <v>46</v>
      </c>
      <c r="X304" t="s">
        <v>36</v>
      </c>
      <c r="Y304">
        <v>12</v>
      </c>
      <c r="Z304" t="str">
        <f t="shared" si="63"/>
        <v>Bad Employee</v>
      </c>
      <c r="AA304" t="b">
        <f t="shared" si="64"/>
        <v>0</v>
      </c>
      <c r="AB304" t="b">
        <f>OR(Y304&gt;20, T304&gt;6)</f>
        <v>1</v>
      </c>
      <c r="AC304" t="str">
        <f>IF(OR(Y304&gt;20,T304&gt;6), "Good employee", "Bad Employee")</f>
        <v>Good employee</v>
      </c>
      <c r="AD304" t="s">
        <v>56</v>
      </c>
      <c r="AE304" t="s">
        <v>62</v>
      </c>
      <c r="AF304">
        <v>4</v>
      </c>
      <c r="AG304">
        <v>2015</v>
      </c>
      <c r="AH304" t="s">
        <v>30</v>
      </c>
      <c r="AI304">
        <v>179</v>
      </c>
      <c r="AJ304">
        <v>3.8</v>
      </c>
    </row>
    <row r="305" spans="1:36" x14ac:dyDescent="0.25">
      <c r="A305">
        <v>10304</v>
      </c>
      <c r="B305" t="s">
        <v>64</v>
      </c>
      <c r="C305" t="s">
        <v>22</v>
      </c>
      <c r="D305" t="s">
        <v>44</v>
      </c>
      <c r="E305" t="str">
        <f t="shared" si="52"/>
        <v>Katie Williams is in Sales Department</v>
      </c>
      <c r="F305" s="6" t="str">
        <f t="shared" si="53"/>
        <v>katiewilliams@gmail.com</v>
      </c>
      <c r="G305">
        <v>89258</v>
      </c>
      <c r="H305" t="str">
        <f t="shared" si="54"/>
        <v>High</v>
      </c>
      <c r="I305" s="3">
        <v>38152</v>
      </c>
      <c r="J305">
        <f t="shared" si="55"/>
        <v>2004</v>
      </c>
      <c r="K305">
        <f t="shared" si="56"/>
        <v>6</v>
      </c>
      <c r="L305">
        <f t="shared" si="57"/>
        <v>14</v>
      </c>
      <c r="M305" s="3">
        <f t="shared" ca="1" si="58"/>
        <v>46100</v>
      </c>
      <c r="N305">
        <f t="shared" ca="1" si="59"/>
        <v>7948</v>
      </c>
      <c r="O305">
        <f t="shared" ca="1" si="60"/>
        <v>7948</v>
      </c>
      <c r="P305">
        <f t="shared" ca="1" si="61"/>
        <v>5679</v>
      </c>
      <c r="Q305">
        <v>45</v>
      </c>
      <c r="R305" t="str">
        <f t="shared" si="62"/>
        <v>Old</v>
      </c>
      <c r="S305" t="s">
        <v>24</v>
      </c>
      <c r="T305">
        <v>9</v>
      </c>
      <c r="U305" t="s">
        <v>45</v>
      </c>
      <c r="V305">
        <v>6006.24</v>
      </c>
      <c r="W305" t="s">
        <v>46</v>
      </c>
      <c r="X305" t="s">
        <v>47</v>
      </c>
      <c r="Y305">
        <v>26</v>
      </c>
      <c r="Z305" t="str">
        <f t="shared" si="63"/>
        <v>Good Employee</v>
      </c>
      <c r="AA305" t="b">
        <f t="shared" si="64"/>
        <v>1</v>
      </c>
      <c r="AB305" t="b">
        <f>OR(Y305&gt;20, T305&gt;6)</f>
        <v>1</v>
      </c>
      <c r="AC305" t="str">
        <f>IF(OR(Y305&gt;20,T305&gt;6), "Good employee", "Bad Employee")</f>
        <v>Good employee</v>
      </c>
      <c r="AD305" t="s">
        <v>41</v>
      </c>
      <c r="AE305" t="s">
        <v>42</v>
      </c>
      <c r="AF305">
        <v>12</v>
      </c>
      <c r="AG305">
        <v>2014</v>
      </c>
      <c r="AH305" t="s">
        <v>43</v>
      </c>
      <c r="AI305">
        <v>50</v>
      </c>
      <c r="AJ305">
        <v>4.7</v>
      </c>
    </row>
    <row r="306" spans="1:36" x14ac:dyDescent="0.25">
      <c r="A306">
        <v>10305</v>
      </c>
      <c r="B306" t="s">
        <v>60</v>
      </c>
      <c r="C306" t="s">
        <v>22</v>
      </c>
      <c r="D306" t="s">
        <v>39</v>
      </c>
      <c r="E306" t="str">
        <f t="shared" si="52"/>
        <v>Jane Williams is in IT Department</v>
      </c>
      <c r="F306" s="6" t="str">
        <f t="shared" si="53"/>
        <v>janewilliams@gmail.com</v>
      </c>
      <c r="G306">
        <v>71037</v>
      </c>
      <c r="H306" t="str">
        <f t="shared" si="54"/>
        <v>Medium</v>
      </c>
      <c r="I306" s="3">
        <v>40242</v>
      </c>
      <c r="J306">
        <f t="shared" si="55"/>
        <v>2010</v>
      </c>
      <c r="K306">
        <f t="shared" si="56"/>
        <v>3</v>
      </c>
      <c r="L306">
        <f t="shared" si="57"/>
        <v>5</v>
      </c>
      <c r="M306" s="3">
        <f t="shared" ca="1" si="58"/>
        <v>46100</v>
      </c>
      <c r="N306">
        <f t="shared" ca="1" si="59"/>
        <v>5858</v>
      </c>
      <c r="O306">
        <f t="shared" ca="1" si="60"/>
        <v>5858</v>
      </c>
      <c r="P306">
        <f t="shared" ca="1" si="61"/>
        <v>4185</v>
      </c>
      <c r="Q306">
        <v>32</v>
      </c>
      <c r="R306" t="str">
        <f t="shared" si="62"/>
        <v>Old</v>
      </c>
      <c r="S306" t="s">
        <v>24</v>
      </c>
      <c r="T306">
        <v>6</v>
      </c>
      <c r="U306" t="s">
        <v>25</v>
      </c>
      <c r="V306">
        <v>1290.79</v>
      </c>
      <c r="W306" t="s">
        <v>35</v>
      </c>
      <c r="X306" t="s">
        <v>47</v>
      </c>
      <c r="Y306">
        <v>30</v>
      </c>
      <c r="Z306" t="str">
        <f t="shared" si="63"/>
        <v>Bad Employee</v>
      </c>
      <c r="AA306" t="b">
        <f t="shared" si="64"/>
        <v>0</v>
      </c>
      <c r="AB306" t="b">
        <f>OR(Y306&gt;20, T306&gt;6)</f>
        <v>1</v>
      </c>
      <c r="AC306" t="str">
        <f>IF(OR(Y306&gt;20,T306&gt;6), "Good employee", "Bad Employee")</f>
        <v>Good employee</v>
      </c>
      <c r="AD306" t="s">
        <v>41</v>
      </c>
      <c r="AE306" t="s">
        <v>29</v>
      </c>
      <c r="AF306">
        <v>11</v>
      </c>
      <c r="AG306">
        <v>2017</v>
      </c>
      <c r="AH306" t="s">
        <v>49</v>
      </c>
      <c r="AI306">
        <v>33</v>
      </c>
      <c r="AJ306">
        <v>3.7</v>
      </c>
    </row>
    <row r="307" spans="1:36" x14ac:dyDescent="0.25">
      <c r="A307">
        <v>10306</v>
      </c>
      <c r="B307" t="s">
        <v>38</v>
      </c>
      <c r="C307" t="s">
        <v>57</v>
      </c>
      <c r="D307" t="s">
        <v>52</v>
      </c>
      <c r="E307" t="str">
        <f t="shared" si="52"/>
        <v>Chris Davis is in Operations Department</v>
      </c>
      <c r="F307" s="6" t="str">
        <f t="shared" si="53"/>
        <v>chrisdavis@gmail.com</v>
      </c>
      <c r="G307">
        <v>41805</v>
      </c>
      <c r="H307" t="str">
        <f t="shared" si="54"/>
        <v>low</v>
      </c>
      <c r="I307" s="3">
        <v>41768</v>
      </c>
      <c r="J307">
        <f t="shared" si="55"/>
        <v>2014</v>
      </c>
      <c r="K307">
        <f t="shared" si="56"/>
        <v>5</v>
      </c>
      <c r="L307">
        <f t="shared" si="57"/>
        <v>9</v>
      </c>
      <c r="M307" s="3">
        <f t="shared" ca="1" si="58"/>
        <v>46100</v>
      </c>
      <c r="N307">
        <f t="shared" ca="1" si="59"/>
        <v>4332</v>
      </c>
      <c r="O307">
        <f t="shared" ca="1" si="60"/>
        <v>4332</v>
      </c>
      <c r="P307">
        <f t="shared" ca="1" si="61"/>
        <v>3095</v>
      </c>
      <c r="Q307">
        <v>46</v>
      </c>
      <c r="R307" t="str">
        <f t="shared" si="62"/>
        <v>Old</v>
      </c>
      <c r="S307" t="s">
        <v>24</v>
      </c>
      <c r="T307">
        <v>4</v>
      </c>
      <c r="U307" t="s">
        <v>25</v>
      </c>
      <c r="V307">
        <v>2569.98</v>
      </c>
      <c r="W307" t="s">
        <v>46</v>
      </c>
      <c r="X307" t="s">
        <v>27</v>
      </c>
      <c r="Y307">
        <v>15</v>
      </c>
      <c r="Z307" t="str">
        <f t="shared" si="63"/>
        <v>Bad Employee</v>
      </c>
      <c r="AA307" t="b">
        <f t="shared" si="64"/>
        <v>0</v>
      </c>
      <c r="AB307" t="b">
        <f>OR(Y307&gt;20, T307&gt;6)</f>
        <v>0</v>
      </c>
      <c r="AC307" t="str">
        <f>IF(OR(Y307&gt;20,T307&gt;6), "Good employee", "Bad Employee")</f>
        <v>Bad Employee</v>
      </c>
      <c r="AD307" t="s">
        <v>28</v>
      </c>
      <c r="AE307" t="s">
        <v>62</v>
      </c>
      <c r="AF307">
        <v>3</v>
      </c>
      <c r="AG307">
        <v>2014</v>
      </c>
      <c r="AH307" t="s">
        <v>30</v>
      </c>
      <c r="AI307">
        <v>38</v>
      </c>
      <c r="AJ307">
        <v>2.7</v>
      </c>
    </row>
    <row r="308" spans="1:36" x14ac:dyDescent="0.25">
      <c r="A308">
        <v>10307</v>
      </c>
      <c r="B308" t="s">
        <v>31</v>
      </c>
      <c r="C308" t="s">
        <v>61</v>
      </c>
      <c r="D308" t="s">
        <v>33</v>
      </c>
      <c r="E308" t="str">
        <f t="shared" si="52"/>
        <v>Emily Smith is in Marketing Department</v>
      </c>
      <c r="F308" s="6" t="str">
        <f t="shared" si="53"/>
        <v>emilysmith@gmail.com</v>
      </c>
      <c r="G308">
        <v>73147</v>
      </c>
      <c r="H308" t="str">
        <f t="shared" si="54"/>
        <v>Medium</v>
      </c>
      <c r="I308" s="3">
        <v>42085</v>
      </c>
      <c r="J308">
        <f t="shared" si="55"/>
        <v>2015</v>
      </c>
      <c r="K308">
        <f t="shared" si="56"/>
        <v>3</v>
      </c>
      <c r="L308">
        <f t="shared" si="57"/>
        <v>22</v>
      </c>
      <c r="M308" s="3">
        <f t="shared" ca="1" si="58"/>
        <v>46100</v>
      </c>
      <c r="N308">
        <f t="shared" ca="1" si="59"/>
        <v>4015</v>
      </c>
      <c r="O308">
        <f t="shared" ca="1" si="60"/>
        <v>4015</v>
      </c>
      <c r="P308">
        <f t="shared" ca="1" si="61"/>
        <v>2869</v>
      </c>
      <c r="Q308">
        <v>49</v>
      </c>
      <c r="R308" t="str">
        <f t="shared" si="62"/>
        <v>Old</v>
      </c>
      <c r="S308" t="s">
        <v>24</v>
      </c>
      <c r="T308">
        <v>2</v>
      </c>
      <c r="U308" t="s">
        <v>25</v>
      </c>
      <c r="V308">
        <v>7751.51</v>
      </c>
      <c r="W308" t="s">
        <v>35</v>
      </c>
      <c r="X308" t="s">
        <v>55</v>
      </c>
      <c r="Y308">
        <v>8</v>
      </c>
      <c r="Z308" t="str">
        <f t="shared" si="63"/>
        <v>Bad Employee</v>
      </c>
      <c r="AA308" t="b">
        <f t="shared" si="64"/>
        <v>0</v>
      </c>
      <c r="AB308" t="b">
        <f>OR(Y308&gt;20, T308&gt;6)</f>
        <v>0</v>
      </c>
      <c r="AC308" t="str">
        <f>IF(OR(Y308&gt;20,T308&gt;6), "Good employee", "Bad Employee")</f>
        <v>Bad Employee</v>
      </c>
      <c r="AD308" t="s">
        <v>28</v>
      </c>
      <c r="AE308" t="s">
        <v>48</v>
      </c>
      <c r="AF308">
        <v>5</v>
      </c>
      <c r="AG308">
        <v>2017</v>
      </c>
      <c r="AH308" t="s">
        <v>43</v>
      </c>
      <c r="AI308">
        <v>14</v>
      </c>
      <c r="AJ308">
        <v>1.1000000000000001</v>
      </c>
    </row>
    <row r="309" spans="1:36" x14ac:dyDescent="0.25">
      <c r="A309">
        <v>10308</v>
      </c>
      <c r="B309" t="s">
        <v>60</v>
      </c>
      <c r="C309" t="s">
        <v>61</v>
      </c>
      <c r="D309" t="s">
        <v>39</v>
      </c>
      <c r="E309" t="str">
        <f t="shared" si="52"/>
        <v>Jane Smith is in IT Department</v>
      </c>
      <c r="F309" s="6" t="str">
        <f t="shared" si="53"/>
        <v>janesmith@gmail.com</v>
      </c>
      <c r="G309">
        <v>104280</v>
      </c>
      <c r="H309" t="str">
        <f t="shared" si="54"/>
        <v>High</v>
      </c>
      <c r="I309" s="3">
        <v>41548</v>
      </c>
      <c r="J309">
        <f t="shared" si="55"/>
        <v>2013</v>
      </c>
      <c r="K309">
        <f t="shared" si="56"/>
        <v>10</v>
      </c>
      <c r="L309">
        <f t="shared" si="57"/>
        <v>1</v>
      </c>
      <c r="M309" s="3">
        <f t="shared" ca="1" si="58"/>
        <v>46100</v>
      </c>
      <c r="N309">
        <f t="shared" ca="1" si="59"/>
        <v>4552</v>
      </c>
      <c r="O309">
        <f t="shared" ca="1" si="60"/>
        <v>4552</v>
      </c>
      <c r="P309">
        <f t="shared" ca="1" si="61"/>
        <v>3253</v>
      </c>
      <c r="Q309">
        <v>28</v>
      </c>
      <c r="R309" t="str">
        <f t="shared" si="62"/>
        <v>Young</v>
      </c>
      <c r="S309" t="s">
        <v>34</v>
      </c>
      <c r="T309">
        <v>7</v>
      </c>
      <c r="U309" t="s">
        <v>25</v>
      </c>
      <c r="V309">
        <v>3374.69</v>
      </c>
      <c r="W309" t="s">
        <v>35</v>
      </c>
      <c r="X309" t="s">
        <v>27</v>
      </c>
      <c r="Y309">
        <v>18</v>
      </c>
      <c r="Z309" t="str">
        <f t="shared" si="63"/>
        <v>Bad Employee</v>
      </c>
      <c r="AA309" t="b">
        <f t="shared" si="64"/>
        <v>0</v>
      </c>
      <c r="AB309" t="b">
        <f>OR(Y309&gt;20, T309&gt;6)</f>
        <v>1</v>
      </c>
      <c r="AC309" t="str">
        <f>IF(OR(Y309&gt;20,T309&gt;6), "Good employee", "Bad Employee")</f>
        <v>Good employee</v>
      </c>
      <c r="AD309" t="s">
        <v>28</v>
      </c>
      <c r="AE309" t="s">
        <v>48</v>
      </c>
      <c r="AF309">
        <v>18</v>
      </c>
      <c r="AG309">
        <v>2019</v>
      </c>
      <c r="AH309" t="s">
        <v>49</v>
      </c>
      <c r="AI309">
        <v>24</v>
      </c>
      <c r="AJ309">
        <v>3.9</v>
      </c>
    </row>
    <row r="310" spans="1:36" x14ac:dyDescent="0.25">
      <c r="A310">
        <v>10309</v>
      </c>
      <c r="B310" t="s">
        <v>53</v>
      </c>
      <c r="C310" t="s">
        <v>63</v>
      </c>
      <c r="D310" t="s">
        <v>23</v>
      </c>
      <c r="E310" t="str">
        <f t="shared" si="52"/>
        <v>Sarah Miller is in HR Department</v>
      </c>
      <c r="F310" s="6" t="str">
        <f t="shared" si="53"/>
        <v>sarahmiller@gmail.com</v>
      </c>
      <c r="G310">
        <v>76053</v>
      </c>
      <c r="H310" t="str">
        <f t="shared" si="54"/>
        <v>Medium</v>
      </c>
      <c r="I310" s="3">
        <v>43011</v>
      </c>
      <c r="J310">
        <f t="shared" si="55"/>
        <v>2017</v>
      </c>
      <c r="K310">
        <f t="shared" si="56"/>
        <v>10</v>
      </c>
      <c r="L310">
        <f t="shared" si="57"/>
        <v>3</v>
      </c>
      <c r="M310" s="3">
        <f t="shared" ca="1" si="58"/>
        <v>46100</v>
      </c>
      <c r="N310">
        <f t="shared" ca="1" si="59"/>
        <v>3089</v>
      </c>
      <c r="O310">
        <f t="shared" ca="1" si="60"/>
        <v>3089</v>
      </c>
      <c r="P310">
        <f t="shared" ca="1" si="61"/>
        <v>2208</v>
      </c>
      <c r="Q310">
        <v>57</v>
      </c>
      <c r="R310" t="str">
        <f t="shared" si="62"/>
        <v>Old</v>
      </c>
      <c r="S310" t="s">
        <v>24</v>
      </c>
      <c r="T310">
        <v>7</v>
      </c>
      <c r="U310" t="s">
        <v>25</v>
      </c>
      <c r="V310">
        <v>9864.7800000000007</v>
      </c>
      <c r="W310" t="s">
        <v>46</v>
      </c>
      <c r="X310" t="s">
        <v>40</v>
      </c>
      <c r="Y310">
        <v>10</v>
      </c>
      <c r="Z310" t="str">
        <f t="shared" si="63"/>
        <v>Bad Employee</v>
      </c>
      <c r="AA310" t="b">
        <f t="shared" si="64"/>
        <v>0</v>
      </c>
      <c r="AB310" t="b">
        <f>OR(Y310&gt;20, T310&gt;6)</f>
        <v>1</v>
      </c>
      <c r="AC310" t="str">
        <f>IF(OR(Y310&gt;20,T310&gt;6), "Good employee", "Bad Employee")</f>
        <v>Good employee</v>
      </c>
      <c r="AD310" t="s">
        <v>56</v>
      </c>
      <c r="AE310" t="s">
        <v>42</v>
      </c>
      <c r="AF310">
        <v>5</v>
      </c>
      <c r="AG310">
        <v>2019</v>
      </c>
      <c r="AH310" t="s">
        <v>43</v>
      </c>
      <c r="AI310">
        <v>38</v>
      </c>
      <c r="AJ310">
        <v>4.9000000000000004</v>
      </c>
    </row>
    <row r="311" spans="1:36" x14ac:dyDescent="0.25">
      <c r="A311">
        <v>10310</v>
      </c>
      <c r="B311" t="s">
        <v>64</v>
      </c>
      <c r="C311" t="s">
        <v>63</v>
      </c>
      <c r="D311" t="s">
        <v>44</v>
      </c>
      <c r="E311" t="str">
        <f t="shared" si="52"/>
        <v>Katie Miller is in Sales Department</v>
      </c>
      <c r="F311" s="6" t="str">
        <f t="shared" si="53"/>
        <v>katiemiller@gmail.com</v>
      </c>
      <c r="G311">
        <v>106215</v>
      </c>
      <c r="H311" t="str">
        <f t="shared" si="54"/>
        <v>High</v>
      </c>
      <c r="I311" s="3">
        <v>37968</v>
      </c>
      <c r="J311">
        <f t="shared" si="55"/>
        <v>2003</v>
      </c>
      <c r="K311">
        <f t="shared" si="56"/>
        <v>12</v>
      </c>
      <c r="L311">
        <f t="shared" si="57"/>
        <v>13</v>
      </c>
      <c r="M311" s="3">
        <f t="shared" ca="1" si="58"/>
        <v>46100</v>
      </c>
      <c r="N311">
        <f t="shared" ca="1" si="59"/>
        <v>8132</v>
      </c>
      <c r="O311">
        <f t="shared" ca="1" si="60"/>
        <v>8132</v>
      </c>
      <c r="P311">
        <f t="shared" ca="1" si="61"/>
        <v>5809</v>
      </c>
      <c r="Q311">
        <v>31</v>
      </c>
      <c r="R311" t="str">
        <f t="shared" si="62"/>
        <v>Old</v>
      </c>
      <c r="S311" t="s">
        <v>24</v>
      </c>
      <c r="T311">
        <v>9</v>
      </c>
      <c r="U311" t="s">
        <v>45</v>
      </c>
      <c r="V311">
        <v>5257.76</v>
      </c>
      <c r="W311" t="s">
        <v>35</v>
      </c>
      <c r="X311" t="s">
        <v>40</v>
      </c>
      <c r="Y311">
        <v>8</v>
      </c>
      <c r="Z311" t="str">
        <f t="shared" si="63"/>
        <v>Bad Employee</v>
      </c>
      <c r="AA311" t="b">
        <f t="shared" si="64"/>
        <v>0</v>
      </c>
      <c r="AB311" t="b">
        <f>OR(Y311&gt;20, T311&gt;6)</f>
        <v>1</v>
      </c>
      <c r="AC311" t="str">
        <f>IF(OR(Y311&gt;20,T311&gt;6), "Good employee", "Bad Employee")</f>
        <v>Good employee</v>
      </c>
      <c r="AD311" t="s">
        <v>56</v>
      </c>
      <c r="AE311" t="s">
        <v>62</v>
      </c>
      <c r="AF311">
        <v>5</v>
      </c>
      <c r="AG311">
        <v>2023</v>
      </c>
      <c r="AH311" t="s">
        <v>30</v>
      </c>
      <c r="AI311">
        <v>105</v>
      </c>
      <c r="AJ311">
        <v>2.9</v>
      </c>
    </row>
    <row r="312" spans="1:36" x14ac:dyDescent="0.25">
      <c r="A312">
        <v>10311</v>
      </c>
      <c r="B312" t="s">
        <v>53</v>
      </c>
      <c r="C312" t="s">
        <v>65</v>
      </c>
      <c r="D312" t="s">
        <v>54</v>
      </c>
      <c r="E312" t="str">
        <f t="shared" si="52"/>
        <v>Sarah Johnson is in Finance Department</v>
      </c>
      <c r="F312" s="6" t="str">
        <f t="shared" si="53"/>
        <v>sarahjohnson@gmail.com</v>
      </c>
      <c r="G312">
        <v>40985</v>
      </c>
      <c r="H312" t="str">
        <f t="shared" si="54"/>
        <v>low</v>
      </c>
      <c r="I312" s="3">
        <v>38179</v>
      </c>
      <c r="J312">
        <f t="shared" si="55"/>
        <v>2004</v>
      </c>
      <c r="K312">
        <f t="shared" si="56"/>
        <v>7</v>
      </c>
      <c r="L312">
        <f t="shared" si="57"/>
        <v>11</v>
      </c>
      <c r="M312" s="3">
        <f t="shared" ca="1" si="58"/>
        <v>46100</v>
      </c>
      <c r="N312">
        <f t="shared" ca="1" si="59"/>
        <v>7921</v>
      </c>
      <c r="O312">
        <f t="shared" ca="1" si="60"/>
        <v>7921</v>
      </c>
      <c r="P312">
        <f t="shared" ca="1" si="61"/>
        <v>5659</v>
      </c>
      <c r="Q312">
        <v>57</v>
      </c>
      <c r="R312" t="str">
        <f t="shared" si="62"/>
        <v>Old</v>
      </c>
      <c r="S312" t="s">
        <v>34</v>
      </c>
      <c r="T312">
        <v>5</v>
      </c>
      <c r="U312" t="s">
        <v>25</v>
      </c>
      <c r="V312">
        <v>5407.12</v>
      </c>
      <c r="W312" t="s">
        <v>26</v>
      </c>
      <c r="X312" t="s">
        <v>40</v>
      </c>
      <c r="Y312">
        <v>38</v>
      </c>
      <c r="Z312" t="str">
        <f t="shared" si="63"/>
        <v>Bad Employee</v>
      </c>
      <c r="AA312" t="b">
        <f t="shared" si="64"/>
        <v>0</v>
      </c>
      <c r="AB312" t="b">
        <f>OR(Y312&gt;20, T312&gt;6)</f>
        <v>1</v>
      </c>
      <c r="AC312" t="str">
        <f>IF(OR(Y312&gt;20,T312&gt;6), "Good employee", "Bad Employee")</f>
        <v>Good employee</v>
      </c>
      <c r="AD312" t="s">
        <v>56</v>
      </c>
      <c r="AE312" t="s">
        <v>37</v>
      </c>
      <c r="AF312">
        <v>10</v>
      </c>
      <c r="AG312">
        <v>2012</v>
      </c>
      <c r="AH312" t="s">
        <v>49</v>
      </c>
      <c r="AI312">
        <v>145</v>
      </c>
      <c r="AJ312">
        <v>2.4</v>
      </c>
    </row>
    <row r="313" spans="1:36" x14ac:dyDescent="0.25">
      <c r="A313">
        <v>10312</v>
      </c>
      <c r="B313" t="s">
        <v>21</v>
      </c>
      <c r="C313" t="s">
        <v>57</v>
      </c>
      <c r="D313" t="s">
        <v>39</v>
      </c>
      <c r="E313" t="str">
        <f t="shared" si="52"/>
        <v>Michael Davis is in IT Department</v>
      </c>
      <c r="F313" s="6" t="str">
        <f t="shared" si="53"/>
        <v>michaeldavis@gmail.com</v>
      </c>
      <c r="G313">
        <v>42391</v>
      </c>
      <c r="H313" t="str">
        <f t="shared" si="54"/>
        <v>low</v>
      </c>
      <c r="I313" s="3">
        <v>39028</v>
      </c>
      <c r="J313">
        <f t="shared" si="55"/>
        <v>2006</v>
      </c>
      <c r="K313">
        <f t="shared" si="56"/>
        <v>11</v>
      </c>
      <c r="L313">
        <f t="shared" si="57"/>
        <v>7</v>
      </c>
      <c r="M313" s="3">
        <f t="shared" ca="1" si="58"/>
        <v>46100</v>
      </c>
      <c r="N313">
        <f t="shared" ca="1" si="59"/>
        <v>7072</v>
      </c>
      <c r="O313">
        <f t="shared" ca="1" si="60"/>
        <v>7072</v>
      </c>
      <c r="P313">
        <f t="shared" ca="1" si="61"/>
        <v>5053</v>
      </c>
      <c r="Q313">
        <v>52</v>
      </c>
      <c r="R313" t="str">
        <f t="shared" si="62"/>
        <v>Old</v>
      </c>
      <c r="S313" t="s">
        <v>24</v>
      </c>
      <c r="T313">
        <v>4</v>
      </c>
      <c r="U313" t="s">
        <v>25</v>
      </c>
      <c r="V313">
        <v>844.99</v>
      </c>
      <c r="W313" t="s">
        <v>35</v>
      </c>
      <c r="X313" t="s">
        <v>40</v>
      </c>
      <c r="Y313">
        <v>35</v>
      </c>
      <c r="Z313" t="str">
        <f t="shared" si="63"/>
        <v>Bad Employee</v>
      </c>
      <c r="AA313" t="b">
        <f t="shared" si="64"/>
        <v>0</v>
      </c>
      <c r="AB313" t="b">
        <f>OR(Y313&gt;20, T313&gt;6)</f>
        <v>1</v>
      </c>
      <c r="AC313" t="str">
        <f>IF(OR(Y313&gt;20,T313&gt;6), "Good employee", "Bad Employee")</f>
        <v>Good employee</v>
      </c>
      <c r="AD313" t="s">
        <v>56</v>
      </c>
      <c r="AE313" t="s">
        <v>62</v>
      </c>
      <c r="AF313">
        <v>13</v>
      </c>
      <c r="AG313">
        <v>2014</v>
      </c>
      <c r="AH313" t="s">
        <v>49</v>
      </c>
      <c r="AI313">
        <v>91</v>
      </c>
      <c r="AJ313">
        <v>3.1</v>
      </c>
    </row>
    <row r="314" spans="1:36" x14ac:dyDescent="0.25">
      <c r="A314">
        <v>10313</v>
      </c>
      <c r="B314" t="s">
        <v>31</v>
      </c>
      <c r="C314" t="s">
        <v>51</v>
      </c>
      <c r="D314" t="s">
        <v>39</v>
      </c>
      <c r="E314" t="str">
        <f t="shared" si="52"/>
        <v>Emily Brown is in IT Department</v>
      </c>
      <c r="F314" s="6" t="str">
        <f t="shared" si="53"/>
        <v>emilybrown@gmail.com</v>
      </c>
      <c r="G314">
        <v>34861</v>
      </c>
      <c r="H314" t="str">
        <f t="shared" si="54"/>
        <v>extremely low</v>
      </c>
      <c r="I314" s="3">
        <v>39795</v>
      </c>
      <c r="J314">
        <f t="shared" si="55"/>
        <v>2008</v>
      </c>
      <c r="K314">
        <f t="shared" si="56"/>
        <v>12</v>
      </c>
      <c r="L314">
        <f t="shared" si="57"/>
        <v>13</v>
      </c>
      <c r="M314" s="3">
        <f t="shared" ca="1" si="58"/>
        <v>46100</v>
      </c>
      <c r="N314">
        <f t="shared" ca="1" si="59"/>
        <v>6305</v>
      </c>
      <c r="O314">
        <f t="shared" ca="1" si="60"/>
        <v>6305</v>
      </c>
      <c r="P314">
        <f t="shared" ca="1" si="61"/>
        <v>4504</v>
      </c>
      <c r="Q314">
        <v>40</v>
      </c>
      <c r="R314" t="str">
        <f t="shared" si="62"/>
        <v>Old</v>
      </c>
      <c r="S314" t="s">
        <v>34</v>
      </c>
      <c r="T314">
        <v>6</v>
      </c>
      <c r="U314" t="s">
        <v>45</v>
      </c>
      <c r="V314">
        <v>9587</v>
      </c>
      <c r="W314" t="s">
        <v>46</v>
      </c>
      <c r="X314" t="s">
        <v>40</v>
      </c>
      <c r="Y314">
        <v>20</v>
      </c>
      <c r="Z314" t="str">
        <f t="shared" si="63"/>
        <v>Bad Employee</v>
      </c>
      <c r="AA314" t="b">
        <f t="shared" si="64"/>
        <v>0</v>
      </c>
      <c r="AB314" t="b">
        <f>OR(Y314&gt;20, T314&gt;6)</f>
        <v>0</v>
      </c>
      <c r="AC314" t="str">
        <f>IF(OR(Y314&gt;20,T314&gt;6), "Good employee", "Bad Employee")</f>
        <v>Bad Employee</v>
      </c>
      <c r="AD314" t="s">
        <v>41</v>
      </c>
      <c r="AE314" t="s">
        <v>62</v>
      </c>
      <c r="AF314">
        <v>2</v>
      </c>
      <c r="AG314">
        <v>2013</v>
      </c>
      <c r="AH314" t="s">
        <v>49</v>
      </c>
      <c r="AI314">
        <v>142</v>
      </c>
      <c r="AJ314">
        <v>3.9</v>
      </c>
    </row>
    <row r="315" spans="1:36" x14ac:dyDescent="0.25">
      <c r="A315">
        <v>10314</v>
      </c>
      <c r="B315" t="s">
        <v>21</v>
      </c>
      <c r="C315" t="s">
        <v>32</v>
      </c>
      <c r="D315" t="s">
        <v>23</v>
      </c>
      <c r="E315" t="str">
        <f t="shared" si="52"/>
        <v>Michael Wilson is in HR Department</v>
      </c>
      <c r="F315" s="6" t="str">
        <f t="shared" si="53"/>
        <v>michaelwilson@gmail.com</v>
      </c>
      <c r="G315">
        <v>93582</v>
      </c>
      <c r="H315" t="str">
        <f t="shared" si="54"/>
        <v>High</v>
      </c>
      <c r="I315" s="3">
        <v>36807</v>
      </c>
      <c r="J315">
        <f t="shared" si="55"/>
        <v>2000</v>
      </c>
      <c r="K315">
        <f t="shared" si="56"/>
        <v>10</v>
      </c>
      <c r="L315">
        <f t="shared" si="57"/>
        <v>8</v>
      </c>
      <c r="M315" s="3">
        <f t="shared" ca="1" si="58"/>
        <v>46100</v>
      </c>
      <c r="N315">
        <f t="shared" ca="1" si="59"/>
        <v>9293</v>
      </c>
      <c r="O315">
        <f t="shared" ca="1" si="60"/>
        <v>9293</v>
      </c>
      <c r="P315">
        <f t="shared" ca="1" si="61"/>
        <v>6639</v>
      </c>
      <c r="Q315">
        <v>39</v>
      </c>
      <c r="R315" t="str">
        <f t="shared" si="62"/>
        <v>Old</v>
      </c>
      <c r="S315" t="s">
        <v>34</v>
      </c>
      <c r="T315">
        <v>2</v>
      </c>
      <c r="U315" t="s">
        <v>45</v>
      </c>
      <c r="V315">
        <v>2155.2199999999998</v>
      </c>
      <c r="W315" t="s">
        <v>26</v>
      </c>
      <c r="X315" t="s">
        <v>55</v>
      </c>
      <c r="Y315">
        <v>12</v>
      </c>
      <c r="Z315" t="str">
        <f t="shared" si="63"/>
        <v>Bad Employee</v>
      </c>
      <c r="AA315" t="b">
        <f t="shared" si="64"/>
        <v>0</v>
      </c>
      <c r="AB315" t="b">
        <f>OR(Y315&gt;20, T315&gt;6)</f>
        <v>0</v>
      </c>
      <c r="AC315" t="str">
        <f>IF(OR(Y315&gt;20,T315&gt;6), "Good employee", "Bad Employee")</f>
        <v>Bad Employee</v>
      </c>
      <c r="AD315" t="s">
        <v>41</v>
      </c>
      <c r="AE315" t="s">
        <v>48</v>
      </c>
      <c r="AF315">
        <v>7</v>
      </c>
      <c r="AG315">
        <v>2022</v>
      </c>
      <c r="AH315" t="s">
        <v>43</v>
      </c>
      <c r="AI315">
        <v>49</v>
      </c>
      <c r="AJ315">
        <v>1</v>
      </c>
    </row>
    <row r="316" spans="1:36" x14ac:dyDescent="0.25">
      <c r="A316">
        <v>10315</v>
      </c>
      <c r="B316" t="s">
        <v>50</v>
      </c>
      <c r="C316" t="s">
        <v>57</v>
      </c>
      <c r="D316" t="s">
        <v>52</v>
      </c>
      <c r="E316" t="str">
        <f t="shared" si="52"/>
        <v>Alex Davis is in Operations Department</v>
      </c>
      <c r="F316" s="6" t="str">
        <f t="shared" si="53"/>
        <v>alexdavis@gmail.com</v>
      </c>
      <c r="G316">
        <v>81928</v>
      </c>
      <c r="H316" t="str">
        <f t="shared" si="54"/>
        <v>High</v>
      </c>
      <c r="I316" s="3">
        <v>41507</v>
      </c>
      <c r="J316">
        <f t="shared" si="55"/>
        <v>2013</v>
      </c>
      <c r="K316">
        <f t="shared" si="56"/>
        <v>8</v>
      </c>
      <c r="L316">
        <f t="shared" si="57"/>
        <v>21</v>
      </c>
      <c r="M316" s="3">
        <f t="shared" ca="1" si="58"/>
        <v>46100</v>
      </c>
      <c r="N316">
        <f t="shared" ca="1" si="59"/>
        <v>4593</v>
      </c>
      <c r="O316">
        <f t="shared" ca="1" si="60"/>
        <v>4593</v>
      </c>
      <c r="P316">
        <f t="shared" ca="1" si="61"/>
        <v>3282</v>
      </c>
      <c r="Q316">
        <v>27</v>
      </c>
      <c r="R316" t="str">
        <f t="shared" si="62"/>
        <v>Young</v>
      </c>
      <c r="S316" t="s">
        <v>24</v>
      </c>
      <c r="T316">
        <v>2</v>
      </c>
      <c r="U316" t="s">
        <v>45</v>
      </c>
      <c r="V316">
        <v>5614.24</v>
      </c>
      <c r="W316" t="s">
        <v>26</v>
      </c>
      <c r="X316" t="s">
        <v>27</v>
      </c>
      <c r="Y316">
        <v>3</v>
      </c>
      <c r="Z316" t="str">
        <f t="shared" si="63"/>
        <v>Bad Employee</v>
      </c>
      <c r="AA316" t="b">
        <f t="shared" si="64"/>
        <v>0</v>
      </c>
      <c r="AB316" t="b">
        <f>OR(Y316&gt;20, T316&gt;6)</f>
        <v>0</v>
      </c>
      <c r="AC316" t="str">
        <f>IF(OR(Y316&gt;20,T316&gt;6), "Good employee", "Bad Employee")</f>
        <v>Bad Employee</v>
      </c>
      <c r="AD316" t="s">
        <v>28</v>
      </c>
      <c r="AE316" t="s">
        <v>62</v>
      </c>
      <c r="AF316">
        <v>3</v>
      </c>
      <c r="AG316">
        <v>2020</v>
      </c>
      <c r="AH316" t="s">
        <v>43</v>
      </c>
      <c r="AI316">
        <v>132</v>
      </c>
      <c r="AJ316">
        <v>4.5</v>
      </c>
    </row>
    <row r="317" spans="1:36" x14ac:dyDescent="0.25">
      <c r="A317">
        <v>10316</v>
      </c>
      <c r="B317" t="s">
        <v>53</v>
      </c>
      <c r="C317" t="s">
        <v>65</v>
      </c>
      <c r="D317" t="s">
        <v>44</v>
      </c>
      <c r="E317" t="str">
        <f t="shared" si="52"/>
        <v>Sarah Johnson is in Sales Department</v>
      </c>
      <c r="F317" s="6" t="str">
        <f t="shared" si="53"/>
        <v>sarahjohnson@gmail.com</v>
      </c>
      <c r="G317">
        <v>64364</v>
      </c>
      <c r="H317" t="str">
        <f t="shared" si="54"/>
        <v>Medium</v>
      </c>
      <c r="I317" s="3">
        <v>37550</v>
      </c>
      <c r="J317">
        <f t="shared" si="55"/>
        <v>2002</v>
      </c>
      <c r="K317">
        <f t="shared" si="56"/>
        <v>10</v>
      </c>
      <c r="L317">
        <f t="shared" si="57"/>
        <v>21</v>
      </c>
      <c r="M317" s="3">
        <f t="shared" ca="1" si="58"/>
        <v>46100</v>
      </c>
      <c r="N317">
        <f t="shared" ca="1" si="59"/>
        <v>8550</v>
      </c>
      <c r="O317">
        <f t="shared" ca="1" si="60"/>
        <v>8550</v>
      </c>
      <c r="P317">
        <f t="shared" ca="1" si="61"/>
        <v>6109</v>
      </c>
      <c r="Q317">
        <v>49</v>
      </c>
      <c r="R317" t="str">
        <f t="shared" si="62"/>
        <v>Old</v>
      </c>
      <c r="S317" t="s">
        <v>24</v>
      </c>
      <c r="T317">
        <v>9</v>
      </c>
      <c r="U317" t="s">
        <v>45</v>
      </c>
      <c r="V317">
        <v>4258.91</v>
      </c>
      <c r="W317" t="s">
        <v>46</v>
      </c>
      <c r="X317" t="s">
        <v>27</v>
      </c>
      <c r="Y317">
        <v>20</v>
      </c>
      <c r="Z317" t="str">
        <f t="shared" si="63"/>
        <v>Bad Employee</v>
      </c>
      <c r="AA317" t="b">
        <f t="shared" si="64"/>
        <v>0</v>
      </c>
      <c r="AB317" t="b">
        <f>OR(Y317&gt;20, T317&gt;6)</f>
        <v>1</v>
      </c>
      <c r="AC317" t="str">
        <f>IF(OR(Y317&gt;20,T317&gt;6), "Good employee", "Bad Employee")</f>
        <v>Good employee</v>
      </c>
      <c r="AD317" t="s">
        <v>41</v>
      </c>
      <c r="AE317" t="s">
        <v>37</v>
      </c>
      <c r="AF317">
        <v>15</v>
      </c>
      <c r="AG317">
        <v>2015</v>
      </c>
      <c r="AH317" t="s">
        <v>43</v>
      </c>
      <c r="AI317">
        <v>93</v>
      </c>
      <c r="AJ317">
        <v>4.5</v>
      </c>
    </row>
    <row r="318" spans="1:36" x14ac:dyDescent="0.25">
      <c r="A318">
        <v>10317</v>
      </c>
      <c r="B318" t="s">
        <v>50</v>
      </c>
      <c r="C318" t="s">
        <v>63</v>
      </c>
      <c r="D318" t="s">
        <v>44</v>
      </c>
      <c r="E318" t="str">
        <f t="shared" si="52"/>
        <v>Alex Miller is in Sales Department</v>
      </c>
      <c r="F318" s="6" t="str">
        <f t="shared" si="53"/>
        <v>alexmiller@gmail.com</v>
      </c>
      <c r="G318">
        <v>112399</v>
      </c>
      <c r="H318" t="str">
        <f t="shared" si="54"/>
        <v>High</v>
      </c>
      <c r="I318" s="3">
        <v>41344</v>
      </c>
      <c r="J318">
        <f t="shared" si="55"/>
        <v>2013</v>
      </c>
      <c r="K318">
        <f t="shared" si="56"/>
        <v>3</v>
      </c>
      <c r="L318">
        <f t="shared" si="57"/>
        <v>11</v>
      </c>
      <c r="M318" s="3">
        <f t="shared" ca="1" si="58"/>
        <v>46100</v>
      </c>
      <c r="N318">
        <f t="shared" ca="1" si="59"/>
        <v>4756</v>
      </c>
      <c r="O318">
        <f t="shared" ca="1" si="60"/>
        <v>4756</v>
      </c>
      <c r="P318">
        <f t="shared" ca="1" si="61"/>
        <v>3399</v>
      </c>
      <c r="Q318">
        <v>28</v>
      </c>
      <c r="R318" t="str">
        <f t="shared" si="62"/>
        <v>Young</v>
      </c>
      <c r="S318" t="s">
        <v>34</v>
      </c>
      <c r="T318">
        <v>7</v>
      </c>
      <c r="U318" t="s">
        <v>25</v>
      </c>
      <c r="V318">
        <v>4448.05</v>
      </c>
      <c r="W318" t="s">
        <v>58</v>
      </c>
      <c r="X318" t="s">
        <v>36</v>
      </c>
      <c r="Y318">
        <v>12</v>
      </c>
      <c r="Z318" t="str">
        <f t="shared" si="63"/>
        <v>Bad Employee</v>
      </c>
      <c r="AA318" t="b">
        <f t="shared" si="64"/>
        <v>0</v>
      </c>
      <c r="AB318" t="b">
        <f>OR(Y318&gt;20, T318&gt;6)</f>
        <v>1</v>
      </c>
      <c r="AC318" t="str">
        <f>IF(OR(Y318&gt;20,T318&gt;6), "Good employee", "Bad Employee")</f>
        <v>Good employee</v>
      </c>
      <c r="AD318" t="s">
        <v>56</v>
      </c>
      <c r="AE318" t="s">
        <v>62</v>
      </c>
      <c r="AF318">
        <v>17</v>
      </c>
      <c r="AG318">
        <v>2012</v>
      </c>
      <c r="AH318" t="s">
        <v>43</v>
      </c>
      <c r="AI318">
        <v>86</v>
      </c>
      <c r="AJ318">
        <v>3.2</v>
      </c>
    </row>
    <row r="319" spans="1:36" x14ac:dyDescent="0.25">
      <c r="A319">
        <v>10318</v>
      </c>
      <c r="B319" t="s">
        <v>66</v>
      </c>
      <c r="C319" t="s">
        <v>57</v>
      </c>
      <c r="D319" t="s">
        <v>54</v>
      </c>
      <c r="E319" t="str">
        <f t="shared" si="52"/>
        <v>John Davis is in Finance Department</v>
      </c>
      <c r="F319" s="6" t="str">
        <f t="shared" si="53"/>
        <v>johndavis@gmail.com</v>
      </c>
      <c r="G319">
        <v>72923</v>
      </c>
      <c r="H319" t="str">
        <f t="shared" si="54"/>
        <v>Medium</v>
      </c>
      <c r="I319" s="3">
        <v>42420</v>
      </c>
      <c r="J319">
        <f t="shared" si="55"/>
        <v>2016</v>
      </c>
      <c r="K319">
        <f t="shared" si="56"/>
        <v>2</v>
      </c>
      <c r="L319">
        <f t="shared" si="57"/>
        <v>20</v>
      </c>
      <c r="M319" s="3">
        <f t="shared" ca="1" si="58"/>
        <v>46100</v>
      </c>
      <c r="N319">
        <f t="shared" ca="1" si="59"/>
        <v>3680</v>
      </c>
      <c r="O319">
        <f t="shared" ca="1" si="60"/>
        <v>3680</v>
      </c>
      <c r="P319">
        <f t="shared" ca="1" si="61"/>
        <v>2629</v>
      </c>
      <c r="Q319">
        <v>59</v>
      </c>
      <c r="R319" t="str">
        <f t="shared" si="62"/>
        <v>Old</v>
      </c>
      <c r="S319" t="s">
        <v>34</v>
      </c>
      <c r="T319">
        <v>7</v>
      </c>
      <c r="U319" t="s">
        <v>45</v>
      </c>
      <c r="V319">
        <v>6611.35</v>
      </c>
      <c r="W319" t="s">
        <v>35</v>
      </c>
      <c r="X319" t="s">
        <v>40</v>
      </c>
      <c r="Y319">
        <v>24</v>
      </c>
      <c r="Z319" t="str">
        <f t="shared" si="63"/>
        <v>Good Employee</v>
      </c>
      <c r="AA319" t="b">
        <f t="shared" si="64"/>
        <v>1</v>
      </c>
      <c r="AB319" t="b">
        <f>OR(Y319&gt;20, T319&gt;6)</f>
        <v>1</v>
      </c>
      <c r="AC319" t="str">
        <f>IF(OR(Y319&gt;20,T319&gt;6), "Good employee", "Bad Employee")</f>
        <v>Good employee</v>
      </c>
      <c r="AD319" t="s">
        <v>41</v>
      </c>
      <c r="AE319" t="s">
        <v>62</v>
      </c>
      <c r="AF319">
        <v>6</v>
      </c>
      <c r="AG319">
        <v>2021</v>
      </c>
      <c r="AH319" t="s">
        <v>30</v>
      </c>
      <c r="AI319">
        <v>123</v>
      </c>
      <c r="AJ319">
        <v>1.5</v>
      </c>
    </row>
    <row r="320" spans="1:36" x14ac:dyDescent="0.25">
      <c r="A320">
        <v>10319</v>
      </c>
      <c r="B320" t="s">
        <v>21</v>
      </c>
      <c r="C320" t="s">
        <v>57</v>
      </c>
      <c r="D320" t="s">
        <v>39</v>
      </c>
      <c r="E320" t="str">
        <f t="shared" si="52"/>
        <v>Michael Davis is in IT Department</v>
      </c>
      <c r="F320" s="6" t="str">
        <f t="shared" si="53"/>
        <v>michaeldavis@gmail.com</v>
      </c>
      <c r="G320">
        <v>37919</v>
      </c>
      <c r="H320" t="str">
        <f t="shared" si="54"/>
        <v>extremely low</v>
      </c>
      <c r="I320" s="3">
        <v>39929</v>
      </c>
      <c r="J320">
        <f t="shared" si="55"/>
        <v>2009</v>
      </c>
      <c r="K320">
        <f t="shared" si="56"/>
        <v>4</v>
      </c>
      <c r="L320">
        <f t="shared" si="57"/>
        <v>26</v>
      </c>
      <c r="M320" s="3">
        <f t="shared" ca="1" si="58"/>
        <v>46100</v>
      </c>
      <c r="N320">
        <f t="shared" ca="1" si="59"/>
        <v>6171</v>
      </c>
      <c r="O320">
        <f t="shared" ca="1" si="60"/>
        <v>6171</v>
      </c>
      <c r="P320">
        <f t="shared" ca="1" si="61"/>
        <v>4409</v>
      </c>
      <c r="Q320">
        <v>33</v>
      </c>
      <c r="R320" t="str">
        <f t="shared" si="62"/>
        <v>Old</v>
      </c>
      <c r="S320" t="s">
        <v>34</v>
      </c>
      <c r="T320">
        <v>5</v>
      </c>
      <c r="U320" t="s">
        <v>25</v>
      </c>
      <c r="V320">
        <v>6789.84</v>
      </c>
      <c r="W320" t="s">
        <v>35</v>
      </c>
      <c r="X320" t="s">
        <v>47</v>
      </c>
      <c r="Y320">
        <v>16</v>
      </c>
      <c r="Z320" t="str">
        <f t="shared" si="63"/>
        <v>Bad Employee</v>
      </c>
      <c r="AA320" t="b">
        <f t="shared" si="64"/>
        <v>0</v>
      </c>
      <c r="AB320" t="b">
        <f>OR(Y320&gt;20, T320&gt;6)</f>
        <v>0</v>
      </c>
      <c r="AC320" t="str">
        <f>IF(OR(Y320&gt;20,T320&gt;6), "Good employee", "Bad Employee")</f>
        <v>Bad Employee</v>
      </c>
      <c r="AD320" t="s">
        <v>28</v>
      </c>
      <c r="AE320" t="s">
        <v>62</v>
      </c>
      <c r="AF320">
        <v>10</v>
      </c>
      <c r="AG320">
        <v>2019</v>
      </c>
      <c r="AH320" t="s">
        <v>43</v>
      </c>
      <c r="AI320">
        <v>96</v>
      </c>
      <c r="AJ320">
        <v>3.7</v>
      </c>
    </row>
    <row r="321" spans="1:36" x14ac:dyDescent="0.25">
      <c r="A321">
        <v>10320</v>
      </c>
      <c r="B321" t="s">
        <v>64</v>
      </c>
      <c r="C321" t="s">
        <v>63</v>
      </c>
      <c r="D321" t="s">
        <v>33</v>
      </c>
      <c r="E321" t="str">
        <f t="shared" si="52"/>
        <v>Katie Miller is in Marketing Department</v>
      </c>
      <c r="F321" s="6" t="str">
        <f t="shared" si="53"/>
        <v>katiemiller@gmail.com</v>
      </c>
      <c r="G321">
        <v>85896</v>
      </c>
      <c r="H321" t="str">
        <f t="shared" si="54"/>
        <v>High</v>
      </c>
      <c r="I321" s="3">
        <v>37761</v>
      </c>
      <c r="J321">
        <f t="shared" si="55"/>
        <v>2003</v>
      </c>
      <c r="K321">
        <f t="shared" si="56"/>
        <v>5</v>
      </c>
      <c r="L321">
        <f t="shared" si="57"/>
        <v>20</v>
      </c>
      <c r="M321" s="3">
        <f t="shared" ca="1" si="58"/>
        <v>46100</v>
      </c>
      <c r="N321">
        <f t="shared" ca="1" si="59"/>
        <v>8339</v>
      </c>
      <c r="O321">
        <f t="shared" ca="1" si="60"/>
        <v>8339</v>
      </c>
      <c r="P321">
        <f t="shared" ca="1" si="61"/>
        <v>5958</v>
      </c>
      <c r="Q321">
        <v>62</v>
      </c>
      <c r="R321" t="str">
        <f t="shared" si="62"/>
        <v>Old</v>
      </c>
      <c r="S321" t="s">
        <v>34</v>
      </c>
      <c r="T321">
        <v>7</v>
      </c>
      <c r="U321" t="s">
        <v>45</v>
      </c>
      <c r="V321">
        <v>1965.74</v>
      </c>
      <c r="W321" t="s">
        <v>58</v>
      </c>
      <c r="X321" t="s">
        <v>36</v>
      </c>
      <c r="Y321">
        <v>10</v>
      </c>
      <c r="Z321" t="str">
        <f t="shared" si="63"/>
        <v>Bad Employee</v>
      </c>
      <c r="AA321" t="b">
        <f t="shared" si="64"/>
        <v>0</v>
      </c>
      <c r="AB321" t="b">
        <f>OR(Y321&gt;20, T321&gt;6)</f>
        <v>1</v>
      </c>
      <c r="AC321" t="str">
        <f>IF(OR(Y321&gt;20,T321&gt;6), "Good employee", "Bad Employee")</f>
        <v>Good employee</v>
      </c>
      <c r="AD321" t="s">
        <v>56</v>
      </c>
      <c r="AE321" t="s">
        <v>37</v>
      </c>
      <c r="AF321">
        <v>7</v>
      </c>
      <c r="AG321">
        <v>2013</v>
      </c>
      <c r="AH321" t="s">
        <v>43</v>
      </c>
      <c r="AI321">
        <v>140</v>
      </c>
      <c r="AJ321">
        <v>1.6</v>
      </c>
    </row>
    <row r="322" spans="1:36" x14ac:dyDescent="0.25">
      <c r="A322">
        <v>10321</v>
      </c>
      <c r="B322" t="s">
        <v>53</v>
      </c>
      <c r="C322" t="s">
        <v>65</v>
      </c>
      <c r="D322" t="s">
        <v>39</v>
      </c>
      <c r="E322" t="str">
        <f t="shared" si="52"/>
        <v>Sarah Johnson is in IT Department</v>
      </c>
      <c r="F322" s="6" t="str">
        <f t="shared" si="53"/>
        <v>sarahjohnson@gmail.com</v>
      </c>
      <c r="G322">
        <v>115818</v>
      </c>
      <c r="H322" t="str">
        <f t="shared" si="54"/>
        <v>High</v>
      </c>
      <c r="I322" s="3">
        <v>40708</v>
      </c>
      <c r="J322">
        <f t="shared" si="55"/>
        <v>2011</v>
      </c>
      <c r="K322">
        <f t="shared" si="56"/>
        <v>6</v>
      </c>
      <c r="L322">
        <f t="shared" si="57"/>
        <v>14</v>
      </c>
      <c r="M322" s="3">
        <f t="shared" ca="1" si="58"/>
        <v>46100</v>
      </c>
      <c r="N322">
        <f t="shared" ca="1" si="59"/>
        <v>5392</v>
      </c>
      <c r="O322">
        <f t="shared" ca="1" si="60"/>
        <v>5392</v>
      </c>
      <c r="P322">
        <f t="shared" ca="1" si="61"/>
        <v>3853</v>
      </c>
      <c r="Q322">
        <v>55</v>
      </c>
      <c r="R322" t="str">
        <f t="shared" si="62"/>
        <v>Old</v>
      </c>
      <c r="S322" t="s">
        <v>24</v>
      </c>
      <c r="T322">
        <v>9</v>
      </c>
      <c r="U322" t="s">
        <v>45</v>
      </c>
      <c r="V322">
        <v>5246.07</v>
      </c>
      <c r="W322" t="s">
        <v>26</v>
      </c>
      <c r="X322" t="s">
        <v>36</v>
      </c>
      <c r="Y322">
        <v>19</v>
      </c>
      <c r="Z322" t="str">
        <f t="shared" si="63"/>
        <v>Bad Employee</v>
      </c>
      <c r="AA322" t="b">
        <f t="shared" si="64"/>
        <v>0</v>
      </c>
      <c r="AB322" t="b">
        <f>OR(Y322&gt;20, T322&gt;6)</f>
        <v>1</v>
      </c>
      <c r="AC322" t="str">
        <f>IF(OR(Y322&gt;20,T322&gt;6), "Good employee", "Bad Employee")</f>
        <v>Good employee</v>
      </c>
      <c r="AD322" t="s">
        <v>41</v>
      </c>
      <c r="AE322" t="s">
        <v>37</v>
      </c>
      <c r="AF322">
        <v>19</v>
      </c>
      <c r="AG322">
        <v>2020</v>
      </c>
      <c r="AH322" t="s">
        <v>43</v>
      </c>
      <c r="AI322">
        <v>9</v>
      </c>
      <c r="AJ322">
        <v>3</v>
      </c>
    </row>
    <row r="323" spans="1:36" x14ac:dyDescent="0.25">
      <c r="A323">
        <v>10322</v>
      </c>
      <c r="B323" t="s">
        <v>38</v>
      </c>
      <c r="C323" t="s">
        <v>63</v>
      </c>
      <c r="D323" t="s">
        <v>54</v>
      </c>
      <c r="E323" t="str">
        <f t="shared" ref="E323:E386" si="65">CONCATENATE(B323, " ", C323, " is in ", D323, " Department")</f>
        <v>Chris Miller is in Finance Department</v>
      </c>
      <c r="F323" s="6" t="str">
        <f t="shared" ref="F323:F386" si="66">LOWER(CONCATENATE(B323, C323, "@gmail.com"))</f>
        <v>chrismiller@gmail.com</v>
      </c>
      <c r="G323">
        <v>77396</v>
      </c>
      <c r="H323" t="str">
        <f t="shared" ref="H323:H386" si="67">IF(G323&gt;80000, "High", IF(G323&gt;50000, "Medium", IF(G323&gt;40000, "low", "extremely low")))</f>
        <v>Medium</v>
      </c>
      <c r="I323" s="3">
        <v>41286</v>
      </c>
      <c r="J323">
        <f t="shared" ref="J323:J386" si="68">YEAR(I323)</f>
        <v>2013</v>
      </c>
      <c r="K323">
        <f t="shared" ref="K323:K386" si="69">MONTH(I323)</f>
        <v>1</v>
      </c>
      <c r="L323">
        <f t="shared" ref="L323:L386" si="70">DAY(I323)</f>
        <v>12</v>
      </c>
      <c r="M323" s="3">
        <f t="shared" ref="M323:M386" ca="1" si="71">TODAY()</f>
        <v>46100</v>
      </c>
      <c r="N323">
        <f t="shared" ref="N323:N386" ca="1" si="72">M323-I323</f>
        <v>4814</v>
      </c>
      <c r="O323">
        <f t="shared" ref="O323:O386" ca="1" si="73">DATEDIF(I323,M323, "d")</f>
        <v>4814</v>
      </c>
      <c r="P323">
        <f t="shared" ref="P323:P386" ca="1" si="74">NETWORKDAYS(I323, M323)</f>
        <v>3439</v>
      </c>
      <c r="Q323">
        <v>46</v>
      </c>
      <c r="R323" t="str">
        <f t="shared" ref="R323:R386" si="75">IF(Q323&gt;30, "Old", "Young")</f>
        <v>Old</v>
      </c>
      <c r="S323" t="s">
        <v>34</v>
      </c>
      <c r="T323">
        <v>5</v>
      </c>
      <c r="U323" t="s">
        <v>25</v>
      </c>
      <c r="V323">
        <v>8009.54</v>
      </c>
      <c r="W323" t="s">
        <v>58</v>
      </c>
      <c r="X323" t="s">
        <v>55</v>
      </c>
      <c r="Y323">
        <v>14</v>
      </c>
      <c r="Z323" t="str">
        <f t="shared" ref="Z323:Z386" si="76" xml:space="preserve"> IF(AND(Y323&gt;20, T323&gt;6), "Good Employee", "Bad Employee")</f>
        <v>Bad Employee</v>
      </c>
      <c r="AA323" t="b">
        <f t="shared" ref="AA323:AA386" si="77">AND(Y323&gt;20, T323&gt;6)</f>
        <v>0</v>
      </c>
      <c r="AB323" t="b">
        <f>OR(Y323&gt;20, T323&gt;6)</f>
        <v>0</v>
      </c>
      <c r="AC323" t="str">
        <f>IF(OR(Y323&gt;20,T323&gt;6), "Good employee", "Bad Employee")</f>
        <v>Bad Employee</v>
      </c>
      <c r="AD323" t="s">
        <v>28</v>
      </c>
      <c r="AE323" t="s">
        <v>42</v>
      </c>
      <c r="AF323">
        <v>5</v>
      </c>
      <c r="AG323">
        <v>2013</v>
      </c>
      <c r="AH323" t="s">
        <v>30</v>
      </c>
      <c r="AI323">
        <v>24</v>
      </c>
      <c r="AJ323">
        <v>1.4</v>
      </c>
    </row>
    <row r="324" spans="1:36" x14ac:dyDescent="0.25">
      <c r="A324">
        <v>10323</v>
      </c>
      <c r="B324" t="s">
        <v>31</v>
      </c>
      <c r="C324" t="s">
        <v>61</v>
      </c>
      <c r="D324" t="s">
        <v>39</v>
      </c>
      <c r="E324" t="str">
        <f t="shared" si="65"/>
        <v>Emily Smith is in IT Department</v>
      </c>
      <c r="F324" s="6" t="str">
        <f t="shared" si="66"/>
        <v>emilysmith@gmail.com</v>
      </c>
      <c r="G324">
        <v>64840</v>
      </c>
      <c r="H324" t="str">
        <f t="shared" si="67"/>
        <v>Medium</v>
      </c>
      <c r="I324" s="3">
        <v>41483</v>
      </c>
      <c r="J324">
        <f t="shared" si="68"/>
        <v>2013</v>
      </c>
      <c r="K324">
        <f t="shared" si="69"/>
        <v>7</v>
      </c>
      <c r="L324">
        <f t="shared" si="70"/>
        <v>28</v>
      </c>
      <c r="M324" s="3">
        <f t="shared" ca="1" si="71"/>
        <v>46100</v>
      </c>
      <c r="N324">
        <f t="shared" ca="1" si="72"/>
        <v>4617</v>
      </c>
      <c r="O324">
        <f t="shared" ca="1" si="73"/>
        <v>4617</v>
      </c>
      <c r="P324">
        <f t="shared" ca="1" si="74"/>
        <v>3299</v>
      </c>
      <c r="Q324">
        <v>38</v>
      </c>
      <c r="R324" t="str">
        <f t="shared" si="75"/>
        <v>Old</v>
      </c>
      <c r="S324" t="s">
        <v>34</v>
      </c>
      <c r="T324">
        <v>9</v>
      </c>
      <c r="U324" t="s">
        <v>25</v>
      </c>
      <c r="V324">
        <v>4711.22</v>
      </c>
      <c r="W324" t="s">
        <v>46</v>
      </c>
      <c r="X324" t="s">
        <v>36</v>
      </c>
      <c r="Y324">
        <v>14</v>
      </c>
      <c r="Z324" t="str">
        <f t="shared" si="76"/>
        <v>Bad Employee</v>
      </c>
      <c r="AA324" t="b">
        <f t="shared" si="77"/>
        <v>0</v>
      </c>
      <c r="AB324" t="b">
        <f>OR(Y324&gt;20, T324&gt;6)</f>
        <v>1</v>
      </c>
      <c r="AC324" t="str">
        <f>IF(OR(Y324&gt;20,T324&gt;6), "Good employee", "Bad Employee")</f>
        <v>Good employee</v>
      </c>
      <c r="AD324" t="s">
        <v>41</v>
      </c>
      <c r="AE324" t="s">
        <v>48</v>
      </c>
      <c r="AF324">
        <v>15</v>
      </c>
      <c r="AG324">
        <v>2014</v>
      </c>
      <c r="AH324" t="s">
        <v>30</v>
      </c>
      <c r="AI324">
        <v>125</v>
      </c>
      <c r="AJ324">
        <v>3.4</v>
      </c>
    </row>
    <row r="325" spans="1:36" x14ac:dyDescent="0.25">
      <c r="A325">
        <v>10324</v>
      </c>
      <c r="B325" t="s">
        <v>60</v>
      </c>
      <c r="C325" t="s">
        <v>51</v>
      </c>
      <c r="D325" t="s">
        <v>23</v>
      </c>
      <c r="E325" t="str">
        <f t="shared" si="65"/>
        <v>Jane Brown is in HR Department</v>
      </c>
      <c r="F325" s="6" t="str">
        <f t="shared" si="66"/>
        <v>janebrown@gmail.com</v>
      </c>
      <c r="G325">
        <v>72255</v>
      </c>
      <c r="H325" t="str">
        <f t="shared" si="67"/>
        <v>Medium</v>
      </c>
      <c r="I325" s="3">
        <v>42344</v>
      </c>
      <c r="J325">
        <f t="shared" si="68"/>
        <v>2015</v>
      </c>
      <c r="K325">
        <f t="shared" si="69"/>
        <v>12</v>
      </c>
      <c r="L325">
        <f t="shared" si="70"/>
        <v>6</v>
      </c>
      <c r="M325" s="3">
        <f t="shared" ca="1" si="71"/>
        <v>46100</v>
      </c>
      <c r="N325">
        <f t="shared" ca="1" si="72"/>
        <v>3756</v>
      </c>
      <c r="O325">
        <f t="shared" ca="1" si="73"/>
        <v>3756</v>
      </c>
      <c r="P325">
        <f t="shared" ca="1" si="74"/>
        <v>2684</v>
      </c>
      <c r="Q325">
        <v>54</v>
      </c>
      <c r="R325" t="str">
        <f t="shared" si="75"/>
        <v>Old</v>
      </c>
      <c r="S325" t="s">
        <v>34</v>
      </c>
      <c r="T325">
        <v>1</v>
      </c>
      <c r="U325" t="s">
        <v>45</v>
      </c>
      <c r="V325">
        <v>2075.14</v>
      </c>
      <c r="W325" t="s">
        <v>58</v>
      </c>
      <c r="X325" t="s">
        <v>47</v>
      </c>
      <c r="Y325">
        <v>22</v>
      </c>
      <c r="Z325" t="str">
        <f t="shared" si="76"/>
        <v>Bad Employee</v>
      </c>
      <c r="AA325" t="b">
        <f t="shared" si="77"/>
        <v>0</v>
      </c>
      <c r="AB325" t="b">
        <f>OR(Y325&gt;20, T325&gt;6)</f>
        <v>1</v>
      </c>
      <c r="AC325" t="str">
        <f>IF(OR(Y325&gt;20,T325&gt;6), "Good employee", "Bad Employee")</f>
        <v>Good employee</v>
      </c>
      <c r="AD325" t="s">
        <v>28</v>
      </c>
      <c r="AE325" t="s">
        <v>59</v>
      </c>
      <c r="AF325">
        <v>4</v>
      </c>
      <c r="AG325">
        <v>2020</v>
      </c>
      <c r="AH325" t="s">
        <v>49</v>
      </c>
      <c r="AI325">
        <v>176</v>
      </c>
      <c r="AJ325">
        <v>2.2999999999999998</v>
      </c>
    </row>
    <row r="326" spans="1:36" x14ac:dyDescent="0.25">
      <c r="A326">
        <v>10325</v>
      </c>
      <c r="B326" t="s">
        <v>64</v>
      </c>
      <c r="C326" t="s">
        <v>63</v>
      </c>
      <c r="D326" t="s">
        <v>39</v>
      </c>
      <c r="E326" t="str">
        <f t="shared" si="65"/>
        <v>Katie Miller is in IT Department</v>
      </c>
      <c r="F326" s="6" t="str">
        <f t="shared" si="66"/>
        <v>katiemiller@gmail.com</v>
      </c>
      <c r="G326">
        <v>101160</v>
      </c>
      <c r="H326" t="str">
        <f t="shared" si="67"/>
        <v>High</v>
      </c>
      <c r="I326" s="3">
        <v>42730</v>
      </c>
      <c r="J326">
        <f t="shared" si="68"/>
        <v>2016</v>
      </c>
      <c r="K326">
        <f t="shared" si="69"/>
        <v>12</v>
      </c>
      <c r="L326">
        <f t="shared" si="70"/>
        <v>26</v>
      </c>
      <c r="M326" s="3">
        <f t="shared" ca="1" si="71"/>
        <v>46100</v>
      </c>
      <c r="N326">
        <f t="shared" ca="1" si="72"/>
        <v>3370</v>
      </c>
      <c r="O326">
        <f t="shared" ca="1" si="73"/>
        <v>3370</v>
      </c>
      <c r="P326">
        <f t="shared" ca="1" si="74"/>
        <v>2409</v>
      </c>
      <c r="Q326">
        <v>44</v>
      </c>
      <c r="R326" t="str">
        <f t="shared" si="75"/>
        <v>Old</v>
      </c>
      <c r="S326" t="s">
        <v>24</v>
      </c>
      <c r="T326">
        <v>3</v>
      </c>
      <c r="U326" t="s">
        <v>25</v>
      </c>
      <c r="V326">
        <v>3475.56</v>
      </c>
      <c r="W326" t="s">
        <v>26</v>
      </c>
      <c r="X326" t="s">
        <v>27</v>
      </c>
      <c r="Y326">
        <v>4</v>
      </c>
      <c r="Z326" t="str">
        <f t="shared" si="76"/>
        <v>Bad Employee</v>
      </c>
      <c r="AA326" t="b">
        <f t="shared" si="77"/>
        <v>0</v>
      </c>
      <c r="AB326" t="b">
        <f>OR(Y326&gt;20, T326&gt;6)</f>
        <v>0</v>
      </c>
      <c r="AC326" t="str">
        <f>IF(OR(Y326&gt;20,T326&gt;6), "Good employee", "Bad Employee")</f>
        <v>Bad Employee</v>
      </c>
      <c r="AD326" t="s">
        <v>28</v>
      </c>
      <c r="AE326" t="s">
        <v>42</v>
      </c>
      <c r="AF326">
        <v>5</v>
      </c>
      <c r="AG326">
        <v>2015</v>
      </c>
      <c r="AH326" t="s">
        <v>43</v>
      </c>
      <c r="AI326">
        <v>62</v>
      </c>
      <c r="AJ326">
        <v>4.3</v>
      </c>
    </row>
    <row r="327" spans="1:36" x14ac:dyDescent="0.25">
      <c r="A327">
        <v>10326</v>
      </c>
      <c r="B327" t="s">
        <v>64</v>
      </c>
      <c r="C327" t="s">
        <v>65</v>
      </c>
      <c r="D327" t="s">
        <v>39</v>
      </c>
      <c r="E327" t="str">
        <f t="shared" si="65"/>
        <v>Katie Johnson is in IT Department</v>
      </c>
      <c r="F327" s="6" t="str">
        <f t="shared" si="66"/>
        <v>katiejohnson@gmail.com</v>
      </c>
      <c r="G327">
        <v>38176</v>
      </c>
      <c r="H327" t="str">
        <f t="shared" si="67"/>
        <v>extremely low</v>
      </c>
      <c r="I327" s="3">
        <v>43466</v>
      </c>
      <c r="J327">
        <f t="shared" si="68"/>
        <v>2019</v>
      </c>
      <c r="K327">
        <f t="shared" si="69"/>
        <v>1</v>
      </c>
      <c r="L327">
        <f t="shared" si="70"/>
        <v>1</v>
      </c>
      <c r="M327" s="3">
        <f t="shared" ca="1" si="71"/>
        <v>46100</v>
      </c>
      <c r="N327">
        <f t="shared" ca="1" si="72"/>
        <v>2634</v>
      </c>
      <c r="O327">
        <f t="shared" ca="1" si="73"/>
        <v>2634</v>
      </c>
      <c r="P327">
        <f t="shared" ca="1" si="74"/>
        <v>1883</v>
      </c>
      <c r="Q327">
        <v>30</v>
      </c>
      <c r="R327" t="str">
        <f t="shared" si="75"/>
        <v>Young</v>
      </c>
      <c r="S327" t="s">
        <v>34</v>
      </c>
      <c r="T327">
        <v>7</v>
      </c>
      <c r="U327" t="s">
        <v>45</v>
      </c>
      <c r="V327">
        <v>2517.61</v>
      </c>
      <c r="W327" t="s">
        <v>46</v>
      </c>
      <c r="X327" t="s">
        <v>36</v>
      </c>
      <c r="Y327">
        <v>34</v>
      </c>
      <c r="Z327" t="str">
        <f t="shared" si="76"/>
        <v>Good Employee</v>
      </c>
      <c r="AA327" t="b">
        <f t="shared" si="77"/>
        <v>1</v>
      </c>
      <c r="AB327" t="b">
        <f>OR(Y327&gt;20, T327&gt;6)</f>
        <v>1</v>
      </c>
      <c r="AC327" t="str">
        <f>IF(OR(Y327&gt;20,T327&gt;6), "Good employee", "Bad Employee")</f>
        <v>Good employee</v>
      </c>
      <c r="AD327" t="s">
        <v>28</v>
      </c>
      <c r="AE327" t="s">
        <v>37</v>
      </c>
      <c r="AF327">
        <v>5</v>
      </c>
      <c r="AG327">
        <v>2011</v>
      </c>
      <c r="AH327" t="s">
        <v>49</v>
      </c>
      <c r="AI327">
        <v>152</v>
      </c>
      <c r="AJ327">
        <v>4.2</v>
      </c>
    </row>
    <row r="328" spans="1:36" x14ac:dyDescent="0.25">
      <c r="A328">
        <v>10327</v>
      </c>
      <c r="B328" t="s">
        <v>50</v>
      </c>
      <c r="C328" t="s">
        <v>22</v>
      </c>
      <c r="D328" t="s">
        <v>33</v>
      </c>
      <c r="E328" t="str">
        <f t="shared" si="65"/>
        <v>Alex Williams is in Marketing Department</v>
      </c>
      <c r="F328" s="6" t="str">
        <f t="shared" si="66"/>
        <v>alexwilliams@gmail.com</v>
      </c>
      <c r="G328">
        <v>63529</v>
      </c>
      <c r="H328" t="str">
        <f t="shared" si="67"/>
        <v>Medium</v>
      </c>
      <c r="I328" s="3">
        <v>42764</v>
      </c>
      <c r="J328">
        <f t="shared" si="68"/>
        <v>2017</v>
      </c>
      <c r="K328">
        <f t="shared" si="69"/>
        <v>1</v>
      </c>
      <c r="L328">
        <f t="shared" si="70"/>
        <v>29</v>
      </c>
      <c r="M328" s="3">
        <f t="shared" ca="1" si="71"/>
        <v>46100</v>
      </c>
      <c r="N328">
        <f t="shared" ca="1" si="72"/>
        <v>3336</v>
      </c>
      <c r="O328">
        <f t="shared" ca="1" si="73"/>
        <v>3336</v>
      </c>
      <c r="P328">
        <f t="shared" ca="1" si="74"/>
        <v>2384</v>
      </c>
      <c r="Q328">
        <v>27</v>
      </c>
      <c r="R328" t="str">
        <f t="shared" si="75"/>
        <v>Young</v>
      </c>
      <c r="S328" t="s">
        <v>34</v>
      </c>
      <c r="T328">
        <v>4</v>
      </c>
      <c r="U328" t="s">
        <v>45</v>
      </c>
      <c r="V328">
        <v>1695.27</v>
      </c>
      <c r="W328" t="s">
        <v>46</v>
      </c>
      <c r="X328" t="s">
        <v>55</v>
      </c>
      <c r="Y328">
        <v>18</v>
      </c>
      <c r="Z328" t="str">
        <f t="shared" si="76"/>
        <v>Bad Employee</v>
      </c>
      <c r="AA328" t="b">
        <f t="shared" si="77"/>
        <v>0</v>
      </c>
      <c r="AB328" t="b">
        <f>OR(Y328&gt;20, T328&gt;6)</f>
        <v>0</v>
      </c>
      <c r="AC328" t="str">
        <f>IF(OR(Y328&gt;20,T328&gt;6), "Good employee", "Bad Employee")</f>
        <v>Bad Employee</v>
      </c>
      <c r="AD328" t="s">
        <v>56</v>
      </c>
      <c r="AE328" t="s">
        <v>62</v>
      </c>
      <c r="AF328">
        <v>1</v>
      </c>
      <c r="AG328">
        <v>2019</v>
      </c>
      <c r="AH328" t="s">
        <v>49</v>
      </c>
      <c r="AI328">
        <v>93</v>
      </c>
      <c r="AJ328">
        <v>5</v>
      </c>
    </row>
    <row r="329" spans="1:36" x14ac:dyDescent="0.25">
      <c r="A329">
        <v>10328</v>
      </c>
      <c r="B329" t="s">
        <v>21</v>
      </c>
      <c r="C329" t="s">
        <v>61</v>
      </c>
      <c r="D329" t="s">
        <v>23</v>
      </c>
      <c r="E329" t="str">
        <f t="shared" si="65"/>
        <v>Michael Smith is in HR Department</v>
      </c>
      <c r="F329" s="6" t="str">
        <f t="shared" si="66"/>
        <v>michaelsmith@gmail.com</v>
      </c>
      <c r="G329">
        <v>86406</v>
      </c>
      <c r="H329" t="str">
        <f t="shared" si="67"/>
        <v>High</v>
      </c>
      <c r="I329" s="3">
        <v>37311</v>
      </c>
      <c r="J329">
        <f t="shared" si="68"/>
        <v>2002</v>
      </c>
      <c r="K329">
        <f t="shared" si="69"/>
        <v>2</v>
      </c>
      <c r="L329">
        <f t="shared" si="70"/>
        <v>24</v>
      </c>
      <c r="M329" s="3">
        <f t="shared" ca="1" si="71"/>
        <v>46100</v>
      </c>
      <c r="N329">
        <f t="shared" ca="1" si="72"/>
        <v>8789</v>
      </c>
      <c r="O329">
        <f t="shared" ca="1" si="73"/>
        <v>8789</v>
      </c>
      <c r="P329">
        <f t="shared" ca="1" si="74"/>
        <v>6279</v>
      </c>
      <c r="Q329">
        <v>23</v>
      </c>
      <c r="R329" t="str">
        <f t="shared" si="75"/>
        <v>Young</v>
      </c>
      <c r="S329" t="s">
        <v>24</v>
      </c>
      <c r="T329">
        <v>2</v>
      </c>
      <c r="U329" t="s">
        <v>25</v>
      </c>
      <c r="V329">
        <v>4087.02</v>
      </c>
      <c r="W329" t="s">
        <v>46</v>
      </c>
      <c r="X329" t="s">
        <v>40</v>
      </c>
      <c r="Y329">
        <v>34</v>
      </c>
      <c r="Z329" t="str">
        <f t="shared" si="76"/>
        <v>Bad Employee</v>
      </c>
      <c r="AA329" t="b">
        <f t="shared" si="77"/>
        <v>0</v>
      </c>
      <c r="AB329" t="b">
        <f>OR(Y329&gt;20, T329&gt;6)</f>
        <v>1</v>
      </c>
      <c r="AC329" t="str">
        <f>IF(OR(Y329&gt;20,T329&gt;6), "Good employee", "Bad Employee")</f>
        <v>Good employee</v>
      </c>
      <c r="AD329" t="s">
        <v>41</v>
      </c>
      <c r="AE329" t="s">
        <v>59</v>
      </c>
      <c r="AF329">
        <v>6</v>
      </c>
      <c r="AG329">
        <v>2021</v>
      </c>
      <c r="AH329" t="s">
        <v>30</v>
      </c>
      <c r="AI329">
        <v>104</v>
      </c>
      <c r="AJ329">
        <v>2</v>
      </c>
    </row>
    <row r="330" spans="1:36" x14ac:dyDescent="0.25">
      <c r="A330">
        <v>10329</v>
      </c>
      <c r="B330" t="s">
        <v>53</v>
      </c>
      <c r="C330" t="s">
        <v>22</v>
      </c>
      <c r="D330" t="s">
        <v>23</v>
      </c>
      <c r="E330" t="str">
        <f t="shared" si="65"/>
        <v>Sarah Williams is in HR Department</v>
      </c>
      <c r="F330" s="6" t="str">
        <f t="shared" si="66"/>
        <v>sarahwilliams@gmail.com</v>
      </c>
      <c r="G330">
        <v>42941</v>
      </c>
      <c r="H330" t="str">
        <f t="shared" si="67"/>
        <v>low</v>
      </c>
      <c r="I330" s="3">
        <v>42198</v>
      </c>
      <c r="J330">
        <f t="shared" si="68"/>
        <v>2015</v>
      </c>
      <c r="K330">
        <f t="shared" si="69"/>
        <v>7</v>
      </c>
      <c r="L330">
        <f t="shared" si="70"/>
        <v>13</v>
      </c>
      <c r="M330" s="3">
        <f t="shared" ca="1" si="71"/>
        <v>46100</v>
      </c>
      <c r="N330">
        <f t="shared" ca="1" si="72"/>
        <v>3902</v>
      </c>
      <c r="O330">
        <f t="shared" ca="1" si="73"/>
        <v>3902</v>
      </c>
      <c r="P330">
        <f t="shared" ca="1" si="74"/>
        <v>2789</v>
      </c>
      <c r="Q330">
        <v>59</v>
      </c>
      <c r="R330" t="str">
        <f t="shared" si="75"/>
        <v>Old</v>
      </c>
      <c r="S330" t="s">
        <v>24</v>
      </c>
      <c r="T330">
        <v>3</v>
      </c>
      <c r="U330" t="s">
        <v>25</v>
      </c>
      <c r="V330">
        <v>5638.89</v>
      </c>
      <c r="W330" t="s">
        <v>35</v>
      </c>
      <c r="X330" t="s">
        <v>47</v>
      </c>
      <c r="Y330">
        <v>18</v>
      </c>
      <c r="Z330" t="str">
        <f t="shared" si="76"/>
        <v>Bad Employee</v>
      </c>
      <c r="AA330" t="b">
        <f t="shared" si="77"/>
        <v>0</v>
      </c>
      <c r="AB330" t="b">
        <f>OR(Y330&gt;20, T330&gt;6)</f>
        <v>0</v>
      </c>
      <c r="AC330" t="str">
        <f>IF(OR(Y330&gt;20,T330&gt;6), "Good employee", "Bad Employee")</f>
        <v>Bad Employee</v>
      </c>
      <c r="AD330" t="s">
        <v>41</v>
      </c>
      <c r="AE330" t="s">
        <v>29</v>
      </c>
      <c r="AF330">
        <v>8</v>
      </c>
      <c r="AG330">
        <v>2017</v>
      </c>
      <c r="AH330" t="s">
        <v>30</v>
      </c>
      <c r="AI330">
        <v>119</v>
      </c>
      <c r="AJ330">
        <v>1.2</v>
      </c>
    </row>
    <row r="331" spans="1:36" x14ac:dyDescent="0.25">
      <c r="A331">
        <v>10330</v>
      </c>
      <c r="B331" t="s">
        <v>53</v>
      </c>
      <c r="C331" t="s">
        <v>32</v>
      </c>
      <c r="D331" t="s">
        <v>39</v>
      </c>
      <c r="E331" t="str">
        <f t="shared" si="65"/>
        <v>Sarah Wilson is in IT Department</v>
      </c>
      <c r="F331" s="6" t="str">
        <f t="shared" si="66"/>
        <v>sarahwilson@gmail.com</v>
      </c>
      <c r="G331">
        <v>31669</v>
      </c>
      <c r="H331" t="str">
        <f t="shared" si="67"/>
        <v>extremely low</v>
      </c>
      <c r="I331" s="3">
        <v>39843</v>
      </c>
      <c r="J331">
        <f t="shared" si="68"/>
        <v>2009</v>
      </c>
      <c r="K331">
        <f t="shared" si="69"/>
        <v>1</v>
      </c>
      <c r="L331">
        <f t="shared" si="70"/>
        <v>30</v>
      </c>
      <c r="M331" s="3">
        <f t="shared" ca="1" si="71"/>
        <v>46100</v>
      </c>
      <c r="N331">
        <f t="shared" ca="1" si="72"/>
        <v>6257</v>
      </c>
      <c r="O331">
        <f t="shared" ca="1" si="73"/>
        <v>6257</v>
      </c>
      <c r="P331">
        <f t="shared" ca="1" si="74"/>
        <v>4470</v>
      </c>
      <c r="Q331">
        <v>30</v>
      </c>
      <c r="R331" t="str">
        <f t="shared" si="75"/>
        <v>Young</v>
      </c>
      <c r="S331" t="s">
        <v>34</v>
      </c>
      <c r="T331">
        <v>7</v>
      </c>
      <c r="U331" t="s">
        <v>25</v>
      </c>
      <c r="V331">
        <v>1191.1400000000001</v>
      </c>
      <c r="W331" t="s">
        <v>35</v>
      </c>
      <c r="X331" t="s">
        <v>40</v>
      </c>
      <c r="Y331">
        <v>31</v>
      </c>
      <c r="Z331" t="str">
        <f t="shared" si="76"/>
        <v>Good Employee</v>
      </c>
      <c r="AA331" t="b">
        <f t="shared" si="77"/>
        <v>1</v>
      </c>
      <c r="AB331" t="b">
        <f>OR(Y331&gt;20, T331&gt;6)</f>
        <v>1</v>
      </c>
      <c r="AC331" t="str">
        <f>IF(OR(Y331&gt;20,T331&gt;6), "Good employee", "Bad Employee")</f>
        <v>Good employee</v>
      </c>
      <c r="AD331" t="s">
        <v>56</v>
      </c>
      <c r="AE331" t="s">
        <v>59</v>
      </c>
      <c r="AF331">
        <v>14</v>
      </c>
      <c r="AG331">
        <v>2013</v>
      </c>
      <c r="AH331" t="s">
        <v>49</v>
      </c>
      <c r="AI331">
        <v>78</v>
      </c>
      <c r="AJ331">
        <v>2.8</v>
      </c>
    </row>
    <row r="332" spans="1:36" x14ac:dyDescent="0.25">
      <c r="A332">
        <v>10331</v>
      </c>
      <c r="B332" t="s">
        <v>66</v>
      </c>
      <c r="C332" t="s">
        <v>63</v>
      </c>
      <c r="D332" t="s">
        <v>44</v>
      </c>
      <c r="E332" t="str">
        <f t="shared" si="65"/>
        <v>John Miller is in Sales Department</v>
      </c>
      <c r="F332" s="6" t="str">
        <f t="shared" si="66"/>
        <v>johnmiller@gmail.com</v>
      </c>
      <c r="G332">
        <v>115782</v>
      </c>
      <c r="H332" t="str">
        <f t="shared" si="67"/>
        <v>High</v>
      </c>
      <c r="I332" s="3">
        <v>38193</v>
      </c>
      <c r="J332">
        <f t="shared" si="68"/>
        <v>2004</v>
      </c>
      <c r="K332">
        <f t="shared" si="69"/>
        <v>7</v>
      </c>
      <c r="L332">
        <f t="shared" si="70"/>
        <v>25</v>
      </c>
      <c r="M332" s="3">
        <f t="shared" ca="1" si="71"/>
        <v>46100</v>
      </c>
      <c r="N332">
        <f t="shared" ca="1" si="72"/>
        <v>7907</v>
      </c>
      <c r="O332">
        <f t="shared" ca="1" si="73"/>
        <v>7907</v>
      </c>
      <c r="P332">
        <f t="shared" ca="1" si="74"/>
        <v>5649</v>
      </c>
      <c r="Q332">
        <v>24</v>
      </c>
      <c r="R332" t="str">
        <f t="shared" si="75"/>
        <v>Young</v>
      </c>
      <c r="S332" t="s">
        <v>34</v>
      </c>
      <c r="T332">
        <v>8</v>
      </c>
      <c r="U332" t="s">
        <v>45</v>
      </c>
      <c r="V332">
        <v>6236.32</v>
      </c>
      <c r="W332" t="s">
        <v>46</v>
      </c>
      <c r="X332" t="s">
        <v>36</v>
      </c>
      <c r="Y332">
        <v>20</v>
      </c>
      <c r="Z332" t="str">
        <f t="shared" si="76"/>
        <v>Bad Employee</v>
      </c>
      <c r="AA332" t="b">
        <f t="shared" si="77"/>
        <v>0</v>
      </c>
      <c r="AB332" t="b">
        <f>OR(Y332&gt;20, T332&gt;6)</f>
        <v>1</v>
      </c>
      <c r="AC332" t="str">
        <f>IF(OR(Y332&gt;20,T332&gt;6), "Good employee", "Bad Employee")</f>
        <v>Good employee</v>
      </c>
      <c r="AD332" t="s">
        <v>56</v>
      </c>
      <c r="AE332" t="s">
        <v>42</v>
      </c>
      <c r="AF332">
        <v>13</v>
      </c>
      <c r="AG332">
        <v>2016</v>
      </c>
      <c r="AH332" t="s">
        <v>49</v>
      </c>
      <c r="AI332">
        <v>172</v>
      </c>
      <c r="AJ332">
        <v>1.3</v>
      </c>
    </row>
    <row r="333" spans="1:36" x14ac:dyDescent="0.25">
      <c r="A333">
        <v>10332</v>
      </c>
      <c r="B333" t="s">
        <v>66</v>
      </c>
      <c r="C333" t="s">
        <v>61</v>
      </c>
      <c r="D333" t="s">
        <v>33</v>
      </c>
      <c r="E333" t="str">
        <f t="shared" si="65"/>
        <v>John Smith is in Marketing Department</v>
      </c>
      <c r="F333" s="6" t="str">
        <f t="shared" si="66"/>
        <v>johnsmith@gmail.com</v>
      </c>
      <c r="G333">
        <v>74859</v>
      </c>
      <c r="H333" t="str">
        <f t="shared" si="67"/>
        <v>Medium</v>
      </c>
      <c r="I333" s="3">
        <v>39534</v>
      </c>
      <c r="J333">
        <f t="shared" si="68"/>
        <v>2008</v>
      </c>
      <c r="K333">
        <f t="shared" si="69"/>
        <v>3</v>
      </c>
      <c r="L333">
        <f t="shared" si="70"/>
        <v>27</v>
      </c>
      <c r="M333" s="3">
        <f t="shared" ca="1" si="71"/>
        <v>46100</v>
      </c>
      <c r="N333">
        <f t="shared" ca="1" si="72"/>
        <v>6566</v>
      </c>
      <c r="O333">
        <f t="shared" ca="1" si="73"/>
        <v>6566</v>
      </c>
      <c r="P333">
        <f t="shared" ca="1" si="74"/>
        <v>4691</v>
      </c>
      <c r="Q333">
        <v>37</v>
      </c>
      <c r="R333" t="str">
        <f t="shared" si="75"/>
        <v>Old</v>
      </c>
      <c r="S333" t="s">
        <v>34</v>
      </c>
      <c r="T333">
        <v>9</v>
      </c>
      <c r="U333" t="s">
        <v>25</v>
      </c>
      <c r="V333">
        <v>9933.73</v>
      </c>
      <c r="W333" t="s">
        <v>58</v>
      </c>
      <c r="X333" t="s">
        <v>27</v>
      </c>
      <c r="Y333">
        <v>36</v>
      </c>
      <c r="Z333" t="str">
        <f t="shared" si="76"/>
        <v>Good Employee</v>
      </c>
      <c r="AA333" t="b">
        <f t="shared" si="77"/>
        <v>1</v>
      </c>
      <c r="AB333" t="b">
        <f>OR(Y333&gt;20, T333&gt;6)</f>
        <v>1</v>
      </c>
      <c r="AC333" t="str">
        <f>IF(OR(Y333&gt;20,T333&gt;6), "Good employee", "Bad Employee")</f>
        <v>Good employee</v>
      </c>
      <c r="AD333" t="s">
        <v>41</v>
      </c>
      <c r="AE333" t="s">
        <v>48</v>
      </c>
      <c r="AF333">
        <v>12</v>
      </c>
      <c r="AG333">
        <v>2016</v>
      </c>
      <c r="AH333" t="s">
        <v>43</v>
      </c>
      <c r="AI333">
        <v>20</v>
      </c>
      <c r="AJ333">
        <v>1.7</v>
      </c>
    </row>
    <row r="334" spans="1:36" x14ac:dyDescent="0.25">
      <c r="A334">
        <v>10333</v>
      </c>
      <c r="B334" t="s">
        <v>31</v>
      </c>
      <c r="C334" t="s">
        <v>51</v>
      </c>
      <c r="D334" t="s">
        <v>39</v>
      </c>
      <c r="E334" t="str">
        <f t="shared" si="65"/>
        <v>Emily Brown is in IT Department</v>
      </c>
      <c r="F334" s="6" t="str">
        <f t="shared" si="66"/>
        <v>emilybrown@gmail.com</v>
      </c>
      <c r="G334">
        <v>85786</v>
      </c>
      <c r="H334" t="str">
        <f t="shared" si="67"/>
        <v>High</v>
      </c>
      <c r="I334" s="3">
        <v>42966</v>
      </c>
      <c r="J334">
        <f t="shared" si="68"/>
        <v>2017</v>
      </c>
      <c r="K334">
        <f t="shared" si="69"/>
        <v>8</v>
      </c>
      <c r="L334">
        <f t="shared" si="70"/>
        <v>19</v>
      </c>
      <c r="M334" s="3">
        <f t="shared" ca="1" si="71"/>
        <v>46100</v>
      </c>
      <c r="N334">
        <f t="shared" ca="1" si="72"/>
        <v>3134</v>
      </c>
      <c r="O334">
        <f t="shared" ca="1" si="73"/>
        <v>3134</v>
      </c>
      <c r="P334">
        <f t="shared" ca="1" si="74"/>
        <v>2239</v>
      </c>
      <c r="Q334">
        <v>46</v>
      </c>
      <c r="R334" t="str">
        <f t="shared" si="75"/>
        <v>Old</v>
      </c>
      <c r="S334" t="s">
        <v>24</v>
      </c>
      <c r="T334">
        <v>6</v>
      </c>
      <c r="U334" t="s">
        <v>25</v>
      </c>
      <c r="V334">
        <v>9659.19</v>
      </c>
      <c r="W334" t="s">
        <v>35</v>
      </c>
      <c r="X334" t="s">
        <v>55</v>
      </c>
      <c r="Y334">
        <v>10</v>
      </c>
      <c r="Z334" t="str">
        <f t="shared" si="76"/>
        <v>Bad Employee</v>
      </c>
      <c r="AA334" t="b">
        <f t="shared" si="77"/>
        <v>0</v>
      </c>
      <c r="AB334" t="b">
        <f>OR(Y334&gt;20, T334&gt;6)</f>
        <v>0</v>
      </c>
      <c r="AC334" t="str">
        <f>IF(OR(Y334&gt;20,T334&gt;6), "Good employee", "Bad Employee")</f>
        <v>Bad Employee</v>
      </c>
      <c r="AD334" t="s">
        <v>56</v>
      </c>
      <c r="AE334" t="s">
        <v>42</v>
      </c>
      <c r="AF334">
        <v>4</v>
      </c>
      <c r="AG334">
        <v>2021</v>
      </c>
      <c r="AH334" t="s">
        <v>30</v>
      </c>
      <c r="AI334">
        <v>8</v>
      </c>
      <c r="AJ334">
        <v>3.4</v>
      </c>
    </row>
    <row r="335" spans="1:36" x14ac:dyDescent="0.25">
      <c r="A335">
        <v>10334</v>
      </c>
      <c r="B335" t="s">
        <v>50</v>
      </c>
      <c r="C335" t="s">
        <v>63</v>
      </c>
      <c r="D335" t="s">
        <v>39</v>
      </c>
      <c r="E335" t="str">
        <f t="shared" si="65"/>
        <v>Alex Miller is in IT Department</v>
      </c>
      <c r="F335" s="6" t="str">
        <f t="shared" si="66"/>
        <v>alexmiller@gmail.com</v>
      </c>
      <c r="G335">
        <v>81083</v>
      </c>
      <c r="H335" t="str">
        <f t="shared" si="67"/>
        <v>High</v>
      </c>
      <c r="I335" s="3">
        <v>39720</v>
      </c>
      <c r="J335">
        <f t="shared" si="68"/>
        <v>2008</v>
      </c>
      <c r="K335">
        <f t="shared" si="69"/>
        <v>9</v>
      </c>
      <c r="L335">
        <f t="shared" si="70"/>
        <v>29</v>
      </c>
      <c r="M335" s="3">
        <f t="shared" ca="1" si="71"/>
        <v>46100</v>
      </c>
      <c r="N335">
        <f t="shared" ca="1" si="72"/>
        <v>6380</v>
      </c>
      <c r="O335">
        <f t="shared" ca="1" si="73"/>
        <v>6380</v>
      </c>
      <c r="P335">
        <f t="shared" ca="1" si="74"/>
        <v>4559</v>
      </c>
      <c r="Q335">
        <v>45</v>
      </c>
      <c r="R335" t="str">
        <f t="shared" si="75"/>
        <v>Old</v>
      </c>
      <c r="S335" t="s">
        <v>24</v>
      </c>
      <c r="T335">
        <v>9</v>
      </c>
      <c r="U335" t="s">
        <v>45</v>
      </c>
      <c r="V335">
        <v>8377.15</v>
      </c>
      <c r="W335" t="s">
        <v>26</v>
      </c>
      <c r="X335" t="s">
        <v>47</v>
      </c>
      <c r="Y335">
        <v>3</v>
      </c>
      <c r="Z335" t="str">
        <f t="shared" si="76"/>
        <v>Bad Employee</v>
      </c>
      <c r="AA335" t="b">
        <f t="shared" si="77"/>
        <v>0</v>
      </c>
      <c r="AB335" t="b">
        <f>OR(Y335&gt;20, T335&gt;6)</f>
        <v>1</v>
      </c>
      <c r="AC335" t="str">
        <f>IF(OR(Y335&gt;20,T335&gt;6), "Good employee", "Bad Employee")</f>
        <v>Good employee</v>
      </c>
      <c r="AD335" t="s">
        <v>56</v>
      </c>
      <c r="AE335" t="s">
        <v>48</v>
      </c>
      <c r="AF335">
        <v>16</v>
      </c>
      <c r="AG335">
        <v>2023</v>
      </c>
      <c r="AH335" t="s">
        <v>30</v>
      </c>
      <c r="AI335">
        <v>14</v>
      </c>
      <c r="AJ335">
        <v>3.4</v>
      </c>
    </row>
    <row r="336" spans="1:36" x14ac:dyDescent="0.25">
      <c r="A336">
        <v>10335</v>
      </c>
      <c r="B336" t="s">
        <v>64</v>
      </c>
      <c r="C336" t="s">
        <v>51</v>
      </c>
      <c r="D336" t="s">
        <v>54</v>
      </c>
      <c r="E336" t="str">
        <f t="shared" si="65"/>
        <v>Katie Brown is in Finance Department</v>
      </c>
      <c r="F336" s="6" t="str">
        <f t="shared" si="66"/>
        <v>katiebrown@gmail.com</v>
      </c>
      <c r="G336">
        <v>70076</v>
      </c>
      <c r="H336" t="str">
        <f t="shared" si="67"/>
        <v>Medium</v>
      </c>
      <c r="I336" s="3">
        <v>41315</v>
      </c>
      <c r="J336">
        <f t="shared" si="68"/>
        <v>2013</v>
      </c>
      <c r="K336">
        <f t="shared" si="69"/>
        <v>2</v>
      </c>
      <c r="L336">
        <f t="shared" si="70"/>
        <v>10</v>
      </c>
      <c r="M336" s="3">
        <f t="shared" ca="1" si="71"/>
        <v>46100</v>
      </c>
      <c r="N336">
        <f t="shared" ca="1" si="72"/>
        <v>4785</v>
      </c>
      <c r="O336">
        <f t="shared" ca="1" si="73"/>
        <v>4785</v>
      </c>
      <c r="P336">
        <f t="shared" ca="1" si="74"/>
        <v>3419</v>
      </c>
      <c r="Q336">
        <v>50</v>
      </c>
      <c r="R336" t="str">
        <f t="shared" si="75"/>
        <v>Old</v>
      </c>
      <c r="S336" t="s">
        <v>34</v>
      </c>
      <c r="T336">
        <v>4</v>
      </c>
      <c r="U336" t="s">
        <v>25</v>
      </c>
      <c r="V336">
        <v>3030.24</v>
      </c>
      <c r="W336" t="s">
        <v>35</v>
      </c>
      <c r="X336" t="s">
        <v>27</v>
      </c>
      <c r="Y336">
        <v>21</v>
      </c>
      <c r="Z336" t="str">
        <f t="shared" si="76"/>
        <v>Bad Employee</v>
      </c>
      <c r="AA336" t="b">
        <f t="shared" si="77"/>
        <v>0</v>
      </c>
      <c r="AB336" t="b">
        <f>OR(Y336&gt;20, T336&gt;6)</f>
        <v>1</v>
      </c>
      <c r="AC336" t="str">
        <f>IF(OR(Y336&gt;20,T336&gt;6), "Good employee", "Bad Employee")</f>
        <v>Good employee</v>
      </c>
      <c r="AD336" t="s">
        <v>41</v>
      </c>
      <c r="AE336" t="s">
        <v>48</v>
      </c>
      <c r="AF336">
        <v>4</v>
      </c>
      <c r="AG336">
        <v>2022</v>
      </c>
      <c r="AH336" t="s">
        <v>49</v>
      </c>
      <c r="AI336">
        <v>183</v>
      </c>
      <c r="AJ336">
        <v>1.2</v>
      </c>
    </row>
    <row r="337" spans="1:36" x14ac:dyDescent="0.25">
      <c r="A337">
        <v>10336</v>
      </c>
      <c r="B337" t="s">
        <v>53</v>
      </c>
      <c r="C337" t="s">
        <v>57</v>
      </c>
      <c r="D337" t="s">
        <v>54</v>
      </c>
      <c r="E337" t="str">
        <f t="shared" si="65"/>
        <v>Sarah Davis is in Finance Department</v>
      </c>
      <c r="F337" s="6" t="str">
        <f t="shared" si="66"/>
        <v>sarahdavis@gmail.com</v>
      </c>
      <c r="G337">
        <v>50323</v>
      </c>
      <c r="H337" t="str">
        <f t="shared" si="67"/>
        <v>Medium</v>
      </c>
      <c r="I337" s="3">
        <v>40301</v>
      </c>
      <c r="J337">
        <f t="shared" si="68"/>
        <v>2010</v>
      </c>
      <c r="K337">
        <f t="shared" si="69"/>
        <v>5</v>
      </c>
      <c r="L337">
        <f t="shared" si="70"/>
        <v>3</v>
      </c>
      <c r="M337" s="3">
        <f t="shared" ca="1" si="71"/>
        <v>46100</v>
      </c>
      <c r="N337">
        <f t="shared" ca="1" si="72"/>
        <v>5799</v>
      </c>
      <c r="O337">
        <f t="shared" ca="1" si="73"/>
        <v>5799</v>
      </c>
      <c r="P337">
        <f t="shared" ca="1" si="74"/>
        <v>4144</v>
      </c>
      <c r="Q337">
        <v>61</v>
      </c>
      <c r="R337" t="str">
        <f t="shared" si="75"/>
        <v>Old</v>
      </c>
      <c r="S337" t="s">
        <v>34</v>
      </c>
      <c r="T337">
        <v>5</v>
      </c>
      <c r="U337" t="s">
        <v>25</v>
      </c>
      <c r="V337">
        <v>712.87</v>
      </c>
      <c r="W337" t="s">
        <v>58</v>
      </c>
      <c r="X337" t="s">
        <v>47</v>
      </c>
      <c r="Y337">
        <v>36</v>
      </c>
      <c r="Z337" t="str">
        <f t="shared" si="76"/>
        <v>Bad Employee</v>
      </c>
      <c r="AA337" t="b">
        <f t="shared" si="77"/>
        <v>0</v>
      </c>
      <c r="AB337" t="b">
        <f>OR(Y337&gt;20, T337&gt;6)</f>
        <v>1</v>
      </c>
      <c r="AC337" t="str">
        <f>IF(OR(Y337&gt;20,T337&gt;6), "Good employee", "Bad Employee")</f>
        <v>Good employee</v>
      </c>
      <c r="AD337" t="s">
        <v>28</v>
      </c>
      <c r="AE337" t="s">
        <v>37</v>
      </c>
      <c r="AF337">
        <v>2</v>
      </c>
      <c r="AG337">
        <v>2019</v>
      </c>
      <c r="AH337" t="s">
        <v>30</v>
      </c>
      <c r="AI337">
        <v>52</v>
      </c>
      <c r="AJ337">
        <v>2.8</v>
      </c>
    </row>
    <row r="338" spans="1:36" x14ac:dyDescent="0.25">
      <c r="A338">
        <v>10337</v>
      </c>
      <c r="B338" t="s">
        <v>38</v>
      </c>
      <c r="C338" t="s">
        <v>22</v>
      </c>
      <c r="D338" t="s">
        <v>44</v>
      </c>
      <c r="E338" t="str">
        <f t="shared" si="65"/>
        <v>Chris Williams is in Sales Department</v>
      </c>
      <c r="F338" s="6" t="str">
        <f t="shared" si="66"/>
        <v>chriswilliams@gmail.com</v>
      </c>
      <c r="G338">
        <v>36021</v>
      </c>
      <c r="H338" t="str">
        <f t="shared" si="67"/>
        <v>extremely low</v>
      </c>
      <c r="I338" s="3">
        <v>38972</v>
      </c>
      <c r="J338">
        <f t="shared" si="68"/>
        <v>2006</v>
      </c>
      <c r="K338">
        <f t="shared" si="69"/>
        <v>9</v>
      </c>
      <c r="L338">
        <f t="shared" si="70"/>
        <v>12</v>
      </c>
      <c r="M338" s="3">
        <f t="shared" ca="1" si="71"/>
        <v>46100</v>
      </c>
      <c r="N338">
        <f t="shared" ca="1" si="72"/>
        <v>7128</v>
      </c>
      <c r="O338">
        <f t="shared" ca="1" si="73"/>
        <v>7128</v>
      </c>
      <c r="P338">
        <f t="shared" ca="1" si="74"/>
        <v>5093</v>
      </c>
      <c r="Q338">
        <v>47</v>
      </c>
      <c r="R338" t="str">
        <f t="shared" si="75"/>
        <v>Old</v>
      </c>
      <c r="S338" t="s">
        <v>34</v>
      </c>
      <c r="T338">
        <v>1</v>
      </c>
      <c r="U338" t="s">
        <v>25</v>
      </c>
      <c r="V338">
        <v>8418.65</v>
      </c>
      <c r="W338" t="s">
        <v>35</v>
      </c>
      <c r="X338" t="s">
        <v>55</v>
      </c>
      <c r="Y338">
        <v>10</v>
      </c>
      <c r="Z338" t="str">
        <f t="shared" si="76"/>
        <v>Bad Employee</v>
      </c>
      <c r="AA338" t="b">
        <f t="shared" si="77"/>
        <v>0</v>
      </c>
      <c r="AB338" t="b">
        <f>OR(Y338&gt;20, T338&gt;6)</f>
        <v>0</v>
      </c>
      <c r="AC338" t="str">
        <f>IF(OR(Y338&gt;20,T338&gt;6), "Good employee", "Bad Employee")</f>
        <v>Bad Employee</v>
      </c>
      <c r="AD338" t="s">
        <v>56</v>
      </c>
      <c r="AE338" t="s">
        <v>48</v>
      </c>
      <c r="AF338">
        <v>8</v>
      </c>
      <c r="AG338">
        <v>2020</v>
      </c>
      <c r="AH338" t="s">
        <v>49</v>
      </c>
      <c r="AI338">
        <v>24</v>
      </c>
      <c r="AJ338">
        <v>3.1</v>
      </c>
    </row>
    <row r="339" spans="1:36" x14ac:dyDescent="0.25">
      <c r="A339">
        <v>10338</v>
      </c>
      <c r="B339" t="s">
        <v>50</v>
      </c>
      <c r="C339" t="s">
        <v>61</v>
      </c>
      <c r="D339" t="s">
        <v>33</v>
      </c>
      <c r="E339" t="str">
        <f t="shared" si="65"/>
        <v>Alex Smith is in Marketing Department</v>
      </c>
      <c r="F339" s="6" t="str">
        <f t="shared" si="66"/>
        <v>alexsmith@gmail.com</v>
      </c>
      <c r="G339">
        <v>69807</v>
      </c>
      <c r="H339" t="str">
        <f t="shared" si="67"/>
        <v>Medium</v>
      </c>
      <c r="I339" s="3">
        <v>40316</v>
      </c>
      <c r="J339">
        <f t="shared" si="68"/>
        <v>2010</v>
      </c>
      <c r="K339">
        <f t="shared" si="69"/>
        <v>5</v>
      </c>
      <c r="L339">
        <f t="shared" si="70"/>
        <v>18</v>
      </c>
      <c r="M339" s="3">
        <f t="shared" ca="1" si="71"/>
        <v>46100</v>
      </c>
      <c r="N339">
        <f t="shared" ca="1" si="72"/>
        <v>5784</v>
      </c>
      <c r="O339">
        <f t="shared" ca="1" si="73"/>
        <v>5784</v>
      </c>
      <c r="P339">
        <f t="shared" ca="1" si="74"/>
        <v>4133</v>
      </c>
      <c r="Q339">
        <v>59</v>
      </c>
      <c r="R339" t="str">
        <f t="shared" si="75"/>
        <v>Old</v>
      </c>
      <c r="S339" t="s">
        <v>24</v>
      </c>
      <c r="T339">
        <v>9</v>
      </c>
      <c r="U339" t="s">
        <v>25</v>
      </c>
      <c r="V339">
        <v>1029.3399999999999</v>
      </c>
      <c r="W339" t="s">
        <v>58</v>
      </c>
      <c r="X339" t="s">
        <v>55</v>
      </c>
      <c r="Y339">
        <v>7</v>
      </c>
      <c r="Z339" t="str">
        <f t="shared" si="76"/>
        <v>Bad Employee</v>
      </c>
      <c r="AA339" t="b">
        <f t="shared" si="77"/>
        <v>0</v>
      </c>
      <c r="AB339" t="b">
        <f>OR(Y339&gt;20, T339&gt;6)</f>
        <v>1</v>
      </c>
      <c r="AC339" t="str">
        <f>IF(OR(Y339&gt;20,T339&gt;6), "Good employee", "Bad Employee")</f>
        <v>Good employee</v>
      </c>
      <c r="AD339" t="s">
        <v>41</v>
      </c>
      <c r="AE339" t="s">
        <v>29</v>
      </c>
      <c r="AF339">
        <v>8</v>
      </c>
      <c r="AG339">
        <v>2020</v>
      </c>
      <c r="AH339" t="s">
        <v>49</v>
      </c>
      <c r="AI339">
        <v>36</v>
      </c>
      <c r="AJ339">
        <v>2.1</v>
      </c>
    </row>
    <row r="340" spans="1:36" x14ac:dyDescent="0.25">
      <c r="A340">
        <v>10339</v>
      </c>
      <c r="B340" t="s">
        <v>31</v>
      </c>
      <c r="C340" t="s">
        <v>51</v>
      </c>
      <c r="D340" t="s">
        <v>52</v>
      </c>
      <c r="E340" t="str">
        <f t="shared" si="65"/>
        <v>Emily Brown is in Operations Department</v>
      </c>
      <c r="F340" s="6" t="str">
        <f t="shared" si="66"/>
        <v>emilybrown@gmail.com</v>
      </c>
      <c r="G340">
        <v>80355</v>
      </c>
      <c r="H340" t="str">
        <f t="shared" si="67"/>
        <v>High</v>
      </c>
      <c r="I340" s="3">
        <v>43615</v>
      </c>
      <c r="J340">
        <f t="shared" si="68"/>
        <v>2019</v>
      </c>
      <c r="K340">
        <f t="shared" si="69"/>
        <v>5</v>
      </c>
      <c r="L340">
        <f t="shared" si="70"/>
        <v>30</v>
      </c>
      <c r="M340" s="3">
        <f t="shared" ca="1" si="71"/>
        <v>46100</v>
      </c>
      <c r="N340">
        <f t="shared" ca="1" si="72"/>
        <v>2485</v>
      </c>
      <c r="O340">
        <f t="shared" ca="1" si="73"/>
        <v>2485</v>
      </c>
      <c r="P340">
        <f t="shared" ca="1" si="74"/>
        <v>1776</v>
      </c>
      <c r="Q340">
        <v>56</v>
      </c>
      <c r="R340" t="str">
        <f t="shared" si="75"/>
        <v>Old</v>
      </c>
      <c r="S340" t="s">
        <v>34</v>
      </c>
      <c r="T340">
        <v>9</v>
      </c>
      <c r="U340" t="s">
        <v>45</v>
      </c>
      <c r="V340">
        <v>2453.4699999999998</v>
      </c>
      <c r="W340" t="s">
        <v>58</v>
      </c>
      <c r="X340" t="s">
        <v>36</v>
      </c>
      <c r="Y340">
        <v>22</v>
      </c>
      <c r="Z340" t="str">
        <f t="shared" si="76"/>
        <v>Good Employee</v>
      </c>
      <c r="AA340" t="b">
        <f t="shared" si="77"/>
        <v>1</v>
      </c>
      <c r="AB340" t="b">
        <f>OR(Y340&gt;20, T340&gt;6)</f>
        <v>1</v>
      </c>
      <c r="AC340" t="str">
        <f>IF(OR(Y340&gt;20,T340&gt;6), "Good employee", "Bad Employee")</f>
        <v>Good employee</v>
      </c>
      <c r="AD340" t="s">
        <v>41</v>
      </c>
      <c r="AE340" t="s">
        <v>59</v>
      </c>
      <c r="AF340">
        <v>3</v>
      </c>
      <c r="AG340">
        <v>2011</v>
      </c>
      <c r="AH340" t="s">
        <v>30</v>
      </c>
      <c r="AI340">
        <v>198</v>
      </c>
      <c r="AJ340">
        <v>4.5</v>
      </c>
    </row>
    <row r="341" spans="1:36" x14ac:dyDescent="0.25">
      <c r="A341">
        <v>10340</v>
      </c>
      <c r="B341" t="s">
        <v>31</v>
      </c>
      <c r="C341" t="s">
        <v>65</v>
      </c>
      <c r="D341" t="s">
        <v>54</v>
      </c>
      <c r="E341" t="str">
        <f t="shared" si="65"/>
        <v>Emily Johnson is in Finance Department</v>
      </c>
      <c r="F341" s="6" t="str">
        <f t="shared" si="66"/>
        <v>emilyjohnson@gmail.com</v>
      </c>
      <c r="G341">
        <v>74732</v>
      </c>
      <c r="H341" t="str">
        <f t="shared" si="67"/>
        <v>Medium</v>
      </c>
      <c r="I341" s="3">
        <v>41876</v>
      </c>
      <c r="J341">
        <f t="shared" si="68"/>
        <v>2014</v>
      </c>
      <c r="K341">
        <f t="shared" si="69"/>
        <v>8</v>
      </c>
      <c r="L341">
        <f t="shared" si="70"/>
        <v>25</v>
      </c>
      <c r="M341" s="3">
        <f t="shared" ca="1" si="71"/>
        <v>46100</v>
      </c>
      <c r="N341">
        <f t="shared" ca="1" si="72"/>
        <v>4224</v>
      </c>
      <c r="O341">
        <f t="shared" ca="1" si="73"/>
        <v>4224</v>
      </c>
      <c r="P341">
        <f t="shared" ca="1" si="74"/>
        <v>3019</v>
      </c>
      <c r="Q341">
        <v>44</v>
      </c>
      <c r="R341" t="str">
        <f t="shared" si="75"/>
        <v>Old</v>
      </c>
      <c r="S341" t="s">
        <v>34</v>
      </c>
      <c r="T341">
        <v>9</v>
      </c>
      <c r="U341" t="s">
        <v>25</v>
      </c>
      <c r="V341">
        <v>5672.31</v>
      </c>
      <c r="W341" t="s">
        <v>35</v>
      </c>
      <c r="X341" t="s">
        <v>47</v>
      </c>
      <c r="Y341">
        <v>23</v>
      </c>
      <c r="Z341" t="str">
        <f t="shared" si="76"/>
        <v>Good Employee</v>
      </c>
      <c r="AA341" t="b">
        <f t="shared" si="77"/>
        <v>1</v>
      </c>
      <c r="AB341" t="b">
        <f>OR(Y341&gt;20, T341&gt;6)</f>
        <v>1</v>
      </c>
      <c r="AC341" t="str">
        <f>IF(OR(Y341&gt;20,T341&gt;6), "Good employee", "Bad Employee")</f>
        <v>Good employee</v>
      </c>
      <c r="AD341" t="s">
        <v>41</v>
      </c>
      <c r="AE341" t="s">
        <v>42</v>
      </c>
      <c r="AF341">
        <v>19</v>
      </c>
      <c r="AG341">
        <v>2023</v>
      </c>
      <c r="AH341" t="s">
        <v>43</v>
      </c>
      <c r="AI341">
        <v>64</v>
      </c>
      <c r="AJ341">
        <v>1.6</v>
      </c>
    </row>
    <row r="342" spans="1:36" x14ac:dyDescent="0.25">
      <c r="A342">
        <v>10341</v>
      </c>
      <c r="B342" t="s">
        <v>50</v>
      </c>
      <c r="C342" t="s">
        <v>51</v>
      </c>
      <c r="D342" t="s">
        <v>52</v>
      </c>
      <c r="E342" t="str">
        <f t="shared" si="65"/>
        <v>Alex Brown is in Operations Department</v>
      </c>
      <c r="F342" s="6" t="str">
        <f t="shared" si="66"/>
        <v>alexbrown@gmail.com</v>
      </c>
      <c r="G342">
        <v>38711</v>
      </c>
      <c r="H342" t="str">
        <f t="shared" si="67"/>
        <v>extremely low</v>
      </c>
      <c r="I342" s="3">
        <v>37059</v>
      </c>
      <c r="J342">
        <f t="shared" si="68"/>
        <v>2001</v>
      </c>
      <c r="K342">
        <f t="shared" si="69"/>
        <v>6</v>
      </c>
      <c r="L342">
        <f t="shared" si="70"/>
        <v>17</v>
      </c>
      <c r="M342" s="3">
        <f t="shared" ca="1" si="71"/>
        <v>46100</v>
      </c>
      <c r="N342">
        <f t="shared" ca="1" si="72"/>
        <v>9041</v>
      </c>
      <c r="O342">
        <f t="shared" ca="1" si="73"/>
        <v>9041</v>
      </c>
      <c r="P342">
        <f t="shared" ca="1" si="74"/>
        <v>6459</v>
      </c>
      <c r="Q342">
        <v>25</v>
      </c>
      <c r="R342" t="str">
        <f t="shared" si="75"/>
        <v>Young</v>
      </c>
      <c r="S342" t="s">
        <v>24</v>
      </c>
      <c r="T342">
        <v>3</v>
      </c>
      <c r="U342" t="s">
        <v>45</v>
      </c>
      <c r="V342">
        <v>2194.59</v>
      </c>
      <c r="W342" t="s">
        <v>58</v>
      </c>
      <c r="X342" t="s">
        <v>36</v>
      </c>
      <c r="Y342">
        <v>12</v>
      </c>
      <c r="Z342" t="str">
        <f t="shared" si="76"/>
        <v>Bad Employee</v>
      </c>
      <c r="AA342" t="b">
        <f t="shared" si="77"/>
        <v>0</v>
      </c>
      <c r="AB342" t="b">
        <f>OR(Y342&gt;20, T342&gt;6)</f>
        <v>0</v>
      </c>
      <c r="AC342" t="str">
        <f>IF(OR(Y342&gt;20,T342&gt;6), "Good employee", "Bad Employee")</f>
        <v>Bad Employee</v>
      </c>
      <c r="AD342" t="s">
        <v>56</v>
      </c>
      <c r="AE342" t="s">
        <v>42</v>
      </c>
      <c r="AF342">
        <v>10</v>
      </c>
      <c r="AG342">
        <v>2016</v>
      </c>
      <c r="AH342" t="s">
        <v>30</v>
      </c>
      <c r="AI342">
        <v>15</v>
      </c>
      <c r="AJ342">
        <v>2</v>
      </c>
    </row>
    <row r="343" spans="1:36" x14ac:dyDescent="0.25">
      <c r="A343">
        <v>10342</v>
      </c>
      <c r="B343" t="s">
        <v>31</v>
      </c>
      <c r="C343" t="s">
        <v>65</v>
      </c>
      <c r="D343" t="s">
        <v>23</v>
      </c>
      <c r="E343" t="str">
        <f t="shared" si="65"/>
        <v>Emily Johnson is in HR Department</v>
      </c>
      <c r="F343" s="6" t="str">
        <f t="shared" si="66"/>
        <v>emilyjohnson@gmail.com</v>
      </c>
      <c r="G343">
        <v>93079</v>
      </c>
      <c r="H343" t="str">
        <f t="shared" si="67"/>
        <v>High</v>
      </c>
      <c r="I343" s="3">
        <v>36927</v>
      </c>
      <c r="J343">
        <f t="shared" si="68"/>
        <v>2001</v>
      </c>
      <c r="K343">
        <f t="shared" si="69"/>
        <v>2</v>
      </c>
      <c r="L343">
        <f t="shared" si="70"/>
        <v>5</v>
      </c>
      <c r="M343" s="3">
        <f t="shared" ca="1" si="71"/>
        <v>46100</v>
      </c>
      <c r="N343">
        <f t="shared" ca="1" si="72"/>
        <v>9173</v>
      </c>
      <c r="O343">
        <f t="shared" ca="1" si="73"/>
        <v>9173</v>
      </c>
      <c r="P343">
        <f t="shared" ca="1" si="74"/>
        <v>6554</v>
      </c>
      <c r="Q343">
        <v>63</v>
      </c>
      <c r="R343" t="str">
        <f t="shared" si="75"/>
        <v>Old</v>
      </c>
      <c r="S343" t="s">
        <v>34</v>
      </c>
      <c r="T343">
        <v>8</v>
      </c>
      <c r="U343" t="s">
        <v>45</v>
      </c>
      <c r="V343">
        <v>8420.99</v>
      </c>
      <c r="W343" t="s">
        <v>58</v>
      </c>
      <c r="X343" t="s">
        <v>47</v>
      </c>
      <c r="Y343">
        <v>39</v>
      </c>
      <c r="Z343" t="str">
        <f t="shared" si="76"/>
        <v>Good Employee</v>
      </c>
      <c r="AA343" t="b">
        <f t="shared" si="77"/>
        <v>1</v>
      </c>
      <c r="AB343" t="b">
        <f>OR(Y343&gt;20, T343&gt;6)</f>
        <v>1</v>
      </c>
      <c r="AC343" t="str">
        <f>IF(OR(Y343&gt;20,T343&gt;6), "Good employee", "Bad Employee")</f>
        <v>Good employee</v>
      </c>
      <c r="AD343" t="s">
        <v>28</v>
      </c>
      <c r="AE343" t="s">
        <v>48</v>
      </c>
      <c r="AF343">
        <v>16</v>
      </c>
      <c r="AG343">
        <v>2021</v>
      </c>
      <c r="AH343" t="s">
        <v>49</v>
      </c>
      <c r="AI343">
        <v>24</v>
      </c>
      <c r="AJ343">
        <v>1.6</v>
      </c>
    </row>
    <row r="344" spans="1:36" x14ac:dyDescent="0.25">
      <c r="A344">
        <v>10343</v>
      </c>
      <c r="B344" t="s">
        <v>50</v>
      </c>
      <c r="C344" t="s">
        <v>63</v>
      </c>
      <c r="D344" t="s">
        <v>54</v>
      </c>
      <c r="E344" t="str">
        <f t="shared" si="65"/>
        <v>Alex Miller is in Finance Department</v>
      </c>
      <c r="F344" s="6" t="str">
        <f t="shared" si="66"/>
        <v>alexmiller@gmail.com</v>
      </c>
      <c r="G344">
        <v>37904</v>
      </c>
      <c r="H344" t="str">
        <f t="shared" si="67"/>
        <v>extremely low</v>
      </c>
      <c r="I344" s="3">
        <v>40189</v>
      </c>
      <c r="J344">
        <f t="shared" si="68"/>
        <v>2010</v>
      </c>
      <c r="K344">
        <f t="shared" si="69"/>
        <v>1</v>
      </c>
      <c r="L344">
        <f t="shared" si="70"/>
        <v>11</v>
      </c>
      <c r="M344" s="3">
        <f t="shared" ca="1" si="71"/>
        <v>46100</v>
      </c>
      <c r="N344">
        <f t="shared" ca="1" si="72"/>
        <v>5911</v>
      </c>
      <c r="O344">
        <f t="shared" ca="1" si="73"/>
        <v>5911</v>
      </c>
      <c r="P344">
        <f t="shared" ca="1" si="74"/>
        <v>4224</v>
      </c>
      <c r="Q344">
        <v>35</v>
      </c>
      <c r="R344" t="str">
        <f t="shared" si="75"/>
        <v>Old</v>
      </c>
      <c r="S344" t="s">
        <v>24</v>
      </c>
      <c r="T344">
        <v>3</v>
      </c>
      <c r="U344" t="s">
        <v>25</v>
      </c>
      <c r="V344">
        <v>7883.02</v>
      </c>
      <c r="W344" t="s">
        <v>26</v>
      </c>
      <c r="X344" t="s">
        <v>47</v>
      </c>
      <c r="Y344">
        <v>13</v>
      </c>
      <c r="Z344" t="str">
        <f t="shared" si="76"/>
        <v>Bad Employee</v>
      </c>
      <c r="AA344" t="b">
        <f t="shared" si="77"/>
        <v>0</v>
      </c>
      <c r="AB344" t="b">
        <f>OR(Y344&gt;20, T344&gt;6)</f>
        <v>0</v>
      </c>
      <c r="AC344" t="str">
        <f>IF(OR(Y344&gt;20,T344&gt;6), "Good employee", "Bad Employee")</f>
        <v>Bad Employee</v>
      </c>
      <c r="AD344" t="s">
        <v>28</v>
      </c>
      <c r="AE344" t="s">
        <v>37</v>
      </c>
      <c r="AF344">
        <v>13</v>
      </c>
      <c r="AG344">
        <v>2010</v>
      </c>
      <c r="AH344" t="s">
        <v>49</v>
      </c>
      <c r="AI344">
        <v>27</v>
      </c>
      <c r="AJ344">
        <v>1.5</v>
      </c>
    </row>
    <row r="345" spans="1:36" x14ac:dyDescent="0.25">
      <c r="A345">
        <v>10344</v>
      </c>
      <c r="B345" t="s">
        <v>60</v>
      </c>
      <c r="C345" t="s">
        <v>61</v>
      </c>
      <c r="D345" t="s">
        <v>54</v>
      </c>
      <c r="E345" t="str">
        <f t="shared" si="65"/>
        <v>Jane Smith is in Finance Department</v>
      </c>
      <c r="F345" s="6" t="str">
        <f t="shared" si="66"/>
        <v>janesmith@gmail.com</v>
      </c>
      <c r="G345">
        <v>94033</v>
      </c>
      <c r="H345" t="str">
        <f t="shared" si="67"/>
        <v>High</v>
      </c>
      <c r="I345" s="3">
        <v>36655</v>
      </c>
      <c r="J345">
        <f t="shared" si="68"/>
        <v>2000</v>
      </c>
      <c r="K345">
        <f t="shared" si="69"/>
        <v>5</v>
      </c>
      <c r="L345">
        <f t="shared" si="70"/>
        <v>9</v>
      </c>
      <c r="M345" s="3">
        <f t="shared" ca="1" si="71"/>
        <v>46100</v>
      </c>
      <c r="N345">
        <f t="shared" ca="1" si="72"/>
        <v>9445</v>
      </c>
      <c r="O345">
        <f t="shared" ca="1" si="73"/>
        <v>9445</v>
      </c>
      <c r="P345">
        <f t="shared" ca="1" si="74"/>
        <v>6748</v>
      </c>
      <c r="Q345">
        <v>60</v>
      </c>
      <c r="R345" t="str">
        <f t="shared" si="75"/>
        <v>Old</v>
      </c>
      <c r="S345" t="s">
        <v>24</v>
      </c>
      <c r="T345">
        <v>6</v>
      </c>
      <c r="U345" t="s">
        <v>45</v>
      </c>
      <c r="V345">
        <v>7679.81</v>
      </c>
      <c r="W345" t="s">
        <v>46</v>
      </c>
      <c r="X345" t="s">
        <v>40</v>
      </c>
      <c r="Y345">
        <v>13</v>
      </c>
      <c r="Z345" t="str">
        <f t="shared" si="76"/>
        <v>Bad Employee</v>
      </c>
      <c r="AA345" t="b">
        <f t="shared" si="77"/>
        <v>0</v>
      </c>
      <c r="AB345" t="b">
        <f>OR(Y345&gt;20, T345&gt;6)</f>
        <v>0</v>
      </c>
      <c r="AC345" t="str">
        <f>IF(OR(Y345&gt;20,T345&gt;6), "Good employee", "Bad Employee")</f>
        <v>Bad Employee</v>
      </c>
      <c r="AD345" t="s">
        <v>41</v>
      </c>
      <c r="AE345" t="s">
        <v>29</v>
      </c>
      <c r="AF345">
        <v>9</v>
      </c>
      <c r="AG345">
        <v>2021</v>
      </c>
      <c r="AH345" t="s">
        <v>43</v>
      </c>
      <c r="AI345">
        <v>131</v>
      </c>
      <c r="AJ345">
        <v>4.5</v>
      </c>
    </row>
    <row r="346" spans="1:36" x14ac:dyDescent="0.25">
      <c r="A346">
        <v>10345</v>
      </c>
      <c r="B346" t="s">
        <v>50</v>
      </c>
      <c r="C346" t="s">
        <v>51</v>
      </c>
      <c r="D346" t="s">
        <v>33</v>
      </c>
      <c r="E346" t="str">
        <f t="shared" si="65"/>
        <v>Alex Brown is in Marketing Department</v>
      </c>
      <c r="F346" s="6" t="str">
        <f t="shared" si="66"/>
        <v>alexbrown@gmail.com</v>
      </c>
      <c r="G346">
        <v>116478</v>
      </c>
      <c r="H346" t="str">
        <f t="shared" si="67"/>
        <v>High</v>
      </c>
      <c r="I346" s="3">
        <v>38865</v>
      </c>
      <c r="J346">
        <f t="shared" si="68"/>
        <v>2006</v>
      </c>
      <c r="K346">
        <f t="shared" si="69"/>
        <v>5</v>
      </c>
      <c r="L346">
        <f t="shared" si="70"/>
        <v>28</v>
      </c>
      <c r="M346" s="3">
        <f t="shared" ca="1" si="71"/>
        <v>46100</v>
      </c>
      <c r="N346">
        <f t="shared" ca="1" si="72"/>
        <v>7235</v>
      </c>
      <c r="O346">
        <f t="shared" ca="1" si="73"/>
        <v>7235</v>
      </c>
      <c r="P346">
        <f t="shared" ca="1" si="74"/>
        <v>5169</v>
      </c>
      <c r="Q346">
        <v>28</v>
      </c>
      <c r="R346" t="str">
        <f t="shared" si="75"/>
        <v>Young</v>
      </c>
      <c r="S346" t="s">
        <v>34</v>
      </c>
      <c r="T346">
        <v>5</v>
      </c>
      <c r="U346" t="s">
        <v>25</v>
      </c>
      <c r="V346">
        <v>8253.2099999999991</v>
      </c>
      <c r="W346" t="s">
        <v>46</v>
      </c>
      <c r="X346" t="s">
        <v>36</v>
      </c>
      <c r="Y346">
        <v>33</v>
      </c>
      <c r="Z346" t="str">
        <f t="shared" si="76"/>
        <v>Bad Employee</v>
      </c>
      <c r="AA346" t="b">
        <f t="shared" si="77"/>
        <v>0</v>
      </c>
      <c r="AB346" t="b">
        <f>OR(Y346&gt;20, T346&gt;6)</f>
        <v>1</v>
      </c>
      <c r="AC346" t="str">
        <f>IF(OR(Y346&gt;20,T346&gt;6), "Good employee", "Bad Employee")</f>
        <v>Good employee</v>
      </c>
      <c r="AD346" t="s">
        <v>56</v>
      </c>
      <c r="AE346" t="s">
        <v>29</v>
      </c>
      <c r="AF346">
        <v>4</v>
      </c>
      <c r="AG346">
        <v>2023</v>
      </c>
      <c r="AH346" t="s">
        <v>49</v>
      </c>
      <c r="AI346">
        <v>81</v>
      </c>
      <c r="AJ346">
        <v>2.1</v>
      </c>
    </row>
    <row r="347" spans="1:36" x14ac:dyDescent="0.25">
      <c r="A347">
        <v>10346</v>
      </c>
      <c r="B347" t="s">
        <v>21</v>
      </c>
      <c r="C347" t="s">
        <v>32</v>
      </c>
      <c r="D347" t="s">
        <v>44</v>
      </c>
      <c r="E347" t="str">
        <f t="shared" si="65"/>
        <v>Michael Wilson is in Sales Department</v>
      </c>
      <c r="F347" s="6" t="str">
        <f t="shared" si="66"/>
        <v>michaelwilson@gmail.com</v>
      </c>
      <c r="G347">
        <v>119787</v>
      </c>
      <c r="H347" t="str">
        <f t="shared" si="67"/>
        <v>High</v>
      </c>
      <c r="I347" s="3">
        <v>40897</v>
      </c>
      <c r="J347">
        <f t="shared" si="68"/>
        <v>2011</v>
      </c>
      <c r="K347">
        <f t="shared" si="69"/>
        <v>12</v>
      </c>
      <c r="L347">
        <f t="shared" si="70"/>
        <v>20</v>
      </c>
      <c r="M347" s="3">
        <f t="shared" ca="1" si="71"/>
        <v>46100</v>
      </c>
      <c r="N347">
        <f t="shared" ca="1" si="72"/>
        <v>5203</v>
      </c>
      <c r="O347">
        <f t="shared" ca="1" si="73"/>
        <v>5203</v>
      </c>
      <c r="P347">
        <f t="shared" ca="1" si="74"/>
        <v>3718</v>
      </c>
      <c r="Q347">
        <v>29</v>
      </c>
      <c r="R347" t="str">
        <f t="shared" si="75"/>
        <v>Young</v>
      </c>
      <c r="S347" t="s">
        <v>24</v>
      </c>
      <c r="T347">
        <v>8</v>
      </c>
      <c r="U347" t="s">
        <v>45</v>
      </c>
      <c r="V347">
        <v>2587.17</v>
      </c>
      <c r="W347" t="s">
        <v>35</v>
      </c>
      <c r="X347" t="s">
        <v>47</v>
      </c>
      <c r="Y347">
        <v>31</v>
      </c>
      <c r="Z347" t="str">
        <f t="shared" si="76"/>
        <v>Good Employee</v>
      </c>
      <c r="AA347" t="b">
        <f t="shared" si="77"/>
        <v>1</v>
      </c>
      <c r="AB347" t="b">
        <f>OR(Y347&gt;20, T347&gt;6)</f>
        <v>1</v>
      </c>
      <c r="AC347" t="str">
        <f>IF(OR(Y347&gt;20,T347&gt;6), "Good employee", "Bad Employee")</f>
        <v>Good employee</v>
      </c>
      <c r="AD347" t="s">
        <v>56</v>
      </c>
      <c r="AE347" t="s">
        <v>62</v>
      </c>
      <c r="AF347">
        <v>16</v>
      </c>
      <c r="AG347">
        <v>2011</v>
      </c>
      <c r="AH347" t="s">
        <v>43</v>
      </c>
      <c r="AI347">
        <v>39</v>
      </c>
      <c r="AJ347">
        <v>3.9</v>
      </c>
    </row>
    <row r="348" spans="1:36" x14ac:dyDescent="0.25">
      <c r="A348">
        <v>10347</v>
      </c>
      <c r="B348" t="s">
        <v>50</v>
      </c>
      <c r="C348" t="s">
        <v>51</v>
      </c>
      <c r="D348" t="s">
        <v>52</v>
      </c>
      <c r="E348" t="str">
        <f t="shared" si="65"/>
        <v>Alex Brown is in Operations Department</v>
      </c>
      <c r="F348" s="6" t="str">
        <f t="shared" si="66"/>
        <v>alexbrown@gmail.com</v>
      </c>
      <c r="G348">
        <v>85096</v>
      </c>
      <c r="H348" t="str">
        <f t="shared" si="67"/>
        <v>High</v>
      </c>
      <c r="I348" s="3">
        <v>39485</v>
      </c>
      <c r="J348">
        <f t="shared" si="68"/>
        <v>2008</v>
      </c>
      <c r="K348">
        <f t="shared" si="69"/>
        <v>2</v>
      </c>
      <c r="L348">
        <f t="shared" si="70"/>
        <v>7</v>
      </c>
      <c r="M348" s="3">
        <f t="shared" ca="1" si="71"/>
        <v>46100</v>
      </c>
      <c r="N348">
        <f t="shared" ca="1" si="72"/>
        <v>6615</v>
      </c>
      <c r="O348">
        <f t="shared" ca="1" si="73"/>
        <v>6615</v>
      </c>
      <c r="P348">
        <f t="shared" ca="1" si="74"/>
        <v>4726</v>
      </c>
      <c r="Q348">
        <v>63</v>
      </c>
      <c r="R348" t="str">
        <f t="shared" si="75"/>
        <v>Old</v>
      </c>
      <c r="S348" t="s">
        <v>24</v>
      </c>
      <c r="T348">
        <v>3</v>
      </c>
      <c r="U348" t="s">
        <v>25</v>
      </c>
      <c r="V348">
        <v>7424.48</v>
      </c>
      <c r="W348" t="s">
        <v>58</v>
      </c>
      <c r="X348" t="s">
        <v>47</v>
      </c>
      <c r="Y348">
        <v>28</v>
      </c>
      <c r="Z348" t="str">
        <f t="shared" si="76"/>
        <v>Bad Employee</v>
      </c>
      <c r="AA348" t="b">
        <f t="shared" si="77"/>
        <v>0</v>
      </c>
      <c r="AB348" t="b">
        <f>OR(Y348&gt;20, T348&gt;6)</f>
        <v>1</v>
      </c>
      <c r="AC348" t="str">
        <f>IF(OR(Y348&gt;20,T348&gt;6), "Good employee", "Bad Employee")</f>
        <v>Good employee</v>
      </c>
      <c r="AD348" t="s">
        <v>28</v>
      </c>
      <c r="AE348" t="s">
        <v>29</v>
      </c>
      <c r="AF348">
        <v>15</v>
      </c>
      <c r="AG348">
        <v>2014</v>
      </c>
      <c r="AH348" t="s">
        <v>30</v>
      </c>
      <c r="AI348">
        <v>149</v>
      </c>
      <c r="AJ348">
        <v>2.7</v>
      </c>
    </row>
    <row r="349" spans="1:36" x14ac:dyDescent="0.25">
      <c r="A349">
        <v>10348</v>
      </c>
      <c r="B349" t="s">
        <v>31</v>
      </c>
      <c r="C349" t="s">
        <v>32</v>
      </c>
      <c r="D349" t="s">
        <v>54</v>
      </c>
      <c r="E349" t="str">
        <f t="shared" si="65"/>
        <v>Emily Wilson is in Finance Department</v>
      </c>
      <c r="F349" s="6" t="str">
        <f t="shared" si="66"/>
        <v>emilywilson@gmail.com</v>
      </c>
      <c r="G349">
        <v>33093</v>
      </c>
      <c r="H349" t="str">
        <f t="shared" si="67"/>
        <v>extremely low</v>
      </c>
      <c r="I349" s="3">
        <v>38384</v>
      </c>
      <c r="J349">
        <f t="shared" si="68"/>
        <v>2005</v>
      </c>
      <c r="K349">
        <f t="shared" si="69"/>
        <v>2</v>
      </c>
      <c r="L349">
        <f t="shared" si="70"/>
        <v>1</v>
      </c>
      <c r="M349" s="3">
        <f t="shared" ca="1" si="71"/>
        <v>46100</v>
      </c>
      <c r="N349">
        <f t="shared" ca="1" si="72"/>
        <v>7716</v>
      </c>
      <c r="O349">
        <f t="shared" ca="1" si="73"/>
        <v>7716</v>
      </c>
      <c r="P349">
        <f t="shared" ca="1" si="74"/>
        <v>5513</v>
      </c>
      <c r="Q349">
        <v>40</v>
      </c>
      <c r="R349" t="str">
        <f t="shared" si="75"/>
        <v>Old</v>
      </c>
      <c r="S349" t="s">
        <v>34</v>
      </c>
      <c r="T349">
        <v>1</v>
      </c>
      <c r="U349" t="s">
        <v>45</v>
      </c>
      <c r="V349">
        <v>3875.17</v>
      </c>
      <c r="W349" t="s">
        <v>35</v>
      </c>
      <c r="X349" t="s">
        <v>55</v>
      </c>
      <c r="Y349">
        <v>19</v>
      </c>
      <c r="Z349" t="str">
        <f t="shared" si="76"/>
        <v>Bad Employee</v>
      </c>
      <c r="AA349" t="b">
        <f t="shared" si="77"/>
        <v>0</v>
      </c>
      <c r="AB349" t="b">
        <f>OR(Y349&gt;20, T349&gt;6)</f>
        <v>0</v>
      </c>
      <c r="AC349" t="str">
        <f>IF(OR(Y349&gt;20,T349&gt;6), "Good employee", "Bad Employee")</f>
        <v>Bad Employee</v>
      </c>
      <c r="AD349" t="s">
        <v>28</v>
      </c>
      <c r="AE349" t="s">
        <v>48</v>
      </c>
      <c r="AF349">
        <v>0</v>
      </c>
      <c r="AG349">
        <v>2017</v>
      </c>
      <c r="AH349" t="s">
        <v>43</v>
      </c>
      <c r="AI349">
        <v>14</v>
      </c>
      <c r="AJ349">
        <v>3.5</v>
      </c>
    </row>
    <row r="350" spans="1:36" x14ac:dyDescent="0.25">
      <c r="A350">
        <v>10349</v>
      </c>
      <c r="B350" t="s">
        <v>53</v>
      </c>
      <c r="C350" t="s">
        <v>61</v>
      </c>
      <c r="D350" t="s">
        <v>54</v>
      </c>
      <c r="E350" t="str">
        <f t="shared" si="65"/>
        <v>Sarah Smith is in Finance Department</v>
      </c>
      <c r="F350" s="6" t="str">
        <f t="shared" si="66"/>
        <v>sarahsmith@gmail.com</v>
      </c>
      <c r="G350">
        <v>54918</v>
      </c>
      <c r="H350" t="str">
        <f t="shared" si="67"/>
        <v>Medium</v>
      </c>
      <c r="I350" s="3">
        <v>39499</v>
      </c>
      <c r="J350">
        <f t="shared" si="68"/>
        <v>2008</v>
      </c>
      <c r="K350">
        <f t="shared" si="69"/>
        <v>2</v>
      </c>
      <c r="L350">
        <f t="shared" si="70"/>
        <v>21</v>
      </c>
      <c r="M350" s="3">
        <f t="shared" ca="1" si="71"/>
        <v>46100</v>
      </c>
      <c r="N350">
        <f t="shared" ca="1" si="72"/>
        <v>6601</v>
      </c>
      <c r="O350">
        <f t="shared" ca="1" si="73"/>
        <v>6601</v>
      </c>
      <c r="P350">
        <f t="shared" ca="1" si="74"/>
        <v>4716</v>
      </c>
      <c r="Q350">
        <v>23</v>
      </c>
      <c r="R350" t="str">
        <f t="shared" si="75"/>
        <v>Young</v>
      </c>
      <c r="S350" t="s">
        <v>24</v>
      </c>
      <c r="T350">
        <v>9</v>
      </c>
      <c r="U350" t="s">
        <v>45</v>
      </c>
      <c r="V350">
        <v>6835.03</v>
      </c>
      <c r="W350" t="s">
        <v>35</v>
      </c>
      <c r="X350" t="s">
        <v>40</v>
      </c>
      <c r="Y350">
        <v>21</v>
      </c>
      <c r="Z350" t="str">
        <f t="shared" si="76"/>
        <v>Good Employee</v>
      </c>
      <c r="AA350" t="b">
        <f t="shared" si="77"/>
        <v>1</v>
      </c>
      <c r="AB350" t="b">
        <f>OR(Y350&gt;20, T350&gt;6)</f>
        <v>1</v>
      </c>
      <c r="AC350" t="str">
        <f>IF(OR(Y350&gt;20,T350&gt;6), "Good employee", "Bad Employee")</f>
        <v>Good employee</v>
      </c>
      <c r="AD350" t="s">
        <v>56</v>
      </c>
      <c r="AE350" t="s">
        <v>48</v>
      </c>
      <c r="AF350">
        <v>9</v>
      </c>
      <c r="AG350">
        <v>2021</v>
      </c>
      <c r="AH350" t="s">
        <v>49</v>
      </c>
      <c r="AI350">
        <v>42</v>
      </c>
      <c r="AJ350">
        <v>4.7</v>
      </c>
    </row>
    <row r="351" spans="1:36" x14ac:dyDescent="0.25">
      <c r="A351">
        <v>10350</v>
      </c>
      <c r="B351" t="s">
        <v>21</v>
      </c>
      <c r="C351" t="s">
        <v>51</v>
      </c>
      <c r="D351" t="s">
        <v>33</v>
      </c>
      <c r="E351" t="str">
        <f t="shared" si="65"/>
        <v>Michael Brown is in Marketing Department</v>
      </c>
      <c r="F351" s="6" t="str">
        <f t="shared" si="66"/>
        <v>michaelbrown@gmail.com</v>
      </c>
      <c r="G351">
        <v>102743</v>
      </c>
      <c r="H351" t="str">
        <f t="shared" si="67"/>
        <v>High</v>
      </c>
      <c r="I351" s="3">
        <v>40676</v>
      </c>
      <c r="J351">
        <f t="shared" si="68"/>
        <v>2011</v>
      </c>
      <c r="K351">
        <f t="shared" si="69"/>
        <v>5</v>
      </c>
      <c r="L351">
        <f t="shared" si="70"/>
        <v>13</v>
      </c>
      <c r="M351" s="3">
        <f t="shared" ca="1" si="71"/>
        <v>46100</v>
      </c>
      <c r="N351">
        <f t="shared" ca="1" si="72"/>
        <v>5424</v>
      </c>
      <c r="O351">
        <f t="shared" ca="1" si="73"/>
        <v>5424</v>
      </c>
      <c r="P351">
        <f t="shared" ca="1" si="74"/>
        <v>3875</v>
      </c>
      <c r="Q351">
        <v>22</v>
      </c>
      <c r="R351" t="str">
        <f t="shared" si="75"/>
        <v>Young</v>
      </c>
      <c r="S351" t="s">
        <v>24</v>
      </c>
      <c r="T351">
        <v>9</v>
      </c>
      <c r="U351" t="s">
        <v>45</v>
      </c>
      <c r="V351">
        <v>1659.21</v>
      </c>
      <c r="W351" t="s">
        <v>46</v>
      </c>
      <c r="X351" t="s">
        <v>55</v>
      </c>
      <c r="Y351">
        <v>32</v>
      </c>
      <c r="Z351" t="str">
        <f t="shared" si="76"/>
        <v>Good Employee</v>
      </c>
      <c r="AA351" t="b">
        <f t="shared" si="77"/>
        <v>1</v>
      </c>
      <c r="AB351" t="b">
        <f>OR(Y351&gt;20, T351&gt;6)</f>
        <v>1</v>
      </c>
      <c r="AC351" t="str">
        <f>IF(OR(Y351&gt;20,T351&gt;6), "Good employee", "Bad Employee")</f>
        <v>Good employee</v>
      </c>
      <c r="AD351" t="s">
        <v>28</v>
      </c>
      <c r="AE351" t="s">
        <v>59</v>
      </c>
      <c r="AF351">
        <v>11</v>
      </c>
      <c r="AG351">
        <v>2016</v>
      </c>
      <c r="AH351" t="s">
        <v>49</v>
      </c>
      <c r="AI351">
        <v>87</v>
      </c>
      <c r="AJ351">
        <v>4.4000000000000004</v>
      </c>
    </row>
    <row r="352" spans="1:36" x14ac:dyDescent="0.25">
      <c r="A352">
        <v>10351</v>
      </c>
      <c r="B352" t="s">
        <v>31</v>
      </c>
      <c r="C352" t="s">
        <v>65</v>
      </c>
      <c r="D352" t="s">
        <v>33</v>
      </c>
      <c r="E352" t="str">
        <f t="shared" si="65"/>
        <v>Emily Johnson is in Marketing Department</v>
      </c>
      <c r="F352" s="6" t="str">
        <f t="shared" si="66"/>
        <v>emilyjohnson@gmail.com</v>
      </c>
      <c r="G352">
        <v>92636</v>
      </c>
      <c r="H352" t="str">
        <f t="shared" si="67"/>
        <v>High</v>
      </c>
      <c r="I352" s="3">
        <v>40175</v>
      </c>
      <c r="J352">
        <f t="shared" si="68"/>
        <v>2009</v>
      </c>
      <c r="K352">
        <f t="shared" si="69"/>
        <v>12</v>
      </c>
      <c r="L352">
        <f t="shared" si="70"/>
        <v>28</v>
      </c>
      <c r="M352" s="3">
        <f t="shared" ca="1" si="71"/>
        <v>46100</v>
      </c>
      <c r="N352">
        <f t="shared" ca="1" si="72"/>
        <v>5925</v>
      </c>
      <c r="O352">
        <f t="shared" ca="1" si="73"/>
        <v>5925</v>
      </c>
      <c r="P352">
        <f t="shared" ca="1" si="74"/>
        <v>4234</v>
      </c>
      <c r="Q352">
        <v>63</v>
      </c>
      <c r="R352" t="str">
        <f t="shared" si="75"/>
        <v>Old</v>
      </c>
      <c r="S352" t="s">
        <v>34</v>
      </c>
      <c r="T352">
        <v>3</v>
      </c>
      <c r="U352" t="s">
        <v>45</v>
      </c>
      <c r="V352">
        <v>7203.07</v>
      </c>
      <c r="W352" t="s">
        <v>58</v>
      </c>
      <c r="X352" t="s">
        <v>36</v>
      </c>
      <c r="Y352">
        <v>26</v>
      </c>
      <c r="Z352" t="str">
        <f t="shared" si="76"/>
        <v>Bad Employee</v>
      </c>
      <c r="AA352" t="b">
        <f t="shared" si="77"/>
        <v>0</v>
      </c>
      <c r="AB352" t="b">
        <f>OR(Y352&gt;20, T352&gt;6)</f>
        <v>1</v>
      </c>
      <c r="AC352" t="str">
        <f>IF(OR(Y352&gt;20,T352&gt;6), "Good employee", "Bad Employee")</f>
        <v>Good employee</v>
      </c>
      <c r="AD352" t="s">
        <v>41</v>
      </c>
      <c r="AE352" t="s">
        <v>48</v>
      </c>
      <c r="AF352">
        <v>17</v>
      </c>
      <c r="AG352">
        <v>2012</v>
      </c>
      <c r="AH352" t="s">
        <v>43</v>
      </c>
      <c r="AI352">
        <v>36</v>
      </c>
      <c r="AJ352">
        <v>1.3</v>
      </c>
    </row>
    <row r="353" spans="1:36" x14ac:dyDescent="0.25">
      <c r="A353">
        <v>10352</v>
      </c>
      <c r="B353" t="s">
        <v>66</v>
      </c>
      <c r="C353" t="s">
        <v>51</v>
      </c>
      <c r="D353" t="s">
        <v>44</v>
      </c>
      <c r="E353" t="str">
        <f t="shared" si="65"/>
        <v>John Brown is in Sales Department</v>
      </c>
      <c r="F353" s="6" t="str">
        <f t="shared" si="66"/>
        <v>johnbrown@gmail.com</v>
      </c>
      <c r="G353">
        <v>88806</v>
      </c>
      <c r="H353" t="str">
        <f t="shared" si="67"/>
        <v>High</v>
      </c>
      <c r="I353" s="3">
        <v>39312</v>
      </c>
      <c r="J353">
        <f t="shared" si="68"/>
        <v>2007</v>
      </c>
      <c r="K353">
        <f t="shared" si="69"/>
        <v>8</v>
      </c>
      <c r="L353">
        <f t="shared" si="70"/>
        <v>18</v>
      </c>
      <c r="M353" s="3">
        <f t="shared" ca="1" si="71"/>
        <v>46100</v>
      </c>
      <c r="N353">
        <f t="shared" ca="1" si="72"/>
        <v>6788</v>
      </c>
      <c r="O353">
        <f t="shared" ca="1" si="73"/>
        <v>6788</v>
      </c>
      <c r="P353">
        <f t="shared" ca="1" si="74"/>
        <v>4849</v>
      </c>
      <c r="Q353">
        <v>59</v>
      </c>
      <c r="R353" t="str">
        <f t="shared" si="75"/>
        <v>Old</v>
      </c>
      <c r="S353" t="s">
        <v>34</v>
      </c>
      <c r="T353">
        <v>2</v>
      </c>
      <c r="U353" t="s">
        <v>45</v>
      </c>
      <c r="V353">
        <v>9735.02</v>
      </c>
      <c r="W353" t="s">
        <v>35</v>
      </c>
      <c r="X353" t="s">
        <v>36</v>
      </c>
      <c r="Y353">
        <v>13</v>
      </c>
      <c r="Z353" t="str">
        <f t="shared" si="76"/>
        <v>Bad Employee</v>
      </c>
      <c r="AA353" t="b">
        <f t="shared" si="77"/>
        <v>0</v>
      </c>
      <c r="AB353" t="b">
        <f>OR(Y353&gt;20, T353&gt;6)</f>
        <v>0</v>
      </c>
      <c r="AC353" t="str">
        <f>IF(OR(Y353&gt;20,T353&gt;6), "Good employee", "Bad Employee")</f>
        <v>Bad Employee</v>
      </c>
      <c r="AD353" t="s">
        <v>28</v>
      </c>
      <c r="AE353" t="s">
        <v>59</v>
      </c>
      <c r="AF353">
        <v>0</v>
      </c>
      <c r="AG353">
        <v>2022</v>
      </c>
      <c r="AH353" t="s">
        <v>30</v>
      </c>
      <c r="AI353">
        <v>58</v>
      </c>
      <c r="AJ353">
        <v>4.4000000000000004</v>
      </c>
    </row>
    <row r="354" spans="1:36" x14ac:dyDescent="0.25">
      <c r="A354">
        <v>10353</v>
      </c>
      <c r="B354" t="s">
        <v>66</v>
      </c>
      <c r="C354" t="s">
        <v>22</v>
      </c>
      <c r="D354" t="s">
        <v>52</v>
      </c>
      <c r="E354" t="str">
        <f t="shared" si="65"/>
        <v>John Williams is in Operations Department</v>
      </c>
      <c r="F354" s="6" t="str">
        <f t="shared" si="66"/>
        <v>johnwilliams@gmail.com</v>
      </c>
      <c r="G354">
        <v>39394</v>
      </c>
      <c r="H354" t="str">
        <f t="shared" si="67"/>
        <v>extremely low</v>
      </c>
      <c r="I354" s="3">
        <v>39623</v>
      </c>
      <c r="J354">
        <f t="shared" si="68"/>
        <v>2008</v>
      </c>
      <c r="K354">
        <f t="shared" si="69"/>
        <v>6</v>
      </c>
      <c r="L354">
        <f t="shared" si="70"/>
        <v>24</v>
      </c>
      <c r="M354" s="3">
        <f t="shared" ca="1" si="71"/>
        <v>46100</v>
      </c>
      <c r="N354">
        <f t="shared" ca="1" si="72"/>
        <v>6477</v>
      </c>
      <c r="O354">
        <f t="shared" ca="1" si="73"/>
        <v>6477</v>
      </c>
      <c r="P354">
        <f t="shared" ca="1" si="74"/>
        <v>4628</v>
      </c>
      <c r="Q354">
        <v>34</v>
      </c>
      <c r="R354" t="str">
        <f t="shared" si="75"/>
        <v>Old</v>
      </c>
      <c r="S354" t="s">
        <v>34</v>
      </c>
      <c r="T354">
        <v>4</v>
      </c>
      <c r="U354" t="s">
        <v>45</v>
      </c>
      <c r="V354">
        <v>914.2</v>
      </c>
      <c r="W354" t="s">
        <v>35</v>
      </c>
      <c r="X354" t="s">
        <v>47</v>
      </c>
      <c r="Y354">
        <v>29</v>
      </c>
      <c r="Z354" t="str">
        <f t="shared" si="76"/>
        <v>Bad Employee</v>
      </c>
      <c r="AA354" t="b">
        <f t="shared" si="77"/>
        <v>0</v>
      </c>
      <c r="AB354" t="b">
        <f>OR(Y354&gt;20, T354&gt;6)</f>
        <v>1</v>
      </c>
      <c r="AC354" t="str">
        <f>IF(OR(Y354&gt;20,T354&gt;6), "Good employee", "Bad Employee")</f>
        <v>Good employee</v>
      </c>
      <c r="AD354" t="s">
        <v>56</v>
      </c>
      <c r="AE354" t="s">
        <v>29</v>
      </c>
      <c r="AF354">
        <v>11</v>
      </c>
      <c r="AG354">
        <v>2019</v>
      </c>
      <c r="AH354" t="s">
        <v>43</v>
      </c>
      <c r="AI354">
        <v>61</v>
      </c>
      <c r="AJ354">
        <v>2.8</v>
      </c>
    </row>
    <row r="355" spans="1:36" x14ac:dyDescent="0.25">
      <c r="A355">
        <v>10354</v>
      </c>
      <c r="B355" t="s">
        <v>53</v>
      </c>
      <c r="C355" t="s">
        <v>63</v>
      </c>
      <c r="D355" t="s">
        <v>23</v>
      </c>
      <c r="E355" t="str">
        <f t="shared" si="65"/>
        <v>Sarah Miller is in HR Department</v>
      </c>
      <c r="F355" s="6" t="str">
        <f t="shared" si="66"/>
        <v>sarahmiller@gmail.com</v>
      </c>
      <c r="G355">
        <v>43280</v>
      </c>
      <c r="H355" t="str">
        <f t="shared" si="67"/>
        <v>low</v>
      </c>
      <c r="I355" s="3">
        <v>40038</v>
      </c>
      <c r="J355">
        <f t="shared" si="68"/>
        <v>2009</v>
      </c>
      <c r="K355">
        <f t="shared" si="69"/>
        <v>8</v>
      </c>
      <c r="L355">
        <f t="shared" si="70"/>
        <v>13</v>
      </c>
      <c r="M355" s="3">
        <f t="shared" ca="1" si="71"/>
        <v>46100</v>
      </c>
      <c r="N355">
        <f t="shared" ca="1" si="72"/>
        <v>6062</v>
      </c>
      <c r="O355">
        <f t="shared" ca="1" si="73"/>
        <v>6062</v>
      </c>
      <c r="P355">
        <f t="shared" ca="1" si="74"/>
        <v>4331</v>
      </c>
      <c r="Q355">
        <v>63</v>
      </c>
      <c r="R355" t="str">
        <f t="shared" si="75"/>
        <v>Old</v>
      </c>
      <c r="S355" t="s">
        <v>34</v>
      </c>
      <c r="T355">
        <v>8</v>
      </c>
      <c r="U355" t="s">
        <v>25</v>
      </c>
      <c r="V355">
        <v>1391.37</v>
      </c>
      <c r="W355" t="s">
        <v>46</v>
      </c>
      <c r="X355" t="s">
        <v>27</v>
      </c>
      <c r="Y355">
        <v>7</v>
      </c>
      <c r="Z355" t="str">
        <f t="shared" si="76"/>
        <v>Bad Employee</v>
      </c>
      <c r="AA355" t="b">
        <f t="shared" si="77"/>
        <v>0</v>
      </c>
      <c r="AB355" t="b">
        <f>OR(Y355&gt;20, T355&gt;6)</f>
        <v>1</v>
      </c>
      <c r="AC355" t="str">
        <f>IF(OR(Y355&gt;20,T355&gt;6), "Good employee", "Bad Employee")</f>
        <v>Good employee</v>
      </c>
      <c r="AD355" t="s">
        <v>41</v>
      </c>
      <c r="AE355" t="s">
        <v>62</v>
      </c>
      <c r="AF355">
        <v>19</v>
      </c>
      <c r="AG355">
        <v>2018</v>
      </c>
      <c r="AH355" t="s">
        <v>49</v>
      </c>
      <c r="AI355">
        <v>111</v>
      </c>
      <c r="AJ355">
        <v>2.4</v>
      </c>
    </row>
    <row r="356" spans="1:36" x14ac:dyDescent="0.25">
      <c r="A356">
        <v>10355</v>
      </c>
      <c r="B356" t="s">
        <v>53</v>
      </c>
      <c r="C356" t="s">
        <v>57</v>
      </c>
      <c r="D356" t="s">
        <v>44</v>
      </c>
      <c r="E356" t="str">
        <f t="shared" si="65"/>
        <v>Sarah Davis is in Sales Department</v>
      </c>
      <c r="F356" s="6" t="str">
        <f t="shared" si="66"/>
        <v>sarahdavis@gmail.com</v>
      </c>
      <c r="G356">
        <v>66303</v>
      </c>
      <c r="H356" t="str">
        <f t="shared" si="67"/>
        <v>Medium</v>
      </c>
      <c r="I356" s="3">
        <v>41386</v>
      </c>
      <c r="J356">
        <f t="shared" si="68"/>
        <v>2013</v>
      </c>
      <c r="K356">
        <f t="shared" si="69"/>
        <v>4</v>
      </c>
      <c r="L356">
        <f t="shared" si="70"/>
        <v>22</v>
      </c>
      <c r="M356" s="3">
        <f t="shared" ca="1" si="71"/>
        <v>46100</v>
      </c>
      <c r="N356">
        <f t="shared" ca="1" si="72"/>
        <v>4714</v>
      </c>
      <c r="O356">
        <f t="shared" ca="1" si="73"/>
        <v>4714</v>
      </c>
      <c r="P356">
        <f t="shared" ca="1" si="74"/>
        <v>3369</v>
      </c>
      <c r="Q356">
        <v>45</v>
      </c>
      <c r="R356" t="str">
        <f t="shared" si="75"/>
        <v>Old</v>
      </c>
      <c r="S356" t="s">
        <v>34</v>
      </c>
      <c r="T356">
        <v>6</v>
      </c>
      <c r="U356" t="s">
        <v>45</v>
      </c>
      <c r="V356">
        <v>1674.55</v>
      </c>
      <c r="W356" t="s">
        <v>46</v>
      </c>
      <c r="X356" t="s">
        <v>55</v>
      </c>
      <c r="Y356">
        <v>26</v>
      </c>
      <c r="Z356" t="str">
        <f t="shared" si="76"/>
        <v>Bad Employee</v>
      </c>
      <c r="AA356" t="b">
        <f t="shared" si="77"/>
        <v>0</v>
      </c>
      <c r="AB356" t="b">
        <f>OR(Y356&gt;20, T356&gt;6)</f>
        <v>1</v>
      </c>
      <c r="AC356" t="str">
        <f>IF(OR(Y356&gt;20,T356&gt;6), "Good employee", "Bad Employee")</f>
        <v>Good employee</v>
      </c>
      <c r="AD356" t="s">
        <v>56</v>
      </c>
      <c r="AE356" t="s">
        <v>37</v>
      </c>
      <c r="AF356">
        <v>5</v>
      </c>
      <c r="AG356">
        <v>2021</v>
      </c>
      <c r="AH356" t="s">
        <v>30</v>
      </c>
      <c r="AI356">
        <v>29</v>
      </c>
      <c r="AJ356">
        <v>3.7</v>
      </c>
    </row>
    <row r="357" spans="1:36" x14ac:dyDescent="0.25">
      <c r="A357">
        <v>10356</v>
      </c>
      <c r="B357" t="s">
        <v>21</v>
      </c>
      <c r="C357" t="s">
        <v>65</v>
      </c>
      <c r="D357" t="s">
        <v>23</v>
      </c>
      <c r="E357" t="str">
        <f t="shared" si="65"/>
        <v>Michael Johnson is in HR Department</v>
      </c>
      <c r="F357" s="6" t="str">
        <f t="shared" si="66"/>
        <v>michaeljohnson@gmail.com</v>
      </c>
      <c r="G357">
        <v>57453</v>
      </c>
      <c r="H357" t="str">
        <f t="shared" si="67"/>
        <v>Medium</v>
      </c>
      <c r="I357" s="3">
        <v>37746</v>
      </c>
      <c r="J357">
        <f t="shared" si="68"/>
        <v>2003</v>
      </c>
      <c r="K357">
        <f t="shared" si="69"/>
        <v>5</v>
      </c>
      <c r="L357">
        <f t="shared" si="70"/>
        <v>5</v>
      </c>
      <c r="M357" s="3">
        <f t="shared" ca="1" si="71"/>
        <v>46100</v>
      </c>
      <c r="N357">
        <f t="shared" ca="1" si="72"/>
        <v>8354</v>
      </c>
      <c r="O357">
        <f t="shared" ca="1" si="73"/>
        <v>8354</v>
      </c>
      <c r="P357">
        <f t="shared" ca="1" si="74"/>
        <v>5969</v>
      </c>
      <c r="Q357">
        <v>53</v>
      </c>
      <c r="R357" t="str">
        <f t="shared" si="75"/>
        <v>Old</v>
      </c>
      <c r="S357" t="s">
        <v>24</v>
      </c>
      <c r="T357">
        <v>1</v>
      </c>
      <c r="U357" t="s">
        <v>25</v>
      </c>
      <c r="V357">
        <v>4590.3599999999997</v>
      </c>
      <c r="W357" t="s">
        <v>46</v>
      </c>
      <c r="X357" t="s">
        <v>36</v>
      </c>
      <c r="Y357">
        <v>6</v>
      </c>
      <c r="Z357" t="str">
        <f t="shared" si="76"/>
        <v>Bad Employee</v>
      </c>
      <c r="AA357" t="b">
        <f t="shared" si="77"/>
        <v>0</v>
      </c>
      <c r="AB357" t="b">
        <f>OR(Y357&gt;20, T357&gt;6)</f>
        <v>0</v>
      </c>
      <c r="AC357" t="str">
        <f>IF(OR(Y357&gt;20,T357&gt;6), "Good employee", "Bad Employee")</f>
        <v>Bad Employee</v>
      </c>
      <c r="AD357" t="s">
        <v>28</v>
      </c>
      <c r="AE357" t="s">
        <v>42</v>
      </c>
      <c r="AF357">
        <v>7</v>
      </c>
      <c r="AG357">
        <v>2022</v>
      </c>
      <c r="AH357" t="s">
        <v>43</v>
      </c>
      <c r="AI357">
        <v>146</v>
      </c>
      <c r="AJ357">
        <v>4.8</v>
      </c>
    </row>
    <row r="358" spans="1:36" x14ac:dyDescent="0.25">
      <c r="A358">
        <v>10357</v>
      </c>
      <c r="B358" t="s">
        <v>60</v>
      </c>
      <c r="C358" t="s">
        <v>22</v>
      </c>
      <c r="D358" t="s">
        <v>39</v>
      </c>
      <c r="E358" t="str">
        <f t="shared" si="65"/>
        <v>Jane Williams is in IT Department</v>
      </c>
      <c r="F358" s="6" t="str">
        <f t="shared" si="66"/>
        <v>janewilliams@gmail.com</v>
      </c>
      <c r="G358">
        <v>90695</v>
      </c>
      <c r="H358" t="str">
        <f t="shared" si="67"/>
        <v>High</v>
      </c>
      <c r="I358" s="3">
        <v>37167</v>
      </c>
      <c r="J358">
        <f t="shared" si="68"/>
        <v>2001</v>
      </c>
      <c r="K358">
        <f t="shared" si="69"/>
        <v>10</v>
      </c>
      <c r="L358">
        <f t="shared" si="70"/>
        <v>3</v>
      </c>
      <c r="M358" s="3">
        <f t="shared" ca="1" si="71"/>
        <v>46100</v>
      </c>
      <c r="N358">
        <f t="shared" ca="1" si="72"/>
        <v>8933</v>
      </c>
      <c r="O358">
        <f t="shared" ca="1" si="73"/>
        <v>8933</v>
      </c>
      <c r="P358">
        <f t="shared" ca="1" si="74"/>
        <v>6382</v>
      </c>
      <c r="Q358">
        <v>51</v>
      </c>
      <c r="R358" t="str">
        <f t="shared" si="75"/>
        <v>Old</v>
      </c>
      <c r="S358" t="s">
        <v>24</v>
      </c>
      <c r="T358">
        <v>8</v>
      </c>
      <c r="U358" t="s">
        <v>45</v>
      </c>
      <c r="V358">
        <v>3262.41</v>
      </c>
      <c r="W358" t="s">
        <v>35</v>
      </c>
      <c r="X358" t="s">
        <v>47</v>
      </c>
      <c r="Y358">
        <v>32</v>
      </c>
      <c r="Z358" t="str">
        <f t="shared" si="76"/>
        <v>Good Employee</v>
      </c>
      <c r="AA358" t="b">
        <f t="shared" si="77"/>
        <v>1</v>
      </c>
      <c r="AB358" t="b">
        <f>OR(Y358&gt;20, T358&gt;6)</f>
        <v>1</v>
      </c>
      <c r="AC358" t="str">
        <f>IF(OR(Y358&gt;20,T358&gt;6), "Good employee", "Bad Employee")</f>
        <v>Good employee</v>
      </c>
      <c r="AD358" t="s">
        <v>28</v>
      </c>
      <c r="AE358" t="s">
        <v>48</v>
      </c>
      <c r="AF358">
        <v>13</v>
      </c>
      <c r="AG358">
        <v>2014</v>
      </c>
      <c r="AH358" t="s">
        <v>43</v>
      </c>
      <c r="AI358">
        <v>49</v>
      </c>
      <c r="AJ358">
        <v>1.4</v>
      </c>
    </row>
    <row r="359" spans="1:36" x14ac:dyDescent="0.25">
      <c r="A359">
        <v>10358</v>
      </c>
      <c r="B359" t="s">
        <v>53</v>
      </c>
      <c r="C359" t="s">
        <v>32</v>
      </c>
      <c r="D359" t="s">
        <v>54</v>
      </c>
      <c r="E359" t="str">
        <f t="shared" si="65"/>
        <v>Sarah Wilson is in Finance Department</v>
      </c>
      <c r="F359" s="6" t="str">
        <f t="shared" si="66"/>
        <v>sarahwilson@gmail.com</v>
      </c>
      <c r="G359">
        <v>98449</v>
      </c>
      <c r="H359" t="str">
        <f t="shared" si="67"/>
        <v>High</v>
      </c>
      <c r="I359" s="3">
        <v>39840</v>
      </c>
      <c r="J359">
        <f t="shared" si="68"/>
        <v>2009</v>
      </c>
      <c r="K359">
        <f t="shared" si="69"/>
        <v>1</v>
      </c>
      <c r="L359">
        <f t="shared" si="70"/>
        <v>27</v>
      </c>
      <c r="M359" s="3">
        <f t="shared" ca="1" si="71"/>
        <v>46100</v>
      </c>
      <c r="N359">
        <f t="shared" ca="1" si="72"/>
        <v>6260</v>
      </c>
      <c r="O359">
        <f t="shared" ca="1" si="73"/>
        <v>6260</v>
      </c>
      <c r="P359">
        <f t="shared" ca="1" si="74"/>
        <v>4473</v>
      </c>
      <c r="Q359">
        <v>27</v>
      </c>
      <c r="R359" t="str">
        <f t="shared" si="75"/>
        <v>Young</v>
      </c>
      <c r="S359" t="s">
        <v>24</v>
      </c>
      <c r="T359">
        <v>5</v>
      </c>
      <c r="U359" t="s">
        <v>25</v>
      </c>
      <c r="V359">
        <v>8165.74</v>
      </c>
      <c r="W359" t="s">
        <v>58</v>
      </c>
      <c r="X359" t="s">
        <v>47</v>
      </c>
      <c r="Y359">
        <v>36</v>
      </c>
      <c r="Z359" t="str">
        <f t="shared" si="76"/>
        <v>Bad Employee</v>
      </c>
      <c r="AA359" t="b">
        <f t="shared" si="77"/>
        <v>0</v>
      </c>
      <c r="AB359" t="b">
        <f>OR(Y359&gt;20, T359&gt;6)</f>
        <v>1</v>
      </c>
      <c r="AC359" t="str">
        <f>IF(OR(Y359&gt;20,T359&gt;6), "Good employee", "Bad Employee")</f>
        <v>Good employee</v>
      </c>
      <c r="AD359" t="s">
        <v>41</v>
      </c>
      <c r="AE359" t="s">
        <v>29</v>
      </c>
      <c r="AF359">
        <v>4</v>
      </c>
      <c r="AG359">
        <v>2012</v>
      </c>
      <c r="AH359" t="s">
        <v>43</v>
      </c>
      <c r="AI359">
        <v>176</v>
      </c>
      <c r="AJ359">
        <v>4.0999999999999996</v>
      </c>
    </row>
    <row r="360" spans="1:36" x14ac:dyDescent="0.25">
      <c r="A360">
        <v>10359</v>
      </c>
      <c r="B360" t="s">
        <v>66</v>
      </c>
      <c r="C360" t="s">
        <v>63</v>
      </c>
      <c r="D360" t="s">
        <v>52</v>
      </c>
      <c r="E360" t="str">
        <f t="shared" si="65"/>
        <v>John Miller is in Operations Department</v>
      </c>
      <c r="F360" s="6" t="str">
        <f t="shared" si="66"/>
        <v>johnmiller@gmail.com</v>
      </c>
      <c r="G360">
        <v>55765</v>
      </c>
      <c r="H360" t="str">
        <f t="shared" si="67"/>
        <v>Medium</v>
      </c>
      <c r="I360" s="3">
        <v>42469</v>
      </c>
      <c r="J360">
        <f t="shared" si="68"/>
        <v>2016</v>
      </c>
      <c r="K360">
        <f t="shared" si="69"/>
        <v>4</v>
      </c>
      <c r="L360">
        <f t="shared" si="70"/>
        <v>9</v>
      </c>
      <c r="M360" s="3">
        <f t="shared" ca="1" si="71"/>
        <v>46100</v>
      </c>
      <c r="N360">
        <f t="shared" ca="1" si="72"/>
        <v>3631</v>
      </c>
      <c r="O360">
        <f t="shared" ca="1" si="73"/>
        <v>3631</v>
      </c>
      <c r="P360">
        <f t="shared" ca="1" si="74"/>
        <v>2594</v>
      </c>
      <c r="Q360">
        <v>59</v>
      </c>
      <c r="R360" t="str">
        <f t="shared" si="75"/>
        <v>Old</v>
      </c>
      <c r="S360" t="s">
        <v>24</v>
      </c>
      <c r="T360">
        <v>6</v>
      </c>
      <c r="U360" t="s">
        <v>45</v>
      </c>
      <c r="V360">
        <v>5000.9799999999996</v>
      </c>
      <c r="W360" t="s">
        <v>46</v>
      </c>
      <c r="X360" t="s">
        <v>55</v>
      </c>
      <c r="Y360">
        <v>23</v>
      </c>
      <c r="Z360" t="str">
        <f t="shared" si="76"/>
        <v>Bad Employee</v>
      </c>
      <c r="AA360" t="b">
        <f t="shared" si="77"/>
        <v>0</v>
      </c>
      <c r="AB360" t="b">
        <f>OR(Y360&gt;20, T360&gt;6)</f>
        <v>1</v>
      </c>
      <c r="AC360" t="str">
        <f>IF(OR(Y360&gt;20,T360&gt;6), "Good employee", "Bad Employee")</f>
        <v>Good employee</v>
      </c>
      <c r="AD360" t="s">
        <v>41</v>
      </c>
      <c r="AE360" t="s">
        <v>48</v>
      </c>
      <c r="AF360">
        <v>3</v>
      </c>
      <c r="AG360">
        <v>2016</v>
      </c>
      <c r="AH360" t="s">
        <v>49</v>
      </c>
      <c r="AI360">
        <v>122</v>
      </c>
      <c r="AJ360">
        <v>1.8</v>
      </c>
    </row>
    <row r="361" spans="1:36" x14ac:dyDescent="0.25">
      <c r="A361">
        <v>10360</v>
      </c>
      <c r="B361" t="s">
        <v>50</v>
      </c>
      <c r="C361" t="s">
        <v>61</v>
      </c>
      <c r="D361" t="s">
        <v>44</v>
      </c>
      <c r="E361" t="str">
        <f t="shared" si="65"/>
        <v>Alex Smith is in Sales Department</v>
      </c>
      <c r="F361" s="6" t="str">
        <f t="shared" si="66"/>
        <v>alexsmith@gmail.com</v>
      </c>
      <c r="G361">
        <v>32340</v>
      </c>
      <c r="H361" t="str">
        <f t="shared" si="67"/>
        <v>extremely low</v>
      </c>
      <c r="I361" s="3">
        <v>37249</v>
      </c>
      <c r="J361">
        <f t="shared" si="68"/>
        <v>2001</v>
      </c>
      <c r="K361">
        <f t="shared" si="69"/>
        <v>12</v>
      </c>
      <c r="L361">
        <f t="shared" si="70"/>
        <v>24</v>
      </c>
      <c r="M361" s="3">
        <f t="shared" ca="1" si="71"/>
        <v>46100</v>
      </c>
      <c r="N361">
        <f t="shared" ca="1" si="72"/>
        <v>8851</v>
      </c>
      <c r="O361">
        <f t="shared" ca="1" si="73"/>
        <v>8851</v>
      </c>
      <c r="P361">
        <f t="shared" ca="1" si="74"/>
        <v>6324</v>
      </c>
      <c r="Q361">
        <v>54</v>
      </c>
      <c r="R361" t="str">
        <f t="shared" si="75"/>
        <v>Old</v>
      </c>
      <c r="S361" t="s">
        <v>24</v>
      </c>
      <c r="T361">
        <v>5</v>
      </c>
      <c r="U361" t="s">
        <v>45</v>
      </c>
      <c r="V361">
        <v>5103.1000000000004</v>
      </c>
      <c r="W361" t="s">
        <v>46</v>
      </c>
      <c r="X361" t="s">
        <v>47</v>
      </c>
      <c r="Y361">
        <v>11</v>
      </c>
      <c r="Z361" t="str">
        <f t="shared" si="76"/>
        <v>Bad Employee</v>
      </c>
      <c r="AA361" t="b">
        <f t="shared" si="77"/>
        <v>0</v>
      </c>
      <c r="AB361" t="b">
        <f>OR(Y361&gt;20, T361&gt;6)</f>
        <v>0</v>
      </c>
      <c r="AC361" t="str">
        <f>IF(OR(Y361&gt;20,T361&gt;6), "Good employee", "Bad Employee")</f>
        <v>Bad Employee</v>
      </c>
      <c r="AD361" t="s">
        <v>41</v>
      </c>
      <c r="AE361" t="s">
        <v>59</v>
      </c>
      <c r="AF361">
        <v>15</v>
      </c>
      <c r="AG361">
        <v>2013</v>
      </c>
      <c r="AH361" t="s">
        <v>49</v>
      </c>
      <c r="AI361">
        <v>42</v>
      </c>
      <c r="AJ361">
        <v>2.5</v>
      </c>
    </row>
    <row r="362" spans="1:36" x14ac:dyDescent="0.25">
      <c r="A362">
        <v>10361</v>
      </c>
      <c r="B362" t="s">
        <v>31</v>
      </c>
      <c r="C362" t="s">
        <v>65</v>
      </c>
      <c r="D362" t="s">
        <v>54</v>
      </c>
      <c r="E362" t="str">
        <f t="shared" si="65"/>
        <v>Emily Johnson is in Finance Department</v>
      </c>
      <c r="F362" s="6" t="str">
        <f t="shared" si="66"/>
        <v>emilyjohnson@gmail.com</v>
      </c>
      <c r="G362">
        <v>68057</v>
      </c>
      <c r="H362" t="str">
        <f t="shared" si="67"/>
        <v>Medium</v>
      </c>
      <c r="I362" s="3">
        <v>41835</v>
      </c>
      <c r="J362">
        <f t="shared" si="68"/>
        <v>2014</v>
      </c>
      <c r="K362">
        <f t="shared" si="69"/>
        <v>7</v>
      </c>
      <c r="L362">
        <f t="shared" si="70"/>
        <v>15</v>
      </c>
      <c r="M362" s="3">
        <f t="shared" ca="1" si="71"/>
        <v>46100</v>
      </c>
      <c r="N362">
        <f t="shared" ca="1" si="72"/>
        <v>4265</v>
      </c>
      <c r="O362">
        <f t="shared" ca="1" si="73"/>
        <v>4265</v>
      </c>
      <c r="P362">
        <f t="shared" ca="1" si="74"/>
        <v>3048</v>
      </c>
      <c r="Q362">
        <v>44</v>
      </c>
      <c r="R362" t="str">
        <f t="shared" si="75"/>
        <v>Old</v>
      </c>
      <c r="S362" t="s">
        <v>34</v>
      </c>
      <c r="T362">
        <v>5</v>
      </c>
      <c r="U362" t="s">
        <v>45</v>
      </c>
      <c r="V362">
        <v>7311.86</v>
      </c>
      <c r="W362" t="s">
        <v>58</v>
      </c>
      <c r="X362" t="s">
        <v>40</v>
      </c>
      <c r="Y362">
        <v>21</v>
      </c>
      <c r="Z362" t="str">
        <f t="shared" si="76"/>
        <v>Bad Employee</v>
      </c>
      <c r="AA362" t="b">
        <f t="shared" si="77"/>
        <v>0</v>
      </c>
      <c r="AB362" t="b">
        <f>OR(Y362&gt;20, T362&gt;6)</f>
        <v>1</v>
      </c>
      <c r="AC362" t="str">
        <f>IF(OR(Y362&gt;20,T362&gt;6), "Good employee", "Bad Employee")</f>
        <v>Good employee</v>
      </c>
      <c r="AD362" t="s">
        <v>41</v>
      </c>
      <c r="AE362" t="s">
        <v>29</v>
      </c>
      <c r="AF362">
        <v>5</v>
      </c>
      <c r="AG362">
        <v>2010</v>
      </c>
      <c r="AH362" t="s">
        <v>49</v>
      </c>
      <c r="AI362">
        <v>129</v>
      </c>
      <c r="AJ362">
        <v>4.5</v>
      </c>
    </row>
    <row r="363" spans="1:36" x14ac:dyDescent="0.25">
      <c r="A363">
        <v>10362</v>
      </c>
      <c r="B363" t="s">
        <v>66</v>
      </c>
      <c r="C363" t="s">
        <v>57</v>
      </c>
      <c r="D363" t="s">
        <v>52</v>
      </c>
      <c r="E363" t="str">
        <f t="shared" si="65"/>
        <v>John Davis is in Operations Department</v>
      </c>
      <c r="F363" s="6" t="str">
        <f t="shared" si="66"/>
        <v>johndavis@gmail.com</v>
      </c>
      <c r="G363">
        <v>30597</v>
      </c>
      <c r="H363" t="str">
        <f t="shared" si="67"/>
        <v>extremely low</v>
      </c>
      <c r="I363" s="3">
        <v>41423</v>
      </c>
      <c r="J363">
        <f t="shared" si="68"/>
        <v>2013</v>
      </c>
      <c r="K363">
        <f t="shared" si="69"/>
        <v>5</v>
      </c>
      <c r="L363">
        <f t="shared" si="70"/>
        <v>29</v>
      </c>
      <c r="M363" s="3">
        <f t="shared" ca="1" si="71"/>
        <v>46100</v>
      </c>
      <c r="N363">
        <f t="shared" ca="1" si="72"/>
        <v>4677</v>
      </c>
      <c r="O363">
        <f t="shared" ca="1" si="73"/>
        <v>4677</v>
      </c>
      <c r="P363">
        <f t="shared" ca="1" si="74"/>
        <v>3342</v>
      </c>
      <c r="Q363">
        <v>31</v>
      </c>
      <c r="R363" t="str">
        <f t="shared" si="75"/>
        <v>Old</v>
      </c>
      <c r="S363" t="s">
        <v>34</v>
      </c>
      <c r="T363">
        <v>3</v>
      </c>
      <c r="U363" t="s">
        <v>45</v>
      </c>
      <c r="V363">
        <v>3938.71</v>
      </c>
      <c r="W363" t="s">
        <v>35</v>
      </c>
      <c r="X363" t="s">
        <v>27</v>
      </c>
      <c r="Y363">
        <v>19</v>
      </c>
      <c r="Z363" t="str">
        <f t="shared" si="76"/>
        <v>Bad Employee</v>
      </c>
      <c r="AA363" t="b">
        <f t="shared" si="77"/>
        <v>0</v>
      </c>
      <c r="AB363" t="b">
        <f>OR(Y363&gt;20, T363&gt;6)</f>
        <v>0</v>
      </c>
      <c r="AC363" t="str">
        <f>IF(OR(Y363&gt;20,T363&gt;6), "Good employee", "Bad Employee")</f>
        <v>Bad Employee</v>
      </c>
      <c r="AD363" t="s">
        <v>28</v>
      </c>
      <c r="AE363" t="s">
        <v>42</v>
      </c>
      <c r="AF363">
        <v>2</v>
      </c>
      <c r="AG363">
        <v>2014</v>
      </c>
      <c r="AH363" t="s">
        <v>30</v>
      </c>
      <c r="AI363">
        <v>40</v>
      </c>
      <c r="AJ363">
        <v>3.2</v>
      </c>
    </row>
    <row r="364" spans="1:36" x14ac:dyDescent="0.25">
      <c r="A364">
        <v>10363</v>
      </c>
      <c r="B364" t="s">
        <v>66</v>
      </c>
      <c r="C364" t="s">
        <v>63</v>
      </c>
      <c r="D364" t="s">
        <v>52</v>
      </c>
      <c r="E364" t="str">
        <f t="shared" si="65"/>
        <v>John Miller is in Operations Department</v>
      </c>
      <c r="F364" s="6" t="str">
        <f t="shared" si="66"/>
        <v>johnmiller@gmail.com</v>
      </c>
      <c r="G364">
        <v>87988</v>
      </c>
      <c r="H364" t="str">
        <f t="shared" si="67"/>
        <v>High</v>
      </c>
      <c r="I364" s="3">
        <v>37263</v>
      </c>
      <c r="J364">
        <f t="shared" si="68"/>
        <v>2002</v>
      </c>
      <c r="K364">
        <f t="shared" si="69"/>
        <v>1</v>
      </c>
      <c r="L364">
        <f t="shared" si="70"/>
        <v>7</v>
      </c>
      <c r="M364" s="3">
        <f t="shared" ca="1" si="71"/>
        <v>46100</v>
      </c>
      <c r="N364">
        <f t="shared" ca="1" si="72"/>
        <v>8837</v>
      </c>
      <c r="O364">
        <f t="shared" ca="1" si="73"/>
        <v>8837</v>
      </c>
      <c r="P364">
        <f t="shared" ca="1" si="74"/>
        <v>6314</v>
      </c>
      <c r="Q364">
        <v>36</v>
      </c>
      <c r="R364" t="str">
        <f t="shared" si="75"/>
        <v>Old</v>
      </c>
      <c r="S364" t="s">
        <v>34</v>
      </c>
      <c r="T364">
        <v>4</v>
      </c>
      <c r="U364" t="s">
        <v>45</v>
      </c>
      <c r="V364">
        <v>3855.47</v>
      </c>
      <c r="W364" t="s">
        <v>35</v>
      </c>
      <c r="X364" t="s">
        <v>55</v>
      </c>
      <c r="Y364">
        <v>34</v>
      </c>
      <c r="Z364" t="str">
        <f t="shared" si="76"/>
        <v>Bad Employee</v>
      </c>
      <c r="AA364" t="b">
        <f t="shared" si="77"/>
        <v>0</v>
      </c>
      <c r="AB364" t="b">
        <f>OR(Y364&gt;20, T364&gt;6)</f>
        <v>1</v>
      </c>
      <c r="AC364" t="str">
        <f>IF(OR(Y364&gt;20,T364&gt;6), "Good employee", "Bad Employee")</f>
        <v>Good employee</v>
      </c>
      <c r="AD364" t="s">
        <v>56</v>
      </c>
      <c r="AE364" t="s">
        <v>59</v>
      </c>
      <c r="AF364">
        <v>3</v>
      </c>
      <c r="AG364">
        <v>2020</v>
      </c>
      <c r="AH364" t="s">
        <v>30</v>
      </c>
      <c r="AI364">
        <v>92</v>
      </c>
      <c r="AJ364">
        <v>1.3</v>
      </c>
    </row>
    <row r="365" spans="1:36" x14ac:dyDescent="0.25">
      <c r="A365">
        <v>10364</v>
      </c>
      <c r="B365" t="s">
        <v>60</v>
      </c>
      <c r="C365" t="s">
        <v>32</v>
      </c>
      <c r="D365" t="s">
        <v>52</v>
      </c>
      <c r="E365" t="str">
        <f t="shared" si="65"/>
        <v>Jane Wilson is in Operations Department</v>
      </c>
      <c r="F365" s="6" t="str">
        <f t="shared" si="66"/>
        <v>janewilson@gmail.com</v>
      </c>
      <c r="G365">
        <v>45025</v>
      </c>
      <c r="H365" t="str">
        <f t="shared" si="67"/>
        <v>low</v>
      </c>
      <c r="I365" s="3">
        <v>41379</v>
      </c>
      <c r="J365">
        <f t="shared" si="68"/>
        <v>2013</v>
      </c>
      <c r="K365">
        <f t="shared" si="69"/>
        <v>4</v>
      </c>
      <c r="L365">
        <f t="shared" si="70"/>
        <v>15</v>
      </c>
      <c r="M365" s="3">
        <f t="shared" ca="1" si="71"/>
        <v>46100</v>
      </c>
      <c r="N365">
        <f t="shared" ca="1" si="72"/>
        <v>4721</v>
      </c>
      <c r="O365">
        <f t="shared" ca="1" si="73"/>
        <v>4721</v>
      </c>
      <c r="P365">
        <f t="shared" ca="1" si="74"/>
        <v>3374</v>
      </c>
      <c r="Q365">
        <v>44</v>
      </c>
      <c r="R365" t="str">
        <f t="shared" si="75"/>
        <v>Old</v>
      </c>
      <c r="S365" t="s">
        <v>34</v>
      </c>
      <c r="T365">
        <v>5</v>
      </c>
      <c r="U365" t="s">
        <v>45</v>
      </c>
      <c r="V365">
        <v>7690.8</v>
      </c>
      <c r="W365" t="s">
        <v>58</v>
      </c>
      <c r="X365" t="s">
        <v>55</v>
      </c>
      <c r="Y365">
        <v>35</v>
      </c>
      <c r="Z365" t="str">
        <f t="shared" si="76"/>
        <v>Bad Employee</v>
      </c>
      <c r="AA365" t="b">
        <f t="shared" si="77"/>
        <v>0</v>
      </c>
      <c r="AB365" t="b">
        <f>OR(Y365&gt;20, T365&gt;6)</f>
        <v>1</v>
      </c>
      <c r="AC365" t="str">
        <f>IF(OR(Y365&gt;20,T365&gt;6), "Good employee", "Bad Employee")</f>
        <v>Good employee</v>
      </c>
      <c r="AD365" t="s">
        <v>28</v>
      </c>
      <c r="AE365" t="s">
        <v>29</v>
      </c>
      <c r="AF365">
        <v>7</v>
      </c>
      <c r="AG365">
        <v>2017</v>
      </c>
      <c r="AH365" t="s">
        <v>30</v>
      </c>
      <c r="AI365">
        <v>128</v>
      </c>
      <c r="AJ365">
        <v>3</v>
      </c>
    </row>
    <row r="366" spans="1:36" x14ac:dyDescent="0.25">
      <c r="A366">
        <v>10365</v>
      </c>
      <c r="B366" t="s">
        <v>21</v>
      </c>
      <c r="C366" t="s">
        <v>57</v>
      </c>
      <c r="D366" t="s">
        <v>54</v>
      </c>
      <c r="E366" t="str">
        <f t="shared" si="65"/>
        <v>Michael Davis is in Finance Department</v>
      </c>
      <c r="F366" s="6" t="str">
        <f t="shared" si="66"/>
        <v>michaeldavis@gmail.com</v>
      </c>
      <c r="G366">
        <v>37145</v>
      </c>
      <c r="H366" t="str">
        <f t="shared" si="67"/>
        <v>extremely low</v>
      </c>
      <c r="I366" s="3">
        <v>42213</v>
      </c>
      <c r="J366">
        <f t="shared" si="68"/>
        <v>2015</v>
      </c>
      <c r="K366">
        <f t="shared" si="69"/>
        <v>7</v>
      </c>
      <c r="L366">
        <f t="shared" si="70"/>
        <v>28</v>
      </c>
      <c r="M366" s="3">
        <f t="shared" ca="1" si="71"/>
        <v>46100</v>
      </c>
      <c r="N366">
        <f t="shared" ca="1" si="72"/>
        <v>3887</v>
      </c>
      <c r="O366">
        <f t="shared" ca="1" si="73"/>
        <v>3887</v>
      </c>
      <c r="P366">
        <f t="shared" ca="1" si="74"/>
        <v>2778</v>
      </c>
      <c r="Q366">
        <v>57</v>
      </c>
      <c r="R366" t="str">
        <f t="shared" si="75"/>
        <v>Old</v>
      </c>
      <c r="S366" t="s">
        <v>24</v>
      </c>
      <c r="T366">
        <v>2</v>
      </c>
      <c r="U366" t="s">
        <v>45</v>
      </c>
      <c r="V366">
        <v>7910.4</v>
      </c>
      <c r="W366" t="s">
        <v>46</v>
      </c>
      <c r="X366" t="s">
        <v>55</v>
      </c>
      <c r="Y366">
        <v>31</v>
      </c>
      <c r="Z366" t="str">
        <f t="shared" si="76"/>
        <v>Bad Employee</v>
      </c>
      <c r="AA366" t="b">
        <f t="shared" si="77"/>
        <v>0</v>
      </c>
      <c r="AB366" t="b">
        <f>OR(Y366&gt;20, T366&gt;6)</f>
        <v>1</v>
      </c>
      <c r="AC366" t="str">
        <f>IF(OR(Y366&gt;20,T366&gt;6), "Good employee", "Bad Employee")</f>
        <v>Good employee</v>
      </c>
      <c r="AD366" t="s">
        <v>28</v>
      </c>
      <c r="AE366" t="s">
        <v>37</v>
      </c>
      <c r="AF366">
        <v>13</v>
      </c>
      <c r="AG366">
        <v>2021</v>
      </c>
      <c r="AH366" t="s">
        <v>49</v>
      </c>
      <c r="AI366">
        <v>171</v>
      </c>
      <c r="AJ366">
        <v>4.2</v>
      </c>
    </row>
    <row r="367" spans="1:36" x14ac:dyDescent="0.25">
      <c r="A367">
        <v>10366</v>
      </c>
      <c r="B367" t="s">
        <v>21</v>
      </c>
      <c r="C367" t="s">
        <v>61</v>
      </c>
      <c r="D367" t="s">
        <v>44</v>
      </c>
      <c r="E367" t="str">
        <f t="shared" si="65"/>
        <v>Michael Smith is in Sales Department</v>
      </c>
      <c r="F367" s="6" t="str">
        <f t="shared" si="66"/>
        <v>michaelsmith@gmail.com</v>
      </c>
      <c r="G367">
        <v>85797</v>
      </c>
      <c r="H367" t="str">
        <f t="shared" si="67"/>
        <v>High</v>
      </c>
      <c r="I367" s="3">
        <v>43236</v>
      </c>
      <c r="J367">
        <f t="shared" si="68"/>
        <v>2018</v>
      </c>
      <c r="K367">
        <f t="shared" si="69"/>
        <v>5</v>
      </c>
      <c r="L367">
        <f t="shared" si="70"/>
        <v>16</v>
      </c>
      <c r="M367" s="3">
        <f t="shared" ca="1" si="71"/>
        <v>46100</v>
      </c>
      <c r="N367">
        <f t="shared" ca="1" si="72"/>
        <v>2864</v>
      </c>
      <c r="O367">
        <f t="shared" ca="1" si="73"/>
        <v>2864</v>
      </c>
      <c r="P367">
        <f t="shared" ca="1" si="74"/>
        <v>2047</v>
      </c>
      <c r="Q367">
        <v>22</v>
      </c>
      <c r="R367" t="str">
        <f t="shared" si="75"/>
        <v>Young</v>
      </c>
      <c r="S367" t="s">
        <v>34</v>
      </c>
      <c r="T367">
        <v>6</v>
      </c>
      <c r="U367" t="s">
        <v>45</v>
      </c>
      <c r="V367">
        <v>636.79</v>
      </c>
      <c r="W367" t="s">
        <v>26</v>
      </c>
      <c r="X367" t="s">
        <v>47</v>
      </c>
      <c r="Y367">
        <v>29</v>
      </c>
      <c r="Z367" t="str">
        <f t="shared" si="76"/>
        <v>Bad Employee</v>
      </c>
      <c r="AA367" t="b">
        <f t="shared" si="77"/>
        <v>0</v>
      </c>
      <c r="AB367" t="b">
        <f>OR(Y367&gt;20, T367&gt;6)</f>
        <v>1</v>
      </c>
      <c r="AC367" t="str">
        <f>IF(OR(Y367&gt;20,T367&gt;6), "Good employee", "Bad Employee")</f>
        <v>Good employee</v>
      </c>
      <c r="AD367" t="s">
        <v>41</v>
      </c>
      <c r="AE367" t="s">
        <v>37</v>
      </c>
      <c r="AF367">
        <v>6</v>
      </c>
      <c r="AG367">
        <v>2013</v>
      </c>
      <c r="AH367" t="s">
        <v>30</v>
      </c>
      <c r="AI367">
        <v>171</v>
      </c>
      <c r="AJ367">
        <v>3.1</v>
      </c>
    </row>
    <row r="368" spans="1:36" x14ac:dyDescent="0.25">
      <c r="A368">
        <v>10367</v>
      </c>
      <c r="B368" t="s">
        <v>64</v>
      </c>
      <c r="C368" t="s">
        <v>61</v>
      </c>
      <c r="D368" t="s">
        <v>33</v>
      </c>
      <c r="E368" t="str">
        <f t="shared" si="65"/>
        <v>Katie Smith is in Marketing Department</v>
      </c>
      <c r="F368" s="6" t="str">
        <f t="shared" si="66"/>
        <v>katiesmith@gmail.com</v>
      </c>
      <c r="G368">
        <v>71723</v>
      </c>
      <c r="H368" t="str">
        <f t="shared" si="67"/>
        <v>Medium</v>
      </c>
      <c r="I368" s="3">
        <v>37825</v>
      </c>
      <c r="J368">
        <f t="shared" si="68"/>
        <v>2003</v>
      </c>
      <c r="K368">
        <f t="shared" si="69"/>
        <v>7</v>
      </c>
      <c r="L368">
        <f t="shared" si="70"/>
        <v>23</v>
      </c>
      <c r="M368" s="3">
        <f t="shared" ca="1" si="71"/>
        <v>46100</v>
      </c>
      <c r="N368">
        <f t="shared" ca="1" si="72"/>
        <v>8275</v>
      </c>
      <c r="O368">
        <f t="shared" ca="1" si="73"/>
        <v>8275</v>
      </c>
      <c r="P368">
        <f t="shared" ca="1" si="74"/>
        <v>5912</v>
      </c>
      <c r="Q368">
        <v>29</v>
      </c>
      <c r="R368" t="str">
        <f t="shared" si="75"/>
        <v>Young</v>
      </c>
      <c r="S368" t="s">
        <v>34</v>
      </c>
      <c r="T368">
        <v>2</v>
      </c>
      <c r="U368" t="s">
        <v>25</v>
      </c>
      <c r="V368">
        <v>1866.01</v>
      </c>
      <c r="W368" t="s">
        <v>58</v>
      </c>
      <c r="X368" t="s">
        <v>47</v>
      </c>
      <c r="Y368">
        <v>6</v>
      </c>
      <c r="Z368" t="str">
        <f t="shared" si="76"/>
        <v>Bad Employee</v>
      </c>
      <c r="AA368" t="b">
        <f t="shared" si="77"/>
        <v>0</v>
      </c>
      <c r="AB368" t="b">
        <f>OR(Y368&gt;20, T368&gt;6)</f>
        <v>0</v>
      </c>
      <c r="AC368" t="str">
        <f>IF(OR(Y368&gt;20,T368&gt;6), "Good employee", "Bad Employee")</f>
        <v>Bad Employee</v>
      </c>
      <c r="AD368" t="s">
        <v>41</v>
      </c>
      <c r="AE368" t="s">
        <v>42</v>
      </c>
      <c r="AF368">
        <v>3</v>
      </c>
      <c r="AG368">
        <v>2016</v>
      </c>
      <c r="AH368" t="s">
        <v>30</v>
      </c>
      <c r="AI368">
        <v>17</v>
      </c>
      <c r="AJ368">
        <v>1.7</v>
      </c>
    </row>
    <row r="369" spans="1:36" x14ac:dyDescent="0.25">
      <c r="A369">
        <v>10368</v>
      </c>
      <c r="B369" t="s">
        <v>60</v>
      </c>
      <c r="C369" t="s">
        <v>32</v>
      </c>
      <c r="D369" t="s">
        <v>54</v>
      </c>
      <c r="E369" t="str">
        <f t="shared" si="65"/>
        <v>Jane Wilson is in Finance Department</v>
      </c>
      <c r="F369" s="6" t="str">
        <f t="shared" si="66"/>
        <v>janewilson@gmail.com</v>
      </c>
      <c r="G369">
        <v>103230</v>
      </c>
      <c r="H369" t="str">
        <f t="shared" si="67"/>
        <v>High</v>
      </c>
      <c r="I369" s="3">
        <v>42463</v>
      </c>
      <c r="J369">
        <f t="shared" si="68"/>
        <v>2016</v>
      </c>
      <c r="K369">
        <f t="shared" si="69"/>
        <v>4</v>
      </c>
      <c r="L369">
        <f t="shared" si="70"/>
        <v>3</v>
      </c>
      <c r="M369" s="3">
        <f t="shared" ca="1" si="71"/>
        <v>46100</v>
      </c>
      <c r="N369">
        <f t="shared" ca="1" si="72"/>
        <v>3637</v>
      </c>
      <c r="O369">
        <f t="shared" ca="1" si="73"/>
        <v>3637</v>
      </c>
      <c r="P369">
        <f t="shared" ca="1" si="74"/>
        <v>2599</v>
      </c>
      <c r="Q369">
        <v>24</v>
      </c>
      <c r="R369" t="str">
        <f t="shared" si="75"/>
        <v>Young</v>
      </c>
      <c r="S369" t="s">
        <v>24</v>
      </c>
      <c r="T369">
        <v>4</v>
      </c>
      <c r="U369" t="s">
        <v>25</v>
      </c>
      <c r="V369">
        <v>2524.4299999999998</v>
      </c>
      <c r="W369" t="s">
        <v>26</v>
      </c>
      <c r="X369" t="s">
        <v>55</v>
      </c>
      <c r="Y369">
        <v>36</v>
      </c>
      <c r="Z369" t="str">
        <f t="shared" si="76"/>
        <v>Bad Employee</v>
      </c>
      <c r="AA369" t="b">
        <f t="shared" si="77"/>
        <v>0</v>
      </c>
      <c r="AB369" t="b">
        <f>OR(Y369&gt;20, T369&gt;6)</f>
        <v>1</v>
      </c>
      <c r="AC369" t="str">
        <f>IF(OR(Y369&gt;20,T369&gt;6), "Good employee", "Bad Employee")</f>
        <v>Good employee</v>
      </c>
      <c r="AD369" t="s">
        <v>56</v>
      </c>
      <c r="AE369" t="s">
        <v>37</v>
      </c>
      <c r="AF369">
        <v>18</v>
      </c>
      <c r="AG369">
        <v>2017</v>
      </c>
      <c r="AH369" t="s">
        <v>43</v>
      </c>
      <c r="AI369">
        <v>198</v>
      </c>
      <c r="AJ369">
        <v>2.8</v>
      </c>
    </row>
    <row r="370" spans="1:36" x14ac:dyDescent="0.25">
      <c r="A370">
        <v>10369</v>
      </c>
      <c r="B370" t="s">
        <v>50</v>
      </c>
      <c r="C370" t="s">
        <v>65</v>
      </c>
      <c r="D370" t="s">
        <v>52</v>
      </c>
      <c r="E370" t="str">
        <f t="shared" si="65"/>
        <v>Alex Johnson is in Operations Department</v>
      </c>
      <c r="F370" s="6" t="str">
        <f t="shared" si="66"/>
        <v>alexjohnson@gmail.com</v>
      </c>
      <c r="G370">
        <v>34830</v>
      </c>
      <c r="H370" t="str">
        <f t="shared" si="67"/>
        <v>extremely low</v>
      </c>
      <c r="I370" s="3">
        <v>40006</v>
      </c>
      <c r="J370">
        <f t="shared" si="68"/>
        <v>2009</v>
      </c>
      <c r="K370">
        <f t="shared" si="69"/>
        <v>7</v>
      </c>
      <c r="L370">
        <f t="shared" si="70"/>
        <v>12</v>
      </c>
      <c r="M370" s="3">
        <f t="shared" ca="1" si="71"/>
        <v>46100</v>
      </c>
      <c r="N370">
        <f t="shared" ca="1" si="72"/>
        <v>6094</v>
      </c>
      <c r="O370">
        <f t="shared" ca="1" si="73"/>
        <v>6094</v>
      </c>
      <c r="P370">
        <f t="shared" ca="1" si="74"/>
        <v>4354</v>
      </c>
      <c r="Q370">
        <v>35</v>
      </c>
      <c r="R370" t="str">
        <f t="shared" si="75"/>
        <v>Old</v>
      </c>
      <c r="S370" t="s">
        <v>24</v>
      </c>
      <c r="T370">
        <v>1</v>
      </c>
      <c r="U370" t="s">
        <v>45</v>
      </c>
      <c r="V370">
        <v>3840.2</v>
      </c>
      <c r="W370" t="s">
        <v>35</v>
      </c>
      <c r="X370" t="s">
        <v>55</v>
      </c>
      <c r="Y370">
        <v>31</v>
      </c>
      <c r="Z370" t="str">
        <f t="shared" si="76"/>
        <v>Bad Employee</v>
      </c>
      <c r="AA370" t="b">
        <f t="shared" si="77"/>
        <v>0</v>
      </c>
      <c r="AB370" t="b">
        <f>OR(Y370&gt;20, T370&gt;6)</f>
        <v>1</v>
      </c>
      <c r="AC370" t="str">
        <f>IF(OR(Y370&gt;20,T370&gt;6), "Good employee", "Bad Employee")</f>
        <v>Good employee</v>
      </c>
      <c r="AD370" t="s">
        <v>56</v>
      </c>
      <c r="AE370" t="s">
        <v>59</v>
      </c>
      <c r="AF370">
        <v>10</v>
      </c>
      <c r="AG370">
        <v>2018</v>
      </c>
      <c r="AH370" t="s">
        <v>49</v>
      </c>
      <c r="AI370">
        <v>166</v>
      </c>
      <c r="AJ370">
        <v>4.7</v>
      </c>
    </row>
    <row r="371" spans="1:36" x14ac:dyDescent="0.25">
      <c r="A371">
        <v>10370</v>
      </c>
      <c r="B371" t="s">
        <v>21</v>
      </c>
      <c r="C371" t="s">
        <v>32</v>
      </c>
      <c r="D371" t="s">
        <v>44</v>
      </c>
      <c r="E371" t="str">
        <f t="shared" si="65"/>
        <v>Michael Wilson is in Sales Department</v>
      </c>
      <c r="F371" s="6" t="str">
        <f t="shared" si="66"/>
        <v>michaelwilson@gmail.com</v>
      </c>
      <c r="G371">
        <v>53930</v>
      </c>
      <c r="H371" t="str">
        <f t="shared" si="67"/>
        <v>Medium</v>
      </c>
      <c r="I371" s="3">
        <v>36865</v>
      </c>
      <c r="J371">
        <f t="shared" si="68"/>
        <v>2000</v>
      </c>
      <c r="K371">
        <f t="shared" si="69"/>
        <v>12</v>
      </c>
      <c r="L371">
        <f t="shared" si="70"/>
        <v>5</v>
      </c>
      <c r="M371" s="3">
        <f t="shared" ca="1" si="71"/>
        <v>46100</v>
      </c>
      <c r="N371">
        <f t="shared" ca="1" si="72"/>
        <v>9235</v>
      </c>
      <c r="O371">
        <f t="shared" ca="1" si="73"/>
        <v>9235</v>
      </c>
      <c r="P371">
        <f t="shared" ca="1" si="74"/>
        <v>6598</v>
      </c>
      <c r="Q371">
        <v>38</v>
      </c>
      <c r="R371" t="str">
        <f t="shared" si="75"/>
        <v>Old</v>
      </c>
      <c r="S371" t="s">
        <v>34</v>
      </c>
      <c r="T371">
        <v>4</v>
      </c>
      <c r="U371" t="s">
        <v>25</v>
      </c>
      <c r="V371">
        <v>3268.76</v>
      </c>
      <c r="W371" t="s">
        <v>35</v>
      </c>
      <c r="X371" t="s">
        <v>40</v>
      </c>
      <c r="Y371">
        <v>32</v>
      </c>
      <c r="Z371" t="str">
        <f t="shared" si="76"/>
        <v>Bad Employee</v>
      </c>
      <c r="AA371" t="b">
        <f t="shared" si="77"/>
        <v>0</v>
      </c>
      <c r="AB371" t="b">
        <f>OR(Y371&gt;20, T371&gt;6)</f>
        <v>1</v>
      </c>
      <c r="AC371" t="str">
        <f>IF(OR(Y371&gt;20,T371&gt;6), "Good employee", "Bad Employee")</f>
        <v>Good employee</v>
      </c>
      <c r="AD371" t="s">
        <v>28</v>
      </c>
      <c r="AE371" t="s">
        <v>42</v>
      </c>
      <c r="AF371">
        <v>14</v>
      </c>
      <c r="AG371">
        <v>2020</v>
      </c>
      <c r="AH371" t="s">
        <v>43</v>
      </c>
      <c r="AI371">
        <v>128</v>
      </c>
      <c r="AJ371">
        <v>3.6</v>
      </c>
    </row>
    <row r="372" spans="1:36" x14ac:dyDescent="0.25">
      <c r="A372">
        <v>10371</v>
      </c>
      <c r="B372" t="s">
        <v>31</v>
      </c>
      <c r="C372" t="s">
        <v>51</v>
      </c>
      <c r="D372" t="s">
        <v>39</v>
      </c>
      <c r="E372" t="str">
        <f t="shared" si="65"/>
        <v>Emily Brown is in IT Department</v>
      </c>
      <c r="F372" s="6" t="str">
        <f t="shared" si="66"/>
        <v>emilybrown@gmail.com</v>
      </c>
      <c r="G372">
        <v>53752</v>
      </c>
      <c r="H372" t="str">
        <f t="shared" si="67"/>
        <v>Medium</v>
      </c>
      <c r="I372" s="3">
        <v>36678</v>
      </c>
      <c r="J372">
        <f t="shared" si="68"/>
        <v>2000</v>
      </c>
      <c r="K372">
        <f t="shared" si="69"/>
        <v>6</v>
      </c>
      <c r="L372">
        <f t="shared" si="70"/>
        <v>1</v>
      </c>
      <c r="M372" s="3">
        <f t="shared" ca="1" si="71"/>
        <v>46100</v>
      </c>
      <c r="N372">
        <f t="shared" ca="1" si="72"/>
        <v>9422</v>
      </c>
      <c r="O372">
        <f t="shared" ca="1" si="73"/>
        <v>9422</v>
      </c>
      <c r="P372">
        <f t="shared" ca="1" si="74"/>
        <v>6731</v>
      </c>
      <c r="Q372">
        <v>55</v>
      </c>
      <c r="R372" t="str">
        <f t="shared" si="75"/>
        <v>Old</v>
      </c>
      <c r="S372" t="s">
        <v>24</v>
      </c>
      <c r="T372">
        <v>7</v>
      </c>
      <c r="U372" t="s">
        <v>45</v>
      </c>
      <c r="V372">
        <v>6850.94</v>
      </c>
      <c r="W372" t="s">
        <v>26</v>
      </c>
      <c r="X372" t="s">
        <v>36</v>
      </c>
      <c r="Y372">
        <v>20</v>
      </c>
      <c r="Z372" t="str">
        <f t="shared" si="76"/>
        <v>Bad Employee</v>
      </c>
      <c r="AA372" t="b">
        <f t="shared" si="77"/>
        <v>0</v>
      </c>
      <c r="AB372" t="b">
        <f>OR(Y372&gt;20, T372&gt;6)</f>
        <v>1</v>
      </c>
      <c r="AC372" t="str">
        <f>IF(OR(Y372&gt;20,T372&gt;6), "Good employee", "Bad Employee")</f>
        <v>Good employee</v>
      </c>
      <c r="AD372" t="s">
        <v>56</v>
      </c>
      <c r="AE372" t="s">
        <v>29</v>
      </c>
      <c r="AF372">
        <v>15</v>
      </c>
      <c r="AG372">
        <v>2018</v>
      </c>
      <c r="AH372" t="s">
        <v>49</v>
      </c>
      <c r="AI372">
        <v>19</v>
      </c>
      <c r="AJ372">
        <v>3.9</v>
      </c>
    </row>
    <row r="373" spans="1:36" x14ac:dyDescent="0.25">
      <c r="A373">
        <v>10372</v>
      </c>
      <c r="B373" t="s">
        <v>53</v>
      </c>
      <c r="C373" t="s">
        <v>61</v>
      </c>
      <c r="D373" t="s">
        <v>23</v>
      </c>
      <c r="E373" t="str">
        <f t="shared" si="65"/>
        <v>Sarah Smith is in HR Department</v>
      </c>
      <c r="F373" s="6" t="str">
        <f t="shared" si="66"/>
        <v>sarahsmith@gmail.com</v>
      </c>
      <c r="G373">
        <v>106025</v>
      </c>
      <c r="H373" t="str">
        <f t="shared" si="67"/>
        <v>High</v>
      </c>
      <c r="I373" s="3">
        <v>42210</v>
      </c>
      <c r="J373">
        <f t="shared" si="68"/>
        <v>2015</v>
      </c>
      <c r="K373">
        <f t="shared" si="69"/>
        <v>7</v>
      </c>
      <c r="L373">
        <f t="shared" si="70"/>
        <v>25</v>
      </c>
      <c r="M373" s="3">
        <f t="shared" ca="1" si="71"/>
        <v>46100</v>
      </c>
      <c r="N373">
        <f t="shared" ca="1" si="72"/>
        <v>3890</v>
      </c>
      <c r="O373">
        <f t="shared" ca="1" si="73"/>
        <v>3890</v>
      </c>
      <c r="P373">
        <f t="shared" ca="1" si="74"/>
        <v>2779</v>
      </c>
      <c r="Q373">
        <v>27</v>
      </c>
      <c r="R373" t="str">
        <f t="shared" si="75"/>
        <v>Young</v>
      </c>
      <c r="S373" t="s">
        <v>24</v>
      </c>
      <c r="T373">
        <v>8</v>
      </c>
      <c r="U373" t="s">
        <v>25</v>
      </c>
      <c r="V373">
        <v>8367.2800000000007</v>
      </c>
      <c r="W373" t="s">
        <v>46</v>
      </c>
      <c r="X373" t="s">
        <v>40</v>
      </c>
      <c r="Y373">
        <v>22</v>
      </c>
      <c r="Z373" t="str">
        <f t="shared" si="76"/>
        <v>Good Employee</v>
      </c>
      <c r="AA373" t="b">
        <f t="shared" si="77"/>
        <v>1</v>
      </c>
      <c r="AB373" t="b">
        <f>OR(Y373&gt;20, T373&gt;6)</f>
        <v>1</v>
      </c>
      <c r="AC373" t="str">
        <f>IF(OR(Y373&gt;20,T373&gt;6), "Good employee", "Bad Employee")</f>
        <v>Good employee</v>
      </c>
      <c r="AD373" t="s">
        <v>41</v>
      </c>
      <c r="AE373" t="s">
        <v>59</v>
      </c>
      <c r="AF373">
        <v>5</v>
      </c>
      <c r="AG373">
        <v>2014</v>
      </c>
      <c r="AH373" t="s">
        <v>49</v>
      </c>
      <c r="AI373">
        <v>62</v>
      </c>
      <c r="AJ373">
        <v>4.0999999999999996</v>
      </c>
    </row>
    <row r="374" spans="1:36" x14ac:dyDescent="0.25">
      <c r="A374">
        <v>10373</v>
      </c>
      <c r="B374" t="s">
        <v>60</v>
      </c>
      <c r="C374" t="s">
        <v>63</v>
      </c>
      <c r="D374" t="s">
        <v>52</v>
      </c>
      <c r="E374" t="str">
        <f t="shared" si="65"/>
        <v>Jane Miller is in Operations Department</v>
      </c>
      <c r="F374" s="6" t="str">
        <f t="shared" si="66"/>
        <v>janemiller@gmail.com</v>
      </c>
      <c r="G374">
        <v>111304</v>
      </c>
      <c r="H374" t="str">
        <f t="shared" si="67"/>
        <v>High</v>
      </c>
      <c r="I374" s="3">
        <v>37947</v>
      </c>
      <c r="J374">
        <f t="shared" si="68"/>
        <v>2003</v>
      </c>
      <c r="K374">
        <f t="shared" si="69"/>
        <v>11</v>
      </c>
      <c r="L374">
        <f t="shared" si="70"/>
        <v>22</v>
      </c>
      <c r="M374" s="3">
        <f t="shared" ca="1" si="71"/>
        <v>46100</v>
      </c>
      <c r="N374">
        <f t="shared" ca="1" si="72"/>
        <v>8153</v>
      </c>
      <c r="O374">
        <f t="shared" ca="1" si="73"/>
        <v>8153</v>
      </c>
      <c r="P374">
        <f t="shared" ca="1" si="74"/>
        <v>5824</v>
      </c>
      <c r="Q374">
        <v>26</v>
      </c>
      <c r="R374" t="str">
        <f t="shared" si="75"/>
        <v>Young</v>
      </c>
      <c r="S374" t="s">
        <v>34</v>
      </c>
      <c r="T374">
        <v>2</v>
      </c>
      <c r="U374" t="s">
        <v>45</v>
      </c>
      <c r="V374">
        <v>2324.83</v>
      </c>
      <c r="W374" t="s">
        <v>26</v>
      </c>
      <c r="X374" t="s">
        <v>55</v>
      </c>
      <c r="Y374">
        <v>3</v>
      </c>
      <c r="Z374" t="str">
        <f t="shared" si="76"/>
        <v>Bad Employee</v>
      </c>
      <c r="AA374" t="b">
        <f t="shared" si="77"/>
        <v>0</v>
      </c>
      <c r="AB374" t="b">
        <f>OR(Y374&gt;20, T374&gt;6)</f>
        <v>0</v>
      </c>
      <c r="AC374" t="str">
        <f>IF(OR(Y374&gt;20,T374&gt;6), "Good employee", "Bad Employee")</f>
        <v>Bad Employee</v>
      </c>
      <c r="AD374" t="s">
        <v>41</v>
      </c>
      <c r="AE374" t="s">
        <v>37</v>
      </c>
      <c r="AF374">
        <v>11</v>
      </c>
      <c r="AG374">
        <v>2015</v>
      </c>
      <c r="AH374" t="s">
        <v>30</v>
      </c>
      <c r="AI374">
        <v>116</v>
      </c>
      <c r="AJ374">
        <v>1.4</v>
      </c>
    </row>
    <row r="375" spans="1:36" x14ac:dyDescent="0.25">
      <c r="A375">
        <v>10374</v>
      </c>
      <c r="B375" t="s">
        <v>53</v>
      </c>
      <c r="C375" t="s">
        <v>51</v>
      </c>
      <c r="D375" t="s">
        <v>39</v>
      </c>
      <c r="E375" t="str">
        <f t="shared" si="65"/>
        <v>Sarah Brown is in IT Department</v>
      </c>
      <c r="F375" s="6" t="str">
        <f t="shared" si="66"/>
        <v>sarahbrown@gmail.com</v>
      </c>
      <c r="G375">
        <v>92040</v>
      </c>
      <c r="H375" t="str">
        <f t="shared" si="67"/>
        <v>High</v>
      </c>
      <c r="I375" s="3">
        <v>42089</v>
      </c>
      <c r="J375">
        <f t="shared" si="68"/>
        <v>2015</v>
      </c>
      <c r="K375">
        <f t="shared" si="69"/>
        <v>3</v>
      </c>
      <c r="L375">
        <f t="shared" si="70"/>
        <v>26</v>
      </c>
      <c r="M375" s="3">
        <f t="shared" ca="1" si="71"/>
        <v>46100</v>
      </c>
      <c r="N375">
        <f t="shared" ca="1" si="72"/>
        <v>4011</v>
      </c>
      <c r="O375">
        <f t="shared" ca="1" si="73"/>
        <v>4011</v>
      </c>
      <c r="P375">
        <f t="shared" ca="1" si="74"/>
        <v>2866</v>
      </c>
      <c r="Q375">
        <v>62</v>
      </c>
      <c r="R375" t="str">
        <f t="shared" si="75"/>
        <v>Old</v>
      </c>
      <c r="S375" t="s">
        <v>24</v>
      </c>
      <c r="T375">
        <v>3</v>
      </c>
      <c r="U375" t="s">
        <v>25</v>
      </c>
      <c r="V375">
        <v>5848.31</v>
      </c>
      <c r="W375" t="s">
        <v>46</v>
      </c>
      <c r="X375" t="s">
        <v>47</v>
      </c>
      <c r="Y375">
        <v>8</v>
      </c>
      <c r="Z375" t="str">
        <f t="shared" si="76"/>
        <v>Bad Employee</v>
      </c>
      <c r="AA375" t="b">
        <f t="shared" si="77"/>
        <v>0</v>
      </c>
      <c r="AB375" t="b">
        <f>OR(Y375&gt;20, T375&gt;6)</f>
        <v>0</v>
      </c>
      <c r="AC375" t="str">
        <f>IF(OR(Y375&gt;20,T375&gt;6), "Good employee", "Bad Employee")</f>
        <v>Bad Employee</v>
      </c>
      <c r="AD375" t="s">
        <v>41</v>
      </c>
      <c r="AE375" t="s">
        <v>62</v>
      </c>
      <c r="AF375">
        <v>7</v>
      </c>
      <c r="AG375">
        <v>2016</v>
      </c>
      <c r="AH375" t="s">
        <v>43</v>
      </c>
      <c r="AI375">
        <v>63</v>
      </c>
      <c r="AJ375">
        <v>3.3</v>
      </c>
    </row>
    <row r="376" spans="1:36" x14ac:dyDescent="0.25">
      <c r="A376">
        <v>10375</v>
      </c>
      <c r="B376" t="s">
        <v>66</v>
      </c>
      <c r="C376" t="s">
        <v>22</v>
      </c>
      <c r="D376" t="s">
        <v>33</v>
      </c>
      <c r="E376" t="str">
        <f t="shared" si="65"/>
        <v>John Williams is in Marketing Department</v>
      </c>
      <c r="F376" s="6" t="str">
        <f t="shared" si="66"/>
        <v>johnwilliams@gmail.com</v>
      </c>
      <c r="G376">
        <v>97696</v>
      </c>
      <c r="H376" t="str">
        <f t="shared" si="67"/>
        <v>High</v>
      </c>
      <c r="I376" s="3">
        <v>39577</v>
      </c>
      <c r="J376">
        <f t="shared" si="68"/>
        <v>2008</v>
      </c>
      <c r="K376">
        <f t="shared" si="69"/>
        <v>5</v>
      </c>
      <c r="L376">
        <f t="shared" si="70"/>
        <v>9</v>
      </c>
      <c r="M376" s="3">
        <f t="shared" ca="1" si="71"/>
        <v>46100</v>
      </c>
      <c r="N376">
        <f t="shared" ca="1" si="72"/>
        <v>6523</v>
      </c>
      <c r="O376">
        <f t="shared" ca="1" si="73"/>
        <v>6523</v>
      </c>
      <c r="P376">
        <f t="shared" ca="1" si="74"/>
        <v>4660</v>
      </c>
      <c r="Q376">
        <v>61</v>
      </c>
      <c r="R376" t="str">
        <f t="shared" si="75"/>
        <v>Old</v>
      </c>
      <c r="S376" t="s">
        <v>34</v>
      </c>
      <c r="T376">
        <v>1</v>
      </c>
      <c r="U376" t="s">
        <v>25</v>
      </c>
      <c r="V376">
        <v>3994.25</v>
      </c>
      <c r="W376" t="s">
        <v>58</v>
      </c>
      <c r="X376" t="s">
        <v>47</v>
      </c>
      <c r="Y376">
        <v>19</v>
      </c>
      <c r="Z376" t="str">
        <f t="shared" si="76"/>
        <v>Bad Employee</v>
      </c>
      <c r="AA376" t="b">
        <f t="shared" si="77"/>
        <v>0</v>
      </c>
      <c r="AB376" t="b">
        <f>OR(Y376&gt;20, T376&gt;6)</f>
        <v>0</v>
      </c>
      <c r="AC376" t="str">
        <f>IF(OR(Y376&gt;20,T376&gt;6), "Good employee", "Bad Employee")</f>
        <v>Bad Employee</v>
      </c>
      <c r="AD376" t="s">
        <v>28</v>
      </c>
      <c r="AE376" t="s">
        <v>48</v>
      </c>
      <c r="AF376">
        <v>9</v>
      </c>
      <c r="AG376">
        <v>2019</v>
      </c>
      <c r="AH376" t="s">
        <v>43</v>
      </c>
      <c r="AI376">
        <v>198</v>
      </c>
      <c r="AJ376">
        <v>2.5</v>
      </c>
    </row>
    <row r="377" spans="1:36" x14ac:dyDescent="0.25">
      <c r="A377">
        <v>10376</v>
      </c>
      <c r="B377" t="s">
        <v>31</v>
      </c>
      <c r="C377" t="s">
        <v>57</v>
      </c>
      <c r="D377" t="s">
        <v>52</v>
      </c>
      <c r="E377" t="str">
        <f t="shared" si="65"/>
        <v>Emily Davis is in Operations Department</v>
      </c>
      <c r="F377" s="6" t="str">
        <f t="shared" si="66"/>
        <v>emilydavis@gmail.com</v>
      </c>
      <c r="G377">
        <v>94648</v>
      </c>
      <c r="H377" t="str">
        <f t="shared" si="67"/>
        <v>High</v>
      </c>
      <c r="I377" s="3">
        <v>36952</v>
      </c>
      <c r="J377">
        <f t="shared" si="68"/>
        <v>2001</v>
      </c>
      <c r="K377">
        <f t="shared" si="69"/>
        <v>3</v>
      </c>
      <c r="L377">
        <f t="shared" si="70"/>
        <v>2</v>
      </c>
      <c r="M377" s="3">
        <f t="shared" ca="1" si="71"/>
        <v>46100</v>
      </c>
      <c r="N377">
        <f t="shared" ca="1" si="72"/>
        <v>9148</v>
      </c>
      <c r="O377">
        <f t="shared" ca="1" si="73"/>
        <v>9148</v>
      </c>
      <c r="P377">
        <f t="shared" ca="1" si="74"/>
        <v>6535</v>
      </c>
      <c r="Q377">
        <v>50</v>
      </c>
      <c r="R377" t="str">
        <f t="shared" si="75"/>
        <v>Old</v>
      </c>
      <c r="S377" t="s">
        <v>24</v>
      </c>
      <c r="T377">
        <v>7</v>
      </c>
      <c r="U377" t="s">
        <v>45</v>
      </c>
      <c r="V377">
        <v>5304.89</v>
      </c>
      <c r="W377" t="s">
        <v>35</v>
      </c>
      <c r="X377" t="s">
        <v>55</v>
      </c>
      <c r="Y377">
        <v>31</v>
      </c>
      <c r="Z377" t="str">
        <f t="shared" si="76"/>
        <v>Good Employee</v>
      </c>
      <c r="AA377" t="b">
        <f t="shared" si="77"/>
        <v>1</v>
      </c>
      <c r="AB377" t="b">
        <f>OR(Y377&gt;20, T377&gt;6)</f>
        <v>1</v>
      </c>
      <c r="AC377" t="str">
        <f>IF(OR(Y377&gt;20,T377&gt;6), "Good employee", "Bad Employee")</f>
        <v>Good employee</v>
      </c>
      <c r="AD377" t="s">
        <v>56</v>
      </c>
      <c r="AE377" t="s">
        <v>37</v>
      </c>
      <c r="AF377">
        <v>10</v>
      </c>
      <c r="AG377">
        <v>2011</v>
      </c>
      <c r="AH377" t="s">
        <v>30</v>
      </c>
      <c r="AI377">
        <v>56</v>
      </c>
      <c r="AJ377">
        <v>1.6</v>
      </c>
    </row>
    <row r="378" spans="1:36" x14ac:dyDescent="0.25">
      <c r="A378">
        <v>10377</v>
      </c>
      <c r="B378" t="s">
        <v>31</v>
      </c>
      <c r="C378" t="s">
        <v>51</v>
      </c>
      <c r="D378" t="s">
        <v>39</v>
      </c>
      <c r="E378" t="str">
        <f t="shared" si="65"/>
        <v>Emily Brown is in IT Department</v>
      </c>
      <c r="F378" s="6" t="str">
        <f t="shared" si="66"/>
        <v>emilybrown@gmail.com</v>
      </c>
      <c r="G378">
        <v>85030</v>
      </c>
      <c r="H378" t="str">
        <f t="shared" si="67"/>
        <v>High</v>
      </c>
      <c r="I378" s="3">
        <v>43672</v>
      </c>
      <c r="J378">
        <f t="shared" si="68"/>
        <v>2019</v>
      </c>
      <c r="K378">
        <f t="shared" si="69"/>
        <v>7</v>
      </c>
      <c r="L378">
        <f t="shared" si="70"/>
        <v>26</v>
      </c>
      <c r="M378" s="3">
        <f t="shared" ca="1" si="71"/>
        <v>46100</v>
      </c>
      <c r="N378">
        <f t="shared" ca="1" si="72"/>
        <v>2428</v>
      </c>
      <c r="O378">
        <f t="shared" ca="1" si="73"/>
        <v>2428</v>
      </c>
      <c r="P378">
        <f t="shared" ca="1" si="74"/>
        <v>1735</v>
      </c>
      <c r="Q378">
        <v>56</v>
      </c>
      <c r="R378" t="str">
        <f t="shared" si="75"/>
        <v>Old</v>
      </c>
      <c r="S378" t="s">
        <v>24</v>
      </c>
      <c r="T378">
        <v>4</v>
      </c>
      <c r="U378" t="s">
        <v>25</v>
      </c>
      <c r="V378">
        <v>6397.2</v>
      </c>
      <c r="W378" t="s">
        <v>35</v>
      </c>
      <c r="X378" t="s">
        <v>36</v>
      </c>
      <c r="Y378">
        <v>32</v>
      </c>
      <c r="Z378" t="str">
        <f t="shared" si="76"/>
        <v>Bad Employee</v>
      </c>
      <c r="AA378" t="b">
        <f t="shared" si="77"/>
        <v>0</v>
      </c>
      <c r="AB378" t="b">
        <f>OR(Y378&gt;20, T378&gt;6)</f>
        <v>1</v>
      </c>
      <c r="AC378" t="str">
        <f>IF(OR(Y378&gt;20,T378&gt;6), "Good employee", "Bad Employee")</f>
        <v>Good employee</v>
      </c>
      <c r="AD378" t="s">
        <v>41</v>
      </c>
      <c r="AE378" t="s">
        <v>62</v>
      </c>
      <c r="AF378">
        <v>8</v>
      </c>
      <c r="AG378">
        <v>2018</v>
      </c>
      <c r="AH378" t="s">
        <v>43</v>
      </c>
      <c r="AI378">
        <v>73</v>
      </c>
      <c r="AJ378">
        <v>1.8</v>
      </c>
    </row>
    <row r="379" spans="1:36" x14ac:dyDescent="0.25">
      <c r="A379">
        <v>10378</v>
      </c>
      <c r="B379" t="s">
        <v>66</v>
      </c>
      <c r="C379" t="s">
        <v>57</v>
      </c>
      <c r="D379" t="s">
        <v>52</v>
      </c>
      <c r="E379" t="str">
        <f t="shared" si="65"/>
        <v>John Davis is in Operations Department</v>
      </c>
      <c r="F379" s="6" t="str">
        <f t="shared" si="66"/>
        <v>johndavis@gmail.com</v>
      </c>
      <c r="G379">
        <v>86815</v>
      </c>
      <c r="H379" t="str">
        <f t="shared" si="67"/>
        <v>High</v>
      </c>
      <c r="I379" s="3">
        <v>40084</v>
      </c>
      <c r="J379">
        <f t="shared" si="68"/>
        <v>2009</v>
      </c>
      <c r="K379">
        <f t="shared" si="69"/>
        <v>9</v>
      </c>
      <c r="L379">
        <f t="shared" si="70"/>
        <v>28</v>
      </c>
      <c r="M379" s="3">
        <f t="shared" ca="1" si="71"/>
        <v>46100</v>
      </c>
      <c r="N379">
        <f t="shared" ca="1" si="72"/>
        <v>6016</v>
      </c>
      <c r="O379">
        <f t="shared" ca="1" si="73"/>
        <v>6016</v>
      </c>
      <c r="P379">
        <f t="shared" ca="1" si="74"/>
        <v>4299</v>
      </c>
      <c r="Q379">
        <v>39</v>
      </c>
      <c r="R379" t="str">
        <f t="shared" si="75"/>
        <v>Old</v>
      </c>
      <c r="S379" t="s">
        <v>24</v>
      </c>
      <c r="T379">
        <v>8</v>
      </c>
      <c r="U379" t="s">
        <v>45</v>
      </c>
      <c r="V379">
        <v>8989.2000000000007</v>
      </c>
      <c r="W379" t="s">
        <v>26</v>
      </c>
      <c r="X379" t="s">
        <v>27</v>
      </c>
      <c r="Y379">
        <v>15</v>
      </c>
      <c r="Z379" t="str">
        <f t="shared" si="76"/>
        <v>Bad Employee</v>
      </c>
      <c r="AA379" t="b">
        <f t="shared" si="77"/>
        <v>0</v>
      </c>
      <c r="AB379" t="b">
        <f>OR(Y379&gt;20, T379&gt;6)</f>
        <v>1</v>
      </c>
      <c r="AC379" t="str">
        <f>IF(OR(Y379&gt;20,T379&gt;6), "Good employee", "Bad Employee")</f>
        <v>Good employee</v>
      </c>
      <c r="AD379" t="s">
        <v>28</v>
      </c>
      <c r="AE379" t="s">
        <v>42</v>
      </c>
      <c r="AF379">
        <v>16</v>
      </c>
      <c r="AG379">
        <v>2010</v>
      </c>
      <c r="AH379" t="s">
        <v>43</v>
      </c>
      <c r="AI379">
        <v>107</v>
      </c>
      <c r="AJ379">
        <v>4.0999999999999996</v>
      </c>
    </row>
    <row r="380" spans="1:36" x14ac:dyDescent="0.25">
      <c r="A380">
        <v>10379</v>
      </c>
      <c r="B380" t="s">
        <v>60</v>
      </c>
      <c r="C380" t="s">
        <v>32</v>
      </c>
      <c r="D380" t="s">
        <v>54</v>
      </c>
      <c r="E380" t="str">
        <f t="shared" si="65"/>
        <v>Jane Wilson is in Finance Department</v>
      </c>
      <c r="F380" s="6" t="str">
        <f t="shared" si="66"/>
        <v>janewilson@gmail.com</v>
      </c>
      <c r="G380">
        <v>115669</v>
      </c>
      <c r="H380" t="str">
        <f t="shared" si="67"/>
        <v>High</v>
      </c>
      <c r="I380" s="3">
        <v>42873</v>
      </c>
      <c r="J380">
        <f t="shared" si="68"/>
        <v>2017</v>
      </c>
      <c r="K380">
        <f t="shared" si="69"/>
        <v>5</v>
      </c>
      <c r="L380">
        <f t="shared" si="70"/>
        <v>18</v>
      </c>
      <c r="M380" s="3">
        <f t="shared" ca="1" si="71"/>
        <v>46100</v>
      </c>
      <c r="N380">
        <f t="shared" ca="1" si="72"/>
        <v>3227</v>
      </c>
      <c r="O380">
        <f t="shared" ca="1" si="73"/>
        <v>3227</v>
      </c>
      <c r="P380">
        <f t="shared" ca="1" si="74"/>
        <v>2306</v>
      </c>
      <c r="Q380">
        <v>61</v>
      </c>
      <c r="R380" t="str">
        <f t="shared" si="75"/>
        <v>Old</v>
      </c>
      <c r="S380" t="s">
        <v>24</v>
      </c>
      <c r="T380">
        <v>5</v>
      </c>
      <c r="U380" t="s">
        <v>45</v>
      </c>
      <c r="V380">
        <v>2326.7800000000002</v>
      </c>
      <c r="W380" t="s">
        <v>58</v>
      </c>
      <c r="X380" t="s">
        <v>27</v>
      </c>
      <c r="Y380">
        <v>39</v>
      </c>
      <c r="Z380" t="str">
        <f t="shared" si="76"/>
        <v>Bad Employee</v>
      </c>
      <c r="AA380" t="b">
        <f t="shared" si="77"/>
        <v>0</v>
      </c>
      <c r="AB380" t="b">
        <f>OR(Y380&gt;20, T380&gt;6)</f>
        <v>1</v>
      </c>
      <c r="AC380" t="str">
        <f>IF(OR(Y380&gt;20,T380&gt;6), "Good employee", "Bad Employee")</f>
        <v>Good employee</v>
      </c>
      <c r="AD380" t="s">
        <v>28</v>
      </c>
      <c r="AE380" t="s">
        <v>29</v>
      </c>
      <c r="AF380">
        <v>13</v>
      </c>
      <c r="AG380">
        <v>2023</v>
      </c>
      <c r="AH380" t="s">
        <v>49</v>
      </c>
      <c r="AI380">
        <v>9</v>
      </c>
      <c r="AJ380">
        <v>1.6</v>
      </c>
    </row>
    <row r="381" spans="1:36" x14ac:dyDescent="0.25">
      <c r="A381">
        <v>10380</v>
      </c>
      <c r="B381" t="s">
        <v>66</v>
      </c>
      <c r="C381" t="s">
        <v>51</v>
      </c>
      <c r="D381" t="s">
        <v>44</v>
      </c>
      <c r="E381" t="str">
        <f t="shared" si="65"/>
        <v>John Brown is in Sales Department</v>
      </c>
      <c r="F381" s="6" t="str">
        <f t="shared" si="66"/>
        <v>johnbrown@gmail.com</v>
      </c>
      <c r="G381">
        <v>65690</v>
      </c>
      <c r="H381" t="str">
        <f t="shared" si="67"/>
        <v>Medium</v>
      </c>
      <c r="I381" s="3">
        <v>37661</v>
      </c>
      <c r="J381">
        <f t="shared" si="68"/>
        <v>2003</v>
      </c>
      <c r="K381">
        <f t="shared" si="69"/>
        <v>2</v>
      </c>
      <c r="L381">
        <f t="shared" si="70"/>
        <v>9</v>
      </c>
      <c r="M381" s="3">
        <f t="shared" ca="1" si="71"/>
        <v>46100</v>
      </c>
      <c r="N381">
        <f t="shared" ca="1" si="72"/>
        <v>8439</v>
      </c>
      <c r="O381">
        <f t="shared" ca="1" si="73"/>
        <v>8439</v>
      </c>
      <c r="P381">
        <f t="shared" ca="1" si="74"/>
        <v>6029</v>
      </c>
      <c r="Q381">
        <v>51</v>
      </c>
      <c r="R381" t="str">
        <f t="shared" si="75"/>
        <v>Old</v>
      </c>
      <c r="S381" t="s">
        <v>34</v>
      </c>
      <c r="T381">
        <v>9</v>
      </c>
      <c r="U381" t="s">
        <v>25</v>
      </c>
      <c r="V381">
        <v>1326.56</v>
      </c>
      <c r="W381" t="s">
        <v>26</v>
      </c>
      <c r="X381" t="s">
        <v>40</v>
      </c>
      <c r="Y381">
        <v>31</v>
      </c>
      <c r="Z381" t="str">
        <f t="shared" si="76"/>
        <v>Good Employee</v>
      </c>
      <c r="AA381" t="b">
        <f t="shared" si="77"/>
        <v>1</v>
      </c>
      <c r="AB381" t="b">
        <f>OR(Y381&gt;20, T381&gt;6)</f>
        <v>1</v>
      </c>
      <c r="AC381" t="str">
        <f>IF(OR(Y381&gt;20,T381&gt;6), "Good employee", "Bad Employee")</f>
        <v>Good employee</v>
      </c>
      <c r="AD381" t="s">
        <v>28</v>
      </c>
      <c r="AE381" t="s">
        <v>48</v>
      </c>
      <c r="AF381">
        <v>2</v>
      </c>
      <c r="AG381">
        <v>2015</v>
      </c>
      <c r="AH381" t="s">
        <v>43</v>
      </c>
      <c r="AI381">
        <v>47</v>
      </c>
      <c r="AJ381">
        <v>2.2000000000000002</v>
      </c>
    </row>
    <row r="382" spans="1:36" x14ac:dyDescent="0.25">
      <c r="A382">
        <v>10381</v>
      </c>
      <c r="B382" t="s">
        <v>53</v>
      </c>
      <c r="C382" t="s">
        <v>32</v>
      </c>
      <c r="D382" t="s">
        <v>39</v>
      </c>
      <c r="E382" t="str">
        <f t="shared" si="65"/>
        <v>Sarah Wilson is in IT Department</v>
      </c>
      <c r="F382" s="6" t="str">
        <f t="shared" si="66"/>
        <v>sarahwilson@gmail.com</v>
      </c>
      <c r="G382">
        <v>118406</v>
      </c>
      <c r="H382" t="str">
        <f t="shared" si="67"/>
        <v>High</v>
      </c>
      <c r="I382" s="3">
        <v>38898</v>
      </c>
      <c r="J382">
        <f t="shared" si="68"/>
        <v>2006</v>
      </c>
      <c r="K382">
        <f t="shared" si="69"/>
        <v>6</v>
      </c>
      <c r="L382">
        <f t="shared" si="70"/>
        <v>30</v>
      </c>
      <c r="M382" s="3">
        <f t="shared" ca="1" si="71"/>
        <v>46100</v>
      </c>
      <c r="N382">
        <f t="shared" ca="1" si="72"/>
        <v>7202</v>
      </c>
      <c r="O382">
        <f t="shared" ca="1" si="73"/>
        <v>7202</v>
      </c>
      <c r="P382">
        <f t="shared" ca="1" si="74"/>
        <v>5145</v>
      </c>
      <c r="Q382">
        <v>36</v>
      </c>
      <c r="R382" t="str">
        <f t="shared" si="75"/>
        <v>Old</v>
      </c>
      <c r="S382" t="s">
        <v>24</v>
      </c>
      <c r="T382">
        <v>6</v>
      </c>
      <c r="U382" t="s">
        <v>45</v>
      </c>
      <c r="V382">
        <v>6458.51</v>
      </c>
      <c r="W382" t="s">
        <v>26</v>
      </c>
      <c r="X382" t="s">
        <v>36</v>
      </c>
      <c r="Y382">
        <v>3</v>
      </c>
      <c r="Z382" t="str">
        <f t="shared" si="76"/>
        <v>Bad Employee</v>
      </c>
      <c r="AA382" t="b">
        <f t="shared" si="77"/>
        <v>0</v>
      </c>
      <c r="AB382" t="b">
        <f>OR(Y382&gt;20, T382&gt;6)</f>
        <v>0</v>
      </c>
      <c r="AC382" t="str">
        <f>IF(OR(Y382&gt;20,T382&gt;6), "Good employee", "Bad Employee")</f>
        <v>Bad Employee</v>
      </c>
      <c r="AD382" t="s">
        <v>56</v>
      </c>
      <c r="AE382" t="s">
        <v>29</v>
      </c>
      <c r="AF382">
        <v>8</v>
      </c>
      <c r="AG382">
        <v>2015</v>
      </c>
      <c r="AH382" t="s">
        <v>43</v>
      </c>
      <c r="AI382">
        <v>12</v>
      </c>
      <c r="AJ382">
        <v>2.1</v>
      </c>
    </row>
    <row r="383" spans="1:36" x14ac:dyDescent="0.25">
      <c r="A383">
        <v>10382</v>
      </c>
      <c r="B383" t="s">
        <v>64</v>
      </c>
      <c r="C383" t="s">
        <v>22</v>
      </c>
      <c r="D383" t="s">
        <v>44</v>
      </c>
      <c r="E383" t="str">
        <f t="shared" si="65"/>
        <v>Katie Williams is in Sales Department</v>
      </c>
      <c r="F383" s="6" t="str">
        <f t="shared" si="66"/>
        <v>katiewilliams@gmail.com</v>
      </c>
      <c r="G383">
        <v>87923</v>
      </c>
      <c r="H383" t="str">
        <f t="shared" si="67"/>
        <v>High</v>
      </c>
      <c r="I383" s="3">
        <v>39855</v>
      </c>
      <c r="J383">
        <f t="shared" si="68"/>
        <v>2009</v>
      </c>
      <c r="K383">
        <f t="shared" si="69"/>
        <v>2</v>
      </c>
      <c r="L383">
        <f t="shared" si="70"/>
        <v>11</v>
      </c>
      <c r="M383" s="3">
        <f t="shared" ca="1" si="71"/>
        <v>46100</v>
      </c>
      <c r="N383">
        <f t="shared" ca="1" si="72"/>
        <v>6245</v>
      </c>
      <c r="O383">
        <f t="shared" ca="1" si="73"/>
        <v>6245</v>
      </c>
      <c r="P383">
        <f t="shared" ca="1" si="74"/>
        <v>4462</v>
      </c>
      <c r="Q383">
        <v>36</v>
      </c>
      <c r="R383" t="str">
        <f t="shared" si="75"/>
        <v>Old</v>
      </c>
      <c r="S383" t="s">
        <v>34</v>
      </c>
      <c r="T383">
        <v>2</v>
      </c>
      <c r="U383" t="s">
        <v>25</v>
      </c>
      <c r="V383">
        <v>4244.24</v>
      </c>
      <c r="W383" t="s">
        <v>26</v>
      </c>
      <c r="X383" t="s">
        <v>27</v>
      </c>
      <c r="Y383">
        <v>32</v>
      </c>
      <c r="Z383" t="str">
        <f t="shared" si="76"/>
        <v>Bad Employee</v>
      </c>
      <c r="AA383" t="b">
        <f t="shared" si="77"/>
        <v>0</v>
      </c>
      <c r="AB383" t="b">
        <f>OR(Y383&gt;20, T383&gt;6)</f>
        <v>1</v>
      </c>
      <c r="AC383" t="str">
        <f>IF(OR(Y383&gt;20,T383&gt;6), "Good employee", "Bad Employee")</f>
        <v>Good employee</v>
      </c>
      <c r="AD383" t="s">
        <v>56</v>
      </c>
      <c r="AE383" t="s">
        <v>42</v>
      </c>
      <c r="AF383">
        <v>19</v>
      </c>
      <c r="AG383">
        <v>2023</v>
      </c>
      <c r="AH383" t="s">
        <v>49</v>
      </c>
      <c r="AI383">
        <v>82</v>
      </c>
      <c r="AJ383">
        <v>1.2</v>
      </c>
    </row>
    <row r="384" spans="1:36" x14ac:dyDescent="0.25">
      <c r="A384">
        <v>10383</v>
      </c>
      <c r="B384" t="s">
        <v>31</v>
      </c>
      <c r="C384" t="s">
        <v>61</v>
      </c>
      <c r="D384" t="s">
        <v>54</v>
      </c>
      <c r="E384" t="str">
        <f t="shared" si="65"/>
        <v>Emily Smith is in Finance Department</v>
      </c>
      <c r="F384" s="6" t="str">
        <f t="shared" si="66"/>
        <v>emilysmith@gmail.com</v>
      </c>
      <c r="G384">
        <v>66572</v>
      </c>
      <c r="H384" t="str">
        <f t="shared" si="67"/>
        <v>Medium</v>
      </c>
      <c r="I384" s="3">
        <v>37475</v>
      </c>
      <c r="J384">
        <f t="shared" si="68"/>
        <v>2002</v>
      </c>
      <c r="K384">
        <f t="shared" si="69"/>
        <v>8</v>
      </c>
      <c r="L384">
        <f t="shared" si="70"/>
        <v>7</v>
      </c>
      <c r="M384" s="3">
        <f t="shared" ca="1" si="71"/>
        <v>46100</v>
      </c>
      <c r="N384">
        <f t="shared" ca="1" si="72"/>
        <v>8625</v>
      </c>
      <c r="O384">
        <f t="shared" ca="1" si="73"/>
        <v>8625</v>
      </c>
      <c r="P384">
        <f t="shared" ca="1" si="74"/>
        <v>6162</v>
      </c>
      <c r="Q384">
        <v>37</v>
      </c>
      <c r="R384" t="str">
        <f t="shared" si="75"/>
        <v>Old</v>
      </c>
      <c r="S384" t="s">
        <v>34</v>
      </c>
      <c r="T384">
        <v>1</v>
      </c>
      <c r="U384" t="s">
        <v>25</v>
      </c>
      <c r="V384">
        <v>2047.58</v>
      </c>
      <c r="W384" t="s">
        <v>46</v>
      </c>
      <c r="X384" t="s">
        <v>36</v>
      </c>
      <c r="Y384">
        <v>10</v>
      </c>
      <c r="Z384" t="str">
        <f t="shared" si="76"/>
        <v>Bad Employee</v>
      </c>
      <c r="AA384" t="b">
        <f t="shared" si="77"/>
        <v>0</v>
      </c>
      <c r="AB384" t="b">
        <f>OR(Y384&gt;20, T384&gt;6)</f>
        <v>0</v>
      </c>
      <c r="AC384" t="str">
        <f>IF(OR(Y384&gt;20,T384&gt;6), "Good employee", "Bad Employee")</f>
        <v>Bad Employee</v>
      </c>
      <c r="AD384" t="s">
        <v>56</v>
      </c>
      <c r="AE384" t="s">
        <v>29</v>
      </c>
      <c r="AF384">
        <v>17</v>
      </c>
      <c r="AG384">
        <v>2016</v>
      </c>
      <c r="AH384" t="s">
        <v>30</v>
      </c>
      <c r="AI384">
        <v>97</v>
      </c>
      <c r="AJ384">
        <v>2.8</v>
      </c>
    </row>
    <row r="385" spans="1:36" x14ac:dyDescent="0.25">
      <c r="A385">
        <v>10384</v>
      </c>
      <c r="B385" t="s">
        <v>38</v>
      </c>
      <c r="C385" t="s">
        <v>22</v>
      </c>
      <c r="D385" t="s">
        <v>54</v>
      </c>
      <c r="E385" t="str">
        <f t="shared" si="65"/>
        <v>Chris Williams is in Finance Department</v>
      </c>
      <c r="F385" s="6" t="str">
        <f t="shared" si="66"/>
        <v>chriswilliams@gmail.com</v>
      </c>
      <c r="G385">
        <v>84030</v>
      </c>
      <c r="H385" t="str">
        <f t="shared" si="67"/>
        <v>High</v>
      </c>
      <c r="I385" s="3">
        <v>43620</v>
      </c>
      <c r="J385">
        <f t="shared" si="68"/>
        <v>2019</v>
      </c>
      <c r="K385">
        <f t="shared" si="69"/>
        <v>6</v>
      </c>
      <c r="L385">
        <f t="shared" si="70"/>
        <v>4</v>
      </c>
      <c r="M385" s="3">
        <f t="shared" ca="1" si="71"/>
        <v>46100</v>
      </c>
      <c r="N385">
        <f t="shared" ca="1" si="72"/>
        <v>2480</v>
      </c>
      <c r="O385">
        <f t="shared" ca="1" si="73"/>
        <v>2480</v>
      </c>
      <c r="P385">
        <f t="shared" ca="1" si="74"/>
        <v>1773</v>
      </c>
      <c r="Q385">
        <v>54</v>
      </c>
      <c r="R385" t="str">
        <f t="shared" si="75"/>
        <v>Old</v>
      </c>
      <c r="S385" t="s">
        <v>24</v>
      </c>
      <c r="T385">
        <v>1</v>
      </c>
      <c r="U385" t="s">
        <v>25</v>
      </c>
      <c r="V385">
        <v>1612.33</v>
      </c>
      <c r="W385" t="s">
        <v>35</v>
      </c>
      <c r="X385" t="s">
        <v>47</v>
      </c>
      <c r="Y385">
        <v>28</v>
      </c>
      <c r="Z385" t="str">
        <f t="shared" si="76"/>
        <v>Bad Employee</v>
      </c>
      <c r="AA385" t="b">
        <f t="shared" si="77"/>
        <v>0</v>
      </c>
      <c r="AB385" t="b">
        <f>OR(Y385&gt;20, T385&gt;6)</f>
        <v>1</v>
      </c>
      <c r="AC385" t="str">
        <f>IF(OR(Y385&gt;20,T385&gt;6), "Good employee", "Bad Employee")</f>
        <v>Good employee</v>
      </c>
      <c r="AD385" t="s">
        <v>28</v>
      </c>
      <c r="AE385" t="s">
        <v>59</v>
      </c>
      <c r="AF385">
        <v>16</v>
      </c>
      <c r="AG385">
        <v>2011</v>
      </c>
      <c r="AH385" t="s">
        <v>49</v>
      </c>
      <c r="AI385">
        <v>67</v>
      </c>
      <c r="AJ385">
        <v>4.0999999999999996</v>
      </c>
    </row>
    <row r="386" spans="1:36" x14ac:dyDescent="0.25">
      <c r="A386">
        <v>10385</v>
      </c>
      <c r="B386" t="s">
        <v>38</v>
      </c>
      <c r="C386" t="s">
        <v>61</v>
      </c>
      <c r="D386" t="s">
        <v>44</v>
      </c>
      <c r="E386" t="str">
        <f t="shared" si="65"/>
        <v>Chris Smith is in Sales Department</v>
      </c>
      <c r="F386" s="6" t="str">
        <f t="shared" si="66"/>
        <v>chrissmith@gmail.com</v>
      </c>
      <c r="G386">
        <v>97904</v>
      </c>
      <c r="H386" t="str">
        <f t="shared" si="67"/>
        <v>High</v>
      </c>
      <c r="I386" s="3">
        <v>37899</v>
      </c>
      <c r="J386">
        <f t="shared" si="68"/>
        <v>2003</v>
      </c>
      <c r="K386">
        <f t="shared" si="69"/>
        <v>10</v>
      </c>
      <c r="L386">
        <f t="shared" si="70"/>
        <v>5</v>
      </c>
      <c r="M386" s="3">
        <f t="shared" ca="1" si="71"/>
        <v>46100</v>
      </c>
      <c r="N386">
        <f t="shared" ca="1" si="72"/>
        <v>8201</v>
      </c>
      <c r="O386">
        <f t="shared" ca="1" si="73"/>
        <v>8201</v>
      </c>
      <c r="P386">
        <f t="shared" ca="1" si="74"/>
        <v>5859</v>
      </c>
      <c r="Q386">
        <v>31</v>
      </c>
      <c r="R386" t="str">
        <f t="shared" si="75"/>
        <v>Old</v>
      </c>
      <c r="S386" t="s">
        <v>24</v>
      </c>
      <c r="T386">
        <v>9</v>
      </c>
      <c r="U386" t="s">
        <v>25</v>
      </c>
      <c r="V386">
        <v>5809.64</v>
      </c>
      <c r="W386" t="s">
        <v>35</v>
      </c>
      <c r="X386" t="s">
        <v>47</v>
      </c>
      <c r="Y386">
        <v>27</v>
      </c>
      <c r="Z386" t="str">
        <f t="shared" si="76"/>
        <v>Good Employee</v>
      </c>
      <c r="AA386" t="b">
        <f t="shared" si="77"/>
        <v>1</v>
      </c>
      <c r="AB386" t="b">
        <f>OR(Y386&gt;20, T386&gt;6)</f>
        <v>1</v>
      </c>
      <c r="AC386" t="str">
        <f>IF(OR(Y386&gt;20,T386&gt;6), "Good employee", "Bad Employee")</f>
        <v>Good employee</v>
      </c>
      <c r="AD386" t="s">
        <v>28</v>
      </c>
      <c r="AE386" t="s">
        <v>59</v>
      </c>
      <c r="AF386">
        <v>4</v>
      </c>
      <c r="AG386">
        <v>2022</v>
      </c>
      <c r="AH386" t="s">
        <v>30</v>
      </c>
      <c r="AI386">
        <v>167</v>
      </c>
      <c r="AJ386">
        <v>1.1000000000000001</v>
      </c>
    </row>
    <row r="387" spans="1:36" x14ac:dyDescent="0.25">
      <c r="A387">
        <v>10386</v>
      </c>
      <c r="B387" t="s">
        <v>53</v>
      </c>
      <c r="C387" t="s">
        <v>32</v>
      </c>
      <c r="D387" t="s">
        <v>39</v>
      </c>
      <c r="E387" t="str">
        <f t="shared" ref="E387:E450" si="78">CONCATENATE(B387, " ", C387, " is in ", D387, " Department")</f>
        <v>Sarah Wilson is in IT Department</v>
      </c>
      <c r="F387" s="6" t="str">
        <f t="shared" ref="F387:F450" si="79">LOWER(CONCATENATE(B387, C387, "@gmail.com"))</f>
        <v>sarahwilson@gmail.com</v>
      </c>
      <c r="G387">
        <v>59203</v>
      </c>
      <c r="H387" t="str">
        <f t="shared" ref="H387:H450" si="80">IF(G387&gt;80000, "High", IF(G387&gt;50000, "Medium", IF(G387&gt;40000, "low", "extremely low")))</f>
        <v>Medium</v>
      </c>
      <c r="I387" s="3">
        <v>42652</v>
      </c>
      <c r="J387">
        <f t="shared" ref="J387:J450" si="81">YEAR(I387)</f>
        <v>2016</v>
      </c>
      <c r="K387">
        <f t="shared" ref="K387:K450" si="82">MONTH(I387)</f>
        <v>10</v>
      </c>
      <c r="L387">
        <f t="shared" ref="L387:L450" si="83">DAY(I387)</f>
        <v>9</v>
      </c>
      <c r="M387" s="3">
        <f t="shared" ref="M387:M450" ca="1" si="84">TODAY()</f>
        <v>46100</v>
      </c>
      <c r="N387">
        <f t="shared" ref="N387:N450" ca="1" si="85">M387-I387</f>
        <v>3448</v>
      </c>
      <c r="O387">
        <f t="shared" ref="O387:O450" ca="1" si="86">DATEDIF(I387,M387, "d")</f>
        <v>3448</v>
      </c>
      <c r="P387">
        <f t="shared" ref="P387:P450" ca="1" si="87">NETWORKDAYS(I387, M387)</f>
        <v>2464</v>
      </c>
      <c r="Q387">
        <v>40</v>
      </c>
      <c r="R387" t="str">
        <f t="shared" ref="R387:R450" si="88">IF(Q387&gt;30, "Old", "Young")</f>
        <v>Old</v>
      </c>
      <c r="S387" t="s">
        <v>34</v>
      </c>
      <c r="T387">
        <v>1</v>
      </c>
      <c r="U387" t="s">
        <v>25</v>
      </c>
      <c r="V387">
        <v>3354.47</v>
      </c>
      <c r="W387" t="s">
        <v>26</v>
      </c>
      <c r="X387" t="s">
        <v>36</v>
      </c>
      <c r="Y387">
        <v>31</v>
      </c>
      <c r="Z387" t="str">
        <f t="shared" ref="Z387:Z450" si="89" xml:space="preserve"> IF(AND(Y387&gt;20, T387&gt;6), "Good Employee", "Bad Employee")</f>
        <v>Bad Employee</v>
      </c>
      <c r="AA387" t="b">
        <f t="shared" ref="AA387:AA450" si="90">AND(Y387&gt;20, T387&gt;6)</f>
        <v>0</v>
      </c>
      <c r="AB387" t="b">
        <f>OR(Y387&gt;20, T387&gt;6)</f>
        <v>1</v>
      </c>
      <c r="AC387" t="str">
        <f>IF(OR(Y387&gt;20,T387&gt;6), "Good employee", "Bad Employee")</f>
        <v>Good employee</v>
      </c>
      <c r="AD387" t="s">
        <v>56</v>
      </c>
      <c r="AE387" t="s">
        <v>37</v>
      </c>
      <c r="AF387">
        <v>19</v>
      </c>
      <c r="AG387">
        <v>2015</v>
      </c>
      <c r="AH387" t="s">
        <v>30</v>
      </c>
      <c r="AI387">
        <v>36</v>
      </c>
      <c r="AJ387">
        <v>1.5</v>
      </c>
    </row>
    <row r="388" spans="1:36" x14ac:dyDescent="0.25">
      <c r="A388">
        <v>10387</v>
      </c>
      <c r="B388" t="s">
        <v>50</v>
      </c>
      <c r="C388" t="s">
        <v>61</v>
      </c>
      <c r="D388" t="s">
        <v>44</v>
      </c>
      <c r="E388" t="str">
        <f t="shared" si="78"/>
        <v>Alex Smith is in Sales Department</v>
      </c>
      <c r="F388" s="6" t="str">
        <f t="shared" si="79"/>
        <v>alexsmith@gmail.com</v>
      </c>
      <c r="G388">
        <v>107088</v>
      </c>
      <c r="H388" t="str">
        <f t="shared" si="80"/>
        <v>High</v>
      </c>
      <c r="I388" s="3">
        <v>43608</v>
      </c>
      <c r="J388">
        <f t="shared" si="81"/>
        <v>2019</v>
      </c>
      <c r="K388">
        <f t="shared" si="82"/>
        <v>5</v>
      </c>
      <c r="L388">
        <f t="shared" si="83"/>
        <v>23</v>
      </c>
      <c r="M388" s="3">
        <f t="shared" ca="1" si="84"/>
        <v>46100</v>
      </c>
      <c r="N388">
        <f t="shared" ca="1" si="85"/>
        <v>2492</v>
      </c>
      <c r="O388">
        <f t="shared" ca="1" si="86"/>
        <v>2492</v>
      </c>
      <c r="P388">
        <f t="shared" ca="1" si="87"/>
        <v>1781</v>
      </c>
      <c r="Q388">
        <v>58</v>
      </c>
      <c r="R388" t="str">
        <f t="shared" si="88"/>
        <v>Old</v>
      </c>
      <c r="S388" t="s">
        <v>24</v>
      </c>
      <c r="T388">
        <v>3</v>
      </c>
      <c r="U388" t="s">
        <v>25</v>
      </c>
      <c r="V388">
        <v>9975.5499999999993</v>
      </c>
      <c r="W388" t="s">
        <v>46</v>
      </c>
      <c r="X388" t="s">
        <v>55</v>
      </c>
      <c r="Y388">
        <v>34</v>
      </c>
      <c r="Z388" t="str">
        <f t="shared" si="89"/>
        <v>Bad Employee</v>
      </c>
      <c r="AA388" t="b">
        <f t="shared" si="90"/>
        <v>0</v>
      </c>
      <c r="AB388" t="b">
        <f>OR(Y388&gt;20, T388&gt;6)</f>
        <v>1</v>
      </c>
      <c r="AC388" t="str">
        <f>IF(OR(Y388&gt;20,T388&gt;6), "Good employee", "Bad Employee")</f>
        <v>Good employee</v>
      </c>
      <c r="AD388" t="s">
        <v>41</v>
      </c>
      <c r="AE388" t="s">
        <v>37</v>
      </c>
      <c r="AF388">
        <v>5</v>
      </c>
      <c r="AG388">
        <v>2015</v>
      </c>
      <c r="AH388" t="s">
        <v>49</v>
      </c>
      <c r="AI388">
        <v>101</v>
      </c>
      <c r="AJ388">
        <v>3.9</v>
      </c>
    </row>
    <row r="389" spans="1:36" x14ac:dyDescent="0.25">
      <c r="A389">
        <v>10388</v>
      </c>
      <c r="B389" t="s">
        <v>21</v>
      </c>
      <c r="C389" t="s">
        <v>57</v>
      </c>
      <c r="D389" t="s">
        <v>44</v>
      </c>
      <c r="E389" t="str">
        <f t="shared" si="78"/>
        <v>Michael Davis is in Sales Department</v>
      </c>
      <c r="F389" s="6" t="str">
        <f t="shared" si="79"/>
        <v>michaeldavis@gmail.com</v>
      </c>
      <c r="G389">
        <v>35608</v>
      </c>
      <c r="H389" t="str">
        <f t="shared" si="80"/>
        <v>extremely low</v>
      </c>
      <c r="I389" s="3">
        <v>37482</v>
      </c>
      <c r="J389">
        <f t="shared" si="81"/>
        <v>2002</v>
      </c>
      <c r="K389">
        <f t="shared" si="82"/>
        <v>8</v>
      </c>
      <c r="L389">
        <f t="shared" si="83"/>
        <v>14</v>
      </c>
      <c r="M389" s="3">
        <f t="shared" ca="1" si="84"/>
        <v>46100</v>
      </c>
      <c r="N389">
        <f t="shared" ca="1" si="85"/>
        <v>8618</v>
      </c>
      <c r="O389">
        <f t="shared" ca="1" si="86"/>
        <v>8618</v>
      </c>
      <c r="P389">
        <f t="shared" ca="1" si="87"/>
        <v>6157</v>
      </c>
      <c r="Q389">
        <v>24</v>
      </c>
      <c r="R389" t="str">
        <f t="shared" si="88"/>
        <v>Young</v>
      </c>
      <c r="S389" t="s">
        <v>24</v>
      </c>
      <c r="T389">
        <v>2</v>
      </c>
      <c r="U389" t="s">
        <v>45</v>
      </c>
      <c r="V389">
        <v>4356.0600000000004</v>
      </c>
      <c r="W389" t="s">
        <v>35</v>
      </c>
      <c r="X389" t="s">
        <v>27</v>
      </c>
      <c r="Y389">
        <v>5</v>
      </c>
      <c r="Z389" t="str">
        <f t="shared" si="89"/>
        <v>Bad Employee</v>
      </c>
      <c r="AA389" t="b">
        <f t="shared" si="90"/>
        <v>0</v>
      </c>
      <c r="AB389" t="b">
        <f>OR(Y389&gt;20, T389&gt;6)</f>
        <v>0</v>
      </c>
      <c r="AC389" t="str">
        <f>IF(OR(Y389&gt;20,T389&gt;6), "Good employee", "Bad Employee")</f>
        <v>Bad Employee</v>
      </c>
      <c r="AD389" t="s">
        <v>56</v>
      </c>
      <c r="AE389" t="s">
        <v>37</v>
      </c>
      <c r="AF389">
        <v>2</v>
      </c>
      <c r="AG389">
        <v>2018</v>
      </c>
      <c r="AH389" t="s">
        <v>49</v>
      </c>
      <c r="AI389">
        <v>122</v>
      </c>
      <c r="AJ389">
        <v>3.4</v>
      </c>
    </row>
    <row r="390" spans="1:36" x14ac:dyDescent="0.25">
      <c r="A390">
        <v>10389</v>
      </c>
      <c r="B390" t="s">
        <v>66</v>
      </c>
      <c r="C390" t="s">
        <v>63</v>
      </c>
      <c r="D390" t="s">
        <v>23</v>
      </c>
      <c r="E390" t="str">
        <f t="shared" si="78"/>
        <v>John Miller is in HR Department</v>
      </c>
      <c r="F390" s="6" t="str">
        <f t="shared" si="79"/>
        <v>johnmiller@gmail.com</v>
      </c>
      <c r="G390">
        <v>75667</v>
      </c>
      <c r="H390" t="str">
        <f t="shared" si="80"/>
        <v>Medium</v>
      </c>
      <c r="I390" s="3">
        <v>38227</v>
      </c>
      <c r="J390">
        <f t="shared" si="81"/>
        <v>2004</v>
      </c>
      <c r="K390">
        <f t="shared" si="82"/>
        <v>8</v>
      </c>
      <c r="L390">
        <f t="shared" si="83"/>
        <v>28</v>
      </c>
      <c r="M390" s="3">
        <f t="shared" ca="1" si="84"/>
        <v>46100</v>
      </c>
      <c r="N390">
        <f t="shared" ca="1" si="85"/>
        <v>7873</v>
      </c>
      <c r="O390">
        <f t="shared" ca="1" si="86"/>
        <v>7873</v>
      </c>
      <c r="P390">
        <f t="shared" ca="1" si="87"/>
        <v>5624</v>
      </c>
      <c r="Q390">
        <v>57</v>
      </c>
      <c r="R390" t="str">
        <f t="shared" si="88"/>
        <v>Old</v>
      </c>
      <c r="S390" t="s">
        <v>34</v>
      </c>
      <c r="T390">
        <v>4</v>
      </c>
      <c r="U390" t="s">
        <v>25</v>
      </c>
      <c r="V390">
        <v>2516.7199999999998</v>
      </c>
      <c r="W390" t="s">
        <v>46</v>
      </c>
      <c r="X390" t="s">
        <v>27</v>
      </c>
      <c r="Y390">
        <v>11</v>
      </c>
      <c r="Z390" t="str">
        <f t="shared" si="89"/>
        <v>Bad Employee</v>
      </c>
      <c r="AA390" t="b">
        <f t="shared" si="90"/>
        <v>0</v>
      </c>
      <c r="AB390" t="b">
        <f>OR(Y390&gt;20, T390&gt;6)</f>
        <v>0</v>
      </c>
      <c r="AC390" t="str">
        <f>IF(OR(Y390&gt;20,T390&gt;6), "Good employee", "Bad Employee")</f>
        <v>Bad Employee</v>
      </c>
      <c r="AD390" t="s">
        <v>28</v>
      </c>
      <c r="AE390" t="s">
        <v>37</v>
      </c>
      <c r="AF390">
        <v>15</v>
      </c>
      <c r="AG390">
        <v>2023</v>
      </c>
      <c r="AH390" t="s">
        <v>30</v>
      </c>
      <c r="AI390">
        <v>28</v>
      </c>
      <c r="AJ390">
        <v>3.9</v>
      </c>
    </row>
    <row r="391" spans="1:36" x14ac:dyDescent="0.25">
      <c r="A391">
        <v>10390</v>
      </c>
      <c r="B391" t="s">
        <v>66</v>
      </c>
      <c r="C391" t="s">
        <v>22</v>
      </c>
      <c r="D391" t="s">
        <v>39</v>
      </c>
      <c r="E391" t="str">
        <f t="shared" si="78"/>
        <v>John Williams is in IT Department</v>
      </c>
      <c r="F391" s="6" t="str">
        <f t="shared" si="79"/>
        <v>johnwilliams@gmail.com</v>
      </c>
      <c r="G391">
        <v>85547</v>
      </c>
      <c r="H391" t="str">
        <f t="shared" si="80"/>
        <v>High</v>
      </c>
      <c r="I391" s="3">
        <v>39467</v>
      </c>
      <c r="J391">
        <f t="shared" si="81"/>
        <v>2008</v>
      </c>
      <c r="K391">
        <f t="shared" si="82"/>
        <v>1</v>
      </c>
      <c r="L391">
        <f t="shared" si="83"/>
        <v>20</v>
      </c>
      <c r="M391" s="3">
        <f t="shared" ca="1" si="84"/>
        <v>46100</v>
      </c>
      <c r="N391">
        <f t="shared" ca="1" si="85"/>
        <v>6633</v>
      </c>
      <c r="O391">
        <f t="shared" ca="1" si="86"/>
        <v>6633</v>
      </c>
      <c r="P391">
        <f t="shared" ca="1" si="87"/>
        <v>4739</v>
      </c>
      <c r="Q391">
        <v>25</v>
      </c>
      <c r="R391" t="str">
        <f t="shared" si="88"/>
        <v>Young</v>
      </c>
      <c r="S391" t="s">
        <v>24</v>
      </c>
      <c r="T391">
        <v>1</v>
      </c>
      <c r="U391" t="s">
        <v>25</v>
      </c>
      <c r="V391">
        <v>6474.07</v>
      </c>
      <c r="W391" t="s">
        <v>58</v>
      </c>
      <c r="X391" t="s">
        <v>47</v>
      </c>
      <c r="Y391">
        <v>7</v>
      </c>
      <c r="Z391" t="str">
        <f t="shared" si="89"/>
        <v>Bad Employee</v>
      </c>
      <c r="AA391" t="b">
        <f t="shared" si="90"/>
        <v>0</v>
      </c>
      <c r="AB391" t="b">
        <f>OR(Y391&gt;20, T391&gt;6)</f>
        <v>0</v>
      </c>
      <c r="AC391" t="str">
        <f>IF(OR(Y391&gt;20,T391&gt;6), "Good employee", "Bad Employee")</f>
        <v>Bad Employee</v>
      </c>
      <c r="AD391" t="s">
        <v>28</v>
      </c>
      <c r="AE391" t="s">
        <v>42</v>
      </c>
      <c r="AF391">
        <v>14</v>
      </c>
      <c r="AG391">
        <v>2017</v>
      </c>
      <c r="AH391" t="s">
        <v>49</v>
      </c>
      <c r="AI391">
        <v>54</v>
      </c>
      <c r="AJ391">
        <v>1.9</v>
      </c>
    </row>
    <row r="392" spans="1:36" x14ac:dyDescent="0.25">
      <c r="A392">
        <v>10391</v>
      </c>
      <c r="B392" t="s">
        <v>50</v>
      </c>
      <c r="C392" t="s">
        <v>51</v>
      </c>
      <c r="D392" t="s">
        <v>23</v>
      </c>
      <c r="E392" t="str">
        <f t="shared" si="78"/>
        <v>Alex Brown is in HR Department</v>
      </c>
      <c r="F392" s="6" t="str">
        <f t="shared" si="79"/>
        <v>alexbrown@gmail.com</v>
      </c>
      <c r="G392">
        <v>52485</v>
      </c>
      <c r="H392" t="str">
        <f t="shared" si="80"/>
        <v>Medium</v>
      </c>
      <c r="I392" s="3">
        <v>39008</v>
      </c>
      <c r="J392">
        <f t="shared" si="81"/>
        <v>2006</v>
      </c>
      <c r="K392">
        <f t="shared" si="82"/>
        <v>10</v>
      </c>
      <c r="L392">
        <f t="shared" si="83"/>
        <v>18</v>
      </c>
      <c r="M392" s="3">
        <f t="shared" ca="1" si="84"/>
        <v>46100</v>
      </c>
      <c r="N392">
        <f t="shared" ca="1" si="85"/>
        <v>7092</v>
      </c>
      <c r="O392">
        <f t="shared" ca="1" si="86"/>
        <v>7092</v>
      </c>
      <c r="P392">
        <f t="shared" ca="1" si="87"/>
        <v>5067</v>
      </c>
      <c r="Q392">
        <v>32</v>
      </c>
      <c r="R392" t="str">
        <f t="shared" si="88"/>
        <v>Old</v>
      </c>
      <c r="S392" t="s">
        <v>34</v>
      </c>
      <c r="T392">
        <v>1</v>
      </c>
      <c r="U392" t="s">
        <v>25</v>
      </c>
      <c r="V392">
        <v>2820.42</v>
      </c>
      <c r="W392" t="s">
        <v>46</v>
      </c>
      <c r="X392" t="s">
        <v>40</v>
      </c>
      <c r="Y392">
        <v>8</v>
      </c>
      <c r="Z392" t="str">
        <f t="shared" si="89"/>
        <v>Bad Employee</v>
      </c>
      <c r="AA392" t="b">
        <f t="shared" si="90"/>
        <v>0</v>
      </c>
      <c r="AB392" t="b">
        <f>OR(Y392&gt;20, T392&gt;6)</f>
        <v>0</v>
      </c>
      <c r="AC392" t="str">
        <f>IF(OR(Y392&gt;20,T392&gt;6), "Good employee", "Bad Employee")</f>
        <v>Bad Employee</v>
      </c>
      <c r="AD392" t="s">
        <v>28</v>
      </c>
      <c r="AE392" t="s">
        <v>29</v>
      </c>
      <c r="AF392">
        <v>7</v>
      </c>
      <c r="AG392">
        <v>2014</v>
      </c>
      <c r="AH392" t="s">
        <v>49</v>
      </c>
      <c r="AI392">
        <v>122</v>
      </c>
      <c r="AJ392">
        <v>4.2</v>
      </c>
    </row>
    <row r="393" spans="1:36" x14ac:dyDescent="0.25">
      <c r="A393">
        <v>10392</v>
      </c>
      <c r="B393" t="s">
        <v>50</v>
      </c>
      <c r="C393" t="s">
        <v>22</v>
      </c>
      <c r="D393" t="s">
        <v>52</v>
      </c>
      <c r="E393" t="str">
        <f t="shared" si="78"/>
        <v>Alex Williams is in Operations Department</v>
      </c>
      <c r="F393" s="6" t="str">
        <f t="shared" si="79"/>
        <v>alexwilliams@gmail.com</v>
      </c>
      <c r="G393">
        <v>39862</v>
      </c>
      <c r="H393" t="str">
        <f t="shared" si="80"/>
        <v>extremely low</v>
      </c>
      <c r="I393" s="3">
        <v>37829</v>
      </c>
      <c r="J393">
        <f t="shared" si="81"/>
        <v>2003</v>
      </c>
      <c r="K393">
        <f t="shared" si="82"/>
        <v>7</v>
      </c>
      <c r="L393">
        <f t="shared" si="83"/>
        <v>27</v>
      </c>
      <c r="M393" s="3">
        <f t="shared" ca="1" si="84"/>
        <v>46100</v>
      </c>
      <c r="N393">
        <f t="shared" ca="1" si="85"/>
        <v>8271</v>
      </c>
      <c r="O393">
        <f t="shared" ca="1" si="86"/>
        <v>8271</v>
      </c>
      <c r="P393">
        <f t="shared" ca="1" si="87"/>
        <v>5909</v>
      </c>
      <c r="Q393">
        <v>62</v>
      </c>
      <c r="R393" t="str">
        <f t="shared" si="88"/>
        <v>Old</v>
      </c>
      <c r="S393" t="s">
        <v>24</v>
      </c>
      <c r="T393">
        <v>4</v>
      </c>
      <c r="U393" t="s">
        <v>45</v>
      </c>
      <c r="V393">
        <v>5193.82</v>
      </c>
      <c r="W393" t="s">
        <v>46</v>
      </c>
      <c r="X393" t="s">
        <v>27</v>
      </c>
      <c r="Y393">
        <v>17</v>
      </c>
      <c r="Z393" t="str">
        <f t="shared" si="89"/>
        <v>Bad Employee</v>
      </c>
      <c r="AA393" t="b">
        <f t="shared" si="90"/>
        <v>0</v>
      </c>
      <c r="AB393" t="b">
        <f>OR(Y393&gt;20, T393&gt;6)</f>
        <v>0</v>
      </c>
      <c r="AC393" t="str">
        <f>IF(OR(Y393&gt;20,T393&gt;6), "Good employee", "Bad Employee")</f>
        <v>Bad Employee</v>
      </c>
      <c r="AD393" t="s">
        <v>28</v>
      </c>
      <c r="AE393" t="s">
        <v>37</v>
      </c>
      <c r="AF393">
        <v>8</v>
      </c>
      <c r="AG393">
        <v>2016</v>
      </c>
      <c r="AH393" t="s">
        <v>43</v>
      </c>
      <c r="AI393">
        <v>191</v>
      </c>
      <c r="AJ393">
        <v>2.9</v>
      </c>
    </row>
    <row r="394" spans="1:36" x14ac:dyDescent="0.25">
      <c r="A394">
        <v>10393</v>
      </c>
      <c r="B394" t="s">
        <v>53</v>
      </c>
      <c r="C394" t="s">
        <v>57</v>
      </c>
      <c r="D394" t="s">
        <v>44</v>
      </c>
      <c r="E394" t="str">
        <f t="shared" si="78"/>
        <v>Sarah Davis is in Sales Department</v>
      </c>
      <c r="F394" s="6" t="str">
        <f t="shared" si="79"/>
        <v>sarahdavis@gmail.com</v>
      </c>
      <c r="G394">
        <v>105948</v>
      </c>
      <c r="H394" t="str">
        <f t="shared" si="80"/>
        <v>High</v>
      </c>
      <c r="I394" s="3">
        <v>36896</v>
      </c>
      <c r="J394">
        <f t="shared" si="81"/>
        <v>2001</v>
      </c>
      <c r="K394">
        <f t="shared" si="82"/>
        <v>1</v>
      </c>
      <c r="L394">
        <f t="shared" si="83"/>
        <v>5</v>
      </c>
      <c r="M394" s="3">
        <f t="shared" ca="1" si="84"/>
        <v>46100</v>
      </c>
      <c r="N394">
        <f t="shared" ca="1" si="85"/>
        <v>9204</v>
      </c>
      <c r="O394">
        <f t="shared" ca="1" si="86"/>
        <v>9204</v>
      </c>
      <c r="P394">
        <f t="shared" ca="1" si="87"/>
        <v>6575</v>
      </c>
      <c r="Q394">
        <v>54</v>
      </c>
      <c r="R394" t="str">
        <f t="shared" si="88"/>
        <v>Old</v>
      </c>
      <c r="S394" t="s">
        <v>24</v>
      </c>
      <c r="T394">
        <v>4</v>
      </c>
      <c r="U394" t="s">
        <v>45</v>
      </c>
      <c r="V394">
        <v>5084.47</v>
      </c>
      <c r="W394" t="s">
        <v>58</v>
      </c>
      <c r="X394" t="s">
        <v>47</v>
      </c>
      <c r="Y394">
        <v>39</v>
      </c>
      <c r="Z394" t="str">
        <f t="shared" si="89"/>
        <v>Bad Employee</v>
      </c>
      <c r="AA394" t="b">
        <f t="shared" si="90"/>
        <v>0</v>
      </c>
      <c r="AB394" t="b">
        <f>OR(Y394&gt;20, T394&gt;6)</f>
        <v>1</v>
      </c>
      <c r="AC394" t="str">
        <f>IF(OR(Y394&gt;20,T394&gt;6), "Good employee", "Bad Employee")</f>
        <v>Good employee</v>
      </c>
      <c r="AD394" t="s">
        <v>28</v>
      </c>
      <c r="AE394" t="s">
        <v>42</v>
      </c>
      <c r="AF394">
        <v>3</v>
      </c>
      <c r="AG394">
        <v>2016</v>
      </c>
      <c r="AH394" t="s">
        <v>49</v>
      </c>
      <c r="AI394">
        <v>197</v>
      </c>
      <c r="AJ394">
        <v>3.4</v>
      </c>
    </row>
    <row r="395" spans="1:36" x14ac:dyDescent="0.25">
      <c r="A395">
        <v>10394</v>
      </c>
      <c r="B395" t="s">
        <v>53</v>
      </c>
      <c r="C395" t="s">
        <v>61</v>
      </c>
      <c r="D395" t="s">
        <v>52</v>
      </c>
      <c r="E395" t="str">
        <f t="shared" si="78"/>
        <v>Sarah Smith is in Operations Department</v>
      </c>
      <c r="F395" s="6" t="str">
        <f t="shared" si="79"/>
        <v>sarahsmith@gmail.com</v>
      </c>
      <c r="G395">
        <v>116890</v>
      </c>
      <c r="H395" t="str">
        <f t="shared" si="80"/>
        <v>High</v>
      </c>
      <c r="I395" s="3">
        <v>39506</v>
      </c>
      <c r="J395">
        <f t="shared" si="81"/>
        <v>2008</v>
      </c>
      <c r="K395">
        <f t="shared" si="82"/>
        <v>2</v>
      </c>
      <c r="L395">
        <f t="shared" si="83"/>
        <v>28</v>
      </c>
      <c r="M395" s="3">
        <f t="shared" ca="1" si="84"/>
        <v>46100</v>
      </c>
      <c r="N395">
        <f t="shared" ca="1" si="85"/>
        <v>6594</v>
      </c>
      <c r="O395">
        <f t="shared" ca="1" si="86"/>
        <v>6594</v>
      </c>
      <c r="P395">
        <f t="shared" ca="1" si="87"/>
        <v>4711</v>
      </c>
      <c r="Q395">
        <v>49</v>
      </c>
      <c r="R395" t="str">
        <f t="shared" si="88"/>
        <v>Old</v>
      </c>
      <c r="S395" t="s">
        <v>24</v>
      </c>
      <c r="T395">
        <v>7</v>
      </c>
      <c r="U395" t="s">
        <v>45</v>
      </c>
      <c r="V395">
        <v>4808.8</v>
      </c>
      <c r="W395" t="s">
        <v>35</v>
      </c>
      <c r="X395" t="s">
        <v>47</v>
      </c>
      <c r="Y395">
        <v>14</v>
      </c>
      <c r="Z395" t="str">
        <f t="shared" si="89"/>
        <v>Bad Employee</v>
      </c>
      <c r="AA395" t="b">
        <f t="shared" si="90"/>
        <v>0</v>
      </c>
      <c r="AB395" t="b">
        <f>OR(Y395&gt;20, T395&gt;6)</f>
        <v>1</v>
      </c>
      <c r="AC395" t="str">
        <f>IF(OR(Y395&gt;20,T395&gt;6), "Good employee", "Bad Employee")</f>
        <v>Good employee</v>
      </c>
      <c r="AD395" t="s">
        <v>28</v>
      </c>
      <c r="AE395" t="s">
        <v>48</v>
      </c>
      <c r="AF395">
        <v>12</v>
      </c>
      <c r="AG395">
        <v>2014</v>
      </c>
      <c r="AH395" t="s">
        <v>49</v>
      </c>
      <c r="AI395">
        <v>132</v>
      </c>
      <c r="AJ395">
        <v>1.4</v>
      </c>
    </row>
    <row r="396" spans="1:36" x14ac:dyDescent="0.25">
      <c r="A396">
        <v>10395</v>
      </c>
      <c r="B396" t="s">
        <v>50</v>
      </c>
      <c r="C396" t="s">
        <v>57</v>
      </c>
      <c r="D396" t="s">
        <v>39</v>
      </c>
      <c r="E396" t="str">
        <f t="shared" si="78"/>
        <v>Alex Davis is in IT Department</v>
      </c>
      <c r="F396" s="6" t="str">
        <f t="shared" si="79"/>
        <v>alexdavis@gmail.com</v>
      </c>
      <c r="G396">
        <v>101880</v>
      </c>
      <c r="H396" t="str">
        <f t="shared" si="80"/>
        <v>High</v>
      </c>
      <c r="I396" s="3">
        <v>38822</v>
      </c>
      <c r="J396">
        <f t="shared" si="81"/>
        <v>2006</v>
      </c>
      <c r="K396">
        <f t="shared" si="82"/>
        <v>4</v>
      </c>
      <c r="L396">
        <f t="shared" si="83"/>
        <v>15</v>
      </c>
      <c r="M396" s="3">
        <f t="shared" ca="1" si="84"/>
        <v>46100</v>
      </c>
      <c r="N396">
        <f t="shared" ca="1" si="85"/>
        <v>7278</v>
      </c>
      <c r="O396">
        <f t="shared" ca="1" si="86"/>
        <v>7278</v>
      </c>
      <c r="P396">
        <f t="shared" ca="1" si="87"/>
        <v>5199</v>
      </c>
      <c r="Q396">
        <v>53</v>
      </c>
      <c r="R396" t="str">
        <f t="shared" si="88"/>
        <v>Old</v>
      </c>
      <c r="S396" t="s">
        <v>24</v>
      </c>
      <c r="T396">
        <v>8</v>
      </c>
      <c r="U396" t="s">
        <v>25</v>
      </c>
      <c r="V396">
        <v>8062.81</v>
      </c>
      <c r="W396" t="s">
        <v>35</v>
      </c>
      <c r="X396" t="s">
        <v>36</v>
      </c>
      <c r="Y396">
        <v>24</v>
      </c>
      <c r="Z396" t="str">
        <f t="shared" si="89"/>
        <v>Good Employee</v>
      </c>
      <c r="AA396" t="b">
        <f t="shared" si="90"/>
        <v>1</v>
      </c>
      <c r="AB396" t="b">
        <f>OR(Y396&gt;20, T396&gt;6)</f>
        <v>1</v>
      </c>
      <c r="AC396" t="str">
        <f>IF(OR(Y396&gt;20,T396&gt;6), "Good employee", "Bad Employee")</f>
        <v>Good employee</v>
      </c>
      <c r="AD396" t="s">
        <v>56</v>
      </c>
      <c r="AE396" t="s">
        <v>37</v>
      </c>
      <c r="AF396">
        <v>2</v>
      </c>
      <c r="AG396">
        <v>2016</v>
      </c>
      <c r="AH396" t="s">
        <v>43</v>
      </c>
      <c r="AI396">
        <v>116</v>
      </c>
      <c r="AJ396">
        <v>1.8</v>
      </c>
    </row>
    <row r="397" spans="1:36" x14ac:dyDescent="0.25">
      <c r="A397">
        <v>10396</v>
      </c>
      <c r="B397" t="s">
        <v>31</v>
      </c>
      <c r="C397" t="s">
        <v>65</v>
      </c>
      <c r="D397" t="s">
        <v>44</v>
      </c>
      <c r="E397" t="str">
        <f t="shared" si="78"/>
        <v>Emily Johnson is in Sales Department</v>
      </c>
      <c r="F397" s="6" t="str">
        <f t="shared" si="79"/>
        <v>emilyjohnson@gmail.com</v>
      </c>
      <c r="G397">
        <v>87560</v>
      </c>
      <c r="H397" t="str">
        <f t="shared" si="80"/>
        <v>High</v>
      </c>
      <c r="I397" s="3">
        <v>43560</v>
      </c>
      <c r="J397">
        <f t="shared" si="81"/>
        <v>2019</v>
      </c>
      <c r="K397">
        <f t="shared" si="82"/>
        <v>4</v>
      </c>
      <c r="L397">
        <f t="shared" si="83"/>
        <v>5</v>
      </c>
      <c r="M397" s="3">
        <f t="shared" ca="1" si="84"/>
        <v>46100</v>
      </c>
      <c r="N397">
        <f t="shared" ca="1" si="85"/>
        <v>2540</v>
      </c>
      <c r="O397">
        <f t="shared" ca="1" si="86"/>
        <v>2540</v>
      </c>
      <c r="P397">
        <f t="shared" ca="1" si="87"/>
        <v>1815</v>
      </c>
      <c r="Q397">
        <v>37</v>
      </c>
      <c r="R397" t="str">
        <f t="shared" si="88"/>
        <v>Old</v>
      </c>
      <c r="S397" t="s">
        <v>24</v>
      </c>
      <c r="T397">
        <v>8</v>
      </c>
      <c r="U397" t="s">
        <v>25</v>
      </c>
      <c r="V397">
        <v>2557.8200000000002</v>
      </c>
      <c r="W397" t="s">
        <v>46</v>
      </c>
      <c r="X397" t="s">
        <v>36</v>
      </c>
      <c r="Y397">
        <v>30</v>
      </c>
      <c r="Z397" t="str">
        <f t="shared" si="89"/>
        <v>Good Employee</v>
      </c>
      <c r="AA397" t="b">
        <f t="shared" si="90"/>
        <v>1</v>
      </c>
      <c r="AB397" t="b">
        <f>OR(Y397&gt;20, T397&gt;6)</f>
        <v>1</v>
      </c>
      <c r="AC397" t="str">
        <f>IF(OR(Y397&gt;20,T397&gt;6), "Good employee", "Bad Employee")</f>
        <v>Good employee</v>
      </c>
      <c r="AD397" t="s">
        <v>28</v>
      </c>
      <c r="AE397" t="s">
        <v>29</v>
      </c>
      <c r="AF397">
        <v>6</v>
      </c>
      <c r="AG397">
        <v>2012</v>
      </c>
      <c r="AH397" t="s">
        <v>30</v>
      </c>
      <c r="AI397">
        <v>42</v>
      </c>
      <c r="AJ397">
        <v>4.0999999999999996</v>
      </c>
    </row>
    <row r="398" spans="1:36" x14ac:dyDescent="0.25">
      <c r="A398">
        <v>10397</v>
      </c>
      <c r="B398" t="s">
        <v>53</v>
      </c>
      <c r="C398" t="s">
        <v>65</v>
      </c>
      <c r="D398" t="s">
        <v>52</v>
      </c>
      <c r="E398" t="str">
        <f t="shared" si="78"/>
        <v>Sarah Johnson is in Operations Department</v>
      </c>
      <c r="F398" s="6" t="str">
        <f t="shared" si="79"/>
        <v>sarahjohnson@gmail.com</v>
      </c>
      <c r="G398">
        <v>113529</v>
      </c>
      <c r="H398" t="str">
        <f t="shared" si="80"/>
        <v>High</v>
      </c>
      <c r="I398" s="3">
        <v>42850</v>
      </c>
      <c r="J398">
        <f t="shared" si="81"/>
        <v>2017</v>
      </c>
      <c r="K398">
        <f t="shared" si="82"/>
        <v>4</v>
      </c>
      <c r="L398">
        <f t="shared" si="83"/>
        <v>25</v>
      </c>
      <c r="M398" s="3">
        <f t="shared" ca="1" si="84"/>
        <v>46100</v>
      </c>
      <c r="N398">
        <f t="shared" ca="1" si="85"/>
        <v>3250</v>
      </c>
      <c r="O398">
        <f t="shared" ca="1" si="86"/>
        <v>3250</v>
      </c>
      <c r="P398">
        <f t="shared" ca="1" si="87"/>
        <v>2323</v>
      </c>
      <c r="Q398">
        <v>30</v>
      </c>
      <c r="R398" t="str">
        <f t="shared" si="88"/>
        <v>Young</v>
      </c>
      <c r="S398" t="s">
        <v>24</v>
      </c>
      <c r="T398">
        <v>8</v>
      </c>
      <c r="U398" t="s">
        <v>25</v>
      </c>
      <c r="V398">
        <v>9090.92</v>
      </c>
      <c r="W398" t="s">
        <v>46</v>
      </c>
      <c r="X398" t="s">
        <v>36</v>
      </c>
      <c r="Y398">
        <v>15</v>
      </c>
      <c r="Z398" t="str">
        <f t="shared" si="89"/>
        <v>Bad Employee</v>
      </c>
      <c r="AA398" t="b">
        <f t="shared" si="90"/>
        <v>0</v>
      </c>
      <c r="AB398" t="b">
        <f>OR(Y398&gt;20, T398&gt;6)</f>
        <v>1</v>
      </c>
      <c r="AC398" t="str">
        <f>IF(OR(Y398&gt;20,T398&gt;6), "Good employee", "Bad Employee")</f>
        <v>Good employee</v>
      </c>
      <c r="AD398" t="s">
        <v>28</v>
      </c>
      <c r="AE398" t="s">
        <v>59</v>
      </c>
      <c r="AF398">
        <v>15</v>
      </c>
      <c r="AG398">
        <v>2016</v>
      </c>
      <c r="AH398" t="s">
        <v>30</v>
      </c>
      <c r="AI398">
        <v>170</v>
      </c>
      <c r="AJ398">
        <v>1.9</v>
      </c>
    </row>
    <row r="399" spans="1:36" x14ac:dyDescent="0.25">
      <c r="A399">
        <v>10398</v>
      </c>
      <c r="B399" t="s">
        <v>64</v>
      </c>
      <c r="C399" t="s">
        <v>51</v>
      </c>
      <c r="D399" t="s">
        <v>33</v>
      </c>
      <c r="E399" t="str">
        <f t="shared" si="78"/>
        <v>Katie Brown is in Marketing Department</v>
      </c>
      <c r="F399" s="6" t="str">
        <f t="shared" si="79"/>
        <v>katiebrown@gmail.com</v>
      </c>
      <c r="G399">
        <v>58415</v>
      </c>
      <c r="H399" t="str">
        <f t="shared" si="80"/>
        <v>Medium</v>
      </c>
      <c r="I399" s="3">
        <v>41324</v>
      </c>
      <c r="J399">
        <f t="shared" si="81"/>
        <v>2013</v>
      </c>
      <c r="K399">
        <f t="shared" si="82"/>
        <v>2</v>
      </c>
      <c r="L399">
        <f t="shared" si="83"/>
        <v>19</v>
      </c>
      <c r="M399" s="3">
        <f t="shared" ca="1" si="84"/>
        <v>46100</v>
      </c>
      <c r="N399">
        <f t="shared" ca="1" si="85"/>
        <v>4776</v>
      </c>
      <c r="O399">
        <f t="shared" ca="1" si="86"/>
        <v>4776</v>
      </c>
      <c r="P399">
        <f t="shared" ca="1" si="87"/>
        <v>3413</v>
      </c>
      <c r="Q399">
        <v>32</v>
      </c>
      <c r="R399" t="str">
        <f t="shared" si="88"/>
        <v>Old</v>
      </c>
      <c r="S399" t="s">
        <v>34</v>
      </c>
      <c r="T399">
        <v>9</v>
      </c>
      <c r="U399" t="s">
        <v>45</v>
      </c>
      <c r="V399">
        <v>8017.73</v>
      </c>
      <c r="W399" t="s">
        <v>58</v>
      </c>
      <c r="X399" t="s">
        <v>40</v>
      </c>
      <c r="Y399">
        <v>4</v>
      </c>
      <c r="Z399" t="str">
        <f t="shared" si="89"/>
        <v>Bad Employee</v>
      </c>
      <c r="AA399" t="b">
        <f t="shared" si="90"/>
        <v>0</v>
      </c>
      <c r="AB399" t="b">
        <f>OR(Y399&gt;20, T399&gt;6)</f>
        <v>1</v>
      </c>
      <c r="AC399" t="str">
        <f>IF(OR(Y399&gt;20,T399&gt;6), "Good employee", "Bad Employee")</f>
        <v>Good employee</v>
      </c>
      <c r="AD399" t="s">
        <v>28</v>
      </c>
      <c r="AE399" t="s">
        <v>62</v>
      </c>
      <c r="AF399">
        <v>16</v>
      </c>
      <c r="AG399">
        <v>2022</v>
      </c>
      <c r="AH399" t="s">
        <v>49</v>
      </c>
      <c r="AI399">
        <v>153</v>
      </c>
      <c r="AJ399">
        <v>1.4</v>
      </c>
    </row>
    <row r="400" spans="1:36" x14ac:dyDescent="0.25">
      <c r="A400">
        <v>10399</v>
      </c>
      <c r="B400" t="s">
        <v>53</v>
      </c>
      <c r="C400" t="s">
        <v>57</v>
      </c>
      <c r="D400" t="s">
        <v>54</v>
      </c>
      <c r="E400" t="str">
        <f t="shared" si="78"/>
        <v>Sarah Davis is in Finance Department</v>
      </c>
      <c r="F400" s="6" t="str">
        <f t="shared" si="79"/>
        <v>sarahdavis@gmail.com</v>
      </c>
      <c r="G400">
        <v>94523</v>
      </c>
      <c r="H400" t="str">
        <f t="shared" si="80"/>
        <v>High</v>
      </c>
      <c r="I400" s="3">
        <v>43668</v>
      </c>
      <c r="J400">
        <f t="shared" si="81"/>
        <v>2019</v>
      </c>
      <c r="K400">
        <f t="shared" si="82"/>
        <v>7</v>
      </c>
      <c r="L400">
        <f t="shared" si="83"/>
        <v>22</v>
      </c>
      <c r="M400" s="3">
        <f t="shared" ca="1" si="84"/>
        <v>46100</v>
      </c>
      <c r="N400">
        <f t="shared" ca="1" si="85"/>
        <v>2432</v>
      </c>
      <c r="O400">
        <f t="shared" ca="1" si="86"/>
        <v>2432</v>
      </c>
      <c r="P400">
        <f t="shared" ca="1" si="87"/>
        <v>1739</v>
      </c>
      <c r="Q400">
        <v>27</v>
      </c>
      <c r="R400" t="str">
        <f t="shared" si="88"/>
        <v>Young</v>
      </c>
      <c r="S400" t="s">
        <v>34</v>
      </c>
      <c r="T400">
        <v>1</v>
      </c>
      <c r="U400" t="s">
        <v>45</v>
      </c>
      <c r="V400">
        <v>3664.66</v>
      </c>
      <c r="W400" t="s">
        <v>58</v>
      </c>
      <c r="X400" t="s">
        <v>27</v>
      </c>
      <c r="Y400">
        <v>13</v>
      </c>
      <c r="Z400" t="str">
        <f t="shared" si="89"/>
        <v>Bad Employee</v>
      </c>
      <c r="AA400" t="b">
        <f t="shared" si="90"/>
        <v>0</v>
      </c>
      <c r="AB400" t="b">
        <f>OR(Y400&gt;20, T400&gt;6)</f>
        <v>0</v>
      </c>
      <c r="AC400" t="str">
        <f>IF(OR(Y400&gt;20,T400&gt;6), "Good employee", "Bad Employee")</f>
        <v>Bad Employee</v>
      </c>
      <c r="AD400" t="s">
        <v>28</v>
      </c>
      <c r="AE400" t="s">
        <v>59</v>
      </c>
      <c r="AF400">
        <v>16</v>
      </c>
      <c r="AG400">
        <v>2015</v>
      </c>
      <c r="AH400" t="s">
        <v>49</v>
      </c>
      <c r="AI400">
        <v>155</v>
      </c>
      <c r="AJ400">
        <v>3.4</v>
      </c>
    </row>
    <row r="401" spans="1:36" x14ac:dyDescent="0.25">
      <c r="A401">
        <v>10400</v>
      </c>
      <c r="B401" t="s">
        <v>66</v>
      </c>
      <c r="C401" t="s">
        <v>32</v>
      </c>
      <c r="D401" t="s">
        <v>44</v>
      </c>
      <c r="E401" t="str">
        <f t="shared" si="78"/>
        <v>John Wilson is in Sales Department</v>
      </c>
      <c r="F401" s="6" t="str">
        <f t="shared" si="79"/>
        <v>johnwilson@gmail.com</v>
      </c>
      <c r="G401">
        <v>49323</v>
      </c>
      <c r="H401" t="str">
        <f t="shared" si="80"/>
        <v>low</v>
      </c>
      <c r="I401" s="3">
        <v>42296</v>
      </c>
      <c r="J401">
        <f t="shared" si="81"/>
        <v>2015</v>
      </c>
      <c r="K401">
        <f t="shared" si="82"/>
        <v>10</v>
      </c>
      <c r="L401">
        <f t="shared" si="83"/>
        <v>19</v>
      </c>
      <c r="M401" s="3">
        <f t="shared" ca="1" si="84"/>
        <v>46100</v>
      </c>
      <c r="N401">
        <f t="shared" ca="1" si="85"/>
        <v>3804</v>
      </c>
      <c r="O401">
        <f t="shared" ca="1" si="86"/>
        <v>3804</v>
      </c>
      <c r="P401">
        <f t="shared" ca="1" si="87"/>
        <v>2719</v>
      </c>
      <c r="Q401">
        <v>48</v>
      </c>
      <c r="R401" t="str">
        <f t="shared" si="88"/>
        <v>Old</v>
      </c>
      <c r="S401" t="s">
        <v>24</v>
      </c>
      <c r="T401">
        <v>9</v>
      </c>
      <c r="U401" t="s">
        <v>45</v>
      </c>
      <c r="V401">
        <v>2215.7199999999998</v>
      </c>
      <c r="W401" t="s">
        <v>35</v>
      </c>
      <c r="X401" t="s">
        <v>40</v>
      </c>
      <c r="Y401">
        <v>5</v>
      </c>
      <c r="Z401" t="str">
        <f t="shared" si="89"/>
        <v>Bad Employee</v>
      </c>
      <c r="AA401" t="b">
        <f t="shared" si="90"/>
        <v>0</v>
      </c>
      <c r="AB401" t="b">
        <f>OR(Y401&gt;20, T401&gt;6)</f>
        <v>1</v>
      </c>
      <c r="AC401" t="str">
        <f>IF(OR(Y401&gt;20,T401&gt;6), "Good employee", "Bad Employee")</f>
        <v>Good employee</v>
      </c>
      <c r="AD401" t="s">
        <v>28</v>
      </c>
      <c r="AE401" t="s">
        <v>29</v>
      </c>
      <c r="AF401">
        <v>18</v>
      </c>
      <c r="AG401">
        <v>2021</v>
      </c>
      <c r="AH401" t="s">
        <v>30</v>
      </c>
      <c r="AI401">
        <v>178</v>
      </c>
      <c r="AJ401">
        <v>3.2</v>
      </c>
    </row>
    <row r="402" spans="1:36" x14ac:dyDescent="0.25">
      <c r="A402">
        <v>10401</v>
      </c>
      <c r="B402" t="s">
        <v>53</v>
      </c>
      <c r="C402" t="s">
        <v>51</v>
      </c>
      <c r="D402" t="s">
        <v>54</v>
      </c>
      <c r="E402" t="str">
        <f t="shared" si="78"/>
        <v>Sarah Brown is in Finance Department</v>
      </c>
      <c r="F402" s="6" t="str">
        <f t="shared" si="79"/>
        <v>sarahbrown@gmail.com</v>
      </c>
      <c r="G402">
        <v>83214</v>
      </c>
      <c r="H402" t="str">
        <f t="shared" si="80"/>
        <v>High</v>
      </c>
      <c r="I402" s="3">
        <v>38651</v>
      </c>
      <c r="J402">
        <f t="shared" si="81"/>
        <v>2005</v>
      </c>
      <c r="K402">
        <f t="shared" si="82"/>
        <v>10</v>
      </c>
      <c r="L402">
        <f t="shared" si="83"/>
        <v>26</v>
      </c>
      <c r="M402" s="3">
        <f t="shared" ca="1" si="84"/>
        <v>46100</v>
      </c>
      <c r="N402">
        <f t="shared" ca="1" si="85"/>
        <v>7449</v>
      </c>
      <c r="O402">
        <f t="shared" ca="1" si="86"/>
        <v>7449</v>
      </c>
      <c r="P402">
        <f t="shared" ca="1" si="87"/>
        <v>5322</v>
      </c>
      <c r="Q402">
        <v>33</v>
      </c>
      <c r="R402" t="str">
        <f t="shared" si="88"/>
        <v>Old</v>
      </c>
      <c r="S402" t="s">
        <v>24</v>
      </c>
      <c r="T402">
        <v>8</v>
      </c>
      <c r="U402" t="s">
        <v>25</v>
      </c>
      <c r="V402">
        <v>3155.58</v>
      </c>
      <c r="W402" t="s">
        <v>35</v>
      </c>
      <c r="X402" t="s">
        <v>40</v>
      </c>
      <c r="Y402">
        <v>31</v>
      </c>
      <c r="Z402" t="str">
        <f t="shared" si="89"/>
        <v>Good Employee</v>
      </c>
      <c r="AA402" t="b">
        <f t="shared" si="90"/>
        <v>1</v>
      </c>
      <c r="AB402" t="b">
        <f>OR(Y402&gt;20, T402&gt;6)</f>
        <v>1</v>
      </c>
      <c r="AC402" t="str">
        <f>IF(OR(Y402&gt;20,T402&gt;6), "Good employee", "Bad Employee")</f>
        <v>Good employee</v>
      </c>
      <c r="AD402" t="s">
        <v>41</v>
      </c>
      <c r="AE402" t="s">
        <v>29</v>
      </c>
      <c r="AF402">
        <v>19</v>
      </c>
      <c r="AG402">
        <v>2015</v>
      </c>
      <c r="AH402" t="s">
        <v>49</v>
      </c>
      <c r="AI402">
        <v>162</v>
      </c>
      <c r="AJ402">
        <v>3.4</v>
      </c>
    </row>
    <row r="403" spans="1:36" x14ac:dyDescent="0.25">
      <c r="A403">
        <v>10402</v>
      </c>
      <c r="B403" t="s">
        <v>31</v>
      </c>
      <c r="C403" t="s">
        <v>32</v>
      </c>
      <c r="D403" t="s">
        <v>23</v>
      </c>
      <c r="E403" t="str">
        <f t="shared" si="78"/>
        <v>Emily Wilson is in HR Department</v>
      </c>
      <c r="F403" s="6" t="str">
        <f t="shared" si="79"/>
        <v>emilywilson@gmail.com</v>
      </c>
      <c r="G403">
        <v>47997</v>
      </c>
      <c r="H403" t="str">
        <f t="shared" si="80"/>
        <v>low</v>
      </c>
      <c r="I403" s="3">
        <v>39492</v>
      </c>
      <c r="J403">
        <f t="shared" si="81"/>
        <v>2008</v>
      </c>
      <c r="K403">
        <f t="shared" si="82"/>
        <v>2</v>
      </c>
      <c r="L403">
        <f t="shared" si="83"/>
        <v>14</v>
      </c>
      <c r="M403" s="3">
        <f t="shared" ca="1" si="84"/>
        <v>46100</v>
      </c>
      <c r="N403">
        <f t="shared" ca="1" si="85"/>
        <v>6608</v>
      </c>
      <c r="O403">
        <f t="shared" ca="1" si="86"/>
        <v>6608</v>
      </c>
      <c r="P403">
        <f t="shared" ca="1" si="87"/>
        <v>4721</v>
      </c>
      <c r="Q403">
        <v>43</v>
      </c>
      <c r="R403" t="str">
        <f t="shared" si="88"/>
        <v>Old</v>
      </c>
      <c r="S403" t="s">
        <v>34</v>
      </c>
      <c r="T403">
        <v>1</v>
      </c>
      <c r="U403" t="s">
        <v>25</v>
      </c>
      <c r="V403">
        <v>3660.04</v>
      </c>
      <c r="W403" t="s">
        <v>58</v>
      </c>
      <c r="X403" t="s">
        <v>36</v>
      </c>
      <c r="Y403">
        <v>12</v>
      </c>
      <c r="Z403" t="str">
        <f t="shared" si="89"/>
        <v>Bad Employee</v>
      </c>
      <c r="AA403" t="b">
        <f t="shared" si="90"/>
        <v>0</v>
      </c>
      <c r="AB403" t="b">
        <f>OR(Y403&gt;20, T403&gt;6)</f>
        <v>0</v>
      </c>
      <c r="AC403" t="str">
        <f>IF(OR(Y403&gt;20,T403&gt;6), "Good employee", "Bad Employee")</f>
        <v>Bad Employee</v>
      </c>
      <c r="AD403" t="s">
        <v>56</v>
      </c>
      <c r="AE403" t="s">
        <v>29</v>
      </c>
      <c r="AF403">
        <v>16</v>
      </c>
      <c r="AG403">
        <v>2011</v>
      </c>
      <c r="AH403" t="s">
        <v>30</v>
      </c>
      <c r="AI403">
        <v>172</v>
      </c>
      <c r="AJ403">
        <v>3.5</v>
      </c>
    </row>
    <row r="404" spans="1:36" x14ac:dyDescent="0.25">
      <c r="A404">
        <v>10403</v>
      </c>
      <c r="B404" t="s">
        <v>50</v>
      </c>
      <c r="C404" t="s">
        <v>51</v>
      </c>
      <c r="D404" t="s">
        <v>52</v>
      </c>
      <c r="E404" t="str">
        <f t="shared" si="78"/>
        <v>Alex Brown is in Operations Department</v>
      </c>
      <c r="F404" s="6" t="str">
        <f t="shared" si="79"/>
        <v>alexbrown@gmail.com</v>
      </c>
      <c r="G404">
        <v>87003</v>
      </c>
      <c r="H404" t="str">
        <f t="shared" si="80"/>
        <v>High</v>
      </c>
      <c r="I404" s="3">
        <v>43554</v>
      </c>
      <c r="J404">
        <f t="shared" si="81"/>
        <v>2019</v>
      </c>
      <c r="K404">
        <f t="shared" si="82"/>
        <v>3</v>
      </c>
      <c r="L404">
        <f t="shared" si="83"/>
        <v>30</v>
      </c>
      <c r="M404" s="3">
        <f t="shared" ca="1" si="84"/>
        <v>46100</v>
      </c>
      <c r="N404">
        <f t="shared" ca="1" si="85"/>
        <v>2546</v>
      </c>
      <c r="O404">
        <f t="shared" ca="1" si="86"/>
        <v>2546</v>
      </c>
      <c r="P404">
        <f t="shared" ca="1" si="87"/>
        <v>1819</v>
      </c>
      <c r="Q404">
        <v>61</v>
      </c>
      <c r="R404" t="str">
        <f t="shared" si="88"/>
        <v>Old</v>
      </c>
      <c r="S404" t="s">
        <v>34</v>
      </c>
      <c r="T404">
        <v>7</v>
      </c>
      <c r="U404" t="s">
        <v>45</v>
      </c>
      <c r="V404">
        <v>5790.87</v>
      </c>
      <c r="W404" t="s">
        <v>46</v>
      </c>
      <c r="X404" t="s">
        <v>47</v>
      </c>
      <c r="Y404">
        <v>30</v>
      </c>
      <c r="Z404" t="str">
        <f t="shared" si="89"/>
        <v>Good Employee</v>
      </c>
      <c r="AA404" t="b">
        <f t="shared" si="90"/>
        <v>1</v>
      </c>
      <c r="AB404" t="b">
        <f>OR(Y404&gt;20, T404&gt;6)</f>
        <v>1</v>
      </c>
      <c r="AC404" t="str">
        <f>IF(OR(Y404&gt;20,T404&gt;6), "Good employee", "Bad Employee")</f>
        <v>Good employee</v>
      </c>
      <c r="AD404" t="s">
        <v>56</v>
      </c>
      <c r="AE404" t="s">
        <v>29</v>
      </c>
      <c r="AF404">
        <v>1</v>
      </c>
      <c r="AG404">
        <v>2011</v>
      </c>
      <c r="AH404" t="s">
        <v>30</v>
      </c>
      <c r="AI404">
        <v>86</v>
      </c>
      <c r="AJ404">
        <v>3</v>
      </c>
    </row>
    <row r="405" spans="1:36" x14ac:dyDescent="0.25">
      <c r="A405">
        <v>10404</v>
      </c>
      <c r="B405" t="s">
        <v>66</v>
      </c>
      <c r="C405" t="s">
        <v>65</v>
      </c>
      <c r="D405" t="s">
        <v>23</v>
      </c>
      <c r="E405" t="str">
        <f t="shared" si="78"/>
        <v>John Johnson is in HR Department</v>
      </c>
      <c r="F405" s="6" t="str">
        <f t="shared" si="79"/>
        <v>johnjohnson@gmail.com</v>
      </c>
      <c r="G405">
        <v>33679</v>
      </c>
      <c r="H405" t="str">
        <f t="shared" si="80"/>
        <v>extremely low</v>
      </c>
      <c r="I405" s="3">
        <v>43005</v>
      </c>
      <c r="J405">
        <f t="shared" si="81"/>
        <v>2017</v>
      </c>
      <c r="K405">
        <f t="shared" si="82"/>
        <v>9</v>
      </c>
      <c r="L405">
        <f t="shared" si="83"/>
        <v>27</v>
      </c>
      <c r="M405" s="3">
        <f t="shared" ca="1" si="84"/>
        <v>46100</v>
      </c>
      <c r="N405">
        <f t="shared" ca="1" si="85"/>
        <v>3095</v>
      </c>
      <c r="O405">
        <f t="shared" ca="1" si="86"/>
        <v>3095</v>
      </c>
      <c r="P405">
        <f t="shared" ca="1" si="87"/>
        <v>2212</v>
      </c>
      <c r="Q405">
        <v>58</v>
      </c>
      <c r="R405" t="str">
        <f t="shared" si="88"/>
        <v>Old</v>
      </c>
      <c r="S405" t="s">
        <v>34</v>
      </c>
      <c r="T405">
        <v>9</v>
      </c>
      <c r="U405" t="s">
        <v>25</v>
      </c>
      <c r="V405">
        <v>940.5</v>
      </c>
      <c r="W405" t="s">
        <v>58</v>
      </c>
      <c r="X405" t="s">
        <v>55</v>
      </c>
      <c r="Y405">
        <v>10</v>
      </c>
      <c r="Z405" t="str">
        <f t="shared" si="89"/>
        <v>Bad Employee</v>
      </c>
      <c r="AA405" t="b">
        <f t="shared" si="90"/>
        <v>0</v>
      </c>
      <c r="AB405" t="b">
        <f>OR(Y405&gt;20, T405&gt;6)</f>
        <v>1</v>
      </c>
      <c r="AC405" t="str">
        <f>IF(OR(Y405&gt;20,T405&gt;6), "Good employee", "Bad Employee")</f>
        <v>Good employee</v>
      </c>
      <c r="AD405" t="s">
        <v>41</v>
      </c>
      <c r="AE405" t="s">
        <v>37</v>
      </c>
      <c r="AF405">
        <v>4</v>
      </c>
      <c r="AG405">
        <v>2016</v>
      </c>
      <c r="AH405" t="s">
        <v>43</v>
      </c>
      <c r="AI405">
        <v>74</v>
      </c>
      <c r="AJ405">
        <v>3</v>
      </c>
    </row>
    <row r="406" spans="1:36" x14ac:dyDescent="0.25">
      <c r="A406">
        <v>10405</v>
      </c>
      <c r="B406" t="s">
        <v>53</v>
      </c>
      <c r="C406" t="s">
        <v>51</v>
      </c>
      <c r="D406" t="s">
        <v>44</v>
      </c>
      <c r="E406" t="str">
        <f t="shared" si="78"/>
        <v>Sarah Brown is in Sales Department</v>
      </c>
      <c r="F406" s="6" t="str">
        <f t="shared" si="79"/>
        <v>sarahbrown@gmail.com</v>
      </c>
      <c r="G406">
        <v>70308</v>
      </c>
      <c r="H406" t="str">
        <f t="shared" si="80"/>
        <v>Medium</v>
      </c>
      <c r="I406" s="3">
        <v>40671</v>
      </c>
      <c r="J406">
        <f t="shared" si="81"/>
        <v>2011</v>
      </c>
      <c r="K406">
        <f t="shared" si="82"/>
        <v>5</v>
      </c>
      <c r="L406">
        <f t="shared" si="83"/>
        <v>8</v>
      </c>
      <c r="M406" s="3">
        <f t="shared" ca="1" si="84"/>
        <v>46100</v>
      </c>
      <c r="N406">
        <f t="shared" ca="1" si="85"/>
        <v>5429</v>
      </c>
      <c r="O406">
        <f t="shared" ca="1" si="86"/>
        <v>5429</v>
      </c>
      <c r="P406">
        <f t="shared" ca="1" si="87"/>
        <v>3879</v>
      </c>
      <c r="Q406">
        <v>42</v>
      </c>
      <c r="R406" t="str">
        <f t="shared" si="88"/>
        <v>Old</v>
      </c>
      <c r="S406" t="s">
        <v>24</v>
      </c>
      <c r="T406">
        <v>4</v>
      </c>
      <c r="U406" t="s">
        <v>45</v>
      </c>
      <c r="V406">
        <v>9186.41</v>
      </c>
      <c r="W406" t="s">
        <v>35</v>
      </c>
      <c r="X406" t="s">
        <v>47</v>
      </c>
      <c r="Y406">
        <v>30</v>
      </c>
      <c r="Z406" t="str">
        <f t="shared" si="89"/>
        <v>Bad Employee</v>
      </c>
      <c r="AA406" t="b">
        <f t="shared" si="90"/>
        <v>0</v>
      </c>
      <c r="AB406" t="b">
        <f>OR(Y406&gt;20, T406&gt;6)</f>
        <v>1</v>
      </c>
      <c r="AC406" t="str">
        <f>IF(OR(Y406&gt;20,T406&gt;6), "Good employee", "Bad Employee")</f>
        <v>Good employee</v>
      </c>
      <c r="AD406" t="s">
        <v>41</v>
      </c>
      <c r="AE406" t="s">
        <v>48</v>
      </c>
      <c r="AF406">
        <v>15</v>
      </c>
      <c r="AG406">
        <v>2010</v>
      </c>
      <c r="AH406" t="s">
        <v>43</v>
      </c>
      <c r="AI406">
        <v>73</v>
      </c>
      <c r="AJ406">
        <v>4.7</v>
      </c>
    </row>
    <row r="407" spans="1:36" x14ac:dyDescent="0.25">
      <c r="A407">
        <v>10406</v>
      </c>
      <c r="B407" t="s">
        <v>31</v>
      </c>
      <c r="C407" t="s">
        <v>65</v>
      </c>
      <c r="D407" t="s">
        <v>54</v>
      </c>
      <c r="E407" t="str">
        <f t="shared" si="78"/>
        <v>Emily Johnson is in Finance Department</v>
      </c>
      <c r="F407" s="6" t="str">
        <f t="shared" si="79"/>
        <v>emilyjohnson@gmail.com</v>
      </c>
      <c r="G407">
        <v>105024</v>
      </c>
      <c r="H407" t="str">
        <f t="shared" si="80"/>
        <v>High</v>
      </c>
      <c r="I407" s="3">
        <v>42754</v>
      </c>
      <c r="J407">
        <f t="shared" si="81"/>
        <v>2017</v>
      </c>
      <c r="K407">
        <f t="shared" si="82"/>
        <v>1</v>
      </c>
      <c r="L407">
        <f t="shared" si="83"/>
        <v>19</v>
      </c>
      <c r="M407" s="3">
        <f t="shared" ca="1" si="84"/>
        <v>46100</v>
      </c>
      <c r="N407">
        <f t="shared" ca="1" si="85"/>
        <v>3346</v>
      </c>
      <c r="O407">
        <f t="shared" ca="1" si="86"/>
        <v>3346</v>
      </c>
      <c r="P407">
        <f t="shared" ca="1" si="87"/>
        <v>2391</v>
      </c>
      <c r="Q407">
        <v>54</v>
      </c>
      <c r="R407" t="str">
        <f t="shared" si="88"/>
        <v>Old</v>
      </c>
      <c r="S407" t="s">
        <v>24</v>
      </c>
      <c r="T407">
        <v>9</v>
      </c>
      <c r="U407" t="s">
        <v>45</v>
      </c>
      <c r="V407">
        <v>1437.41</v>
      </c>
      <c r="W407" t="s">
        <v>46</v>
      </c>
      <c r="X407" t="s">
        <v>47</v>
      </c>
      <c r="Y407">
        <v>26</v>
      </c>
      <c r="Z407" t="str">
        <f t="shared" si="89"/>
        <v>Good Employee</v>
      </c>
      <c r="AA407" t="b">
        <f t="shared" si="90"/>
        <v>1</v>
      </c>
      <c r="AB407" t="b">
        <f>OR(Y407&gt;20, T407&gt;6)</f>
        <v>1</v>
      </c>
      <c r="AC407" t="str">
        <f>IF(OR(Y407&gt;20,T407&gt;6), "Good employee", "Bad Employee")</f>
        <v>Good employee</v>
      </c>
      <c r="AD407" t="s">
        <v>28</v>
      </c>
      <c r="AE407" t="s">
        <v>62</v>
      </c>
      <c r="AF407">
        <v>10</v>
      </c>
      <c r="AG407">
        <v>2018</v>
      </c>
      <c r="AH407" t="s">
        <v>49</v>
      </c>
      <c r="AI407">
        <v>174</v>
      </c>
      <c r="AJ407">
        <v>3.1</v>
      </c>
    </row>
    <row r="408" spans="1:36" x14ac:dyDescent="0.25">
      <c r="A408">
        <v>10407</v>
      </c>
      <c r="B408" t="s">
        <v>64</v>
      </c>
      <c r="C408" t="s">
        <v>61</v>
      </c>
      <c r="D408" t="s">
        <v>54</v>
      </c>
      <c r="E408" t="str">
        <f t="shared" si="78"/>
        <v>Katie Smith is in Finance Department</v>
      </c>
      <c r="F408" s="6" t="str">
        <f t="shared" si="79"/>
        <v>katiesmith@gmail.com</v>
      </c>
      <c r="G408">
        <v>69842</v>
      </c>
      <c r="H408" t="str">
        <f t="shared" si="80"/>
        <v>Medium</v>
      </c>
      <c r="I408" s="3">
        <v>39268</v>
      </c>
      <c r="J408">
        <f t="shared" si="81"/>
        <v>2007</v>
      </c>
      <c r="K408">
        <f t="shared" si="82"/>
        <v>7</v>
      </c>
      <c r="L408">
        <f t="shared" si="83"/>
        <v>5</v>
      </c>
      <c r="M408" s="3">
        <f t="shared" ca="1" si="84"/>
        <v>46100</v>
      </c>
      <c r="N408">
        <f t="shared" ca="1" si="85"/>
        <v>6832</v>
      </c>
      <c r="O408">
        <f t="shared" ca="1" si="86"/>
        <v>6832</v>
      </c>
      <c r="P408">
        <f t="shared" ca="1" si="87"/>
        <v>4881</v>
      </c>
      <c r="Q408">
        <v>38</v>
      </c>
      <c r="R408" t="str">
        <f t="shared" si="88"/>
        <v>Old</v>
      </c>
      <c r="S408" t="s">
        <v>24</v>
      </c>
      <c r="T408">
        <v>1</v>
      </c>
      <c r="U408" t="s">
        <v>45</v>
      </c>
      <c r="V408">
        <v>3153.1</v>
      </c>
      <c r="W408" t="s">
        <v>26</v>
      </c>
      <c r="X408" t="s">
        <v>47</v>
      </c>
      <c r="Y408">
        <v>6</v>
      </c>
      <c r="Z408" t="str">
        <f t="shared" si="89"/>
        <v>Bad Employee</v>
      </c>
      <c r="AA408" t="b">
        <f t="shared" si="90"/>
        <v>0</v>
      </c>
      <c r="AB408" t="b">
        <f>OR(Y408&gt;20, T408&gt;6)</f>
        <v>0</v>
      </c>
      <c r="AC408" t="str">
        <f>IF(OR(Y408&gt;20,T408&gt;6), "Good employee", "Bad Employee")</f>
        <v>Bad Employee</v>
      </c>
      <c r="AD408" t="s">
        <v>56</v>
      </c>
      <c r="AE408" t="s">
        <v>37</v>
      </c>
      <c r="AF408">
        <v>5</v>
      </c>
      <c r="AG408">
        <v>2012</v>
      </c>
      <c r="AH408" t="s">
        <v>49</v>
      </c>
      <c r="AI408">
        <v>150</v>
      </c>
      <c r="AJ408">
        <v>3.5</v>
      </c>
    </row>
    <row r="409" spans="1:36" x14ac:dyDescent="0.25">
      <c r="A409">
        <v>10408</v>
      </c>
      <c r="B409" t="s">
        <v>53</v>
      </c>
      <c r="C409" t="s">
        <v>32</v>
      </c>
      <c r="D409" t="s">
        <v>52</v>
      </c>
      <c r="E409" t="str">
        <f t="shared" si="78"/>
        <v>Sarah Wilson is in Operations Department</v>
      </c>
      <c r="F409" s="6" t="str">
        <f t="shared" si="79"/>
        <v>sarahwilson@gmail.com</v>
      </c>
      <c r="G409">
        <v>95408</v>
      </c>
      <c r="H409" t="str">
        <f t="shared" si="80"/>
        <v>High</v>
      </c>
      <c r="I409" s="3">
        <v>42673</v>
      </c>
      <c r="J409">
        <f t="shared" si="81"/>
        <v>2016</v>
      </c>
      <c r="K409">
        <f t="shared" si="82"/>
        <v>10</v>
      </c>
      <c r="L409">
        <f t="shared" si="83"/>
        <v>30</v>
      </c>
      <c r="M409" s="3">
        <f t="shared" ca="1" si="84"/>
        <v>46100</v>
      </c>
      <c r="N409">
        <f t="shared" ca="1" si="85"/>
        <v>3427</v>
      </c>
      <c r="O409">
        <f t="shared" ca="1" si="86"/>
        <v>3427</v>
      </c>
      <c r="P409">
        <f t="shared" ca="1" si="87"/>
        <v>2449</v>
      </c>
      <c r="Q409">
        <v>50</v>
      </c>
      <c r="R409" t="str">
        <f t="shared" si="88"/>
        <v>Old</v>
      </c>
      <c r="S409" t="s">
        <v>34</v>
      </c>
      <c r="T409">
        <v>9</v>
      </c>
      <c r="U409" t="s">
        <v>25</v>
      </c>
      <c r="V409">
        <v>1538.23</v>
      </c>
      <c r="W409" t="s">
        <v>26</v>
      </c>
      <c r="X409" t="s">
        <v>47</v>
      </c>
      <c r="Y409">
        <v>27</v>
      </c>
      <c r="Z409" t="str">
        <f t="shared" si="89"/>
        <v>Good Employee</v>
      </c>
      <c r="AA409" t="b">
        <f t="shared" si="90"/>
        <v>1</v>
      </c>
      <c r="AB409" t="b">
        <f>OR(Y409&gt;20, T409&gt;6)</f>
        <v>1</v>
      </c>
      <c r="AC409" t="str">
        <f>IF(OR(Y409&gt;20,T409&gt;6), "Good employee", "Bad Employee")</f>
        <v>Good employee</v>
      </c>
      <c r="AD409" t="s">
        <v>56</v>
      </c>
      <c r="AE409" t="s">
        <v>59</v>
      </c>
      <c r="AF409">
        <v>10</v>
      </c>
      <c r="AG409">
        <v>2015</v>
      </c>
      <c r="AH409" t="s">
        <v>30</v>
      </c>
      <c r="AI409">
        <v>191</v>
      </c>
      <c r="AJ409">
        <v>2.1</v>
      </c>
    </row>
    <row r="410" spans="1:36" x14ac:dyDescent="0.25">
      <c r="A410">
        <v>10409</v>
      </c>
      <c r="B410" t="s">
        <v>31</v>
      </c>
      <c r="C410" t="s">
        <v>57</v>
      </c>
      <c r="D410" t="s">
        <v>44</v>
      </c>
      <c r="E410" t="str">
        <f t="shared" si="78"/>
        <v>Emily Davis is in Sales Department</v>
      </c>
      <c r="F410" s="6" t="str">
        <f t="shared" si="79"/>
        <v>emilydavis@gmail.com</v>
      </c>
      <c r="G410">
        <v>99532</v>
      </c>
      <c r="H410" t="str">
        <f t="shared" si="80"/>
        <v>High</v>
      </c>
      <c r="I410" s="3">
        <v>41614</v>
      </c>
      <c r="J410">
        <f t="shared" si="81"/>
        <v>2013</v>
      </c>
      <c r="K410">
        <f t="shared" si="82"/>
        <v>12</v>
      </c>
      <c r="L410">
        <f t="shared" si="83"/>
        <v>6</v>
      </c>
      <c r="M410" s="3">
        <f t="shared" ca="1" si="84"/>
        <v>46100</v>
      </c>
      <c r="N410">
        <f t="shared" ca="1" si="85"/>
        <v>4486</v>
      </c>
      <c r="O410">
        <f t="shared" ca="1" si="86"/>
        <v>4486</v>
      </c>
      <c r="P410">
        <f t="shared" ca="1" si="87"/>
        <v>3205</v>
      </c>
      <c r="Q410">
        <v>61</v>
      </c>
      <c r="R410" t="str">
        <f t="shared" si="88"/>
        <v>Old</v>
      </c>
      <c r="S410" t="s">
        <v>34</v>
      </c>
      <c r="T410">
        <v>6</v>
      </c>
      <c r="U410" t="s">
        <v>45</v>
      </c>
      <c r="V410">
        <v>2938.39</v>
      </c>
      <c r="W410" t="s">
        <v>58</v>
      </c>
      <c r="X410" t="s">
        <v>40</v>
      </c>
      <c r="Y410">
        <v>20</v>
      </c>
      <c r="Z410" t="str">
        <f t="shared" si="89"/>
        <v>Bad Employee</v>
      </c>
      <c r="AA410" t="b">
        <f t="shared" si="90"/>
        <v>0</v>
      </c>
      <c r="AB410" t="b">
        <f>OR(Y410&gt;20, T410&gt;6)</f>
        <v>0</v>
      </c>
      <c r="AC410" t="str">
        <f>IF(OR(Y410&gt;20,T410&gt;6), "Good employee", "Bad Employee")</f>
        <v>Bad Employee</v>
      </c>
      <c r="AD410" t="s">
        <v>41</v>
      </c>
      <c r="AE410" t="s">
        <v>48</v>
      </c>
      <c r="AF410">
        <v>0</v>
      </c>
      <c r="AG410">
        <v>2012</v>
      </c>
      <c r="AH410" t="s">
        <v>49</v>
      </c>
      <c r="AI410">
        <v>17</v>
      </c>
      <c r="AJ410">
        <v>4.5</v>
      </c>
    </row>
    <row r="411" spans="1:36" x14ac:dyDescent="0.25">
      <c r="A411">
        <v>10410</v>
      </c>
      <c r="B411" t="s">
        <v>64</v>
      </c>
      <c r="C411" t="s">
        <v>51</v>
      </c>
      <c r="D411" t="s">
        <v>33</v>
      </c>
      <c r="E411" t="str">
        <f t="shared" si="78"/>
        <v>Katie Brown is in Marketing Department</v>
      </c>
      <c r="F411" s="6" t="str">
        <f t="shared" si="79"/>
        <v>katiebrown@gmail.com</v>
      </c>
      <c r="G411">
        <v>83938</v>
      </c>
      <c r="H411" t="str">
        <f t="shared" si="80"/>
        <v>High</v>
      </c>
      <c r="I411" s="3">
        <v>40547</v>
      </c>
      <c r="J411">
        <f t="shared" si="81"/>
        <v>2011</v>
      </c>
      <c r="K411">
        <f t="shared" si="82"/>
        <v>1</v>
      </c>
      <c r="L411">
        <f t="shared" si="83"/>
        <v>4</v>
      </c>
      <c r="M411" s="3">
        <f t="shared" ca="1" si="84"/>
        <v>46100</v>
      </c>
      <c r="N411">
        <f t="shared" ca="1" si="85"/>
        <v>5553</v>
      </c>
      <c r="O411">
        <f t="shared" ca="1" si="86"/>
        <v>5553</v>
      </c>
      <c r="P411">
        <f t="shared" ca="1" si="87"/>
        <v>3968</v>
      </c>
      <c r="Q411">
        <v>31</v>
      </c>
      <c r="R411" t="str">
        <f t="shared" si="88"/>
        <v>Old</v>
      </c>
      <c r="S411" t="s">
        <v>24</v>
      </c>
      <c r="T411">
        <v>4</v>
      </c>
      <c r="U411" t="s">
        <v>45</v>
      </c>
      <c r="V411">
        <v>8457.9</v>
      </c>
      <c r="W411" t="s">
        <v>35</v>
      </c>
      <c r="X411" t="s">
        <v>36</v>
      </c>
      <c r="Y411">
        <v>28</v>
      </c>
      <c r="Z411" t="str">
        <f t="shared" si="89"/>
        <v>Bad Employee</v>
      </c>
      <c r="AA411" t="b">
        <f t="shared" si="90"/>
        <v>0</v>
      </c>
      <c r="AB411" t="b">
        <f>OR(Y411&gt;20, T411&gt;6)</f>
        <v>1</v>
      </c>
      <c r="AC411" t="str">
        <f>IF(OR(Y411&gt;20,T411&gt;6), "Good employee", "Bad Employee")</f>
        <v>Good employee</v>
      </c>
      <c r="AD411" t="s">
        <v>56</v>
      </c>
      <c r="AE411" t="s">
        <v>42</v>
      </c>
      <c r="AF411">
        <v>18</v>
      </c>
      <c r="AG411">
        <v>2021</v>
      </c>
      <c r="AH411" t="s">
        <v>43</v>
      </c>
      <c r="AI411">
        <v>123</v>
      </c>
      <c r="AJ411">
        <v>1.1000000000000001</v>
      </c>
    </row>
    <row r="412" spans="1:36" x14ac:dyDescent="0.25">
      <c r="A412">
        <v>10411</v>
      </c>
      <c r="B412" t="s">
        <v>50</v>
      </c>
      <c r="C412" t="s">
        <v>65</v>
      </c>
      <c r="D412" t="s">
        <v>33</v>
      </c>
      <c r="E412" t="str">
        <f t="shared" si="78"/>
        <v>Alex Johnson is in Marketing Department</v>
      </c>
      <c r="F412" s="6" t="str">
        <f t="shared" si="79"/>
        <v>alexjohnson@gmail.com</v>
      </c>
      <c r="G412">
        <v>35695</v>
      </c>
      <c r="H412" t="str">
        <f t="shared" si="80"/>
        <v>extremely low</v>
      </c>
      <c r="I412" s="3">
        <v>38890</v>
      </c>
      <c r="J412">
        <f t="shared" si="81"/>
        <v>2006</v>
      </c>
      <c r="K412">
        <f t="shared" si="82"/>
        <v>6</v>
      </c>
      <c r="L412">
        <f t="shared" si="83"/>
        <v>22</v>
      </c>
      <c r="M412" s="3">
        <f t="shared" ca="1" si="84"/>
        <v>46100</v>
      </c>
      <c r="N412">
        <f t="shared" ca="1" si="85"/>
        <v>7210</v>
      </c>
      <c r="O412">
        <f t="shared" ca="1" si="86"/>
        <v>7210</v>
      </c>
      <c r="P412">
        <f t="shared" ca="1" si="87"/>
        <v>5151</v>
      </c>
      <c r="Q412">
        <v>39</v>
      </c>
      <c r="R412" t="str">
        <f t="shared" si="88"/>
        <v>Old</v>
      </c>
      <c r="S412" t="s">
        <v>34</v>
      </c>
      <c r="T412">
        <v>5</v>
      </c>
      <c r="U412" t="s">
        <v>25</v>
      </c>
      <c r="V412">
        <v>6344.17</v>
      </c>
      <c r="W412" t="s">
        <v>46</v>
      </c>
      <c r="X412" t="s">
        <v>36</v>
      </c>
      <c r="Y412">
        <v>20</v>
      </c>
      <c r="Z412" t="str">
        <f t="shared" si="89"/>
        <v>Bad Employee</v>
      </c>
      <c r="AA412" t="b">
        <f t="shared" si="90"/>
        <v>0</v>
      </c>
      <c r="AB412" t="b">
        <f>OR(Y412&gt;20, T412&gt;6)</f>
        <v>0</v>
      </c>
      <c r="AC412" t="str">
        <f>IF(OR(Y412&gt;20,T412&gt;6), "Good employee", "Bad Employee")</f>
        <v>Bad Employee</v>
      </c>
      <c r="AD412" t="s">
        <v>56</v>
      </c>
      <c r="AE412" t="s">
        <v>29</v>
      </c>
      <c r="AF412">
        <v>2</v>
      </c>
      <c r="AG412">
        <v>2018</v>
      </c>
      <c r="AH412" t="s">
        <v>30</v>
      </c>
      <c r="AI412">
        <v>106</v>
      </c>
      <c r="AJ412">
        <v>3.2</v>
      </c>
    </row>
    <row r="413" spans="1:36" x14ac:dyDescent="0.25">
      <c r="A413">
        <v>10412</v>
      </c>
      <c r="B413" t="s">
        <v>53</v>
      </c>
      <c r="C413" t="s">
        <v>22</v>
      </c>
      <c r="D413" t="s">
        <v>52</v>
      </c>
      <c r="E413" t="str">
        <f t="shared" si="78"/>
        <v>Sarah Williams is in Operations Department</v>
      </c>
      <c r="F413" s="6" t="str">
        <f t="shared" si="79"/>
        <v>sarahwilliams@gmail.com</v>
      </c>
      <c r="G413">
        <v>88499</v>
      </c>
      <c r="H413" t="str">
        <f t="shared" si="80"/>
        <v>High</v>
      </c>
      <c r="I413" s="3">
        <v>41756</v>
      </c>
      <c r="J413">
        <f t="shared" si="81"/>
        <v>2014</v>
      </c>
      <c r="K413">
        <f t="shared" si="82"/>
        <v>4</v>
      </c>
      <c r="L413">
        <f t="shared" si="83"/>
        <v>27</v>
      </c>
      <c r="M413" s="3">
        <f t="shared" ca="1" si="84"/>
        <v>46100</v>
      </c>
      <c r="N413">
        <f t="shared" ca="1" si="85"/>
        <v>4344</v>
      </c>
      <c r="O413">
        <f t="shared" ca="1" si="86"/>
        <v>4344</v>
      </c>
      <c r="P413">
        <f t="shared" ca="1" si="87"/>
        <v>3104</v>
      </c>
      <c r="Q413">
        <v>34</v>
      </c>
      <c r="R413" t="str">
        <f t="shared" si="88"/>
        <v>Old</v>
      </c>
      <c r="S413" t="s">
        <v>24</v>
      </c>
      <c r="T413">
        <v>7</v>
      </c>
      <c r="U413" t="s">
        <v>25</v>
      </c>
      <c r="V413">
        <v>2659.57</v>
      </c>
      <c r="W413" t="s">
        <v>26</v>
      </c>
      <c r="X413" t="s">
        <v>47</v>
      </c>
      <c r="Y413">
        <v>12</v>
      </c>
      <c r="Z413" t="str">
        <f t="shared" si="89"/>
        <v>Bad Employee</v>
      </c>
      <c r="AA413" t="b">
        <f t="shared" si="90"/>
        <v>0</v>
      </c>
      <c r="AB413" t="b">
        <f>OR(Y413&gt;20, T413&gt;6)</f>
        <v>1</v>
      </c>
      <c r="AC413" t="str">
        <f>IF(OR(Y413&gt;20,T413&gt;6), "Good employee", "Bad Employee")</f>
        <v>Good employee</v>
      </c>
      <c r="AD413" t="s">
        <v>28</v>
      </c>
      <c r="AE413" t="s">
        <v>59</v>
      </c>
      <c r="AF413">
        <v>7</v>
      </c>
      <c r="AG413">
        <v>2019</v>
      </c>
      <c r="AH413" t="s">
        <v>30</v>
      </c>
      <c r="AI413">
        <v>25</v>
      </c>
      <c r="AJ413">
        <v>2.5</v>
      </c>
    </row>
    <row r="414" spans="1:36" x14ac:dyDescent="0.25">
      <c r="A414">
        <v>10413</v>
      </c>
      <c r="B414" t="s">
        <v>64</v>
      </c>
      <c r="C414" t="s">
        <v>32</v>
      </c>
      <c r="D414" t="s">
        <v>44</v>
      </c>
      <c r="E414" t="str">
        <f t="shared" si="78"/>
        <v>Katie Wilson is in Sales Department</v>
      </c>
      <c r="F414" s="6" t="str">
        <f t="shared" si="79"/>
        <v>katiewilson@gmail.com</v>
      </c>
      <c r="G414">
        <v>53382</v>
      </c>
      <c r="H414" t="str">
        <f t="shared" si="80"/>
        <v>Medium</v>
      </c>
      <c r="I414" s="3">
        <v>41979</v>
      </c>
      <c r="J414">
        <f t="shared" si="81"/>
        <v>2014</v>
      </c>
      <c r="K414">
        <f t="shared" si="82"/>
        <v>12</v>
      </c>
      <c r="L414">
        <f t="shared" si="83"/>
        <v>6</v>
      </c>
      <c r="M414" s="3">
        <f t="shared" ca="1" si="84"/>
        <v>46100</v>
      </c>
      <c r="N414">
        <f t="shared" ca="1" si="85"/>
        <v>4121</v>
      </c>
      <c r="O414">
        <f t="shared" ca="1" si="86"/>
        <v>4121</v>
      </c>
      <c r="P414">
        <f t="shared" ca="1" si="87"/>
        <v>2944</v>
      </c>
      <c r="Q414">
        <v>48</v>
      </c>
      <c r="R414" t="str">
        <f t="shared" si="88"/>
        <v>Old</v>
      </c>
      <c r="S414" t="s">
        <v>24</v>
      </c>
      <c r="T414">
        <v>4</v>
      </c>
      <c r="U414" t="s">
        <v>45</v>
      </c>
      <c r="V414">
        <v>8781.7099999999991</v>
      </c>
      <c r="W414" t="s">
        <v>46</v>
      </c>
      <c r="X414" t="s">
        <v>55</v>
      </c>
      <c r="Y414">
        <v>21</v>
      </c>
      <c r="Z414" t="str">
        <f t="shared" si="89"/>
        <v>Bad Employee</v>
      </c>
      <c r="AA414" t="b">
        <f t="shared" si="90"/>
        <v>0</v>
      </c>
      <c r="AB414" t="b">
        <f>OR(Y414&gt;20, T414&gt;6)</f>
        <v>1</v>
      </c>
      <c r="AC414" t="str">
        <f>IF(OR(Y414&gt;20,T414&gt;6), "Good employee", "Bad Employee")</f>
        <v>Good employee</v>
      </c>
      <c r="AD414" t="s">
        <v>28</v>
      </c>
      <c r="AE414" t="s">
        <v>42</v>
      </c>
      <c r="AF414">
        <v>17</v>
      </c>
      <c r="AG414">
        <v>2021</v>
      </c>
      <c r="AH414" t="s">
        <v>49</v>
      </c>
      <c r="AI414">
        <v>81</v>
      </c>
      <c r="AJ414">
        <v>3.4</v>
      </c>
    </row>
    <row r="415" spans="1:36" x14ac:dyDescent="0.25">
      <c r="A415">
        <v>10414</v>
      </c>
      <c r="B415" t="s">
        <v>66</v>
      </c>
      <c r="C415" t="s">
        <v>51</v>
      </c>
      <c r="D415" t="s">
        <v>52</v>
      </c>
      <c r="E415" t="str">
        <f t="shared" si="78"/>
        <v>John Brown is in Operations Department</v>
      </c>
      <c r="F415" s="6" t="str">
        <f t="shared" si="79"/>
        <v>johnbrown@gmail.com</v>
      </c>
      <c r="G415">
        <v>44235</v>
      </c>
      <c r="H415" t="str">
        <f t="shared" si="80"/>
        <v>low</v>
      </c>
      <c r="I415" s="3">
        <v>42496</v>
      </c>
      <c r="J415">
        <f t="shared" si="81"/>
        <v>2016</v>
      </c>
      <c r="K415">
        <f t="shared" si="82"/>
        <v>5</v>
      </c>
      <c r="L415">
        <f t="shared" si="83"/>
        <v>6</v>
      </c>
      <c r="M415" s="3">
        <f t="shared" ca="1" si="84"/>
        <v>46100</v>
      </c>
      <c r="N415">
        <f t="shared" ca="1" si="85"/>
        <v>3604</v>
      </c>
      <c r="O415">
        <f t="shared" ca="1" si="86"/>
        <v>3604</v>
      </c>
      <c r="P415">
        <f t="shared" ca="1" si="87"/>
        <v>2575</v>
      </c>
      <c r="Q415">
        <v>31</v>
      </c>
      <c r="R415" t="str">
        <f t="shared" si="88"/>
        <v>Old</v>
      </c>
      <c r="S415" t="s">
        <v>34</v>
      </c>
      <c r="T415">
        <v>8</v>
      </c>
      <c r="U415" t="s">
        <v>25</v>
      </c>
      <c r="V415">
        <v>8106.76</v>
      </c>
      <c r="W415" t="s">
        <v>46</v>
      </c>
      <c r="X415" t="s">
        <v>27</v>
      </c>
      <c r="Y415">
        <v>30</v>
      </c>
      <c r="Z415" t="str">
        <f t="shared" si="89"/>
        <v>Good Employee</v>
      </c>
      <c r="AA415" t="b">
        <f t="shared" si="90"/>
        <v>1</v>
      </c>
      <c r="AB415" t="b">
        <f>OR(Y415&gt;20, T415&gt;6)</f>
        <v>1</v>
      </c>
      <c r="AC415" t="str">
        <f>IF(OR(Y415&gt;20,T415&gt;6), "Good employee", "Bad Employee")</f>
        <v>Good employee</v>
      </c>
      <c r="AD415" t="s">
        <v>28</v>
      </c>
      <c r="AE415" t="s">
        <v>62</v>
      </c>
      <c r="AF415">
        <v>12</v>
      </c>
      <c r="AG415">
        <v>2016</v>
      </c>
      <c r="AH415" t="s">
        <v>30</v>
      </c>
      <c r="AI415">
        <v>86</v>
      </c>
      <c r="AJ415">
        <v>2.4</v>
      </c>
    </row>
    <row r="416" spans="1:36" x14ac:dyDescent="0.25">
      <c r="A416">
        <v>10415</v>
      </c>
      <c r="B416" t="s">
        <v>50</v>
      </c>
      <c r="C416" t="s">
        <v>63</v>
      </c>
      <c r="D416" t="s">
        <v>44</v>
      </c>
      <c r="E416" t="str">
        <f t="shared" si="78"/>
        <v>Alex Miller is in Sales Department</v>
      </c>
      <c r="F416" s="6" t="str">
        <f t="shared" si="79"/>
        <v>alexmiller@gmail.com</v>
      </c>
      <c r="G416">
        <v>92223</v>
      </c>
      <c r="H416" t="str">
        <f t="shared" si="80"/>
        <v>High</v>
      </c>
      <c r="I416" s="3">
        <v>37288</v>
      </c>
      <c r="J416">
        <f t="shared" si="81"/>
        <v>2002</v>
      </c>
      <c r="K416">
        <f t="shared" si="82"/>
        <v>2</v>
      </c>
      <c r="L416">
        <f t="shared" si="83"/>
        <v>1</v>
      </c>
      <c r="M416" s="3">
        <f t="shared" ca="1" si="84"/>
        <v>46100</v>
      </c>
      <c r="N416">
        <f t="shared" ca="1" si="85"/>
        <v>8812</v>
      </c>
      <c r="O416">
        <f t="shared" ca="1" si="86"/>
        <v>8812</v>
      </c>
      <c r="P416">
        <f t="shared" ca="1" si="87"/>
        <v>6295</v>
      </c>
      <c r="Q416">
        <v>53</v>
      </c>
      <c r="R416" t="str">
        <f t="shared" si="88"/>
        <v>Old</v>
      </c>
      <c r="S416" t="s">
        <v>24</v>
      </c>
      <c r="T416">
        <v>3</v>
      </c>
      <c r="U416" t="s">
        <v>25</v>
      </c>
      <c r="V416">
        <v>7659.67</v>
      </c>
      <c r="W416" t="s">
        <v>46</v>
      </c>
      <c r="X416" t="s">
        <v>47</v>
      </c>
      <c r="Y416">
        <v>10</v>
      </c>
      <c r="Z416" t="str">
        <f t="shared" si="89"/>
        <v>Bad Employee</v>
      </c>
      <c r="AA416" t="b">
        <f t="shared" si="90"/>
        <v>0</v>
      </c>
      <c r="AB416" t="b">
        <f>OR(Y416&gt;20, T416&gt;6)</f>
        <v>0</v>
      </c>
      <c r="AC416" t="str">
        <f>IF(OR(Y416&gt;20,T416&gt;6), "Good employee", "Bad Employee")</f>
        <v>Bad Employee</v>
      </c>
      <c r="AD416" t="s">
        <v>56</v>
      </c>
      <c r="AE416" t="s">
        <v>59</v>
      </c>
      <c r="AF416">
        <v>0</v>
      </c>
      <c r="AG416">
        <v>2010</v>
      </c>
      <c r="AH416" t="s">
        <v>30</v>
      </c>
      <c r="AI416">
        <v>81</v>
      </c>
      <c r="AJ416">
        <v>3.9</v>
      </c>
    </row>
    <row r="417" spans="1:36" x14ac:dyDescent="0.25">
      <c r="A417">
        <v>10416</v>
      </c>
      <c r="B417" t="s">
        <v>66</v>
      </c>
      <c r="C417" t="s">
        <v>61</v>
      </c>
      <c r="D417" t="s">
        <v>23</v>
      </c>
      <c r="E417" t="str">
        <f t="shared" si="78"/>
        <v>John Smith is in HR Department</v>
      </c>
      <c r="F417" s="6" t="str">
        <f t="shared" si="79"/>
        <v>johnsmith@gmail.com</v>
      </c>
      <c r="G417">
        <v>32366</v>
      </c>
      <c r="H417" t="str">
        <f t="shared" si="80"/>
        <v>extremely low</v>
      </c>
      <c r="I417" s="3">
        <v>43281</v>
      </c>
      <c r="J417">
        <f t="shared" si="81"/>
        <v>2018</v>
      </c>
      <c r="K417">
        <f t="shared" si="82"/>
        <v>6</v>
      </c>
      <c r="L417">
        <f t="shared" si="83"/>
        <v>30</v>
      </c>
      <c r="M417" s="3">
        <f t="shared" ca="1" si="84"/>
        <v>46100</v>
      </c>
      <c r="N417">
        <f t="shared" ca="1" si="85"/>
        <v>2819</v>
      </c>
      <c r="O417">
        <f t="shared" ca="1" si="86"/>
        <v>2819</v>
      </c>
      <c r="P417">
        <f t="shared" ca="1" si="87"/>
        <v>2014</v>
      </c>
      <c r="Q417">
        <v>62</v>
      </c>
      <c r="R417" t="str">
        <f t="shared" si="88"/>
        <v>Old</v>
      </c>
      <c r="S417" t="s">
        <v>34</v>
      </c>
      <c r="T417">
        <v>2</v>
      </c>
      <c r="U417" t="s">
        <v>25</v>
      </c>
      <c r="V417">
        <v>8552.51</v>
      </c>
      <c r="W417" t="s">
        <v>46</v>
      </c>
      <c r="X417" t="s">
        <v>47</v>
      </c>
      <c r="Y417">
        <v>5</v>
      </c>
      <c r="Z417" t="str">
        <f t="shared" si="89"/>
        <v>Bad Employee</v>
      </c>
      <c r="AA417" t="b">
        <f t="shared" si="90"/>
        <v>0</v>
      </c>
      <c r="AB417" t="b">
        <f>OR(Y417&gt;20, T417&gt;6)</f>
        <v>0</v>
      </c>
      <c r="AC417" t="str">
        <f>IF(OR(Y417&gt;20,T417&gt;6), "Good employee", "Bad Employee")</f>
        <v>Bad Employee</v>
      </c>
      <c r="AD417" t="s">
        <v>56</v>
      </c>
      <c r="AE417" t="s">
        <v>48</v>
      </c>
      <c r="AF417">
        <v>19</v>
      </c>
      <c r="AG417">
        <v>2013</v>
      </c>
      <c r="AH417" t="s">
        <v>30</v>
      </c>
      <c r="AI417">
        <v>193</v>
      </c>
      <c r="AJ417">
        <v>1.1000000000000001</v>
      </c>
    </row>
    <row r="418" spans="1:36" x14ac:dyDescent="0.25">
      <c r="A418">
        <v>10417</v>
      </c>
      <c r="B418" t="s">
        <v>38</v>
      </c>
      <c r="C418" t="s">
        <v>61</v>
      </c>
      <c r="D418" t="s">
        <v>52</v>
      </c>
      <c r="E418" t="str">
        <f t="shared" si="78"/>
        <v>Chris Smith is in Operations Department</v>
      </c>
      <c r="F418" s="6" t="str">
        <f t="shared" si="79"/>
        <v>chrissmith@gmail.com</v>
      </c>
      <c r="G418">
        <v>57467</v>
      </c>
      <c r="H418" t="str">
        <f t="shared" si="80"/>
        <v>Medium</v>
      </c>
      <c r="I418" s="3">
        <v>40588</v>
      </c>
      <c r="J418">
        <f t="shared" si="81"/>
        <v>2011</v>
      </c>
      <c r="K418">
        <f t="shared" si="82"/>
        <v>2</v>
      </c>
      <c r="L418">
        <f t="shared" si="83"/>
        <v>14</v>
      </c>
      <c r="M418" s="3">
        <f t="shared" ca="1" si="84"/>
        <v>46100</v>
      </c>
      <c r="N418">
        <f t="shared" ca="1" si="85"/>
        <v>5512</v>
      </c>
      <c r="O418">
        <f t="shared" ca="1" si="86"/>
        <v>5512</v>
      </c>
      <c r="P418">
        <f t="shared" ca="1" si="87"/>
        <v>3939</v>
      </c>
      <c r="Q418">
        <v>24</v>
      </c>
      <c r="R418" t="str">
        <f t="shared" si="88"/>
        <v>Young</v>
      </c>
      <c r="S418" t="s">
        <v>34</v>
      </c>
      <c r="T418">
        <v>1</v>
      </c>
      <c r="U418" t="s">
        <v>25</v>
      </c>
      <c r="V418">
        <v>6386.67</v>
      </c>
      <c r="W418" t="s">
        <v>58</v>
      </c>
      <c r="X418" t="s">
        <v>55</v>
      </c>
      <c r="Y418">
        <v>37</v>
      </c>
      <c r="Z418" t="str">
        <f t="shared" si="89"/>
        <v>Bad Employee</v>
      </c>
      <c r="AA418" t="b">
        <f t="shared" si="90"/>
        <v>0</v>
      </c>
      <c r="AB418" t="b">
        <f>OR(Y418&gt;20, T418&gt;6)</f>
        <v>1</v>
      </c>
      <c r="AC418" t="str">
        <f>IF(OR(Y418&gt;20,T418&gt;6), "Good employee", "Bad Employee")</f>
        <v>Good employee</v>
      </c>
      <c r="AD418" t="s">
        <v>28</v>
      </c>
      <c r="AE418" t="s">
        <v>37</v>
      </c>
      <c r="AF418">
        <v>16</v>
      </c>
      <c r="AG418">
        <v>2023</v>
      </c>
      <c r="AH418" t="s">
        <v>43</v>
      </c>
      <c r="AI418">
        <v>103</v>
      </c>
      <c r="AJ418">
        <v>2.6</v>
      </c>
    </row>
    <row r="419" spans="1:36" x14ac:dyDescent="0.25">
      <c r="A419">
        <v>10418</v>
      </c>
      <c r="B419" t="s">
        <v>60</v>
      </c>
      <c r="C419" t="s">
        <v>22</v>
      </c>
      <c r="D419" t="s">
        <v>44</v>
      </c>
      <c r="E419" t="str">
        <f t="shared" si="78"/>
        <v>Jane Williams is in Sales Department</v>
      </c>
      <c r="F419" s="6" t="str">
        <f t="shared" si="79"/>
        <v>janewilliams@gmail.com</v>
      </c>
      <c r="G419">
        <v>89316</v>
      </c>
      <c r="H419" t="str">
        <f t="shared" si="80"/>
        <v>High</v>
      </c>
      <c r="I419" s="3">
        <v>37530</v>
      </c>
      <c r="J419">
        <f t="shared" si="81"/>
        <v>2002</v>
      </c>
      <c r="K419">
        <f t="shared" si="82"/>
        <v>10</v>
      </c>
      <c r="L419">
        <f t="shared" si="83"/>
        <v>1</v>
      </c>
      <c r="M419" s="3">
        <f t="shared" ca="1" si="84"/>
        <v>46100</v>
      </c>
      <c r="N419">
        <f t="shared" ca="1" si="85"/>
        <v>8570</v>
      </c>
      <c r="O419">
        <f t="shared" ca="1" si="86"/>
        <v>8570</v>
      </c>
      <c r="P419">
        <f t="shared" ca="1" si="87"/>
        <v>6123</v>
      </c>
      <c r="Q419">
        <v>43</v>
      </c>
      <c r="R419" t="str">
        <f t="shared" si="88"/>
        <v>Old</v>
      </c>
      <c r="S419" t="s">
        <v>24</v>
      </c>
      <c r="T419">
        <v>6</v>
      </c>
      <c r="U419" t="s">
        <v>45</v>
      </c>
      <c r="V419">
        <v>5263.65</v>
      </c>
      <c r="W419" t="s">
        <v>46</v>
      </c>
      <c r="X419" t="s">
        <v>40</v>
      </c>
      <c r="Y419">
        <v>8</v>
      </c>
      <c r="Z419" t="str">
        <f t="shared" si="89"/>
        <v>Bad Employee</v>
      </c>
      <c r="AA419" t="b">
        <f t="shared" si="90"/>
        <v>0</v>
      </c>
      <c r="AB419" t="b">
        <f>OR(Y419&gt;20, T419&gt;6)</f>
        <v>0</v>
      </c>
      <c r="AC419" t="str">
        <f>IF(OR(Y419&gt;20,T419&gt;6), "Good employee", "Bad Employee")</f>
        <v>Bad Employee</v>
      </c>
      <c r="AD419" t="s">
        <v>28</v>
      </c>
      <c r="AE419" t="s">
        <v>42</v>
      </c>
      <c r="AF419">
        <v>4</v>
      </c>
      <c r="AG419">
        <v>2014</v>
      </c>
      <c r="AH419" t="s">
        <v>30</v>
      </c>
      <c r="AI419">
        <v>170</v>
      </c>
      <c r="AJ419">
        <v>4.3</v>
      </c>
    </row>
    <row r="420" spans="1:36" x14ac:dyDescent="0.25">
      <c r="A420">
        <v>10419</v>
      </c>
      <c r="B420" t="s">
        <v>53</v>
      </c>
      <c r="C420" t="s">
        <v>65</v>
      </c>
      <c r="D420" t="s">
        <v>33</v>
      </c>
      <c r="E420" t="str">
        <f t="shared" si="78"/>
        <v>Sarah Johnson is in Marketing Department</v>
      </c>
      <c r="F420" s="6" t="str">
        <f t="shared" si="79"/>
        <v>sarahjohnson@gmail.com</v>
      </c>
      <c r="G420">
        <v>36764</v>
      </c>
      <c r="H420" t="str">
        <f t="shared" si="80"/>
        <v>extremely low</v>
      </c>
      <c r="I420" s="3">
        <v>43583</v>
      </c>
      <c r="J420">
        <f t="shared" si="81"/>
        <v>2019</v>
      </c>
      <c r="K420">
        <f t="shared" si="82"/>
        <v>4</v>
      </c>
      <c r="L420">
        <f t="shared" si="83"/>
        <v>28</v>
      </c>
      <c r="M420" s="3">
        <f t="shared" ca="1" si="84"/>
        <v>46100</v>
      </c>
      <c r="N420">
        <f t="shared" ca="1" si="85"/>
        <v>2517</v>
      </c>
      <c r="O420">
        <f t="shared" ca="1" si="86"/>
        <v>2517</v>
      </c>
      <c r="P420">
        <f t="shared" ca="1" si="87"/>
        <v>1799</v>
      </c>
      <c r="Q420">
        <v>48</v>
      </c>
      <c r="R420" t="str">
        <f t="shared" si="88"/>
        <v>Old</v>
      </c>
      <c r="S420" t="s">
        <v>24</v>
      </c>
      <c r="T420">
        <v>2</v>
      </c>
      <c r="U420" t="s">
        <v>25</v>
      </c>
      <c r="V420">
        <v>4052.38</v>
      </c>
      <c r="W420" t="s">
        <v>26</v>
      </c>
      <c r="X420" t="s">
        <v>47</v>
      </c>
      <c r="Y420">
        <v>30</v>
      </c>
      <c r="Z420" t="str">
        <f t="shared" si="89"/>
        <v>Bad Employee</v>
      </c>
      <c r="AA420" t="b">
        <f t="shared" si="90"/>
        <v>0</v>
      </c>
      <c r="AB420" t="b">
        <f>OR(Y420&gt;20, T420&gt;6)</f>
        <v>1</v>
      </c>
      <c r="AC420" t="str">
        <f>IF(OR(Y420&gt;20,T420&gt;6), "Good employee", "Bad Employee")</f>
        <v>Good employee</v>
      </c>
      <c r="AD420" t="s">
        <v>56</v>
      </c>
      <c r="AE420" t="s">
        <v>59</v>
      </c>
      <c r="AF420">
        <v>11</v>
      </c>
      <c r="AG420">
        <v>2016</v>
      </c>
      <c r="AH420" t="s">
        <v>43</v>
      </c>
      <c r="AI420">
        <v>172</v>
      </c>
      <c r="AJ420">
        <v>2</v>
      </c>
    </row>
    <row r="421" spans="1:36" x14ac:dyDescent="0.25">
      <c r="A421">
        <v>10420</v>
      </c>
      <c r="B421" t="s">
        <v>64</v>
      </c>
      <c r="C421" t="s">
        <v>51</v>
      </c>
      <c r="D421" t="s">
        <v>44</v>
      </c>
      <c r="E421" t="str">
        <f t="shared" si="78"/>
        <v>Katie Brown is in Sales Department</v>
      </c>
      <c r="F421" s="6" t="str">
        <f t="shared" si="79"/>
        <v>katiebrown@gmail.com</v>
      </c>
      <c r="G421">
        <v>91836</v>
      </c>
      <c r="H421" t="str">
        <f t="shared" si="80"/>
        <v>High</v>
      </c>
      <c r="I421" s="3">
        <v>40281</v>
      </c>
      <c r="J421">
        <f t="shared" si="81"/>
        <v>2010</v>
      </c>
      <c r="K421">
        <f t="shared" si="82"/>
        <v>4</v>
      </c>
      <c r="L421">
        <f t="shared" si="83"/>
        <v>13</v>
      </c>
      <c r="M421" s="3">
        <f t="shared" ca="1" si="84"/>
        <v>46100</v>
      </c>
      <c r="N421">
        <f t="shared" ca="1" si="85"/>
        <v>5819</v>
      </c>
      <c r="O421">
        <f t="shared" ca="1" si="86"/>
        <v>5819</v>
      </c>
      <c r="P421">
        <f t="shared" ca="1" si="87"/>
        <v>4158</v>
      </c>
      <c r="Q421">
        <v>24</v>
      </c>
      <c r="R421" t="str">
        <f t="shared" si="88"/>
        <v>Young</v>
      </c>
      <c r="S421" t="s">
        <v>34</v>
      </c>
      <c r="T421">
        <v>8</v>
      </c>
      <c r="U421" t="s">
        <v>45</v>
      </c>
      <c r="V421">
        <v>2625.76</v>
      </c>
      <c r="W421" t="s">
        <v>26</v>
      </c>
      <c r="X421" t="s">
        <v>55</v>
      </c>
      <c r="Y421">
        <v>17</v>
      </c>
      <c r="Z421" t="str">
        <f t="shared" si="89"/>
        <v>Bad Employee</v>
      </c>
      <c r="AA421" t="b">
        <f t="shared" si="90"/>
        <v>0</v>
      </c>
      <c r="AB421" t="b">
        <f>OR(Y421&gt;20, T421&gt;6)</f>
        <v>1</v>
      </c>
      <c r="AC421" t="str">
        <f>IF(OR(Y421&gt;20,T421&gt;6), "Good employee", "Bad Employee")</f>
        <v>Good employee</v>
      </c>
      <c r="AD421" t="s">
        <v>56</v>
      </c>
      <c r="AE421" t="s">
        <v>37</v>
      </c>
      <c r="AF421">
        <v>10</v>
      </c>
      <c r="AG421">
        <v>2016</v>
      </c>
      <c r="AH421" t="s">
        <v>30</v>
      </c>
      <c r="AI421">
        <v>159</v>
      </c>
      <c r="AJ421">
        <v>1.2</v>
      </c>
    </row>
    <row r="422" spans="1:36" x14ac:dyDescent="0.25">
      <c r="A422">
        <v>10421</v>
      </c>
      <c r="B422" t="s">
        <v>60</v>
      </c>
      <c r="C422" t="s">
        <v>32</v>
      </c>
      <c r="D422" t="s">
        <v>44</v>
      </c>
      <c r="E422" t="str">
        <f t="shared" si="78"/>
        <v>Jane Wilson is in Sales Department</v>
      </c>
      <c r="F422" s="6" t="str">
        <f t="shared" si="79"/>
        <v>janewilson@gmail.com</v>
      </c>
      <c r="G422">
        <v>61923</v>
      </c>
      <c r="H422" t="str">
        <f t="shared" si="80"/>
        <v>Medium</v>
      </c>
      <c r="I422" s="3">
        <v>39372</v>
      </c>
      <c r="J422">
        <f t="shared" si="81"/>
        <v>2007</v>
      </c>
      <c r="K422">
        <f t="shared" si="82"/>
        <v>10</v>
      </c>
      <c r="L422">
        <f t="shared" si="83"/>
        <v>17</v>
      </c>
      <c r="M422" s="3">
        <f t="shared" ca="1" si="84"/>
        <v>46100</v>
      </c>
      <c r="N422">
        <f t="shared" ca="1" si="85"/>
        <v>6728</v>
      </c>
      <c r="O422">
        <f t="shared" ca="1" si="86"/>
        <v>6728</v>
      </c>
      <c r="P422">
        <f t="shared" ca="1" si="87"/>
        <v>4807</v>
      </c>
      <c r="Q422">
        <v>54</v>
      </c>
      <c r="R422" t="str">
        <f t="shared" si="88"/>
        <v>Old</v>
      </c>
      <c r="S422" t="s">
        <v>24</v>
      </c>
      <c r="T422">
        <v>4</v>
      </c>
      <c r="U422" t="s">
        <v>25</v>
      </c>
      <c r="V422">
        <v>5795.41</v>
      </c>
      <c r="W422" t="s">
        <v>58</v>
      </c>
      <c r="X422" t="s">
        <v>40</v>
      </c>
      <c r="Y422">
        <v>3</v>
      </c>
      <c r="Z422" t="str">
        <f t="shared" si="89"/>
        <v>Bad Employee</v>
      </c>
      <c r="AA422" t="b">
        <f t="shared" si="90"/>
        <v>0</v>
      </c>
      <c r="AB422" t="b">
        <f>OR(Y422&gt;20, T422&gt;6)</f>
        <v>0</v>
      </c>
      <c r="AC422" t="str">
        <f>IF(OR(Y422&gt;20,T422&gt;6), "Good employee", "Bad Employee")</f>
        <v>Bad Employee</v>
      </c>
      <c r="AD422" t="s">
        <v>41</v>
      </c>
      <c r="AE422" t="s">
        <v>37</v>
      </c>
      <c r="AF422">
        <v>17</v>
      </c>
      <c r="AG422">
        <v>2014</v>
      </c>
      <c r="AH422" t="s">
        <v>49</v>
      </c>
      <c r="AI422">
        <v>190</v>
      </c>
      <c r="AJ422">
        <v>3</v>
      </c>
    </row>
    <row r="423" spans="1:36" x14ac:dyDescent="0.25">
      <c r="A423">
        <v>10422</v>
      </c>
      <c r="B423" t="s">
        <v>60</v>
      </c>
      <c r="C423" t="s">
        <v>65</v>
      </c>
      <c r="D423" t="s">
        <v>52</v>
      </c>
      <c r="E423" t="str">
        <f t="shared" si="78"/>
        <v>Jane Johnson is in Operations Department</v>
      </c>
      <c r="F423" s="6" t="str">
        <f t="shared" si="79"/>
        <v>janejohnson@gmail.com</v>
      </c>
      <c r="G423">
        <v>46292</v>
      </c>
      <c r="H423" t="str">
        <f t="shared" si="80"/>
        <v>low</v>
      </c>
      <c r="I423" s="3">
        <v>42788</v>
      </c>
      <c r="J423">
        <f t="shared" si="81"/>
        <v>2017</v>
      </c>
      <c r="K423">
        <f t="shared" si="82"/>
        <v>2</v>
      </c>
      <c r="L423">
        <f t="shared" si="83"/>
        <v>22</v>
      </c>
      <c r="M423" s="3">
        <f t="shared" ca="1" si="84"/>
        <v>46100</v>
      </c>
      <c r="N423">
        <f t="shared" ca="1" si="85"/>
        <v>3312</v>
      </c>
      <c r="O423">
        <f t="shared" ca="1" si="86"/>
        <v>3312</v>
      </c>
      <c r="P423">
        <f t="shared" ca="1" si="87"/>
        <v>2367</v>
      </c>
      <c r="Q423">
        <v>23</v>
      </c>
      <c r="R423" t="str">
        <f t="shared" si="88"/>
        <v>Young</v>
      </c>
      <c r="S423" t="s">
        <v>34</v>
      </c>
      <c r="T423">
        <v>9</v>
      </c>
      <c r="U423" t="s">
        <v>25</v>
      </c>
      <c r="V423">
        <v>8950.18</v>
      </c>
      <c r="W423" t="s">
        <v>26</v>
      </c>
      <c r="X423" t="s">
        <v>40</v>
      </c>
      <c r="Y423">
        <v>21</v>
      </c>
      <c r="Z423" t="str">
        <f t="shared" si="89"/>
        <v>Good Employee</v>
      </c>
      <c r="AA423" t="b">
        <f t="shared" si="90"/>
        <v>1</v>
      </c>
      <c r="AB423" t="b">
        <f>OR(Y423&gt;20, T423&gt;6)</f>
        <v>1</v>
      </c>
      <c r="AC423" t="str">
        <f>IF(OR(Y423&gt;20,T423&gt;6), "Good employee", "Bad Employee")</f>
        <v>Good employee</v>
      </c>
      <c r="AD423" t="s">
        <v>28</v>
      </c>
      <c r="AE423" t="s">
        <v>37</v>
      </c>
      <c r="AF423">
        <v>7</v>
      </c>
      <c r="AG423">
        <v>2021</v>
      </c>
      <c r="AH423" t="s">
        <v>49</v>
      </c>
      <c r="AI423">
        <v>198</v>
      </c>
      <c r="AJ423">
        <v>4.9000000000000004</v>
      </c>
    </row>
    <row r="424" spans="1:36" x14ac:dyDescent="0.25">
      <c r="A424">
        <v>10423</v>
      </c>
      <c r="B424" t="s">
        <v>64</v>
      </c>
      <c r="C424" t="s">
        <v>61</v>
      </c>
      <c r="D424" t="s">
        <v>23</v>
      </c>
      <c r="E424" t="str">
        <f t="shared" si="78"/>
        <v>Katie Smith is in HR Department</v>
      </c>
      <c r="F424" s="6" t="str">
        <f t="shared" si="79"/>
        <v>katiesmith@gmail.com</v>
      </c>
      <c r="G424">
        <v>31614</v>
      </c>
      <c r="H424" t="str">
        <f t="shared" si="80"/>
        <v>extremely low</v>
      </c>
      <c r="I424" s="3">
        <v>36875</v>
      </c>
      <c r="J424">
        <f t="shared" si="81"/>
        <v>2000</v>
      </c>
      <c r="K424">
        <f t="shared" si="82"/>
        <v>12</v>
      </c>
      <c r="L424">
        <f t="shared" si="83"/>
        <v>15</v>
      </c>
      <c r="M424" s="3">
        <f t="shared" ca="1" si="84"/>
        <v>46100</v>
      </c>
      <c r="N424">
        <f t="shared" ca="1" si="85"/>
        <v>9225</v>
      </c>
      <c r="O424">
        <f t="shared" ca="1" si="86"/>
        <v>9225</v>
      </c>
      <c r="P424">
        <f t="shared" ca="1" si="87"/>
        <v>6590</v>
      </c>
      <c r="Q424">
        <v>32</v>
      </c>
      <c r="R424" t="str">
        <f t="shared" si="88"/>
        <v>Old</v>
      </c>
      <c r="S424" t="s">
        <v>24</v>
      </c>
      <c r="T424">
        <v>4</v>
      </c>
      <c r="U424" t="s">
        <v>45</v>
      </c>
      <c r="V424">
        <v>6142.83</v>
      </c>
      <c r="W424" t="s">
        <v>46</v>
      </c>
      <c r="X424" t="s">
        <v>47</v>
      </c>
      <c r="Y424">
        <v>16</v>
      </c>
      <c r="Z424" t="str">
        <f t="shared" si="89"/>
        <v>Bad Employee</v>
      </c>
      <c r="AA424" t="b">
        <f t="shared" si="90"/>
        <v>0</v>
      </c>
      <c r="AB424" t="b">
        <f>OR(Y424&gt;20, T424&gt;6)</f>
        <v>0</v>
      </c>
      <c r="AC424" t="str">
        <f>IF(OR(Y424&gt;20,T424&gt;6), "Good employee", "Bad Employee")</f>
        <v>Bad Employee</v>
      </c>
      <c r="AD424" t="s">
        <v>28</v>
      </c>
      <c r="AE424" t="s">
        <v>48</v>
      </c>
      <c r="AF424">
        <v>12</v>
      </c>
      <c r="AG424">
        <v>2010</v>
      </c>
      <c r="AH424" t="s">
        <v>30</v>
      </c>
      <c r="AI424">
        <v>47</v>
      </c>
      <c r="AJ424">
        <v>1.3</v>
      </c>
    </row>
    <row r="425" spans="1:36" x14ac:dyDescent="0.25">
      <c r="A425">
        <v>10424</v>
      </c>
      <c r="B425" t="s">
        <v>50</v>
      </c>
      <c r="C425" t="s">
        <v>65</v>
      </c>
      <c r="D425" t="s">
        <v>23</v>
      </c>
      <c r="E425" t="str">
        <f t="shared" si="78"/>
        <v>Alex Johnson is in HR Department</v>
      </c>
      <c r="F425" s="6" t="str">
        <f t="shared" si="79"/>
        <v>alexjohnson@gmail.com</v>
      </c>
      <c r="G425">
        <v>50939</v>
      </c>
      <c r="H425" t="str">
        <f t="shared" si="80"/>
        <v>Medium</v>
      </c>
      <c r="I425" s="3">
        <v>39490</v>
      </c>
      <c r="J425">
        <f t="shared" si="81"/>
        <v>2008</v>
      </c>
      <c r="K425">
        <f t="shared" si="82"/>
        <v>2</v>
      </c>
      <c r="L425">
        <f t="shared" si="83"/>
        <v>12</v>
      </c>
      <c r="M425" s="3">
        <f t="shared" ca="1" si="84"/>
        <v>46100</v>
      </c>
      <c r="N425">
        <f t="shared" ca="1" si="85"/>
        <v>6610</v>
      </c>
      <c r="O425">
        <f t="shared" ca="1" si="86"/>
        <v>6610</v>
      </c>
      <c r="P425">
        <f t="shared" ca="1" si="87"/>
        <v>4723</v>
      </c>
      <c r="Q425">
        <v>31</v>
      </c>
      <c r="R425" t="str">
        <f t="shared" si="88"/>
        <v>Old</v>
      </c>
      <c r="S425" t="s">
        <v>34</v>
      </c>
      <c r="T425">
        <v>4</v>
      </c>
      <c r="U425" t="s">
        <v>25</v>
      </c>
      <c r="V425">
        <v>9236.27</v>
      </c>
      <c r="W425" t="s">
        <v>26</v>
      </c>
      <c r="X425" t="s">
        <v>40</v>
      </c>
      <c r="Y425">
        <v>32</v>
      </c>
      <c r="Z425" t="str">
        <f t="shared" si="89"/>
        <v>Bad Employee</v>
      </c>
      <c r="AA425" t="b">
        <f t="shared" si="90"/>
        <v>0</v>
      </c>
      <c r="AB425" t="b">
        <f>OR(Y425&gt;20, T425&gt;6)</f>
        <v>1</v>
      </c>
      <c r="AC425" t="str">
        <f>IF(OR(Y425&gt;20,T425&gt;6), "Good employee", "Bad Employee")</f>
        <v>Good employee</v>
      </c>
      <c r="AD425" t="s">
        <v>28</v>
      </c>
      <c r="AE425" t="s">
        <v>29</v>
      </c>
      <c r="AF425">
        <v>1</v>
      </c>
      <c r="AG425">
        <v>2014</v>
      </c>
      <c r="AH425" t="s">
        <v>49</v>
      </c>
      <c r="AI425">
        <v>126</v>
      </c>
      <c r="AJ425">
        <v>1.3</v>
      </c>
    </row>
    <row r="426" spans="1:36" x14ac:dyDescent="0.25">
      <c r="A426">
        <v>10425</v>
      </c>
      <c r="B426" t="s">
        <v>53</v>
      </c>
      <c r="C426" t="s">
        <v>61</v>
      </c>
      <c r="D426" t="s">
        <v>23</v>
      </c>
      <c r="E426" t="str">
        <f t="shared" si="78"/>
        <v>Sarah Smith is in HR Department</v>
      </c>
      <c r="F426" s="6" t="str">
        <f t="shared" si="79"/>
        <v>sarahsmith@gmail.com</v>
      </c>
      <c r="G426">
        <v>48800</v>
      </c>
      <c r="H426" t="str">
        <f t="shared" si="80"/>
        <v>low</v>
      </c>
      <c r="I426" s="3">
        <v>37212</v>
      </c>
      <c r="J426">
        <f t="shared" si="81"/>
        <v>2001</v>
      </c>
      <c r="K426">
        <f t="shared" si="82"/>
        <v>11</v>
      </c>
      <c r="L426">
        <f t="shared" si="83"/>
        <v>17</v>
      </c>
      <c r="M426" s="3">
        <f t="shared" ca="1" si="84"/>
        <v>46100</v>
      </c>
      <c r="N426">
        <f t="shared" ca="1" si="85"/>
        <v>8888</v>
      </c>
      <c r="O426">
        <f t="shared" ca="1" si="86"/>
        <v>8888</v>
      </c>
      <c r="P426">
        <f t="shared" ca="1" si="87"/>
        <v>6349</v>
      </c>
      <c r="Q426">
        <v>60</v>
      </c>
      <c r="R426" t="str">
        <f t="shared" si="88"/>
        <v>Old</v>
      </c>
      <c r="S426" t="s">
        <v>34</v>
      </c>
      <c r="T426">
        <v>8</v>
      </c>
      <c r="U426" t="s">
        <v>25</v>
      </c>
      <c r="V426">
        <v>3890.72</v>
      </c>
      <c r="W426" t="s">
        <v>35</v>
      </c>
      <c r="X426" t="s">
        <v>47</v>
      </c>
      <c r="Y426">
        <v>27</v>
      </c>
      <c r="Z426" t="str">
        <f t="shared" si="89"/>
        <v>Good Employee</v>
      </c>
      <c r="AA426" t="b">
        <f t="shared" si="90"/>
        <v>1</v>
      </c>
      <c r="AB426" t="b">
        <f>OR(Y426&gt;20, T426&gt;6)</f>
        <v>1</v>
      </c>
      <c r="AC426" t="str">
        <f>IF(OR(Y426&gt;20,T426&gt;6), "Good employee", "Bad Employee")</f>
        <v>Good employee</v>
      </c>
      <c r="AD426" t="s">
        <v>56</v>
      </c>
      <c r="AE426" t="s">
        <v>59</v>
      </c>
      <c r="AF426">
        <v>15</v>
      </c>
      <c r="AG426">
        <v>2014</v>
      </c>
      <c r="AH426" t="s">
        <v>43</v>
      </c>
      <c r="AI426">
        <v>128</v>
      </c>
      <c r="AJ426">
        <v>3.4</v>
      </c>
    </row>
    <row r="427" spans="1:36" x14ac:dyDescent="0.25">
      <c r="A427">
        <v>10426</v>
      </c>
      <c r="B427" t="s">
        <v>38</v>
      </c>
      <c r="C427" t="s">
        <v>65</v>
      </c>
      <c r="D427" t="s">
        <v>23</v>
      </c>
      <c r="E427" t="str">
        <f t="shared" si="78"/>
        <v>Chris Johnson is in HR Department</v>
      </c>
      <c r="F427" s="6" t="str">
        <f t="shared" si="79"/>
        <v>chrisjohnson@gmail.com</v>
      </c>
      <c r="G427">
        <v>86440</v>
      </c>
      <c r="H427" t="str">
        <f t="shared" si="80"/>
        <v>High</v>
      </c>
      <c r="I427" s="3">
        <v>41163</v>
      </c>
      <c r="J427">
        <f t="shared" si="81"/>
        <v>2012</v>
      </c>
      <c r="K427">
        <f t="shared" si="82"/>
        <v>9</v>
      </c>
      <c r="L427">
        <f t="shared" si="83"/>
        <v>11</v>
      </c>
      <c r="M427" s="3">
        <f t="shared" ca="1" si="84"/>
        <v>46100</v>
      </c>
      <c r="N427">
        <f t="shared" ca="1" si="85"/>
        <v>4937</v>
      </c>
      <c r="O427">
        <f t="shared" ca="1" si="86"/>
        <v>4937</v>
      </c>
      <c r="P427">
        <f t="shared" ca="1" si="87"/>
        <v>3528</v>
      </c>
      <c r="Q427">
        <v>54</v>
      </c>
      <c r="R427" t="str">
        <f t="shared" si="88"/>
        <v>Old</v>
      </c>
      <c r="S427" t="s">
        <v>24</v>
      </c>
      <c r="T427">
        <v>8</v>
      </c>
      <c r="U427" t="s">
        <v>45</v>
      </c>
      <c r="V427">
        <v>7103.81</v>
      </c>
      <c r="W427" t="s">
        <v>46</v>
      </c>
      <c r="X427" t="s">
        <v>47</v>
      </c>
      <c r="Y427">
        <v>6</v>
      </c>
      <c r="Z427" t="str">
        <f t="shared" si="89"/>
        <v>Bad Employee</v>
      </c>
      <c r="AA427" t="b">
        <f t="shared" si="90"/>
        <v>0</v>
      </c>
      <c r="AB427" t="b">
        <f>OR(Y427&gt;20, T427&gt;6)</f>
        <v>1</v>
      </c>
      <c r="AC427" t="str">
        <f>IF(OR(Y427&gt;20,T427&gt;6), "Good employee", "Bad Employee")</f>
        <v>Good employee</v>
      </c>
      <c r="AD427" t="s">
        <v>56</v>
      </c>
      <c r="AE427" t="s">
        <v>37</v>
      </c>
      <c r="AF427">
        <v>11</v>
      </c>
      <c r="AG427">
        <v>2013</v>
      </c>
      <c r="AH427" t="s">
        <v>30</v>
      </c>
      <c r="AI427">
        <v>24</v>
      </c>
      <c r="AJ427">
        <v>2</v>
      </c>
    </row>
    <row r="428" spans="1:36" x14ac:dyDescent="0.25">
      <c r="A428">
        <v>10427</v>
      </c>
      <c r="B428" t="s">
        <v>66</v>
      </c>
      <c r="C428" t="s">
        <v>22</v>
      </c>
      <c r="D428" t="s">
        <v>39</v>
      </c>
      <c r="E428" t="str">
        <f t="shared" si="78"/>
        <v>John Williams is in IT Department</v>
      </c>
      <c r="F428" s="6" t="str">
        <f t="shared" si="79"/>
        <v>johnwilliams@gmail.com</v>
      </c>
      <c r="G428">
        <v>53246</v>
      </c>
      <c r="H428" t="str">
        <f t="shared" si="80"/>
        <v>Medium</v>
      </c>
      <c r="I428" s="3">
        <v>39652</v>
      </c>
      <c r="J428">
        <f t="shared" si="81"/>
        <v>2008</v>
      </c>
      <c r="K428">
        <f t="shared" si="82"/>
        <v>7</v>
      </c>
      <c r="L428">
        <f t="shared" si="83"/>
        <v>23</v>
      </c>
      <c r="M428" s="3">
        <f t="shared" ca="1" si="84"/>
        <v>46100</v>
      </c>
      <c r="N428">
        <f t="shared" ca="1" si="85"/>
        <v>6448</v>
      </c>
      <c r="O428">
        <f t="shared" ca="1" si="86"/>
        <v>6448</v>
      </c>
      <c r="P428">
        <f t="shared" ca="1" si="87"/>
        <v>4607</v>
      </c>
      <c r="Q428">
        <v>28</v>
      </c>
      <c r="R428" t="str">
        <f t="shared" si="88"/>
        <v>Young</v>
      </c>
      <c r="S428" t="s">
        <v>24</v>
      </c>
      <c r="T428">
        <v>5</v>
      </c>
      <c r="U428" t="s">
        <v>45</v>
      </c>
      <c r="V428">
        <v>6662.32</v>
      </c>
      <c r="W428" t="s">
        <v>58</v>
      </c>
      <c r="X428" t="s">
        <v>36</v>
      </c>
      <c r="Y428">
        <v>16</v>
      </c>
      <c r="Z428" t="str">
        <f t="shared" si="89"/>
        <v>Bad Employee</v>
      </c>
      <c r="AA428" t="b">
        <f t="shared" si="90"/>
        <v>0</v>
      </c>
      <c r="AB428" t="b">
        <f>OR(Y428&gt;20, T428&gt;6)</f>
        <v>0</v>
      </c>
      <c r="AC428" t="str">
        <f>IF(OR(Y428&gt;20,T428&gt;6), "Good employee", "Bad Employee")</f>
        <v>Bad Employee</v>
      </c>
      <c r="AD428" t="s">
        <v>41</v>
      </c>
      <c r="AE428" t="s">
        <v>29</v>
      </c>
      <c r="AF428">
        <v>7</v>
      </c>
      <c r="AG428">
        <v>2022</v>
      </c>
      <c r="AH428" t="s">
        <v>43</v>
      </c>
      <c r="AI428">
        <v>167</v>
      </c>
      <c r="AJ428">
        <v>2.6</v>
      </c>
    </row>
    <row r="429" spans="1:36" x14ac:dyDescent="0.25">
      <c r="A429">
        <v>10428</v>
      </c>
      <c r="B429" t="s">
        <v>31</v>
      </c>
      <c r="C429" t="s">
        <v>57</v>
      </c>
      <c r="D429" t="s">
        <v>52</v>
      </c>
      <c r="E429" t="str">
        <f t="shared" si="78"/>
        <v>Emily Davis is in Operations Department</v>
      </c>
      <c r="F429" s="6" t="str">
        <f t="shared" si="79"/>
        <v>emilydavis@gmail.com</v>
      </c>
      <c r="G429">
        <v>82805</v>
      </c>
      <c r="H429" t="str">
        <f t="shared" si="80"/>
        <v>High</v>
      </c>
      <c r="I429" s="3">
        <v>40982</v>
      </c>
      <c r="J429">
        <f t="shared" si="81"/>
        <v>2012</v>
      </c>
      <c r="K429">
        <f t="shared" si="82"/>
        <v>3</v>
      </c>
      <c r="L429">
        <f t="shared" si="83"/>
        <v>14</v>
      </c>
      <c r="M429" s="3">
        <f t="shared" ca="1" si="84"/>
        <v>46100</v>
      </c>
      <c r="N429">
        <f t="shared" ca="1" si="85"/>
        <v>5118</v>
      </c>
      <c r="O429">
        <f t="shared" ca="1" si="86"/>
        <v>5118</v>
      </c>
      <c r="P429">
        <f t="shared" ca="1" si="87"/>
        <v>3657</v>
      </c>
      <c r="Q429">
        <v>36</v>
      </c>
      <c r="R429" t="str">
        <f t="shared" si="88"/>
        <v>Old</v>
      </c>
      <c r="S429" t="s">
        <v>34</v>
      </c>
      <c r="T429">
        <v>3</v>
      </c>
      <c r="U429" t="s">
        <v>45</v>
      </c>
      <c r="V429">
        <v>6869.12</v>
      </c>
      <c r="W429" t="s">
        <v>35</v>
      </c>
      <c r="X429" t="s">
        <v>27</v>
      </c>
      <c r="Y429">
        <v>3</v>
      </c>
      <c r="Z429" t="str">
        <f t="shared" si="89"/>
        <v>Bad Employee</v>
      </c>
      <c r="AA429" t="b">
        <f t="shared" si="90"/>
        <v>0</v>
      </c>
      <c r="AB429" t="b">
        <f>OR(Y429&gt;20, T429&gt;6)</f>
        <v>0</v>
      </c>
      <c r="AC429" t="str">
        <f>IF(OR(Y429&gt;20,T429&gt;6), "Good employee", "Bad Employee")</f>
        <v>Bad Employee</v>
      </c>
      <c r="AD429" t="s">
        <v>41</v>
      </c>
      <c r="AE429" t="s">
        <v>37</v>
      </c>
      <c r="AF429">
        <v>3</v>
      </c>
      <c r="AG429">
        <v>2015</v>
      </c>
      <c r="AH429" t="s">
        <v>30</v>
      </c>
      <c r="AI429">
        <v>59</v>
      </c>
      <c r="AJ429">
        <v>4.3</v>
      </c>
    </row>
    <row r="430" spans="1:36" x14ac:dyDescent="0.25">
      <c r="A430">
        <v>10429</v>
      </c>
      <c r="B430" t="s">
        <v>66</v>
      </c>
      <c r="C430" t="s">
        <v>22</v>
      </c>
      <c r="D430" t="s">
        <v>54</v>
      </c>
      <c r="E430" t="str">
        <f t="shared" si="78"/>
        <v>John Williams is in Finance Department</v>
      </c>
      <c r="F430" s="6" t="str">
        <f t="shared" si="79"/>
        <v>johnwilliams@gmail.com</v>
      </c>
      <c r="G430">
        <v>79648</v>
      </c>
      <c r="H430" t="str">
        <f t="shared" si="80"/>
        <v>Medium</v>
      </c>
      <c r="I430" s="3">
        <v>39281</v>
      </c>
      <c r="J430">
        <f t="shared" si="81"/>
        <v>2007</v>
      </c>
      <c r="K430">
        <f t="shared" si="82"/>
        <v>7</v>
      </c>
      <c r="L430">
        <f t="shared" si="83"/>
        <v>18</v>
      </c>
      <c r="M430" s="3">
        <f t="shared" ca="1" si="84"/>
        <v>46100</v>
      </c>
      <c r="N430">
        <f t="shared" ca="1" si="85"/>
        <v>6819</v>
      </c>
      <c r="O430">
        <f t="shared" ca="1" si="86"/>
        <v>6819</v>
      </c>
      <c r="P430">
        <f t="shared" ca="1" si="87"/>
        <v>4872</v>
      </c>
      <c r="Q430">
        <v>47</v>
      </c>
      <c r="R430" t="str">
        <f t="shared" si="88"/>
        <v>Old</v>
      </c>
      <c r="S430" t="s">
        <v>34</v>
      </c>
      <c r="T430">
        <v>2</v>
      </c>
      <c r="U430" t="s">
        <v>25</v>
      </c>
      <c r="V430">
        <v>6627.9</v>
      </c>
      <c r="W430" t="s">
        <v>26</v>
      </c>
      <c r="X430" t="s">
        <v>27</v>
      </c>
      <c r="Y430">
        <v>20</v>
      </c>
      <c r="Z430" t="str">
        <f t="shared" si="89"/>
        <v>Bad Employee</v>
      </c>
      <c r="AA430" t="b">
        <f t="shared" si="90"/>
        <v>0</v>
      </c>
      <c r="AB430" t="b">
        <f>OR(Y430&gt;20, T430&gt;6)</f>
        <v>0</v>
      </c>
      <c r="AC430" t="str">
        <f>IF(OR(Y430&gt;20,T430&gt;6), "Good employee", "Bad Employee")</f>
        <v>Bad Employee</v>
      </c>
      <c r="AD430" t="s">
        <v>28</v>
      </c>
      <c r="AE430" t="s">
        <v>42</v>
      </c>
      <c r="AF430">
        <v>13</v>
      </c>
      <c r="AG430">
        <v>2017</v>
      </c>
      <c r="AH430" t="s">
        <v>43</v>
      </c>
      <c r="AI430">
        <v>78</v>
      </c>
      <c r="AJ430">
        <v>1.8</v>
      </c>
    </row>
    <row r="431" spans="1:36" x14ac:dyDescent="0.25">
      <c r="A431">
        <v>10430</v>
      </c>
      <c r="B431" t="s">
        <v>31</v>
      </c>
      <c r="C431" t="s">
        <v>22</v>
      </c>
      <c r="D431" t="s">
        <v>52</v>
      </c>
      <c r="E431" t="str">
        <f t="shared" si="78"/>
        <v>Emily Williams is in Operations Department</v>
      </c>
      <c r="F431" s="6" t="str">
        <f t="shared" si="79"/>
        <v>emilywilliams@gmail.com</v>
      </c>
      <c r="G431">
        <v>86851</v>
      </c>
      <c r="H431" t="str">
        <f t="shared" si="80"/>
        <v>High</v>
      </c>
      <c r="I431" s="3">
        <v>40050</v>
      </c>
      <c r="J431">
        <f t="shared" si="81"/>
        <v>2009</v>
      </c>
      <c r="K431">
        <f t="shared" si="82"/>
        <v>8</v>
      </c>
      <c r="L431">
        <f t="shared" si="83"/>
        <v>25</v>
      </c>
      <c r="M431" s="3">
        <f t="shared" ca="1" si="84"/>
        <v>46100</v>
      </c>
      <c r="N431">
        <f t="shared" ca="1" si="85"/>
        <v>6050</v>
      </c>
      <c r="O431">
        <f t="shared" ca="1" si="86"/>
        <v>6050</v>
      </c>
      <c r="P431">
        <f t="shared" ca="1" si="87"/>
        <v>4323</v>
      </c>
      <c r="Q431">
        <v>32</v>
      </c>
      <c r="R431" t="str">
        <f t="shared" si="88"/>
        <v>Old</v>
      </c>
      <c r="S431" t="s">
        <v>34</v>
      </c>
      <c r="T431">
        <v>9</v>
      </c>
      <c r="U431" t="s">
        <v>25</v>
      </c>
      <c r="V431">
        <v>2605.7199999999998</v>
      </c>
      <c r="W431" t="s">
        <v>35</v>
      </c>
      <c r="X431" t="s">
        <v>36</v>
      </c>
      <c r="Y431">
        <v>7</v>
      </c>
      <c r="Z431" t="str">
        <f t="shared" si="89"/>
        <v>Bad Employee</v>
      </c>
      <c r="AA431" t="b">
        <f t="shared" si="90"/>
        <v>0</v>
      </c>
      <c r="AB431" t="b">
        <f>OR(Y431&gt;20, T431&gt;6)</f>
        <v>1</v>
      </c>
      <c r="AC431" t="str">
        <f>IF(OR(Y431&gt;20,T431&gt;6), "Good employee", "Bad Employee")</f>
        <v>Good employee</v>
      </c>
      <c r="AD431" t="s">
        <v>41</v>
      </c>
      <c r="AE431" t="s">
        <v>42</v>
      </c>
      <c r="AF431">
        <v>8</v>
      </c>
      <c r="AG431">
        <v>2019</v>
      </c>
      <c r="AH431" t="s">
        <v>49</v>
      </c>
      <c r="AI431">
        <v>76</v>
      </c>
      <c r="AJ431">
        <v>3.9</v>
      </c>
    </row>
    <row r="432" spans="1:36" x14ac:dyDescent="0.25">
      <c r="A432">
        <v>10431</v>
      </c>
      <c r="B432" t="s">
        <v>66</v>
      </c>
      <c r="C432" t="s">
        <v>57</v>
      </c>
      <c r="D432" t="s">
        <v>39</v>
      </c>
      <c r="E432" t="str">
        <f t="shared" si="78"/>
        <v>John Davis is in IT Department</v>
      </c>
      <c r="F432" s="6" t="str">
        <f t="shared" si="79"/>
        <v>johndavis@gmail.com</v>
      </c>
      <c r="G432">
        <v>61688</v>
      </c>
      <c r="H432" t="str">
        <f t="shared" si="80"/>
        <v>Medium</v>
      </c>
      <c r="I432" s="3">
        <v>40150</v>
      </c>
      <c r="J432">
        <f t="shared" si="81"/>
        <v>2009</v>
      </c>
      <c r="K432">
        <f t="shared" si="82"/>
        <v>12</v>
      </c>
      <c r="L432">
        <f t="shared" si="83"/>
        <v>3</v>
      </c>
      <c r="M432" s="3">
        <f t="shared" ca="1" si="84"/>
        <v>46100</v>
      </c>
      <c r="N432">
        <f t="shared" ca="1" si="85"/>
        <v>5950</v>
      </c>
      <c r="O432">
        <f t="shared" ca="1" si="86"/>
        <v>5950</v>
      </c>
      <c r="P432">
        <f t="shared" ca="1" si="87"/>
        <v>4251</v>
      </c>
      <c r="Q432">
        <v>59</v>
      </c>
      <c r="R432" t="str">
        <f t="shared" si="88"/>
        <v>Old</v>
      </c>
      <c r="S432" t="s">
        <v>34</v>
      </c>
      <c r="T432">
        <v>9</v>
      </c>
      <c r="U432" t="s">
        <v>25</v>
      </c>
      <c r="V432">
        <v>1864.11</v>
      </c>
      <c r="W432" t="s">
        <v>26</v>
      </c>
      <c r="X432" t="s">
        <v>47</v>
      </c>
      <c r="Y432">
        <v>11</v>
      </c>
      <c r="Z432" t="str">
        <f t="shared" si="89"/>
        <v>Bad Employee</v>
      </c>
      <c r="AA432" t="b">
        <f t="shared" si="90"/>
        <v>0</v>
      </c>
      <c r="AB432" t="b">
        <f>OR(Y432&gt;20, T432&gt;6)</f>
        <v>1</v>
      </c>
      <c r="AC432" t="str">
        <f>IF(OR(Y432&gt;20,T432&gt;6), "Good employee", "Bad Employee")</f>
        <v>Good employee</v>
      </c>
      <c r="AD432" t="s">
        <v>56</v>
      </c>
      <c r="AE432" t="s">
        <v>42</v>
      </c>
      <c r="AF432">
        <v>10</v>
      </c>
      <c r="AG432">
        <v>2014</v>
      </c>
      <c r="AH432" t="s">
        <v>43</v>
      </c>
      <c r="AI432">
        <v>172</v>
      </c>
      <c r="AJ432">
        <v>3</v>
      </c>
    </row>
    <row r="433" spans="1:36" x14ac:dyDescent="0.25">
      <c r="A433">
        <v>10432</v>
      </c>
      <c r="B433" t="s">
        <v>64</v>
      </c>
      <c r="C433" t="s">
        <v>57</v>
      </c>
      <c r="D433" t="s">
        <v>23</v>
      </c>
      <c r="E433" t="str">
        <f t="shared" si="78"/>
        <v>Katie Davis is in HR Department</v>
      </c>
      <c r="F433" s="6" t="str">
        <f t="shared" si="79"/>
        <v>katiedavis@gmail.com</v>
      </c>
      <c r="G433">
        <v>59764</v>
      </c>
      <c r="H433" t="str">
        <f t="shared" si="80"/>
        <v>Medium</v>
      </c>
      <c r="I433" s="3">
        <v>39258</v>
      </c>
      <c r="J433">
        <f t="shared" si="81"/>
        <v>2007</v>
      </c>
      <c r="K433">
        <f t="shared" si="82"/>
        <v>6</v>
      </c>
      <c r="L433">
        <f t="shared" si="83"/>
        <v>25</v>
      </c>
      <c r="M433" s="3">
        <f t="shared" ca="1" si="84"/>
        <v>46100</v>
      </c>
      <c r="N433">
        <f t="shared" ca="1" si="85"/>
        <v>6842</v>
      </c>
      <c r="O433">
        <f t="shared" ca="1" si="86"/>
        <v>6842</v>
      </c>
      <c r="P433">
        <f t="shared" ca="1" si="87"/>
        <v>4889</v>
      </c>
      <c r="Q433">
        <v>48</v>
      </c>
      <c r="R433" t="str">
        <f t="shared" si="88"/>
        <v>Old</v>
      </c>
      <c r="S433" t="s">
        <v>24</v>
      </c>
      <c r="T433">
        <v>5</v>
      </c>
      <c r="U433" t="s">
        <v>45</v>
      </c>
      <c r="V433">
        <v>9796.9699999999993</v>
      </c>
      <c r="W433" t="s">
        <v>26</v>
      </c>
      <c r="X433" t="s">
        <v>55</v>
      </c>
      <c r="Y433">
        <v>29</v>
      </c>
      <c r="Z433" t="str">
        <f t="shared" si="89"/>
        <v>Bad Employee</v>
      </c>
      <c r="AA433" t="b">
        <f t="shared" si="90"/>
        <v>0</v>
      </c>
      <c r="AB433" t="b">
        <f>OR(Y433&gt;20, T433&gt;6)</f>
        <v>1</v>
      </c>
      <c r="AC433" t="str">
        <f>IF(OR(Y433&gt;20,T433&gt;6), "Good employee", "Bad Employee")</f>
        <v>Good employee</v>
      </c>
      <c r="AD433" t="s">
        <v>41</v>
      </c>
      <c r="AE433" t="s">
        <v>29</v>
      </c>
      <c r="AF433">
        <v>15</v>
      </c>
      <c r="AG433">
        <v>2023</v>
      </c>
      <c r="AH433" t="s">
        <v>43</v>
      </c>
      <c r="AI433">
        <v>50</v>
      </c>
      <c r="AJ433">
        <v>4.5999999999999996</v>
      </c>
    </row>
    <row r="434" spans="1:36" x14ac:dyDescent="0.25">
      <c r="A434">
        <v>10433</v>
      </c>
      <c r="B434" t="s">
        <v>38</v>
      </c>
      <c r="C434" t="s">
        <v>51</v>
      </c>
      <c r="D434" t="s">
        <v>39</v>
      </c>
      <c r="E434" t="str">
        <f t="shared" si="78"/>
        <v>Chris Brown is in IT Department</v>
      </c>
      <c r="F434" s="6" t="str">
        <f t="shared" si="79"/>
        <v>chrisbrown@gmail.com</v>
      </c>
      <c r="G434">
        <v>62470</v>
      </c>
      <c r="H434" t="str">
        <f t="shared" si="80"/>
        <v>Medium</v>
      </c>
      <c r="I434" s="3">
        <v>42999</v>
      </c>
      <c r="J434">
        <f t="shared" si="81"/>
        <v>2017</v>
      </c>
      <c r="K434">
        <f t="shared" si="82"/>
        <v>9</v>
      </c>
      <c r="L434">
        <f t="shared" si="83"/>
        <v>21</v>
      </c>
      <c r="M434" s="3">
        <f t="shared" ca="1" si="84"/>
        <v>46100</v>
      </c>
      <c r="N434">
        <f t="shared" ca="1" si="85"/>
        <v>3101</v>
      </c>
      <c r="O434">
        <f t="shared" ca="1" si="86"/>
        <v>3101</v>
      </c>
      <c r="P434">
        <f t="shared" ca="1" si="87"/>
        <v>2216</v>
      </c>
      <c r="Q434">
        <v>60</v>
      </c>
      <c r="R434" t="str">
        <f t="shared" si="88"/>
        <v>Old</v>
      </c>
      <c r="S434" t="s">
        <v>24</v>
      </c>
      <c r="T434">
        <v>8</v>
      </c>
      <c r="U434" t="s">
        <v>25</v>
      </c>
      <c r="V434">
        <v>930.3</v>
      </c>
      <c r="W434" t="s">
        <v>26</v>
      </c>
      <c r="X434" t="s">
        <v>40</v>
      </c>
      <c r="Y434">
        <v>3</v>
      </c>
      <c r="Z434" t="str">
        <f t="shared" si="89"/>
        <v>Bad Employee</v>
      </c>
      <c r="AA434" t="b">
        <f t="shared" si="90"/>
        <v>0</v>
      </c>
      <c r="AB434" t="b">
        <f>OR(Y434&gt;20, T434&gt;6)</f>
        <v>1</v>
      </c>
      <c r="AC434" t="str">
        <f>IF(OR(Y434&gt;20,T434&gt;6), "Good employee", "Bad Employee")</f>
        <v>Good employee</v>
      </c>
      <c r="AD434" t="s">
        <v>41</v>
      </c>
      <c r="AE434" t="s">
        <v>29</v>
      </c>
      <c r="AF434">
        <v>5</v>
      </c>
      <c r="AG434">
        <v>2017</v>
      </c>
      <c r="AH434" t="s">
        <v>49</v>
      </c>
      <c r="AI434">
        <v>83</v>
      </c>
      <c r="AJ434">
        <v>4.9000000000000004</v>
      </c>
    </row>
    <row r="435" spans="1:36" x14ac:dyDescent="0.25">
      <c r="A435">
        <v>10434</v>
      </c>
      <c r="B435" t="s">
        <v>53</v>
      </c>
      <c r="C435" t="s">
        <v>32</v>
      </c>
      <c r="D435" t="s">
        <v>33</v>
      </c>
      <c r="E435" t="str">
        <f t="shared" si="78"/>
        <v>Sarah Wilson is in Marketing Department</v>
      </c>
      <c r="F435" s="6" t="str">
        <f t="shared" si="79"/>
        <v>sarahwilson@gmail.com</v>
      </c>
      <c r="G435">
        <v>68501</v>
      </c>
      <c r="H435" t="str">
        <f t="shared" si="80"/>
        <v>Medium</v>
      </c>
      <c r="I435" s="3">
        <v>42888</v>
      </c>
      <c r="J435">
        <f t="shared" si="81"/>
        <v>2017</v>
      </c>
      <c r="K435">
        <f t="shared" si="82"/>
        <v>6</v>
      </c>
      <c r="L435">
        <f t="shared" si="83"/>
        <v>2</v>
      </c>
      <c r="M435" s="3">
        <f t="shared" ca="1" si="84"/>
        <v>46100</v>
      </c>
      <c r="N435">
        <f t="shared" ca="1" si="85"/>
        <v>3212</v>
      </c>
      <c r="O435">
        <f t="shared" ca="1" si="86"/>
        <v>3212</v>
      </c>
      <c r="P435">
        <f t="shared" ca="1" si="87"/>
        <v>2295</v>
      </c>
      <c r="Q435">
        <v>28</v>
      </c>
      <c r="R435" t="str">
        <f t="shared" si="88"/>
        <v>Young</v>
      </c>
      <c r="S435" t="s">
        <v>24</v>
      </c>
      <c r="T435">
        <v>7</v>
      </c>
      <c r="U435" t="s">
        <v>45</v>
      </c>
      <c r="V435">
        <v>4943.5</v>
      </c>
      <c r="W435" t="s">
        <v>58</v>
      </c>
      <c r="X435" t="s">
        <v>36</v>
      </c>
      <c r="Y435">
        <v>21</v>
      </c>
      <c r="Z435" t="str">
        <f t="shared" si="89"/>
        <v>Good Employee</v>
      </c>
      <c r="AA435" t="b">
        <f t="shared" si="90"/>
        <v>1</v>
      </c>
      <c r="AB435" t="b">
        <f>OR(Y435&gt;20, T435&gt;6)</f>
        <v>1</v>
      </c>
      <c r="AC435" t="str">
        <f>IF(OR(Y435&gt;20,T435&gt;6), "Good employee", "Bad Employee")</f>
        <v>Good employee</v>
      </c>
      <c r="AD435" t="s">
        <v>56</v>
      </c>
      <c r="AE435" t="s">
        <v>37</v>
      </c>
      <c r="AF435">
        <v>11</v>
      </c>
      <c r="AG435">
        <v>2021</v>
      </c>
      <c r="AH435" t="s">
        <v>49</v>
      </c>
      <c r="AI435">
        <v>174</v>
      </c>
      <c r="AJ435">
        <v>2.9</v>
      </c>
    </row>
    <row r="436" spans="1:36" x14ac:dyDescent="0.25">
      <c r="A436">
        <v>10435</v>
      </c>
      <c r="B436" t="s">
        <v>31</v>
      </c>
      <c r="C436" t="s">
        <v>32</v>
      </c>
      <c r="D436" t="s">
        <v>33</v>
      </c>
      <c r="E436" t="str">
        <f t="shared" si="78"/>
        <v>Emily Wilson is in Marketing Department</v>
      </c>
      <c r="F436" s="6" t="str">
        <f t="shared" si="79"/>
        <v>emilywilson@gmail.com</v>
      </c>
      <c r="G436">
        <v>87207</v>
      </c>
      <c r="H436" t="str">
        <f t="shared" si="80"/>
        <v>High</v>
      </c>
      <c r="I436" s="3">
        <v>42877</v>
      </c>
      <c r="J436">
        <f t="shared" si="81"/>
        <v>2017</v>
      </c>
      <c r="K436">
        <f t="shared" si="82"/>
        <v>5</v>
      </c>
      <c r="L436">
        <f t="shared" si="83"/>
        <v>22</v>
      </c>
      <c r="M436" s="3">
        <f t="shared" ca="1" si="84"/>
        <v>46100</v>
      </c>
      <c r="N436">
        <f t="shared" ca="1" si="85"/>
        <v>3223</v>
      </c>
      <c r="O436">
        <f t="shared" ca="1" si="86"/>
        <v>3223</v>
      </c>
      <c r="P436">
        <f t="shared" ca="1" si="87"/>
        <v>2304</v>
      </c>
      <c r="Q436">
        <v>22</v>
      </c>
      <c r="R436" t="str">
        <f t="shared" si="88"/>
        <v>Young</v>
      </c>
      <c r="S436" t="s">
        <v>34</v>
      </c>
      <c r="T436">
        <v>3</v>
      </c>
      <c r="U436" t="s">
        <v>45</v>
      </c>
      <c r="V436">
        <v>4538.26</v>
      </c>
      <c r="W436" t="s">
        <v>35</v>
      </c>
      <c r="X436" t="s">
        <v>36</v>
      </c>
      <c r="Y436">
        <v>32</v>
      </c>
      <c r="Z436" t="str">
        <f t="shared" si="89"/>
        <v>Bad Employee</v>
      </c>
      <c r="AA436" t="b">
        <f t="shared" si="90"/>
        <v>0</v>
      </c>
      <c r="AB436" t="b">
        <f>OR(Y436&gt;20, T436&gt;6)</f>
        <v>1</v>
      </c>
      <c r="AC436" t="str">
        <f>IF(OR(Y436&gt;20,T436&gt;6), "Good employee", "Bad Employee")</f>
        <v>Good employee</v>
      </c>
      <c r="AD436" t="s">
        <v>28</v>
      </c>
      <c r="AE436" t="s">
        <v>48</v>
      </c>
      <c r="AF436">
        <v>18</v>
      </c>
      <c r="AG436">
        <v>2014</v>
      </c>
      <c r="AH436" t="s">
        <v>30</v>
      </c>
      <c r="AI436">
        <v>150</v>
      </c>
      <c r="AJ436">
        <v>3.3</v>
      </c>
    </row>
    <row r="437" spans="1:36" x14ac:dyDescent="0.25">
      <c r="A437">
        <v>10436</v>
      </c>
      <c r="B437" t="s">
        <v>53</v>
      </c>
      <c r="C437" t="s">
        <v>51</v>
      </c>
      <c r="D437" t="s">
        <v>52</v>
      </c>
      <c r="E437" t="str">
        <f t="shared" si="78"/>
        <v>Sarah Brown is in Operations Department</v>
      </c>
      <c r="F437" s="6" t="str">
        <f t="shared" si="79"/>
        <v>sarahbrown@gmail.com</v>
      </c>
      <c r="G437">
        <v>92157</v>
      </c>
      <c r="H437" t="str">
        <f t="shared" si="80"/>
        <v>High</v>
      </c>
      <c r="I437" s="3">
        <v>38219</v>
      </c>
      <c r="J437">
        <f t="shared" si="81"/>
        <v>2004</v>
      </c>
      <c r="K437">
        <f t="shared" si="82"/>
        <v>8</v>
      </c>
      <c r="L437">
        <f t="shared" si="83"/>
        <v>20</v>
      </c>
      <c r="M437" s="3">
        <f t="shared" ca="1" si="84"/>
        <v>46100</v>
      </c>
      <c r="N437">
        <f t="shared" ca="1" si="85"/>
        <v>7881</v>
      </c>
      <c r="O437">
        <f t="shared" ca="1" si="86"/>
        <v>7881</v>
      </c>
      <c r="P437">
        <f t="shared" ca="1" si="87"/>
        <v>5630</v>
      </c>
      <c r="Q437">
        <v>31</v>
      </c>
      <c r="R437" t="str">
        <f t="shared" si="88"/>
        <v>Old</v>
      </c>
      <c r="S437" t="s">
        <v>24</v>
      </c>
      <c r="T437">
        <v>5</v>
      </c>
      <c r="U437" t="s">
        <v>45</v>
      </c>
      <c r="V437">
        <v>3920.18</v>
      </c>
      <c r="W437" t="s">
        <v>58</v>
      </c>
      <c r="X437" t="s">
        <v>36</v>
      </c>
      <c r="Y437">
        <v>30</v>
      </c>
      <c r="Z437" t="str">
        <f t="shared" si="89"/>
        <v>Bad Employee</v>
      </c>
      <c r="AA437" t="b">
        <f t="shared" si="90"/>
        <v>0</v>
      </c>
      <c r="AB437" t="b">
        <f>OR(Y437&gt;20, T437&gt;6)</f>
        <v>1</v>
      </c>
      <c r="AC437" t="str">
        <f>IF(OR(Y437&gt;20,T437&gt;6), "Good employee", "Bad Employee")</f>
        <v>Good employee</v>
      </c>
      <c r="AD437" t="s">
        <v>28</v>
      </c>
      <c r="AE437" t="s">
        <v>59</v>
      </c>
      <c r="AF437">
        <v>15</v>
      </c>
      <c r="AG437">
        <v>2022</v>
      </c>
      <c r="AH437" t="s">
        <v>30</v>
      </c>
      <c r="AI437">
        <v>19</v>
      </c>
      <c r="AJ437">
        <v>4</v>
      </c>
    </row>
    <row r="438" spans="1:36" x14ac:dyDescent="0.25">
      <c r="A438">
        <v>10437</v>
      </c>
      <c r="B438" t="s">
        <v>53</v>
      </c>
      <c r="C438" t="s">
        <v>22</v>
      </c>
      <c r="D438" t="s">
        <v>52</v>
      </c>
      <c r="E438" t="str">
        <f t="shared" si="78"/>
        <v>Sarah Williams is in Operations Department</v>
      </c>
      <c r="F438" s="6" t="str">
        <f t="shared" si="79"/>
        <v>sarahwilliams@gmail.com</v>
      </c>
      <c r="G438">
        <v>33216</v>
      </c>
      <c r="H438" t="str">
        <f t="shared" si="80"/>
        <v>extremely low</v>
      </c>
      <c r="I438" s="3">
        <v>39418</v>
      </c>
      <c r="J438">
        <f t="shared" si="81"/>
        <v>2007</v>
      </c>
      <c r="K438">
        <f t="shared" si="82"/>
        <v>12</v>
      </c>
      <c r="L438">
        <f t="shared" si="83"/>
        <v>2</v>
      </c>
      <c r="M438" s="3">
        <f t="shared" ca="1" si="84"/>
        <v>46100</v>
      </c>
      <c r="N438">
        <f t="shared" ca="1" si="85"/>
        <v>6682</v>
      </c>
      <c r="O438">
        <f t="shared" ca="1" si="86"/>
        <v>6682</v>
      </c>
      <c r="P438">
        <f t="shared" ca="1" si="87"/>
        <v>4774</v>
      </c>
      <c r="Q438">
        <v>42</v>
      </c>
      <c r="R438" t="str">
        <f t="shared" si="88"/>
        <v>Old</v>
      </c>
      <c r="S438" t="s">
        <v>34</v>
      </c>
      <c r="T438">
        <v>9</v>
      </c>
      <c r="U438" t="s">
        <v>45</v>
      </c>
      <c r="V438">
        <v>7928.85</v>
      </c>
      <c r="W438" t="s">
        <v>26</v>
      </c>
      <c r="X438" t="s">
        <v>36</v>
      </c>
      <c r="Y438">
        <v>39</v>
      </c>
      <c r="Z438" t="str">
        <f t="shared" si="89"/>
        <v>Good Employee</v>
      </c>
      <c r="AA438" t="b">
        <f t="shared" si="90"/>
        <v>1</v>
      </c>
      <c r="AB438" t="b">
        <f>OR(Y438&gt;20, T438&gt;6)</f>
        <v>1</v>
      </c>
      <c r="AC438" t="str">
        <f>IF(OR(Y438&gt;20,T438&gt;6), "Good employee", "Bad Employee")</f>
        <v>Good employee</v>
      </c>
      <c r="AD438" t="s">
        <v>41</v>
      </c>
      <c r="AE438" t="s">
        <v>48</v>
      </c>
      <c r="AF438">
        <v>12</v>
      </c>
      <c r="AG438">
        <v>2012</v>
      </c>
      <c r="AH438" t="s">
        <v>43</v>
      </c>
      <c r="AI438">
        <v>103</v>
      </c>
      <c r="AJ438">
        <v>2.2999999999999998</v>
      </c>
    </row>
    <row r="439" spans="1:36" x14ac:dyDescent="0.25">
      <c r="A439">
        <v>10438</v>
      </c>
      <c r="B439" t="s">
        <v>53</v>
      </c>
      <c r="C439" t="s">
        <v>22</v>
      </c>
      <c r="D439" t="s">
        <v>54</v>
      </c>
      <c r="E439" t="str">
        <f t="shared" si="78"/>
        <v>Sarah Williams is in Finance Department</v>
      </c>
      <c r="F439" s="6" t="str">
        <f t="shared" si="79"/>
        <v>sarahwilliams@gmail.com</v>
      </c>
      <c r="G439">
        <v>52072</v>
      </c>
      <c r="H439" t="str">
        <f t="shared" si="80"/>
        <v>Medium</v>
      </c>
      <c r="I439" s="3">
        <v>40337</v>
      </c>
      <c r="J439">
        <f t="shared" si="81"/>
        <v>2010</v>
      </c>
      <c r="K439">
        <f t="shared" si="82"/>
        <v>6</v>
      </c>
      <c r="L439">
        <f t="shared" si="83"/>
        <v>8</v>
      </c>
      <c r="M439" s="3">
        <f t="shared" ca="1" si="84"/>
        <v>46100</v>
      </c>
      <c r="N439">
        <f t="shared" ca="1" si="85"/>
        <v>5763</v>
      </c>
      <c r="O439">
        <f t="shared" ca="1" si="86"/>
        <v>5763</v>
      </c>
      <c r="P439">
        <f t="shared" ca="1" si="87"/>
        <v>4118</v>
      </c>
      <c r="Q439">
        <v>36</v>
      </c>
      <c r="R439" t="str">
        <f t="shared" si="88"/>
        <v>Old</v>
      </c>
      <c r="S439" t="s">
        <v>34</v>
      </c>
      <c r="T439">
        <v>4</v>
      </c>
      <c r="U439" t="s">
        <v>45</v>
      </c>
      <c r="V439">
        <v>7580.83</v>
      </c>
      <c r="W439" t="s">
        <v>46</v>
      </c>
      <c r="X439" t="s">
        <v>27</v>
      </c>
      <c r="Y439">
        <v>11</v>
      </c>
      <c r="Z439" t="str">
        <f t="shared" si="89"/>
        <v>Bad Employee</v>
      </c>
      <c r="AA439" t="b">
        <f t="shared" si="90"/>
        <v>0</v>
      </c>
      <c r="AB439" t="b">
        <f>OR(Y439&gt;20, T439&gt;6)</f>
        <v>0</v>
      </c>
      <c r="AC439" t="str">
        <f>IF(OR(Y439&gt;20,T439&gt;6), "Good employee", "Bad Employee")</f>
        <v>Bad Employee</v>
      </c>
      <c r="AD439" t="s">
        <v>56</v>
      </c>
      <c r="AE439" t="s">
        <v>29</v>
      </c>
      <c r="AF439">
        <v>3</v>
      </c>
      <c r="AG439">
        <v>2017</v>
      </c>
      <c r="AH439" t="s">
        <v>30</v>
      </c>
      <c r="AI439">
        <v>70</v>
      </c>
      <c r="AJ439">
        <v>1.9</v>
      </c>
    </row>
    <row r="440" spans="1:36" x14ac:dyDescent="0.25">
      <c r="A440">
        <v>10439</v>
      </c>
      <c r="B440" t="s">
        <v>21</v>
      </c>
      <c r="C440" t="s">
        <v>61</v>
      </c>
      <c r="D440" t="s">
        <v>54</v>
      </c>
      <c r="E440" t="str">
        <f t="shared" si="78"/>
        <v>Michael Smith is in Finance Department</v>
      </c>
      <c r="F440" s="6" t="str">
        <f t="shared" si="79"/>
        <v>michaelsmith@gmail.com</v>
      </c>
      <c r="G440">
        <v>67132</v>
      </c>
      <c r="H440" t="str">
        <f t="shared" si="80"/>
        <v>Medium</v>
      </c>
      <c r="I440" s="3">
        <v>40706</v>
      </c>
      <c r="J440">
        <f t="shared" si="81"/>
        <v>2011</v>
      </c>
      <c r="K440">
        <f t="shared" si="82"/>
        <v>6</v>
      </c>
      <c r="L440">
        <f t="shared" si="83"/>
        <v>12</v>
      </c>
      <c r="M440" s="3">
        <f t="shared" ca="1" si="84"/>
        <v>46100</v>
      </c>
      <c r="N440">
        <f t="shared" ca="1" si="85"/>
        <v>5394</v>
      </c>
      <c r="O440">
        <f t="shared" ca="1" si="86"/>
        <v>5394</v>
      </c>
      <c r="P440">
        <f t="shared" ca="1" si="87"/>
        <v>3854</v>
      </c>
      <c r="Q440">
        <v>51</v>
      </c>
      <c r="R440" t="str">
        <f t="shared" si="88"/>
        <v>Old</v>
      </c>
      <c r="S440" t="s">
        <v>24</v>
      </c>
      <c r="T440">
        <v>3</v>
      </c>
      <c r="U440" t="s">
        <v>25</v>
      </c>
      <c r="V440">
        <v>9099.64</v>
      </c>
      <c r="W440" t="s">
        <v>46</v>
      </c>
      <c r="X440" t="s">
        <v>47</v>
      </c>
      <c r="Y440">
        <v>17</v>
      </c>
      <c r="Z440" t="str">
        <f t="shared" si="89"/>
        <v>Bad Employee</v>
      </c>
      <c r="AA440" t="b">
        <f t="shared" si="90"/>
        <v>0</v>
      </c>
      <c r="AB440" t="b">
        <f>OR(Y440&gt;20, T440&gt;6)</f>
        <v>0</v>
      </c>
      <c r="AC440" t="str">
        <f>IF(OR(Y440&gt;20,T440&gt;6), "Good employee", "Bad Employee")</f>
        <v>Bad Employee</v>
      </c>
      <c r="AD440" t="s">
        <v>56</v>
      </c>
      <c r="AE440" t="s">
        <v>59</v>
      </c>
      <c r="AF440">
        <v>11</v>
      </c>
      <c r="AG440">
        <v>2021</v>
      </c>
      <c r="AH440" t="s">
        <v>43</v>
      </c>
      <c r="AI440">
        <v>145</v>
      </c>
      <c r="AJ440">
        <v>4.9000000000000004</v>
      </c>
    </row>
    <row r="441" spans="1:36" x14ac:dyDescent="0.25">
      <c r="A441">
        <v>10440</v>
      </c>
      <c r="B441" t="s">
        <v>50</v>
      </c>
      <c r="C441" t="s">
        <v>61</v>
      </c>
      <c r="D441" t="s">
        <v>33</v>
      </c>
      <c r="E441" t="str">
        <f t="shared" si="78"/>
        <v>Alex Smith is in Marketing Department</v>
      </c>
      <c r="F441" s="6" t="str">
        <f t="shared" si="79"/>
        <v>alexsmith@gmail.com</v>
      </c>
      <c r="G441">
        <v>47861</v>
      </c>
      <c r="H441" t="str">
        <f t="shared" si="80"/>
        <v>low</v>
      </c>
      <c r="I441" s="3">
        <v>37210</v>
      </c>
      <c r="J441">
        <f t="shared" si="81"/>
        <v>2001</v>
      </c>
      <c r="K441">
        <f t="shared" si="82"/>
        <v>11</v>
      </c>
      <c r="L441">
        <f t="shared" si="83"/>
        <v>15</v>
      </c>
      <c r="M441" s="3">
        <f t="shared" ca="1" si="84"/>
        <v>46100</v>
      </c>
      <c r="N441">
        <f t="shared" ca="1" si="85"/>
        <v>8890</v>
      </c>
      <c r="O441">
        <f t="shared" ca="1" si="86"/>
        <v>8890</v>
      </c>
      <c r="P441">
        <f t="shared" ca="1" si="87"/>
        <v>6351</v>
      </c>
      <c r="Q441">
        <v>51</v>
      </c>
      <c r="R441" t="str">
        <f t="shared" si="88"/>
        <v>Old</v>
      </c>
      <c r="S441" t="s">
        <v>24</v>
      </c>
      <c r="T441">
        <v>7</v>
      </c>
      <c r="U441" t="s">
        <v>45</v>
      </c>
      <c r="V441">
        <v>4257.13</v>
      </c>
      <c r="W441" t="s">
        <v>58</v>
      </c>
      <c r="X441" t="s">
        <v>36</v>
      </c>
      <c r="Y441">
        <v>25</v>
      </c>
      <c r="Z441" t="str">
        <f t="shared" si="89"/>
        <v>Good Employee</v>
      </c>
      <c r="AA441" t="b">
        <f t="shared" si="90"/>
        <v>1</v>
      </c>
      <c r="AB441" t="b">
        <f>OR(Y441&gt;20, T441&gt;6)</f>
        <v>1</v>
      </c>
      <c r="AC441" t="str">
        <f>IF(OR(Y441&gt;20,T441&gt;6), "Good employee", "Bad Employee")</f>
        <v>Good employee</v>
      </c>
      <c r="AD441" t="s">
        <v>41</v>
      </c>
      <c r="AE441" t="s">
        <v>42</v>
      </c>
      <c r="AF441">
        <v>3</v>
      </c>
      <c r="AG441">
        <v>2013</v>
      </c>
      <c r="AH441" t="s">
        <v>30</v>
      </c>
      <c r="AI441">
        <v>113</v>
      </c>
      <c r="AJ441">
        <v>2.7</v>
      </c>
    </row>
    <row r="442" spans="1:36" x14ac:dyDescent="0.25">
      <c r="A442">
        <v>10441</v>
      </c>
      <c r="B442" t="s">
        <v>66</v>
      </c>
      <c r="C442" t="s">
        <v>32</v>
      </c>
      <c r="D442" t="s">
        <v>23</v>
      </c>
      <c r="E442" t="str">
        <f t="shared" si="78"/>
        <v>John Wilson is in HR Department</v>
      </c>
      <c r="F442" s="6" t="str">
        <f t="shared" si="79"/>
        <v>johnwilson@gmail.com</v>
      </c>
      <c r="G442">
        <v>94186</v>
      </c>
      <c r="H442" t="str">
        <f t="shared" si="80"/>
        <v>High</v>
      </c>
      <c r="I442" s="3">
        <v>40866</v>
      </c>
      <c r="J442">
        <f t="shared" si="81"/>
        <v>2011</v>
      </c>
      <c r="K442">
        <f t="shared" si="82"/>
        <v>11</v>
      </c>
      <c r="L442">
        <f t="shared" si="83"/>
        <v>19</v>
      </c>
      <c r="M442" s="3">
        <f t="shared" ca="1" si="84"/>
        <v>46100</v>
      </c>
      <c r="N442">
        <f t="shared" ca="1" si="85"/>
        <v>5234</v>
      </c>
      <c r="O442">
        <f t="shared" ca="1" si="86"/>
        <v>5234</v>
      </c>
      <c r="P442">
        <f t="shared" ca="1" si="87"/>
        <v>3739</v>
      </c>
      <c r="Q442">
        <v>29</v>
      </c>
      <c r="R442" t="str">
        <f t="shared" si="88"/>
        <v>Young</v>
      </c>
      <c r="S442" t="s">
        <v>34</v>
      </c>
      <c r="T442">
        <v>8</v>
      </c>
      <c r="U442" t="s">
        <v>45</v>
      </c>
      <c r="V442">
        <v>5859.71</v>
      </c>
      <c r="W442" t="s">
        <v>46</v>
      </c>
      <c r="X442" t="s">
        <v>36</v>
      </c>
      <c r="Y442">
        <v>25</v>
      </c>
      <c r="Z442" t="str">
        <f t="shared" si="89"/>
        <v>Good Employee</v>
      </c>
      <c r="AA442" t="b">
        <f t="shared" si="90"/>
        <v>1</v>
      </c>
      <c r="AB442" t="b">
        <f>OR(Y442&gt;20, T442&gt;6)</f>
        <v>1</v>
      </c>
      <c r="AC442" t="str">
        <f>IF(OR(Y442&gt;20,T442&gt;6), "Good employee", "Bad Employee")</f>
        <v>Good employee</v>
      </c>
      <c r="AD442" t="s">
        <v>28</v>
      </c>
      <c r="AE442" t="s">
        <v>48</v>
      </c>
      <c r="AF442">
        <v>16</v>
      </c>
      <c r="AG442">
        <v>2023</v>
      </c>
      <c r="AH442" t="s">
        <v>49</v>
      </c>
      <c r="AI442">
        <v>61</v>
      </c>
      <c r="AJ442">
        <v>1</v>
      </c>
    </row>
    <row r="443" spans="1:36" x14ac:dyDescent="0.25">
      <c r="A443">
        <v>10442</v>
      </c>
      <c r="B443" t="s">
        <v>53</v>
      </c>
      <c r="C443" t="s">
        <v>51</v>
      </c>
      <c r="D443" t="s">
        <v>39</v>
      </c>
      <c r="E443" t="str">
        <f t="shared" si="78"/>
        <v>Sarah Brown is in IT Department</v>
      </c>
      <c r="F443" s="6" t="str">
        <f t="shared" si="79"/>
        <v>sarahbrown@gmail.com</v>
      </c>
      <c r="G443">
        <v>34960</v>
      </c>
      <c r="H443" t="str">
        <f t="shared" si="80"/>
        <v>extremely low</v>
      </c>
      <c r="I443" s="3">
        <v>39445</v>
      </c>
      <c r="J443">
        <f t="shared" si="81"/>
        <v>2007</v>
      </c>
      <c r="K443">
        <f t="shared" si="82"/>
        <v>12</v>
      </c>
      <c r="L443">
        <f t="shared" si="83"/>
        <v>29</v>
      </c>
      <c r="M443" s="3">
        <f t="shared" ca="1" si="84"/>
        <v>46100</v>
      </c>
      <c r="N443">
        <f t="shared" ca="1" si="85"/>
        <v>6655</v>
      </c>
      <c r="O443">
        <f t="shared" ca="1" si="86"/>
        <v>6655</v>
      </c>
      <c r="P443">
        <f t="shared" ca="1" si="87"/>
        <v>4754</v>
      </c>
      <c r="Q443">
        <v>45</v>
      </c>
      <c r="R443" t="str">
        <f t="shared" si="88"/>
        <v>Old</v>
      </c>
      <c r="S443" t="s">
        <v>34</v>
      </c>
      <c r="T443">
        <v>5</v>
      </c>
      <c r="U443" t="s">
        <v>45</v>
      </c>
      <c r="V443">
        <v>8976.92</v>
      </c>
      <c r="W443" t="s">
        <v>35</v>
      </c>
      <c r="X443" t="s">
        <v>36</v>
      </c>
      <c r="Y443">
        <v>9</v>
      </c>
      <c r="Z443" t="str">
        <f t="shared" si="89"/>
        <v>Bad Employee</v>
      </c>
      <c r="AA443" t="b">
        <f t="shared" si="90"/>
        <v>0</v>
      </c>
      <c r="AB443" t="b">
        <f>OR(Y443&gt;20, T443&gt;6)</f>
        <v>0</v>
      </c>
      <c r="AC443" t="str">
        <f>IF(OR(Y443&gt;20,T443&gt;6), "Good employee", "Bad Employee")</f>
        <v>Bad Employee</v>
      </c>
      <c r="AD443" t="s">
        <v>28</v>
      </c>
      <c r="AE443" t="s">
        <v>48</v>
      </c>
      <c r="AF443">
        <v>13</v>
      </c>
      <c r="AG443">
        <v>2012</v>
      </c>
      <c r="AH443" t="s">
        <v>49</v>
      </c>
      <c r="AI443">
        <v>141</v>
      </c>
      <c r="AJ443">
        <v>4.4000000000000004</v>
      </c>
    </row>
    <row r="444" spans="1:36" x14ac:dyDescent="0.25">
      <c r="A444">
        <v>10443</v>
      </c>
      <c r="B444" t="s">
        <v>66</v>
      </c>
      <c r="C444" t="s">
        <v>63</v>
      </c>
      <c r="D444" t="s">
        <v>54</v>
      </c>
      <c r="E444" t="str">
        <f t="shared" si="78"/>
        <v>John Miller is in Finance Department</v>
      </c>
      <c r="F444" s="6" t="str">
        <f t="shared" si="79"/>
        <v>johnmiller@gmail.com</v>
      </c>
      <c r="G444">
        <v>48781</v>
      </c>
      <c r="H444" t="str">
        <f t="shared" si="80"/>
        <v>low</v>
      </c>
      <c r="I444" s="3">
        <v>43692</v>
      </c>
      <c r="J444">
        <f t="shared" si="81"/>
        <v>2019</v>
      </c>
      <c r="K444">
        <f t="shared" si="82"/>
        <v>8</v>
      </c>
      <c r="L444">
        <f t="shared" si="83"/>
        <v>15</v>
      </c>
      <c r="M444" s="3">
        <f t="shared" ca="1" si="84"/>
        <v>46100</v>
      </c>
      <c r="N444">
        <f t="shared" ca="1" si="85"/>
        <v>2408</v>
      </c>
      <c r="O444">
        <f t="shared" ca="1" si="86"/>
        <v>2408</v>
      </c>
      <c r="P444">
        <f t="shared" ca="1" si="87"/>
        <v>1721</v>
      </c>
      <c r="Q444">
        <v>40</v>
      </c>
      <c r="R444" t="str">
        <f t="shared" si="88"/>
        <v>Old</v>
      </c>
      <c r="S444" t="s">
        <v>24</v>
      </c>
      <c r="T444">
        <v>8</v>
      </c>
      <c r="U444" t="s">
        <v>45</v>
      </c>
      <c r="V444">
        <v>9941.56</v>
      </c>
      <c r="W444" t="s">
        <v>46</v>
      </c>
      <c r="X444" t="s">
        <v>55</v>
      </c>
      <c r="Y444">
        <v>29</v>
      </c>
      <c r="Z444" t="str">
        <f t="shared" si="89"/>
        <v>Good Employee</v>
      </c>
      <c r="AA444" t="b">
        <f t="shared" si="90"/>
        <v>1</v>
      </c>
      <c r="AB444" t="b">
        <f>OR(Y444&gt;20, T444&gt;6)</f>
        <v>1</v>
      </c>
      <c r="AC444" t="str">
        <f>IF(OR(Y444&gt;20,T444&gt;6), "Good employee", "Bad Employee")</f>
        <v>Good employee</v>
      </c>
      <c r="AD444" t="s">
        <v>28</v>
      </c>
      <c r="AE444" t="s">
        <v>48</v>
      </c>
      <c r="AF444">
        <v>16</v>
      </c>
      <c r="AG444">
        <v>2012</v>
      </c>
      <c r="AH444" t="s">
        <v>49</v>
      </c>
      <c r="AI444">
        <v>125</v>
      </c>
      <c r="AJ444">
        <v>3.4</v>
      </c>
    </row>
    <row r="445" spans="1:36" x14ac:dyDescent="0.25">
      <c r="A445">
        <v>10444</v>
      </c>
      <c r="B445" t="s">
        <v>53</v>
      </c>
      <c r="C445" t="s">
        <v>63</v>
      </c>
      <c r="D445" t="s">
        <v>44</v>
      </c>
      <c r="E445" t="str">
        <f t="shared" si="78"/>
        <v>Sarah Miller is in Sales Department</v>
      </c>
      <c r="F445" s="6" t="str">
        <f t="shared" si="79"/>
        <v>sarahmiller@gmail.com</v>
      </c>
      <c r="G445">
        <v>61126</v>
      </c>
      <c r="H445" t="str">
        <f t="shared" si="80"/>
        <v>Medium</v>
      </c>
      <c r="I445" s="3">
        <v>40282</v>
      </c>
      <c r="J445">
        <f t="shared" si="81"/>
        <v>2010</v>
      </c>
      <c r="K445">
        <f t="shared" si="82"/>
        <v>4</v>
      </c>
      <c r="L445">
        <f t="shared" si="83"/>
        <v>14</v>
      </c>
      <c r="M445" s="3">
        <f t="shared" ca="1" si="84"/>
        <v>46100</v>
      </c>
      <c r="N445">
        <f t="shared" ca="1" si="85"/>
        <v>5818</v>
      </c>
      <c r="O445">
        <f t="shared" ca="1" si="86"/>
        <v>5818</v>
      </c>
      <c r="P445">
        <f t="shared" ca="1" si="87"/>
        <v>4157</v>
      </c>
      <c r="Q445">
        <v>24</v>
      </c>
      <c r="R445" t="str">
        <f t="shared" si="88"/>
        <v>Young</v>
      </c>
      <c r="S445" t="s">
        <v>34</v>
      </c>
      <c r="T445">
        <v>5</v>
      </c>
      <c r="U445" t="s">
        <v>25</v>
      </c>
      <c r="V445">
        <v>9708.2999999999993</v>
      </c>
      <c r="W445" t="s">
        <v>46</v>
      </c>
      <c r="X445" t="s">
        <v>55</v>
      </c>
      <c r="Y445">
        <v>15</v>
      </c>
      <c r="Z445" t="str">
        <f t="shared" si="89"/>
        <v>Bad Employee</v>
      </c>
      <c r="AA445" t="b">
        <f t="shared" si="90"/>
        <v>0</v>
      </c>
      <c r="AB445" t="b">
        <f>OR(Y445&gt;20, T445&gt;6)</f>
        <v>0</v>
      </c>
      <c r="AC445" t="str">
        <f>IF(OR(Y445&gt;20,T445&gt;6), "Good employee", "Bad Employee")</f>
        <v>Bad Employee</v>
      </c>
      <c r="AD445" t="s">
        <v>56</v>
      </c>
      <c r="AE445" t="s">
        <v>29</v>
      </c>
      <c r="AF445">
        <v>0</v>
      </c>
      <c r="AG445">
        <v>2015</v>
      </c>
      <c r="AH445" t="s">
        <v>49</v>
      </c>
      <c r="AI445">
        <v>103</v>
      </c>
      <c r="AJ445">
        <v>1.7</v>
      </c>
    </row>
    <row r="446" spans="1:36" x14ac:dyDescent="0.25">
      <c r="A446">
        <v>10445</v>
      </c>
      <c r="B446" t="s">
        <v>31</v>
      </c>
      <c r="C446" t="s">
        <v>51</v>
      </c>
      <c r="D446" t="s">
        <v>54</v>
      </c>
      <c r="E446" t="str">
        <f t="shared" si="78"/>
        <v>Emily Brown is in Finance Department</v>
      </c>
      <c r="F446" s="6" t="str">
        <f t="shared" si="79"/>
        <v>emilybrown@gmail.com</v>
      </c>
      <c r="G446">
        <v>52578</v>
      </c>
      <c r="H446" t="str">
        <f t="shared" si="80"/>
        <v>Medium</v>
      </c>
      <c r="I446" s="3">
        <v>41980</v>
      </c>
      <c r="J446">
        <f t="shared" si="81"/>
        <v>2014</v>
      </c>
      <c r="K446">
        <f t="shared" si="82"/>
        <v>12</v>
      </c>
      <c r="L446">
        <f t="shared" si="83"/>
        <v>7</v>
      </c>
      <c r="M446" s="3">
        <f t="shared" ca="1" si="84"/>
        <v>46100</v>
      </c>
      <c r="N446">
        <f t="shared" ca="1" si="85"/>
        <v>4120</v>
      </c>
      <c r="O446">
        <f t="shared" ca="1" si="86"/>
        <v>4120</v>
      </c>
      <c r="P446">
        <f t="shared" ca="1" si="87"/>
        <v>2944</v>
      </c>
      <c r="Q446">
        <v>36</v>
      </c>
      <c r="R446" t="str">
        <f t="shared" si="88"/>
        <v>Old</v>
      </c>
      <c r="S446" t="s">
        <v>24</v>
      </c>
      <c r="T446">
        <v>9</v>
      </c>
      <c r="U446" t="s">
        <v>25</v>
      </c>
      <c r="V446">
        <v>7319.52</v>
      </c>
      <c r="W446" t="s">
        <v>26</v>
      </c>
      <c r="X446" t="s">
        <v>40</v>
      </c>
      <c r="Y446">
        <v>19</v>
      </c>
      <c r="Z446" t="str">
        <f t="shared" si="89"/>
        <v>Bad Employee</v>
      </c>
      <c r="AA446" t="b">
        <f t="shared" si="90"/>
        <v>0</v>
      </c>
      <c r="AB446" t="b">
        <f>OR(Y446&gt;20, T446&gt;6)</f>
        <v>1</v>
      </c>
      <c r="AC446" t="str">
        <f>IF(OR(Y446&gt;20,T446&gt;6), "Good employee", "Bad Employee")</f>
        <v>Good employee</v>
      </c>
      <c r="AD446" t="s">
        <v>56</v>
      </c>
      <c r="AE446" t="s">
        <v>59</v>
      </c>
      <c r="AF446">
        <v>19</v>
      </c>
      <c r="AG446">
        <v>2017</v>
      </c>
      <c r="AH446" t="s">
        <v>43</v>
      </c>
      <c r="AI446">
        <v>70</v>
      </c>
      <c r="AJ446">
        <v>1.1000000000000001</v>
      </c>
    </row>
    <row r="447" spans="1:36" x14ac:dyDescent="0.25">
      <c r="A447">
        <v>10446</v>
      </c>
      <c r="B447" t="s">
        <v>50</v>
      </c>
      <c r="C447" t="s">
        <v>61</v>
      </c>
      <c r="D447" t="s">
        <v>23</v>
      </c>
      <c r="E447" t="str">
        <f t="shared" si="78"/>
        <v>Alex Smith is in HR Department</v>
      </c>
      <c r="F447" s="6" t="str">
        <f t="shared" si="79"/>
        <v>alexsmith@gmail.com</v>
      </c>
      <c r="G447">
        <v>47883</v>
      </c>
      <c r="H447" t="str">
        <f t="shared" si="80"/>
        <v>low</v>
      </c>
      <c r="I447" s="3">
        <v>39809</v>
      </c>
      <c r="J447">
        <f t="shared" si="81"/>
        <v>2008</v>
      </c>
      <c r="K447">
        <f t="shared" si="82"/>
        <v>12</v>
      </c>
      <c r="L447">
        <f t="shared" si="83"/>
        <v>27</v>
      </c>
      <c r="M447" s="3">
        <f t="shared" ca="1" si="84"/>
        <v>46100</v>
      </c>
      <c r="N447">
        <f t="shared" ca="1" si="85"/>
        <v>6291</v>
      </c>
      <c r="O447">
        <f t="shared" ca="1" si="86"/>
        <v>6291</v>
      </c>
      <c r="P447">
        <f t="shared" ca="1" si="87"/>
        <v>4494</v>
      </c>
      <c r="Q447">
        <v>57</v>
      </c>
      <c r="R447" t="str">
        <f t="shared" si="88"/>
        <v>Old</v>
      </c>
      <c r="S447" t="s">
        <v>24</v>
      </c>
      <c r="T447">
        <v>7</v>
      </c>
      <c r="U447" t="s">
        <v>25</v>
      </c>
      <c r="V447">
        <v>1860.66</v>
      </c>
      <c r="W447" t="s">
        <v>35</v>
      </c>
      <c r="X447" t="s">
        <v>47</v>
      </c>
      <c r="Y447">
        <v>15</v>
      </c>
      <c r="Z447" t="str">
        <f t="shared" si="89"/>
        <v>Bad Employee</v>
      </c>
      <c r="AA447" t="b">
        <f t="shared" si="90"/>
        <v>0</v>
      </c>
      <c r="AB447" t="b">
        <f>OR(Y447&gt;20, T447&gt;6)</f>
        <v>1</v>
      </c>
      <c r="AC447" t="str">
        <f>IF(OR(Y447&gt;20,T447&gt;6), "Good employee", "Bad Employee")</f>
        <v>Good employee</v>
      </c>
      <c r="AD447" t="s">
        <v>56</v>
      </c>
      <c r="AE447" t="s">
        <v>42</v>
      </c>
      <c r="AF447">
        <v>0</v>
      </c>
      <c r="AG447">
        <v>2019</v>
      </c>
      <c r="AH447" t="s">
        <v>49</v>
      </c>
      <c r="AI447">
        <v>148</v>
      </c>
      <c r="AJ447">
        <v>2.2000000000000002</v>
      </c>
    </row>
    <row r="448" spans="1:36" x14ac:dyDescent="0.25">
      <c r="A448">
        <v>10447</v>
      </c>
      <c r="B448" t="s">
        <v>50</v>
      </c>
      <c r="C448" t="s">
        <v>32</v>
      </c>
      <c r="D448" t="s">
        <v>23</v>
      </c>
      <c r="E448" t="str">
        <f t="shared" si="78"/>
        <v>Alex Wilson is in HR Department</v>
      </c>
      <c r="F448" s="6" t="str">
        <f t="shared" si="79"/>
        <v>alexwilson@gmail.com</v>
      </c>
      <c r="G448">
        <v>59782</v>
      </c>
      <c r="H448" t="str">
        <f t="shared" si="80"/>
        <v>Medium</v>
      </c>
      <c r="I448" s="3">
        <v>41217</v>
      </c>
      <c r="J448">
        <f t="shared" si="81"/>
        <v>2012</v>
      </c>
      <c r="K448">
        <f t="shared" si="82"/>
        <v>11</v>
      </c>
      <c r="L448">
        <f t="shared" si="83"/>
        <v>4</v>
      </c>
      <c r="M448" s="3">
        <f t="shared" ca="1" si="84"/>
        <v>46100</v>
      </c>
      <c r="N448">
        <f t="shared" ca="1" si="85"/>
        <v>4883</v>
      </c>
      <c r="O448">
        <f t="shared" ca="1" si="86"/>
        <v>4883</v>
      </c>
      <c r="P448">
        <f t="shared" ca="1" si="87"/>
        <v>3489</v>
      </c>
      <c r="Q448">
        <v>27</v>
      </c>
      <c r="R448" t="str">
        <f t="shared" si="88"/>
        <v>Young</v>
      </c>
      <c r="S448" t="s">
        <v>34</v>
      </c>
      <c r="T448">
        <v>5</v>
      </c>
      <c r="U448" t="s">
        <v>45</v>
      </c>
      <c r="V448">
        <v>720.27</v>
      </c>
      <c r="W448" t="s">
        <v>35</v>
      </c>
      <c r="X448" t="s">
        <v>36</v>
      </c>
      <c r="Y448">
        <v>39</v>
      </c>
      <c r="Z448" t="str">
        <f t="shared" si="89"/>
        <v>Bad Employee</v>
      </c>
      <c r="AA448" t="b">
        <f t="shared" si="90"/>
        <v>0</v>
      </c>
      <c r="AB448" t="b">
        <f>OR(Y448&gt;20, T448&gt;6)</f>
        <v>1</v>
      </c>
      <c r="AC448" t="str">
        <f>IF(OR(Y448&gt;20,T448&gt;6), "Good employee", "Bad Employee")</f>
        <v>Good employee</v>
      </c>
      <c r="AD448" t="s">
        <v>28</v>
      </c>
      <c r="AE448" t="s">
        <v>29</v>
      </c>
      <c r="AF448">
        <v>1</v>
      </c>
      <c r="AG448">
        <v>2014</v>
      </c>
      <c r="AH448" t="s">
        <v>49</v>
      </c>
      <c r="AI448">
        <v>114</v>
      </c>
      <c r="AJ448">
        <v>4.7</v>
      </c>
    </row>
    <row r="449" spans="1:36" x14ac:dyDescent="0.25">
      <c r="A449">
        <v>10448</v>
      </c>
      <c r="B449" t="s">
        <v>64</v>
      </c>
      <c r="C449" t="s">
        <v>32</v>
      </c>
      <c r="D449" t="s">
        <v>52</v>
      </c>
      <c r="E449" t="str">
        <f t="shared" si="78"/>
        <v>Katie Wilson is in Operations Department</v>
      </c>
      <c r="F449" s="6" t="str">
        <f t="shared" si="79"/>
        <v>katiewilson@gmail.com</v>
      </c>
      <c r="G449">
        <v>86387</v>
      </c>
      <c r="H449" t="str">
        <f t="shared" si="80"/>
        <v>High</v>
      </c>
      <c r="I449" s="3">
        <v>43354</v>
      </c>
      <c r="J449">
        <f t="shared" si="81"/>
        <v>2018</v>
      </c>
      <c r="K449">
        <f t="shared" si="82"/>
        <v>9</v>
      </c>
      <c r="L449">
        <f t="shared" si="83"/>
        <v>11</v>
      </c>
      <c r="M449" s="3">
        <f t="shared" ca="1" si="84"/>
        <v>46100</v>
      </c>
      <c r="N449">
        <f t="shared" ca="1" si="85"/>
        <v>2746</v>
      </c>
      <c r="O449">
        <f t="shared" ca="1" si="86"/>
        <v>2746</v>
      </c>
      <c r="P449">
        <f t="shared" ca="1" si="87"/>
        <v>1963</v>
      </c>
      <c r="Q449">
        <v>63</v>
      </c>
      <c r="R449" t="str">
        <f t="shared" si="88"/>
        <v>Old</v>
      </c>
      <c r="S449" t="s">
        <v>34</v>
      </c>
      <c r="T449">
        <v>9</v>
      </c>
      <c r="U449" t="s">
        <v>25</v>
      </c>
      <c r="V449">
        <v>8339.57</v>
      </c>
      <c r="W449" t="s">
        <v>46</v>
      </c>
      <c r="X449" t="s">
        <v>40</v>
      </c>
      <c r="Y449">
        <v>35</v>
      </c>
      <c r="Z449" t="str">
        <f t="shared" si="89"/>
        <v>Good Employee</v>
      </c>
      <c r="AA449" t="b">
        <f t="shared" si="90"/>
        <v>1</v>
      </c>
      <c r="AB449" t="b">
        <f>OR(Y449&gt;20, T449&gt;6)</f>
        <v>1</v>
      </c>
      <c r="AC449" t="str">
        <f>IF(OR(Y449&gt;20,T449&gt;6), "Good employee", "Bad Employee")</f>
        <v>Good employee</v>
      </c>
      <c r="AD449" t="s">
        <v>41</v>
      </c>
      <c r="AE449" t="s">
        <v>42</v>
      </c>
      <c r="AF449">
        <v>16</v>
      </c>
      <c r="AG449">
        <v>2010</v>
      </c>
      <c r="AH449" t="s">
        <v>49</v>
      </c>
      <c r="AI449">
        <v>134</v>
      </c>
      <c r="AJ449">
        <v>4.7</v>
      </c>
    </row>
    <row r="450" spans="1:36" x14ac:dyDescent="0.25">
      <c r="A450">
        <v>10449</v>
      </c>
      <c r="B450" t="s">
        <v>21</v>
      </c>
      <c r="C450" t="s">
        <v>61</v>
      </c>
      <c r="D450" t="s">
        <v>39</v>
      </c>
      <c r="E450" t="str">
        <f t="shared" si="78"/>
        <v>Michael Smith is in IT Department</v>
      </c>
      <c r="F450" s="6" t="str">
        <f t="shared" si="79"/>
        <v>michaelsmith@gmail.com</v>
      </c>
      <c r="G450">
        <v>46979</v>
      </c>
      <c r="H450" t="str">
        <f t="shared" si="80"/>
        <v>low</v>
      </c>
      <c r="I450" s="3">
        <v>40552</v>
      </c>
      <c r="J450">
        <f t="shared" si="81"/>
        <v>2011</v>
      </c>
      <c r="K450">
        <f t="shared" si="82"/>
        <v>1</v>
      </c>
      <c r="L450">
        <f t="shared" si="83"/>
        <v>9</v>
      </c>
      <c r="M450" s="3">
        <f t="shared" ca="1" si="84"/>
        <v>46100</v>
      </c>
      <c r="N450">
        <f t="shared" ca="1" si="85"/>
        <v>5548</v>
      </c>
      <c r="O450">
        <f t="shared" ca="1" si="86"/>
        <v>5548</v>
      </c>
      <c r="P450">
        <f t="shared" ca="1" si="87"/>
        <v>3964</v>
      </c>
      <c r="Q450">
        <v>39</v>
      </c>
      <c r="R450" t="str">
        <f t="shared" si="88"/>
        <v>Old</v>
      </c>
      <c r="S450" t="s">
        <v>34</v>
      </c>
      <c r="T450">
        <v>5</v>
      </c>
      <c r="U450" t="s">
        <v>25</v>
      </c>
      <c r="V450">
        <v>8488.9500000000007</v>
      </c>
      <c r="W450" t="s">
        <v>26</v>
      </c>
      <c r="X450" t="s">
        <v>40</v>
      </c>
      <c r="Y450">
        <v>13</v>
      </c>
      <c r="Z450" t="str">
        <f t="shared" si="89"/>
        <v>Bad Employee</v>
      </c>
      <c r="AA450" t="b">
        <f t="shared" si="90"/>
        <v>0</v>
      </c>
      <c r="AB450" t="b">
        <f>OR(Y450&gt;20, T450&gt;6)</f>
        <v>0</v>
      </c>
      <c r="AC450" t="str">
        <f>IF(OR(Y450&gt;20,T450&gt;6), "Good employee", "Bad Employee")</f>
        <v>Bad Employee</v>
      </c>
      <c r="AD450" t="s">
        <v>56</v>
      </c>
      <c r="AE450" t="s">
        <v>62</v>
      </c>
      <c r="AF450">
        <v>0</v>
      </c>
      <c r="AG450">
        <v>2010</v>
      </c>
      <c r="AH450" t="s">
        <v>49</v>
      </c>
      <c r="AI450">
        <v>148</v>
      </c>
      <c r="AJ450">
        <v>2.2000000000000002</v>
      </c>
    </row>
    <row r="451" spans="1:36" x14ac:dyDescent="0.25">
      <c r="A451">
        <v>10450</v>
      </c>
      <c r="B451" t="s">
        <v>64</v>
      </c>
      <c r="C451" t="s">
        <v>63</v>
      </c>
      <c r="D451" t="s">
        <v>23</v>
      </c>
      <c r="E451" t="str">
        <f t="shared" ref="E451:E514" si="91">CONCATENATE(B451, " ", C451, " is in ", D451, " Department")</f>
        <v>Katie Miller is in HR Department</v>
      </c>
      <c r="F451" s="6" t="str">
        <f t="shared" ref="F451:F514" si="92">LOWER(CONCATENATE(B451, C451, "@gmail.com"))</f>
        <v>katiemiller@gmail.com</v>
      </c>
      <c r="G451">
        <v>63746</v>
      </c>
      <c r="H451" t="str">
        <f t="shared" ref="H451:H514" si="93">IF(G451&gt;80000, "High", IF(G451&gt;50000, "Medium", IF(G451&gt;40000, "low", "extremely low")))</f>
        <v>Medium</v>
      </c>
      <c r="I451" s="3">
        <v>37682</v>
      </c>
      <c r="J451">
        <f t="shared" ref="J451:J514" si="94">YEAR(I451)</f>
        <v>2003</v>
      </c>
      <c r="K451">
        <f t="shared" ref="K451:K514" si="95">MONTH(I451)</f>
        <v>3</v>
      </c>
      <c r="L451">
        <f t="shared" ref="L451:L514" si="96">DAY(I451)</f>
        <v>2</v>
      </c>
      <c r="M451" s="3">
        <f t="shared" ref="M451:M514" ca="1" si="97">TODAY()</f>
        <v>46100</v>
      </c>
      <c r="N451">
        <f t="shared" ref="N451:N514" ca="1" si="98">M451-I451</f>
        <v>8418</v>
      </c>
      <c r="O451">
        <f t="shared" ref="O451:O514" ca="1" si="99">DATEDIF(I451,M451, "d")</f>
        <v>8418</v>
      </c>
      <c r="P451">
        <f t="shared" ref="P451:P514" ca="1" si="100">NETWORKDAYS(I451, M451)</f>
        <v>6014</v>
      </c>
      <c r="Q451">
        <v>59</v>
      </c>
      <c r="R451" t="str">
        <f t="shared" ref="R451:R514" si="101">IF(Q451&gt;30, "Old", "Young")</f>
        <v>Old</v>
      </c>
      <c r="S451" t="s">
        <v>34</v>
      </c>
      <c r="T451">
        <v>8</v>
      </c>
      <c r="U451" t="s">
        <v>45</v>
      </c>
      <c r="V451">
        <v>7590.43</v>
      </c>
      <c r="W451" t="s">
        <v>46</v>
      </c>
      <c r="X451" t="s">
        <v>47</v>
      </c>
      <c r="Y451">
        <v>16</v>
      </c>
      <c r="Z451" t="str">
        <f t="shared" ref="Z451:Z514" si="102" xml:space="preserve"> IF(AND(Y451&gt;20, T451&gt;6), "Good Employee", "Bad Employee")</f>
        <v>Bad Employee</v>
      </c>
      <c r="AA451" t="b">
        <f t="shared" ref="AA451:AA514" si="103">AND(Y451&gt;20, T451&gt;6)</f>
        <v>0</v>
      </c>
      <c r="AB451" t="b">
        <f>OR(Y451&gt;20, T451&gt;6)</f>
        <v>1</v>
      </c>
      <c r="AC451" t="str">
        <f>IF(OR(Y451&gt;20,T451&gt;6), "Good employee", "Bad Employee")</f>
        <v>Good employee</v>
      </c>
      <c r="AD451" t="s">
        <v>56</v>
      </c>
      <c r="AE451" t="s">
        <v>62</v>
      </c>
      <c r="AF451">
        <v>11</v>
      </c>
      <c r="AG451">
        <v>2012</v>
      </c>
      <c r="AH451" t="s">
        <v>30</v>
      </c>
      <c r="AI451">
        <v>76</v>
      </c>
      <c r="AJ451">
        <v>4.3</v>
      </c>
    </row>
    <row r="452" spans="1:36" x14ac:dyDescent="0.25">
      <c r="A452">
        <v>10451</v>
      </c>
      <c r="B452" t="s">
        <v>64</v>
      </c>
      <c r="C452" t="s">
        <v>65</v>
      </c>
      <c r="D452" t="s">
        <v>54</v>
      </c>
      <c r="E452" t="str">
        <f t="shared" si="91"/>
        <v>Katie Johnson is in Finance Department</v>
      </c>
      <c r="F452" s="6" t="str">
        <f t="shared" si="92"/>
        <v>katiejohnson@gmail.com</v>
      </c>
      <c r="G452">
        <v>96266</v>
      </c>
      <c r="H452" t="str">
        <f t="shared" si="93"/>
        <v>High</v>
      </c>
      <c r="I452" s="3">
        <v>39587</v>
      </c>
      <c r="J452">
        <f t="shared" si="94"/>
        <v>2008</v>
      </c>
      <c r="K452">
        <f t="shared" si="95"/>
        <v>5</v>
      </c>
      <c r="L452">
        <f t="shared" si="96"/>
        <v>19</v>
      </c>
      <c r="M452" s="3">
        <f t="shared" ca="1" si="97"/>
        <v>46100</v>
      </c>
      <c r="N452">
        <f t="shared" ca="1" si="98"/>
        <v>6513</v>
      </c>
      <c r="O452">
        <f t="shared" ca="1" si="99"/>
        <v>6513</v>
      </c>
      <c r="P452">
        <f t="shared" ca="1" si="100"/>
        <v>4654</v>
      </c>
      <c r="Q452">
        <v>40</v>
      </c>
      <c r="R452" t="str">
        <f t="shared" si="101"/>
        <v>Old</v>
      </c>
      <c r="S452" t="s">
        <v>34</v>
      </c>
      <c r="T452">
        <v>4</v>
      </c>
      <c r="U452" t="s">
        <v>45</v>
      </c>
      <c r="V452">
        <v>3159.27</v>
      </c>
      <c r="W452" t="s">
        <v>46</v>
      </c>
      <c r="X452" t="s">
        <v>55</v>
      </c>
      <c r="Y452">
        <v>3</v>
      </c>
      <c r="Z452" t="str">
        <f t="shared" si="102"/>
        <v>Bad Employee</v>
      </c>
      <c r="AA452" t="b">
        <f t="shared" si="103"/>
        <v>0</v>
      </c>
      <c r="AB452" t="b">
        <f>OR(Y452&gt;20, T452&gt;6)</f>
        <v>0</v>
      </c>
      <c r="AC452" t="str">
        <f>IF(OR(Y452&gt;20,T452&gt;6), "Good employee", "Bad Employee")</f>
        <v>Bad Employee</v>
      </c>
      <c r="AD452" t="s">
        <v>41</v>
      </c>
      <c r="AE452" t="s">
        <v>42</v>
      </c>
      <c r="AF452">
        <v>12</v>
      </c>
      <c r="AG452">
        <v>2021</v>
      </c>
      <c r="AH452" t="s">
        <v>43</v>
      </c>
      <c r="AI452">
        <v>5</v>
      </c>
      <c r="AJ452">
        <v>2.8</v>
      </c>
    </row>
    <row r="453" spans="1:36" x14ac:dyDescent="0.25">
      <c r="A453">
        <v>10452</v>
      </c>
      <c r="B453" t="s">
        <v>64</v>
      </c>
      <c r="C453" t="s">
        <v>65</v>
      </c>
      <c r="D453" t="s">
        <v>54</v>
      </c>
      <c r="E453" t="str">
        <f t="shared" si="91"/>
        <v>Katie Johnson is in Finance Department</v>
      </c>
      <c r="F453" s="6" t="str">
        <f t="shared" si="92"/>
        <v>katiejohnson@gmail.com</v>
      </c>
      <c r="G453">
        <v>30056</v>
      </c>
      <c r="H453" t="str">
        <f t="shared" si="93"/>
        <v>extremely low</v>
      </c>
      <c r="I453" s="3">
        <v>43683</v>
      </c>
      <c r="J453">
        <f t="shared" si="94"/>
        <v>2019</v>
      </c>
      <c r="K453">
        <f t="shared" si="95"/>
        <v>8</v>
      </c>
      <c r="L453">
        <f t="shared" si="96"/>
        <v>6</v>
      </c>
      <c r="M453" s="3">
        <f t="shared" ca="1" si="97"/>
        <v>46100</v>
      </c>
      <c r="N453">
        <f t="shared" ca="1" si="98"/>
        <v>2417</v>
      </c>
      <c r="O453">
        <f t="shared" ca="1" si="99"/>
        <v>2417</v>
      </c>
      <c r="P453">
        <f t="shared" ca="1" si="100"/>
        <v>1728</v>
      </c>
      <c r="Q453">
        <v>51</v>
      </c>
      <c r="R453" t="str">
        <f t="shared" si="101"/>
        <v>Old</v>
      </c>
      <c r="S453" t="s">
        <v>24</v>
      </c>
      <c r="T453">
        <v>9</v>
      </c>
      <c r="U453" t="s">
        <v>45</v>
      </c>
      <c r="V453">
        <v>6578.27</v>
      </c>
      <c r="W453" t="s">
        <v>58</v>
      </c>
      <c r="X453" t="s">
        <v>47</v>
      </c>
      <c r="Y453">
        <v>31</v>
      </c>
      <c r="Z453" t="str">
        <f t="shared" si="102"/>
        <v>Good Employee</v>
      </c>
      <c r="AA453" t="b">
        <f t="shared" si="103"/>
        <v>1</v>
      </c>
      <c r="AB453" t="b">
        <f>OR(Y453&gt;20, T453&gt;6)</f>
        <v>1</v>
      </c>
      <c r="AC453" t="str">
        <f>IF(OR(Y453&gt;20,T453&gt;6), "Good employee", "Bad Employee")</f>
        <v>Good employee</v>
      </c>
      <c r="AD453" t="s">
        <v>28</v>
      </c>
      <c r="AE453" t="s">
        <v>62</v>
      </c>
      <c r="AF453">
        <v>13</v>
      </c>
      <c r="AG453">
        <v>2021</v>
      </c>
      <c r="AH453" t="s">
        <v>43</v>
      </c>
      <c r="AI453">
        <v>109</v>
      </c>
      <c r="AJ453">
        <v>3.6</v>
      </c>
    </row>
    <row r="454" spans="1:36" x14ac:dyDescent="0.25">
      <c r="A454">
        <v>10453</v>
      </c>
      <c r="B454" t="s">
        <v>64</v>
      </c>
      <c r="C454" t="s">
        <v>61</v>
      </c>
      <c r="D454" t="s">
        <v>33</v>
      </c>
      <c r="E454" t="str">
        <f t="shared" si="91"/>
        <v>Katie Smith is in Marketing Department</v>
      </c>
      <c r="F454" s="6" t="str">
        <f t="shared" si="92"/>
        <v>katiesmith@gmail.com</v>
      </c>
      <c r="G454">
        <v>61457</v>
      </c>
      <c r="H454" t="str">
        <f t="shared" si="93"/>
        <v>Medium</v>
      </c>
      <c r="I454" s="3">
        <v>42445</v>
      </c>
      <c r="J454">
        <f t="shared" si="94"/>
        <v>2016</v>
      </c>
      <c r="K454">
        <f t="shared" si="95"/>
        <v>3</v>
      </c>
      <c r="L454">
        <f t="shared" si="96"/>
        <v>16</v>
      </c>
      <c r="M454" s="3">
        <f t="shared" ca="1" si="97"/>
        <v>46100</v>
      </c>
      <c r="N454">
        <f t="shared" ca="1" si="98"/>
        <v>3655</v>
      </c>
      <c r="O454">
        <f t="shared" ca="1" si="99"/>
        <v>3655</v>
      </c>
      <c r="P454">
        <f t="shared" ca="1" si="100"/>
        <v>2612</v>
      </c>
      <c r="Q454">
        <v>34</v>
      </c>
      <c r="R454" t="str">
        <f t="shared" si="101"/>
        <v>Old</v>
      </c>
      <c r="S454" t="s">
        <v>24</v>
      </c>
      <c r="T454">
        <v>6</v>
      </c>
      <c r="U454" t="s">
        <v>45</v>
      </c>
      <c r="V454">
        <v>3504.36</v>
      </c>
      <c r="W454" t="s">
        <v>26</v>
      </c>
      <c r="X454" t="s">
        <v>40</v>
      </c>
      <c r="Y454">
        <v>1</v>
      </c>
      <c r="Z454" t="str">
        <f t="shared" si="102"/>
        <v>Bad Employee</v>
      </c>
      <c r="AA454" t="b">
        <f t="shared" si="103"/>
        <v>0</v>
      </c>
      <c r="AB454" t="b">
        <f>OR(Y454&gt;20, T454&gt;6)</f>
        <v>0</v>
      </c>
      <c r="AC454" t="str">
        <f>IF(OR(Y454&gt;20,T454&gt;6), "Good employee", "Bad Employee")</f>
        <v>Bad Employee</v>
      </c>
      <c r="AD454" t="s">
        <v>56</v>
      </c>
      <c r="AE454" t="s">
        <v>59</v>
      </c>
      <c r="AF454">
        <v>9</v>
      </c>
      <c r="AG454">
        <v>2015</v>
      </c>
      <c r="AH454" t="s">
        <v>30</v>
      </c>
      <c r="AI454">
        <v>158</v>
      </c>
      <c r="AJ454">
        <v>2.2999999999999998</v>
      </c>
    </row>
    <row r="455" spans="1:36" x14ac:dyDescent="0.25">
      <c r="A455">
        <v>10454</v>
      </c>
      <c r="B455" t="s">
        <v>64</v>
      </c>
      <c r="C455" t="s">
        <v>65</v>
      </c>
      <c r="D455" t="s">
        <v>23</v>
      </c>
      <c r="E455" t="str">
        <f t="shared" si="91"/>
        <v>Katie Johnson is in HR Department</v>
      </c>
      <c r="F455" s="6" t="str">
        <f t="shared" si="92"/>
        <v>katiejohnson@gmail.com</v>
      </c>
      <c r="G455">
        <v>32243</v>
      </c>
      <c r="H455" t="str">
        <f t="shared" si="93"/>
        <v>extremely low</v>
      </c>
      <c r="I455" s="3">
        <v>42419</v>
      </c>
      <c r="J455">
        <f t="shared" si="94"/>
        <v>2016</v>
      </c>
      <c r="K455">
        <f t="shared" si="95"/>
        <v>2</v>
      </c>
      <c r="L455">
        <f t="shared" si="96"/>
        <v>19</v>
      </c>
      <c r="M455" s="3">
        <f t="shared" ca="1" si="97"/>
        <v>46100</v>
      </c>
      <c r="N455">
        <f t="shared" ca="1" si="98"/>
        <v>3681</v>
      </c>
      <c r="O455">
        <f t="shared" ca="1" si="99"/>
        <v>3681</v>
      </c>
      <c r="P455">
        <f t="shared" ca="1" si="100"/>
        <v>2630</v>
      </c>
      <c r="Q455">
        <v>60</v>
      </c>
      <c r="R455" t="str">
        <f t="shared" si="101"/>
        <v>Old</v>
      </c>
      <c r="S455" t="s">
        <v>24</v>
      </c>
      <c r="T455">
        <v>6</v>
      </c>
      <c r="U455" t="s">
        <v>45</v>
      </c>
      <c r="V455">
        <v>4781.16</v>
      </c>
      <c r="W455" t="s">
        <v>58</v>
      </c>
      <c r="X455" t="s">
        <v>47</v>
      </c>
      <c r="Y455">
        <v>35</v>
      </c>
      <c r="Z455" t="str">
        <f t="shared" si="102"/>
        <v>Bad Employee</v>
      </c>
      <c r="AA455" t="b">
        <f t="shared" si="103"/>
        <v>0</v>
      </c>
      <c r="AB455" t="b">
        <f>OR(Y455&gt;20, T455&gt;6)</f>
        <v>1</v>
      </c>
      <c r="AC455" t="str">
        <f>IF(OR(Y455&gt;20,T455&gt;6), "Good employee", "Bad Employee")</f>
        <v>Good employee</v>
      </c>
      <c r="AD455" t="s">
        <v>28</v>
      </c>
      <c r="AE455" t="s">
        <v>59</v>
      </c>
      <c r="AF455">
        <v>11</v>
      </c>
      <c r="AG455">
        <v>2011</v>
      </c>
      <c r="AH455" t="s">
        <v>30</v>
      </c>
      <c r="AI455">
        <v>176</v>
      </c>
      <c r="AJ455">
        <v>3.1</v>
      </c>
    </row>
    <row r="456" spans="1:36" x14ac:dyDescent="0.25">
      <c r="A456">
        <v>10455</v>
      </c>
      <c r="B456" t="s">
        <v>38</v>
      </c>
      <c r="C456" t="s">
        <v>57</v>
      </c>
      <c r="D456" t="s">
        <v>44</v>
      </c>
      <c r="E456" t="str">
        <f t="shared" si="91"/>
        <v>Chris Davis is in Sales Department</v>
      </c>
      <c r="F456" s="6" t="str">
        <f t="shared" si="92"/>
        <v>chrisdavis@gmail.com</v>
      </c>
      <c r="G456">
        <v>85031</v>
      </c>
      <c r="H456" t="str">
        <f t="shared" si="93"/>
        <v>High</v>
      </c>
      <c r="I456" s="3">
        <v>40971</v>
      </c>
      <c r="J456">
        <f t="shared" si="94"/>
        <v>2012</v>
      </c>
      <c r="K456">
        <f t="shared" si="95"/>
        <v>3</v>
      </c>
      <c r="L456">
        <f t="shared" si="96"/>
        <v>3</v>
      </c>
      <c r="M456" s="3">
        <f t="shared" ca="1" si="97"/>
        <v>46100</v>
      </c>
      <c r="N456">
        <f t="shared" ca="1" si="98"/>
        <v>5129</v>
      </c>
      <c r="O456">
        <f t="shared" ca="1" si="99"/>
        <v>5129</v>
      </c>
      <c r="P456">
        <f t="shared" ca="1" si="100"/>
        <v>3664</v>
      </c>
      <c r="Q456">
        <v>33</v>
      </c>
      <c r="R456" t="str">
        <f t="shared" si="101"/>
        <v>Old</v>
      </c>
      <c r="S456" t="s">
        <v>24</v>
      </c>
      <c r="T456">
        <v>3</v>
      </c>
      <c r="U456" t="s">
        <v>25</v>
      </c>
      <c r="V456">
        <v>4133.13</v>
      </c>
      <c r="W456" t="s">
        <v>46</v>
      </c>
      <c r="X456" t="s">
        <v>55</v>
      </c>
      <c r="Y456">
        <v>16</v>
      </c>
      <c r="Z456" t="str">
        <f t="shared" si="102"/>
        <v>Bad Employee</v>
      </c>
      <c r="AA456" t="b">
        <f t="shared" si="103"/>
        <v>0</v>
      </c>
      <c r="AB456" t="b">
        <f>OR(Y456&gt;20, T456&gt;6)</f>
        <v>0</v>
      </c>
      <c r="AC456" t="str">
        <f>IF(OR(Y456&gt;20,T456&gt;6), "Good employee", "Bad Employee")</f>
        <v>Bad Employee</v>
      </c>
      <c r="AD456" t="s">
        <v>56</v>
      </c>
      <c r="AE456" t="s">
        <v>29</v>
      </c>
      <c r="AF456">
        <v>17</v>
      </c>
      <c r="AG456">
        <v>2010</v>
      </c>
      <c r="AH456" t="s">
        <v>43</v>
      </c>
      <c r="AI456">
        <v>137</v>
      </c>
      <c r="AJ456">
        <v>2.2000000000000002</v>
      </c>
    </row>
    <row r="457" spans="1:36" x14ac:dyDescent="0.25">
      <c r="A457">
        <v>10456</v>
      </c>
      <c r="B457" t="s">
        <v>50</v>
      </c>
      <c r="C457" t="s">
        <v>51</v>
      </c>
      <c r="D457" t="s">
        <v>52</v>
      </c>
      <c r="E457" t="str">
        <f t="shared" si="91"/>
        <v>Alex Brown is in Operations Department</v>
      </c>
      <c r="F457" s="6" t="str">
        <f t="shared" si="92"/>
        <v>alexbrown@gmail.com</v>
      </c>
      <c r="G457">
        <v>31701</v>
      </c>
      <c r="H457" t="str">
        <f t="shared" si="93"/>
        <v>extremely low</v>
      </c>
      <c r="I457" s="3">
        <v>38855</v>
      </c>
      <c r="J457">
        <f t="shared" si="94"/>
        <v>2006</v>
      </c>
      <c r="K457">
        <f t="shared" si="95"/>
        <v>5</v>
      </c>
      <c r="L457">
        <f t="shared" si="96"/>
        <v>18</v>
      </c>
      <c r="M457" s="3">
        <f t="shared" ca="1" si="97"/>
        <v>46100</v>
      </c>
      <c r="N457">
        <f t="shared" ca="1" si="98"/>
        <v>7245</v>
      </c>
      <c r="O457">
        <f t="shared" ca="1" si="99"/>
        <v>7245</v>
      </c>
      <c r="P457">
        <f t="shared" ca="1" si="100"/>
        <v>5176</v>
      </c>
      <c r="Q457">
        <v>55</v>
      </c>
      <c r="R457" t="str">
        <f t="shared" si="101"/>
        <v>Old</v>
      </c>
      <c r="S457" t="s">
        <v>34</v>
      </c>
      <c r="T457">
        <v>3</v>
      </c>
      <c r="U457" t="s">
        <v>25</v>
      </c>
      <c r="V457">
        <v>9179.58</v>
      </c>
      <c r="W457" t="s">
        <v>46</v>
      </c>
      <c r="X457" t="s">
        <v>40</v>
      </c>
      <c r="Y457">
        <v>1</v>
      </c>
      <c r="Z457" t="str">
        <f t="shared" si="102"/>
        <v>Bad Employee</v>
      </c>
      <c r="AA457" t="b">
        <f t="shared" si="103"/>
        <v>0</v>
      </c>
      <c r="AB457" t="b">
        <f>OR(Y457&gt;20, T457&gt;6)</f>
        <v>0</v>
      </c>
      <c r="AC457" t="str">
        <f>IF(OR(Y457&gt;20,T457&gt;6), "Good employee", "Bad Employee")</f>
        <v>Bad Employee</v>
      </c>
      <c r="AD457" t="s">
        <v>56</v>
      </c>
      <c r="AE457" t="s">
        <v>42</v>
      </c>
      <c r="AF457">
        <v>6</v>
      </c>
      <c r="AG457">
        <v>2016</v>
      </c>
      <c r="AH457" t="s">
        <v>43</v>
      </c>
      <c r="AI457">
        <v>25</v>
      </c>
      <c r="AJ457">
        <v>1.2</v>
      </c>
    </row>
    <row r="458" spans="1:36" x14ac:dyDescent="0.25">
      <c r="A458">
        <v>10457</v>
      </c>
      <c r="B458" t="s">
        <v>64</v>
      </c>
      <c r="C458" t="s">
        <v>51</v>
      </c>
      <c r="D458" t="s">
        <v>39</v>
      </c>
      <c r="E458" t="str">
        <f t="shared" si="91"/>
        <v>Katie Brown is in IT Department</v>
      </c>
      <c r="F458" s="6" t="str">
        <f t="shared" si="92"/>
        <v>katiebrown@gmail.com</v>
      </c>
      <c r="G458">
        <v>86381</v>
      </c>
      <c r="H458" t="str">
        <f t="shared" si="93"/>
        <v>High</v>
      </c>
      <c r="I458" s="3">
        <v>42962</v>
      </c>
      <c r="J458">
        <f t="shared" si="94"/>
        <v>2017</v>
      </c>
      <c r="K458">
        <f t="shared" si="95"/>
        <v>8</v>
      </c>
      <c r="L458">
        <f t="shared" si="96"/>
        <v>15</v>
      </c>
      <c r="M458" s="3">
        <f t="shared" ca="1" si="97"/>
        <v>46100</v>
      </c>
      <c r="N458">
        <f t="shared" ca="1" si="98"/>
        <v>3138</v>
      </c>
      <c r="O458">
        <f t="shared" ca="1" si="99"/>
        <v>3138</v>
      </c>
      <c r="P458">
        <f t="shared" ca="1" si="100"/>
        <v>2243</v>
      </c>
      <c r="Q458">
        <v>33</v>
      </c>
      <c r="R458" t="str">
        <f t="shared" si="101"/>
        <v>Old</v>
      </c>
      <c r="S458" t="s">
        <v>24</v>
      </c>
      <c r="T458">
        <v>4</v>
      </c>
      <c r="U458" t="s">
        <v>25</v>
      </c>
      <c r="V458">
        <v>2724.49</v>
      </c>
      <c r="W458" t="s">
        <v>26</v>
      </c>
      <c r="X458" t="s">
        <v>47</v>
      </c>
      <c r="Y458">
        <v>14</v>
      </c>
      <c r="Z458" t="str">
        <f t="shared" si="102"/>
        <v>Bad Employee</v>
      </c>
      <c r="AA458" t="b">
        <f t="shared" si="103"/>
        <v>0</v>
      </c>
      <c r="AB458" t="b">
        <f>OR(Y458&gt;20, T458&gt;6)</f>
        <v>0</v>
      </c>
      <c r="AC458" t="str">
        <f>IF(OR(Y458&gt;20,T458&gt;6), "Good employee", "Bad Employee")</f>
        <v>Bad Employee</v>
      </c>
      <c r="AD458" t="s">
        <v>41</v>
      </c>
      <c r="AE458" t="s">
        <v>29</v>
      </c>
      <c r="AF458">
        <v>18</v>
      </c>
      <c r="AG458">
        <v>2023</v>
      </c>
      <c r="AH458" t="s">
        <v>30</v>
      </c>
      <c r="AI458">
        <v>39</v>
      </c>
      <c r="AJ458">
        <v>1.6</v>
      </c>
    </row>
    <row r="459" spans="1:36" x14ac:dyDescent="0.25">
      <c r="A459">
        <v>10458</v>
      </c>
      <c r="B459" t="s">
        <v>53</v>
      </c>
      <c r="C459" t="s">
        <v>61</v>
      </c>
      <c r="D459" t="s">
        <v>44</v>
      </c>
      <c r="E459" t="str">
        <f t="shared" si="91"/>
        <v>Sarah Smith is in Sales Department</v>
      </c>
      <c r="F459" s="6" t="str">
        <f t="shared" si="92"/>
        <v>sarahsmith@gmail.com</v>
      </c>
      <c r="G459">
        <v>80438</v>
      </c>
      <c r="H459" t="str">
        <f t="shared" si="93"/>
        <v>High</v>
      </c>
      <c r="I459" s="3">
        <v>37818</v>
      </c>
      <c r="J459">
        <f t="shared" si="94"/>
        <v>2003</v>
      </c>
      <c r="K459">
        <f t="shared" si="95"/>
        <v>7</v>
      </c>
      <c r="L459">
        <f t="shared" si="96"/>
        <v>16</v>
      </c>
      <c r="M459" s="3">
        <f t="shared" ca="1" si="97"/>
        <v>46100</v>
      </c>
      <c r="N459">
        <f t="shared" ca="1" si="98"/>
        <v>8282</v>
      </c>
      <c r="O459">
        <f t="shared" ca="1" si="99"/>
        <v>8282</v>
      </c>
      <c r="P459">
        <f t="shared" ca="1" si="100"/>
        <v>5917</v>
      </c>
      <c r="Q459">
        <v>45</v>
      </c>
      <c r="R459" t="str">
        <f t="shared" si="101"/>
        <v>Old</v>
      </c>
      <c r="S459" t="s">
        <v>34</v>
      </c>
      <c r="T459">
        <v>1</v>
      </c>
      <c r="U459" t="s">
        <v>25</v>
      </c>
      <c r="V459">
        <v>5987.3</v>
      </c>
      <c r="W459" t="s">
        <v>35</v>
      </c>
      <c r="X459" t="s">
        <v>36</v>
      </c>
      <c r="Y459">
        <v>7</v>
      </c>
      <c r="Z459" t="str">
        <f t="shared" si="102"/>
        <v>Bad Employee</v>
      </c>
      <c r="AA459" t="b">
        <f t="shared" si="103"/>
        <v>0</v>
      </c>
      <c r="AB459" t="b">
        <f>OR(Y459&gt;20, T459&gt;6)</f>
        <v>0</v>
      </c>
      <c r="AC459" t="str">
        <f>IF(OR(Y459&gt;20,T459&gt;6), "Good employee", "Bad Employee")</f>
        <v>Bad Employee</v>
      </c>
      <c r="AD459" t="s">
        <v>41</v>
      </c>
      <c r="AE459" t="s">
        <v>59</v>
      </c>
      <c r="AF459">
        <v>14</v>
      </c>
      <c r="AG459">
        <v>2023</v>
      </c>
      <c r="AH459" t="s">
        <v>49</v>
      </c>
      <c r="AI459">
        <v>108</v>
      </c>
      <c r="AJ459">
        <v>2.2000000000000002</v>
      </c>
    </row>
    <row r="460" spans="1:36" x14ac:dyDescent="0.25">
      <c r="A460">
        <v>10459</v>
      </c>
      <c r="B460" t="s">
        <v>50</v>
      </c>
      <c r="C460" t="s">
        <v>22</v>
      </c>
      <c r="D460" t="s">
        <v>52</v>
      </c>
      <c r="E460" t="str">
        <f t="shared" si="91"/>
        <v>Alex Williams is in Operations Department</v>
      </c>
      <c r="F460" s="6" t="str">
        <f t="shared" si="92"/>
        <v>alexwilliams@gmail.com</v>
      </c>
      <c r="G460">
        <v>103839</v>
      </c>
      <c r="H460" t="str">
        <f t="shared" si="93"/>
        <v>High</v>
      </c>
      <c r="I460" s="3">
        <v>38410</v>
      </c>
      <c r="J460">
        <f t="shared" si="94"/>
        <v>2005</v>
      </c>
      <c r="K460">
        <f t="shared" si="95"/>
        <v>2</v>
      </c>
      <c r="L460">
        <f t="shared" si="96"/>
        <v>27</v>
      </c>
      <c r="M460" s="3">
        <f t="shared" ca="1" si="97"/>
        <v>46100</v>
      </c>
      <c r="N460">
        <f t="shared" ca="1" si="98"/>
        <v>7690</v>
      </c>
      <c r="O460">
        <f t="shared" ca="1" si="99"/>
        <v>7690</v>
      </c>
      <c r="P460">
        <f t="shared" ca="1" si="100"/>
        <v>5494</v>
      </c>
      <c r="Q460">
        <v>25</v>
      </c>
      <c r="R460" t="str">
        <f t="shared" si="101"/>
        <v>Young</v>
      </c>
      <c r="S460" t="s">
        <v>34</v>
      </c>
      <c r="T460">
        <v>6</v>
      </c>
      <c r="U460" t="s">
        <v>25</v>
      </c>
      <c r="V460">
        <v>3929.32</v>
      </c>
      <c r="W460" t="s">
        <v>46</v>
      </c>
      <c r="X460" t="s">
        <v>36</v>
      </c>
      <c r="Y460">
        <v>23</v>
      </c>
      <c r="Z460" t="str">
        <f t="shared" si="102"/>
        <v>Bad Employee</v>
      </c>
      <c r="AA460" t="b">
        <f t="shared" si="103"/>
        <v>0</v>
      </c>
      <c r="AB460" t="b">
        <f>OR(Y460&gt;20, T460&gt;6)</f>
        <v>1</v>
      </c>
      <c r="AC460" t="str">
        <f>IF(OR(Y460&gt;20,T460&gt;6), "Good employee", "Bad Employee")</f>
        <v>Good employee</v>
      </c>
      <c r="AD460" t="s">
        <v>41</v>
      </c>
      <c r="AE460" t="s">
        <v>59</v>
      </c>
      <c r="AF460">
        <v>6</v>
      </c>
      <c r="AG460">
        <v>2021</v>
      </c>
      <c r="AH460" t="s">
        <v>43</v>
      </c>
      <c r="AI460">
        <v>58</v>
      </c>
      <c r="AJ460">
        <v>4.9000000000000004</v>
      </c>
    </row>
    <row r="461" spans="1:36" x14ac:dyDescent="0.25">
      <c r="A461">
        <v>10460</v>
      </c>
      <c r="B461" t="s">
        <v>50</v>
      </c>
      <c r="C461" t="s">
        <v>63</v>
      </c>
      <c r="D461" t="s">
        <v>54</v>
      </c>
      <c r="E461" t="str">
        <f t="shared" si="91"/>
        <v>Alex Miller is in Finance Department</v>
      </c>
      <c r="F461" s="6" t="str">
        <f t="shared" si="92"/>
        <v>alexmiller@gmail.com</v>
      </c>
      <c r="G461">
        <v>110636</v>
      </c>
      <c r="H461" t="str">
        <f t="shared" si="93"/>
        <v>High</v>
      </c>
      <c r="I461" s="3">
        <v>38086</v>
      </c>
      <c r="J461">
        <f t="shared" si="94"/>
        <v>2004</v>
      </c>
      <c r="K461">
        <f t="shared" si="95"/>
        <v>4</v>
      </c>
      <c r="L461">
        <f t="shared" si="96"/>
        <v>9</v>
      </c>
      <c r="M461" s="3">
        <f t="shared" ca="1" si="97"/>
        <v>46100</v>
      </c>
      <c r="N461">
        <f t="shared" ca="1" si="98"/>
        <v>8014</v>
      </c>
      <c r="O461">
        <f t="shared" ca="1" si="99"/>
        <v>8014</v>
      </c>
      <c r="P461">
        <f t="shared" ca="1" si="100"/>
        <v>5725</v>
      </c>
      <c r="Q461">
        <v>57</v>
      </c>
      <c r="R461" t="str">
        <f t="shared" si="101"/>
        <v>Old</v>
      </c>
      <c r="S461" t="s">
        <v>34</v>
      </c>
      <c r="T461">
        <v>1</v>
      </c>
      <c r="U461" t="s">
        <v>45</v>
      </c>
      <c r="V461">
        <v>6799.18</v>
      </c>
      <c r="W461" t="s">
        <v>46</v>
      </c>
      <c r="X461" t="s">
        <v>47</v>
      </c>
      <c r="Y461">
        <v>35</v>
      </c>
      <c r="Z461" t="str">
        <f t="shared" si="102"/>
        <v>Bad Employee</v>
      </c>
      <c r="AA461" t="b">
        <f t="shared" si="103"/>
        <v>0</v>
      </c>
      <c r="AB461" t="b">
        <f>OR(Y461&gt;20, T461&gt;6)</f>
        <v>1</v>
      </c>
      <c r="AC461" t="str">
        <f>IF(OR(Y461&gt;20,T461&gt;6), "Good employee", "Bad Employee")</f>
        <v>Good employee</v>
      </c>
      <c r="AD461" t="s">
        <v>41</v>
      </c>
      <c r="AE461" t="s">
        <v>59</v>
      </c>
      <c r="AF461">
        <v>13</v>
      </c>
      <c r="AG461">
        <v>2011</v>
      </c>
      <c r="AH461" t="s">
        <v>30</v>
      </c>
      <c r="AI461">
        <v>128</v>
      </c>
      <c r="AJ461">
        <v>4.9000000000000004</v>
      </c>
    </row>
    <row r="462" spans="1:36" x14ac:dyDescent="0.25">
      <c r="A462">
        <v>10461</v>
      </c>
      <c r="B462" t="s">
        <v>60</v>
      </c>
      <c r="C462" t="s">
        <v>61</v>
      </c>
      <c r="D462" t="s">
        <v>44</v>
      </c>
      <c r="E462" t="str">
        <f t="shared" si="91"/>
        <v>Jane Smith is in Sales Department</v>
      </c>
      <c r="F462" s="6" t="str">
        <f t="shared" si="92"/>
        <v>janesmith@gmail.com</v>
      </c>
      <c r="G462">
        <v>96483</v>
      </c>
      <c r="H462" t="str">
        <f t="shared" si="93"/>
        <v>High</v>
      </c>
      <c r="I462" s="3">
        <v>37509</v>
      </c>
      <c r="J462">
        <f t="shared" si="94"/>
        <v>2002</v>
      </c>
      <c r="K462">
        <f t="shared" si="95"/>
        <v>9</v>
      </c>
      <c r="L462">
        <f t="shared" si="96"/>
        <v>10</v>
      </c>
      <c r="M462" s="3">
        <f t="shared" ca="1" si="97"/>
        <v>46100</v>
      </c>
      <c r="N462">
        <f t="shared" ca="1" si="98"/>
        <v>8591</v>
      </c>
      <c r="O462">
        <f t="shared" ca="1" si="99"/>
        <v>8591</v>
      </c>
      <c r="P462">
        <f t="shared" ca="1" si="100"/>
        <v>6138</v>
      </c>
      <c r="Q462">
        <v>35</v>
      </c>
      <c r="R462" t="str">
        <f t="shared" si="101"/>
        <v>Old</v>
      </c>
      <c r="S462" t="s">
        <v>34</v>
      </c>
      <c r="T462">
        <v>4</v>
      </c>
      <c r="U462" t="s">
        <v>25</v>
      </c>
      <c r="V462">
        <v>5863.35</v>
      </c>
      <c r="W462" t="s">
        <v>58</v>
      </c>
      <c r="X462" t="s">
        <v>47</v>
      </c>
      <c r="Y462">
        <v>29</v>
      </c>
      <c r="Z462" t="str">
        <f t="shared" si="102"/>
        <v>Bad Employee</v>
      </c>
      <c r="AA462" t="b">
        <f t="shared" si="103"/>
        <v>0</v>
      </c>
      <c r="AB462" t="b">
        <f>OR(Y462&gt;20, T462&gt;6)</f>
        <v>1</v>
      </c>
      <c r="AC462" t="str">
        <f>IF(OR(Y462&gt;20,T462&gt;6), "Good employee", "Bad Employee")</f>
        <v>Good employee</v>
      </c>
      <c r="AD462" t="s">
        <v>28</v>
      </c>
      <c r="AE462" t="s">
        <v>48</v>
      </c>
      <c r="AF462">
        <v>8</v>
      </c>
      <c r="AG462">
        <v>2017</v>
      </c>
      <c r="AH462" t="s">
        <v>49</v>
      </c>
      <c r="AI462">
        <v>182</v>
      </c>
      <c r="AJ462">
        <v>4.3</v>
      </c>
    </row>
    <row r="463" spans="1:36" x14ac:dyDescent="0.25">
      <c r="A463">
        <v>10462</v>
      </c>
      <c r="B463" t="s">
        <v>38</v>
      </c>
      <c r="C463" t="s">
        <v>65</v>
      </c>
      <c r="D463" t="s">
        <v>52</v>
      </c>
      <c r="E463" t="str">
        <f t="shared" si="91"/>
        <v>Chris Johnson is in Operations Department</v>
      </c>
      <c r="F463" s="6" t="str">
        <f t="shared" si="92"/>
        <v>chrisjohnson@gmail.com</v>
      </c>
      <c r="G463">
        <v>50505</v>
      </c>
      <c r="H463" t="str">
        <f t="shared" si="93"/>
        <v>Medium</v>
      </c>
      <c r="I463" s="3">
        <v>38593</v>
      </c>
      <c r="J463">
        <f t="shared" si="94"/>
        <v>2005</v>
      </c>
      <c r="K463">
        <f t="shared" si="95"/>
        <v>8</v>
      </c>
      <c r="L463">
        <f t="shared" si="96"/>
        <v>29</v>
      </c>
      <c r="M463" s="3">
        <f t="shared" ca="1" si="97"/>
        <v>46100</v>
      </c>
      <c r="N463">
        <f t="shared" ca="1" si="98"/>
        <v>7507</v>
      </c>
      <c r="O463">
        <f t="shared" ca="1" si="99"/>
        <v>7507</v>
      </c>
      <c r="P463">
        <f t="shared" ca="1" si="100"/>
        <v>5364</v>
      </c>
      <c r="Q463">
        <v>38</v>
      </c>
      <c r="R463" t="str">
        <f t="shared" si="101"/>
        <v>Old</v>
      </c>
      <c r="S463" t="s">
        <v>34</v>
      </c>
      <c r="T463">
        <v>7</v>
      </c>
      <c r="U463" t="s">
        <v>25</v>
      </c>
      <c r="V463">
        <v>9277.7900000000009</v>
      </c>
      <c r="W463" t="s">
        <v>58</v>
      </c>
      <c r="X463" t="s">
        <v>55</v>
      </c>
      <c r="Y463">
        <v>22</v>
      </c>
      <c r="Z463" t="str">
        <f t="shared" si="102"/>
        <v>Good Employee</v>
      </c>
      <c r="AA463" t="b">
        <f t="shared" si="103"/>
        <v>1</v>
      </c>
      <c r="AB463" t="b">
        <f>OR(Y463&gt;20, T463&gt;6)</f>
        <v>1</v>
      </c>
      <c r="AC463" t="str">
        <f>IF(OR(Y463&gt;20,T463&gt;6), "Good employee", "Bad Employee")</f>
        <v>Good employee</v>
      </c>
      <c r="AD463" t="s">
        <v>28</v>
      </c>
      <c r="AE463" t="s">
        <v>62</v>
      </c>
      <c r="AF463">
        <v>4</v>
      </c>
      <c r="AG463">
        <v>2011</v>
      </c>
      <c r="AH463" t="s">
        <v>49</v>
      </c>
      <c r="AI463">
        <v>112</v>
      </c>
      <c r="AJ463">
        <v>1.9</v>
      </c>
    </row>
    <row r="464" spans="1:36" x14ac:dyDescent="0.25">
      <c r="A464">
        <v>10463</v>
      </c>
      <c r="B464" t="s">
        <v>64</v>
      </c>
      <c r="C464" t="s">
        <v>63</v>
      </c>
      <c r="D464" t="s">
        <v>54</v>
      </c>
      <c r="E464" t="str">
        <f t="shared" si="91"/>
        <v>Katie Miller is in Finance Department</v>
      </c>
      <c r="F464" s="6" t="str">
        <f t="shared" si="92"/>
        <v>katiemiller@gmail.com</v>
      </c>
      <c r="G464">
        <v>36553</v>
      </c>
      <c r="H464" t="str">
        <f t="shared" si="93"/>
        <v>extremely low</v>
      </c>
      <c r="I464" s="3">
        <v>43428</v>
      </c>
      <c r="J464">
        <f t="shared" si="94"/>
        <v>2018</v>
      </c>
      <c r="K464">
        <f t="shared" si="95"/>
        <v>11</v>
      </c>
      <c r="L464">
        <f t="shared" si="96"/>
        <v>24</v>
      </c>
      <c r="M464" s="3">
        <f t="shared" ca="1" si="97"/>
        <v>46100</v>
      </c>
      <c r="N464">
        <f t="shared" ca="1" si="98"/>
        <v>2672</v>
      </c>
      <c r="O464">
        <f t="shared" ca="1" si="99"/>
        <v>2672</v>
      </c>
      <c r="P464">
        <f t="shared" ca="1" si="100"/>
        <v>1909</v>
      </c>
      <c r="Q464">
        <v>24</v>
      </c>
      <c r="R464" t="str">
        <f t="shared" si="101"/>
        <v>Young</v>
      </c>
      <c r="S464" t="s">
        <v>24</v>
      </c>
      <c r="T464">
        <v>6</v>
      </c>
      <c r="U464" t="s">
        <v>25</v>
      </c>
      <c r="V464">
        <v>1465.32</v>
      </c>
      <c r="W464" t="s">
        <v>26</v>
      </c>
      <c r="X464" t="s">
        <v>40</v>
      </c>
      <c r="Y464">
        <v>16</v>
      </c>
      <c r="Z464" t="str">
        <f t="shared" si="102"/>
        <v>Bad Employee</v>
      </c>
      <c r="AA464" t="b">
        <f t="shared" si="103"/>
        <v>0</v>
      </c>
      <c r="AB464" t="b">
        <f>OR(Y464&gt;20, T464&gt;6)</f>
        <v>0</v>
      </c>
      <c r="AC464" t="str">
        <f>IF(OR(Y464&gt;20,T464&gt;6), "Good employee", "Bad Employee")</f>
        <v>Bad Employee</v>
      </c>
      <c r="AD464" t="s">
        <v>28</v>
      </c>
      <c r="AE464" t="s">
        <v>29</v>
      </c>
      <c r="AF464">
        <v>0</v>
      </c>
      <c r="AG464">
        <v>2020</v>
      </c>
      <c r="AH464" t="s">
        <v>30</v>
      </c>
      <c r="AI464">
        <v>48</v>
      </c>
      <c r="AJ464">
        <v>2.8</v>
      </c>
    </row>
    <row r="465" spans="1:36" x14ac:dyDescent="0.25">
      <c r="A465">
        <v>10464</v>
      </c>
      <c r="B465" t="s">
        <v>66</v>
      </c>
      <c r="C465" t="s">
        <v>22</v>
      </c>
      <c r="D465" t="s">
        <v>54</v>
      </c>
      <c r="E465" t="str">
        <f t="shared" si="91"/>
        <v>John Williams is in Finance Department</v>
      </c>
      <c r="F465" s="6" t="str">
        <f t="shared" si="92"/>
        <v>johnwilliams@gmail.com</v>
      </c>
      <c r="G465">
        <v>63525</v>
      </c>
      <c r="H465" t="str">
        <f t="shared" si="93"/>
        <v>Medium</v>
      </c>
      <c r="I465" s="3">
        <v>38389</v>
      </c>
      <c r="J465">
        <f t="shared" si="94"/>
        <v>2005</v>
      </c>
      <c r="K465">
        <f t="shared" si="95"/>
        <v>2</v>
      </c>
      <c r="L465">
        <f t="shared" si="96"/>
        <v>6</v>
      </c>
      <c r="M465" s="3">
        <f t="shared" ca="1" si="97"/>
        <v>46100</v>
      </c>
      <c r="N465">
        <f t="shared" ca="1" si="98"/>
        <v>7711</v>
      </c>
      <c r="O465">
        <f t="shared" ca="1" si="99"/>
        <v>7711</v>
      </c>
      <c r="P465">
        <f t="shared" ca="1" si="100"/>
        <v>5509</v>
      </c>
      <c r="Q465">
        <v>59</v>
      </c>
      <c r="R465" t="str">
        <f t="shared" si="101"/>
        <v>Old</v>
      </c>
      <c r="S465" t="s">
        <v>34</v>
      </c>
      <c r="T465">
        <v>8</v>
      </c>
      <c r="U465" t="s">
        <v>25</v>
      </c>
      <c r="V465">
        <v>2596.09</v>
      </c>
      <c r="W465" t="s">
        <v>58</v>
      </c>
      <c r="X465" t="s">
        <v>47</v>
      </c>
      <c r="Y465">
        <v>29</v>
      </c>
      <c r="Z465" t="str">
        <f t="shared" si="102"/>
        <v>Good Employee</v>
      </c>
      <c r="AA465" t="b">
        <f t="shared" si="103"/>
        <v>1</v>
      </c>
      <c r="AB465" t="b">
        <f>OR(Y465&gt;20, T465&gt;6)</f>
        <v>1</v>
      </c>
      <c r="AC465" t="str">
        <f>IF(OR(Y465&gt;20,T465&gt;6), "Good employee", "Bad Employee")</f>
        <v>Good employee</v>
      </c>
      <c r="AD465" t="s">
        <v>41</v>
      </c>
      <c r="AE465" t="s">
        <v>29</v>
      </c>
      <c r="AF465">
        <v>15</v>
      </c>
      <c r="AG465">
        <v>2010</v>
      </c>
      <c r="AH465" t="s">
        <v>43</v>
      </c>
      <c r="AI465">
        <v>89</v>
      </c>
      <c r="AJ465">
        <v>2.8</v>
      </c>
    </row>
    <row r="466" spans="1:36" x14ac:dyDescent="0.25">
      <c r="A466">
        <v>10465</v>
      </c>
      <c r="B466" t="s">
        <v>31</v>
      </c>
      <c r="C466" t="s">
        <v>65</v>
      </c>
      <c r="D466" t="s">
        <v>54</v>
      </c>
      <c r="E466" t="str">
        <f t="shared" si="91"/>
        <v>Emily Johnson is in Finance Department</v>
      </c>
      <c r="F466" s="6" t="str">
        <f t="shared" si="92"/>
        <v>emilyjohnson@gmail.com</v>
      </c>
      <c r="G466">
        <v>110402</v>
      </c>
      <c r="H466" t="str">
        <f t="shared" si="93"/>
        <v>High</v>
      </c>
      <c r="I466" s="3">
        <v>38505</v>
      </c>
      <c r="J466">
        <f t="shared" si="94"/>
        <v>2005</v>
      </c>
      <c r="K466">
        <f t="shared" si="95"/>
        <v>6</v>
      </c>
      <c r="L466">
        <f t="shared" si="96"/>
        <v>2</v>
      </c>
      <c r="M466" s="3">
        <f t="shared" ca="1" si="97"/>
        <v>46100</v>
      </c>
      <c r="N466">
        <f t="shared" ca="1" si="98"/>
        <v>7595</v>
      </c>
      <c r="O466">
        <f t="shared" ca="1" si="99"/>
        <v>7595</v>
      </c>
      <c r="P466">
        <f t="shared" ca="1" si="100"/>
        <v>5426</v>
      </c>
      <c r="Q466">
        <v>44</v>
      </c>
      <c r="R466" t="str">
        <f t="shared" si="101"/>
        <v>Old</v>
      </c>
      <c r="S466" t="s">
        <v>34</v>
      </c>
      <c r="T466">
        <v>4</v>
      </c>
      <c r="U466" t="s">
        <v>25</v>
      </c>
      <c r="V466">
        <v>7780.31</v>
      </c>
      <c r="W466" t="s">
        <v>35</v>
      </c>
      <c r="X466" t="s">
        <v>40</v>
      </c>
      <c r="Y466">
        <v>6</v>
      </c>
      <c r="Z466" t="str">
        <f t="shared" si="102"/>
        <v>Bad Employee</v>
      </c>
      <c r="AA466" t="b">
        <f t="shared" si="103"/>
        <v>0</v>
      </c>
      <c r="AB466" t="b">
        <f>OR(Y466&gt;20, T466&gt;6)</f>
        <v>0</v>
      </c>
      <c r="AC466" t="str">
        <f>IF(OR(Y466&gt;20,T466&gt;6), "Good employee", "Bad Employee")</f>
        <v>Bad Employee</v>
      </c>
      <c r="AD466" t="s">
        <v>56</v>
      </c>
      <c r="AE466" t="s">
        <v>59</v>
      </c>
      <c r="AF466">
        <v>4</v>
      </c>
      <c r="AG466">
        <v>2019</v>
      </c>
      <c r="AH466" t="s">
        <v>43</v>
      </c>
      <c r="AI466">
        <v>8</v>
      </c>
      <c r="AJ466">
        <v>2.5</v>
      </c>
    </row>
    <row r="467" spans="1:36" x14ac:dyDescent="0.25">
      <c r="A467">
        <v>10466</v>
      </c>
      <c r="B467" t="s">
        <v>21</v>
      </c>
      <c r="C467" t="s">
        <v>32</v>
      </c>
      <c r="D467" t="s">
        <v>54</v>
      </c>
      <c r="E467" t="str">
        <f t="shared" si="91"/>
        <v>Michael Wilson is in Finance Department</v>
      </c>
      <c r="F467" s="6" t="str">
        <f t="shared" si="92"/>
        <v>michaelwilson@gmail.com</v>
      </c>
      <c r="G467">
        <v>74348</v>
      </c>
      <c r="H467" t="str">
        <f t="shared" si="93"/>
        <v>Medium</v>
      </c>
      <c r="I467" s="3">
        <v>38262</v>
      </c>
      <c r="J467">
        <f t="shared" si="94"/>
        <v>2004</v>
      </c>
      <c r="K467">
        <f t="shared" si="95"/>
        <v>10</v>
      </c>
      <c r="L467">
        <f t="shared" si="96"/>
        <v>2</v>
      </c>
      <c r="M467" s="3">
        <f t="shared" ca="1" si="97"/>
        <v>46100</v>
      </c>
      <c r="N467">
        <f t="shared" ca="1" si="98"/>
        <v>7838</v>
      </c>
      <c r="O467">
        <f t="shared" ca="1" si="99"/>
        <v>7838</v>
      </c>
      <c r="P467">
        <f t="shared" ca="1" si="100"/>
        <v>5599</v>
      </c>
      <c r="Q467">
        <v>34</v>
      </c>
      <c r="R467" t="str">
        <f t="shared" si="101"/>
        <v>Old</v>
      </c>
      <c r="S467" t="s">
        <v>24</v>
      </c>
      <c r="T467">
        <v>9</v>
      </c>
      <c r="U467" t="s">
        <v>45</v>
      </c>
      <c r="V467">
        <v>4003.47</v>
      </c>
      <c r="W467" t="s">
        <v>46</v>
      </c>
      <c r="X467" t="s">
        <v>36</v>
      </c>
      <c r="Y467">
        <v>18</v>
      </c>
      <c r="Z467" t="str">
        <f t="shared" si="102"/>
        <v>Bad Employee</v>
      </c>
      <c r="AA467" t="b">
        <f t="shared" si="103"/>
        <v>0</v>
      </c>
      <c r="AB467" t="b">
        <f>OR(Y467&gt;20, T467&gt;6)</f>
        <v>1</v>
      </c>
      <c r="AC467" t="str">
        <f>IF(OR(Y467&gt;20,T467&gt;6), "Good employee", "Bad Employee")</f>
        <v>Good employee</v>
      </c>
      <c r="AD467" t="s">
        <v>28</v>
      </c>
      <c r="AE467" t="s">
        <v>48</v>
      </c>
      <c r="AF467">
        <v>7</v>
      </c>
      <c r="AG467">
        <v>2011</v>
      </c>
      <c r="AH467" t="s">
        <v>49</v>
      </c>
      <c r="AI467">
        <v>127</v>
      </c>
      <c r="AJ467">
        <v>1.2</v>
      </c>
    </row>
    <row r="468" spans="1:36" x14ac:dyDescent="0.25">
      <c r="A468">
        <v>10467</v>
      </c>
      <c r="B468" t="s">
        <v>53</v>
      </c>
      <c r="C468" t="s">
        <v>57</v>
      </c>
      <c r="D468" t="s">
        <v>54</v>
      </c>
      <c r="E468" t="str">
        <f t="shared" si="91"/>
        <v>Sarah Davis is in Finance Department</v>
      </c>
      <c r="F468" s="6" t="str">
        <f t="shared" si="92"/>
        <v>sarahdavis@gmail.com</v>
      </c>
      <c r="G468">
        <v>101187</v>
      </c>
      <c r="H468" t="str">
        <f t="shared" si="93"/>
        <v>High</v>
      </c>
      <c r="I468" s="3">
        <v>38978</v>
      </c>
      <c r="J468">
        <f t="shared" si="94"/>
        <v>2006</v>
      </c>
      <c r="K468">
        <f t="shared" si="95"/>
        <v>9</v>
      </c>
      <c r="L468">
        <f t="shared" si="96"/>
        <v>18</v>
      </c>
      <c r="M468" s="3">
        <f t="shared" ca="1" si="97"/>
        <v>46100</v>
      </c>
      <c r="N468">
        <f t="shared" ca="1" si="98"/>
        <v>7122</v>
      </c>
      <c r="O468">
        <f t="shared" ca="1" si="99"/>
        <v>7122</v>
      </c>
      <c r="P468">
        <f t="shared" ca="1" si="100"/>
        <v>5089</v>
      </c>
      <c r="Q468">
        <v>30</v>
      </c>
      <c r="R468" t="str">
        <f t="shared" si="101"/>
        <v>Young</v>
      </c>
      <c r="S468" t="s">
        <v>24</v>
      </c>
      <c r="T468">
        <v>8</v>
      </c>
      <c r="U468" t="s">
        <v>45</v>
      </c>
      <c r="V468">
        <v>2074.9499999999998</v>
      </c>
      <c r="W468" t="s">
        <v>58</v>
      </c>
      <c r="X468" t="s">
        <v>40</v>
      </c>
      <c r="Y468">
        <v>29</v>
      </c>
      <c r="Z468" t="str">
        <f t="shared" si="102"/>
        <v>Good Employee</v>
      </c>
      <c r="AA468" t="b">
        <f t="shared" si="103"/>
        <v>1</v>
      </c>
      <c r="AB468" t="b">
        <f>OR(Y468&gt;20, T468&gt;6)</f>
        <v>1</v>
      </c>
      <c r="AC468" t="str">
        <f>IF(OR(Y468&gt;20,T468&gt;6), "Good employee", "Bad Employee")</f>
        <v>Good employee</v>
      </c>
      <c r="AD468" t="s">
        <v>41</v>
      </c>
      <c r="AE468" t="s">
        <v>29</v>
      </c>
      <c r="AF468">
        <v>18</v>
      </c>
      <c r="AG468">
        <v>2011</v>
      </c>
      <c r="AH468" t="s">
        <v>30</v>
      </c>
      <c r="AI468">
        <v>46</v>
      </c>
      <c r="AJ468">
        <v>3.1</v>
      </c>
    </row>
    <row r="469" spans="1:36" x14ac:dyDescent="0.25">
      <c r="A469">
        <v>10468</v>
      </c>
      <c r="B469" t="s">
        <v>66</v>
      </c>
      <c r="C469" t="s">
        <v>65</v>
      </c>
      <c r="D469" t="s">
        <v>33</v>
      </c>
      <c r="E469" t="str">
        <f t="shared" si="91"/>
        <v>John Johnson is in Marketing Department</v>
      </c>
      <c r="F469" s="6" t="str">
        <f t="shared" si="92"/>
        <v>johnjohnson@gmail.com</v>
      </c>
      <c r="G469">
        <v>37273</v>
      </c>
      <c r="H469" t="str">
        <f t="shared" si="93"/>
        <v>extremely low</v>
      </c>
      <c r="I469" s="3">
        <v>41760</v>
      </c>
      <c r="J469">
        <f t="shared" si="94"/>
        <v>2014</v>
      </c>
      <c r="K469">
        <f t="shared" si="95"/>
        <v>5</v>
      </c>
      <c r="L469">
        <f t="shared" si="96"/>
        <v>1</v>
      </c>
      <c r="M469" s="3">
        <f t="shared" ca="1" si="97"/>
        <v>46100</v>
      </c>
      <c r="N469">
        <f t="shared" ca="1" si="98"/>
        <v>4340</v>
      </c>
      <c r="O469">
        <f t="shared" ca="1" si="99"/>
        <v>4340</v>
      </c>
      <c r="P469">
        <f t="shared" ca="1" si="100"/>
        <v>3101</v>
      </c>
      <c r="Q469">
        <v>42</v>
      </c>
      <c r="R469" t="str">
        <f t="shared" si="101"/>
        <v>Old</v>
      </c>
      <c r="S469" t="s">
        <v>24</v>
      </c>
      <c r="T469">
        <v>5</v>
      </c>
      <c r="U469" t="s">
        <v>25</v>
      </c>
      <c r="V469">
        <v>5281.55</v>
      </c>
      <c r="W469" t="s">
        <v>35</v>
      </c>
      <c r="X469" t="s">
        <v>27</v>
      </c>
      <c r="Y469">
        <v>25</v>
      </c>
      <c r="Z469" t="str">
        <f t="shared" si="102"/>
        <v>Bad Employee</v>
      </c>
      <c r="AA469" t="b">
        <f t="shared" si="103"/>
        <v>0</v>
      </c>
      <c r="AB469" t="b">
        <f>OR(Y469&gt;20, T469&gt;6)</f>
        <v>1</v>
      </c>
      <c r="AC469" t="str">
        <f>IF(OR(Y469&gt;20,T469&gt;6), "Good employee", "Bad Employee")</f>
        <v>Good employee</v>
      </c>
      <c r="AD469" t="s">
        <v>41</v>
      </c>
      <c r="AE469" t="s">
        <v>37</v>
      </c>
      <c r="AF469">
        <v>19</v>
      </c>
      <c r="AG469">
        <v>2016</v>
      </c>
      <c r="AH469" t="s">
        <v>49</v>
      </c>
      <c r="AI469">
        <v>173</v>
      </c>
      <c r="AJ469">
        <v>1.3</v>
      </c>
    </row>
    <row r="470" spans="1:36" x14ac:dyDescent="0.25">
      <c r="A470">
        <v>10469</v>
      </c>
      <c r="B470" t="s">
        <v>38</v>
      </c>
      <c r="C470" t="s">
        <v>57</v>
      </c>
      <c r="D470" t="s">
        <v>44</v>
      </c>
      <c r="E470" t="str">
        <f t="shared" si="91"/>
        <v>Chris Davis is in Sales Department</v>
      </c>
      <c r="F470" s="6" t="str">
        <f t="shared" si="92"/>
        <v>chrisdavis@gmail.com</v>
      </c>
      <c r="G470">
        <v>94236</v>
      </c>
      <c r="H470" t="str">
        <f t="shared" si="93"/>
        <v>High</v>
      </c>
      <c r="I470" s="3">
        <v>38444</v>
      </c>
      <c r="J470">
        <f t="shared" si="94"/>
        <v>2005</v>
      </c>
      <c r="K470">
        <f t="shared" si="95"/>
        <v>4</v>
      </c>
      <c r="L470">
        <f t="shared" si="96"/>
        <v>2</v>
      </c>
      <c r="M470" s="3">
        <f t="shared" ca="1" si="97"/>
        <v>46100</v>
      </c>
      <c r="N470">
        <f t="shared" ca="1" si="98"/>
        <v>7656</v>
      </c>
      <c r="O470">
        <f t="shared" ca="1" si="99"/>
        <v>7656</v>
      </c>
      <c r="P470">
        <f t="shared" ca="1" si="100"/>
        <v>5469</v>
      </c>
      <c r="Q470">
        <v>62</v>
      </c>
      <c r="R470" t="str">
        <f t="shared" si="101"/>
        <v>Old</v>
      </c>
      <c r="S470" t="s">
        <v>34</v>
      </c>
      <c r="T470">
        <v>6</v>
      </c>
      <c r="U470" t="s">
        <v>45</v>
      </c>
      <c r="V470">
        <v>6695.35</v>
      </c>
      <c r="W470" t="s">
        <v>46</v>
      </c>
      <c r="X470" t="s">
        <v>55</v>
      </c>
      <c r="Y470">
        <v>2</v>
      </c>
      <c r="Z470" t="str">
        <f t="shared" si="102"/>
        <v>Bad Employee</v>
      </c>
      <c r="AA470" t="b">
        <f t="shared" si="103"/>
        <v>0</v>
      </c>
      <c r="AB470" t="b">
        <f>OR(Y470&gt;20, T470&gt;6)</f>
        <v>0</v>
      </c>
      <c r="AC470" t="str">
        <f>IF(OR(Y470&gt;20,T470&gt;6), "Good employee", "Bad Employee")</f>
        <v>Bad Employee</v>
      </c>
      <c r="AD470" t="s">
        <v>41</v>
      </c>
      <c r="AE470" t="s">
        <v>29</v>
      </c>
      <c r="AF470">
        <v>11</v>
      </c>
      <c r="AG470">
        <v>2010</v>
      </c>
      <c r="AH470" t="s">
        <v>49</v>
      </c>
      <c r="AI470">
        <v>168</v>
      </c>
      <c r="AJ470">
        <v>4.2</v>
      </c>
    </row>
    <row r="471" spans="1:36" x14ac:dyDescent="0.25">
      <c r="A471">
        <v>10470</v>
      </c>
      <c r="B471" t="s">
        <v>31</v>
      </c>
      <c r="C471" t="s">
        <v>63</v>
      </c>
      <c r="D471" t="s">
        <v>52</v>
      </c>
      <c r="E471" t="str">
        <f t="shared" si="91"/>
        <v>Emily Miller is in Operations Department</v>
      </c>
      <c r="F471" s="6" t="str">
        <f t="shared" si="92"/>
        <v>emilymiller@gmail.com</v>
      </c>
      <c r="G471">
        <v>105569</v>
      </c>
      <c r="H471" t="str">
        <f t="shared" si="93"/>
        <v>High</v>
      </c>
      <c r="I471" s="3">
        <v>37226</v>
      </c>
      <c r="J471">
        <f t="shared" si="94"/>
        <v>2001</v>
      </c>
      <c r="K471">
        <f t="shared" si="95"/>
        <v>12</v>
      </c>
      <c r="L471">
        <f t="shared" si="96"/>
        <v>1</v>
      </c>
      <c r="M471" s="3">
        <f t="shared" ca="1" si="97"/>
        <v>46100</v>
      </c>
      <c r="N471">
        <f t="shared" ca="1" si="98"/>
        <v>8874</v>
      </c>
      <c r="O471">
        <f t="shared" ca="1" si="99"/>
        <v>8874</v>
      </c>
      <c r="P471">
        <f t="shared" ca="1" si="100"/>
        <v>6339</v>
      </c>
      <c r="Q471">
        <v>29</v>
      </c>
      <c r="R471" t="str">
        <f t="shared" si="101"/>
        <v>Young</v>
      </c>
      <c r="S471" t="s">
        <v>34</v>
      </c>
      <c r="T471">
        <v>5</v>
      </c>
      <c r="U471" t="s">
        <v>25</v>
      </c>
      <c r="V471">
        <v>925.85</v>
      </c>
      <c r="W471" t="s">
        <v>46</v>
      </c>
      <c r="X471" t="s">
        <v>55</v>
      </c>
      <c r="Y471">
        <v>32</v>
      </c>
      <c r="Z471" t="str">
        <f t="shared" si="102"/>
        <v>Bad Employee</v>
      </c>
      <c r="AA471" t="b">
        <f t="shared" si="103"/>
        <v>0</v>
      </c>
      <c r="AB471" t="b">
        <f>OR(Y471&gt;20, T471&gt;6)</f>
        <v>1</v>
      </c>
      <c r="AC471" t="str">
        <f>IF(OR(Y471&gt;20,T471&gt;6), "Good employee", "Bad Employee")</f>
        <v>Good employee</v>
      </c>
      <c r="AD471" t="s">
        <v>28</v>
      </c>
      <c r="AE471" t="s">
        <v>48</v>
      </c>
      <c r="AF471">
        <v>7</v>
      </c>
      <c r="AG471">
        <v>2012</v>
      </c>
      <c r="AH471" t="s">
        <v>49</v>
      </c>
      <c r="AI471">
        <v>28</v>
      </c>
      <c r="AJ471">
        <v>3.8</v>
      </c>
    </row>
    <row r="472" spans="1:36" x14ac:dyDescent="0.25">
      <c r="A472">
        <v>10471</v>
      </c>
      <c r="B472" t="s">
        <v>38</v>
      </c>
      <c r="C472" t="s">
        <v>57</v>
      </c>
      <c r="D472" t="s">
        <v>33</v>
      </c>
      <c r="E472" t="str">
        <f t="shared" si="91"/>
        <v>Chris Davis is in Marketing Department</v>
      </c>
      <c r="F472" s="6" t="str">
        <f t="shared" si="92"/>
        <v>chrisdavis@gmail.com</v>
      </c>
      <c r="G472">
        <v>33535</v>
      </c>
      <c r="H472" t="str">
        <f t="shared" si="93"/>
        <v>extremely low</v>
      </c>
      <c r="I472" s="3">
        <v>43649</v>
      </c>
      <c r="J472">
        <f t="shared" si="94"/>
        <v>2019</v>
      </c>
      <c r="K472">
        <f t="shared" si="95"/>
        <v>7</v>
      </c>
      <c r="L472">
        <f t="shared" si="96"/>
        <v>3</v>
      </c>
      <c r="M472" s="3">
        <f t="shared" ca="1" si="97"/>
        <v>46100</v>
      </c>
      <c r="N472">
        <f t="shared" ca="1" si="98"/>
        <v>2451</v>
      </c>
      <c r="O472">
        <f t="shared" ca="1" si="99"/>
        <v>2451</v>
      </c>
      <c r="P472">
        <f t="shared" ca="1" si="100"/>
        <v>1752</v>
      </c>
      <c r="Q472">
        <v>38</v>
      </c>
      <c r="R472" t="str">
        <f t="shared" si="101"/>
        <v>Old</v>
      </c>
      <c r="S472" t="s">
        <v>34</v>
      </c>
      <c r="T472">
        <v>6</v>
      </c>
      <c r="U472" t="s">
        <v>25</v>
      </c>
      <c r="V472">
        <v>3270.41</v>
      </c>
      <c r="W472" t="s">
        <v>35</v>
      </c>
      <c r="X472" t="s">
        <v>40</v>
      </c>
      <c r="Y472">
        <v>36</v>
      </c>
      <c r="Z472" t="str">
        <f t="shared" si="102"/>
        <v>Bad Employee</v>
      </c>
      <c r="AA472" t="b">
        <f t="shared" si="103"/>
        <v>0</v>
      </c>
      <c r="AB472" t="b">
        <f>OR(Y472&gt;20, T472&gt;6)</f>
        <v>1</v>
      </c>
      <c r="AC472" t="str">
        <f>IF(OR(Y472&gt;20,T472&gt;6), "Good employee", "Bad Employee")</f>
        <v>Good employee</v>
      </c>
      <c r="AD472" t="s">
        <v>56</v>
      </c>
      <c r="AE472" t="s">
        <v>59</v>
      </c>
      <c r="AF472">
        <v>7</v>
      </c>
      <c r="AG472">
        <v>2014</v>
      </c>
      <c r="AH472" t="s">
        <v>30</v>
      </c>
      <c r="AI472">
        <v>137</v>
      </c>
      <c r="AJ472">
        <v>2.4</v>
      </c>
    </row>
    <row r="473" spans="1:36" x14ac:dyDescent="0.25">
      <c r="A473">
        <v>10472</v>
      </c>
      <c r="B473" t="s">
        <v>53</v>
      </c>
      <c r="C473" t="s">
        <v>63</v>
      </c>
      <c r="D473" t="s">
        <v>33</v>
      </c>
      <c r="E473" t="str">
        <f t="shared" si="91"/>
        <v>Sarah Miller is in Marketing Department</v>
      </c>
      <c r="F473" s="6" t="str">
        <f t="shared" si="92"/>
        <v>sarahmiller@gmail.com</v>
      </c>
      <c r="G473">
        <v>48677</v>
      </c>
      <c r="H473" t="str">
        <f t="shared" si="93"/>
        <v>low</v>
      </c>
      <c r="I473" s="3">
        <v>40572</v>
      </c>
      <c r="J473">
        <f t="shared" si="94"/>
        <v>2011</v>
      </c>
      <c r="K473">
        <f t="shared" si="95"/>
        <v>1</v>
      </c>
      <c r="L473">
        <f t="shared" si="96"/>
        <v>29</v>
      </c>
      <c r="M473" s="3">
        <f t="shared" ca="1" si="97"/>
        <v>46100</v>
      </c>
      <c r="N473">
        <f t="shared" ca="1" si="98"/>
        <v>5528</v>
      </c>
      <c r="O473">
        <f t="shared" ca="1" si="99"/>
        <v>5528</v>
      </c>
      <c r="P473">
        <f t="shared" ca="1" si="100"/>
        <v>3949</v>
      </c>
      <c r="Q473">
        <v>37</v>
      </c>
      <c r="R473" t="str">
        <f t="shared" si="101"/>
        <v>Old</v>
      </c>
      <c r="S473" t="s">
        <v>34</v>
      </c>
      <c r="T473">
        <v>1</v>
      </c>
      <c r="U473" t="s">
        <v>45</v>
      </c>
      <c r="V473">
        <v>8189.51</v>
      </c>
      <c r="W473" t="s">
        <v>46</v>
      </c>
      <c r="X473" t="s">
        <v>55</v>
      </c>
      <c r="Y473">
        <v>32</v>
      </c>
      <c r="Z473" t="str">
        <f t="shared" si="102"/>
        <v>Bad Employee</v>
      </c>
      <c r="AA473" t="b">
        <f t="shared" si="103"/>
        <v>0</v>
      </c>
      <c r="AB473" t="b">
        <f>OR(Y473&gt;20, T473&gt;6)</f>
        <v>1</v>
      </c>
      <c r="AC473" t="str">
        <f>IF(OR(Y473&gt;20,T473&gt;6), "Good employee", "Bad Employee")</f>
        <v>Good employee</v>
      </c>
      <c r="AD473" t="s">
        <v>28</v>
      </c>
      <c r="AE473" t="s">
        <v>48</v>
      </c>
      <c r="AF473">
        <v>5</v>
      </c>
      <c r="AG473">
        <v>2021</v>
      </c>
      <c r="AH473" t="s">
        <v>43</v>
      </c>
      <c r="AI473">
        <v>189</v>
      </c>
      <c r="AJ473">
        <v>3.6</v>
      </c>
    </row>
    <row r="474" spans="1:36" x14ac:dyDescent="0.25">
      <c r="A474">
        <v>10473</v>
      </c>
      <c r="B474" t="s">
        <v>50</v>
      </c>
      <c r="C474" t="s">
        <v>63</v>
      </c>
      <c r="D474" t="s">
        <v>23</v>
      </c>
      <c r="E474" t="str">
        <f t="shared" si="91"/>
        <v>Alex Miller is in HR Department</v>
      </c>
      <c r="F474" s="6" t="str">
        <f t="shared" si="92"/>
        <v>alexmiller@gmail.com</v>
      </c>
      <c r="G474">
        <v>113024</v>
      </c>
      <c r="H474" t="str">
        <f t="shared" si="93"/>
        <v>High</v>
      </c>
      <c r="I474" s="3">
        <v>38599</v>
      </c>
      <c r="J474">
        <f t="shared" si="94"/>
        <v>2005</v>
      </c>
      <c r="K474">
        <f t="shared" si="95"/>
        <v>9</v>
      </c>
      <c r="L474">
        <f t="shared" si="96"/>
        <v>4</v>
      </c>
      <c r="M474" s="3">
        <f t="shared" ca="1" si="97"/>
        <v>46100</v>
      </c>
      <c r="N474">
        <f t="shared" ca="1" si="98"/>
        <v>7501</v>
      </c>
      <c r="O474">
        <f t="shared" ca="1" si="99"/>
        <v>7501</v>
      </c>
      <c r="P474">
        <f t="shared" ca="1" si="100"/>
        <v>5359</v>
      </c>
      <c r="Q474">
        <v>37</v>
      </c>
      <c r="R474" t="str">
        <f t="shared" si="101"/>
        <v>Old</v>
      </c>
      <c r="S474" t="s">
        <v>24</v>
      </c>
      <c r="T474">
        <v>4</v>
      </c>
      <c r="U474" t="s">
        <v>45</v>
      </c>
      <c r="V474">
        <v>5442.32</v>
      </c>
      <c r="W474" t="s">
        <v>35</v>
      </c>
      <c r="X474" t="s">
        <v>40</v>
      </c>
      <c r="Y474">
        <v>20</v>
      </c>
      <c r="Z474" t="str">
        <f t="shared" si="102"/>
        <v>Bad Employee</v>
      </c>
      <c r="AA474" t="b">
        <f t="shared" si="103"/>
        <v>0</v>
      </c>
      <c r="AB474" t="b">
        <f>OR(Y474&gt;20, T474&gt;6)</f>
        <v>0</v>
      </c>
      <c r="AC474" t="str">
        <f>IF(OR(Y474&gt;20,T474&gt;6), "Good employee", "Bad Employee")</f>
        <v>Bad Employee</v>
      </c>
      <c r="AD474" t="s">
        <v>41</v>
      </c>
      <c r="AE474" t="s">
        <v>62</v>
      </c>
      <c r="AF474">
        <v>19</v>
      </c>
      <c r="AG474">
        <v>2016</v>
      </c>
      <c r="AH474" t="s">
        <v>49</v>
      </c>
      <c r="AI474">
        <v>71</v>
      </c>
      <c r="AJ474">
        <v>1.9</v>
      </c>
    </row>
    <row r="475" spans="1:36" x14ac:dyDescent="0.25">
      <c r="A475">
        <v>10474</v>
      </c>
      <c r="B475" t="s">
        <v>31</v>
      </c>
      <c r="C475" t="s">
        <v>63</v>
      </c>
      <c r="D475" t="s">
        <v>23</v>
      </c>
      <c r="E475" t="str">
        <f t="shared" si="91"/>
        <v>Emily Miller is in HR Department</v>
      </c>
      <c r="F475" s="6" t="str">
        <f t="shared" si="92"/>
        <v>emilymiller@gmail.com</v>
      </c>
      <c r="G475">
        <v>30908</v>
      </c>
      <c r="H475" t="str">
        <f t="shared" si="93"/>
        <v>extremely low</v>
      </c>
      <c r="I475" s="3">
        <v>41187</v>
      </c>
      <c r="J475">
        <f t="shared" si="94"/>
        <v>2012</v>
      </c>
      <c r="K475">
        <f t="shared" si="95"/>
        <v>10</v>
      </c>
      <c r="L475">
        <f t="shared" si="96"/>
        <v>5</v>
      </c>
      <c r="M475" s="3">
        <f t="shared" ca="1" si="97"/>
        <v>46100</v>
      </c>
      <c r="N475">
        <f t="shared" ca="1" si="98"/>
        <v>4913</v>
      </c>
      <c r="O475">
        <f t="shared" ca="1" si="99"/>
        <v>4913</v>
      </c>
      <c r="P475">
        <f t="shared" ca="1" si="100"/>
        <v>3510</v>
      </c>
      <c r="Q475">
        <v>49</v>
      </c>
      <c r="R475" t="str">
        <f t="shared" si="101"/>
        <v>Old</v>
      </c>
      <c r="S475" t="s">
        <v>24</v>
      </c>
      <c r="T475">
        <v>9</v>
      </c>
      <c r="U475" t="s">
        <v>45</v>
      </c>
      <c r="V475">
        <v>836.1</v>
      </c>
      <c r="W475" t="s">
        <v>35</v>
      </c>
      <c r="X475" t="s">
        <v>40</v>
      </c>
      <c r="Y475">
        <v>37</v>
      </c>
      <c r="Z475" t="str">
        <f t="shared" si="102"/>
        <v>Good Employee</v>
      </c>
      <c r="AA475" t="b">
        <f t="shared" si="103"/>
        <v>1</v>
      </c>
      <c r="AB475" t="b">
        <f>OR(Y475&gt;20, T475&gt;6)</f>
        <v>1</v>
      </c>
      <c r="AC475" t="str">
        <f>IF(OR(Y475&gt;20,T475&gt;6), "Good employee", "Bad Employee")</f>
        <v>Good employee</v>
      </c>
      <c r="AD475" t="s">
        <v>41</v>
      </c>
      <c r="AE475" t="s">
        <v>29</v>
      </c>
      <c r="AF475">
        <v>8</v>
      </c>
      <c r="AG475">
        <v>2023</v>
      </c>
      <c r="AH475" t="s">
        <v>43</v>
      </c>
      <c r="AI475">
        <v>15</v>
      </c>
      <c r="AJ475">
        <v>2.1</v>
      </c>
    </row>
    <row r="476" spans="1:36" x14ac:dyDescent="0.25">
      <c r="A476">
        <v>10475</v>
      </c>
      <c r="B476" t="s">
        <v>50</v>
      </c>
      <c r="C476" t="s">
        <v>63</v>
      </c>
      <c r="D476" t="s">
        <v>23</v>
      </c>
      <c r="E476" t="str">
        <f t="shared" si="91"/>
        <v>Alex Miller is in HR Department</v>
      </c>
      <c r="F476" s="6" t="str">
        <f t="shared" si="92"/>
        <v>alexmiller@gmail.com</v>
      </c>
      <c r="G476">
        <v>100153</v>
      </c>
      <c r="H476" t="str">
        <f t="shared" si="93"/>
        <v>High</v>
      </c>
      <c r="I476" s="3">
        <v>40279</v>
      </c>
      <c r="J476">
        <f t="shared" si="94"/>
        <v>2010</v>
      </c>
      <c r="K476">
        <f t="shared" si="95"/>
        <v>4</v>
      </c>
      <c r="L476">
        <f t="shared" si="96"/>
        <v>11</v>
      </c>
      <c r="M476" s="3">
        <f t="shared" ca="1" si="97"/>
        <v>46100</v>
      </c>
      <c r="N476">
        <f t="shared" ca="1" si="98"/>
        <v>5821</v>
      </c>
      <c r="O476">
        <f t="shared" ca="1" si="99"/>
        <v>5821</v>
      </c>
      <c r="P476">
        <f t="shared" ca="1" si="100"/>
        <v>4159</v>
      </c>
      <c r="Q476">
        <v>37</v>
      </c>
      <c r="R476" t="str">
        <f t="shared" si="101"/>
        <v>Old</v>
      </c>
      <c r="S476" t="s">
        <v>24</v>
      </c>
      <c r="T476">
        <v>4</v>
      </c>
      <c r="U476" t="s">
        <v>25</v>
      </c>
      <c r="V476">
        <v>3178.53</v>
      </c>
      <c r="W476" t="s">
        <v>58</v>
      </c>
      <c r="X476" t="s">
        <v>36</v>
      </c>
      <c r="Y476">
        <v>38</v>
      </c>
      <c r="Z476" t="str">
        <f t="shared" si="102"/>
        <v>Bad Employee</v>
      </c>
      <c r="AA476" t="b">
        <f t="shared" si="103"/>
        <v>0</v>
      </c>
      <c r="AB476" t="b">
        <f>OR(Y476&gt;20, T476&gt;6)</f>
        <v>1</v>
      </c>
      <c r="AC476" t="str">
        <f>IF(OR(Y476&gt;20,T476&gt;6), "Good employee", "Bad Employee")</f>
        <v>Good employee</v>
      </c>
      <c r="AD476" t="s">
        <v>41</v>
      </c>
      <c r="AE476" t="s">
        <v>62</v>
      </c>
      <c r="AF476">
        <v>1</v>
      </c>
      <c r="AG476">
        <v>2015</v>
      </c>
      <c r="AH476" t="s">
        <v>43</v>
      </c>
      <c r="AI476">
        <v>177</v>
      </c>
      <c r="AJ476">
        <v>2.2999999999999998</v>
      </c>
    </row>
    <row r="477" spans="1:36" x14ac:dyDescent="0.25">
      <c r="A477">
        <v>10476</v>
      </c>
      <c r="B477" t="s">
        <v>53</v>
      </c>
      <c r="C477" t="s">
        <v>63</v>
      </c>
      <c r="D477" t="s">
        <v>39</v>
      </c>
      <c r="E477" t="str">
        <f t="shared" si="91"/>
        <v>Sarah Miller is in IT Department</v>
      </c>
      <c r="F477" s="6" t="str">
        <f t="shared" si="92"/>
        <v>sarahmiller@gmail.com</v>
      </c>
      <c r="G477">
        <v>118989</v>
      </c>
      <c r="H477" t="str">
        <f t="shared" si="93"/>
        <v>High</v>
      </c>
      <c r="I477" s="3">
        <v>36920</v>
      </c>
      <c r="J477">
        <f t="shared" si="94"/>
        <v>2001</v>
      </c>
      <c r="K477">
        <f t="shared" si="95"/>
        <v>1</v>
      </c>
      <c r="L477">
        <f t="shared" si="96"/>
        <v>29</v>
      </c>
      <c r="M477" s="3">
        <f t="shared" ca="1" si="97"/>
        <v>46100</v>
      </c>
      <c r="N477">
        <f t="shared" ca="1" si="98"/>
        <v>9180</v>
      </c>
      <c r="O477">
        <f t="shared" ca="1" si="99"/>
        <v>9180</v>
      </c>
      <c r="P477">
        <f t="shared" ca="1" si="100"/>
        <v>6559</v>
      </c>
      <c r="Q477">
        <v>35</v>
      </c>
      <c r="R477" t="str">
        <f t="shared" si="101"/>
        <v>Old</v>
      </c>
      <c r="S477" t="s">
        <v>24</v>
      </c>
      <c r="T477">
        <v>2</v>
      </c>
      <c r="U477" t="s">
        <v>25</v>
      </c>
      <c r="V477">
        <v>6571.84</v>
      </c>
      <c r="W477" t="s">
        <v>26</v>
      </c>
      <c r="X477" t="s">
        <v>40</v>
      </c>
      <c r="Y477">
        <v>33</v>
      </c>
      <c r="Z477" t="str">
        <f t="shared" si="102"/>
        <v>Bad Employee</v>
      </c>
      <c r="AA477" t="b">
        <f t="shared" si="103"/>
        <v>0</v>
      </c>
      <c r="AB477" t="b">
        <f>OR(Y477&gt;20, T477&gt;6)</f>
        <v>1</v>
      </c>
      <c r="AC477" t="str">
        <f>IF(OR(Y477&gt;20,T477&gt;6), "Good employee", "Bad Employee")</f>
        <v>Good employee</v>
      </c>
      <c r="AD477" t="s">
        <v>28</v>
      </c>
      <c r="AE477" t="s">
        <v>29</v>
      </c>
      <c r="AF477">
        <v>17</v>
      </c>
      <c r="AG477">
        <v>2017</v>
      </c>
      <c r="AH477" t="s">
        <v>30</v>
      </c>
      <c r="AI477">
        <v>100</v>
      </c>
      <c r="AJ477">
        <v>4.2</v>
      </c>
    </row>
    <row r="478" spans="1:36" x14ac:dyDescent="0.25">
      <c r="A478">
        <v>10477</v>
      </c>
      <c r="B478" t="s">
        <v>66</v>
      </c>
      <c r="C478" t="s">
        <v>65</v>
      </c>
      <c r="D478" t="s">
        <v>23</v>
      </c>
      <c r="E478" t="str">
        <f t="shared" si="91"/>
        <v>John Johnson is in HR Department</v>
      </c>
      <c r="F478" s="6" t="str">
        <f t="shared" si="92"/>
        <v>johnjohnson@gmail.com</v>
      </c>
      <c r="G478">
        <v>65079</v>
      </c>
      <c r="H478" t="str">
        <f t="shared" si="93"/>
        <v>Medium</v>
      </c>
      <c r="I478" s="3">
        <v>38482</v>
      </c>
      <c r="J478">
        <f t="shared" si="94"/>
        <v>2005</v>
      </c>
      <c r="K478">
        <f t="shared" si="95"/>
        <v>5</v>
      </c>
      <c r="L478">
        <f t="shared" si="96"/>
        <v>10</v>
      </c>
      <c r="M478" s="3">
        <f t="shared" ca="1" si="97"/>
        <v>46100</v>
      </c>
      <c r="N478">
        <f t="shared" ca="1" si="98"/>
        <v>7618</v>
      </c>
      <c r="O478">
        <f t="shared" ca="1" si="99"/>
        <v>7618</v>
      </c>
      <c r="P478">
        <f t="shared" ca="1" si="100"/>
        <v>5443</v>
      </c>
      <c r="Q478">
        <v>59</v>
      </c>
      <c r="R478" t="str">
        <f t="shared" si="101"/>
        <v>Old</v>
      </c>
      <c r="S478" t="s">
        <v>24</v>
      </c>
      <c r="T478">
        <v>6</v>
      </c>
      <c r="U478" t="s">
        <v>25</v>
      </c>
      <c r="V478">
        <v>2393.91</v>
      </c>
      <c r="W478" t="s">
        <v>35</v>
      </c>
      <c r="X478" t="s">
        <v>55</v>
      </c>
      <c r="Y478">
        <v>5</v>
      </c>
      <c r="Z478" t="str">
        <f t="shared" si="102"/>
        <v>Bad Employee</v>
      </c>
      <c r="AA478" t="b">
        <f t="shared" si="103"/>
        <v>0</v>
      </c>
      <c r="AB478" t="b">
        <f>OR(Y478&gt;20, T478&gt;6)</f>
        <v>0</v>
      </c>
      <c r="AC478" t="str">
        <f>IF(OR(Y478&gt;20,T478&gt;6), "Good employee", "Bad Employee")</f>
        <v>Bad Employee</v>
      </c>
      <c r="AD478" t="s">
        <v>56</v>
      </c>
      <c r="AE478" t="s">
        <v>62</v>
      </c>
      <c r="AF478">
        <v>0</v>
      </c>
      <c r="AG478">
        <v>2010</v>
      </c>
      <c r="AH478" t="s">
        <v>43</v>
      </c>
      <c r="AI478">
        <v>26</v>
      </c>
      <c r="AJ478">
        <v>1.8</v>
      </c>
    </row>
    <row r="479" spans="1:36" x14ac:dyDescent="0.25">
      <c r="A479">
        <v>10478</v>
      </c>
      <c r="B479" t="s">
        <v>53</v>
      </c>
      <c r="C479" t="s">
        <v>63</v>
      </c>
      <c r="D479" t="s">
        <v>52</v>
      </c>
      <c r="E479" t="str">
        <f t="shared" si="91"/>
        <v>Sarah Miller is in Operations Department</v>
      </c>
      <c r="F479" s="6" t="str">
        <f t="shared" si="92"/>
        <v>sarahmiller@gmail.com</v>
      </c>
      <c r="G479">
        <v>111556</v>
      </c>
      <c r="H479" t="str">
        <f t="shared" si="93"/>
        <v>High</v>
      </c>
      <c r="I479" s="3">
        <v>39574</v>
      </c>
      <c r="J479">
        <f t="shared" si="94"/>
        <v>2008</v>
      </c>
      <c r="K479">
        <f t="shared" si="95"/>
        <v>5</v>
      </c>
      <c r="L479">
        <f t="shared" si="96"/>
        <v>6</v>
      </c>
      <c r="M479" s="3">
        <f t="shared" ca="1" si="97"/>
        <v>46100</v>
      </c>
      <c r="N479">
        <f t="shared" ca="1" si="98"/>
        <v>6526</v>
      </c>
      <c r="O479">
        <f t="shared" ca="1" si="99"/>
        <v>6526</v>
      </c>
      <c r="P479">
        <f t="shared" ca="1" si="100"/>
        <v>4663</v>
      </c>
      <c r="Q479">
        <v>41</v>
      </c>
      <c r="R479" t="str">
        <f t="shared" si="101"/>
        <v>Old</v>
      </c>
      <c r="S479" t="s">
        <v>24</v>
      </c>
      <c r="T479">
        <v>2</v>
      </c>
      <c r="U479" t="s">
        <v>45</v>
      </c>
      <c r="V479">
        <v>8360.2199999999993</v>
      </c>
      <c r="W479" t="s">
        <v>58</v>
      </c>
      <c r="X479" t="s">
        <v>27</v>
      </c>
      <c r="Y479">
        <v>6</v>
      </c>
      <c r="Z479" t="str">
        <f t="shared" si="102"/>
        <v>Bad Employee</v>
      </c>
      <c r="AA479" t="b">
        <f t="shared" si="103"/>
        <v>0</v>
      </c>
      <c r="AB479" t="b">
        <f>OR(Y479&gt;20, T479&gt;6)</f>
        <v>0</v>
      </c>
      <c r="AC479" t="str">
        <f>IF(OR(Y479&gt;20,T479&gt;6), "Good employee", "Bad Employee")</f>
        <v>Bad Employee</v>
      </c>
      <c r="AD479" t="s">
        <v>28</v>
      </c>
      <c r="AE479" t="s">
        <v>29</v>
      </c>
      <c r="AF479">
        <v>10</v>
      </c>
      <c r="AG479">
        <v>2016</v>
      </c>
      <c r="AH479" t="s">
        <v>43</v>
      </c>
      <c r="AI479">
        <v>143</v>
      </c>
      <c r="AJ479">
        <v>3.3</v>
      </c>
    </row>
    <row r="480" spans="1:36" x14ac:dyDescent="0.25">
      <c r="A480">
        <v>10479</v>
      </c>
      <c r="B480" t="s">
        <v>66</v>
      </c>
      <c r="C480" t="s">
        <v>65</v>
      </c>
      <c r="D480" t="s">
        <v>33</v>
      </c>
      <c r="E480" t="str">
        <f t="shared" si="91"/>
        <v>John Johnson is in Marketing Department</v>
      </c>
      <c r="F480" s="6" t="str">
        <f t="shared" si="92"/>
        <v>johnjohnson@gmail.com</v>
      </c>
      <c r="G480">
        <v>79323</v>
      </c>
      <c r="H480" t="str">
        <f t="shared" si="93"/>
        <v>Medium</v>
      </c>
      <c r="I480" s="3">
        <v>39978</v>
      </c>
      <c r="J480">
        <f t="shared" si="94"/>
        <v>2009</v>
      </c>
      <c r="K480">
        <f t="shared" si="95"/>
        <v>6</v>
      </c>
      <c r="L480">
        <f t="shared" si="96"/>
        <v>14</v>
      </c>
      <c r="M480" s="3">
        <f t="shared" ca="1" si="97"/>
        <v>46100</v>
      </c>
      <c r="N480">
        <f t="shared" ca="1" si="98"/>
        <v>6122</v>
      </c>
      <c r="O480">
        <f t="shared" ca="1" si="99"/>
        <v>6122</v>
      </c>
      <c r="P480">
        <f t="shared" ca="1" si="100"/>
        <v>4374</v>
      </c>
      <c r="Q480">
        <v>62</v>
      </c>
      <c r="R480" t="str">
        <f t="shared" si="101"/>
        <v>Old</v>
      </c>
      <c r="S480" t="s">
        <v>34</v>
      </c>
      <c r="T480">
        <v>3</v>
      </c>
      <c r="U480" t="s">
        <v>45</v>
      </c>
      <c r="V480">
        <v>6927.47</v>
      </c>
      <c r="W480" t="s">
        <v>46</v>
      </c>
      <c r="X480" t="s">
        <v>47</v>
      </c>
      <c r="Y480">
        <v>22</v>
      </c>
      <c r="Z480" t="str">
        <f t="shared" si="102"/>
        <v>Bad Employee</v>
      </c>
      <c r="AA480" t="b">
        <f t="shared" si="103"/>
        <v>0</v>
      </c>
      <c r="AB480" t="b">
        <f>OR(Y480&gt;20, T480&gt;6)</f>
        <v>1</v>
      </c>
      <c r="AC480" t="str">
        <f>IF(OR(Y480&gt;20,T480&gt;6), "Good employee", "Bad Employee")</f>
        <v>Good employee</v>
      </c>
      <c r="AD480" t="s">
        <v>41</v>
      </c>
      <c r="AE480" t="s">
        <v>37</v>
      </c>
      <c r="AF480">
        <v>14</v>
      </c>
      <c r="AG480">
        <v>2018</v>
      </c>
      <c r="AH480" t="s">
        <v>49</v>
      </c>
      <c r="AI480">
        <v>170</v>
      </c>
      <c r="AJ480">
        <v>1.8</v>
      </c>
    </row>
    <row r="481" spans="1:36" x14ac:dyDescent="0.25">
      <c r="A481">
        <v>10480</v>
      </c>
      <c r="B481" t="s">
        <v>31</v>
      </c>
      <c r="C481" t="s">
        <v>63</v>
      </c>
      <c r="D481" t="s">
        <v>52</v>
      </c>
      <c r="E481" t="str">
        <f t="shared" si="91"/>
        <v>Emily Miller is in Operations Department</v>
      </c>
      <c r="F481" s="6" t="str">
        <f t="shared" si="92"/>
        <v>emilymiller@gmail.com</v>
      </c>
      <c r="G481">
        <v>75320</v>
      </c>
      <c r="H481" t="str">
        <f t="shared" si="93"/>
        <v>Medium</v>
      </c>
      <c r="I481" s="3">
        <v>37048</v>
      </c>
      <c r="J481">
        <f t="shared" si="94"/>
        <v>2001</v>
      </c>
      <c r="K481">
        <f t="shared" si="95"/>
        <v>6</v>
      </c>
      <c r="L481">
        <f t="shared" si="96"/>
        <v>6</v>
      </c>
      <c r="M481" s="3">
        <f t="shared" ca="1" si="97"/>
        <v>46100</v>
      </c>
      <c r="N481">
        <f t="shared" ca="1" si="98"/>
        <v>9052</v>
      </c>
      <c r="O481">
        <f t="shared" ca="1" si="99"/>
        <v>9052</v>
      </c>
      <c r="P481">
        <f t="shared" ca="1" si="100"/>
        <v>6467</v>
      </c>
      <c r="Q481">
        <v>55</v>
      </c>
      <c r="R481" t="str">
        <f t="shared" si="101"/>
        <v>Old</v>
      </c>
      <c r="S481" t="s">
        <v>34</v>
      </c>
      <c r="T481">
        <v>7</v>
      </c>
      <c r="U481" t="s">
        <v>25</v>
      </c>
      <c r="V481">
        <v>4978.1000000000004</v>
      </c>
      <c r="W481" t="s">
        <v>58</v>
      </c>
      <c r="X481" t="s">
        <v>55</v>
      </c>
      <c r="Y481">
        <v>21</v>
      </c>
      <c r="Z481" t="str">
        <f t="shared" si="102"/>
        <v>Good Employee</v>
      </c>
      <c r="AA481" t="b">
        <f t="shared" si="103"/>
        <v>1</v>
      </c>
      <c r="AB481" t="b">
        <f>OR(Y481&gt;20, T481&gt;6)</f>
        <v>1</v>
      </c>
      <c r="AC481" t="str">
        <f>IF(OR(Y481&gt;20,T481&gt;6), "Good employee", "Bad Employee")</f>
        <v>Good employee</v>
      </c>
      <c r="AD481" t="s">
        <v>41</v>
      </c>
      <c r="AE481" t="s">
        <v>59</v>
      </c>
      <c r="AF481">
        <v>11</v>
      </c>
      <c r="AG481">
        <v>2016</v>
      </c>
      <c r="AH481" t="s">
        <v>30</v>
      </c>
      <c r="AI481">
        <v>191</v>
      </c>
      <c r="AJ481">
        <v>2.1</v>
      </c>
    </row>
    <row r="482" spans="1:36" x14ac:dyDescent="0.25">
      <c r="A482">
        <v>10481</v>
      </c>
      <c r="B482" t="s">
        <v>31</v>
      </c>
      <c r="C482" t="s">
        <v>57</v>
      </c>
      <c r="D482" t="s">
        <v>44</v>
      </c>
      <c r="E482" t="str">
        <f t="shared" si="91"/>
        <v>Emily Davis is in Sales Department</v>
      </c>
      <c r="F482" s="6" t="str">
        <f t="shared" si="92"/>
        <v>emilydavis@gmail.com</v>
      </c>
      <c r="G482">
        <v>119909</v>
      </c>
      <c r="H482" t="str">
        <f t="shared" si="93"/>
        <v>High</v>
      </c>
      <c r="I482" s="3">
        <v>38088</v>
      </c>
      <c r="J482">
        <f t="shared" si="94"/>
        <v>2004</v>
      </c>
      <c r="K482">
        <f t="shared" si="95"/>
        <v>4</v>
      </c>
      <c r="L482">
        <f t="shared" si="96"/>
        <v>11</v>
      </c>
      <c r="M482" s="3">
        <f t="shared" ca="1" si="97"/>
        <v>46100</v>
      </c>
      <c r="N482">
        <f t="shared" ca="1" si="98"/>
        <v>8012</v>
      </c>
      <c r="O482">
        <f t="shared" ca="1" si="99"/>
        <v>8012</v>
      </c>
      <c r="P482">
        <f t="shared" ca="1" si="100"/>
        <v>5724</v>
      </c>
      <c r="Q482">
        <v>50</v>
      </c>
      <c r="R482" t="str">
        <f t="shared" si="101"/>
        <v>Old</v>
      </c>
      <c r="S482" t="s">
        <v>24</v>
      </c>
      <c r="T482">
        <v>4</v>
      </c>
      <c r="U482" t="s">
        <v>45</v>
      </c>
      <c r="V482">
        <v>9198.43</v>
      </c>
      <c r="W482" t="s">
        <v>35</v>
      </c>
      <c r="X482" t="s">
        <v>27</v>
      </c>
      <c r="Y482">
        <v>19</v>
      </c>
      <c r="Z482" t="str">
        <f t="shared" si="102"/>
        <v>Bad Employee</v>
      </c>
      <c r="AA482" t="b">
        <f t="shared" si="103"/>
        <v>0</v>
      </c>
      <c r="AB482" t="b">
        <f>OR(Y482&gt;20, T482&gt;6)</f>
        <v>0</v>
      </c>
      <c r="AC482" t="str">
        <f>IF(OR(Y482&gt;20,T482&gt;6), "Good employee", "Bad Employee")</f>
        <v>Bad Employee</v>
      </c>
      <c r="AD482" t="s">
        <v>41</v>
      </c>
      <c r="AE482" t="s">
        <v>37</v>
      </c>
      <c r="AF482">
        <v>2</v>
      </c>
      <c r="AG482">
        <v>2015</v>
      </c>
      <c r="AH482" t="s">
        <v>30</v>
      </c>
      <c r="AI482">
        <v>90</v>
      </c>
      <c r="AJ482">
        <v>1.9</v>
      </c>
    </row>
    <row r="483" spans="1:36" x14ac:dyDescent="0.25">
      <c r="A483">
        <v>10482</v>
      </c>
      <c r="B483" t="s">
        <v>64</v>
      </c>
      <c r="C483" t="s">
        <v>32</v>
      </c>
      <c r="D483" t="s">
        <v>23</v>
      </c>
      <c r="E483" t="str">
        <f t="shared" si="91"/>
        <v>Katie Wilson is in HR Department</v>
      </c>
      <c r="F483" s="6" t="str">
        <f t="shared" si="92"/>
        <v>katiewilson@gmail.com</v>
      </c>
      <c r="G483">
        <v>76105</v>
      </c>
      <c r="H483" t="str">
        <f t="shared" si="93"/>
        <v>Medium</v>
      </c>
      <c r="I483" s="3">
        <v>39435</v>
      </c>
      <c r="J483">
        <f t="shared" si="94"/>
        <v>2007</v>
      </c>
      <c r="K483">
        <f t="shared" si="95"/>
        <v>12</v>
      </c>
      <c r="L483">
        <f t="shared" si="96"/>
        <v>19</v>
      </c>
      <c r="M483" s="3">
        <f t="shared" ca="1" si="97"/>
        <v>46100</v>
      </c>
      <c r="N483">
        <f t="shared" ca="1" si="98"/>
        <v>6665</v>
      </c>
      <c r="O483">
        <f t="shared" ca="1" si="99"/>
        <v>6665</v>
      </c>
      <c r="P483">
        <f t="shared" ca="1" si="100"/>
        <v>4762</v>
      </c>
      <c r="Q483">
        <v>24</v>
      </c>
      <c r="R483" t="str">
        <f t="shared" si="101"/>
        <v>Young</v>
      </c>
      <c r="S483" t="s">
        <v>24</v>
      </c>
      <c r="T483">
        <v>1</v>
      </c>
      <c r="U483" t="s">
        <v>45</v>
      </c>
      <c r="V483">
        <v>4222.1099999999997</v>
      </c>
      <c r="W483" t="s">
        <v>58</v>
      </c>
      <c r="X483" t="s">
        <v>55</v>
      </c>
      <c r="Y483">
        <v>15</v>
      </c>
      <c r="Z483" t="str">
        <f t="shared" si="102"/>
        <v>Bad Employee</v>
      </c>
      <c r="AA483" t="b">
        <f t="shared" si="103"/>
        <v>0</v>
      </c>
      <c r="AB483" t="b">
        <f>OR(Y483&gt;20, T483&gt;6)</f>
        <v>0</v>
      </c>
      <c r="AC483" t="str">
        <f>IF(OR(Y483&gt;20,T483&gt;6), "Good employee", "Bad Employee")</f>
        <v>Bad Employee</v>
      </c>
      <c r="AD483" t="s">
        <v>28</v>
      </c>
      <c r="AE483" t="s">
        <v>42</v>
      </c>
      <c r="AF483">
        <v>18</v>
      </c>
      <c r="AG483">
        <v>2018</v>
      </c>
      <c r="AH483" t="s">
        <v>49</v>
      </c>
      <c r="AI483">
        <v>136</v>
      </c>
      <c r="AJ483">
        <v>3.6</v>
      </c>
    </row>
    <row r="484" spans="1:36" x14ac:dyDescent="0.25">
      <c r="A484">
        <v>10483</v>
      </c>
      <c r="B484" t="s">
        <v>38</v>
      </c>
      <c r="C484" t="s">
        <v>63</v>
      </c>
      <c r="D484" t="s">
        <v>39</v>
      </c>
      <c r="E484" t="str">
        <f t="shared" si="91"/>
        <v>Chris Miller is in IT Department</v>
      </c>
      <c r="F484" s="6" t="str">
        <f t="shared" si="92"/>
        <v>chrismiller@gmail.com</v>
      </c>
      <c r="G484">
        <v>60164</v>
      </c>
      <c r="H484" t="str">
        <f t="shared" si="93"/>
        <v>Medium</v>
      </c>
      <c r="I484" s="3">
        <v>41728</v>
      </c>
      <c r="J484">
        <f t="shared" si="94"/>
        <v>2014</v>
      </c>
      <c r="K484">
        <f t="shared" si="95"/>
        <v>3</v>
      </c>
      <c r="L484">
        <f t="shared" si="96"/>
        <v>30</v>
      </c>
      <c r="M484" s="3">
        <f t="shared" ca="1" si="97"/>
        <v>46100</v>
      </c>
      <c r="N484">
        <f t="shared" ca="1" si="98"/>
        <v>4372</v>
      </c>
      <c r="O484">
        <f t="shared" ca="1" si="99"/>
        <v>4372</v>
      </c>
      <c r="P484">
        <f t="shared" ca="1" si="100"/>
        <v>3124</v>
      </c>
      <c r="Q484">
        <v>31</v>
      </c>
      <c r="R484" t="str">
        <f t="shared" si="101"/>
        <v>Old</v>
      </c>
      <c r="S484" t="s">
        <v>24</v>
      </c>
      <c r="T484">
        <v>9</v>
      </c>
      <c r="U484" t="s">
        <v>25</v>
      </c>
      <c r="V484">
        <v>2733.2</v>
      </c>
      <c r="W484" t="s">
        <v>26</v>
      </c>
      <c r="X484" t="s">
        <v>27</v>
      </c>
      <c r="Y484">
        <v>34</v>
      </c>
      <c r="Z484" t="str">
        <f t="shared" si="102"/>
        <v>Good Employee</v>
      </c>
      <c r="AA484" t="b">
        <f t="shared" si="103"/>
        <v>1</v>
      </c>
      <c r="AB484" t="b">
        <f>OR(Y484&gt;20, T484&gt;6)</f>
        <v>1</v>
      </c>
      <c r="AC484" t="str">
        <f>IF(OR(Y484&gt;20,T484&gt;6), "Good employee", "Bad Employee")</f>
        <v>Good employee</v>
      </c>
      <c r="AD484" t="s">
        <v>28</v>
      </c>
      <c r="AE484" t="s">
        <v>48</v>
      </c>
      <c r="AF484">
        <v>19</v>
      </c>
      <c r="AG484">
        <v>2022</v>
      </c>
      <c r="AH484" t="s">
        <v>49</v>
      </c>
      <c r="AI484">
        <v>199</v>
      </c>
      <c r="AJ484">
        <v>3.1</v>
      </c>
    </row>
    <row r="485" spans="1:36" x14ac:dyDescent="0.25">
      <c r="A485">
        <v>10484</v>
      </c>
      <c r="B485" t="s">
        <v>64</v>
      </c>
      <c r="C485" t="s">
        <v>22</v>
      </c>
      <c r="D485" t="s">
        <v>44</v>
      </c>
      <c r="E485" t="str">
        <f t="shared" si="91"/>
        <v>Katie Williams is in Sales Department</v>
      </c>
      <c r="F485" s="6" t="str">
        <f t="shared" si="92"/>
        <v>katiewilliams@gmail.com</v>
      </c>
      <c r="G485">
        <v>31885</v>
      </c>
      <c r="H485" t="str">
        <f t="shared" si="93"/>
        <v>extremely low</v>
      </c>
      <c r="I485" s="3">
        <v>39375</v>
      </c>
      <c r="J485">
        <f t="shared" si="94"/>
        <v>2007</v>
      </c>
      <c r="K485">
        <f t="shared" si="95"/>
        <v>10</v>
      </c>
      <c r="L485">
        <f t="shared" si="96"/>
        <v>20</v>
      </c>
      <c r="M485" s="3">
        <f t="shared" ca="1" si="97"/>
        <v>46100</v>
      </c>
      <c r="N485">
        <f t="shared" ca="1" si="98"/>
        <v>6725</v>
      </c>
      <c r="O485">
        <f t="shared" ca="1" si="99"/>
        <v>6725</v>
      </c>
      <c r="P485">
        <f t="shared" ca="1" si="100"/>
        <v>4804</v>
      </c>
      <c r="Q485">
        <v>41</v>
      </c>
      <c r="R485" t="str">
        <f t="shared" si="101"/>
        <v>Old</v>
      </c>
      <c r="S485" t="s">
        <v>24</v>
      </c>
      <c r="T485">
        <v>6</v>
      </c>
      <c r="U485" t="s">
        <v>45</v>
      </c>
      <c r="V485">
        <v>6783.33</v>
      </c>
      <c r="W485" t="s">
        <v>46</v>
      </c>
      <c r="X485" t="s">
        <v>55</v>
      </c>
      <c r="Y485">
        <v>7</v>
      </c>
      <c r="Z485" t="str">
        <f t="shared" si="102"/>
        <v>Bad Employee</v>
      </c>
      <c r="AA485" t="b">
        <f t="shared" si="103"/>
        <v>0</v>
      </c>
      <c r="AB485" t="b">
        <f>OR(Y485&gt;20, T485&gt;6)</f>
        <v>0</v>
      </c>
      <c r="AC485" t="str">
        <f>IF(OR(Y485&gt;20,T485&gt;6), "Good employee", "Bad Employee")</f>
        <v>Bad Employee</v>
      </c>
      <c r="AD485" t="s">
        <v>28</v>
      </c>
      <c r="AE485" t="s">
        <v>29</v>
      </c>
      <c r="AF485">
        <v>18</v>
      </c>
      <c r="AG485">
        <v>2013</v>
      </c>
      <c r="AH485" t="s">
        <v>43</v>
      </c>
      <c r="AI485">
        <v>142</v>
      </c>
      <c r="AJ485">
        <v>3.9</v>
      </c>
    </row>
    <row r="486" spans="1:36" x14ac:dyDescent="0.25">
      <c r="A486">
        <v>10485</v>
      </c>
      <c r="B486" t="s">
        <v>38</v>
      </c>
      <c r="C486" t="s">
        <v>63</v>
      </c>
      <c r="D486" t="s">
        <v>39</v>
      </c>
      <c r="E486" t="str">
        <f t="shared" si="91"/>
        <v>Chris Miller is in IT Department</v>
      </c>
      <c r="F486" s="6" t="str">
        <f t="shared" si="92"/>
        <v>chrismiller@gmail.com</v>
      </c>
      <c r="G486">
        <v>87819</v>
      </c>
      <c r="H486" t="str">
        <f t="shared" si="93"/>
        <v>High</v>
      </c>
      <c r="I486" s="3">
        <v>37075</v>
      </c>
      <c r="J486">
        <f t="shared" si="94"/>
        <v>2001</v>
      </c>
      <c r="K486">
        <f t="shared" si="95"/>
        <v>7</v>
      </c>
      <c r="L486">
        <f t="shared" si="96"/>
        <v>3</v>
      </c>
      <c r="M486" s="3">
        <f t="shared" ca="1" si="97"/>
        <v>46100</v>
      </c>
      <c r="N486">
        <f t="shared" ca="1" si="98"/>
        <v>9025</v>
      </c>
      <c r="O486">
        <f t="shared" ca="1" si="99"/>
        <v>9025</v>
      </c>
      <c r="P486">
        <f t="shared" ca="1" si="100"/>
        <v>6448</v>
      </c>
      <c r="Q486">
        <v>23</v>
      </c>
      <c r="R486" t="str">
        <f t="shared" si="101"/>
        <v>Young</v>
      </c>
      <c r="S486" t="s">
        <v>34</v>
      </c>
      <c r="T486">
        <v>9</v>
      </c>
      <c r="U486" t="s">
        <v>45</v>
      </c>
      <c r="V486">
        <v>5946.3</v>
      </c>
      <c r="W486" t="s">
        <v>58</v>
      </c>
      <c r="X486" t="s">
        <v>47</v>
      </c>
      <c r="Y486">
        <v>17</v>
      </c>
      <c r="Z486" t="str">
        <f t="shared" si="102"/>
        <v>Bad Employee</v>
      </c>
      <c r="AA486" t="b">
        <f t="shared" si="103"/>
        <v>0</v>
      </c>
      <c r="AB486" t="b">
        <f>OR(Y486&gt;20, T486&gt;6)</f>
        <v>1</v>
      </c>
      <c r="AC486" t="str">
        <f>IF(OR(Y486&gt;20,T486&gt;6), "Good employee", "Bad Employee")</f>
        <v>Good employee</v>
      </c>
      <c r="AD486" t="s">
        <v>41</v>
      </c>
      <c r="AE486" t="s">
        <v>48</v>
      </c>
      <c r="AF486">
        <v>9</v>
      </c>
      <c r="AG486">
        <v>2021</v>
      </c>
      <c r="AH486" t="s">
        <v>43</v>
      </c>
      <c r="AI486">
        <v>23</v>
      </c>
      <c r="AJ486">
        <v>1.9</v>
      </c>
    </row>
    <row r="487" spans="1:36" x14ac:dyDescent="0.25">
      <c r="A487">
        <v>10486</v>
      </c>
      <c r="B487" t="s">
        <v>64</v>
      </c>
      <c r="C487" t="s">
        <v>63</v>
      </c>
      <c r="D487" t="s">
        <v>44</v>
      </c>
      <c r="E487" t="str">
        <f t="shared" si="91"/>
        <v>Katie Miller is in Sales Department</v>
      </c>
      <c r="F487" s="6" t="str">
        <f t="shared" si="92"/>
        <v>katiemiller@gmail.com</v>
      </c>
      <c r="G487">
        <v>31049</v>
      </c>
      <c r="H487" t="str">
        <f t="shared" si="93"/>
        <v>extremely low</v>
      </c>
      <c r="I487" s="3">
        <v>37994</v>
      </c>
      <c r="J487">
        <f t="shared" si="94"/>
        <v>2004</v>
      </c>
      <c r="K487">
        <f t="shared" si="95"/>
        <v>1</v>
      </c>
      <c r="L487">
        <f t="shared" si="96"/>
        <v>8</v>
      </c>
      <c r="M487" s="3">
        <f t="shared" ca="1" si="97"/>
        <v>46100</v>
      </c>
      <c r="N487">
        <f t="shared" ca="1" si="98"/>
        <v>8106</v>
      </c>
      <c r="O487">
        <f t="shared" ca="1" si="99"/>
        <v>8106</v>
      </c>
      <c r="P487">
        <f t="shared" ca="1" si="100"/>
        <v>5791</v>
      </c>
      <c r="Q487">
        <v>48</v>
      </c>
      <c r="R487" t="str">
        <f t="shared" si="101"/>
        <v>Old</v>
      </c>
      <c r="S487" t="s">
        <v>34</v>
      </c>
      <c r="T487">
        <v>3</v>
      </c>
      <c r="U487" t="s">
        <v>25</v>
      </c>
      <c r="V487">
        <v>3684.86</v>
      </c>
      <c r="W487" t="s">
        <v>46</v>
      </c>
      <c r="X487" t="s">
        <v>36</v>
      </c>
      <c r="Y487">
        <v>5</v>
      </c>
      <c r="Z487" t="str">
        <f t="shared" si="102"/>
        <v>Bad Employee</v>
      </c>
      <c r="AA487" t="b">
        <f t="shared" si="103"/>
        <v>0</v>
      </c>
      <c r="AB487" t="b">
        <f>OR(Y487&gt;20, T487&gt;6)</f>
        <v>0</v>
      </c>
      <c r="AC487" t="str">
        <f>IF(OR(Y487&gt;20,T487&gt;6), "Good employee", "Bad Employee")</f>
        <v>Bad Employee</v>
      </c>
      <c r="AD487" t="s">
        <v>28</v>
      </c>
      <c r="AE487" t="s">
        <v>29</v>
      </c>
      <c r="AF487">
        <v>15</v>
      </c>
      <c r="AG487">
        <v>2019</v>
      </c>
      <c r="AH487" t="s">
        <v>30</v>
      </c>
      <c r="AI487">
        <v>86</v>
      </c>
      <c r="AJ487">
        <v>1</v>
      </c>
    </row>
    <row r="488" spans="1:36" x14ac:dyDescent="0.25">
      <c r="A488">
        <v>10487</v>
      </c>
      <c r="B488" t="s">
        <v>50</v>
      </c>
      <c r="C488" t="s">
        <v>57</v>
      </c>
      <c r="D488" t="s">
        <v>33</v>
      </c>
      <c r="E488" t="str">
        <f t="shared" si="91"/>
        <v>Alex Davis is in Marketing Department</v>
      </c>
      <c r="F488" s="6" t="str">
        <f t="shared" si="92"/>
        <v>alexdavis@gmail.com</v>
      </c>
      <c r="G488">
        <v>83281</v>
      </c>
      <c r="H488" t="str">
        <f t="shared" si="93"/>
        <v>High</v>
      </c>
      <c r="I488" s="3">
        <v>42756</v>
      </c>
      <c r="J488">
        <f t="shared" si="94"/>
        <v>2017</v>
      </c>
      <c r="K488">
        <f t="shared" si="95"/>
        <v>1</v>
      </c>
      <c r="L488">
        <f t="shared" si="96"/>
        <v>21</v>
      </c>
      <c r="M488" s="3">
        <f t="shared" ca="1" si="97"/>
        <v>46100</v>
      </c>
      <c r="N488">
        <f t="shared" ca="1" si="98"/>
        <v>3344</v>
      </c>
      <c r="O488">
        <f t="shared" ca="1" si="99"/>
        <v>3344</v>
      </c>
      <c r="P488">
        <f t="shared" ca="1" si="100"/>
        <v>2389</v>
      </c>
      <c r="Q488">
        <v>53</v>
      </c>
      <c r="R488" t="str">
        <f t="shared" si="101"/>
        <v>Old</v>
      </c>
      <c r="S488" t="s">
        <v>34</v>
      </c>
      <c r="T488">
        <v>5</v>
      </c>
      <c r="U488" t="s">
        <v>25</v>
      </c>
      <c r="V488">
        <v>3764.81</v>
      </c>
      <c r="W488" t="s">
        <v>35</v>
      </c>
      <c r="X488" t="s">
        <v>36</v>
      </c>
      <c r="Y488">
        <v>39</v>
      </c>
      <c r="Z488" t="str">
        <f t="shared" si="102"/>
        <v>Bad Employee</v>
      </c>
      <c r="AA488" t="b">
        <f t="shared" si="103"/>
        <v>0</v>
      </c>
      <c r="AB488" t="b">
        <f>OR(Y488&gt;20, T488&gt;6)</f>
        <v>1</v>
      </c>
      <c r="AC488" t="str">
        <f>IF(OR(Y488&gt;20,T488&gt;6), "Good employee", "Bad Employee")</f>
        <v>Good employee</v>
      </c>
      <c r="AD488" t="s">
        <v>56</v>
      </c>
      <c r="AE488" t="s">
        <v>42</v>
      </c>
      <c r="AF488">
        <v>5</v>
      </c>
      <c r="AG488">
        <v>2015</v>
      </c>
      <c r="AH488" t="s">
        <v>30</v>
      </c>
      <c r="AI488">
        <v>160</v>
      </c>
      <c r="AJ488">
        <v>3.7</v>
      </c>
    </row>
    <row r="489" spans="1:36" x14ac:dyDescent="0.25">
      <c r="A489">
        <v>10488</v>
      </c>
      <c r="B489" t="s">
        <v>31</v>
      </c>
      <c r="C489" t="s">
        <v>51</v>
      </c>
      <c r="D489" t="s">
        <v>52</v>
      </c>
      <c r="E489" t="str">
        <f t="shared" si="91"/>
        <v>Emily Brown is in Operations Department</v>
      </c>
      <c r="F489" s="6" t="str">
        <f t="shared" si="92"/>
        <v>emilybrown@gmail.com</v>
      </c>
      <c r="G489">
        <v>73271</v>
      </c>
      <c r="H489" t="str">
        <f t="shared" si="93"/>
        <v>Medium</v>
      </c>
      <c r="I489" s="3">
        <v>37358</v>
      </c>
      <c r="J489">
        <f t="shared" si="94"/>
        <v>2002</v>
      </c>
      <c r="K489">
        <f t="shared" si="95"/>
        <v>4</v>
      </c>
      <c r="L489">
        <f t="shared" si="96"/>
        <v>12</v>
      </c>
      <c r="M489" s="3">
        <f t="shared" ca="1" si="97"/>
        <v>46100</v>
      </c>
      <c r="N489">
        <f t="shared" ca="1" si="98"/>
        <v>8742</v>
      </c>
      <c r="O489">
        <f t="shared" ca="1" si="99"/>
        <v>8742</v>
      </c>
      <c r="P489">
        <f t="shared" ca="1" si="100"/>
        <v>6245</v>
      </c>
      <c r="Q489">
        <v>31</v>
      </c>
      <c r="R489" t="str">
        <f t="shared" si="101"/>
        <v>Old</v>
      </c>
      <c r="S489" t="s">
        <v>24</v>
      </c>
      <c r="T489">
        <v>9</v>
      </c>
      <c r="U489" t="s">
        <v>25</v>
      </c>
      <c r="V489">
        <v>4283</v>
      </c>
      <c r="W489" t="s">
        <v>26</v>
      </c>
      <c r="X489" t="s">
        <v>47</v>
      </c>
      <c r="Y489">
        <v>2</v>
      </c>
      <c r="Z489" t="str">
        <f t="shared" si="102"/>
        <v>Bad Employee</v>
      </c>
      <c r="AA489" t="b">
        <f t="shared" si="103"/>
        <v>0</v>
      </c>
      <c r="AB489" t="b">
        <f>OR(Y489&gt;20, T489&gt;6)</f>
        <v>1</v>
      </c>
      <c r="AC489" t="str">
        <f>IF(OR(Y489&gt;20,T489&gt;6), "Good employee", "Bad Employee")</f>
        <v>Good employee</v>
      </c>
      <c r="AD489" t="s">
        <v>56</v>
      </c>
      <c r="AE489" t="s">
        <v>59</v>
      </c>
      <c r="AF489">
        <v>8</v>
      </c>
      <c r="AG489">
        <v>2015</v>
      </c>
      <c r="AH489" t="s">
        <v>43</v>
      </c>
      <c r="AI489">
        <v>99</v>
      </c>
      <c r="AJ489">
        <v>1.5</v>
      </c>
    </row>
    <row r="490" spans="1:36" x14ac:dyDescent="0.25">
      <c r="A490">
        <v>10489</v>
      </c>
      <c r="B490" t="s">
        <v>66</v>
      </c>
      <c r="C490" t="s">
        <v>57</v>
      </c>
      <c r="D490" t="s">
        <v>54</v>
      </c>
      <c r="E490" t="str">
        <f t="shared" si="91"/>
        <v>John Davis is in Finance Department</v>
      </c>
      <c r="F490" s="6" t="str">
        <f t="shared" si="92"/>
        <v>johndavis@gmail.com</v>
      </c>
      <c r="G490">
        <v>96697</v>
      </c>
      <c r="H490" t="str">
        <f t="shared" si="93"/>
        <v>High</v>
      </c>
      <c r="I490" s="3">
        <v>41008</v>
      </c>
      <c r="J490">
        <f t="shared" si="94"/>
        <v>2012</v>
      </c>
      <c r="K490">
        <f t="shared" si="95"/>
        <v>4</v>
      </c>
      <c r="L490">
        <f t="shared" si="96"/>
        <v>9</v>
      </c>
      <c r="M490" s="3">
        <f t="shared" ca="1" si="97"/>
        <v>46100</v>
      </c>
      <c r="N490">
        <f t="shared" ca="1" si="98"/>
        <v>5092</v>
      </c>
      <c r="O490">
        <f t="shared" ca="1" si="99"/>
        <v>5092</v>
      </c>
      <c r="P490">
        <f t="shared" ca="1" si="100"/>
        <v>3639</v>
      </c>
      <c r="Q490">
        <v>61</v>
      </c>
      <c r="R490" t="str">
        <f t="shared" si="101"/>
        <v>Old</v>
      </c>
      <c r="S490" t="s">
        <v>24</v>
      </c>
      <c r="T490">
        <v>6</v>
      </c>
      <c r="U490" t="s">
        <v>45</v>
      </c>
      <c r="V490">
        <v>3265.82</v>
      </c>
      <c r="W490" t="s">
        <v>26</v>
      </c>
      <c r="X490" t="s">
        <v>55</v>
      </c>
      <c r="Y490">
        <v>27</v>
      </c>
      <c r="Z490" t="str">
        <f t="shared" si="102"/>
        <v>Bad Employee</v>
      </c>
      <c r="AA490" t="b">
        <f t="shared" si="103"/>
        <v>0</v>
      </c>
      <c r="AB490" t="b">
        <f>OR(Y490&gt;20, T490&gt;6)</f>
        <v>1</v>
      </c>
      <c r="AC490" t="str">
        <f>IF(OR(Y490&gt;20,T490&gt;6), "Good employee", "Bad Employee")</f>
        <v>Good employee</v>
      </c>
      <c r="AD490" t="s">
        <v>56</v>
      </c>
      <c r="AE490" t="s">
        <v>59</v>
      </c>
      <c r="AF490">
        <v>7</v>
      </c>
      <c r="AG490">
        <v>2023</v>
      </c>
      <c r="AH490" t="s">
        <v>49</v>
      </c>
      <c r="AI490">
        <v>21</v>
      </c>
      <c r="AJ490">
        <v>2</v>
      </c>
    </row>
    <row r="491" spans="1:36" x14ac:dyDescent="0.25">
      <c r="A491">
        <v>10490</v>
      </c>
      <c r="B491" t="s">
        <v>38</v>
      </c>
      <c r="C491" t="s">
        <v>22</v>
      </c>
      <c r="D491" t="s">
        <v>52</v>
      </c>
      <c r="E491" t="str">
        <f t="shared" si="91"/>
        <v>Chris Williams is in Operations Department</v>
      </c>
      <c r="F491" s="6" t="str">
        <f t="shared" si="92"/>
        <v>chriswilliams@gmail.com</v>
      </c>
      <c r="G491">
        <v>96351</v>
      </c>
      <c r="H491" t="str">
        <f t="shared" si="93"/>
        <v>High</v>
      </c>
      <c r="I491" s="3">
        <v>41584</v>
      </c>
      <c r="J491">
        <f t="shared" si="94"/>
        <v>2013</v>
      </c>
      <c r="K491">
        <f t="shared" si="95"/>
        <v>11</v>
      </c>
      <c r="L491">
        <f t="shared" si="96"/>
        <v>6</v>
      </c>
      <c r="M491" s="3">
        <f t="shared" ca="1" si="97"/>
        <v>46100</v>
      </c>
      <c r="N491">
        <f t="shared" ca="1" si="98"/>
        <v>4516</v>
      </c>
      <c r="O491">
        <f t="shared" ca="1" si="99"/>
        <v>4516</v>
      </c>
      <c r="P491">
        <f t="shared" ca="1" si="100"/>
        <v>3227</v>
      </c>
      <c r="Q491">
        <v>38</v>
      </c>
      <c r="R491" t="str">
        <f t="shared" si="101"/>
        <v>Old</v>
      </c>
      <c r="S491" t="s">
        <v>24</v>
      </c>
      <c r="T491">
        <v>2</v>
      </c>
      <c r="U491" t="s">
        <v>25</v>
      </c>
      <c r="V491">
        <v>7247.29</v>
      </c>
      <c r="W491" t="s">
        <v>58</v>
      </c>
      <c r="X491" t="s">
        <v>27</v>
      </c>
      <c r="Y491">
        <v>24</v>
      </c>
      <c r="Z491" t="str">
        <f t="shared" si="102"/>
        <v>Bad Employee</v>
      </c>
      <c r="AA491" t="b">
        <f t="shared" si="103"/>
        <v>0</v>
      </c>
      <c r="AB491" t="b">
        <f>OR(Y491&gt;20, T491&gt;6)</f>
        <v>1</v>
      </c>
      <c r="AC491" t="str">
        <f>IF(OR(Y491&gt;20,T491&gt;6), "Good employee", "Bad Employee")</f>
        <v>Good employee</v>
      </c>
      <c r="AD491" t="s">
        <v>28</v>
      </c>
      <c r="AE491" t="s">
        <v>48</v>
      </c>
      <c r="AF491">
        <v>15</v>
      </c>
      <c r="AG491">
        <v>2019</v>
      </c>
      <c r="AH491" t="s">
        <v>30</v>
      </c>
      <c r="AI491">
        <v>28</v>
      </c>
      <c r="AJ491">
        <v>2.2000000000000002</v>
      </c>
    </row>
    <row r="492" spans="1:36" x14ac:dyDescent="0.25">
      <c r="A492">
        <v>10491</v>
      </c>
      <c r="B492" t="s">
        <v>53</v>
      </c>
      <c r="C492" t="s">
        <v>51</v>
      </c>
      <c r="D492" t="s">
        <v>23</v>
      </c>
      <c r="E492" t="str">
        <f t="shared" si="91"/>
        <v>Sarah Brown is in HR Department</v>
      </c>
      <c r="F492" s="6" t="str">
        <f t="shared" si="92"/>
        <v>sarahbrown@gmail.com</v>
      </c>
      <c r="G492">
        <v>66534</v>
      </c>
      <c r="H492" t="str">
        <f t="shared" si="93"/>
        <v>Medium</v>
      </c>
      <c r="I492" s="3">
        <v>43337</v>
      </c>
      <c r="J492">
        <f t="shared" si="94"/>
        <v>2018</v>
      </c>
      <c r="K492">
        <f t="shared" si="95"/>
        <v>8</v>
      </c>
      <c r="L492">
        <f t="shared" si="96"/>
        <v>25</v>
      </c>
      <c r="M492" s="3">
        <f t="shared" ca="1" si="97"/>
        <v>46100</v>
      </c>
      <c r="N492">
        <f t="shared" ca="1" si="98"/>
        <v>2763</v>
      </c>
      <c r="O492">
        <f t="shared" ca="1" si="99"/>
        <v>2763</v>
      </c>
      <c r="P492">
        <f t="shared" ca="1" si="100"/>
        <v>1974</v>
      </c>
      <c r="Q492">
        <v>54</v>
      </c>
      <c r="R492" t="str">
        <f t="shared" si="101"/>
        <v>Old</v>
      </c>
      <c r="S492" t="s">
        <v>34</v>
      </c>
      <c r="T492">
        <v>1</v>
      </c>
      <c r="U492" t="s">
        <v>45</v>
      </c>
      <c r="V492">
        <v>6687.9</v>
      </c>
      <c r="W492" t="s">
        <v>46</v>
      </c>
      <c r="X492" t="s">
        <v>40</v>
      </c>
      <c r="Y492">
        <v>28</v>
      </c>
      <c r="Z492" t="str">
        <f t="shared" si="102"/>
        <v>Bad Employee</v>
      </c>
      <c r="AA492" t="b">
        <f t="shared" si="103"/>
        <v>0</v>
      </c>
      <c r="AB492" t="b">
        <f>OR(Y492&gt;20, T492&gt;6)</f>
        <v>1</v>
      </c>
      <c r="AC492" t="str">
        <f>IF(OR(Y492&gt;20,T492&gt;6), "Good employee", "Bad Employee")</f>
        <v>Good employee</v>
      </c>
      <c r="AD492" t="s">
        <v>41</v>
      </c>
      <c r="AE492" t="s">
        <v>37</v>
      </c>
      <c r="AF492">
        <v>7</v>
      </c>
      <c r="AG492">
        <v>2023</v>
      </c>
      <c r="AH492" t="s">
        <v>49</v>
      </c>
      <c r="AI492">
        <v>133</v>
      </c>
      <c r="AJ492">
        <v>4</v>
      </c>
    </row>
    <row r="493" spans="1:36" x14ac:dyDescent="0.25">
      <c r="A493">
        <v>10492</v>
      </c>
      <c r="B493" t="s">
        <v>38</v>
      </c>
      <c r="C493" t="s">
        <v>61</v>
      </c>
      <c r="D493" t="s">
        <v>54</v>
      </c>
      <c r="E493" t="str">
        <f t="shared" si="91"/>
        <v>Chris Smith is in Finance Department</v>
      </c>
      <c r="F493" s="6" t="str">
        <f t="shared" si="92"/>
        <v>chrissmith@gmail.com</v>
      </c>
      <c r="G493">
        <v>88097</v>
      </c>
      <c r="H493" t="str">
        <f t="shared" si="93"/>
        <v>High</v>
      </c>
      <c r="I493" s="3">
        <v>37947</v>
      </c>
      <c r="J493">
        <f t="shared" si="94"/>
        <v>2003</v>
      </c>
      <c r="K493">
        <f t="shared" si="95"/>
        <v>11</v>
      </c>
      <c r="L493">
        <f t="shared" si="96"/>
        <v>22</v>
      </c>
      <c r="M493" s="3">
        <f t="shared" ca="1" si="97"/>
        <v>46100</v>
      </c>
      <c r="N493">
        <f t="shared" ca="1" si="98"/>
        <v>8153</v>
      </c>
      <c r="O493">
        <f t="shared" ca="1" si="99"/>
        <v>8153</v>
      </c>
      <c r="P493">
        <f t="shared" ca="1" si="100"/>
        <v>5824</v>
      </c>
      <c r="Q493">
        <v>27</v>
      </c>
      <c r="R493" t="str">
        <f t="shared" si="101"/>
        <v>Young</v>
      </c>
      <c r="S493" t="s">
        <v>34</v>
      </c>
      <c r="T493">
        <v>9</v>
      </c>
      <c r="U493" t="s">
        <v>25</v>
      </c>
      <c r="V493">
        <v>4687.3900000000003</v>
      </c>
      <c r="W493" t="s">
        <v>46</v>
      </c>
      <c r="X493" t="s">
        <v>55</v>
      </c>
      <c r="Y493">
        <v>1</v>
      </c>
      <c r="Z493" t="str">
        <f t="shared" si="102"/>
        <v>Bad Employee</v>
      </c>
      <c r="AA493" t="b">
        <f t="shared" si="103"/>
        <v>0</v>
      </c>
      <c r="AB493" t="b">
        <f>OR(Y493&gt;20, T493&gt;6)</f>
        <v>1</v>
      </c>
      <c r="AC493" t="str">
        <f>IF(OR(Y493&gt;20,T493&gt;6), "Good employee", "Bad Employee")</f>
        <v>Good employee</v>
      </c>
      <c r="AD493" t="s">
        <v>41</v>
      </c>
      <c r="AE493" t="s">
        <v>42</v>
      </c>
      <c r="AF493">
        <v>17</v>
      </c>
      <c r="AG493">
        <v>2012</v>
      </c>
      <c r="AH493" t="s">
        <v>43</v>
      </c>
      <c r="AI493">
        <v>9</v>
      </c>
      <c r="AJ493">
        <v>3.5</v>
      </c>
    </row>
    <row r="494" spans="1:36" x14ac:dyDescent="0.25">
      <c r="A494">
        <v>10493</v>
      </c>
      <c r="B494" t="s">
        <v>66</v>
      </c>
      <c r="C494" t="s">
        <v>61</v>
      </c>
      <c r="D494" t="s">
        <v>39</v>
      </c>
      <c r="E494" t="str">
        <f t="shared" si="91"/>
        <v>John Smith is in IT Department</v>
      </c>
      <c r="F494" s="6" t="str">
        <f t="shared" si="92"/>
        <v>johnsmith@gmail.com</v>
      </c>
      <c r="G494">
        <v>83813</v>
      </c>
      <c r="H494" t="str">
        <f t="shared" si="93"/>
        <v>High</v>
      </c>
      <c r="I494" s="3">
        <v>36811</v>
      </c>
      <c r="J494">
        <f t="shared" si="94"/>
        <v>2000</v>
      </c>
      <c r="K494">
        <f t="shared" si="95"/>
        <v>10</v>
      </c>
      <c r="L494">
        <f t="shared" si="96"/>
        <v>12</v>
      </c>
      <c r="M494" s="3">
        <f t="shared" ca="1" si="97"/>
        <v>46100</v>
      </c>
      <c r="N494">
        <f t="shared" ca="1" si="98"/>
        <v>9289</v>
      </c>
      <c r="O494">
        <f t="shared" ca="1" si="99"/>
        <v>9289</v>
      </c>
      <c r="P494">
        <f t="shared" ca="1" si="100"/>
        <v>6636</v>
      </c>
      <c r="Q494">
        <v>60</v>
      </c>
      <c r="R494" t="str">
        <f t="shared" si="101"/>
        <v>Old</v>
      </c>
      <c r="S494" t="s">
        <v>34</v>
      </c>
      <c r="T494">
        <v>1</v>
      </c>
      <c r="U494" t="s">
        <v>25</v>
      </c>
      <c r="V494">
        <v>4279.62</v>
      </c>
      <c r="W494" t="s">
        <v>58</v>
      </c>
      <c r="X494" t="s">
        <v>47</v>
      </c>
      <c r="Y494">
        <v>21</v>
      </c>
      <c r="Z494" t="str">
        <f t="shared" si="102"/>
        <v>Bad Employee</v>
      </c>
      <c r="AA494" t="b">
        <f t="shared" si="103"/>
        <v>0</v>
      </c>
      <c r="AB494" t="b">
        <f>OR(Y494&gt;20, T494&gt;6)</f>
        <v>1</v>
      </c>
      <c r="AC494" t="str">
        <f>IF(OR(Y494&gt;20,T494&gt;6), "Good employee", "Bad Employee")</f>
        <v>Good employee</v>
      </c>
      <c r="AD494" t="s">
        <v>41</v>
      </c>
      <c r="AE494" t="s">
        <v>48</v>
      </c>
      <c r="AF494">
        <v>4</v>
      </c>
      <c r="AG494">
        <v>2016</v>
      </c>
      <c r="AH494" t="s">
        <v>30</v>
      </c>
      <c r="AI494">
        <v>164</v>
      </c>
      <c r="AJ494">
        <v>1.7</v>
      </c>
    </row>
    <row r="495" spans="1:36" x14ac:dyDescent="0.25">
      <c r="A495">
        <v>10494</v>
      </c>
      <c r="B495" t="s">
        <v>64</v>
      </c>
      <c r="C495" t="s">
        <v>22</v>
      </c>
      <c r="D495" t="s">
        <v>33</v>
      </c>
      <c r="E495" t="str">
        <f t="shared" si="91"/>
        <v>Katie Williams is in Marketing Department</v>
      </c>
      <c r="F495" s="6" t="str">
        <f t="shared" si="92"/>
        <v>katiewilliams@gmail.com</v>
      </c>
      <c r="G495">
        <v>55037</v>
      </c>
      <c r="H495" t="str">
        <f t="shared" si="93"/>
        <v>Medium</v>
      </c>
      <c r="I495" s="3">
        <v>39271</v>
      </c>
      <c r="J495">
        <f t="shared" si="94"/>
        <v>2007</v>
      </c>
      <c r="K495">
        <f t="shared" si="95"/>
        <v>7</v>
      </c>
      <c r="L495">
        <f t="shared" si="96"/>
        <v>8</v>
      </c>
      <c r="M495" s="3">
        <f t="shared" ca="1" si="97"/>
        <v>46100</v>
      </c>
      <c r="N495">
        <f t="shared" ca="1" si="98"/>
        <v>6829</v>
      </c>
      <c r="O495">
        <f t="shared" ca="1" si="99"/>
        <v>6829</v>
      </c>
      <c r="P495">
        <f t="shared" ca="1" si="100"/>
        <v>4879</v>
      </c>
      <c r="Q495">
        <v>39</v>
      </c>
      <c r="R495" t="str">
        <f t="shared" si="101"/>
        <v>Old</v>
      </c>
      <c r="S495" t="s">
        <v>24</v>
      </c>
      <c r="T495">
        <v>5</v>
      </c>
      <c r="U495" t="s">
        <v>25</v>
      </c>
      <c r="V495">
        <v>3967.99</v>
      </c>
      <c r="W495" t="s">
        <v>58</v>
      </c>
      <c r="X495" t="s">
        <v>36</v>
      </c>
      <c r="Y495">
        <v>28</v>
      </c>
      <c r="Z495" t="str">
        <f t="shared" si="102"/>
        <v>Bad Employee</v>
      </c>
      <c r="AA495" t="b">
        <f t="shared" si="103"/>
        <v>0</v>
      </c>
      <c r="AB495" t="b">
        <f>OR(Y495&gt;20, T495&gt;6)</f>
        <v>1</v>
      </c>
      <c r="AC495" t="str">
        <f>IF(OR(Y495&gt;20,T495&gt;6), "Good employee", "Bad Employee")</f>
        <v>Good employee</v>
      </c>
      <c r="AD495" t="s">
        <v>41</v>
      </c>
      <c r="AE495" t="s">
        <v>59</v>
      </c>
      <c r="AF495">
        <v>19</v>
      </c>
      <c r="AG495">
        <v>2010</v>
      </c>
      <c r="AH495" t="s">
        <v>30</v>
      </c>
      <c r="AI495">
        <v>57</v>
      </c>
      <c r="AJ495">
        <v>3.4</v>
      </c>
    </row>
    <row r="496" spans="1:36" x14ac:dyDescent="0.25">
      <c r="A496">
        <v>10495</v>
      </c>
      <c r="B496" t="s">
        <v>38</v>
      </c>
      <c r="C496" t="s">
        <v>57</v>
      </c>
      <c r="D496" t="s">
        <v>33</v>
      </c>
      <c r="E496" t="str">
        <f t="shared" si="91"/>
        <v>Chris Davis is in Marketing Department</v>
      </c>
      <c r="F496" s="6" t="str">
        <f t="shared" si="92"/>
        <v>chrisdavis@gmail.com</v>
      </c>
      <c r="G496">
        <v>66007</v>
      </c>
      <c r="H496" t="str">
        <f t="shared" si="93"/>
        <v>Medium</v>
      </c>
      <c r="I496" s="3">
        <v>40291</v>
      </c>
      <c r="J496">
        <f t="shared" si="94"/>
        <v>2010</v>
      </c>
      <c r="K496">
        <f t="shared" si="95"/>
        <v>4</v>
      </c>
      <c r="L496">
        <f t="shared" si="96"/>
        <v>23</v>
      </c>
      <c r="M496" s="3">
        <f t="shared" ca="1" si="97"/>
        <v>46100</v>
      </c>
      <c r="N496">
        <f t="shared" ca="1" si="98"/>
        <v>5809</v>
      </c>
      <c r="O496">
        <f t="shared" ca="1" si="99"/>
        <v>5809</v>
      </c>
      <c r="P496">
        <f t="shared" ca="1" si="100"/>
        <v>4150</v>
      </c>
      <c r="Q496">
        <v>30</v>
      </c>
      <c r="R496" t="str">
        <f t="shared" si="101"/>
        <v>Young</v>
      </c>
      <c r="S496" t="s">
        <v>34</v>
      </c>
      <c r="T496">
        <v>1</v>
      </c>
      <c r="U496" t="s">
        <v>45</v>
      </c>
      <c r="V496">
        <v>3192.95</v>
      </c>
      <c r="W496" t="s">
        <v>58</v>
      </c>
      <c r="X496" t="s">
        <v>36</v>
      </c>
      <c r="Y496">
        <v>3</v>
      </c>
      <c r="Z496" t="str">
        <f t="shared" si="102"/>
        <v>Bad Employee</v>
      </c>
      <c r="AA496" t="b">
        <f t="shared" si="103"/>
        <v>0</v>
      </c>
      <c r="AB496" t="b">
        <f>OR(Y496&gt;20, T496&gt;6)</f>
        <v>0</v>
      </c>
      <c r="AC496" t="str">
        <f>IF(OR(Y496&gt;20,T496&gt;6), "Good employee", "Bad Employee")</f>
        <v>Bad Employee</v>
      </c>
      <c r="AD496" t="s">
        <v>41</v>
      </c>
      <c r="AE496" t="s">
        <v>62</v>
      </c>
      <c r="AF496">
        <v>11</v>
      </c>
      <c r="AG496">
        <v>2020</v>
      </c>
      <c r="AH496" t="s">
        <v>43</v>
      </c>
      <c r="AI496">
        <v>85</v>
      </c>
      <c r="AJ496">
        <v>3.8</v>
      </c>
    </row>
    <row r="497" spans="1:36" x14ac:dyDescent="0.25">
      <c r="A497">
        <v>10496</v>
      </c>
      <c r="B497" t="s">
        <v>21</v>
      </c>
      <c r="C497" t="s">
        <v>65</v>
      </c>
      <c r="D497" t="s">
        <v>39</v>
      </c>
      <c r="E497" t="str">
        <f t="shared" si="91"/>
        <v>Michael Johnson is in IT Department</v>
      </c>
      <c r="F497" s="6" t="str">
        <f t="shared" si="92"/>
        <v>michaeljohnson@gmail.com</v>
      </c>
      <c r="G497">
        <v>109478</v>
      </c>
      <c r="H497" t="str">
        <f t="shared" si="93"/>
        <v>High</v>
      </c>
      <c r="I497" s="3">
        <v>43634</v>
      </c>
      <c r="J497">
        <f t="shared" si="94"/>
        <v>2019</v>
      </c>
      <c r="K497">
        <f t="shared" si="95"/>
        <v>6</v>
      </c>
      <c r="L497">
        <f t="shared" si="96"/>
        <v>18</v>
      </c>
      <c r="M497" s="3">
        <f t="shared" ca="1" si="97"/>
        <v>46100</v>
      </c>
      <c r="N497">
        <f t="shared" ca="1" si="98"/>
        <v>2466</v>
      </c>
      <c r="O497">
        <f t="shared" ca="1" si="99"/>
        <v>2466</v>
      </c>
      <c r="P497">
        <f t="shared" ca="1" si="100"/>
        <v>1763</v>
      </c>
      <c r="Q497">
        <v>29</v>
      </c>
      <c r="R497" t="str">
        <f t="shared" si="101"/>
        <v>Young</v>
      </c>
      <c r="S497" t="s">
        <v>34</v>
      </c>
      <c r="T497">
        <v>5</v>
      </c>
      <c r="U497" t="s">
        <v>25</v>
      </c>
      <c r="V497">
        <v>1314.12</v>
      </c>
      <c r="W497" t="s">
        <v>58</v>
      </c>
      <c r="X497" t="s">
        <v>55</v>
      </c>
      <c r="Y497">
        <v>30</v>
      </c>
      <c r="Z497" t="str">
        <f t="shared" si="102"/>
        <v>Bad Employee</v>
      </c>
      <c r="AA497" t="b">
        <f t="shared" si="103"/>
        <v>0</v>
      </c>
      <c r="AB497" t="b">
        <f>OR(Y497&gt;20, T497&gt;6)</f>
        <v>1</v>
      </c>
      <c r="AC497" t="str">
        <f>IF(OR(Y497&gt;20,T497&gt;6), "Good employee", "Bad Employee")</f>
        <v>Good employee</v>
      </c>
      <c r="AD497" t="s">
        <v>28</v>
      </c>
      <c r="AE497" t="s">
        <v>48</v>
      </c>
      <c r="AF497">
        <v>5</v>
      </c>
      <c r="AG497">
        <v>2017</v>
      </c>
      <c r="AH497" t="s">
        <v>43</v>
      </c>
      <c r="AI497">
        <v>189</v>
      </c>
      <c r="AJ497">
        <v>2.6</v>
      </c>
    </row>
    <row r="498" spans="1:36" x14ac:dyDescent="0.25">
      <c r="A498">
        <v>10497</v>
      </c>
      <c r="B498" t="s">
        <v>50</v>
      </c>
      <c r="C498" t="s">
        <v>22</v>
      </c>
      <c r="D498" t="s">
        <v>23</v>
      </c>
      <c r="E498" t="str">
        <f t="shared" si="91"/>
        <v>Alex Williams is in HR Department</v>
      </c>
      <c r="F498" s="6" t="str">
        <f t="shared" si="92"/>
        <v>alexwilliams@gmail.com</v>
      </c>
      <c r="G498">
        <v>57278</v>
      </c>
      <c r="H498" t="str">
        <f t="shared" si="93"/>
        <v>Medium</v>
      </c>
      <c r="I498" s="3">
        <v>40990</v>
      </c>
      <c r="J498">
        <f t="shared" si="94"/>
        <v>2012</v>
      </c>
      <c r="K498">
        <f t="shared" si="95"/>
        <v>3</v>
      </c>
      <c r="L498">
        <f t="shared" si="96"/>
        <v>22</v>
      </c>
      <c r="M498" s="3">
        <f t="shared" ca="1" si="97"/>
        <v>46100</v>
      </c>
      <c r="N498">
        <f t="shared" ca="1" si="98"/>
        <v>5110</v>
      </c>
      <c r="O498">
        <f t="shared" ca="1" si="99"/>
        <v>5110</v>
      </c>
      <c r="P498">
        <f t="shared" ca="1" si="100"/>
        <v>3651</v>
      </c>
      <c r="Q498">
        <v>46</v>
      </c>
      <c r="R498" t="str">
        <f t="shared" si="101"/>
        <v>Old</v>
      </c>
      <c r="S498" t="s">
        <v>24</v>
      </c>
      <c r="T498">
        <v>5</v>
      </c>
      <c r="U498" t="s">
        <v>25</v>
      </c>
      <c r="V498">
        <v>3047.94</v>
      </c>
      <c r="W498" t="s">
        <v>26</v>
      </c>
      <c r="X498" t="s">
        <v>27</v>
      </c>
      <c r="Y498">
        <v>1</v>
      </c>
      <c r="Z498" t="str">
        <f t="shared" si="102"/>
        <v>Bad Employee</v>
      </c>
      <c r="AA498" t="b">
        <f t="shared" si="103"/>
        <v>0</v>
      </c>
      <c r="AB498" t="b">
        <f>OR(Y498&gt;20, T498&gt;6)</f>
        <v>0</v>
      </c>
      <c r="AC498" t="str">
        <f>IF(OR(Y498&gt;20,T498&gt;6), "Good employee", "Bad Employee")</f>
        <v>Bad Employee</v>
      </c>
      <c r="AD498" t="s">
        <v>56</v>
      </c>
      <c r="AE498" t="s">
        <v>29</v>
      </c>
      <c r="AF498">
        <v>1</v>
      </c>
      <c r="AG498">
        <v>2017</v>
      </c>
      <c r="AH498" t="s">
        <v>49</v>
      </c>
      <c r="AI498">
        <v>175</v>
      </c>
      <c r="AJ498">
        <v>2</v>
      </c>
    </row>
    <row r="499" spans="1:36" x14ac:dyDescent="0.25">
      <c r="A499">
        <v>10498</v>
      </c>
      <c r="B499" t="s">
        <v>31</v>
      </c>
      <c r="C499" t="s">
        <v>32</v>
      </c>
      <c r="D499" t="s">
        <v>39</v>
      </c>
      <c r="E499" t="str">
        <f t="shared" si="91"/>
        <v>Emily Wilson is in IT Department</v>
      </c>
      <c r="F499" s="6" t="str">
        <f t="shared" si="92"/>
        <v>emilywilson@gmail.com</v>
      </c>
      <c r="G499">
        <v>38272</v>
      </c>
      <c r="H499" t="str">
        <f t="shared" si="93"/>
        <v>extremely low</v>
      </c>
      <c r="I499" s="3">
        <v>43324</v>
      </c>
      <c r="J499">
        <f t="shared" si="94"/>
        <v>2018</v>
      </c>
      <c r="K499">
        <f t="shared" si="95"/>
        <v>8</v>
      </c>
      <c r="L499">
        <f t="shared" si="96"/>
        <v>12</v>
      </c>
      <c r="M499" s="3">
        <f t="shared" ca="1" si="97"/>
        <v>46100</v>
      </c>
      <c r="N499">
        <f t="shared" ca="1" si="98"/>
        <v>2776</v>
      </c>
      <c r="O499">
        <f t="shared" ca="1" si="99"/>
        <v>2776</v>
      </c>
      <c r="P499">
        <f t="shared" ca="1" si="100"/>
        <v>1984</v>
      </c>
      <c r="Q499">
        <v>52</v>
      </c>
      <c r="R499" t="str">
        <f t="shared" si="101"/>
        <v>Old</v>
      </c>
      <c r="S499" t="s">
        <v>34</v>
      </c>
      <c r="T499">
        <v>7</v>
      </c>
      <c r="U499" t="s">
        <v>45</v>
      </c>
      <c r="V499">
        <v>3551.41</v>
      </c>
      <c r="W499" t="s">
        <v>58</v>
      </c>
      <c r="X499" t="s">
        <v>47</v>
      </c>
      <c r="Y499">
        <v>18</v>
      </c>
      <c r="Z499" t="str">
        <f t="shared" si="102"/>
        <v>Bad Employee</v>
      </c>
      <c r="AA499" t="b">
        <f t="shared" si="103"/>
        <v>0</v>
      </c>
      <c r="AB499" t="b">
        <f>OR(Y499&gt;20, T499&gt;6)</f>
        <v>1</v>
      </c>
      <c r="AC499" t="str">
        <f>IF(OR(Y499&gt;20,T499&gt;6), "Good employee", "Bad Employee")</f>
        <v>Good employee</v>
      </c>
      <c r="AD499" t="s">
        <v>28</v>
      </c>
      <c r="AE499" t="s">
        <v>59</v>
      </c>
      <c r="AF499">
        <v>3</v>
      </c>
      <c r="AG499">
        <v>2017</v>
      </c>
      <c r="AH499" t="s">
        <v>49</v>
      </c>
      <c r="AI499">
        <v>90</v>
      </c>
      <c r="AJ499">
        <v>3.7</v>
      </c>
    </row>
    <row r="500" spans="1:36" x14ac:dyDescent="0.25">
      <c r="A500">
        <v>10499</v>
      </c>
      <c r="B500" t="s">
        <v>66</v>
      </c>
      <c r="C500" t="s">
        <v>51</v>
      </c>
      <c r="D500" t="s">
        <v>44</v>
      </c>
      <c r="E500" t="str">
        <f t="shared" si="91"/>
        <v>John Brown is in Sales Department</v>
      </c>
      <c r="F500" s="6" t="str">
        <f t="shared" si="92"/>
        <v>johnbrown@gmail.com</v>
      </c>
      <c r="G500">
        <v>87183</v>
      </c>
      <c r="H500" t="str">
        <f t="shared" si="93"/>
        <v>High</v>
      </c>
      <c r="I500" s="3">
        <v>37971</v>
      </c>
      <c r="J500">
        <f t="shared" si="94"/>
        <v>2003</v>
      </c>
      <c r="K500">
        <f t="shared" si="95"/>
        <v>12</v>
      </c>
      <c r="L500">
        <f t="shared" si="96"/>
        <v>16</v>
      </c>
      <c r="M500" s="3">
        <f t="shared" ca="1" si="97"/>
        <v>46100</v>
      </c>
      <c r="N500">
        <f t="shared" ca="1" si="98"/>
        <v>8129</v>
      </c>
      <c r="O500">
        <f t="shared" ca="1" si="99"/>
        <v>8129</v>
      </c>
      <c r="P500">
        <f t="shared" ca="1" si="100"/>
        <v>5808</v>
      </c>
      <c r="Q500">
        <v>63</v>
      </c>
      <c r="R500" t="str">
        <f t="shared" si="101"/>
        <v>Old</v>
      </c>
      <c r="S500" t="s">
        <v>24</v>
      </c>
      <c r="T500">
        <v>7</v>
      </c>
      <c r="U500" t="s">
        <v>45</v>
      </c>
      <c r="V500">
        <v>5703</v>
      </c>
      <c r="W500" t="s">
        <v>46</v>
      </c>
      <c r="X500" t="s">
        <v>47</v>
      </c>
      <c r="Y500">
        <v>33</v>
      </c>
      <c r="Z500" t="str">
        <f t="shared" si="102"/>
        <v>Good Employee</v>
      </c>
      <c r="AA500" t="b">
        <f t="shared" si="103"/>
        <v>1</v>
      </c>
      <c r="AB500" t="b">
        <f>OR(Y500&gt;20, T500&gt;6)</f>
        <v>1</v>
      </c>
      <c r="AC500" t="str">
        <f>IF(OR(Y500&gt;20,T500&gt;6), "Good employee", "Bad Employee")</f>
        <v>Good employee</v>
      </c>
      <c r="AD500" t="s">
        <v>41</v>
      </c>
      <c r="AE500" t="s">
        <v>29</v>
      </c>
      <c r="AF500">
        <v>15</v>
      </c>
      <c r="AG500">
        <v>2018</v>
      </c>
      <c r="AH500" t="s">
        <v>43</v>
      </c>
      <c r="AI500">
        <v>107</v>
      </c>
      <c r="AJ500">
        <v>3.4</v>
      </c>
    </row>
    <row r="501" spans="1:36" x14ac:dyDescent="0.25">
      <c r="A501">
        <v>10500</v>
      </c>
      <c r="B501" t="s">
        <v>31</v>
      </c>
      <c r="C501" t="s">
        <v>51</v>
      </c>
      <c r="D501" t="s">
        <v>23</v>
      </c>
      <c r="E501" t="str">
        <f t="shared" si="91"/>
        <v>Emily Brown is in HR Department</v>
      </c>
      <c r="F501" s="6" t="str">
        <f t="shared" si="92"/>
        <v>emilybrown@gmail.com</v>
      </c>
      <c r="G501">
        <v>68294</v>
      </c>
      <c r="H501" t="str">
        <f t="shared" si="93"/>
        <v>Medium</v>
      </c>
      <c r="I501" s="3">
        <v>42363</v>
      </c>
      <c r="J501">
        <f t="shared" si="94"/>
        <v>2015</v>
      </c>
      <c r="K501">
        <f t="shared" si="95"/>
        <v>12</v>
      </c>
      <c r="L501">
        <f t="shared" si="96"/>
        <v>25</v>
      </c>
      <c r="M501" s="3">
        <f t="shared" ca="1" si="97"/>
        <v>46100</v>
      </c>
      <c r="N501">
        <f t="shared" ca="1" si="98"/>
        <v>3737</v>
      </c>
      <c r="O501">
        <f t="shared" ca="1" si="99"/>
        <v>3737</v>
      </c>
      <c r="P501">
        <f t="shared" ca="1" si="100"/>
        <v>2670</v>
      </c>
      <c r="Q501">
        <v>25</v>
      </c>
      <c r="R501" t="str">
        <f t="shared" si="101"/>
        <v>Young</v>
      </c>
      <c r="S501" t="s">
        <v>24</v>
      </c>
      <c r="T501">
        <v>1</v>
      </c>
      <c r="U501" t="s">
        <v>25</v>
      </c>
      <c r="V501">
        <v>7850.99</v>
      </c>
      <c r="W501" t="s">
        <v>35</v>
      </c>
      <c r="X501" t="s">
        <v>27</v>
      </c>
      <c r="Y501">
        <v>15</v>
      </c>
      <c r="Z501" t="str">
        <f t="shared" si="102"/>
        <v>Bad Employee</v>
      </c>
      <c r="AA501" t="b">
        <f t="shared" si="103"/>
        <v>0</v>
      </c>
      <c r="AB501" t="b">
        <f>OR(Y501&gt;20, T501&gt;6)</f>
        <v>0</v>
      </c>
      <c r="AC501" t="str">
        <f>IF(OR(Y501&gt;20,T501&gt;6), "Good employee", "Bad Employee")</f>
        <v>Bad Employee</v>
      </c>
      <c r="AD501" t="s">
        <v>28</v>
      </c>
      <c r="AE501" t="s">
        <v>42</v>
      </c>
      <c r="AF501">
        <v>13</v>
      </c>
      <c r="AG501">
        <v>2013</v>
      </c>
      <c r="AH501" t="s">
        <v>43</v>
      </c>
      <c r="AI501">
        <v>171</v>
      </c>
      <c r="AJ501">
        <v>1.3</v>
      </c>
    </row>
    <row r="502" spans="1:36" x14ac:dyDescent="0.25">
      <c r="A502">
        <v>10501</v>
      </c>
      <c r="B502" t="s">
        <v>21</v>
      </c>
      <c r="C502" t="s">
        <v>63</v>
      </c>
      <c r="D502" t="s">
        <v>54</v>
      </c>
      <c r="E502" t="str">
        <f t="shared" si="91"/>
        <v>Michael Miller is in Finance Department</v>
      </c>
      <c r="F502" s="6" t="str">
        <f t="shared" si="92"/>
        <v>michaelmiller@gmail.com</v>
      </c>
      <c r="G502">
        <v>103277</v>
      </c>
      <c r="H502" t="str">
        <f t="shared" si="93"/>
        <v>High</v>
      </c>
      <c r="I502" s="3">
        <v>43323</v>
      </c>
      <c r="J502">
        <f t="shared" si="94"/>
        <v>2018</v>
      </c>
      <c r="K502">
        <f t="shared" si="95"/>
        <v>8</v>
      </c>
      <c r="L502">
        <f t="shared" si="96"/>
        <v>11</v>
      </c>
      <c r="M502" s="3">
        <f t="shared" ca="1" si="97"/>
        <v>46100</v>
      </c>
      <c r="N502">
        <f t="shared" ca="1" si="98"/>
        <v>2777</v>
      </c>
      <c r="O502">
        <f t="shared" ca="1" si="99"/>
        <v>2777</v>
      </c>
      <c r="P502">
        <f t="shared" ca="1" si="100"/>
        <v>1984</v>
      </c>
      <c r="Q502">
        <v>41</v>
      </c>
      <c r="R502" t="str">
        <f t="shared" si="101"/>
        <v>Old</v>
      </c>
      <c r="S502" t="s">
        <v>24</v>
      </c>
      <c r="T502">
        <v>9</v>
      </c>
      <c r="U502" t="s">
        <v>25</v>
      </c>
      <c r="V502">
        <v>4259.17</v>
      </c>
      <c r="W502" t="s">
        <v>46</v>
      </c>
      <c r="X502" t="s">
        <v>27</v>
      </c>
      <c r="Y502">
        <v>24</v>
      </c>
      <c r="Z502" t="str">
        <f t="shared" si="102"/>
        <v>Good Employee</v>
      </c>
      <c r="AA502" t="b">
        <f t="shared" si="103"/>
        <v>1</v>
      </c>
      <c r="AB502" t="b">
        <f>OR(Y502&gt;20, T502&gt;6)</f>
        <v>1</v>
      </c>
      <c r="AC502" t="str">
        <f>IF(OR(Y502&gt;20,T502&gt;6), "Good employee", "Bad Employee")</f>
        <v>Good employee</v>
      </c>
      <c r="AD502" t="s">
        <v>28</v>
      </c>
      <c r="AE502" t="s">
        <v>37</v>
      </c>
      <c r="AF502">
        <v>16</v>
      </c>
      <c r="AG502">
        <v>2015</v>
      </c>
      <c r="AH502" t="s">
        <v>43</v>
      </c>
      <c r="AI502">
        <v>166</v>
      </c>
      <c r="AJ502">
        <v>3.7</v>
      </c>
    </row>
    <row r="503" spans="1:36" x14ac:dyDescent="0.25">
      <c r="A503">
        <v>10502</v>
      </c>
      <c r="B503" t="s">
        <v>38</v>
      </c>
      <c r="C503" t="s">
        <v>61</v>
      </c>
      <c r="D503" t="s">
        <v>39</v>
      </c>
      <c r="E503" t="str">
        <f t="shared" si="91"/>
        <v>Chris Smith is in IT Department</v>
      </c>
      <c r="F503" s="6" t="str">
        <f t="shared" si="92"/>
        <v>chrissmith@gmail.com</v>
      </c>
      <c r="G503">
        <v>92509</v>
      </c>
      <c r="H503" t="str">
        <f t="shared" si="93"/>
        <v>High</v>
      </c>
      <c r="I503" s="3">
        <v>43366</v>
      </c>
      <c r="J503">
        <f t="shared" si="94"/>
        <v>2018</v>
      </c>
      <c r="K503">
        <f t="shared" si="95"/>
        <v>9</v>
      </c>
      <c r="L503">
        <f t="shared" si="96"/>
        <v>23</v>
      </c>
      <c r="M503" s="3">
        <f t="shared" ca="1" si="97"/>
        <v>46100</v>
      </c>
      <c r="N503">
        <f t="shared" ca="1" si="98"/>
        <v>2734</v>
      </c>
      <c r="O503">
        <f t="shared" ca="1" si="99"/>
        <v>2734</v>
      </c>
      <c r="P503">
        <f t="shared" ca="1" si="100"/>
        <v>1954</v>
      </c>
      <c r="Q503">
        <v>49</v>
      </c>
      <c r="R503" t="str">
        <f t="shared" si="101"/>
        <v>Old</v>
      </c>
      <c r="S503" t="s">
        <v>34</v>
      </c>
      <c r="T503">
        <v>1</v>
      </c>
      <c r="U503" t="s">
        <v>25</v>
      </c>
      <c r="V503">
        <v>9475.19</v>
      </c>
      <c r="W503" t="s">
        <v>58</v>
      </c>
      <c r="X503" t="s">
        <v>55</v>
      </c>
      <c r="Y503">
        <v>36</v>
      </c>
      <c r="Z503" t="str">
        <f t="shared" si="102"/>
        <v>Bad Employee</v>
      </c>
      <c r="AA503" t="b">
        <f t="shared" si="103"/>
        <v>0</v>
      </c>
      <c r="AB503" t="b">
        <f>OR(Y503&gt;20, T503&gt;6)</f>
        <v>1</v>
      </c>
      <c r="AC503" t="str">
        <f>IF(OR(Y503&gt;20,T503&gt;6), "Good employee", "Bad Employee")</f>
        <v>Good employee</v>
      </c>
      <c r="AD503" t="s">
        <v>28</v>
      </c>
      <c r="AE503" t="s">
        <v>37</v>
      </c>
      <c r="AF503">
        <v>18</v>
      </c>
      <c r="AG503">
        <v>2020</v>
      </c>
      <c r="AH503" t="s">
        <v>30</v>
      </c>
      <c r="AI503">
        <v>84</v>
      </c>
      <c r="AJ503">
        <v>3</v>
      </c>
    </row>
    <row r="504" spans="1:36" x14ac:dyDescent="0.25">
      <c r="A504">
        <v>10503</v>
      </c>
      <c r="B504" t="s">
        <v>38</v>
      </c>
      <c r="C504" t="s">
        <v>51</v>
      </c>
      <c r="D504" t="s">
        <v>23</v>
      </c>
      <c r="E504" t="str">
        <f t="shared" si="91"/>
        <v>Chris Brown is in HR Department</v>
      </c>
      <c r="F504" s="6" t="str">
        <f t="shared" si="92"/>
        <v>chrisbrown@gmail.com</v>
      </c>
      <c r="G504">
        <v>34694</v>
      </c>
      <c r="H504" t="str">
        <f t="shared" si="93"/>
        <v>extremely low</v>
      </c>
      <c r="I504" s="3">
        <v>37992</v>
      </c>
      <c r="J504">
        <f t="shared" si="94"/>
        <v>2004</v>
      </c>
      <c r="K504">
        <f t="shared" si="95"/>
        <v>1</v>
      </c>
      <c r="L504">
        <f t="shared" si="96"/>
        <v>6</v>
      </c>
      <c r="M504" s="3">
        <f t="shared" ca="1" si="97"/>
        <v>46100</v>
      </c>
      <c r="N504">
        <f t="shared" ca="1" si="98"/>
        <v>8108</v>
      </c>
      <c r="O504">
        <f t="shared" ca="1" si="99"/>
        <v>8108</v>
      </c>
      <c r="P504">
        <f t="shared" ca="1" si="100"/>
        <v>5793</v>
      </c>
      <c r="Q504">
        <v>61</v>
      </c>
      <c r="R504" t="str">
        <f t="shared" si="101"/>
        <v>Old</v>
      </c>
      <c r="S504" t="s">
        <v>34</v>
      </c>
      <c r="T504">
        <v>5</v>
      </c>
      <c r="U504" t="s">
        <v>45</v>
      </c>
      <c r="V504">
        <v>8359.82</v>
      </c>
      <c r="W504" t="s">
        <v>26</v>
      </c>
      <c r="X504" t="s">
        <v>55</v>
      </c>
      <c r="Y504">
        <v>34</v>
      </c>
      <c r="Z504" t="str">
        <f t="shared" si="102"/>
        <v>Bad Employee</v>
      </c>
      <c r="AA504" t="b">
        <f t="shared" si="103"/>
        <v>0</v>
      </c>
      <c r="AB504" t="b">
        <f>OR(Y504&gt;20, T504&gt;6)</f>
        <v>1</v>
      </c>
      <c r="AC504" t="str">
        <f>IF(OR(Y504&gt;20,T504&gt;6), "Good employee", "Bad Employee")</f>
        <v>Good employee</v>
      </c>
      <c r="AD504" t="s">
        <v>41</v>
      </c>
      <c r="AE504" t="s">
        <v>59</v>
      </c>
      <c r="AF504">
        <v>3</v>
      </c>
      <c r="AG504">
        <v>2021</v>
      </c>
      <c r="AH504" t="s">
        <v>43</v>
      </c>
      <c r="AI504">
        <v>9</v>
      </c>
      <c r="AJ504">
        <v>4</v>
      </c>
    </row>
    <row r="505" spans="1:36" x14ac:dyDescent="0.25">
      <c r="A505">
        <v>10504</v>
      </c>
      <c r="B505" t="s">
        <v>53</v>
      </c>
      <c r="C505" t="s">
        <v>22</v>
      </c>
      <c r="D505" t="s">
        <v>54</v>
      </c>
      <c r="E505" t="str">
        <f t="shared" si="91"/>
        <v>Sarah Williams is in Finance Department</v>
      </c>
      <c r="F505" s="6" t="str">
        <f t="shared" si="92"/>
        <v>sarahwilliams@gmail.com</v>
      </c>
      <c r="G505">
        <v>88150</v>
      </c>
      <c r="H505" t="str">
        <f t="shared" si="93"/>
        <v>High</v>
      </c>
      <c r="I505" s="3">
        <v>38302</v>
      </c>
      <c r="J505">
        <f t="shared" si="94"/>
        <v>2004</v>
      </c>
      <c r="K505">
        <f t="shared" si="95"/>
        <v>11</v>
      </c>
      <c r="L505">
        <f t="shared" si="96"/>
        <v>11</v>
      </c>
      <c r="M505" s="3">
        <f t="shared" ca="1" si="97"/>
        <v>46100</v>
      </c>
      <c r="N505">
        <f t="shared" ca="1" si="98"/>
        <v>7798</v>
      </c>
      <c r="O505">
        <f t="shared" ca="1" si="99"/>
        <v>7798</v>
      </c>
      <c r="P505">
        <f t="shared" ca="1" si="100"/>
        <v>5571</v>
      </c>
      <c r="Q505">
        <v>22</v>
      </c>
      <c r="R505" t="str">
        <f t="shared" si="101"/>
        <v>Young</v>
      </c>
      <c r="S505" t="s">
        <v>24</v>
      </c>
      <c r="T505">
        <v>7</v>
      </c>
      <c r="U505" t="s">
        <v>45</v>
      </c>
      <c r="V505">
        <v>9855.6200000000008</v>
      </c>
      <c r="W505" t="s">
        <v>58</v>
      </c>
      <c r="X505" t="s">
        <v>36</v>
      </c>
      <c r="Y505">
        <v>26</v>
      </c>
      <c r="Z505" t="str">
        <f t="shared" si="102"/>
        <v>Good Employee</v>
      </c>
      <c r="AA505" t="b">
        <f t="shared" si="103"/>
        <v>1</v>
      </c>
      <c r="AB505" t="b">
        <f>OR(Y505&gt;20, T505&gt;6)</f>
        <v>1</v>
      </c>
      <c r="AC505" t="str">
        <f>IF(OR(Y505&gt;20,T505&gt;6), "Good employee", "Bad Employee")</f>
        <v>Good employee</v>
      </c>
      <c r="AD505" t="s">
        <v>41</v>
      </c>
      <c r="AE505" t="s">
        <v>59</v>
      </c>
      <c r="AF505">
        <v>17</v>
      </c>
      <c r="AG505">
        <v>2016</v>
      </c>
      <c r="AH505" t="s">
        <v>30</v>
      </c>
      <c r="AI505">
        <v>22</v>
      </c>
      <c r="AJ505">
        <v>1.8</v>
      </c>
    </row>
    <row r="506" spans="1:36" x14ac:dyDescent="0.25">
      <c r="A506">
        <v>10505</v>
      </c>
      <c r="B506" t="s">
        <v>21</v>
      </c>
      <c r="C506" t="s">
        <v>51</v>
      </c>
      <c r="D506" t="s">
        <v>39</v>
      </c>
      <c r="E506" t="str">
        <f t="shared" si="91"/>
        <v>Michael Brown is in IT Department</v>
      </c>
      <c r="F506" s="6" t="str">
        <f t="shared" si="92"/>
        <v>michaelbrown@gmail.com</v>
      </c>
      <c r="G506">
        <v>97470</v>
      </c>
      <c r="H506" t="str">
        <f t="shared" si="93"/>
        <v>High</v>
      </c>
      <c r="I506" s="3">
        <v>42165</v>
      </c>
      <c r="J506">
        <f t="shared" si="94"/>
        <v>2015</v>
      </c>
      <c r="K506">
        <f t="shared" si="95"/>
        <v>6</v>
      </c>
      <c r="L506">
        <f t="shared" si="96"/>
        <v>10</v>
      </c>
      <c r="M506" s="3">
        <f t="shared" ca="1" si="97"/>
        <v>46100</v>
      </c>
      <c r="N506">
        <f t="shared" ca="1" si="98"/>
        <v>3935</v>
      </c>
      <c r="O506">
        <f t="shared" ca="1" si="99"/>
        <v>3935</v>
      </c>
      <c r="P506">
        <f t="shared" ca="1" si="100"/>
        <v>2812</v>
      </c>
      <c r="Q506">
        <v>61</v>
      </c>
      <c r="R506" t="str">
        <f t="shared" si="101"/>
        <v>Old</v>
      </c>
      <c r="S506" t="s">
        <v>34</v>
      </c>
      <c r="T506">
        <v>8</v>
      </c>
      <c r="U506" t="s">
        <v>25</v>
      </c>
      <c r="V506">
        <v>8823.93</v>
      </c>
      <c r="W506" t="s">
        <v>35</v>
      </c>
      <c r="X506" t="s">
        <v>36</v>
      </c>
      <c r="Y506">
        <v>22</v>
      </c>
      <c r="Z506" t="str">
        <f t="shared" si="102"/>
        <v>Good Employee</v>
      </c>
      <c r="AA506" t="b">
        <f t="shared" si="103"/>
        <v>1</v>
      </c>
      <c r="AB506" t="b">
        <f>OR(Y506&gt;20, T506&gt;6)</f>
        <v>1</v>
      </c>
      <c r="AC506" t="str">
        <f>IF(OR(Y506&gt;20,T506&gt;6), "Good employee", "Bad Employee")</f>
        <v>Good employee</v>
      </c>
      <c r="AD506" t="s">
        <v>41</v>
      </c>
      <c r="AE506" t="s">
        <v>37</v>
      </c>
      <c r="AF506">
        <v>11</v>
      </c>
      <c r="AG506">
        <v>2011</v>
      </c>
      <c r="AH506" t="s">
        <v>43</v>
      </c>
      <c r="AI506">
        <v>136</v>
      </c>
      <c r="AJ506">
        <v>2</v>
      </c>
    </row>
    <row r="507" spans="1:36" x14ac:dyDescent="0.25">
      <c r="A507">
        <v>10506</v>
      </c>
      <c r="B507" t="s">
        <v>66</v>
      </c>
      <c r="C507" t="s">
        <v>22</v>
      </c>
      <c r="D507" t="s">
        <v>33</v>
      </c>
      <c r="E507" t="str">
        <f t="shared" si="91"/>
        <v>John Williams is in Marketing Department</v>
      </c>
      <c r="F507" s="6" t="str">
        <f t="shared" si="92"/>
        <v>johnwilliams@gmail.com</v>
      </c>
      <c r="G507">
        <v>51556</v>
      </c>
      <c r="H507" t="str">
        <f t="shared" si="93"/>
        <v>Medium</v>
      </c>
      <c r="I507" s="3">
        <v>43693</v>
      </c>
      <c r="J507">
        <f t="shared" si="94"/>
        <v>2019</v>
      </c>
      <c r="K507">
        <f t="shared" si="95"/>
        <v>8</v>
      </c>
      <c r="L507">
        <f t="shared" si="96"/>
        <v>16</v>
      </c>
      <c r="M507" s="3">
        <f t="shared" ca="1" si="97"/>
        <v>46100</v>
      </c>
      <c r="N507">
        <f t="shared" ca="1" si="98"/>
        <v>2407</v>
      </c>
      <c r="O507">
        <f t="shared" ca="1" si="99"/>
        <v>2407</v>
      </c>
      <c r="P507">
        <f t="shared" ca="1" si="100"/>
        <v>1720</v>
      </c>
      <c r="Q507">
        <v>44</v>
      </c>
      <c r="R507" t="str">
        <f t="shared" si="101"/>
        <v>Old</v>
      </c>
      <c r="S507" t="s">
        <v>24</v>
      </c>
      <c r="T507">
        <v>2</v>
      </c>
      <c r="U507" t="s">
        <v>25</v>
      </c>
      <c r="V507">
        <v>6358.9</v>
      </c>
      <c r="W507" t="s">
        <v>58</v>
      </c>
      <c r="X507" t="s">
        <v>27</v>
      </c>
      <c r="Y507">
        <v>16</v>
      </c>
      <c r="Z507" t="str">
        <f t="shared" si="102"/>
        <v>Bad Employee</v>
      </c>
      <c r="AA507" t="b">
        <f t="shared" si="103"/>
        <v>0</v>
      </c>
      <c r="AB507" t="b">
        <f>OR(Y507&gt;20, T507&gt;6)</f>
        <v>0</v>
      </c>
      <c r="AC507" t="str">
        <f>IF(OR(Y507&gt;20,T507&gt;6), "Good employee", "Bad Employee")</f>
        <v>Bad Employee</v>
      </c>
      <c r="AD507" t="s">
        <v>28</v>
      </c>
      <c r="AE507" t="s">
        <v>48</v>
      </c>
      <c r="AF507">
        <v>1</v>
      </c>
      <c r="AG507">
        <v>2015</v>
      </c>
      <c r="AH507" t="s">
        <v>30</v>
      </c>
      <c r="AI507">
        <v>113</v>
      </c>
      <c r="AJ507">
        <v>3.2</v>
      </c>
    </row>
    <row r="508" spans="1:36" x14ac:dyDescent="0.25">
      <c r="A508">
        <v>10507</v>
      </c>
      <c r="B508" t="s">
        <v>53</v>
      </c>
      <c r="C508" t="s">
        <v>65</v>
      </c>
      <c r="D508" t="s">
        <v>39</v>
      </c>
      <c r="E508" t="str">
        <f t="shared" si="91"/>
        <v>Sarah Johnson is in IT Department</v>
      </c>
      <c r="F508" s="6" t="str">
        <f t="shared" si="92"/>
        <v>sarahjohnson@gmail.com</v>
      </c>
      <c r="G508">
        <v>94471</v>
      </c>
      <c r="H508" t="str">
        <f t="shared" si="93"/>
        <v>High</v>
      </c>
      <c r="I508" s="3">
        <v>40181</v>
      </c>
      <c r="J508">
        <f t="shared" si="94"/>
        <v>2010</v>
      </c>
      <c r="K508">
        <f t="shared" si="95"/>
        <v>1</v>
      </c>
      <c r="L508">
        <f t="shared" si="96"/>
        <v>3</v>
      </c>
      <c r="M508" s="3">
        <f t="shared" ca="1" si="97"/>
        <v>46100</v>
      </c>
      <c r="N508">
        <f t="shared" ca="1" si="98"/>
        <v>5919</v>
      </c>
      <c r="O508">
        <f t="shared" ca="1" si="99"/>
        <v>5919</v>
      </c>
      <c r="P508">
        <f t="shared" ca="1" si="100"/>
        <v>4229</v>
      </c>
      <c r="Q508">
        <v>34</v>
      </c>
      <c r="R508" t="str">
        <f t="shared" si="101"/>
        <v>Old</v>
      </c>
      <c r="S508" t="s">
        <v>34</v>
      </c>
      <c r="T508">
        <v>1</v>
      </c>
      <c r="U508" t="s">
        <v>25</v>
      </c>
      <c r="V508">
        <v>6185.55</v>
      </c>
      <c r="W508" t="s">
        <v>35</v>
      </c>
      <c r="X508" t="s">
        <v>40</v>
      </c>
      <c r="Y508">
        <v>16</v>
      </c>
      <c r="Z508" t="str">
        <f t="shared" si="102"/>
        <v>Bad Employee</v>
      </c>
      <c r="AA508" t="b">
        <f t="shared" si="103"/>
        <v>0</v>
      </c>
      <c r="AB508" t="b">
        <f>OR(Y508&gt;20, T508&gt;6)</f>
        <v>0</v>
      </c>
      <c r="AC508" t="str">
        <f>IF(OR(Y508&gt;20,T508&gt;6), "Good employee", "Bad Employee")</f>
        <v>Bad Employee</v>
      </c>
      <c r="AD508" t="s">
        <v>28</v>
      </c>
      <c r="AE508" t="s">
        <v>37</v>
      </c>
      <c r="AF508">
        <v>5</v>
      </c>
      <c r="AG508">
        <v>2017</v>
      </c>
      <c r="AH508" t="s">
        <v>49</v>
      </c>
      <c r="AI508">
        <v>95</v>
      </c>
      <c r="AJ508">
        <v>2.9</v>
      </c>
    </row>
    <row r="509" spans="1:36" x14ac:dyDescent="0.25">
      <c r="A509">
        <v>10508</v>
      </c>
      <c r="B509" t="s">
        <v>50</v>
      </c>
      <c r="C509" t="s">
        <v>63</v>
      </c>
      <c r="D509" t="s">
        <v>52</v>
      </c>
      <c r="E509" t="str">
        <f t="shared" si="91"/>
        <v>Alex Miller is in Operations Department</v>
      </c>
      <c r="F509" s="6" t="str">
        <f t="shared" si="92"/>
        <v>alexmiller@gmail.com</v>
      </c>
      <c r="G509">
        <v>79855</v>
      </c>
      <c r="H509" t="str">
        <f t="shared" si="93"/>
        <v>Medium</v>
      </c>
      <c r="I509" s="3">
        <v>37440</v>
      </c>
      <c r="J509">
        <f t="shared" si="94"/>
        <v>2002</v>
      </c>
      <c r="K509">
        <f t="shared" si="95"/>
        <v>7</v>
      </c>
      <c r="L509">
        <f t="shared" si="96"/>
        <v>3</v>
      </c>
      <c r="M509" s="3">
        <f t="shared" ca="1" si="97"/>
        <v>46100</v>
      </c>
      <c r="N509">
        <f t="shared" ca="1" si="98"/>
        <v>8660</v>
      </c>
      <c r="O509">
        <f t="shared" ca="1" si="99"/>
        <v>8660</v>
      </c>
      <c r="P509">
        <f t="shared" ca="1" si="100"/>
        <v>6187</v>
      </c>
      <c r="Q509">
        <v>37</v>
      </c>
      <c r="R509" t="str">
        <f t="shared" si="101"/>
        <v>Old</v>
      </c>
      <c r="S509" t="s">
        <v>24</v>
      </c>
      <c r="T509">
        <v>4</v>
      </c>
      <c r="U509" t="s">
        <v>25</v>
      </c>
      <c r="V509">
        <v>1730.5</v>
      </c>
      <c r="W509" t="s">
        <v>58</v>
      </c>
      <c r="X509" t="s">
        <v>40</v>
      </c>
      <c r="Y509">
        <v>5</v>
      </c>
      <c r="Z509" t="str">
        <f t="shared" si="102"/>
        <v>Bad Employee</v>
      </c>
      <c r="AA509" t="b">
        <f t="shared" si="103"/>
        <v>0</v>
      </c>
      <c r="AB509" t="b">
        <f>OR(Y509&gt;20, T509&gt;6)</f>
        <v>0</v>
      </c>
      <c r="AC509" t="str">
        <f>IF(OR(Y509&gt;20,T509&gt;6), "Good employee", "Bad Employee")</f>
        <v>Bad Employee</v>
      </c>
      <c r="AD509" t="s">
        <v>56</v>
      </c>
      <c r="AE509" t="s">
        <v>37</v>
      </c>
      <c r="AF509">
        <v>5</v>
      </c>
      <c r="AG509">
        <v>2013</v>
      </c>
      <c r="AH509" t="s">
        <v>49</v>
      </c>
      <c r="AI509">
        <v>74</v>
      </c>
      <c r="AJ509">
        <v>2.5</v>
      </c>
    </row>
    <row r="510" spans="1:36" x14ac:dyDescent="0.25">
      <c r="A510">
        <v>10509</v>
      </c>
      <c r="B510" t="s">
        <v>53</v>
      </c>
      <c r="C510" t="s">
        <v>61</v>
      </c>
      <c r="D510" t="s">
        <v>39</v>
      </c>
      <c r="E510" t="str">
        <f t="shared" si="91"/>
        <v>Sarah Smith is in IT Department</v>
      </c>
      <c r="F510" s="6" t="str">
        <f t="shared" si="92"/>
        <v>sarahsmith@gmail.com</v>
      </c>
      <c r="G510">
        <v>79086</v>
      </c>
      <c r="H510" t="str">
        <f t="shared" si="93"/>
        <v>Medium</v>
      </c>
      <c r="I510" s="3">
        <v>36813</v>
      </c>
      <c r="J510">
        <f t="shared" si="94"/>
        <v>2000</v>
      </c>
      <c r="K510">
        <f t="shared" si="95"/>
        <v>10</v>
      </c>
      <c r="L510">
        <f t="shared" si="96"/>
        <v>14</v>
      </c>
      <c r="M510" s="3">
        <f t="shared" ca="1" si="97"/>
        <v>46100</v>
      </c>
      <c r="N510">
        <f t="shared" ca="1" si="98"/>
        <v>9287</v>
      </c>
      <c r="O510">
        <f t="shared" ca="1" si="99"/>
        <v>9287</v>
      </c>
      <c r="P510">
        <f t="shared" ca="1" si="100"/>
        <v>6634</v>
      </c>
      <c r="Q510">
        <v>47</v>
      </c>
      <c r="R510" t="str">
        <f t="shared" si="101"/>
        <v>Old</v>
      </c>
      <c r="S510" t="s">
        <v>24</v>
      </c>
      <c r="T510">
        <v>4</v>
      </c>
      <c r="U510" t="s">
        <v>45</v>
      </c>
      <c r="V510">
        <v>7362.79</v>
      </c>
      <c r="W510" t="s">
        <v>26</v>
      </c>
      <c r="X510" t="s">
        <v>40</v>
      </c>
      <c r="Y510">
        <v>6</v>
      </c>
      <c r="Z510" t="str">
        <f t="shared" si="102"/>
        <v>Bad Employee</v>
      </c>
      <c r="AA510" t="b">
        <f t="shared" si="103"/>
        <v>0</v>
      </c>
      <c r="AB510" t="b">
        <f>OR(Y510&gt;20, T510&gt;6)</f>
        <v>0</v>
      </c>
      <c r="AC510" t="str">
        <f>IF(OR(Y510&gt;20,T510&gt;6), "Good employee", "Bad Employee")</f>
        <v>Bad Employee</v>
      </c>
      <c r="AD510" t="s">
        <v>56</v>
      </c>
      <c r="AE510" t="s">
        <v>48</v>
      </c>
      <c r="AF510">
        <v>2</v>
      </c>
      <c r="AG510">
        <v>2014</v>
      </c>
      <c r="AH510" t="s">
        <v>30</v>
      </c>
      <c r="AI510">
        <v>143</v>
      </c>
      <c r="AJ510">
        <v>4</v>
      </c>
    </row>
    <row r="511" spans="1:36" x14ac:dyDescent="0.25">
      <c r="A511">
        <v>10510</v>
      </c>
      <c r="B511" t="s">
        <v>60</v>
      </c>
      <c r="C511" t="s">
        <v>51</v>
      </c>
      <c r="D511" t="s">
        <v>52</v>
      </c>
      <c r="E511" t="str">
        <f t="shared" si="91"/>
        <v>Jane Brown is in Operations Department</v>
      </c>
      <c r="F511" s="6" t="str">
        <f t="shared" si="92"/>
        <v>janebrown@gmail.com</v>
      </c>
      <c r="G511">
        <v>48907</v>
      </c>
      <c r="H511" t="str">
        <f t="shared" si="93"/>
        <v>low</v>
      </c>
      <c r="I511" s="3">
        <v>40716</v>
      </c>
      <c r="J511">
        <f t="shared" si="94"/>
        <v>2011</v>
      </c>
      <c r="K511">
        <f t="shared" si="95"/>
        <v>6</v>
      </c>
      <c r="L511">
        <f t="shared" si="96"/>
        <v>22</v>
      </c>
      <c r="M511" s="3">
        <f t="shared" ca="1" si="97"/>
        <v>46100</v>
      </c>
      <c r="N511">
        <f t="shared" ca="1" si="98"/>
        <v>5384</v>
      </c>
      <c r="O511">
        <f t="shared" ca="1" si="99"/>
        <v>5384</v>
      </c>
      <c r="P511">
        <f t="shared" ca="1" si="100"/>
        <v>3847</v>
      </c>
      <c r="Q511">
        <v>52</v>
      </c>
      <c r="R511" t="str">
        <f t="shared" si="101"/>
        <v>Old</v>
      </c>
      <c r="S511" t="s">
        <v>34</v>
      </c>
      <c r="T511">
        <v>6</v>
      </c>
      <c r="U511" t="s">
        <v>45</v>
      </c>
      <c r="V511">
        <v>6201.97</v>
      </c>
      <c r="W511" t="s">
        <v>46</v>
      </c>
      <c r="X511" t="s">
        <v>47</v>
      </c>
      <c r="Y511">
        <v>24</v>
      </c>
      <c r="Z511" t="str">
        <f t="shared" si="102"/>
        <v>Bad Employee</v>
      </c>
      <c r="AA511" t="b">
        <f t="shared" si="103"/>
        <v>0</v>
      </c>
      <c r="AB511" t="b">
        <f>OR(Y511&gt;20, T511&gt;6)</f>
        <v>1</v>
      </c>
      <c r="AC511" t="str">
        <f>IF(OR(Y511&gt;20,T511&gt;6), "Good employee", "Bad Employee")</f>
        <v>Good employee</v>
      </c>
      <c r="AD511" t="s">
        <v>41</v>
      </c>
      <c r="AE511" t="s">
        <v>29</v>
      </c>
      <c r="AF511">
        <v>7</v>
      </c>
      <c r="AG511">
        <v>2017</v>
      </c>
      <c r="AH511" t="s">
        <v>49</v>
      </c>
      <c r="AI511">
        <v>179</v>
      </c>
      <c r="AJ511">
        <v>3.3</v>
      </c>
    </row>
    <row r="512" spans="1:36" x14ac:dyDescent="0.25">
      <c r="A512">
        <v>10511</v>
      </c>
      <c r="B512" t="s">
        <v>66</v>
      </c>
      <c r="C512" t="s">
        <v>22</v>
      </c>
      <c r="D512" t="s">
        <v>54</v>
      </c>
      <c r="E512" t="str">
        <f t="shared" si="91"/>
        <v>John Williams is in Finance Department</v>
      </c>
      <c r="F512" s="6" t="str">
        <f t="shared" si="92"/>
        <v>johnwilliams@gmail.com</v>
      </c>
      <c r="G512">
        <v>101695</v>
      </c>
      <c r="H512" t="str">
        <f t="shared" si="93"/>
        <v>High</v>
      </c>
      <c r="I512" s="3">
        <v>43338</v>
      </c>
      <c r="J512">
        <f t="shared" si="94"/>
        <v>2018</v>
      </c>
      <c r="K512">
        <f t="shared" si="95"/>
        <v>8</v>
      </c>
      <c r="L512">
        <f t="shared" si="96"/>
        <v>26</v>
      </c>
      <c r="M512" s="3">
        <f t="shared" ca="1" si="97"/>
        <v>46100</v>
      </c>
      <c r="N512">
        <f t="shared" ca="1" si="98"/>
        <v>2762</v>
      </c>
      <c r="O512">
        <f t="shared" ca="1" si="99"/>
        <v>2762</v>
      </c>
      <c r="P512">
        <f t="shared" ca="1" si="100"/>
        <v>1974</v>
      </c>
      <c r="Q512">
        <v>22</v>
      </c>
      <c r="R512" t="str">
        <f t="shared" si="101"/>
        <v>Young</v>
      </c>
      <c r="S512" t="s">
        <v>24</v>
      </c>
      <c r="T512">
        <v>1</v>
      </c>
      <c r="U512" t="s">
        <v>45</v>
      </c>
      <c r="V512">
        <v>5315.85</v>
      </c>
      <c r="W512" t="s">
        <v>35</v>
      </c>
      <c r="X512" t="s">
        <v>55</v>
      </c>
      <c r="Y512">
        <v>30</v>
      </c>
      <c r="Z512" t="str">
        <f t="shared" si="102"/>
        <v>Bad Employee</v>
      </c>
      <c r="AA512" t="b">
        <f t="shared" si="103"/>
        <v>0</v>
      </c>
      <c r="AB512" t="b">
        <f>OR(Y512&gt;20, T512&gt;6)</f>
        <v>1</v>
      </c>
      <c r="AC512" t="str">
        <f>IF(OR(Y512&gt;20,T512&gt;6), "Good employee", "Bad Employee")</f>
        <v>Good employee</v>
      </c>
      <c r="AD512" t="s">
        <v>56</v>
      </c>
      <c r="AE512" t="s">
        <v>48</v>
      </c>
      <c r="AF512">
        <v>11</v>
      </c>
      <c r="AG512">
        <v>2012</v>
      </c>
      <c r="AH512" t="s">
        <v>49</v>
      </c>
      <c r="AI512">
        <v>85</v>
      </c>
      <c r="AJ512">
        <v>3.8</v>
      </c>
    </row>
    <row r="513" spans="1:36" x14ac:dyDescent="0.25">
      <c r="A513">
        <v>10512</v>
      </c>
      <c r="B513" t="s">
        <v>60</v>
      </c>
      <c r="C513" t="s">
        <v>57</v>
      </c>
      <c r="D513" t="s">
        <v>39</v>
      </c>
      <c r="E513" t="str">
        <f t="shared" si="91"/>
        <v>Jane Davis is in IT Department</v>
      </c>
      <c r="F513" s="6" t="str">
        <f t="shared" si="92"/>
        <v>janedavis@gmail.com</v>
      </c>
      <c r="G513">
        <v>78487</v>
      </c>
      <c r="H513" t="str">
        <f t="shared" si="93"/>
        <v>Medium</v>
      </c>
      <c r="I513" s="3">
        <v>38614</v>
      </c>
      <c r="J513">
        <f t="shared" si="94"/>
        <v>2005</v>
      </c>
      <c r="K513">
        <f t="shared" si="95"/>
        <v>9</v>
      </c>
      <c r="L513">
        <f t="shared" si="96"/>
        <v>19</v>
      </c>
      <c r="M513" s="3">
        <f t="shared" ca="1" si="97"/>
        <v>46100</v>
      </c>
      <c r="N513">
        <f t="shared" ca="1" si="98"/>
        <v>7486</v>
      </c>
      <c r="O513">
        <f t="shared" ca="1" si="99"/>
        <v>7486</v>
      </c>
      <c r="P513">
        <f t="shared" ca="1" si="100"/>
        <v>5349</v>
      </c>
      <c r="Q513">
        <v>38</v>
      </c>
      <c r="R513" t="str">
        <f t="shared" si="101"/>
        <v>Old</v>
      </c>
      <c r="S513" t="s">
        <v>24</v>
      </c>
      <c r="T513">
        <v>1</v>
      </c>
      <c r="U513" t="s">
        <v>25</v>
      </c>
      <c r="V513">
        <v>7086.23</v>
      </c>
      <c r="W513" t="s">
        <v>46</v>
      </c>
      <c r="X513" t="s">
        <v>27</v>
      </c>
      <c r="Y513">
        <v>37</v>
      </c>
      <c r="Z513" t="str">
        <f t="shared" si="102"/>
        <v>Bad Employee</v>
      </c>
      <c r="AA513" t="b">
        <f t="shared" si="103"/>
        <v>0</v>
      </c>
      <c r="AB513" t="b">
        <f>OR(Y513&gt;20, T513&gt;6)</f>
        <v>1</v>
      </c>
      <c r="AC513" t="str">
        <f>IF(OR(Y513&gt;20,T513&gt;6), "Good employee", "Bad Employee")</f>
        <v>Good employee</v>
      </c>
      <c r="AD513" t="s">
        <v>41</v>
      </c>
      <c r="AE513" t="s">
        <v>62</v>
      </c>
      <c r="AF513">
        <v>2</v>
      </c>
      <c r="AG513">
        <v>2015</v>
      </c>
      <c r="AH513" t="s">
        <v>30</v>
      </c>
      <c r="AI513">
        <v>35</v>
      </c>
      <c r="AJ513">
        <v>1.6</v>
      </c>
    </row>
    <row r="514" spans="1:36" x14ac:dyDescent="0.25">
      <c r="A514">
        <v>10513</v>
      </c>
      <c r="B514" t="s">
        <v>21</v>
      </c>
      <c r="C514" t="s">
        <v>61</v>
      </c>
      <c r="D514" t="s">
        <v>54</v>
      </c>
      <c r="E514" t="str">
        <f t="shared" si="91"/>
        <v>Michael Smith is in Finance Department</v>
      </c>
      <c r="F514" s="6" t="str">
        <f t="shared" si="92"/>
        <v>michaelsmith@gmail.com</v>
      </c>
      <c r="G514">
        <v>59158</v>
      </c>
      <c r="H514" t="str">
        <f t="shared" si="93"/>
        <v>Medium</v>
      </c>
      <c r="I514" s="3">
        <v>40952</v>
      </c>
      <c r="J514">
        <f t="shared" si="94"/>
        <v>2012</v>
      </c>
      <c r="K514">
        <f t="shared" si="95"/>
        <v>2</v>
      </c>
      <c r="L514">
        <f t="shared" si="96"/>
        <v>13</v>
      </c>
      <c r="M514" s="3">
        <f t="shared" ca="1" si="97"/>
        <v>46100</v>
      </c>
      <c r="N514">
        <f t="shared" ca="1" si="98"/>
        <v>5148</v>
      </c>
      <c r="O514">
        <f t="shared" ca="1" si="99"/>
        <v>5148</v>
      </c>
      <c r="P514">
        <f t="shared" ca="1" si="100"/>
        <v>3679</v>
      </c>
      <c r="Q514">
        <v>37</v>
      </c>
      <c r="R514" t="str">
        <f t="shared" si="101"/>
        <v>Old</v>
      </c>
      <c r="S514" t="s">
        <v>24</v>
      </c>
      <c r="T514">
        <v>3</v>
      </c>
      <c r="U514" t="s">
        <v>25</v>
      </c>
      <c r="V514">
        <v>4718.45</v>
      </c>
      <c r="W514" t="s">
        <v>58</v>
      </c>
      <c r="X514" t="s">
        <v>36</v>
      </c>
      <c r="Y514">
        <v>32</v>
      </c>
      <c r="Z514" t="str">
        <f t="shared" si="102"/>
        <v>Bad Employee</v>
      </c>
      <c r="AA514" t="b">
        <f t="shared" si="103"/>
        <v>0</v>
      </c>
      <c r="AB514" t="b">
        <f>OR(Y514&gt;20, T514&gt;6)</f>
        <v>1</v>
      </c>
      <c r="AC514" t="str">
        <f>IF(OR(Y514&gt;20,T514&gt;6), "Good employee", "Bad Employee")</f>
        <v>Good employee</v>
      </c>
      <c r="AD514" t="s">
        <v>41</v>
      </c>
      <c r="AE514" t="s">
        <v>59</v>
      </c>
      <c r="AF514">
        <v>1</v>
      </c>
      <c r="AG514">
        <v>2023</v>
      </c>
      <c r="AH514" t="s">
        <v>43</v>
      </c>
      <c r="AI514">
        <v>17</v>
      </c>
      <c r="AJ514">
        <v>3.9</v>
      </c>
    </row>
    <row r="515" spans="1:36" x14ac:dyDescent="0.25">
      <c r="A515">
        <v>10514</v>
      </c>
      <c r="B515" t="s">
        <v>64</v>
      </c>
      <c r="C515" t="s">
        <v>65</v>
      </c>
      <c r="D515" t="s">
        <v>54</v>
      </c>
      <c r="E515" t="str">
        <f t="shared" ref="E515:E578" si="104">CONCATENATE(B515, " ", C515, " is in ", D515, " Department")</f>
        <v>Katie Johnson is in Finance Department</v>
      </c>
      <c r="F515" s="6" t="str">
        <f t="shared" ref="F515:F578" si="105">LOWER(CONCATENATE(B515, C515, "@gmail.com"))</f>
        <v>katiejohnson@gmail.com</v>
      </c>
      <c r="G515">
        <v>50293</v>
      </c>
      <c r="H515" t="str">
        <f t="shared" ref="H515:H578" si="106">IF(G515&gt;80000, "High", IF(G515&gt;50000, "Medium", IF(G515&gt;40000, "low", "extremely low")))</f>
        <v>Medium</v>
      </c>
      <c r="I515" s="3">
        <v>42458</v>
      </c>
      <c r="J515">
        <f t="shared" ref="J515:J578" si="107">YEAR(I515)</f>
        <v>2016</v>
      </c>
      <c r="K515">
        <f t="shared" ref="K515:K578" si="108">MONTH(I515)</f>
        <v>3</v>
      </c>
      <c r="L515">
        <f t="shared" ref="L515:L578" si="109">DAY(I515)</f>
        <v>29</v>
      </c>
      <c r="M515" s="3">
        <f t="shared" ref="M515:M578" ca="1" si="110">TODAY()</f>
        <v>46100</v>
      </c>
      <c r="N515">
        <f t="shared" ref="N515:N578" ca="1" si="111">M515-I515</f>
        <v>3642</v>
      </c>
      <c r="O515">
        <f t="shared" ref="O515:O578" ca="1" si="112">DATEDIF(I515,M515, "d")</f>
        <v>3642</v>
      </c>
      <c r="P515">
        <f t="shared" ref="P515:P578" ca="1" si="113">NETWORKDAYS(I515, M515)</f>
        <v>2603</v>
      </c>
      <c r="Q515">
        <v>58</v>
      </c>
      <c r="R515" t="str">
        <f t="shared" ref="R515:R578" si="114">IF(Q515&gt;30, "Old", "Young")</f>
        <v>Old</v>
      </c>
      <c r="S515" t="s">
        <v>24</v>
      </c>
      <c r="T515">
        <v>5</v>
      </c>
      <c r="U515" t="s">
        <v>45</v>
      </c>
      <c r="V515">
        <v>5476.67</v>
      </c>
      <c r="W515" t="s">
        <v>46</v>
      </c>
      <c r="X515" t="s">
        <v>40</v>
      </c>
      <c r="Y515">
        <v>19</v>
      </c>
      <c r="Z515" t="str">
        <f t="shared" ref="Z515:Z578" si="115" xml:space="preserve"> IF(AND(Y515&gt;20, T515&gt;6), "Good Employee", "Bad Employee")</f>
        <v>Bad Employee</v>
      </c>
      <c r="AA515" t="b">
        <f t="shared" ref="AA515:AA578" si="116">AND(Y515&gt;20, T515&gt;6)</f>
        <v>0</v>
      </c>
      <c r="AB515" t="b">
        <f>OR(Y515&gt;20, T515&gt;6)</f>
        <v>0</v>
      </c>
      <c r="AC515" t="str">
        <f>IF(OR(Y515&gt;20,T515&gt;6), "Good employee", "Bad Employee")</f>
        <v>Bad Employee</v>
      </c>
      <c r="AD515" t="s">
        <v>28</v>
      </c>
      <c r="AE515" t="s">
        <v>37</v>
      </c>
      <c r="AF515">
        <v>0</v>
      </c>
      <c r="AG515">
        <v>2010</v>
      </c>
      <c r="AH515" t="s">
        <v>43</v>
      </c>
      <c r="AI515">
        <v>27</v>
      </c>
      <c r="AJ515">
        <v>2.8</v>
      </c>
    </row>
    <row r="516" spans="1:36" x14ac:dyDescent="0.25">
      <c r="A516">
        <v>10515</v>
      </c>
      <c r="B516" t="s">
        <v>60</v>
      </c>
      <c r="C516" t="s">
        <v>22</v>
      </c>
      <c r="D516" t="s">
        <v>23</v>
      </c>
      <c r="E516" t="str">
        <f t="shared" si="104"/>
        <v>Jane Williams is in HR Department</v>
      </c>
      <c r="F516" s="6" t="str">
        <f t="shared" si="105"/>
        <v>janewilliams@gmail.com</v>
      </c>
      <c r="G516">
        <v>75761</v>
      </c>
      <c r="H516" t="str">
        <f t="shared" si="106"/>
        <v>Medium</v>
      </c>
      <c r="I516" s="3">
        <v>38330</v>
      </c>
      <c r="J516">
        <f t="shared" si="107"/>
        <v>2004</v>
      </c>
      <c r="K516">
        <f t="shared" si="108"/>
        <v>12</v>
      </c>
      <c r="L516">
        <f t="shared" si="109"/>
        <v>9</v>
      </c>
      <c r="M516" s="3">
        <f t="shared" ca="1" si="110"/>
        <v>46100</v>
      </c>
      <c r="N516">
        <f t="shared" ca="1" si="111"/>
        <v>7770</v>
      </c>
      <c r="O516">
        <f t="shared" ca="1" si="112"/>
        <v>7770</v>
      </c>
      <c r="P516">
        <f t="shared" ca="1" si="113"/>
        <v>5551</v>
      </c>
      <c r="Q516">
        <v>31</v>
      </c>
      <c r="R516" t="str">
        <f t="shared" si="114"/>
        <v>Old</v>
      </c>
      <c r="S516" t="s">
        <v>24</v>
      </c>
      <c r="T516">
        <v>6</v>
      </c>
      <c r="U516" t="s">
        <v>25</v>
      </c>
      <c r="V516">
        <v>4284.3500000000004</v>
      </c>
      <c r="W516" t="s">
        <v>26</v>
      </c>
      <c r="X516" t="s">
        <v>36</v>
      </c>
      <c r="Y516">
        <v>28</v>
      </c>
      <c r="Z516" t="str">
        <f t="shared" si="115"/>
        <v>Bad Employee</v>
      </c>
      <c r="AA516" t="b">
        <f t="shared" si="116"/>
        <v>0</v>
      </c>
      <c r="AB516" t="b">
        <f>OR(Y516&gt;20, T516&gt;6)</f>
        <v>1</v>
      </c>
      <c r="AC516" t="str">
        <f>IF(OR(Y516&gt;20,T516&gt;6), "Good employee", "Bad Employee")</f>
        <v>Good employee</v>
      </c>
      <c r="AD516" t="s">
        <v>56</v>
      </c>
      <c r="AE516" t="s">
        <v>42</v>
      </c>
      <c r="AF516">
        <v>17</v>
      </c>
      <c r="AG516">
        <v>2013</v>
      </c>
      <c r="AH516" t="s">
        <v>30</v>
      </c>
      <c r="AI516">
        <v>69</v>
      </c>
      <c r="AJ516">
        <v>1.1000000000000001</v>
      </c>
    </row>
    <row r="517" spans="1:36" x14ac:dyDescent="0.25">
      <c r="A517">
        <v>10516</v>
      </c>
      <c r="B517" t="s">
        <v>50</v>
      </c>
      <c r="C517" t="s">
        <v>32</v>
      </c>
      <c r="D517" t="s">
        <v>54</v>
      </c>
      <c r="E517" t="str">
        <f t="shared" si="104"/>
        <v>Alex Wilson is in Finance Department</v>
      </c>
      <c r="F517" s="6" t="str">
        <f t="shared" si="105"/>
        <v>alexwilson@gmail.com</v>
      </c>
      <c r="G517">
        <v>63387</v>
      </c>
      <c r="H517" t="str">
        <f t="shared" si="106"/>
        <v>Medium</v>
      </c>
      <c r="I517" s="3">
        <v>37704</v>
      </c>
      <c r="J517">
        <f t="shared" si="107"/>
        <v>2003</v>
      </c>
      <c r="K517">
        <f t="shared" si="108"/>
        <v>3</v>
      </c>
      <c r="L517">
        <f t="shared" si="109"/>
        <v>24</v>
      </c>
      <c r="M517" s="3">
        <f t="shared" ca="1" si="110"/>
        <v>46100</v>
      </c>
      <c r="N517">
        <f t="shared" ca="1" si="111"/>
        <v>8396</v>
      </c>
      <c r="O517">
        <f t="shared" ca="1" si="112"/>
        <v>8396</v>
      </c>
      <c r="P517">
        <f t="shared" ca="1" si="113"/>
        <v>5999</v>
      </c>
      <c r="Q517">
        <v>59</v>
      </c>
      <c r="R517" t="str">
        <f t="shared" si="114"/>
        <v>Old</v>
      </c>
      <c r="S517" t="s">
        <v>34</v>
      </c>
      <c r="T517">
        <v>5</v>
      </c>
      <c r="U517" t="s">
        <v>45</v>
      </c>
      <c r="V517">
        <v>7315.02</v>
      </c>
      <c r="W517" t="s">
        <v>26</v>
      </c>
      <c r="X517" t="s">
        <v>55</v>
      </c>
      <c r="Y517">
        <v>8</v>
      </c>
      <c r="Z517" t="str">
        <f t="shared" si="115"/>
        <v>Bad Employee</v>
      </c>
      <c r="AA517" t="b">
        <f t="shared" si="116"/>
        <v>0</v>
      </c>
      <c r="AB517" t="b">
        <f>OR(Y517&gt;20, T517&gt;6)</f>
        <v>0</v>
      </c>
      <c r="AC517" t="str">
        <f>IF(OR(Y517&gt;20,T517&gt;6), "Good employee", "Bad Employee")</f>
        <v>Bad Employee</v>
      </c>
      <c r="AD517" t="s">
        <v>41</v>
      </c>
      <c r="AE517" t="s">
        <v>59</v>
      </c>
      <c r="AF517">
        <v>17</v>
      </c>
      <c r="AG517">
        <v>2023</v>
      </c>
      <c r="AH517" t="s">
        <v>49</v>
      </c>
      <c r="AI517">
        <v>34</v>
      </c>
      <c r="AJ517">
        <v>1.9</v>
      </c>
    </row>
    <row r="518" spans="1:36" x14ac:dyDescent="0.25">
      <c r="A518">
        <v>10517</v>
      </c>
      <c r="B518" t="s">
        <v>53</v>
      </c>
      <c r="C518" t="s">
        <v>32</v>
      </c>
      <c r="D518" t="s">
        <v>54</v>
      </c>
      <c r="E518" t="str">
        <f t="shared" si="104"/>
        <v>Sarah Wilson is in Finance Department</v>
      </c>
      <c r="F518" s="6" t="str">
        <f t="shared" si="105"/>
        <v>sarahwilson@gmail.com</v>
      </c>
      <c r="G518">
        <v>70750</v>
      </c>
      <c r="H518" t="str">
        <f t="shared" si="106"/>
        <v>Medium</v>
      </c>
      <c r="I518" s="3">
        <v>39077</v>
      </c>
      <c r="J518">
        <f t="shared" si="107"/>
        <v>2006</v>
      </c>
      <c r="K518">
        <f t="shared" si="108"/>
        <v>12</v>
      </c>
      <c r="L518">
        <f t="shared" si="109"/>
        <v>26</v>
      </c>
      <c r="M518" s="3">
        <f t="shared" ca="1" si="110"/>
        <v>46100</v>
      </c>
      <c r="N518">
        <f t="shared" ca="1" si="111"/>
        <v>7023</v>
      </c>
      <c r="O518">
        <f t="shared" ca="1" si="112"/>
        <v>7023</v>
      </c>
      <c r="P518">
        <f t="shared" ca="1" si="113"/>
        <v>5018</v>
      </c>
      <c r="Q518">
        <v>52</v>
      </c>
      <c r="R518" t="str">
        <f t="shared" si="114"/>
        <v>Old</v>
      </c>
      <c r="S518" t="s">
        <v>34</v>
      </c>
      <c r="T518">
        <v>5</v>
      </c>
      <c r="U518" t="s">
        <v>25</v>
      </c>
      <c r="V518">
        <v>8827.7999999999993</v>
      </c>
      <c r="W518" t="s">
        <v>46</v>
      </c>
      <c r="X518" t="s">
        <v>27</v>
      </c>
      <c r="Y518">
        <v>1</v>
      </c>
      <c r="Z518" t="str">
        <f t="shared" si="115"/>
        <v>Bad Employee</v>
      </c>
      <c r="AA518" t="b">
        <f t="shared" si="116"/>
        <v>0</v>
      </c>
      <c r="AB518" t="b">
        <f>OR(Y518&gt;20, T518&gt;6)</f>
        <v>0</v>
      </c>
      <c r="AC518" t="str">
        <f>IF(OR(Y518&gt;20,T518&gt;6), "Good employee", "Bad Employee")</f>
        <v>Bad Employee</v>
      </c>
      <c r="AD518" t="s">
        <v>41</v>
      </c>
      <c r="AE518" t="s">
        <v>37</v>
      </c>
      <c r="AF518">
        <v>7</v>
      </c>
      <c r="AG518">
        <v>2015</v>
      </c>
      <c r="AH518" t="s">
        <v>43</v>
      </c>
      <c r="AI518">
        <v>163</v>
      </c>
      <c r="AJ518">
        <v>1.1000000000000001</v>
      </c>
    </row>
    <row r="519" spans="1:36" x14ac:dyDescent="0.25">
      <c r="A519">
        <v>10518</v>
      </c>
      <c r="B519" t="s">
        <v>64</v>
      </c>
      <c r="C519" t="s">
        <v>63</v>
      </c>
      <c r="D519" t="s">
        <v>39</v>
      </c>
      <c r="E519" t="str">
        <f t="shared" si="104"/>
        <v>Katie Miller is in IT Department</v>
      </c>
      <c r="F519" s="6" t="str">
        <f t="shared" si="105"/>
        <v>katiemiller@gmail.com</v>
      </c>
      <c r="G519">
        <v>98602</v>
      </c>
      <c r="H519" t="str">
        <f t="shared" si="106"/>
        <v>High</v>
      </c>
      <c r="I519" s="3">
        <v>40896</v>
      </c>
      <c r="J519">
        <f t="shared" si="107"/>
        <v>2011</v>
      </c>
      <c r="K519">
        <f t="shared" si="108"/>
        <v>12</v>
      </c>
      <c r="L519">
        <f t="shared" si="109"/>
        <v>19</v>
      </c>
      <c r="M519" s="3">
        <f t="shared" ca="1" si="110"/>
        <v>46100</v>
      </c>
      <c r="N519">
        <f t="shared" ca="1" si="111"/>
        <v>5204</v>
      </c>
      <c r="O519">
        <f t="shared" ca="1" si="112"/>
        <v>5204</v>
      </c>
      <c r="P519">
        <f t="shared" ca="1" si="113"/>
        <v>3719</v>
      </c>
      <c r="Q519">
        <v>31</v>
      </c>
      <c r="R519" t="str">
        <f t="shared" si="114"/>
        <v>Old</v>
      </c>
      <c r="S519" t="s">
        <v>24</v>
      </c>
      <c r="T519">
        <v>9</v>
      </c>
      <c r="U519" t="s">
        <v>25</v>
      </c>
      <c r="V519">
        <v>8488.0300000000007</v>
      </c>
      <c r="W519" t="s">
        <v>46</v>
      </c>
      <c r="X519" t="s">
        <v>40</v>
      </c>
      <c r="Y519">
        <v>4</v>
      </c>
      <c r="Z519" t="str">
        <f t="shared" si="115"/>
        <v>Bad Employee</v>
      </c>
      <c r="AA519" t="b">
        <f t="shared" si="116"/>
        <v>0</v>
      </c>
      <c r="AB519" t="b">
        <f>OR(Y519&gt;20, T519&gt;6)</f>
        <v>1</v>
      </c>
      <c r="AC519" t="str">
        <f>IF(OR(Y519&gt;20,T519&gt;6), "Good employee", "Bad Employee")</f>
        <v>Good employee</v>
      </c>
      <c r="AD519" t="s">
        <v>56</v>
      </c>
      <c r="AE519" t="s">
        <v>29</v>
      </c>
      <c r="AF519">
        <v>13</v>
      </c>
      <c r="AG519">
        <v>2012</v>
      </c>
      <c r="AH519" t="s">
        <v>43</v>
      </c>
      <c r="AI519">
        <v>51</v>
      </c>
      <c r="AJ519">
        <v>2.8</v>
      </c>
    </row>
    <row r="520" spans="1:36" x14ac:dyDescent="0.25">
      <c r="A520">
        <v>10519</v>
      </c>
      <c r="B520" t="s">
        <v>53</v>
      </c>
      <c r="C520" t="s">
        <v>63</v>
      </c>
      <c r="D520" t="s">
        <v>39</v>
      </c>
      <c r="E520" t="str">
        <f t="shared" si="104"/>
        <v>Sarah Miller is in IT Department</v>
      </c>
      <c r="F520" s="6" t="str">
        <f t="shared" si="105"/>
        <v>sarahmiller@gmail.com</v>
      </c>
      <c r="G520">
        <v>51256</v>
      </c>
      <c r="H520" t="str">
        <f t="shared" si="106"/>
        <v>Medium</v>
      </c>
      <c r="I520" s="3">
        <v>38114</v>
      </c>
      <c r="J520">
        <f t="shared" si="107"/>
        <v>2004</v>
      </c>
      <c r="K520">
        <f t="shared" si="108"/>
        <v>5</v>
      </c>
      <c r="L520">
        <f t="shared" si="109"/>
        <v>7</v>
      </c>
      <c r="M520" s="3">
        <f t="shared" ca="1" si="110"/>
        <v>46100</v>
      </c>
      <c r="N520">
        <f t="shared" ca="1" si="111"/>
        <v>7986</v>
      </c>
      <c r="O520">
        <f t="shared" ca="1" si="112"/>
        <v>7986</v>
      </c>
      <c r="P520">
        <f t="shared" ca="1" si="113"/>
        <v>5705</v>
      </c>
      <c r="Q520">
        <v>55</v>
      </c>
      <c r="R520" t="str">
        <f t="shared" si="114"/>
        <v>Old</v>
      </c>
      <c r="S520" t="s">
        <v>34</v>
      </c>
      <c r="T520">
        <v>2</v>
      </c>
      <c r="U520" t="s">
        <v>25</v>
      </c>
      <c r="V520">
        <v>7967.24</v>
      </c>
      <c r="W520" t="s">
        <v>26</v>
      </c>
      <c r="X520" t="s">
        <v>40</v>
      </c>
      <c r="Y520">
        <v>22</v>
      </c>
      <c r="Z520" t="str">
        <f t="shared" si="115"/>
        <v>Bad Employee</v>
      </c>
      <c r="AA520" t="b">
        <f t="shared" si="116"/>
        <v>0</v>
      </c>
      <c r="AB520" t="b">
        <f>OR(Y520&gt;20, T520&gt;6)</f>
        <v>1</v>
      </c>
      <c r="AC520" t="str">
        <f>IF(OR(Y520&gt;20,T520&gt;6), "Good employee", "Bad Employee")</f>
        <v>Good employee</v>
      </c>
      <c r="AD520" t="s">
        <v>56</v>
      </c>
      <c r="AE520" t="s">
        <v>37</v>
      </c>
      <c r="AF520">
        <v>12</v>
      </c>
      <c r="AG520">
        <v>2010</v>
      </c>
      <c r="AH520" t="s">
        <v>49</v>
      </c>
      <c r="AI520">
        <v>148</v>
      </c>
      <c r="AJ520">
        <v>2.2999999999999998</v>
      </c>
    </row>
    <row r="521" spans="1:36" x14ac:dyDescent="0.25">
      <c r="A521">
        <v>10520</v>
      </c>
      <c r="B521" t="s">
        <v>60</v>
      </c>
      <c r="C521" t="s">
        <v>65</v>
      </c>
      <c r="D521" t="s">
        <v>33</v>
      </c>
      <c r="E521" t="str">
        <f t="shared" si="104"/>
        <v>Jane Johnson is in Marketing Department</v>
      </c>
      <c r="F521" s="6" t="str">
        <f t="shared" si="105"/>
        <v>janejohnson@gmail.com</v>
      </c>
      <c r="G521">
        <v>35594</v>
      </c>
      <c r="H521" t="str">
        <f t="shared" si="106"/>
        <v>extremely low</v>
      </c>
      <c r="I521" s="3">
        <v>42848</v>
      </c>
      <c r="J521">
        <f t="shared" si="107"/>
        <v>2017</v>
      </c>
      <c r="K521">
        <f t="shared" si="108"/>
        <v>4</v>
      </c>
      <c r="L521">
        <f t="shared" si="109"/>
        <v>23</v>
      </c>
      <c r="M521" s="3">
        <f t="shared" ca="1" si="110"/>
        <v>46100</v>
      </c>
      <c r="N521">
        <f t="shared" ca="1" si="111"/>
        <v>3252</v>
      </c>
      <c r="O521">
        <f t="shared" ca="1" si="112"/>
        <v>3252</v>
      </c>
      <c r="P521">
        <f t="shared" ca="1" si="113"/>
        <v>2324</v>
      </c>
      <c r="Q521">
        <v>27</v>
      </c>
      <c r="R521" t="str">
        <f t="shared" si="114"/>
        <v>Young</v>
      </c>
      <c r="S521" t="s">
        <v>24</v>
      </c>
      <c r="T521">
        <v>1</v>
      </c>
      <c r="U521" t="s">
        <v>45</v>
      </c>
      <c r="V521">
        <v>630.98</v>
      </c>
      <c r="W521" t="s">
        <v>35</v>
      </c>
      <c r="X521" t="s">
        <v>27</v>
      </c>
      <c r="Y521">
        <v>22</v>
      </c>
      <c r="Z521" t="str">
        <f t="shared" si="115"/>
        <v>Bad Employee</v>
      </c>
      <c r="AA521" t="b">
        <f t="shared" si="116"/>
        <v>0</v>
      </c>
      <c r="AB521" t="b">
        <f>OR(Y521&gt;20, T521&gt;6)</f>
        <v>1</v>
      </c>
      <c r="AC521" t="str">
        <f>IF(OR(Y521&gt;20,T521&gt;6), "Good employee", "Bad Employee")</f>
        <v>Good employee</v>
      </c>
      <c r="AD521" t="s">
        <v>56</v>
      </c>
      <c r="AE521" t="s">
        <v>48</v>
      </c>
      <c r="AF521">
        <v>14</v>
      </c>
      <c r="AG521">
        <v>2015</v>
      </c>
      <c r="AH521" t="s">
        <v>30</v>
      </c>
      <c r="AI521">
        <v>175</v>
      </c>
      <c r="AJ521">
        <v>4.9000000000000004</v>
      </c>
    </row>
    <row r="522" spans="1:36" x14ac:dyDescent="0.25">
      <c r="A522">
        <v>10521</v>
      </c>
      <c r="B522" t="s">
        <v>53</v>
      </c>
      <c r="C522" t="s">
        <v>65</v>
      </c>
      <c r="D522" t="s">
        <v>23</v>
      </c>
      <c r="E522" t="str">
        <f t="shared" si="104"/>
        <v>Sarah Johnson is in HR Department</v>
      </c>
      <c r="F522" s="6" t="str">
        <f t="shared" si="105"/>
        <v>sarahjohnson@gmail.com</v>
      </c>
      <c r="G522">
        <v>32460</v>
      </c>
      <c r="H522" t="str">
        <f t="shared" si="106"/>
        <v>extremely low</v>
      </c>
      <c r="I522" s="3">
        <v>38482</v>
      </c>
      <c r="J522">
        <f t="shared" si="107"/>
        <v>2005</v>
      </c>
      <c r="K522">
        <f t="shared" si="108"/>
        <v>5</v>
      </c>
      <c r="L522">
        <f t="shared" si="109"/>
        <v>10</v>
      </c>
      <c r="M522" s="3">
        <f t="shared" ca="1" si="110"/>
        <v>46100</v>
      </c>
      <c r="N522">
        <f t="shared" ca="1" si="111"/>
        <v>7618</v>
      </c>
      <c r="O522">
        <f t="shared" ca="1" si="112"/>
        <v>7618</v>
      </c>
      <c r="P522">
        <f t="shared" ca="1" si="113"/>
        <v>5443</v>
      </c>
      <c r="Q522">
        <v>49</v>
      </c>
      <c r="R522" t="str">
        <f t="shared" si="114"/>
        <v>Old</v>
      </c>
      <c r="S522" t="s">
        <v>24</v>
      </c>
      <c r="T522">
        <v>6</v>
      </c>
      <c r="U522" t="s">
        <v>25</v>
      </c>
      <c r="V522">
        <v>9162.86</v>
      </c>
      <c r="W522" t="s">
        <v>35</v>
      </c>
      <c r="X522" t="s">
        <v>36</v>
      </c>
      <c r="Y522">
        <v>30</v>
      </c>
      <c r="Z522" t="str">
        <f t="shared" si="115"/>
        <v>Bad Employee</v>
      </c>
      <c r="AA522" t="b">
        <f t="shared" si="116"/>
        <v>0</v>
      </c>
      <c r="AB522" t="b">
        <f>OR(Y522&gt;20, T522&gt;6)</f>
        <v>1</v>
      </c>
      <c r="AC522" t="str">
        <f>IF(OR(Y522&gt;20,T522&gt;6), "Good employee", "Bad Employee")</f>
        <v>Good employee</v>
      </c>
      <c r="AD522" t="s">
        <v>56</v>
      </c>
      <c r="AE522" t="s">
        <v>59</v>
      </c>
      <c r="AF522">
        <v>14</v>
      </c>
      <c r="AG522">
        <v>2023</v>
      </c>
      <c r="AH522" t="s">
        <v>30</v>
      </c>
      <c r="AI522">
        <v>135</v>
      </c>
      <c r="AJ522">
        <v>4.5</v>
      </c>
    </row>
    <row r="523" spans="1:36" x14ac:dyDescent="0.25">
      <c r="A523">
        <v>10522</v>
      </c>
      <c r="B523" t="s">
        <v>21</v>
      </c>
      <c r="C523" t="s">
        <v>63</v>
      </c>
      <c r="D523" t="s">
        <v>54</v>
      </c>
      <c r="E523" t="str">
        <f t="shared" si="104"/>
        <v>Michael Miller is in Finance Department</v>
      </c>
      <c r="F523" s="6" t="str">
        <f t="shared" si="105"/>
        <v>michaelmiller@gmail.com</v>
      </c>
      <c r="G523">
        <v>102356</v>
      </c>
      <c r="H523" t="str">
        <f t="shared" si="106"/>
        <v>High</v>
      </c>
      <c r="I523" s="3">
        <v>38301</v>
      </c>
      <c r="J523">
        <f t="shared" si="107"/>
        <v>2004</v>
      </c>
      <c r="K523">
        <f t="shared" si="108"/>
        <v>11</v>
      </c>
      <c r="L523">
        <f t="shared" si="109"/>
        <v>10</v>
      </c>
      <c r="M523" s="3">
        <f t="shared" ca="1" si="110"/>
        <v>46100</v>
      </c>
      <c r="N523">
        <f t="shared" ca="1" si="111"/>
        <v>7799</v>
      </c>
      <c r="O523">
        <f t="shared" ca="1" si="112"/>
        <v>7799</v>
      </c>
      <c r="P523">
        <f t="shared" ca="1" si="113"/>
        <v>5572</v>
      </c>
      <c r="Q523">
        <v>49</v>
      </c>
      <c r="R523" t="str">
        <f t="shared" si="114"/>
        <v>Old</v>
      </c>
      <c r="S523" t="s">
        <v>24</v>
      </c>
      <c r="T523">
        <v>9</v>
      </c>
      <c r="U523" t="s">
        <v>25</v>
      </c>
      <c r="V523">
        <v>3111.32</v>
      </c>
      <c r="W523" t="s">
        <v>26</v>
      </c>
      <c r="X523" t="s">
        <v>55</v>
      </c>
      <c r="Y523">
        <v>27</v>
      </c>
      <c r="Z523" t="str">
        <f t="shared" si="115"/>
        <v>Good Employee</v>
      </c>
      <c r="AA523" t="b">
        <f t="shared" si="116"/>
        <v>1</v>
      </c>
      <c r="AB523" t="b">
        <f>OR(Y523&gt;20, T523&gt;6)</f>
        <v>1</v>
      </c>
      <c r="AC523" t="str">
        <f>IF(OR(Y523&gt;20,T523&gt;6), "Good employee", "Bad Employee")</f>
        <v>Good employee</v>
      </c>
      <c r="AD523" t="s">
        <v>56</v>
      </c>
      <c r="AE523" t="s">
        <v>48</v>
      </c>
      <c r="AF523">
        <v>12</v>
      </c>
      <c r="AG523">
        <v>2012</v>
      </c>
      <c r="AH523" t="s">
        <v>43</v>
      </c>
      <c r="AI523">
        <v>16</v>
      </c>
      <c r="AJ523">
        <v>4.3</v>
      </c>
    </row>
    <row r="524" spans="1:36" x14ac:dyDescent="0.25">
      <c r="A524">
        <v>10523</v>
      </c>
      <c r="B524" t="s">
        <v>64</v>
      </c>
      <c r="C524" t="s">
        <v>51</v>
      </c>
      <c r="D524" t="s">
        <v>23</v>
      </c>
      <c r="E524" t="str">
        <f t="shared" si="104"/>
        <v>Katie Brown is in HR Department</v>
      </c>
      <c r="F524" s="6" t="str">
        <f t="shared" si="105"/>
        <v>katiebrown@gmail.com</v>
      </c>
      <c r="G524">
        <v>84698</v>
      </c>
      <c r="H524" t="str">
        <f t="shared" si="106"/>
        <v>High</v>
      </c>
      <c r="I524" s="3">
        <v>42806</v>
      </c>
      <c r="J524">
        <f t="shared" si="107"/>
        <v>2017</v>
      </c>
      <c r="K524">
        <f t="shared" si="108"/>
        <v>3</v>
      </c>
      <c r="L524">
        <f t="shared" si="109"/>
        <v>12</v>
      </c>
      <c r="M524" s="3">
        <f t="shared" ca="1" si="110"/>
        <v>46100</v>
      </c>
      <c r="N524">
        <f t="shared" ca="1" si="111"/>
        <v>3294</v>
      </c>
      <c r="O524">
        <f t="shared" ca="1" si="112"/>
        <v>3294</v>
      </c>
      <c r="P524">
        <f t="shared" ca="1" si="113"/>
        <v>2354</v>
      </c>
      <c r="Q524">
        <v>34</v>
      </c>
      <c r="R524" t="str">
        <f t="shared" si="114"/>
        <v>Old</v>
      </c>
      <c r="S524" t="s">
        <v>24</v>
      </c>
      <c r="T524">
        <v>7</v>
      </c>
      <c r="U524" t="s">
        <v>45</v>
      </c>
      <c r="V524">
        <v>8935.75</v>
      </c>
      <c r="W524" t="s">
        <v>26</v>
      </c>
      <c r="X524" t="s">
        <v>55</v>
      </c>
      <c r="Y524">
        <v>27</v>
      </c>
      <c r="Z524" t="str">
        <f t="shared" si="115"/>
        <v>Good Employee</v>
      </c>
      <c r="AA524" t="b">
        <f t="shared" si="116"/>
        <v>1</v>
      </c>
      <c r="AB524" t="b">
        <f>OR(Y524&gt;20, T524&gt;6)</f>
        <v>1</v>
      </c>
      <c r="AC524" t="str">
        <f>IF(OR(Y524&gt;20,T524&gt;6), "Good employee", "Bad Employee")</f>
        <v>Good employee</v>
      </c>
      <c r="AD524" t="s">
        <v>56</v>
      </c>
      <c r="AE524" t="s">
        <v>37</v>
      </c>
      <c r="AF524">
        <v>3</v>
      </c>
      <c r="AG524">
        <v>2017</v>
      </c>
      <c r="AH524" t="s">
        <v>30</v>
      </c>
      <c r="AI524">
        <v>143</v>
      </c>
      <c r="AJ524">
        <v>3</v>
      </c>
    </row>
    <row r="525" spans="1:36" x14ac:dyDescent="0.25">
      <c r="A525">
        <v>10524</v>
      </c>
      <c r="B525" t="s">
        <v>21</v>
      </c>
      <c r="C525" t="s">
        <v>51</v>
      </c>
      <c r="D525" t="s">
        <v>52</v>
      </c>
      <c r="E525" t="str">
        <f t="shared" si="104"/>
        <v>Michael Brown is in Operations Department</v>
      </c>
      <c r="F525" s="6" t="str">
        <f t="shared" si="105"/>
        <v>michaelbrown@gmail.com</v>
      </c>
      <c r="G525">
        <v>46191</v>
      </c>
      <c r="H525" t="str">
        <f t="shared" si="106"/>
        <v>low</v>
      </c>
      <c r="I525" s="3">
        <v>41388</v>
      </c>
      <c r="J525">
        <f t="shared" si="107"/>
        <v>2013</v>
      </c>
      <c r="K525">
        <f t="shared" si="108"/>
        <v>4</v>
      </c>
      <c r="L525">
        <f t="shared" si="109"/>
        <v>24</v>
      </c>
      <c r="M525" s="3">
        <f t="shared" ca="1" si="110"/>
        <v>46100</v>
      </c>
      <c r="N525">
        <f t="shared" ca="1" si="111"/>
        <v>4712</v>
      </c>
      <c r="O525">
        <f t="shared" ca="1" si="112"/>
        <v>4712</v>
      </c>
      <c r="P525">
        <f t="shared" ca="1" si="113"/>
        <v>3367</v>
      </c>
      <c r="Q525">
        <v>62</v>
      </c>
      <c r="R525" t="str">
        <f t="shared" si="114"/>
        <v>Old</v>
      </c>
      <c r="S525" t="s">
        <v>24</v>
      </c>
      <c r="T525">
        <v>8</v>
      </c>
      <c r="U525" t="s">
        <v>25</v>
      </c>
      <c r="V525">
        <v>2371.1999999999998</v>
      </c>
      <c r="W525" t="s">
        <v>35</v>
      </c>
      <c r="X525" t="s">
        <v>55</v>
      </c>
      <c r="Y525">
        <v>13</v>
      </c>
      <c r="Z525" t="str">
        <f t="shared" si="115"/>
        <v>Bad Employee</v>
      </c>
      <c r="AA525" t="b">
        <f t="shared" si="116"/>
        <v>0</v>
      </c>
      <c r="AB525" t="b">
        <f>OR(Y525&gt;20, T525&gt;6)</f>
        <v>1</v>
      </c>
      <c r="AC525" t="str">
        <f>IF(OR(Y525&gt;20,T525&gt;6), "Good employee", "Bad Employee")</f>
        <v>Good employee</v>
      </c>
      <c r="AD525" t="s">
        <v>56</v>
      </c>
      <c r="AE525" t="s">
        <v>29</v>
      </c>
      <c r="AF525">
        <v>3</v>
      </c>
      <c r="AG525">
        <v>2016</v>
      </c>
      <c r="AH525" t="s">
        <v>49</v>
      </c>
      <c r="AI525">
        <v>20</v>
      </c>
      <c r="AJ525">
        <v>4.2</v>
      </c>
    </row>
    <row r="526" spans="1:36" x14ac:dyDescent="0.25">
      <c r="A526">
        <v>10525</v>
      </c>
      <c r="B526" t="s">
        <v>60</v>
      </c>
      <c r="C526" t="s">
        <v>22</v>
      </c>
      <c r="D526" t="s">
        <v>54</v>
      </c>
      <c r="E526" t="str">
        <f t="shared" si="104"/>
        <v>Jane Williams is in Finance Department</v>
      </c>
      <c r="F526" s="6" t="str">
        <f t="shared" si="105"/>
        <v>janewilliams@gmail.com</v>
      </c>
      <c r="G526">
        <v>114631</v>
      </c>
      <c r="H526" t="str">
        <f t="shared" si="106"/>
        <v>High</v>
      </c>
      <c r="I526" s="3">
        <v>37513</v>
      </c>
      <c r="J526">
        <f t="shared" si="107"/>
        <v>2002</v>
      </c>
      <c r="K526">
        <f t="shared" si="108"/>
        <v>9</v>
      </c>
      <c r="L526">
        <f t="shared" si="109"/>
        <v>14</v>
      </c>
      <c r="M526" s="3">
        <f t="shared" ca="1" si="110"/>
        <v>46100</v>
      </c>
      <c r="N526">
        <f t="shared" ca="1" si="111"/>
        <v>8587</v>
      </c>
      <c r="O526">
        <f t="shared" ca="1" si="112"/>
        <v>8587</v>
      </c>
      <c r="P526">
        <f t="shared" ca="1" si="113"/>
        <v>6134</v>
      </c>
      <c r="Q526">
        <v>33</v>
      </c>
      <c r="R526" t="str">
        <f t="shared" si="114"/>
        <v>Old</v>
      </c>
      <c r="S526" t="s">
        <v>34</v>
      </c>
      <c r="T526">
        <v>5</v>
      </c>
      <c r="U526" t="s">
        <v>25</v>
      </c>
      <c r="V526">
        <v>4676.63</v>
      </c>
      <c r="W526" t="s">
        <v>46</v>
      </c>
      <c r="X526" t="s">
        <v>36</v>
      </c>
      <c r="Y526">
        <v>39</v>
      </c>
      <c r="Z526" t="str">
        <f t="shared" si="115"/>
        <v>Bad Employee</v>
      </c>
      <c r="AA526" t="b">
        <f t="shared" si="116"/>
        <v>0</v>
      </c>
      <c r="AB526" t="b">
        <f>OR(Y526&gt;20, T526&gt;6)</f>
        <v>1</v>
      </c>
      <c r="AC526" t="str">
        <f>IF(OR(Y526&gt;20,T526&gt;6), "Good employee", "Bad Employee")</f>
        <v>Good employee</v>
      </c>
      <c r="AD526" t="s">
        <v>41</v>
      </c>
      <c r="AE526" t="s">
        <v>48</v>
      </c>
      <c r="AF526">
        <v>4</v>
      </c>
      <c r="AG526">
        <v>2020</v>
      </c>
      <c r="AH526" t="s">
        <v>30</v>
      </c>
      <c r="AI526">
        <v>161</v>
      </c>
      <c r="AJ526">
        <v>2.1</v>
      </c>
    </row>
    <row r="527" spans="1:36" x14ac:dyDescent="0.25">
      <c r="A527">
        <v>10526</v>
      </c>
      <c r="B527" t="s">
        <v>21</v>
      </c>
      <c r="C527" t="s">
        <v>57</v>
      </c>
      <c r="D527" t="s">
        <v>23</v>
      </c>
      <c r="E527" t="str">
        <f t="shared" si="104"/>
        <v>Michael Davis is in HR Department</v>
      </c>
      <c r="F527" s="6" t="str">
        <f t="shared" si="105"/>
        <v>michaeldavis@gmail.com</v>
      </c>
      <c r="G527">
        <v>40529</v>
      </c>
      <c r="H527" t="str">
        <f t="shared" si="106"/>
        <v>low</v>
      </c>
      <c r="I527" s="3">
        <v>42381</v>
      </c>
      <c r="J527">
        <f t="shared" si="107"/>
        <v>2016</v>
      </c>
      <c r="K527">
        <f t="shared" si="108"/>
        <v>1</v>
      </c>
      <c r="L527">
        <f t="shared" si="109"/>
        <v>12</v>
      </c>
      <c r="M527" s="3">
        <f t="shared" ca="1" si="110"/>
        <v>46100</v>
      </c>
      <c r="N527">
        <f t="shared" ca="1" si="111"/>
        <v>3719</v>
      </c>
      <c r="O527">
        <f t="shared" ca="1" si="112"/>
        <v>3719</v>
      </c>
      <c r="P527">
        <f t="shared" ca="1" si="113"/>
        <v>2658</v>
      </c>
      <c r="Q527">
        <v>61</v>
      </c>
      <c r="R527" t="str">
        <f t="shared" si="114"/>
        <v>Old</v>
      </c>
      <c r="S527" t="s">
        <v>34</v>
      </c>
      <c r="T527">
        <v>4</v>
      </c>
      <c r="U527" t="s">
        <v>45</v>
      </c>
      <c r="V527">
        <v>7619.29</v>
      </c>
      <c r="W527" t="s">
        <v>46</v>
      </c>
      <c r="X527" t="s">
        <v>36</v>
      </c>
      <c r="Y527">
        <v>27</v>
      </c>
      <c r="Z527" t="str">
        <f t="shared" si="115"/>
        <v>Bad Employee</v>
      </c>
      <c r="AA527" t="b">
        <f t="shared" si="116"/>
        <v>0</v>
      </c>
      <c r="AB527" t="b">
        <f>OR(Y527&gt;20, T527&gt;6)</f>
        <v>1</v>
      </c>
      <c r="AC527" t="str">
        <f>IF(OR(Y527&gt;20,T527&gt;6), "Good employee", "Bad Employee")</f>
        <v>Good employee</v>
      </c>
      <c r="AD527" t="s">
        <v>28</v>
      </c>
      <c r="AE527" t="s">
        <v>42</v>
      </c>
      <c r="AF527">
        <v>2</v>
      </c>
      <c r="AG527">
        <v>2016</v>
      </c>
      <c r="AH527" t="s">
        <v>30</v>
      </c>
      <c r="AI527">
        <v>121</v>
      </c>
      <c r="AJ527">
        <v>3.2</v>
      </c>
    </row>
    <row r="528" spans="1:36" x14ac:dyDescent="0.25">
      <c r="A528">
        <v>10527</v>
      </c>
      <c r="B528" t="s">
        <v>50</v>
      </c>
      <c r="C528" t="s">
        <v>22</v>
      </c>
      <c r="D528" t="s">
        <v>33</v>
      </c>
      <c r="E528" t="str">
        <f t="shared" si="104"/>
        <v>Alex Williams is in Marketing Department</v>
      </c>
      <c r="F528" s="6" t="str">
        <f t="shared" si="105"/>
        <v>alexwilliams@gmail.com</v>
      </c>
      <c r="G528">
        <v>62175</v>
      </c>
      <c r="H528" t="str">
        <f t="shared" si="106"/>
        <v>Medium</v>
      </c>
      <c r="I528" s="3">
        <v>37729</v>
      </c>
      <c r="J528">
        <f t="shared" si="107"/>
        <v>2003</v>
      </c>
      <c r="K528">
        <f t="shared" si="108"/>
        <v>4</v>
      </c>
      <c r="L528">
        <f t="shared" si="109"/>
        <v>18</v>
      </c>
      <c r="M528" s="3">
        <f t="shared" ca="1" si="110"/>
        <v>46100</v>
      </c>
      <c r="N528">
        <f t="shared" ca="1" si="111"/>
        <v>8371</v>
      </c>
      <c r="O528">
        <f t="shared" ca="1" si="112"/>
        <v>8371</v>
      </c>
      <c r="P528">
        <f t="shared" ca="1" si="113"/>
        <v>5980</v>
      </c>
      <c r="Q528">
        <v>23</v>
      </c>
      <c r="R528" t="str">
        <f t="shared" si="114"/>
        <v>Young</v>
      </c>
      <c r="S528" t="s">
        <v>34</v>
      </c>
      <c r="T528">
        <v>6</v>
      </c>
      <c r="U528" t="s">
        <v>25</v>
      </c>
      <c r="V528">
        <v>6582.65</v>
      </c>
      <c r="W528" t="s">
        <v>58</v>
      </c>
      <c r="X528" t="s">
        <v>40</v>
      </c>
      <c r="Y528">
        <v>39</v>
      </c>
      <c r="Z528" t="str">
        <f t="shared" si="115"/>
        <v>Bad Employee</v>
      </c>
      <c r="AA528" t="b">
        <f t="shared" si="116"/>
        <v>0</v>
      </c>
      <c r="AB528" t="b">
        <f>OR(Y528&gt;20, T528&gt;6)</f>
        <v>1</v>
      </c>
      <c r="AC528" t="str">
        <f>IF(OR(Y528&gt;20,T528&gt;6), "Good employee", "Bad Employee")</f>
        <v>Good employee</v>
      </c>
      <c r="AD528" t="s">
        <v>41</v>
      </c>
      <c r="AE528" t="s">
        <v>37</v>
      </c>
      <c r="AF528">
        <v>11</v>
      </c>
      <c r="AG528">
        <v>2022</v>
      </c>
      <c r="AH528" t="s">
        <v>30</v>
      </c>
      <c r="AI528">
        <v>153</v>
      </c>
      <c r="AJ528">
        <v>2.6</v>
      </c>
    </row>
    <row r="529" spans="1:36" x14ac:dyDescent="0.25">
      <c r="A529">
        <v>10528</v>
      </c>
      <c r="B529" t="s">
        <v>60</v>
      </c>
      <c r="C529" t="s">
        <v>57</v>
      </c>
      <c r="D529" t="s">
        <v>33</v>
      </c>
      <c r="E529" t="str">
        <f t="shared" si="104"/>
        <v>Jane Davis is in Marketing Department</v>
      </c>
      <c r="F529" s="6" t="str">
        <f t="shared" si="105"/>
        <v>janedavis@gmail.com</v>
      </c>
      <c r="G529">
        <v>47675</v>
      </c>
      <c r="H529" t="str">
        <f t="shared" si="106"/>
        <v>low</v>
      </c>
      <c r="I529" s="3">
        <v>39856</v>
      </c>
      <c r="J529">
        <f t="shared" si="107"/>
        <v>2009</v>
      </c>
      <c r="K529">
        <f t="shared" si="108"/>
        <v>2</v>
      </c>
      <c r="L529">
        <f t="shared" si="109"/>
        <v>12</v>
      </c>
      <c r="M529" s="3">
        <f t="shared" ca="1" si="110"/>
        <v>46100</v>
      </c>
      <c r="N529">
        <f t="shared" ca="1" si="111"/>
        <v>6244</v>
      </c>
      <c r="O529">
        <f t="shared" ca="1" si="112"/>
        <v>6244</v>
      </c>
      <c r="P529">
        <f t="shared" ca="1" si="113"/>
        <v>4461</v>
      </c>
      <c r="Q529">
        <v>29</v>
      </c>
      <c r="R529" t="str">
        <f t="shared" si="114"/>
        <v>Young</v>
      </c>
      <c r="S529" t="s">
        <v>34</v>
      </c>
      <c r="T529">
        <v>3</v>
      </c>
      <c r="U529" t="s">
        <v>45</v>
      </c>
      <c r="V529">
        <v>4451.26</v>
      </c>
      <c r="W529" t="s">
        <v>35</v>
      </c>
      <c r="X529" t="s">
        <v>36</v>
      </c>
      <c r="Y529">
        <v>38</v>
      </c>
      <c r="Z529" t="str">
        <f t="shared" si="115"/>
        <v>Bad Employee</v>
      </c>
      <c r="AA529" t="b">
        <f t="shared" si="116"/>
        <v>0</v>
      </c>
      <c r="AB529" t="b">
        <f>OR(Y529&gt;20, T529&gt;6)</f>
        <v>1</v>
      </c>
      <c r="AC529" t="str">
        <f>IF(OR(Y529&gt;20,T529&gt;6), "Good employee", "Bad Employee")</f>
        <v>Good employee</v>
      </c>
      <c r="AD529" t="s">
        <v>41</v>
      </c>
      <c r="AE529" t="s">
        <v>29</v>
      </c>
      <c r="AF529">
        <v>19</v>
      </c>
      <c r="AG529">
        <v>2021</v>
      </c>
      <c r="AH529" t="s">
        <v>30</v>
      </c>
      <c r="AI529">
        <v>113</v>
      </c>
      <c r="AJ529">
        <v>1.7</v>
      </c>
    </row>
    <row r="530" spans="1:36" x14ac:dyDescent="0.25">
      <c r="A530">
        <v>10529</v>
      </c>
      <c r="B530" t="s">
        <v>60</v>
      </c>
      <c r="C530" t="s">
        <v>65</v>
      </c>
      <c r="D530" t="s">
        <v>54</v>
      </c>
      <c r="E530" t="str">
        <f t="shared" si="104"/>
        <v>Jane Johnson is in Finance Department</v>
      </c>
      <c r="F530" s="6" t="str">
        <f t="shared" si="105"/>
        <v>janejohnson@gmail.com</v>
      </c>
      <c r="G530">
        <v>73158</v>
      </c>
      <c r="H530" t="str">
        <f t="shared" si="106"/>
        <v>Medium</v>
      </c>
      <c r="I530" s="3">
        <v>42912</v>
      </c>
      <c r="J530">
        <f t="shared" si="107"/>
        <v>2017</v>
      </c>
      <c r="K530">
        <f t="shared" si="108"/>
        <v>6</v>
      </c>
      <c r="L530">
        <f t="shared" si="109"/>
        <v>26</v>
      </c>
      <c r="M530" s="3">
        <f t="shared" ca="1" si="110"/>
        <v>46100</v>
      </c>
      <c r="N530">
        <f t="shared" ca="1" si="111"/>
        <v>3188</v>
      </c>
      <c r="O530">
        <f t="shared" ca="1" si="112"/>
        <v>3188</v>
      </c>
      <c r="P530">
        <f t="shared" ca="1" si="113"/>
        <v>2279</v>
      </c>
      <c r="Q530">
        <v>63</v>
      </c>
      <c r="R530" t="str">
        <f t="shared" si="114"/>
        <v>Old</v>
      </c>
      <c r="S530" t="s">
        <v>34</v>
      </c>
      <c r="T530">
        <v>1</v>
      </c>
      <c r="U530" t="s">
        <v>25</v>
      </c>
      <c r="V530">
        <v>6946.93</v>
      </c>
      <c r="W530" t="s">
        <v>26</v>
      </c>
      <c r="X530" t="s">
        <v>47</v>
      </c>
      <c r="Y530">
        <v>8</v>
      </c>
      <c r="Z530" t="str">
        <f t="shared" si="115"/>
        <v>Bad Employee</v>
      </c>
      <c r="AA530" t="b">
        <f t="shared" si="116"/>
        <v>0</v>
      </c>
      <c r="AB530" t="b">
        <f>OR(Y530&gt;20, T530&gt;6)</f>
        <v>0</v>
      </c>
      <c r="AC530" t="str">
        <f>IF(OR(Y530&gt;20,T530&gt;6), "Good employee", "Bad Employee")</f>
        <v>Bad Employee</v>
      </c>
      <c r="AD530" t="s">
        <v>28</v>
      </c>
      <c r="AE530" t="s">
        <v>59</v>
      </c>
      <c r="AF530">
        <v>11</v>
      </c>
      <c r="AG530">
        <v>2017</v>
      </c>
      <c r="AH530" t="s">
        <v>49</v>
      </c>
      <c r="AI530">
        <v>62</v>
      </c>
      <c r="AJ530">
        <v>1.3</v>
      </c>
    </row>
    <row r="531" spans="1:36" x14ac:dyDescent="0.25">
      <c r="A531">
        <v>10530</v>
      </c>
      <c r="B531" t="s">
        <v>60</v>
      </c>
      <c r="C531" t="s">
        <v>61</v>
      </c>
      <c r="D531" t="s">
        <v>52</v>
      </c>
      <c r="E531" t="str">
        <f t="shared" si="104"/>
        <v>Jane Smith is in Operations Department</v>
      </c>
      <c r="F531" s="6" t="str">
        <f t="shared" si="105"/>
        <v>janesmith@gmail.com</v>
      </c>
      <c r="G531">
        <v>76798</v>
      </c>
      <c r="H531" t="str">
        <f t="shared" si="106"/>
        <v>Medium</v>
      </c>
      <c r="I531" s="3">
        <v>37645</v>
      </c>
      <c r="J531">
        <f t="shared" si="107"/>
        <v>2003</v>
      </c>
      <c r="K531">
        <f t="shared" si="108"/>
        <v>1</v>
      </c>
      <c r="L531">
        <f t="shared" si="109"/>
        <v>24</v>
      </c>
      <c r="M531" s="3">
        <f t="shared" ca="1" si="110"/>
        <v>46100</v>
      </c>
      <c r="N531">
        <f t="shared" ca="1" si="111"/>
        <v>8455</v>
      </c>
      <c r="O531">
        <f t="shared" ca="1" si="112"/>
        <v>8455</v>
      </c>
      <c r="P531">
        <f t="shared" ca="1" si="113"/>
        <v>6040</v>
      </c>
      <c r="Q531">
        <v>30</v>
      </c>
      <c r="R531" t="str">
        <f t="shared" si="114"/>
        <v>Young</v>
      </c>
      <c r="S531" t="s">
        <v>34</v>
      </c>
      <c r="T531">
        <v>4</v>
      </c>
      <c r="U531" t="s">
        <v>25</v>
      </c>
      <c r="V531">
        <v>5715.02</v>
      </c>
      <c r="W531" t="s">
        <v>58</v>
      </c>
      <c r="X531" t="s">
        <v>27</v>
      </c>
      <c r="Y531">
        <v>12</v>
      </c>
      <c r="Z531" t="str">
        <f t="shared" si="115"/>
        <v>Bad Employee</v>
      </c>
      <c r="AA531" t="b">
        <f t="shared" si="116"/>
        <v>0</v>
      </c>
      <c r="AB531" t="b">
        <f>OR(Y531&gt;20, T531&gt;6)</f>
        <v>0</v>
      </c>
      <c r="AC531" t="str">
        <f>IF(OR(Y531&gt;20,T531&gt;6), "Good employee", "Bad Employee")</f>
        <v>Bad Employee</v>
      </c>
      <c r="AD531" t="s">
        <v>28</v>
      </c>
      <c r="AE531" t="s">
        <v>59</v>
      </c>
      <c r="AF531">
        <v>19</v>
      </c>
      <c r="AG531">
        <v>2016</v>
      </c>
      <c r="AH531" t="s">
        <v>30</v>
      </c>
      <c r="AI531">
        <v>175</v>
      </c>
      <c r="AJ531">
        <v>3.2</v>
      </c>
    </row>
    <row r="532" spans="1:36" x14ac:dyDescent="0.25">
      <c r="A532">
        <v>10531</v>
      </c>
      <c r="B532" t="s">
        <v>66</v>
      </c>
      <c r="C532" t="s">
        <v>22</v>
      </c>
      <c r="D532" t="s">
        <v>33</v>
      </c>
      <c r="E532" t="str">
        <f t="shared" si="104"/>
        <v>John Williams is in Marketing Department</v>
      </c>
      <c r="F532" s="6" t="str">
        <f t="shared" si="105"/>
        <v>johnwilliams@gmail.com</v>
      </c>
      <c r="G532">
        <v>100910</v>
      </c>
      <c r="H532" t="str">
        <f t="shared" si="106"/>
        <v>High</v>
      </c>
      <c r="I532" s="3">
        <v>36722</v>
      </c>
      <c r="J532">
        <f t="shared" si="107"/>
        <v>2000</v>
      </c>
      <c r="K532">
        <f t="shared" si="108"/>
        <v>7</v>
      </c>
      <c r="L532">
        <f t="shared" si="109"/>
        <v>15</v>
      </c>
      <c r="M532" s="3">
        <f t="shared" ca="1" si="110"/>
        <v>46100</v>
      </c>
      <c r="N532">
        <f t="shared" ca="1" si="111"/>
        <v>9378</v>
      </c>
      <c r="O532">
        <f t="shared" ca="1" si="112"/>
        <v>9378</v>
      </c>
      <c r="P532">
        <f t="shared" ca="1" si="113"/>
        <v>6699</v>
      </c>
      <c r="Q532">
        <v>29</v>
      </c>
      <c r="R532" t="str">
        <f t="shared" si="114"/>
        <v>Young</v>
      </c>
      <c r="S532" t="s">
        <v>24</v>
      </c>
      <c r="T532">
        <v>9</v>
      </c>
      <c r="U532" t="s">
        <v>45</v>
      </c>
      <c r="V532">
        <v>3119.49</v>
      </c>
      <c r="W532" t="s">
        <v>46</v>
      </c>
      <c r="X532" t="s">
        <v>36</v>
      </c>
      <c r="Y532">
        <v>24</v>
      </c>
      <c r="Z532" t="str">
        <f t="shared" si="115"/>
        <v>Good Employee</v>
      </c>
      <c r="AA532" t="b">
        <f t="shared" si="116"/>
        <v>1</v>
      </c>
      <c r="AB532" t="b">
        <f>OR(Y532&gt;20, T532&gt;6)</f>
        <v>1</v>
      </c>
      <c r="AC532" t="str">
        <f>IF(OR(Y532&gt;20,T532&gt;6), "Good employee", "Bad Employee")</f>
        <v>Good employee</v>
      </c>
      <c r="AD532" t="s">
        <v>28</v>
      </c>
      <c r="AE532" t="s">
        <v>42</v>
      </c>
      <c r="AF532">
        <v>6</v>
      </c>
      <c r="AG532">
        <v>2014</v>
      </c>
      <c r="AH532" t="s">
        <v>43</v>
      </c>
      <c r="AI532">
        <v>9</v>
      </c>
      <c r="AJ532">
        <v>1.4</v>
      </c>
    </row>
    <row r="533" spans="1:36" x14ac:dyDescent="0.25">
      <c r="A533">
        <v>10532</v>
      </c>
      <c r="B533" t="s">
        <v>53</v>
      </c>
      <c r="C533" t="s">
        <v>22</v>
      </c>
      <c r="D533" t="s">
        <v>33</v>
      </c>
      <c r="E533" t="str">
        <f t="shared" si="104"/>
        <v>Sarah Williams is in Marketing Department</v>
      </c>
      <c r="F533" s="6" t="str">
        <f t="shared" si="105"/>
        <v>sarahwilliams@gmail.com</v>
      </c>
      <c r="G533">
        <v>55976</v>
      </c>
      <c r="H533" t="str">
        <f t="shared" si="106"/>
        <v>Medium</v>
      </c>
      <c r="I533" s="3">
        <v>40501</v>
      </c>
      <c r="J533">
        <f t="shared" si="107"/>
        <v>2010</v>
      </c>
      <c r="K533">
        <f t="shared" si="108"/>
        <v>11</v>
      </c>
      <c r="L533">
        <f t="shared" si="109"/>
        <v>19</v>
      </c>
      <c r="M533" s="3">
        <f t="shared" ca="1" si="110"/>
        <v>46100</v>
      </c>
      <c r="N533">
        <f t="shared" ca="1" si="111"/>
        <v>5599</v>
      </c>
      <c r="O533">
        <f t="shared" ca="1" si="112"/>
        <v>5599</v>
      </c>
      <c r="P533">
        <f t="shared" ca="1" si="113"/>
        <v>4000</v>
      </c>
      <c r="Q533">
        <v>24</v>
      </c>
      <c r="R533" t="str">
        <f t="shared" si="114"/>
        <v>Young</v>
      </c>
      <c r="S533" t="s">
        <v>34</v>
      </c>
      <c r="T533">
        <v>4</v>
      </c>
      <c r="U533" t="s">
        <v>25</v>
      </c>
      <c r="V533">
        <v>6640.13</v>
      </c>
      <c r="W533" t="s">
        <v>35</v>
      </c>
      <c r="X533" t="s">
        <v>55</v>
      </c>
      <c r="Y533">
        <v>18</v>
      </c>
      <c r="Z533" t="str">
        <f t="shared" si="115"/>
        <v>Bad Employee</v>
      </c>
      <c r="AA533" t="b">
        <f t="shared" si="116"/>
        <v>0</v>
      </c>
      <c r="AB533" t="b">
        <f>OR(Y533&gt;20, T533&gt;6)</f>
        <v>0</v>
      </c>
      <c r="AC533" t="str">
        <f>IF(OR(Y533&gt;20,T533&gt;6), "Good employee", "Bad Employee")</f>
        <v>Bad Employee</v>
      </c>
      <c r="AD533" t="s">
        <v>56</v>
      </c>
      <c r="AE533" t="s">
        <v>62</v>
      </c>
      <c r="AF533">
        <v>6</v>
      </c>
      <c r="AG533">
        <v>2019</v>
      </c>
      <c r="AH533" t="s">
        <v>30</v>
      </c>
      <c r="AI533">
        <v>184</v>
      </c>
      <c r="AJ533">
        <v>3.9</v>
      </c>
    </row>
    <row r="534" spans="1:36" x14ac:dyDescent="0.25">
      <c r="A534">
        <v>10533</v>
      </c>
      <c r="B534" t="s">
        <v>66</v>
      </c>
      <c r="C534" t="s">
        <v>57</v>
      </c>
      <c r="D534" t="s">
        <v>52</v>
      </c>
      <c r="E534" t="str">
        <f t="shared" si="104"/>
        <v>John Davis is in Operations Department</v>
      </c>
      <c r="F534" s="6" t="str">
        <f t="shared" si="105"/>
        <v>johndavis@gmail.com</v>
      </c>
      <c r="G534">
        <v>93116</v>
      </c>
      <c r="H534" t="str">
        <f t="shared" si="106"/>
        <v>High</v>
      </c>
      <c r="I534" s="3">
        <v>37051</v>
      </c>
      <c r="J534">
        <f t="shared" si="107"/>
        <v>2001</v>
      </c>
      <c r="K534">
        <f t="shared" si="108"/>
        <v>6</v>
      </c>
      <c r="L534">
        <f t="shared" si="109"/>
        <v>9</v>
      </c>
      <c r="M534" s="3">
        <f t="shared" ca="1" si="110"/>
        <v>46100</v>
      </c>
      <c r="N534">
        <f t="shared" ca="1" si="111"/>
        <v>9049</v>
      </c>
      <c r="O534">
        <f t="shared" ca="1" si="112"/>
        <v>9049</v>
      </c>
      <c r="P534">
        <f t="shared" ca="1" si="113"/>
        <v>6464</v>
      </c>
      <c r="Q534">
        <v>30</v>
      </c>
      <c r="R534" t="str">
        <f t="shared" si="114"/>
        <v>Young</v>
      </c>
      <c r="S534" t="s">
        <v>24</v>
      </c>
      <c r="T534">
        <v>1</v>
      </c>
      <c r="U534" t="s">
        <v>45</v>
      </c>
      <c r="V534">
        <v>2440.35</v>
      </c>
      <c r="W534" t="s">
        <v>58</v>
      </c>
      <c r="X534" t="s">
        <v>36</v>
      </c>
      <c r="Y534">
        <v>15</v>
      </c>
      <c r="Z534" t="str">
        <f t="shared" si="115"/>
        <v>Bad Employee</v>
      </c>
      <c r="AA534" t="b">
        <f t="shared" si="116"/>
        <v>0</v>
      </c>
      <c r="AB534" t="b">
        <f>OR(Y534&gt;20, T534&gt;6)</f>
        <v>0</v>
      </c>
      <c r="AC534" t="str">
        <f>IF(OR(Y534&gt;20,T534&gt;6), "Good employee", "Bad Employee")</f>
        <v>Bad Employee</v>
      </c>
      <c r="AD534" t="s">
        <v>56</v>
      </c>
      <c r="AE534" t="s">
        <v>48</v>
      </c>
      <c r="AF534">
        <v>0</v>
      </c>
      <c r="AG534">
        <v>2017</v>
      </c>
      <c r="AH534" t="s">
        <v>43</v>
      </c>
      <c r="AI534">
        <v>145</v>
      </c>
      <c r="AJ534">
        <v>4.7</v>
      </c>
    </row>
    <row r="535" spans="1:36" x14ac:dyDescent="0.25">
      <c r="A535">
        <v>10534</v>
      </c>
      <c r="B535" t="s">
        <v>66</v>
      </c>
      <c r="C535" t="s">
        <v>65</v>
      </c>
      <c r="D535" t="s">
        <v>23</v>
      </c>
      <c r="E535" t="str">
        <f t="shared" si="104"/>
        <v>John Johnson is in HR Department</v>
      </c>
      <c r="F535" s="6" t="str">
        <f t="shared" si="105"/>
        <v>johnjohnson@gmail.com</v>
      </c>
      <c r="G535">
        <v>108678</v>
      </c>
      <c r="H535" t="str">
        <f t="shared" si="106"/>
        <v>High</v>
      </c>
      <c r="I535" s="3">
        <v>41253</v>
      </c>
      <c r="J535">
        <f t="shared" si="107"/>
        <v>2012</v>
      </c>
      <c r="K535">
        <f t="shared" si="108"/>
        <v>12</v>
      </c>
      <c r="L535">
        <f t="shared" si="109"/>
        <v>10</v>
      </c>
      <c r="M535" s="3">
        <f t="shared" ca="1" si="110"/>
        <v>46100</v>
      </c>
      <c r="N535">
        <f t="shared" ca="1" si="111"/>
        <v>4847</v>
      </c>
      <c r="O535">
        <f t="shared" ca="1" si="112"/>
        <v>4847</v>
      </c>
      <c r="P535">
        <f t="shared" ca="1" si="113"/>
        <v>3464</v>
      </c>
      <c r="Q535">
        <v>34</v>
      </c>
      <c r="R535" t="str">
        <f t="shared" si="114"/>
        <v>Old</v>
      </c>
      <c r="S535" t="s">
        <v>24</v>
      </c>
      <c r="T535">
        <v>4</v>
      </c>
      <c r="U535" t="s">
        <v>25</v>
      </c>
      <c r="V535">
        <v>7092.89</v>
      </c>
      <c r="W535" t="s">
        <v>46</v>
      </c>
      <c r="X535" t="s">
        <v>40</v>
      </c>
      <c r="Y535">
        <v>16</v>
      </c>
      <c r="Z535" t="str">
        <f t="shared" si="115"/>
        <v>Bad Employee</v>
      </c>
      <c r="AA535" t="b">
        <f t="shared" si="116"/>
        <v>0</v>
      </c>
      <c r="AB535" t="b">
        <f>OR(Y535&gt;20, T535&gt;6)</f>
        <v>0</v>
      </c>
      <c r="AC535" t="str">
        <f>IF(OR(Y535&gt;20,T535&gt;6), "Good employee", "Bad Employee")</f>
        <v>Bad Employee</v>
      </c>
      <c r="AD535" t="s">
        <v>56</v>
      </c>
      <c r="AE535" t="s">
        <v>37</v>
      </c>
      <c r="AF535">
        <v>11</v>
      </c>
      <c r="AG535">
        <v>2023</v>
      </c>
      <c r="AH535" t="s">
        <v>49</v>
      </c>
      <c r="AI535">
        <v>85</v>
      </c>
      <c r="AJ535">
        <v>1.6</v>
      </c>
    </row>
    <row r="536" spans="1:36" x14ac:dyDescent="0.25">
      <c r="A536">
        <v>10535</v>
      </c>
      <c r="B536" t="s">
        <v>50</v>
      </c>
      <c r="C536" t="s">
        <v>65</v>
      </c>
      <c r="D536" t="s">
        <v>33</v>
      </c>
      <c r="E536" t="str">
        <f t="shared" si="104"/>
        <v>Alex Johnson is in Marketing Department</v>
      </c>
      <c r="F536" s="6" t="str">
        <f t="shared" si="105"/>
        <v>alexjohnson@gmail.com</v>
      </c>
      <c r="G536">
        <v>92821</v>
      </c>
      <c r="H536" t="str">
        <f t="shared" si="106"/>
        <v>High</v>
      </c>
      <c r="I536" s="3">
        <v>37936</v>
      </c>
      <c r="J536">
        <f t="shared" si="107"/>
        <v>2003</v>
      </c>
      <c r="K536">
        <f t="shared" si="108"/>
        <v>11</v>
      </c>
      <c r="L536">
        <f t="shared" si="109"/>
        <v>11</v>
      </c>
      <c r="M536" s="3">
        <f t="shared" ca="1" si="110"/>
        <v>46100</v>
      </c>
      <c r="N536">
        <f t="shared" ca="1" si="111"/>
        <v>8164</v>
      </c>
      <c r="O536">
        <f t="shared" ca="1" si="112"/>
        <v>8164</v>
      </c>
      <c r="P536">
        <f t="shared" ca="1" si="113"/>
        <v>5833</v>
      </c>
      <c r="Q536">
        <v>30</v>
      </c>
      <c r="R536" t="str">
        <f t="shared" si="114"/>
        <v>Young</v>
      </c>
      <c r="S536" t="s">
        <v>34</v>
      </c>
      <c r="T536">
        <v>7</v>
      </c>
      <c r="U536" t="s">
        <v>45</v>
      </c>
      <c r="V536">
        <v>529.54999999999995</v>
      </c>
      <c r="W536" t="s">
        <v>26</v>
      </c>
      <c r="X536" t="s">
        <v>27</v>
      </c>
      <c r="Y536">
        <v>33</v>
      </c>
      <c r="Z536" t="str">
        <f t="shared" si="115"/>
        <v>Good Employee</v>
      </c>
      <c r="AA536" t="b">
        <f t="shared" si="116"/>
        <v>1</v>
      </c>
      <c r="AB536" t="b">
        <f>OR(Y536&gt;20, T536&gt;6)</f>
        <v>1</v>
      </c>
      <c r="AC536" t="str">
        <f>IF(OR(Y536&gt;20,T536&gt;6), "Good employee", "Bad Employee")</f>
        <v>Good employee</v>
      </c>
      <c r="AD536" t="s">
        <v>41</v>
      </c>
      <c r="AE536" t="s">
        <v>59</v>
      </c>
      <c r="AF536">
        <v>2</v>
      </c>
      <c r="AG536">
        <v>2017</v>
      </c>
      <c r="AH536" t="s">
        <v>30</v>
      </c>
      <c r="AI536">
        <v>144</v>
      </c>
      <c r="AJ536">
        <v>2.9</v>
      </c>
    </row>
    <row r="537" spans="1:36" x14ac:dyDescent="0.25">
      <c r="A537">
        <v>10536</v>
      </c>
      <c r="B537" t="s">
        <v>64</v>
      </c>
      <c r="C537" t="s">
        <v>32</v>
      </c>
      <c r="D537" t="s">
        <v>39</v>
      </c>
      <c r="E537" t="str">
        <f t="shared" si="104"/>
        <v>Katie Wilson is in IT Department</v>
      </c>
      <c r="F537" s="6" t="str">
        <f t="shared" si="105"/>
        <v>katiewilson@gmail.com</v>
      </c>
      <c r="G537">
        <v>42204</v>
      </c>
      <c r="H537" t="str">
        <f t="shared" si="106"/>
        <v>low</v>
      </c>
      <c r="I537" s="3">
        <v>41029</v>
      </c>
      <c r="J537">
        <f t="shared" si="107"/>
        <v>2012</v>
      </c>
      <c r="K537">
        <f t="shared" si="108"/>
        <v>4</v>
      </c>
      <c r="L537">
        <f t="shared" si="109"/>
        <v>30</v>
      </c>
      <c r="M537" s="3">
        <f t="shared" ca="1" si="110"/>
        <v>46100</v>
      </c>
      <c r="N537">
        <f t="shared" ca="1" si="111"/>
        <v>5071</v>
      </c>
      <c r="O537">
        <f t="shared" ca="1" si="112"/>
        <v>5071</v>
      </c>
      <c r="P537">
        <f t="shared" ca="1" si="113"/>
        <v>3624</v>
      </c>
      <c r="Q537">
        <v>52</v>
      </c>
      <c r="R537" t="str">
        <f t="shared" si="114"/>
        <v>Old</v>
      </c>
      <c r="S537" t="s">
        <v>34</v>
      </c>
      <c r="T537">
        <v>3</v>
      </c>
      <c r="U537" t="s">
        <v>25</v>
      </c>
      <c r="V537">
        <v>5713.34</v>
      </c>
      <c r="W537" t="s">
        <v>46</v>
      </c>
      <c r="X537" t="s">
        <v>27</v>
      </c>
      <c r="Y537">
        <v>10</v>
      </c>
      <c r="Z537" t="str">
        <f t="shared" si="115"/>
        <v>Bad Employee</v>
      </c>
      <c r="AA537" t="b">
        <f t="shared" si="116"/>
        <v>0</v>
      </c>
      <c r="AB537" t="b">
        <f>OR(Y537&gt;20, T537&gt;6)</f>
        <v>0</v>
      </c>
      <c r="AC537" t="str">
        <f>IF(OR(Y537&gt;20,T537&gt;6), "Good employee", "Bad Employee")</f>
        <v>Bad Employee</v>
      </c>
      <c r="AD537" t="s">
        <v>28</v>
      </c>
      <c r="AE537" t="s">
        <v>37</v>
      </c>
      <c r="AF537">
        <v>14</v>
      </c>
      <c r="AG537">
        <v>2020</v>
      </c>
      <c r="AH537" t="s">
        <v>43</v>
      </c>
      <c r="AI537">
        <v>5</v>
      </c>
      <c r="AJ537">
        <v>4</v>
      </c>
    </row>
    <row r="538" spans="1:36" x14ac:dyDescent="0.25">
      <c r="A538">
        <v>10537</v>
      </c>
      <c r="B538" t="s">
        <v>53</v>
      </c>
      <c r="C538" t="s">
        <v>57</v>
      </c>
      <c r="D538" t="s">
        <v>44</v>
      </c>
      <c r="E538" t="str">
        <f t="shared" si="104"/>
        <v>Sarah Davis is in Sales Department</v>
      </c>
      <c r="F538" s="6" t="str">
        <f t="shared" si="105"/>
        <v>sarahdavis@gmail.com</v>
      </c>
      <c r="G538">
        <v>85665</v>
      </c>
      <c r="H538" t="str">
        <f t="shared" si="106"/>
        <v>High</v>
      </c>
      <c r="I538" s="3">
        <v>37818</v>
      </c>
      <c r="J538">
        <f t="shared" si="107"/>
        <v>2003</v>
      </c>
      <c r="K538">
        <f t="shared" si="108"/>
        <v>7</v>
      </c>
      <c r="L538">
        <f t="shared" si="109"/>
        <v>16</v>
      </c>
      <c r="M538" s="3">
        <f t="shared" ca="1" si="110"/>
        <v>46100</v>
      </c>
      <c r="N538">
        <f t="shared" ca="1" si="111"/>
        <v>8282</v>
      </c>
      <c r="O538">
        <f t="shared" ca="1" si="112"/>
        <v>8282</v>
      </c>
      <c r="P538">
        <f t="shared" ca="1" si="113"/>
        <v>5917</v>
      </c>
      <c r="Q538">
        <v>46</v>
      </c>
      <c r="R538" t="str">
        <f t="shared" si="114"/>
        <v>Old</v>
      </c>
      <c r="S538" t="s">
        <v>24</v>
      </c>
      <c r="T538">
        <v>6</v>
      </c>
      <c r="U538" t="s">
        <v>25</v>
      </c>
      <c r="V538">
        <v>4310.1400000000003</v>
      </c>
      <c r="W538" t="s">
        <v>46</v>
      </c>
      <c r="X538" t="s">
        <v>55</v>
      </c>
      <c r="Y538">
        <v>24</v>
      </c>
      <c r="Z538" t="str">
        <f t="shared" si="115"/>
        <v>Bad Employee</v>
      </c>
      <c r="AA538" t="b">
        <f t="shared" si="116"/>
        <v>0</v>
      </c>
      <c r="AB538" t="b">
        <f>OR(Y538&gt;20, T538&gt;6)</f>
        <v>1</v>
      </c>
      <c r="AC538" t="str">
        <f>IF(OR(Y538&gt;20,T538&gt;6), "Good employee", "Bad Employee")</f>
        <v>Good employee</v>
      </c>
      <c r="AD538" t="s">
        <v>28</v>
      </c>
      <c r="AE538" t="s">
        <v>42</v>
      </c>
      <c r="AF538">
        <v>8</v>
      </c>
      <c r="AG538">
        <v>2017</v>
      </c>
      <c r="AH538" t="s">
        <v>30</v>
      </c>
      <c r="AI538">
        <v>12</v>
      </c>
      <c r="AJ538">
        <v>2.1</v>
      </c>
    </row>
    <row r="539" spans="1:36" x14ac:dyDescent="0.25">
      <c r="A539">
        <v>10538</v>
      </c>
      <c r="B539" t="s">
        <v>21</v>
      </c>
      <c r="C539" t="s">
        <v>65</v>
      </c>
      <c r="D539" t="s">
        <v>44</v>
      </c>
      <c r="E539" t="str">
        <f t="shared" si="104"/>
        <v>Michael Johnson is in Sales Department</v>
      </c>
      <c r="F539" s="6" t="str">
        <f t="shared" si="105"/>
        <v>michaeljohnson@gmail.com</v>
      </c>
      <c r="G539">
        <v>37394</v>
      </c>
      <c r="H539" t="str">
        <f t="shared" si="106"/>
        <v>extremely low</v>
      </c>
      <c r="I539" s="3">
        <v>37720</v>
      </c>
      <c r="J539">
        <f t="shared" si="107"/>
        <v>2003</v>
      </c>
      <c r="K539">
        <f t="shared" si="108"/>
        <v>4</v>
      </c>
      <c r="L539">
        <f t="shared" si="109"/>
        <v>9</v>
      </c>
      <c r="M539" s="3">
        <f t="shared" ca="1" si="110"/>
        <v>46100</v>
      </c>
      <c r="N539">
        <f t="shared" ca="1" si="111"/>
        <v>8380</v>
      </c>
      <c r="O539">
        <f t="shared" ca="1" si="112"/>
        <v>8380</v>
      </c>
      <c r="P539">
        <f t="shared" ca="1" si="113"/>
        <v>5987</v>
      </c>
      <c r="Q539">
        <v>29</v>
      </c>
      <c r="R539" t="str">
        <f t="shared" si="114"/>
        <v>Young</v>
      </c>
      <c r="S539" t="s">
        <v>24</v>
      </c>
      <c r="T539">
        <v>1</v>
      </c>
      <c r="U539" t="s">
        <v>25</v>
      </c>
      <c r="V539">
        <v>3379.49</v>
      </c>
      <c r="W539" t="s">
        <v>35</v>
      </c>
      <c r="X539" t="s">
        <v>27</v>
      </c>
      <c r="Y539">
        <v>19</v>
      </c>
      <c r="Z539" t="str">
        <f t="shared" si="115"/>
        <v>Bad Employee</v>
      </c>
      <c r="AA539" t="b">
        <f t="shared" si="116"/>
        <v>0</v>
      </c>
      <c r="AB539" t="b">
        <f>OR(Y539&gt;20, T539&gt;6)</f>
        <v>0</v>
      </c>
      <c r="AC539" t="str">
        <f>IF(OR(Y539&gt;20,T539&gt;6), "Good employee", "Bad Employee")</f>
        <v>Bad Employee</v>
      </c>
      <c r="AD539" t="s">
        <v>41</v>
      </c>
      <c r="AE539" t="s">
        <v>48</v>
      </c>
      <c r="AF539">
        <v>19</v>
      </c>
      <c r="AG539">
        <v>2021</v>
      </c>
      <c r="AH539" t="s">
        <v>30</v>
      </c>
      <c r="AI539">
        <v>148</v>
      </c>
      <c r="AJ539">
        <v>4.7</v>
      </c>
    </row>
    <row r="540" spans="1:36" x14ac:dyDescent="0.25">
      <c r="A540">
        <v>10539</v>
      </c>
      <c r="B540" t="s">
        <v>38</v>
      </c>
      <c r="C540" t="s">
        <v>63</v>
      </c>
      <c r="D540" t="s">
        <v>33</v>
      </c>
      <c r="E540" t="str">
        <f t="shared" si="104"/>
        <v>Chris Miller is in Marketing Department</v>
      </c>
      <c r="F540" s="6" t="str">
        <f t="shared" si="105"/>
        <v>chrismiller@gmail.com</v>
      </c>
      <c r="G540">
        <v>94814</v>
      </c>
      <c r="H540" t="str">
        <f t="shared" si="106"/>
        <v>High</v>
      </c>
      <c r="I540" s="3">
        <v>38474</v>
      </c>
      <c r="J540">
        <f t="shared" si="107"/>
        <v>2005</v>
      </c>
      <c r="K540">
        <f t="shared" si="108"/>
        <v>5</v>
      </c>
      <c r="L540">
        <f t="shared" si="109"/>
        <v>2</v>
      </c>
      <c r="M540" s="3">
        <f t="shared" ca="1" si="110"/>
        <v>46100</v>
      </c>
      <c r="N540">
        <f t="shared" ca="1" si="111"/>
        <v>7626</v>
      </c>
      <c r="O540">
        <f t="shared" ca="1" si="112"/>
        <v>7626</v>
      </c>
      <c r="P540">
        <f t="shared" ca="1" si="113"/>
        <v>5449</v>
      </c>
      <c r="Q540">
        <v>52</v>
      </c>
      <c r="R540" t="str">
        <f t="shared" si="114"/>
        <v>Old</v>
      </c>
      <c r="S540" t="s">
        <v>24</v>
      </c>
      <c r="T540">
        <v>4</v>
      </c>
      <c r="U540" t="s">
        <v>25</v>
      </c>
      <c r="V540">
        <v>5399.23</v>
      </c>
      <c r="W540" t="s">
        <v>26</v>
      </c>
      <c r="X540" t="s">
        <v>47</v>
      </c>
      <c r="Y540">
        <v>27</v>
      </c>
      <c r="Z540" t="str">
        <f t="shared" si="115"/>
        <v>Bad Employee</v>
      </c>
      <c r="AA540" t="b">
        <f t="shared" si="116"/>
        <v>0</v>
      </c>
      <c r="AB540" t="b">
        <f>OR(Y540&gt;20, T540&gt;6)</f>
        <v>1</v>
      </c>
      <c r="AC540" t="str">
        <f>IF(OR(Y540&gt;20,T540&gt;6), "Good employee", "Bad Employee")</f>
        <v>Good employee</v>
      </c>
      <c r="AD540" t="s">
        <v>56</v>
      </c>
      <c r="AE540" t="s">
        <v>29</v>
      </c>
      <c r="AF540">
        <v>8</v>
      </c>
      <c r="AG540">
        <v>2019</v>
      </c>
      <c r="AH540" t="s">
        <v>43</v>
      </c>
      <c r="AI540">
        <v>147</v>
      </c>
      <c r="AJ540">
        <v>4.5999999999999996</v>
      </c>
    </row>
    <row r="541" spans="1:36" x14ac:dyDescent="0.25">
      <c r="A541">
        <v>10540</v>
      </c>
      <c r="B541" t="s">
        <v>60</v>
      </c>
      <c r="C541" t="s">
        <v>51</v>
      </c>
      <c r="D541" t="s">
        <v>23</v>
      </c>
      <c r="E541" t="str">
        <f t="shared" si="104"/>
        <v>Jane Brown is in HR Department</v>
      </c>
      <c r="F541" s="6" t="str">
        <f t="shared" si="105"/>
        <v>janebrown@gmail.com</v>
      </c>
      <c r="G541">
        <v>63593</v>
      </c>
      <c r="H541" t="str">
        <f t="shared" si="106"/>
        <v>Medium</v>
      </c>
      <c r="I541" s="3">
        <v>40181</v>
      </c>
      <c r="J541">
        <f t="shared" si="107"/>
        <v>2010</v>
      </c>
      <c r="K541">
        <f t="shared" si="108"/>
        <v>1</v>
      </c>
      <c r="L541">
        <f t="shared" si="109"/>
        <v>3</v>
      </c>
      <c r="M541" s="3">
        <f t="shared" ca="1" si="110"/>
        <v>46100</v>
      </c>
      <c r="N541">
        <f t="shared" ca="1" si="111"/>
        <v>5919</v>
      </c>
      <c r="O541">
        <f t="shared" ca="1" si="112"/>
        <v>5919</v>
      </c>
      <c r="P541">
        <f t="shared" ca="1" si="113"/>
        <v>4229</v>
      </c>
      <c r="Q541">
        <v>52</v>
      </c>
      <c r="R541" t="str">
        <f t="shared" si="114"/>
        <v>Old</v>
      </c>
      <c r="S541" t="s">
        <v>24</v>
      </c>
      <c r="T541">
        <v>3</v>
      </c>
      <c r="U541" t="s">
        <v>25</v>
      </c>
      <c r="V541">
        <v>6630.46</v>
      </c>
      <c r="W541" t="s">
        <v>35</v>
      </c>
      <c r="X541" t="s">
        <v>27</v>
      </c>
      <c r="Y541">
        <v>31</v>
      </c>
      <c r="Z541" t="str">
        <f t="shared" si="115"/>
        <v>Bad Employee</v>
      </c>
      <c r="AA541" t="b">
        <f t="shared" si="116"/>
        <v>0</v>
      </c>
      <c r="AB541" t="b">
        <f>OR(Y541&gt;20, T541&gt;6)</f>
        <v>1</v>
      </c>
      <c r="AC541" t="str">
        <f>IF(OR(Y541&gt;20,T541&gt;6), "Good employee", "Bad Employee")</f>
        <v>Good employee</v>
      </c>
      <c r="AD541" t="s">
        <v>28</v>
      </c>
      <c r="AE541" t="s">
        <v>37</v>
      </c>
      <c r="AF541">
        <v>13</v>
      </c>
      <c r="AG541">
        <v>2015</v>
      </c>
      <c r="AH541" t="s">
        <v>49</v>
      </c>
      <c r="AI541">
        <v>23</v>
      </c>
      <c r="AJ541">
        <v>1.4</v>
      </c>
    </row>
    <row r="542" spans="1:36" x14ac:dyDescent="0.25">
      <c r="A542">
        <v>10541</v>
      </c>
      <c r="B542" t="s">
        <v>21</v>
      </c>
      <c r="C542" t="s">
        <v>32</v>
      </c>
      <c r="D542" t="s">
        <v>23</v>
      </c>
      <c r="E542" t="str">
        <f t="shared" si="104"/>
        <v>Michael Wilson is in HR Department</v>
      </c>
      <c r="F542" s="6" t="str">
        <f t="shared" si="105"/>
        <v>michaelwilson@gmail.com</v>
      </c>
      <c r="G542">
        <v>71964</v>
      </c>
      <c r="H542" t="str">
        <f t="shared" si="106"/>
        <v>Medium</v>
      </c>
      <c r="I542" s="3">
        <v>41312</v>
      </c>
      <c r="J542">
        <f t="shared" si="107"/>
        <v>2013</v>
      </c>
      <c r="K542">
        <f t="shared" si="108"/>
        <v>2</v>
      </c>
      <c r="L542">
        <f t="shared" si="109"/>
        <v>7</v>
      </c>
      <c r="M542" s="3">
        <f t="shared" ca="1" si="110"/>
        <v>46100</v>
      </c>
      <c r="N542">
        <f t="shared" ca="1" si="111"/>
        <v>4788</v>
      </c>
      <c r="O542">
        <f t="shared" ca="1" si="112"/>
        <v>4788</v>
      </c>
      <c r="P542">
        <f t="shared" ca="1" si="113"/>
        <v>3421</v>
      </c>
      <c r="Q542">
        <v>38</v>
      </c>
      <c r="R542" t="str">
        <f t="shared" si="114"/>
        <v>Old</v>
      </c>
      <c r="S542" t="s">
        <v>24</v>
      </c>
      <c r="T542">
        <v>1</v>
      </c>
      <c r="U542" t="s">
        <v>45</v>
      </c>
      <c r="V542">
        <v>9670.4699999999993</v>
      </c>
      <c r="W542" t="s">
        <v>26</v>
      </c>
      <c r="X542" t="s">
        <v>55</v>
      </c>
      <c r="Y542">
        <v>21</v>
      </c>
      <c r="Z542" t="str">
        <f t="shared" si="115"/>
        <v>Bad Employee</v>
      </c>
      <c r="AA542" t="b">
        <f t="shared" si="116"/>
        <v>0</v>
      </c>
      <c r="AB542" t="b">
        <f>OR(Y542&gt;20, T542&gt;6)</f>
        <v>1</v>
      </c>
      <c r="AC542" t="str">
        <f>IF(OR(Y542&gt;20,T542&gt;6), "Good employee", "Bad Employee")</f>
        <v>Good employee</v>
      </c>
      <c r="AD542" t="s">
        <v>41</v>
      </c>
      <c r="AE542" t="s">
        <v>42</v>
      </c>
      <c r="AF542">
        <v>2</v>
      </c>
      <c r="AG542">
        <v>2011</v>
      </c>
      <c r="AH542" t="s">
        <v>49</v>
      </c>
      <c r="AI542">
        <v>157</v>
      </c>
      <c r="AJ542">
        <v>1.1000000000000001</v>
      </c>
    </row>
    <row r="543" spans="1:36" x14ac:dyDescent="0.25">
      <c r="A543">
        <v>10542</v>
      </c>
      <c r="B543" t="s">
        <v>60</v>
      </c>
      <c r="C543" t="s">
        <v>63</v>
      </c>
      <c r="D543" t="s">
        <v>54</v>
      </c>
      <c r="E543" t="str">
        <f t="shared" si="104"/>
        <v>Jane Miller is in Finance Department</v>
      </c>
      <c r="F543" s="6" t="str">
        <f t="shared" si="105"/>
        <v>janemiller@gmail.com</v>
      </c>
      <c r="G543">
        <v>107188</v>
      </c>
      <c r="H543" t="str">
        <f t="shared" si="106"/>
        <v>High</v>
      </c>
      <c r="I543" s="3">
        <v>38743</v>
      </c>
      <c r="J543">
        <f t="shared" si="107"/>
        <v>2006</v>
      </c>
      <c r="K543">
        <f t="shared" si="108"/>
        <v>1</v>
      </c>
      <c r="L543">
        <f t="shared" si="109"/>
        <v>26</v>
      </c>
      <c r="M543" s="3">
        <f t="shared" ca="1" si="110"/>
        <v>46100</v>
      </c>
      <c r="N543">
        <f t="shared" ca="1" si="111"/>
        <v>7357</v>
      </c>
      <c r="O543">
        <f t="shared" ca="1" si="112"/>
        <v>7357</v>
      </c>
      <c r="P543">
        <f t="shared" ca="1" si="113"/>
        <v>5256</v>
      </c>
      <c r="Q543">
        <v>40</v>
      </c>
      <c r="R543" t="str">
        <f t="shared" si="114"/>
        <v>Old</v>
      </c>
      <c r="S543" t="s">
        <v>34</v>
      </c>
      <c r="T543">
        <v>3</v>
      </c>
      <c r="U543" t="s">
        <v>25</v>
      </c>
      <c r="V543">
        <v>8414.11</v>
      </c>
      <c r="W543" t="s">
        <v>58</v>
      </c>
      <c r="X543" t="s">
        <v>27</v>
      </c>
      <c r="Y543">
        <v>16</v>
      </c>
      <c r="Z543" t="str">
        <f t="shared" si="115"/>
        <v>Bad Employee</v>
      </c>
      <c r="AA543" t="b">
        <f t="shared" si="116"/>
        <v>0</v>
      </c>
      <c r="AB543" t="b">
        <f>OR(Y543&gt;20, T543&gt;6)</f>
        <v>0</v>
      </c>
      <c r="AC543" t="str">
        <f>IF(OR(Y543&gt;20,T543&gt;6), "Good employee", "Bad Employee")</f>
        <v>Bad Employee</v>
      </c>
      <c r="AD543" t="s">
        <v>56</v>
      </c>
      <c r="AE543" t="s">
        <v>29</v>
      </c>
      <c r="AF543">
        <v>7</v>
      </c>
      <c r="AG543">
        <v>2017</v>
      </c>
      <c r="AH543" t="s">
        <v>49</v>
      </c>
      <c r="AI543">
        <v>35</v>
      </c>
      <c r="AJ543">
        <v>4.9000000000000004</v>
      </c>
    </row>
    <row r="544" spans="1:36" x14ac:dyDescent="0.25">
      <c r="A544">
        <v>10543</v>
      </c>
      <c r="B544" t="s">
        <v>50</v>
      </c>
      <c r="C544" t="s">
        <v>61</v>
      </c>
      <c r="D544" t="s">
        <v>39</v>
      </c>
      <c r="E544" t="str">
        <f t="shared" si="104"/>
        <v>Alex Smith is in IT Department</v>
      </c>
      <c r="F544" s="6" t="str">
        <f t="shared" si="105"/>
        <v>alexsmith@gmail.com</v>
      </c>
      <c r="G544">
        <v>83365</v>
      </c>
      <c r="H544" t="str">
        <f t="shared" si="106"/>
        <v>High</v>
      </c>
      <c r="I544" s="3">
        <v>40780</v>
      </c>
      <c r="J544">
        <f t="shared" si="107"/>
        <v>2011</v>
      </c>
      <c r="K544">
        <f t="shared" si="108"/>
        <v>8</v>
      </c>
      <c r="L544">
        <f t="shared" si="109"/>
        <v>25</v>
      </c>
      <c r="M544" s="3">
        <f t="shared" ca="1" si="110"/>
        <v>46100</v>
      </c>
      <c r="N544">
        <f t="shared" ca="1" si="111"/>
        <v>5320</v>
      </c>
      <c r="O544">
        <f t="shared" ca="1" si="112"/>
        <v>5320</v>
      </c>
      <c r="P544">
        <f t="shared" ca="1" si="113"/>
        <v>3801</v>
      </c>
      <c r="Q544">
        <v>24</v>
      </c>
      <c r="R544" t="str">
        <f t="shared" si="114"/>
        <v>Young</v>
      </c>
      <c r="S544" t="s">
        <v>34</v>
      </c>
      <c r="T544">
        <v>4</v>
      </c>
      <c r="U544" t="s">
        <v>45</v>
      </c>
      <c r="V544">
        <v>7312.92</v>
      </c>
      <c r="W544" t="s">
        <v>46</v>
      </c>
      <c r="X544" t="s">
        <v>36</v>
      </c>
      <c r="Y544">
        <v>23</v>
      </c>
      <c r="Z544" t="str">
        <f t="shared" si="115"/>
        <v>Bad Employee</v>
      </c>
      <c r="AA544" t="b">
        <f t="shared" si="116"/>
        <v>0</v>
      </c>
      <c r="AB544" t="b">
        <f>OR(Y544&gt;20, T544&gt;6)</f>
        <v>1</v>
      </c>
      <c r="AC544" t="str">
        <f>IF(OR(Y544&gt;20,T544&gt;6), "Good employee", "Bad Employee")</f>
        <v>Good employee</v>
      </c>
      <c r="AD544" t="s">
        <v>41</v>
      </c>
      <c r="AE544" t="s">
        <v>29</v>
      </c>
      <c r="AF544">
        <v>5</v>
      </c>
      <c r="AG544">
        <v>2022</v>
      </c>
      <c r="AH544" t="s">
        <v>49</v>
      </c>
      <c r="AI544">
        <v>134</v>
      </c>
      <c r="AJ544">
        <v>4.8</v>
      </c>
    </row>
    <row r="545" spans="1:36" x14ac:dyDescent="0.25">
      <c r="A545">
        <v>10544</v>
      </c>
      <c r="B545" t="s">
        <v>60</v>
      </c>
      <c r="C545" t="s">
        <v>22</v>
      </c>
      <c r="D545" t="s">
        <v>23</v>
      </c>
      <c r="E545" t="str">
        <f t="shared" si="104"/>
        <v>Jane Williams is in HR Department</v>
      </c>
      <c r="F545" s="6" t="str">
        <f t="shared" si="105"/>
        <v>janewilliams@gmail.com</v>
      </c>
      <c r="G545">
        <v>30443</v>
      </c>
      <c r="H545" t="str">
        <f t="shared" si="106"/>
        <v>extremely low</v>
      </c>
      <c r="I545" s="3">
        <v>40106</v>
      </c>
      <c r="J545">
        <f t="shared" si="107"/>
        <v>2009</v>
      </c>
      <c r="K545">
        <f t="shared" si="108"/>
        <v>10</v>
      </c>
      <c r="L545">
        <f t="shared" si="109"/>
        <v>20</v>
      </c>
      <c r="M545" s="3">
        <f t="shared" ca="1" si="110"/>
        <v>46100</v>
      </c>
      <c r="N545">
        <f t="shared" ca="1" si="111"/>
        <v>5994</v>
      </c>
      <c r="O545">
        <f t="shared" ca="1" si="112"/>
        <v>5994</v>
      </c>
      <c r="P545">
        <f t="shared" ca="1" si="113"/>
        <v>4283</v>
      </c>
      <c r="Q545">
        <v>51</v>
      </c>
      <c r="R545" t="str">
        <f t="shared" si="114"/>
        <v>Old</v>
      </c>
      <c r="S545" t="s">
        <v>24</v>
      </c>
      <c r="T545">
        <v>5</v>
      </c>
      <c r="U545" t="s">
        <v>45</v>
      </c>
      <c r="V545">
        <v>5050.1899999999996</v>
      </c>
      <c r="W545" t="s">
        <v>35</v>
      </c>
      <c r="X545" t="s">
        <v>40</v>
      </c>
      <c r="Y545">
        <v>14</v>
      </c>
      <c r="Z545" t="str">
        <f t="shared" si="115"/>
        <v>Bad Employee</v>
      </c>
      <c r="AA545" t="b">
        <f t="shared" si="116"/>
        <v>0</v>
      </c>
      <c r="AB545" t="b">
        <f>OR(Y545&gt;20, T545&gt;6)</f>
        <v>0</v>
      </c>
      <c r="AC545" t="str">
        <f>IF(OR(Y545&gt;20,T545&gt;6), "Good employee", "Bad Employee")</f>
        <v>Bad Employee</v>
      </c>
      <c r="AD545" t="s">
        <v>56</v>
      </c>
      <c r="AE545" t="s">
        <v>29</v>
      </c>
      <c r="AF545">
        <v>11</v>
      </c>
      <c r="AG545">
        <v>2019</v>
      </c>
      <c r="AH545" t="s">
        <v>49</v>
      </c>
      <c r="AI545">
        <v>125</v>
      </c>
      <c r="AJ545">
        <v>2.7</v>
      </c>
    </row>
    <row r="546" spans="1:36" x14ac:dyDescent="0.25">
      <c r="A546">
        <v>10545</v>
      </c>
      <c r="B546" t="s">
        <v>66</v>
      </c>
      <c r="C546" t="s">
        <v>32</v>
      </c>
      <c r="D546" t="s">
        <v>52</v>
      </c>
      <c r="E546" t="str">
        <f t="shared" si="104"/>
        <v>John Wilson is in Operations Department</v>
      </c>
      <c r="F546" s="6" t="str">
        <f t="shared" si="105"/>
        <v>johnwilson@gmail.com</v>
      </c>
      <c r="G546">
        <v>119439</v>
      </c>
      <c r="H546" t="str">
        <f t="shared" si="106"/>
        <v>High</v>
      </c>
      <c r="I546" s="3">
        <v>43116</v>
      </c>
      <c r="J546">
        <f t="shared" si="107"/>
        <v>2018</v>
      </c>
      <c r="K546">
        <f t="shared" si="108"/>
        <v>1</v>
      </c>
      <c r="L546">
        <f t="shared" si="109"/>
        <v>16</v>
      </c>
      <c r="M546" s="3">
        <f t="shared" ca="1" si="110"/>
        <v>46100</v>
      </c>
      <c r="N546">
        <f t="shared" ca="1" si="111"/>
        <v>2984</v>
      </c>
      <c r="O546">
        <f t="shared" ca="1" si="112"/>
        <v>2984</v>
      </c>
      <c r="P546">
        <f t="shared" ca="1" si="113"/>
        <v>2133</v>
      </c>
      <c r="Q546">
        <v>31</v>
      </c>
      <c r="R546" t="str">
        <f t="shared" si="114"/>
        <v>Old</v>
      </c>
      <c r="S546" t="s">
        <v>24</v>
      </c>
      <c r="T546">
        <v>6</v>
      </c>
      <c r="U546" t="s">
        <v>25</v>
      </c>
      <c r="V546">
        <v>4225.37</v>
      </c>
      <c r="W546" t="s">
        <v>26</v>
      </c>
      <c r="X546" t="s">
        <v>36</v>
      </c>
      <c r="Y546">
        <v>23</v>
      </c>
      <c r="Z546" t="str">
        <f t="shared" si="115"/>
        <v>Bad Employee</v>
      </c>
      <c r="AA546" t="b">
        <f t="shared" si="116"/>
        <v>0</v>
      </c>
      <c r="AB546" t="b">
        <f>OR(Y546&gt;20, T546&gt;6)</f>
        <v>1</v>
      </c>
      <c r="AC546" t="str">
        <f>IF(OR(Y546&gt;20,T546&gt;6), "Good employee", "Bad Employee")</f>
        <v>Good employee</v>
      </c>
      <c r="AD546" t="s">
        <v>41</v>
      </c>
      <c r="AE546" t="s">
        <v>48</v>
      </c>
      <c r="AF546">
        <v>1</v>
      </c>
      <c r="AG546">
        <v>2010</v>
      </c>
      <c r="AH546" t="s">
        <v>49</v>
      </c>
      <c r="AI546">
        <v>63</v>
      </c>
      <c r="AJ546">
        <v>1.2</v>
      </c>
    </row>
    <row r="547" spans="1:36" x14ac:dyDescent="0.25">
      <c r="A547">
        <v>10546</v>
      </c>
      <c r="B547" t="s">
        <v>53</v>
      </c>
      <c r="C547" t="s">
        <v>61</v>
      </c>
      <c r="D547" t="s">
        <v>39</v>
      </c>
      <c r="E547" t="str">
        <f t="shared" si="104"/>
        <v>Sarah Smith is in IT Department</v>
      </c>
      <c r="F547" s="6" t="str">
        <f t="shared" si="105"/>
        <v>sarahsmith@gmail.com</v>
      </c>
      <c r="G547">
        <v>58180</v>
      </c>
      <c r="H547" t="str">
        <f t="shared" si="106"/>
        <v>Medium</v>
      </c>
      <c r="I547" s="3">
        <v>42311</v>
      </c>
      <c r="J547">
        <f t="shared" si="107"/>
        <v>2015</v>
      </c>
      <c r="K547">
        <f t="shared" si="108"/>
        <v>11</v>
      </c>
      <c r="L547">
        <f t="shared" si="109"/>
        <v>3</v>
      </c>
      <c r="M547" s="3">
        <f t="shared" ca="1" si="110"/>
        <v>46100</v>
      </c>
      <c r="N547">
        <f t="shared" ca="1" si="111"/>
        <v>3789</v>
      </c>
      <c r="O547">
        <f t="shared" ca="1" si="112"/>
        <v>3789</v>
      </c>
      <c r="P547">
        <f t="shared" ca="1" si="113"/>
        <v>2708</v>
      </c>
      <c r="Q547">
        <v>50</v>
      </c>
      <c r="R547" t="str">
        <f t="shared" si="114"/>
        <v>Old</v>
      </c>
      <c r="S547" t="s">
        <v>24</v>
      </c>
      <c r="T547">
        <v>2</v>
      </c>
      <c r="U547" t="s">
        <v>25</v>
      </c>
      <c r="V547">
        <v>809.03</v>
      </c>
      <c r="W547" t="s">
        <v>35</v>
      </c>
      <c r="X547" t="s">
        <v>47</v>
      </c>
      <c r="Y547">
        <v>18</v>
      </c>
      <c r="Z547" t="str">
        <f t="shared" si="115"/>
        <v>Bad Employee</v>
      </c>
      <c r="AA547" t="b">
        <f t="shared" si="116"/>
        <v>0</v>
      </c>
      <c r="AB547" t="b">
        <f>OR(Y547&gt;20, T547&gt;6)</f>
        <v>0</v>
      </c>
      <c r="AC547" t="str">
        <f>IF(OR(Y547&gt;20,T547&gt;6), "Good employee", "Bad Employee")</f>
        <v>Bad Employee</v>
      </c>
      <c r="AD547" t="s">
        <v>56</v>
      </c>
      <c r="AE547" t="s">
        <v>62</v>
      </c>
      <c r="AF547">
        <v>2</v>
      </c>
      <c r="AG547">
        <v>2018</v>
      </c>
      <c r="AH547" t="s">
        <v>30</v>
      </c>
      <c r="AI547">
        <v>35</v>
      </c>
      <c r="AJ547">
        <v>3.5</v>
      </c>
    </row>
    <row r="548" spans="1:36" x14ac:dyDescent="0.25">
      <c r="A548">
        <v>10547</v>
      </c>
      <c r="B548" t="s">
        <v>38</v>
      </c>
      <c r="C548" t="s">
        <v>22</v>
      </c>
      <c r="D548" t="s">
        <v>44</v>
      </c>
      <c r="E548" t="str">
        <f t="shared" si="104"/>
        <v>Chris Williams is in Sales Department</v>
      </c>
      <c r="F548" s="6" t="str">
        <f t="shared" si="105"/>
        <v>chriswilliams@gmail.com</v>
      </c>
      <c r="G548">
        <v>78791</v>
      </c>
      <c r="H548" t="str">
        <f t="shared" si="106"/>
        <v>Medium</v>
      </c>
      <c r="I548" s="3">
        <v>42559</v>
      </c>
      <c r="J548">
        <f t="shared" si="107"/>
        <v>2016</v>
      </c>
      <c r="K548">
        <f t="shared" si="108"/>
        <v>7</v>
      </c>
      <c r="L548">
        <f t="shared" si="109"/>
        <v>8</v>
      </c>
      <c r="M548" s="3">
        <f t="shared" ca="1" si="110"/>
        <v>46100</v>
      </c>
      <c r="N548">
        <f t="shared" ca="1" si="111"/>
        <v>3541</v>
      </c>
      <c r="O548">
        <f t="shared" ca="1" si="112"/>
        <v>3541</v>
      </c>
      <c r="P548">
        <f t="shared" ca="1" si="113"/>
        <v>2530</v>
      </c>
      <c r="Q548">
        <v>61</v>
      </c>
      <c r="R548" t="str">
        <f t="shared" si="114"/>
        <v>Old</v>
      </c>
      <c r="S548" t="s">
        <v>24</v>
      </c>
      <c r="T548">
        <v>2</v>
      </c>
      <c r="U548" t="s">
        <v>25</v>
      </c>
      <c r="V548">
        <v>3911.42</v>
      </c>
      <c r="W548" t="s">
        <v>46</v>
      </c>
      <c r="X548" t="s">
        <v>47</v>
      </c>
      <c r="Y548">
        <v>36</v>
      </c>
      <c r="Z548" t="str">
        <f t="shared" si="115"/>
        <v>Bad Employee</v>
      </c>
      <c r="AA548" t="b">
        <f t="shared" si="116"/>
        <v>0</v>
      </c>
      <c r="AB548" t="b">
        <f>OR(Y548&gt;20, T548&gt;6)</f>
        <v>1</v>
      </c>
      <c r="AC548" t="str">
        <f>IF(OR(Y548&gt;20,T548&gt;6), "Good employee", "Bad Employee")</f>
        <v>Good employee</v>
      </c>
      <c r="AD548" t="s">
        <v>41</v>
      </c>
      <c r="AE548" t="s">
        <v>37</v>
      </c>
      <c r="AF548">
        <v>13</v>
      </c>
      <c r="AG548">
        <v>2018</v>
      </c>
      <c r="AH548" t="s">
        <v>30</v>
      </c>
      <c r="AI548">
        <v>144</v>
      </c>
      <c r="AJ548">
        <v>2.2000000000000002</v>
      </c>
    </row>
    <row r="549" spans="1:36" x14ac:dyDescent="0.25">
      <c r="A549">
        <v>10548</v>
      </c>
      <c r="B549" t="s">
        <v>31</v>
      </c>
      <c r="C549" t="s">
        <v>51</v>
      </c>
      <c r="D549" t="s">
        <v>39</v>
      </c>
      <c r="E549" t="str">
        <f t="shared" si="104"/>
        <v>Emily Brown is in IT Department</v>
      </c>
      <c r="F549" s="6" t="str">
        <f t="shared" si="105"/>
        <v>emilybrown@gmail.com</v>
      </c>
      <c r="G549">
        <v>116655</v>
      </c>
      <c r="H549" t="str">
        <f t="shared" si="106"/>
        <v>High</v>
      </c>
      <c r="I549" s="3">
        <v>37543</v>
      </c>
      <c r="J549">
        <f t="shared" si="107"/>
        <v>2002</v>
      </c>
      <c r="K549">
        <f t="shared" si="108"/>
        <v>10</v>
      </c>
      <c r="L549">
        <f t="shared" si="109"/>
        <v>14</v>
      </c>
      <c r="M549" s="3">
        <f t="shared" ca="1" si="110"/>
        <v>46100</v>
      </c>
      <c r="N549">
        <f t="shared" ca="1" si="111"/>
        <v>8557</v>
      </c>
      <c r="O549">
        <f t="shared" ca="1" si="112"/>
        <v>8557</v>
      </c>
      <c r="P549">
        <f t="shared" ca="1" si="113"/>
        <v>6114</v>
      </c>
      <c r="Q549">
        <v>39</v>
      </c>
      <c r="R549" t="str">
        <f t="shared" si="114"/>
        <v>Old</v>
      </c>
      <c r="S549" t="s">
        <v>24</v>
      </c>
      <c r="T549">
        <v>6</v>
      </c>
      <c r="U549" t="s">
        <v>45</v>
      </c>
      <c r="V549">
        <v>8559.58</v>
      </c>
      <c r="W549" t="s">
        <v>46</v>
      </c>
      <c r="X549" t="s">
        <v>40</v>
      </c>
      <c r="Y549">
        <v>12</v>
      </c>
      <c r="Z549" t="str">
        <f t="shared" si="115"/>
        <v>Bad Employee</v>
      </c>
      <c r="AA549" t="b">
        <f t="shared" si="116"/>
        <v>0</v>
      </c>
      <c r="AB549" t="b">
        <f>OR(Y549&gt;20, T549&gt;6)</f>
        <v>0</v>
      </c>
      <c r="AC549" t="str">
        <f>IF(OR(Y549&gt;20,T549&gt;6), "Good employee", "Bad Employee")</f>
        <v>Bad Employee</v>
      </c>
      <c r="AD549" t="s">
        <v>41</v>
      </c>
      <c r="AE549" t="s">
        <v>29</v>
      </c>
      <c r="AF549">
        <v>16</v>
      </c>
      <c r="AG549">
        <v>2015</v>
      </c>
      <c r="AH549" t="s">
        <v>43</v>
      </c>
      <c r="AI549">
        <v>149</v>
      </c>
      <c r="AJ549">
        <v>4.7</v>
      </c>
    </row>
    <row r="550" spans="1:36" x14ac:dyDescent="0.25">
      <c r="A550">
        <v>10549</v>
      </c>
      <c r="B550" t="s">
        <v>60</v>
      </c>
      <c r="C550" t="s">
        <v>65</v>
      </c>
      <c r="D550" t="s">
        <v>52</v>
      </c>
      <c r="E550" t="str">
        <f t="shared" si="104"/>
        <v>Jane Johnson is in Operations Department</v>
      </c>
      <c r="F550" s="6" t="str">
        <f t="shared" si="105"/>
        <v>janejohnson@gmail.com</v>
      </c>
      <c r="G550">
        <v>105899</v>
      </c>
      <c r="H550" t="str">
        <f t="shared" si="106"/>
        <v>High</v>
      </c>
      <c r="I550" s="3">
        <v>39679</v>
      </c>
      <c r="J550">
        <f t="shared" si="107"/>
        <v>2008</v>
      </c>
      <c r="K550">
        <f t="shared" si="108"/>
        <v>8</v>
      </c>
      <c r="L550">
        <f t="shared" si="109"/>
        <v>19</v>
      </c>
      <c r="M550" s="3">
        <f t="shared" ca="1" si="110"/>
        <v>46100</v>
      </c>
      <c r="N550">
        <f t="shared" ca="1" si="111"/>
        <v>6421</v>
      </c>
      <c r="O550">
        <f t="shared" ca="1" si="112"/>
        <v>6421</v>
      </c>
      <c r="P550">
        <f t="shared" ca="1" si="113"/>
        <v>4588</v>
      </c>
      <c r="Q550">
        <v>33</v>
      </c>
      <c r="R550" t="str">
        <f t="shared" si="114"/>
        <v>Old</v>
      </c>
      <c r="S550" t="s">
        <v>24</v>
      </c>
      <c r="T550">
        <v>5</v>
      </c>
      <c r="U550" t="s">
        <v>25</v>
      </c>
      <c r="V550">
        <v>4148.2299999999996</v>
      </c>
      <c r="W550" t="s">
        <v>58</v>
      </c>
      <c r="X550" t="s">
        <v>40</v>
      </c>
      <c r="Y550">
        <v>37</v>
      </c>
      <c r="Z550" t="str">
        <f t="shared" si="115"/>
        <v>Bad Employee</v>
      </c>
      <c r="AA550" t="b">
        <f t="shared" si="116"/>
        <v>0</v>
      </c>
      <c r="AB550" t="b">
        <f>OR(Y550&gt;20, T550&gt;6)</f>
        <v>1</v>
      </c>
      <c r="AC550" t="str">
        <f>IF(OR(Y550&gt;20,T550&gt;6), "Good employee", "Bad Employee")</f>
        <v>Good employee</v>
      </c>
      <c r="AD550" t="s">
        <v>41</v>
      </c>
      <c r="AE550" t="s">
        <v>59</v>
      </c>
      <c r="AF550">
        <v>2</v>
      </c>
      <c r="AG550">
        <v>2019</v>
      </c>
      <c r="AH550" t="s">
        <v>49</v>
      </c>
      <c r="AI550">
        <v>33</v>
      </c>
      <c r="AJ550">
        <v>4.2</v>
      </c>
    </row>
    <row r="551" spans="1:36" x14ac:dyDescent="0.25">
      <c r="A551">
        <v>10550</v>
      </c>
      <c r="B551" t="s">
        <v>21</v>
      </c>
      <c r="C551" t="s">
        <v>63</v>
      </c>
      <c r="D551" t="s">
        <v>33</v>
      </c>
      <c r="E551" t="str">
        <f t="shared" si="104"/>
        <v>Michael Miller is in Marketing Department</v>
      </c>
      <c r="F551" s="6" t="str">
        <f t="shared" si="105"/>
        <v>michaelmiller@gmail.com</v>
      </c>
      <c r="G551">
        <v>73665</v>
      </c>
      <c r="H551" t="str">
        <f t="shared" si="106"/>
        <v>Medium</v>
      </c>
      <c r="I551" s="3">
        <v>41702</v>
      </c>
      <c r="J551">
        <f t="shared" si="107"/>
        <v>2014</v>
      </c>
      <c r="K551">
        <f t="shared" si="108"/>
        <v>3</v>
      </c>
      <c r="L551">
        <f t="shared" si="109"/>
        <v>4</v>
      </c>
      <c r="M551" s="3">
        <f t="shared" ca="1" si="110"/>
        <v>46100</v>
      </c>
      <c r="N551">
        <f t="shared" ca="1" si="111"/>
        <v>4398</v>
      </c>
      <c r="O551">
        <f t="shared" ca="1" si="112"/>
        <v>4398</v>
      </c>
      <c r="P551">
        <f t="shared" ca="1" si="113"/>
        <v>3143</v>
      </c>
      <c r="Q551">
        <v>44</v>
      </c>
      <c r="R551" t="str">
        <f t="shared" si="114"/>
        <v>Old</v>
      </c>
      <c r="S551" t="s">
        <v>24</v>
      </c>
      <c r="T551">
        <v>1</v>
      </c>
      <c r="U551" t="s">
        <v>25</v>
      </c>
      <c r="V551">
        <v>4885.0600000000004</v>
      </c>
      <c r="W551" t="s">
        <v>26</v>
      </c>
      <c r="X551" t="s">
        <v>40</v>
      </c>
      <c r="Y551">
        <v>11</v>
      </c>
      <c r="Z551" t="str">
        <f t="shared" si="115"/>
        <v>Bad Employee</v>
      </c>
      <c r="AA551" t="b">
        <f t="shared" si="116"/>
        <v>0</v>
      </c>
      <c r="AB551" t="b">
        <f>OR(Y551&gt;20, T551&gt;6)</f>
        <v>0</v>
      </c>
      <c r="AC551" t="str">
        <f>IF(OR(Y551&gt;20,T551&gt;6), "Good employee", "Bad Employee")</f>
        <v>Bad Employee</v>
      </c>
      <c r="AD551" t="s">
        <v>41</v>
      </c>
      <c r="AE551" t="s">
        <v>48</v>
      </c>
      <c r="AF551">
        <v>3</v>
      </c>
      <c r="AG551">
        <v>2015</v>
      </c>
      <c r="AH551" t="s">
        <v>49</v>
      </c>
      <c r="AI551">
        <v>168</v>
      </c>
      <c r="AJ551">
        <v>3.6</v>
      </c>
    </row>
    <row r="552" spans="1:36" x14ac:dyDescent="0.25">
      <c r="A552">
        <v>10551</v>
      </c>
      <c r="B552" t="s">
        <v>66</v>
      </c>
      <c r="C552" t="s">
        <v>57</v>
      </c>
      <c r="D552" t="s">
        <v>52</v>
      </c>
      <c r="E552" t="str">
        <f t="shared" si="104"/>
        <v>John Davis is in Operations Department</v>
      </c>
      <c r="F552" s="6" t="str">
        <f t="shared" si="105"/>
        <v>johndavis@gmail.com</v>
      </c>
      <c r="G552">
        <v>33465</v>
      </c>
      <c r="H552" t="str">
        <f t="shared" si="106"/>
        <v>extremely low</v>
      </c>
      <c r="I552" s="3">
        <v>40116</v>
      </c>
      <c r="J552">
        <f t="shared" si="107"/>
        <v>2009</v>
      </c>
      <c r="K552">
        <f t="shared" si="108"/>
        <v>10</v>
      </c>
      <c r="L552">
        <f t="shared" si="109"/>
        <v>30</v>
      </c>
      <c r="M552" s="3">
        <f t="shared" ca="1" si="110"/>
        <v>46100</v>
      </c>
      <c r="N552">
        <f t="shared" ca="1" si="111"/>
        <v>5984</v>
      </c>
      <c r="O552">
        <f t="shared" ca="1" si="112"/>
        <v>5984</v>
      </c>
      <c r="P552">
        <f t="shared" ca="1" si="113"/>
        <v>4275</v>
      </c>
      <c r="Q552">
        <v>32</v>
      </c>
      <c r="R552" t="str">
        <f t="shared" si="114"/>
        <v>Old</v>
      </c>
      <c r="S552" t="s">
        <v>24</v>
      </c>
      <c r="T552">
        <v>3</v>
      </c>
      <c r="U552" t="s">
        <v>25</v>
      </c>
      <c r="V552">
        <v>3082.43</v>
      </c>
      <c r="W552" t="s">
        <v>26</v>
      </c>
      <c r="X552" t="s">
        <v>40</v>
      </c>
      <c r="Y552">
        <v>5</v>
      </c>
      <c r="Z552" t="str">
        <f t="shared" si="115"/>
        <v>Bad Employee</v>
      </c>
      <c r="AA552" t="b">
        <f t="shared" si="116"/>
        <v>0</v>
      </c>
      <c r="AB552" t="b">
        <f>OR(Y552&gt;20, T552&gt;6)</f>
        <v>0</v>
      </c>
      <c r="AC552" t="str">
        <f>IF(OR(Y552&gt;20,T552&gt;6), "Good employee", "Bad Employee")</f>
        <v>Bad Employee</v>
      </c>
      <c r="AD552" t="s">
        <v>28</v>
      </c>
      <c r="AE552" t="s">
        <v>48</v>
      </c>
      <c r="AF552">
        <v>14</v>
      </c>
      <c r="AG552">
        <v>2015</v>
      </c>
      <c r="AH552" t="s">
        <v>49</v>
      </c>
      <c r="AI552">
        <v>108</v>
      </c>
      <c r="AJ552">
        <v>2.1</v>
      </c>
    </row>
    <row r="553" spans="1:36" x14ac:dyDescent="0.25">
      <c r="A553">
        <v>10552</v>
      </c>
      <c r="B553" t="s">
        <v>31</v>
      </c>
      <c r="C553" t="s">
        <v>63</v>
      </c>
      <c r="D553" t="s">
        <v>52</v>
      </c>
      <c r="E553" t="str">
        <f t="shared" si="104"/>
        <v>Emily Miller is in Operations Department</v>
      </c>
      <c r="F553" s="6" t="str">
        <f t="shared" si="105"/>
        <v>emilymiller@gmail.com</v>
      </c>
      <c r="G553">
        <v>98247</v>
      </c>
      <c r="H553" t="str">
        <f t="shared" si="106"/>
        <v>High</v>
      </c>
      <c r="I553" s="3">
        <v>40733</v>
      </c>
      <c r="J553">
        <f t="shared" si="107"/>
        <v>2011</v>
      </c>
      <c r="K553">
        <f t="shared" si="108"/>
        <v>7</v>
      </c>
      <c r="L553">
        <f t="shared" si="109"/>
        <v>9</v>
      </c>
      <c r="M553" s="3">
        <f t="shared" ca="1" si="110"/>
        <v>46100</v>
      </c>
      <c r="N553">
        <f t="shared" ca="1" si="111"/>
        <v>5367</v>
      </c>
      <c r="O553">
        <f t="shared" ca="1" si="112"/>
        <v>5367</v>
      </c>
      <c r="P553">
        <f t="shared" ca="1" si="113"/>
        <v>3834</v>
      </c>
      <c r="Q553">
        <v>30</v>
      </c>
      <c r="R553" t="str">
        <f t="shared" si="114"/>
        <v>Young</v>
      </c>
      <c r="S553" t="s">
        <v>34</v>
      </c>
      <c r="T553">
        <v>5</v>
      </c>
      <c r="U553" t="s">
        <v>25</v>
      </c>
      <c r="V553">
        <v>3104.26</v>
      </c>
      <c r="W553" t="s">
        <v>58</v>
      </c>
      <c r="X553" t="s">
        <v>27</v>
      </c>
      <c r="Y553">
        <v>21</v>
      </c>
      <c r="Z553" t="str">
        <f t="shared" si="115"/>
        <v>Bad Employee</v>
      </c>
      <c r="AA553" t="b">
        <f t="shared" si="116"/>
        <v>0</v>
      </c>
      <c r="AB553" t="b">
        <f>OR(Y553&gt;20, T553&gt;6)</f>
        <v>1</v>
      </c>
      <c r="AC553" t="str">
        <f>IF(OR(Y553&gt;20,T553&gt;6), "Good employee", "Bad Employee")</f>
        <v>Good employee</v>
      </c>
      <c r="AD553" t="s">
        <v>28</v>
      </c>
      <c r="AE553" t="s">
        <v>29</v>
      </c>
      <c r="AF553">
        <v>6</v>
      </c>
      <c r="AG553">
        <v>2020</v>
      </c>
      <c r="AH553" t="s">
        <v>43</v>
      </c>
      <c r="AI553">
        <v>67</v>
      </c>
      <c r="AJ553">
        <v>3.8</v>
      </c>
    </row>
    <row r="554" spans="1:36" x14ac:dyDescent="0.25">
      <c r="A554">
        <v>10553</v>
      </c>
      <c r="B554" t="s">
        <v>38</v>
      </c>
      <c r="C554" t="s">
        <v>51</v>
      </c>
      <c r="D554" t="s">
        <v>33</v>
      </c>
      <c r="E554" t="str">
        <f t="shared" si="104"/>
        <v>Chris Brown is in Marketing Department</v>
      </c>
      <c r="F554" s="6" t="str">
        <f t="shared" si="105"/>
        <v>chrisbrown@gmail.com</v>
      </c>
      <c r="G554">
        <v>81559</v>
      </c>
      <c r="H554" t="str">
        <f t="shared" si="106"/>
        <v>High</v>
      </c>
      <c r="I554" s="3">
        <v>40595</v>
      </c>
      <c r="J554">
        <f t="shared" si="107"/>
        <v>2011</v>
      </c>
      <c r="K554">
        <f t="shared" si="108"/>
        <v>2</v>
      </c>
      <c r="L554">
        <f t="shared" si="109"/>
        <v>21</v>
      </c>
      <c r="M554" s="3">
        <f t="shared" ca="1" si="110"/>
        <v>46100</v>
      </c>
      <c r="N554">
        <f t="shared" ca="1" si="111"/>
        <v>5505</v>
      </c>
      <c r="O554">
        <f t="shared" ca="1" si="112"/>
        <v>5505</v>
      </c>
      <c r="P554">
        <f t="shared" ca="1" si="113"/>
        <v>3934</v>
      </c>
      <c r="Q554">
        <v>45</v>
      </c>
      <c r="R554" t="str">
        <f t="shared" si="114"/>
        <v>Old</v>
      </c>
      <c r="S554" t="s">
        <v>24</v>
      </c>
      <c r="T554">
        <v>2</v>
      </c>
      <c r="U554" t="s">
        <v>25</v>
      </c>
      <c r="V554">
        <v>1087.78</v>
      </c>
      <c r="W554" t="s">
        <v>58</v>
      </c>
      <c r="X554" t="s">
        <v>36</v>
      </c>
      <c r="Y554">
        <v>32</v>
      </c>
      <c r="Z554" t="str">
        <f t="shared" si="115"/>
        <v>Bad Employee</v>
      </c>
      <c r="AA554" t="b">
        <f t="shared" si="116"/>
        <v>0</v>
      </c>
      <c r="AB554" t="b">
        <f>OR(Y554&gt;20, T554&gt;6)</f>
        <v>1</v>
      </c>
      <c r="AC554" t="str">
        <f>IF(OR(Y554&gt;20,T554&gt;6), "Good employee", "Bad Employee")</f>
        <v>Good employee</v>
      </c>
      <c r="AD554" t="s">
        <v>28</v>
      </c>
      <c r="AE554" t="s">
        <v>59</v>
      </c>
      <c r="AF554">
        <v>18</v>
      </c>
      <c r="AG554">
        <v>2013</v>
      </c>
      <c r="AH554" t="s">
        <v>30</v>
      </c>
      <c r="AI554">
        <v>19</v>
      </c>
      <c r="AJ554">
        <v>2.2000000000000002</v>
      </c>
    </row>
    <row r="555" spans="1:36" x14ac:dyDescent="0.25">
      <c r="A555">
        <v>10554</v>
      </c>
      <c r="B555" t="s">
        <v>31</v>
      </c>
      <c r="C555" t="s">
        <v>61</v>
      </c>
      <c r="D555" t="s">
        <v>33</v>
      </c>
      <c r="E555" t="str">
        <f t="shared" si="104"/>
        <v>Emily Smith is in Marketing Department</v>
      </c>
      <c r="F555" s="6" t="str">
        <f t="shared" si="105"/>
        <v>emilysmith@gmail.com</v>
      </c>
      <c r="G555">
        <v>55198</v>
      </c>
      <c r="H555" t="str">
        <f t="shared" si="106"/>
        <v>Medium</v>
      </c>
      <c r="I555" s="3">
        <v>36573</v>
      </c>
      <c r="J555">
        <f t="shared" si="107"/>
        <v>2000</v>
      </c>
      <c r="K555">
        <f t="shared" si="108"/>
        <v>2</v>
      </c>
      <c r="L555">
        <f t="shared" si="109"/>
        <v>17</v>
      </c>
      <c r="M555" s="3">
        <f t="shared" ca="1" si="110"/>
        <v>46100</v>
      </c>
      <c r="N555">
        <f t="shared" ca="1" si="111"/>
        <v>9527</v>
      </c>
      <c r="O555">
        <f t="shared" ca="1" si="112"/>
        <v>9527</v>
      </c>
      <c r="P555">
        <f t="shared" ca="1" si="113"/>
        <v>6806</v>
      </c>
      <c r="Q555">
        <v>46</v>
      </c>
      <c r="R555" t="str">
        <f t="shared" si="114"/>
        <v>Old</v>
      </c>
      <c r="S555" t="s">
        <v>24</v>
      </c>
      <c r="T555">
        <v>1</v>
      </c>
      <c r="U555" t="s">
        <v>25</v>
      </c>
      <c r="V555">
        <v>6331.14</v>
      </c>
      <c r="W555" t="s">
        <v>26</v>
      </c>
      <c r="X555" t="s">
        <v>47</v>
      </c>
      <c r="Y555">
        <v>29</v>
      </c>
      <c r="Z555" t="str">
        <f t="shared" si="115"/>
        <v>Bad Employee</v>
      </c>
      <c r="AA555" t="b">
        <f t="shared" si="116"/>
        <v>0</v>
      </c>
      <c r="AB555" t="b">
        <f>OR(Y555&gt;20, T555&gt;6)</f>
        <v>1</v>
      </c>
      <c r="AC555" t="str">
        <f>IF(OR(Y555&gt;20,T555&gt;6), "Good employee", "Bad Employee")</f>
        <v>Good employee</v>
      </c>
      <c r="AD555" t="s">
        <v>28</v>
      </c>
      <c r="AE555" t="s">
        <v>42</v>
      </c>
      <c r="AF555">
        <v>13</v>
      </c>
      <c r="AG555">
        <v>2010</v>
      </c>
      <c r="AH555" t="s">
        <v>30</v>
      </c>
      <c r="AI555">
        <v>34</v>
      </c>
      <c r="AJ555">
        <v>1.2</v>
      </c>
    </row>
    <row r="556" spans="1:36" x14ac:dyDescent="0.25">
      <c r="A556">
        <v>10555</v>
      </c>
      <c r="B556" t="s">
        <v>66</v>
      </c>
      <c r="C556" t="s">
        <v>57</v>
      </c>
      <c r="D556" t="s">
        <v>33</v>
      </c>
      <c r="E556" t="str">
        <f t="shared" si="104"/>
        <v>John Davis is in Marketing Department</v>
      </c>
      <c r="F556" s="6" t="str">
        <f t="shared" si="105"/>
        <v>johndavis@gmail.com</v>
      </c>
      <c r="G556">
        <v>84740</v>
      </c>
      <c r="H556" t="str">
        <f t="shared" si="106"/>
        <v>High</v>
      </c>
      <c r="I556" s="3">
        <v>40189</v>
      </c>
      <c r="J556">
        <f t="shared" si="107"/>
        <v>2010</v>
      </c>
      <c r="K556">
        <f t="shared" si="108"/>
        <v>1</v>
      </c>
      <c r="L556">
        <f t="shared" si="109"/>
        <v>11</v>
      </c>
      <c r="M556" s="3">
        <f t="shared" ca="1" si="110"/>
        <v>46100</v>
      </c>
      <c r="N556">
        <f t="shared" ca="1" si="111"/>
        <v>5911</v>
      </c>
      <c r="O556">
        <f t="shared" ca="1" si="112"/>
        <v>5911</v>
      </c>
      <c r="P556">
        <f t="shared" ca="1" si="113"/>
        <v>4224</v>
      </c>
      <c r="Q556">
        <v>46</v>
      </c>
      <c r="R556" t="str">
        <f t="shared" si="114"/>
        <v>Old</v>
      </c>
      <c r="S556" t="s">
        <v>34</v>
      </c>
      <c r="T556">
        <v>9</v>
      </c>
      <c r="U556" t="s">
        <v>45</v>
      </c>
      <c r="V556">
        <v>4756.66</v>
      </c>
      <c r="W556" t="s">
        <v>26</v>
      </c>
      <c r="X556" t="s">
        <v>27</v>
      </c>
      <c r="Y556">
        <v>7</v>
      </c>
      <c r="Z556" t="str">
        <f t="shared" si="115"/>
        <v>Bad Employee</v>
      </c>
      <c r="AA556" t="b">
        <f t="shared" si="116"/>
        <v>0</v>
      </c>
      <c r="AB556" t="b">
        <f>OR(Y556&gt;20, T556&gt;6)</f>
        <v>1</v>
      </c>
      <c r="AC556" t="str">
        <f>IF(OR(Y556&gt;20,T556&gt;6), "Good employee", "Bad Employee")</f>
        <v>Good employee</v>
      </c>
      <c r="AD556" t="s">
        <v>41</v>
      </c>
      <c r="AE556" t="s">
        <v>48</v>
      </c>
      <c r="AF556">
        <v>15</v>
      </c>
      <c r="AG556">
        <v>2010</v>
      </c>
      <c r="AH556" t="s">
        <v>49</v>
      </c>
      <c r="AI556">
        <v>183</v>
      </c>
      <c r="AJ556">
        <v>3</v>
      </c>
    </row>
    <row r="557" spans="1:36" x14ac:dyDescent="0.25">
      <c r="A557">
        <v>10556</v>
      </c>
      <c r="B557" t="s">
        <v>53</v>
      </c>
      <c r="C557" t="s">
        <v>65</v>
      </c>
      <c r="D557" t="s">
        <v>33</v>
      </c>
      <c r="E557" t="str">
        <f t="shared" si="104"/>
        <v>Sarah Johnson is in Marketing Department</v>
      </c>
      <c r="F557" s="6" t="str">
        <f t="shared" si="105"/>
        <v>sarahjohnson@gmail.com</v>
      </c>
      <c r="G557">
        <v>52488</v>
      </c>
      <c r="H557" t="str">
        <f t="shared" si="106"/>
        <v>Medium</v>
      </c>
      <c r="I557" s="3">
        <v>42532</v>
      </c>
      <c r="J557">
        <f t="shared" si="107"/>
        <v>2016</v>
      </c>
      <c r="K557">
        <f t="shared" si="108"/>
        <v>6</v>
      </c>
      <c r="L557">
        <f t="shared" si="109"/>
        <v>11</v>
      </c>
      <c r="M557" s="3">
        <f t="shared" ca="1" si="110"/>
        <v>46100</v>
      </c>
      <c r="N557">
        <f t="shared" ca="1" si="111"/>
        <v>3568</v>
      </c>
      <c r="O557">
        <f t="shared" ca="1" si="112"/>
        <v>3568</v>
      </c>
      <c r="P557">
        <f t="shared" ca="1" si="113"/>
        <v>2549</v>
      </c>
      <c r="Q557">
        <v>30</v>
      </c>
      <c r="R557" t="str">
        <f t="shared" si="114"/>
        <v>Young</v>
      </c>
      <c r="S557" t="s">
        <v>24</v>
      </c>
      <c r="T557">
        <v>5</v>
      </c>
      <c r="U557" t="s">
        <v>25</v>
      </c>
      <c r="V557">
        <v>6256.63</v>
      </c>
      <c r="W557" t="s">
        <v>35</v>
      </c>
      <c r="X557" t="s">
        <v>40</v>
      </c>
      <c r="Y557">
        <v>36</v>
      </c>
      <c r="Z557" t="str">
        <f t="shared" si="115"/>
        <v>Bad Employee</v>
      </c>
      <c r="AA557" t="b">
        <f t="shared" si="116"/>
        <v>0</v>
      </c>
      <c r="AB557" t="b">
        <f>OR(Y557&gt;20, T557&gt;6)</f>
        <v>1</v>
      </c>
      <c r="AC557" t="str">
        <f>IF(OR(Y557&gt;20,T557&gt;6), "Good employee", "Bad Employee")</f>
        <v>Good employee</v>
      </c>
      <c r="AD557" t="s">
        <v>28</v>
      </c>
      <c r="AE557" t="s">
        <v>29</v>
      </c>
      <c r="AF557">
        <v>12</v>
      </c>
      <c r="AG557">
        <v>2010</v>
      </c>
      <c r="AH557" t="s">
        <v>30</v>
      </c>
      <c r="AI557">
        <v>15</v>
      </c>
      <c r="AJ557">
        <v>3</v>
      </c>
    </row>
    <row r="558" spans="1:36" x14ac:dyDescent="0.25">
      <c r="A558">
        <v>10557</v>
      </c>
      <c r="B558" t="s">
        <v>53</v>
      </c>
      <c r="C558" t="s">
        <v>51</v>
      </c>
      <c r="D558" t="s">
        <v>33</v>
      </c>
      <c r="E558" t="str">
        <f t="shared" si="104"/>
        <v>Sarah Brown is in Marketing Department</v>
      </c>
      <c r="F558" s="6" t="str">
        <f t="shared" si="105"/>
        <v>sarahbrown@gmail.com</v>
      </c>
      <c r="G558">
        <v>68515</v>
      </c>
      <c r="H558" t="str">
        <f t="shared" si="106"/>
        <v>Medium</v>
      </c>
      <c r="I558" s="3">
        <v>40997</v>
      </c>
      <c r="J558">
        <f t="shared" si="107"/>
        <v>2012</v>
      </c>
      <c r="K558">
        <f t="shared" si="108"/>
        <v>3</v>
      </c>
      <c r="L558">
        <f t="shared" si="109"/>
        <v>29</v>
      </c>
      <c r="M558" s="3">
        <f t="shared" ca="1" si="110"/>
        <v>46100</v>
      </c>
      <c r="N558">
        <f t="shared" ca="1" si="111"/>
        <v>5103</v>
      </c>
      <c r="O558">
        <f t="shared" ca="1" si="112"/>
        <v>5103</v>
      </c>
      <c r="P558">
        <f t="shared" ca="1" si="113"/>
        <v>3646</v>
      </c>
      <c r="Q558">
        <v>33</v>
      </c>
      <c r="R558" t="str">
        <f t="shared" si="114"/>
        <v>Old</v>
      </c>
      <c r="S558" t="s">
        <v>24</v>
      </c>
      <c r="T558">
        <v>2</v>
      </c>
      <c r="U558" t="s">
        <v>45</v>
      </c>
      <c r="V558">
        <v>5695.43</v>
      </c>
      <c r="W558" t="s">
        <v>26</v>
      </c>
      <c r="X558" t="s">
        <v>55</v>
      </c>
      <c r="Y558">
        <v>27</v>
      </c>
      <c r="Z558" t="str">
        <f t="shared" si="115"/>
        <v>Bad Employee</v>
      </c>
      <c r="AA558" t="b">
        <f t="shared" si="116"/>
        <v>0</v>
      </c>
      <c r="AB558" t="b">
        <f>OR(Y558&gt;20, T558&gt;6)</f>
        <v>1</v>
      </c>
      <c r="AC558" t="str">
        <f>IF(OR(Y558&gt;20,T558&gt;6), "Good employee", "Bad Employee")</f>
        <v>Good employee</v>
      </c>
      <c r="AD558" t="s">
        <v>28</v>
      </c>
      <c r="AE558" t="s">
        <v>37</v>
      </c>
      <c r="AF558">
        <v>19</v>
      </c>
      <c r="AG558">
        <v>2014</v>
      </c>
      <c r="AH558" t="s">
        <v>30</v>
      </c>
      <c r="AI558">
        <v>189</v>
      </c>
      <c r="AJ558">
        <v>4.0999999999999996</v>
      </c>
    </row>
    <row r="559" spans="1:36" x14ac:dyDescent="0.25">
      <c r="A559">
        <v>10558</v>
      </c>
      <c r="B559" t="s">
        <v>64</v>
      </c>
      <c r="C559" t="s">
        <v>57</v>
      </c>
      <c r="D559" t="s">
        <v>52</v>
      </c>
      <c r="E559" t="str">
        <f t="shared" si="104"/>
        <v>Katie Davis is in Operations Department</v>
      </c>
      <c r="F559" s="6" t="str">
        <f t="shared" si="105"/>
        <v>katiedavis@gmail.com</v>
      </c>
      <c r="G559">
        <v>119144</v>
      </c>
      <c r="H559" t="str">
        <f t="shared" si="106"/>
        <v>High</v>
      </c>
      <c r="I559" s="3">
        <v>37353</v>
      </c>
      <c r="J559">
        <f t="shared" si="107"/>
        <v>2002</v>
      </c>
      <c r="K559">
        <f t="shared" si="108"/>
        <v>4</v>
      </c>
      <c r="L559">
        <f t="shared" si="109"/>
        <v>7</v>
      </c>
      <c r="M559" s="3">
        <f t="shared" ca="1" si="110"/>
        <v>46100</v>
      </c>
      <c r="N559">
        <f t="shared" ca="1" si="111"/>
        <v>8747</v>
      </c>
      <c r="O559">
        <f t="shared" ca="1" si="112"/>
        <v>8747</v>
      </c>
      <c r="P559">
        <f t="shared" ca="1" si="113"/>
        <v>6249</v>
      </c>
      <c r="Q559">
        <v>32</v>
      </c>
      <c r="R559" t="str">
        <f t="shared" si="114"/>
        <v>Old</v>
      </c>
      <c r="S559" t="s">
        <v>24</v>
      </c>
      <c r="T559">
        <v>4</v>
      </c>
      <c r="U559" t="s">
        <v>45</v>
      </c>
      <c r="V559">
        <v>8089.02</v>
      </c>
      <c r="W559" t="s">
        <v>35</v>
      </c>
      <c r="X559" t="s">
        <v>55</v>
      </c>
      <c r="Y559">
        <v>6</v>
      </c>
      <c r="Z559" t="str">
        <f t="shared" si="115"/>
        <v>Bad Employee</v>
      </c>
      <c r="AA559" t="b">
        <f t="shared" si="116"/>
        <v>0</v>
      </c>
      <c r="AB559" t="b">
        <f>OR(Y559&gt;20, T559&gt;6)</f>
        <v>0</v>
      </c>
      <c r="AC559" t="str">
        <f>IF(OR(Y559&gt;20,T559&gt;6), "Good employee", "Bad Employee")</f>
        <v>Bad Employee</v>
      </c>
      <c r="AD559" t="s">
        <v>41</v>
      </c>
      <c r="AE559" t="s">
        <v>29</v>
      </c>
      <c r="AF559">
        <v>16</v>
      </c>
      <c r="AG559">
        <v>2022</v>
      </c>
      <c r="AH559" t="s">
        <v>30</v>
      </c>
      <c r="AI559">
        <v>17</v>
      </c>
      <c r="AJ559">
        <v>4.5</v>
      </c>
    </row>
    <row r="560" spans="1:36" x14ac:dyDescent="0.25">
      <c r="A560">
        <v>10559</v>
      </c>
      <c r="B560" t="s">
        <v>53</v>
      </c>
      <c r="C560" t="s">
        <v>51</v>
      </c>
      <c r="D560" t="s">
        <v>54</v>
      </c>
      <c r="E560" t="str">
        <f t="shared" si="104"/>
        <v>Sarah Brown is in Finance Department</v>
      </c>
      <c r="F560" s="6" t="str">
        <f t="shared" si="105"/>
        <v>sarahbrown@gmail.com</v>
      </c>
      <c r="G560">
        <v>57898</v>
      </c>
      <c r="H560" t="str">
        <f t="shared" si="106"/>
        <v>Medium</v>
      </c>
      <c r="I560" s="3">
        <v>42702</v>
      </c>
      <c r="J560">
        <f t="shared" si="107"/>
        <v>2016</v>
      </c>
      <c r="K560">
        <f t="shared" si="108"/>
        <v>11</v>
      </c>
      <c r="L560">
        <f t="shared" si="109"/>
        <v>28</v>
      </c>
      <c r="M560" s="3">
        <f t="shared" ca="1" si="110"/>
        <v>46100</v>
      </c>
      <c r="N560">
        <f t="shared" ca="1" si="111"/>
        <v>3398</v>
      </c>
      <c r="O560">
        <f t="shared" ca="1" si="112"/>
        <v>3398</v>
      </c>
      <c r="P560">
        <f t="shared" ca="1" si="113"/>
        <v>2429</v>
      </c>
      <c r="Q560">
        <v>59</v>
      </c>
      <c r="R560" t="str">
        <f t="shared" si="114"/>
        <v>Old</v>
      </c>
      <c r="S560" t="s">
        <v>24</v>
      </c>
      <c r="T560">
        <v>3</v>
      </c>
      <c r="U560" t="s">
        <v>25</v>
      </c>
      <c r="V560">
        <v>7634.61</v>
      </c>
      <c r="W560" t="s">
        <v>35</v>
      </c>
      <c r="X560" t="s">
        <v>36</v>
      </c>
      <c r="Y560">
        <v>38</v>
      </c>
      <c r="Z560" t="str">
        <f t="shared" si="115"/>
        <v>Bad Employee</v>
      </c>
      <c r="AA560" t="b">
        <f t="shared" si="116"/>
        <v>0</v>
      </c>
      <c r="AB560" t="b">
        <f>OR(Y560&gt;20, T560&gt;6)</f>
        <v>1</v>
      </c>
      <c r="AC560" t="str">
        <f>IF(OR(Y560&gt;20,T560&gt;6), "Good employee", "Bad Employee")</f>
        <v>Good employee</v>
      </c>
      <c r="AD560" t="s">
        <v>28</v>
      </c>
      <c r="AE560" t="s">
        <v>37</v>
      </c>
      <c r="AF560">
        <v>16</v>
      </c>
      <c r="AG560">
        <v>2016</v>
      </c>
      <c r="AH560" t="s">
        <v>49</v>
      </c>
      <c r="AI560">
        <v>59</v>
      </c>
      <c r="AJ560">
        <v>2.4</v>
      </c>
    </row>
    <row r="561" spans="1:36" x14ac:dyDescent="0.25">
      <c r="A561">
        <v>10560</v>
      </c>
      <c r="B561" t="s">
        <v>64</v>
      </c>
      <c r="C561" t="s">
        <v>51</v>
      </c>
      <c r="D561" t="s">
        <v>54</v>
      </c>
      <c r="E561" t="str">
        <f t="shared" si="104"/>
        <v>Katie Brown is in Finance Department</v>
      </c>
      <c r="F561" s="6" t="str">
        <f t="shared" si="105"/>
        <v>katiebrown@gmail.com</v>
      </c>
      <c r="G561">
        <v>31919</v>
      </c>
      <c r="H561" t="str">
        <f t="shared" si="106"/>
        <v>extremely low</v>
      </c>
      <c r="I561" s="3">
        <v>43173</v>
      </c>
      <c r="J561">
        <f t="shared" si="107"/>
        <v>2018</v>
      </c>
      <c r="K561">
        <f t="shared" si="108"/>
        <v>3</v>
      </c>
      <c r="L561">
        <f t="shared" si="109"/>
        <v>14</v>
      </c>
      <c r="M561" s="3">
        <f t="shared" ca="1" si="110"/>
        <v>46100</v>
      </c>
      <c r="N561">
        <f t="shared" ca="1" si="111"/>
        <v>2927</v>
      </c>
      <c r="O561">
        <f t="shared" ca="1" si="112"/>
        <v>2927</v>
      </c>
      <c r="P561">
        <f t="shared" ca="1" si="113"/>
        <v>2092</v>
      </c>
      <c r="Q561">
        <v>49</v>
      </c>
      <c r="R561" t="str">
        <f t="shared" si="114"/>
        <v>Old</v>
      </c>
      <c r="S561" t="s">
        <v>34</v>
      </c>
      <c r="T561">
        <v>7</v>
      </c>
      <c r="U561" t="s">
        <v>25</v>
      </c>
      <c r="V561">
        <v>7828.81</v>
      </c>
      <c r="W561" t="s">
        <v>35</v>
      </c>
      <c r="X561" t="s">
        <v>47</v>
      </c>
      <c r="Y561">
        <v>4</v>
      </c>
      <c r="Z561" t="str">
        <f t="shared" si="115"/>
        <v>Bad Employee</v>
      </c>
      <c r="AA561" t="b">
        <f t="shared" si="116"/>
        <v>0</v>
      </c>
      <c r="AB561" t="b">
        <f>OR(Y561&gt;20, T561&gt;6)</f>
        <v>1</v>
      </c>
      <c r="AC561" t="str">
        <f>IF(OR(Y561&gt;20,T561&gt;6), "Good employee", "Bad Employee")</f>
        <v>Good employee</v>
      </c>
      <c r="AD561" t="s">
        <v>28</v>
      </c>
      <c r="AE561" t="s">
        <v>37</v>
      </c>
      <c r="AF561">
        <v>9</v>
      </c>
      <c r="AG561">
        <v>2010</v>
      </c>
      <c r="AH561" t="s">
        <v>30</v>
      </c>
      <c r="AI561">
        <v>67</v>
      </c>
      <c r="AJ561">
        <v>2.8</v>
      </c>
    </row>
    <row r="562" spans="1:36" x14ac:dyDescent="0.25">
      <c r="A562">
        <v>10561</v>
      </c>
      <c r="B562" t="s">
        <v>31</v>
      </c>
      <c r="C562" t="s">
        <v>65</v>
      </c>
      <c r="D562" t="s">
        <v>23</v>
      </c>
      <c r="E562" t="str">
        <f t="shared" si="104"/>
        <v>Emily Johnson is in HR Department</v>
      </c>
      <c r="F562" s="6" t="str">
        <f t="shared" si="105"/>
        <v>emilyjohnson@gmail.com</v>
      </c>
      <c r="G562">
        <v>80070</v>
      </c>
      <c r="H562" t="str">
        <f t="shared" si="106"/>
        <v>High</v>
      </c>
      <c r="I562" s="3">
        <v>41248</v>
      </c>
      <c r="J562">
        <f t="shared" si="107"/>
        <v>2012</v>
      </c>
      <c r="K562">
        <f t="shared" si="108"/>
        <v>12</v>
      </c>
      <c r="L562">
        <f t="shared" si="109"/>
        <v>5</v>
      </c>
      <c r="M562" s="3">
        <f t="shared" ca="1" si="110"/>
        <v>46100</v>
      </c>
      <c r="N562">
        <f t="shared" ca="1" si="111"/>
        <v>4852</v>
      </c>
      <c r="O562">
        <f t="shared" ca="1" si="112"/>
        <v>4852</v>
      </c>
      <c r="P562">
        <f t="shared" ca="1" si="113"/>
        <v>3467</v>
      </c>
      <c r="Q562">
        <v>29</v>
      </c>
      <c r="R562" t="str">
        <f t="shared" si="114"/>
        <v>Young</v>
      </c>
      <c r="S562" t="s">
        <v>24</v>
      </c>
      <c r="T562">
        <v>1</v>
      </c>
      <c r="U562" t="s">
        <v>45</v>
      </c>
      <c r="V562">
        <v>5242.7700000000004</v>
      </c>
      <c r="W562" t="s">
        <v>35</v>
      </c>
      <c r="X562" t="s">
        <v>47</v>
      </c>
      <c r="Y562">
        <v>35</v>
      </c>
      <c r="Z562" t="str">
        <f t="shared" si="115"/>
        <v>Bad Employee</v>
      </c>
      <c r="AA562" t="b">
        <f t="shared" si="116"/>
        <v>0</v>
      </c>
      <c r="AB562" t="b">
        <f>OR(Y562&gt;20, T562&gt;6)</f>
        <v>1</v>
      </c>
      <c r="AC562" t="str">
        <f>IF(OR(Y562&gt;20,T562&gt;6), "Good employee", "Bad Employee")</f>
        <v>Good employee</v>
      </c>
      <c r="AD562" t="s">
        <v>56</v>
      </c>
      <c r="AE562" t="s">
        <v>62</v>
      </c>
      <c r="AF562">
        <v>6</v>
      </c>
      <c r="AG562">
        <v>2010</v>
      </c>
      <c r="AH562" t="s">
        <v>30</v>
      </c>
      <c r="AI562">
        <v>134</v>
      </c>
      <c r="AJ562">
        <v>2.9</v>
      </c>
    </row>
    <row r="563" spans="1:36" x14ac:dyDescent="0.25">
      <c r="A563">
        <v>10562</v>
      </c>
      <c r="B563" t="s">
        <v>50</v>
      </c>
      <c r="C563" t="s">
        <v>32</v>
      </c>
      <c r="D563" t="s">
        <v>54</v>
      </c>
      <c r="E563" t="str">
        <f t="shared" si="104"/>
        <v>Alex Wilson is in Finance Department</v>
      </c>
      <c r="F563" s="6" t="str">
        <f t="shared" si="105"/>
        <v>alexwilson@gmail.com</v>
      </c>
      <c r="G563">
        <v>92613</v>
      </c>
      <c r="H563" t="str">
        <f t="shared" si="106"/>
        <v>High</v>
      </c>
      <c r="I563" s="3">
        <v>42541</v>
      </c>
      <c r="J563">
        <f t="shared" si="107"/>
        <v>2016</v>
      </c>
      <c r="K563">
        <f t="shared" si="108"/>
        <v>6</v>
      </c>
      <c r="L563">
        <f t="shared" si="109"/>
        <v>20</v>
      </c>
      <c r="M563" s="3">
        <f t="shared" ca="1" si="110"/>
        <v>46100</v>
      </c>
      <c r="N563">
        <f t="shared" ca="1" si="111"/>
        <v>3559</v>
      </c>
      <c r="O563">
        <f t="shared" ca="1" si="112"/>
        <v>3559</v>
      </c>
      <c r="P563">
        <f t="shared" ca="1" si="113"/>
        <v>2544</v>
      </c>
      <c r="Q563">
        <v>31</v>
      </c>
      <c r="R563" t="str">
        <f t="shared" si="114"/>
        <v>Old</v>
      </c>
      <c r="S563" t="s">
        <v>24</v>
      </c>
      <c r="T563">
        <v>4</v>
      </c>
      <c r="U563" t="s">
        <v>25</v>
      </c>
      <c r="V563">
        <v>3861.87</v>
      </c>
      <c r="W563" t="s">
        <v>46</v>
      </c>
      <c r="X563" t="s">
        <v>36</v>
      </c>
      <c r="Y563">
        <v>10</v>
      </c>
      <c r="Z563" t="str">
        <f t="shared" si="115"/>
        <v>Bad Employee</v>
      </c>
      <c r="AA563" t="b">
        <f t="shared" si="116"/>
        <v>0</v>
      </c>
      <c r="AB563" t="b">
        <f>OR(Y563&gt;20, T563&gt;6)</f>
        <v>0</v>
      </c>
      <c r="AC563" t="str">
        <f>IF(OR(Y563&gt;20,T563&gt;6), "Good employee", "Bad Employee")</f>
        <v>Bad Employee</v>
      </c>
      <c r="AD563" t="s">
        <v>28</v>
      </c>
      <c r="AE563" t="s">
        <v>62</v>
      </c>
      <c r="AF563">
        <v>19</v>
      </c>
      <c r="AG563">
        <v>2023</v>
      </c>
      <c r="AH563" t="s">
        <v>43</v>
      </c>
      <c r="AI563">
        <v>188</v>
      </c>
      <c r="AJ563">
        <v>2.2999999999999998</v>
      </c>
    </row>
    <row r="564" spans="1:36" x14ac:dyDescent="0.25">
      <c r="A564">
        <v>10563</v>
      </c>
      <c r="B564" t="s">
        <v>21</v>
      </c>
      <c r="C564" t="s">
        <v>22</v>
      </c>
      <c r="D564" t="s">
        <v>44</v>
      </c>
      <c r="E564" t="str">
        <f t="shared" si="104"/>
        <v>Michael Williams is in Sales Department</v>
      </c>
      <c r="F564" s="6" t="str">
        <f t="shared" si="105"/>
        <v>michaelwilliams@gmail.com</v>
      </c>
      <c r="G564">
        <v>116135</v>
      </c>
      <c r="H564" t="str">
        <f t="shared" si="106"/>
        <v>High</v>
      </c>
      <c r="I564" s="3">
        <v>41648</v>
      </c>
      <c r="J564">
        <f t="shared" si="107"/>
        <v>2014</v>
      </c>
      <c r="K564">
        <f t="shared" si="108"/>
        <v>1</v>
      </c>
      <c r="L564">
        <f t="shared" si="109"/>
        <v>9</v>
      </c>
      <c r="M564" s="3">
        <f t="shared" ca="1" si="110"/>
        <v>46100</v>
      </c>
      <c r="N564">
        <f t="shared" ca="1" si="111"/>
        <v>4452</v>
      </c>
      <c r="O564">
        <f t="shared" ca="1" si="112"/>
        <v>4452</v>
      </c>
      <c r="P564">
        <f t="shared" ca="1" si="113"/>
        <v>3181</v>
      </c>
      <c r="Q564">
        <v>46</v>
      </c>
      <c r="R564" t="str">
        <f t="shared" si="114"/>
        <v>Old</v>
      </c>
      <c r="S564" t="s">
        <v>24</v>
      </c>
      <c r="T564">
        <v>7</v>
      </c>
      <c r="U564" t="s">
        <v>25</v>
      </c>
      <c r="V564">
        <v>9367.65</v>
      </c>
      <c r="W564" t="s">
        <v>58</v>
      </c>
      <c r="X564" t="s">
        <v>40</v>
      </c>
      <c r="Y564">
        <v>38</v>
      </c>
      <c r="Z564" t="str">
        <f t="shared" si="115"/>
        <v>Good Employee</v>
      </c>
      <c r="AA564" t="b">
        <f t="shared" si="116"/>
        <v>1</v>
      </c>
      <c r="AB564" t="b">
        <f>OR(Y564&gt;20, T564&gt;6)</f>
        <v>1</v>
      </c>
      <c r="AC564" t="str">
        <f>IF(OR(Y564&gt;20,T564&gt;6), "Good employee", "Bad Employee")</f>
        <v>Good employee</v>
      </c>
      <c r="AD564" t="s">
        <v>56</v>
      </c>
      <c r="AE564" t="s">
        <v>42</v>
      </c>
      <c r="AF564">
        <v>16</v>
      </c>
      <c r="AG564">
        <v>2022</v>
      </c>
      <c r="AH564" t="s">
        <v>49</v>
      </c>
      <c r="AI564">
        <v>11</v>
      </c>
      <c r="AJ564">
        <v>4</v>
      </c>
    </row>
    <row r="565" spans="1:36" x14ac:dyDescent="0.25">
      <c r="A565">
        <v>10564</v>
      </c>
      <c r="B565" t="s">
        <v>21</v>
      </c>
      <c r="C565" t="s">
        <v>57</v>
      </c>
      <c r="D565" t="s">
        <v>54</v>
      </c>
      <c r="E565" t="str">
        <f t="shared" si="104"/>
        <v>Michael Davis is in Finance Department</v>
      </c>
      <c r="F565" s="6" t="str">
        <f t="shared" si="105"/>
        <v>michaeldavis@gmail.com</v>
      </c>
      <c r="G565">
        <v>112501</v>
      </c>
      <c r="H565" t="str">
        <f t="shared" si="106"/>
        <v>High</v>
      </c>
      <c r="I565" s="3">
        <v>42513</v>
      </c>
      <c r="J565">
        <f t="shared" si="107"/>
        <v>2016</v>
      </c>
      <c r="K565">
        <f t="shared" si="108"/>
        <v>5</v>
      </c>
      <c r="L565">
        <f t="shared" si="109"/>
        <v>23</v>
      </c>
      <c r="M565" s="3">
        <f t="shared" ca="1" si="110"/>
        <v>46100</v>
      </c>
      <c r="N565">
        <f t="shared" ca="1" si="111"/>
        <v>3587</v>
      </c>
      <c r="O565">
        <f t="shared" ca="1" si="112"/>
        <v>3587</v>
      </c>
      <c r="P565">
        <f t="shared" ca="1" si="113"/>
        <v>2564</v>
      </c>
      <c r="Q565">
        <v>57</v>
      </c>
      <c r="R565" t="str">
        <f t="shared" si="114"/>
        <v>Old</v>
      </c>
      <c r="S565" t="s">
        <v>34</v>
      </c>
      <c r="T565">
        <v>5</v>
      </c>
      <c r="U565" t="s">
        <v>25</v>
      </c>
      <c r="V565">
        <v>1015.56</v>
      </c>
      <c r="W565" t="s">
        <v>58</v>
      </c>
      <c r="X565" t="s">
        <v>40</v>
      </c>
      <c r="Y565">
        <v>30</v>
      </c>
      <c r="Z565" t="str">
        <f t="shared" si="115"/>
        <v>Bad Employee</v>
      </c>
      <c r="AA565" t="b">
        <f t="shared" si="116"/>
        <v>0</v>
      </c>
      <c r="AB565" t="b">
        <f>OR(Y565&gt;20, T565&gt;6)</f>
        <v>1</v>
      </c>
      <c r="AC565" t="str">
        <f>IF(OR(Y565&gt;20,T565&gt;6), "Good employee", "Bad Employee")</f>
        <v>Good employee</v>
      </c>
      <c r="AD565" t="s">
        <v>28</v>
      </c>
      <c r="AE565" t="s">
        <v>42</v>
      </c>
      <c r="AF565">
        <v>11</v>
      </c>
      <c r="AG565">
        <v>2021</v>
      </c>
      <c r="AH565" t="s">
        <v>30</v>
      </c>
      <c r="AI565">
        <v>175</v>
      </c>
      <c r="AJ565">
        <v>3.1</v>
      </c>
    </row>
    <row r="566" spans="1:36" x14ac:dyDescent="0.25">
      <c r="A566">
        <v>10565</v>
      </c>
      <c r="B566" t="s">
        <v>31</v>
      </c>
      <c r="C566" t="s">
        <v>65</v>
      </c>
      <c r="D566" t="s">
        <v>52</v>
      </c>
      <c r="E566" t="str">
        <f t="shared" si="104"/>
        <v>Emily Johnson is in Operations Department</v>
      </c>
      <c r="F566" s="6" t="str">
        <f t="shared" si="105"/>
        <v>emilyjohnson@gmail.com</v>
      </c>
      <c r="G566">
        <v>77003</v>
      </c>
      <c r="H566" t="str">
        <f t="shared" si="106"/>
        <v>Medium</v>
      </c>
      <c r="I566" s="3">
        <v>38615</v>
      </c>
      <c r="J566">
        <f t="shared" si="107"/>
        <v>2005</v>
      </c>
      <c r="K566">
        <f t="shared" si="108"/>
        <v>9</v>
      </c>
      <c r="L566">
        <f t="shared" si="109"/>
        <v>20</v>
      </c>
      <c r="M566" s="3">
        <f t="shared" ca="1" si="110"/>
        <v>46100</v>
      </c>
      <c r="N566">
        <f t="shared" ca="1" si="111"/>
        <v>7485</v>
      </c>
      <c r="O566">
        <f t="shared" ca="1" si="112"/>
        <v>7485</v>
      </c>
      <c r="P566">
        <f t="shared" ca="1" si="113"/>
        <v>5348</v>
      </c>
      <c r="Q566">
        <v>64</v>
      </c>
      <c r="R566" t="str">
        <f t="shared" si="114"/>
        <v>Old</v>
      </c>
      <c r="S566" t="s">
        <v>24</v>
      </c>
      <c r="T566">
        <v>4</v>
      </c>
      <c r="U566" t="s">
        <v>25</v>
      </c>
      <c r="V566">
        <v>1949.9</v>
      </c>
      <c r="W566" t="s">
        <v>26</v>
      </c>
      <c r="X566" t="s">
        <v>47</v>
      </c>
      <c r="Y566">
        <v>9</v>
      </c>
      <c r="Z566" t="str">
        <f t="shared" si="115"/>
        <v>Bad Employee</v>
      </c>
      <c r="AA566" t="b">
        <f t="shared" si="116"/>
        <v>0</v>
      </c>
      <c r="AB566" t="b">
        <f>OR(Y566&gt;20, T566&gt;6)</f>
        <v>0</v>
      </c>
      <c r="AC566" t="str">
        <f>IF(OR(Y566&gt;20,T566&gt;6), "Good employee", "Bad Employee")</f>
        <v>Bad Employee</v>
      </c>
      <c r="AD566" t="s">
        <v>41</v>
      </c>
      <c r="AE566" t="s">
        <v>37</v>
      </c>
      <c r="AF566">
        <v>10</v>
      </c>
      <c r="AG566">
        <v>2020</v>
      </c>
      <c r="AH566" t="s">
        <v>49</v>
      </c>
      <c r="AI566">
        <v>163</v>
      </c>
      <c r="AJ566">
        <v>4.7</v>
      </c>
    </row>
    <row r="567" spans="1:36" x14ac:dyDescent="0.25">
      <c r="A567">
        <v>10566</v>
      </c>
      <c r="B567" t="s">
        <v>60</v>
      </c>
      <c r="C567" t="s">
        <v>51</v>
      </c>
      <c r="D567" t="s">
        <v>33</v>
      </c>
      <c r="E567" t="str">
        <f t="shared" si="104"/>
        <v>Jane Brown is in Marketing Department</v>
      </c>
      <c r="F567" s="6" t="str">
        <f t="shared" si="105"/>
        <v>janebrown@gmail.com</v>
      </c>
      <c r="G567">
        <v>78478</v>
      </c>
      <c r="H567" t="str">
        <f t="shared" si="106"/>
        <v>Medium</v>
      </c>
      <c r="I567" s="3">
        <v>38582</v>
      </c>
      <c r="J567">
        <f t="shared" si="107"/>
        <v>2005</v>
      </c>
      <c r="K567">
        <f t="shared" si="108"/>
        <v>8</v>
      </c>
      <c r="L567">
        <f t="shared" si="109"/>
        <v>18</v>
      </c>
      <c r="M567" s="3">
        <f t="shared" ca="1" si="110"/>
        <v>46100</v>
      </c>
      <c r="N567">
        <f t="shared" ca="1" si="111"/>
        <v>7518</v>
      </c>
      <c r="O567">
        <f t="shared" ca="1" si="112"/>
        <v>7518</v>
      </c>
      <c r="P567">
        <f t="shared" ca="1" si="113"/>
        <v>5371</v>
      </c>
      <c r="Q567">
        <v>30</v>
      </c>
      <c r="R567" t="str">
        <f t="shared" si="114"/>
        <v>Young</v>
      </c>
      <c r="S567" t="s">
        <v>24</v>
      </c>
      <c r="T567">
        <v>4</v>
      </c>
      <c r="U567" t="s">
        <v>45</v>
      </c>
      <c r="V567">
        <v>4486.1899999999996</v>
      </c>
      <c r="W567" t="s">
        <v>58</v>
      </c>
      <c r="X567" t="s">
        <v>47</v>
      </c>
      <c r="Y567">
        <v>16</v>
      </c>
      <c r="Z567" t="str">
        <f t="shared" si="115"/>
        <v>Bad Employee</v>
      </c>
      <c r="AA567" t="b">
        <f t="shared" si="116"/>
        <v>0</v>
      </c>
      <c r="AB567" t="b">
        <f>OR(Y567&gt;20, T567&gt;6)</f>
        <v>0</v>
      </c>
      <c r="AC567" t="str">
        <f>IF(OR(Y567&gt;20,T567&gt;6), "Good employee", "Bad Employee")</f>
        <v>Bad Employee</v>
      </c>
      <c r="AD567" t="s">
        <v>28</v>
      </c>
      <c r="AE567" t="s">
        <v>42</v>
      </c>
      <c r="AF567">
        <v>9</v>
      </c>
      <c r="AG567">
        <v>2021</v>
      </c>
      <c r="AH567" t="s">
        <v>30</v>
      </c>
      <c r="AI567">
        <v>193</v>
      </c>
      <c r="AJ567">
        <v>3.6</v>
      </c>
    </row>
    <row r="568" spans="1:36" x14ac:dyDescent="0.25">
      <c r="A568">
        <v>10567</v>
      </c>
      <c r="B568" t="s">
        <v>60</v>
      </c>
      <c r="C568" t="s">
        <v>65</v>
      </c>
      <c r="D568" t="s">
        <v>33</v>
      </c>
      <c r="E568" t="str">
        <f t="shared" si="104"/>
        <v>Jane Johnson is in Marketing Department</v>
      </c>
      <c r="F568" s="6" t="str">
        <f t="shared" si="105"/>
        <v>janejohnson@gmail.com</v>
      </c>
      <c r="G568">
        <v>44434</v>
      </c>
      <c r="H568" t="str">
        <f t="shared" si="106"/>
        <v>low</v>
      </c>
      <c r="I568" s="3">
        <v>43669</v>
      </c>
      <c r="J568">
        <f t="shared" si="107"/>
        <v>2019</v>
      </c>
      <c r="K568">
        <f t="shared" si="108"/>
        <v>7</v>
      </c>
      <c r="L568">
        <f t="shared" si="109"/>
        <v>23</v>
      </c>
      <c r="M568" s="3">
        <f t="shared" ca="1" si="110"/>
        <v>46100</v>
      </c>
      <c r="N568">
        <f t="shared" ca="1" si="111"/>
        <v>2431</v>
      </c>
      <c r="O568">
        <f t="shared" ca="1" si="112"/>
        <v>2431</v>
      </c>
      <c r="P568">
        <f t="shared" ca="1" si="113"/>
        <v>1738</v>
      </c>
      <c r="Q568">
        <v>62</v>
      </c>
      <c r="R568" t="str">
        <f t="shared" si="114"/>
        <v>Old</v>
      </c>
      <c r="S568" t="s">
        <v>34</v>
      </c>
      <c r="T568">
        <v>2</v>
      </c>
      <c r="U568" t="s">
        <v>45</v>
      </c>
      <c r="V568">
        <v>6332.6</v>
      </c>
      <c r="W568" t="s">
        <v>58</v>
      </c>
      <c r="X568" t="s">
        <v>47</v>
      </c>
      <c r="Y568">
        <v>4</v>
      </c>
      <c r="Z568" t="str">
        <f t="shared" si="115"/>
        <v>Bad Employee</v>
      </c>
      <c r="AA568" t="b">
        <f t="shared" si="116"/>
        <v>0</v>
      </c>
      <c r="AB568" t="b">
        <f>OR(Y568&gt;20, T568&gt;6)</f>
        <v>0</v>
      </c>
      <c r="AC568" t="str">
        <f>IF(OR(Y568&gt;20,T568&gt;6), "Good employee", "Bad Employee")</f>
        <v>Bad Employee</v>
      </c>
      <c r="AD568" t="s">
        <v>41</v>
      </c>
      <c r="AE568" t="s">
        <v>42</v>
      </c>
      <c r="AF568">
        <v>7</v>
      </c>
      <c r="AG568">
        <v>2015</v>
      </c>
      <c r="AH568" t="s">
        <v>49</v>
      </c>
      <c r="AI568">
        <v>154</v>
      </c>
      <c r="AJ568">
        <v>1.8</v>
      </c>
    </row>
    <row r="569" spans="1:36" x14ac:dyDescent="0.25">
      <c r="A569">
        <v>10568</v>
      </c>
      <c r="B569" t="s">
        <v>53</v>
      </c>
      <c r="C569" t="s">
        <v>32</v>
      </c>
      <c r="D569" t="s">
        <v>52</v>
      </c>
      <c r="E569" t="str">
        <f t="shared" si="104"/>
        <v>Sarah Wilson is in Operations Department</v>
      </c>
      <c r="F569" s="6" t="str">
        <f t="shared" si="105"/>
        <v>sarahwilson@gmail.com</v>
      </c>
      <c r="G569">
        <v>76246</v>
      </c>
      <c r="H569" t="str">
        <f t="shared" si="106"/>
        <v>Medium</v>
      </c>
      <c r="I569" s="3">
        <v>37344</v>
      </c>
      <c r="J569">
        <f t="shared" si="107"/>
        <v>2002</v>
      </c>
      <c r="K569">
        <f t="shared" si="108"/>
        <v>3</v>
      </c>
      <c r="L569">
        <f t="shared" si="109"/>
        <v>29</v>
      </c>
      <c r="M569" s="3">
        <f t="shared" ca="1" si="110"/>
        <v>46100</v>
      </c>
      <c r="N569">
        <f t="shared" ca="1" si="111"/>
        <v>8756</v>
      </c>
      <c r="O569">
        <f t="shared" ca="1" si="112"/>
        <v>8756</v>
      </c>
      <c r="P569">
        <f t="shared" ca="1" si="113"/>
        <v>6255</v>
      </c>
      <c r="Q569">
        <v>29</v>
      </c>
      <c r="R569" t="str">
        <f t="shared" si="114"/>
        <v>Young</v>
      </c>
      <c r="S569" t="s">
        <v>34</v>
      </c>
      <c r="T569">
        <v>8</v>
      </c>
      <c r="U569" t="s">
        <v>45</v>
      </c>
      <c r="V569">
        <v>577.9</v>
      </c>
      <c r="W569" t="s">
        <v>46</v>
      </c>
      <c r="X569" t="s">
        <v>40</v>
      </c>
      <c r="Y569">
        <v>26</v>
      </c>
      <c r="Z569" t="str">
        <f t="shared" si="115"/>
        <v>Good Employee</v>
      </c>
      <c r="AA569" t="b">
        <f t="shared" si="116"/>
        <v>1</v>
      </c>
      <c r="AB569" t="b">
        <f>OR(Y569&gt;20, T569&gt;6)</f>
        <v>1</v>
      </c>
      <c r="AC569" t="str">
        <f>IF(OR(Y569&gt;20,T569&gt;6), "Good employee", "Bad Employee")</f>
        <v>Good employee</v>
      </c>
      <c r="AD569" t="s">
        <v>28</v>
      </c>
      <c r="AE569" t="s">
        <v>29</v>
      </c>
      <c r="AF569">
        <v>14</v>
      </c>
      <c r="AG569">
        <v>2020</v>
      </c>
      <c r="AH569" t="s">
        <v>30</v>
      </c>
      <c r="AI569">
        <v>194</v>
      </c>
      <c r="AJ569">
        <v>1.7</v>
      </c>
    </row>
    <row r="570" spans="1:36" x14ac:dyDescent="0.25">
      <c r="A570">
        <v>10569</v>
      </c>
      <c r="B570" t="s">
        <v>21</v>
      </c>
      <c r="C570" t="s">
        <v>22</v>
      </c>
      <c r="D570" t="s">
        <v>44</v>
      </c>
      <c r="E570" t="str">
        <f t="shared" si="104"/>
        <v>Michael Williams is in Sales Department</v>
      </c>
      <c r="F570" s="6" t="str">
        <f t="shared" si="105"/>
        <v>michaelwilliams@gmail.com</v>
      </c>
      <c r="G570">
        <v>66649</v>
      </c>
      <c r="H570" t="str">
        <f t="shared" si="106"/>
        <v>Medium</v>
      </c>
      <c r="I570" s="3">
        <v>41278</v>
      </c>
      <c r="J570">
        <f t="shared" si="107"/>
        <v>2013</v>
      </c>
      <c r="K570">
        <f t="shared" si="108"/>
        <v>1</v>
      </c>
      <c r="L570">
        <f t="shared" si="109"/>
        <v>4</v>
      </c>
      <c r="M570" s="3">
        <f t="shared" ca="1" si="110"/>
        <v>46100</v>
      </c>
      <c r="N570">
        <f t="shared" ca="1" si="111"/>
        <v>4822</v>
      </c>
      <c r="O570">
        <f t="shared" ca="1" si="112"/>
        <v>4822</v>
      </c>
      <c r="P570">
        <f t="shared" ca="1" si="113"/>
        <v>3445</v>
      </c>
      <c r="Q570">
        <v>24</v>
      </c>
      <c r="R570" t="str">
        <f t="shared" si="114"/>
        <v>Young</v>
      </c>
      <c r="S570" t="s">
        <v>34</v>
      </c>
      <c r="T570">
        <v>4</v>
      </c>
      <c r="U570" t="s">
        <v>25</v>
      </c>
      <c r="V570">
        <v>7333.57</v>
      </c>
      <c r="W570" t="s">
        <v>35</v>
      </c>
      <c r="X570" t="s">
        <v>55</v>
      </c>
      <c r="Y570">
        <v>29</v>
      </c>
      <c r="Z570" t="str">
        <f t="shared" si="115"/>
        <v>Bad Employee</v>
      </c>
      <c r="AA570" t="b">
        <f t="shared" si="116"/>
        <v>0</v>
      </c>
      <c r="AB570" t="b">
        <f>OR(Y570&gt;20, T570&gt;6)</f>
        <v>1</v>
      </c>
      <c r="AC570" t="str">
        <f>IF(OR(Y570&gt;20,T570&gt;6), "Good employee", "Bad Employee")</f>
        <v>Good employee</v>
      </c>
      <c r="AD570" t="s">
        <v>28</v>
      </c>
      <c r="AE570" t="s">
        <v>29</v>
      </c>
      <c r="AF570">
        <v>17</v>
      </c>
      <c r="AG570">
        <v>2011</v>
      </c>
      <c r="AH570" t="s">
        <v>30</v>
      </c>
      <c r="AI570">
        <v>32</v>
      </c>
      <c r="AJ570">
        <v>2.5</v>
      </c>
    </row>
    <row r="571" spans="1:36" x14ac:dyDescent="0.25">
      <c r="A571">
        <v>10570</v>
      </c>
      <c r="B571" t="s">
        <v>21</v>
      </c>
      <c r="C571" t="s">
        <v>63</v>
      </c>
      <c r="D571" t="s">
        <v>54</v>
      </c>
      <c r="E571" t="str">
        <f t="shared" si="104"/>
        <v>Michael Miller is in Finance Department</v>
      </c>
      <c r="F571" s="6" t="str">
        <f t="shared" si="105"/>
        <v>michaelmiller@gmail.com</v>
      </c>
      <c r="G571">
        <v>89030</v>
      </c>
      <c r="H571" t="str">
        <f t="shared" si="106"/>
        <v>High</v>
      </c>
      <c r="I571" s="3">
        <v>40510</v>
      </c>
      <c r="J571">
        <f t="shared" si="107"/>
        <v>2010</v>
      </c>
      <c r="K571">
        <f t="shared" si="108"/>
        <v>11</v>
      </c>
      <c r="L571">
        <f t="shared" si="109"/>
        <v>28</v>
      </c>
      <c r="M571" s="3">
        <f t="shared" ca="1" si="110"/>
        <v>46100</v>
      </c>
      <c r="N571">
        <f t="shared" ca="1" si="111"/>
        <v>5590</v>
      </c>
      <c r="O571">
        <f t="shared" ca="1" si="112"/>
        <v>5590</v>
      </c>
      <c r="P571">
        <f t="shared" ca="1" si="113"/>
        <v>3994</v>
      </c>
      <c r="Q571">
        <v>39</v>
      </c>
      <c r="R571" t="str">
        <f t="shared" si="114"/>
        <v>Old</v>
      </c>
      <c r="S571" t="s">
        <v>34</v>
      </c>
      <c r="T571">
        <v>2</v>
      </c>
      <c r="U571" t="s">
        <v>45</v>
      </c>
      <c r="V571">
        <v>5807.9</v>
      </c>
      <c r="W571" t="s">
        <v>35</v>
      </c>
      <c r="X571" t="s">
        <v>36</v>
      </c>
      <c r="Y571">
        <v>28</v>
      </c>
      <c r="Z571" t="str">
        <f t="shared" si="115"/>
        <v>Bad Employee</v>
      </c>
      <c r="AA571" t="b">
        <f t="shared" si="116"/>
        <v>0</v>
      </c>
      <c r="AB571" t="b">
        <f>OR(Y571&gt;20, T571&gt;6)</f>
        <v>1</v>
      </c>
      <c r="AC571" t="str">
        <f>IF(OR(Y571&gt;20,T571&gt;6), "Good employee", "Bad Employee")</f>
        <v>Good employee</v>
      </c>
      <c r="AD571" t="s">
        <v>41</v>
      </c>
      <c r="AE571" t="s">
        <v>29</v>
      </c>
      <c r="AF571">
        <v>12</v>
      </c>
      <c r="AG571">
        <v>2011</v>
      </c>
      <c r="AH571" t="s">
        <v>43</v>
      </c>
      <c r="AI571">
        <v>29</v>
      </c>
      <c r="AJ571">
        <v>2.4</v>
      </c>
    </row>
    <row r="572" spans="1:36" x14ac:dyDescent="0.25">
      <c r="A572">
        <v>10571</v>
      </c>
      <c r="B572" t="s">
        <v>64</v>
      </c>
      <c r="C572" t="s">
        <v>57</v>
      </c>
      <c r="D572" t="s">
        <v>52</v>
      </c>
      <c r="E572" t="str">
        <f t="shared" si="104"/>
        <v>Katie Davis is in Operations Department</v>
      </c>
      <c r="F572" s="6" t="str">
        <f t="shared" si="105"/>
        <v>katiedavis@gmail.com</v>
      </c>
      <c r="G572">
        <v>83061</v>
      </c>
      <c r="H572" t="str">
        <f t="shared" si="106"/>
        <v>High</v>
      </c>
      <c r="I572" s="3">
        <v>40206</v>
      </c>
      <c r="J572">
        <f t="shared" si="107"/>
        <v>2010</v>
      </c>
      <c r="K572">
        <f t="shared" si="108"/>
        <v>1</v>
      </c>
      <c r="L572">
        <f t="shared" si="109"/>
        <v>28</v>
      </c>
      <c r="M572" s="3">
        <f t="shared" ca="1" si="110"/>
        <v>46100</v>
      </c>
      <c r="N572">
        <f t="shared" ca="1" si="111"/>
        <v>5894</v>
      </c>
      <c r="O572">
        <f t="shared" ca="1" si="112"/>
        <v>5894</v>
      </c>
      <c r="P572">
        <f t="shared" ca="1" si="113"/>
        <v>4211</v>
      </c>
      <c r="Q572">
        <v>56</v>
      </c>
      <c r="R572" t="str">
        <f t="shared" si="114"/>
        <v>Old</v>
      </c>
      <c r="S572" t="s">
        <v>24</v>
      </c>
      <c r="T572">
        <v>9</v>
      </c>
      <c r="U572" t="s">
        <v>45</v>
      </c>
      <c r="V572">
        <v>5104.68</v>
      </c>
      <c r="W572" t="s">
        <v>35</v>
      </c>
      <c r="X572" t="s">
        <v>36</v>
      </c>
      <c r="Y572">
        <v>11</v>
      </c>
      <c r="Z572" t="str">
        <f t="shared" si="115"/>
        <v>Bad Employee</v>
      </c>
      <c r="AA572" t="b">
        <f t="shared" si="116"/>
        <v>0</v>
      </c>
      <c r="AB572" t="b">
        <f>OR(Y572&gt;20, T572&gt;6)</f>
        <v>1</v>
      </c>
      <c r="AC572" t="str">
        <f>IF(OR(Y572&gt;20,T572&gt;6), "Good employee", "Bad Employee")</f>
        <v>Good employee</v>
      </c>
      <c r="AD572" t="s">
        <v>41</v>
      </c>
      <c r="AE572" t="s">
        <v>59</v>
      </c>
      <c r="AF572">
        <v>15</v>
      </c>
      <c r="AG572">
        <v>2021</v>
      </c>
      <c r="AH572" t="s">
        <v>49</v>
      </c>
      <c r="AI572">
        <v>197</v>
      </c>
      <c r="AJ572">
        <v>2.6</v>
      </c>
    </row>
    <row r="573" spans="1:36" x14ac:dyDescent="0.25">
      <c r="A573">
        <v>10572</v>
      </c>
      <c r="B573" t="s">
        <v>50</v>
      </c>
      <c r="C573" t="s">
        <v>22</v>
      </c>
      <c r="D573" t="s">
        <v>23</v>
      </c>
      <c r="E573" t="str">
        <f t="shared" si="104"/>
        <v>Alex Williams is in HR Department</v>
      </c>
      <c r="F573" s="6" t="str">
        <f t="shared" si="105"/>
        <v>alexwilliams@gmail.com</v>
      </c>
      <c r="G573">
        <v>31999</v>
      </c>
      <c r="H573" t="str">
        <f t="shared" si="106"/>
        <v>extremely low</v>
      </c>
      <c r="I573" s="3">
        <v>38337</v>
      </c>
      <c r="J573">
        <f t="shared" si="107"/>
        <v>2004</v>
      </c>
      <c r="K573">
        <f t="shared" si="108"/>
        <v>12</v>
      </c>
      <c r="L573">
        <f t="shared" si="109"/>
        <v>16</v>
      </c>
      <c r="M573" s="3">
        <f t="shared" ca="1" si="110"/>
        <v>46100</v>
      </c>
      <c r="N573">
        <f t="shared" ca="1" si="111"/>
        <v>7763</v>
      </c>
      <c r="O573">
        <f t="shared" ca="1" si="112"/>
        <v>7763</v>
      </c>
      <c r="P573">
        <f t="shared" ca="1" si="113"/>
        <v>5546</v>
      </c>
      <c r="Q573">
        <v>38</v>
      </c>
      <c r="R573" t="str">
        <f t="shared" si="114"/>
        <v>Old</v>
      </c>
      <c r="S573" t="s">
        <v>34</v>
      </c>
      <c r="T573">
        <v>7</v>
      </c>
      <c r="U573" t="s">
        <v>45</v>
      </c>
      <c r="V573">
        <v>4523.2</v>
      </c>
      <c r="W573" t="s">
        <v>58</v>
      </c>
      <c r="X573" t="s">
        <v>27</v>
      </c>
      <c r="Y573">
        <v>28</v>
      </c>
      <c r="Z573" t="str">
        <f t="shared" si="115"/>
        <v>Good Employee</v>
      </c>
      <c r="AA573" t="b">
        <f t="shared" si="116"/>
        <v>1</v>
      </c>
      <c r="AB573" t="b">
        <f>OR(Y573&gt;20, T573&gt;6)</f>
        <v>1</v>
      </c>
      <c r="AC573" t="str">
        <f>IF(OR(Y573&gt;20,T573&gt;6), "Good employee", "Bad Employee")</f>
        <v>Good employee</v>
      </c>
      <c r="AD573" t="s">
        <v>41</v>
      </c>
      <c r="AE573" t="s">
        <v>37</v>
      </c>
      <c r="AF573">
        <v>12</v>
      </c>
      <c r="AG573">
        <v>2022</v>
      </c>
      <c r="AH573" t="s">
        <v>30</v>
      </c>
      <c r="AI573">
        <v>164</v>
      </c>
      <c r="AJ573">
        <v>1.7</v>
      </c>
    </row>
    <row r="574" spans="1:36" x14ac:dyDescent="0.25">
      <c r="A574">
        <v>10573</v>
      </c>
      <c r="B574" t="s">
        <v>66</v>
      </c>
      <c r="C574" t="s">
        <v>61</v>
      </c>
      <c r="D574" t="s">
        <v>33</v>
      </c>
      <c r="E574" t="str">
        <f t="shared" si="104"/>
        <v>John Smith is in Marketing Department</v>
      </c>
      <c r="F574" s="6" t="str">
        <f t="shared" si="105"/>
        <v>johnsmith@gmail.com</v>
      </c>
      <c r="G574">
        <v>44849</v>
      </c>
      <c r="H574" t="str">
        <f t="shared" si="106"/>
        <v>low</v>
      </c>
      <c r="I574" s="3">
        <v>41411</v>
      </c>
      <c r="J574">
        <f t="shared" si="107"/>
        <v>2013</v>
      </c>
      <c r="K574">
        <f t="shared" si="108"/>
        <v>5</v>
      </c>
      <c r="L574">
        <f t="shared" si="109"/>
        <v>17</v>
      </c>
      <c r="M574" s="3">
        <f t="shared" ca="1" si="110"/>
        <v>46100</v>
      </c>
      <c r="N574">
        <f t="shared" ca="1" si="111"/>
        <v>4689</v>
      </c>
      <c r="O574">
        <f t="shared" ca="1" si="112"/>
        <v>4689</v>
      </c>
      <c r="P574">
        <f t="shared" ca="1" si="113"/>
        <v>3350</v>
      </c>
      <c r="Q574">
        <v>57</v>
      </c>
      <c r="R574" t="str">
        <f t="shared" si="114"/>
        <v>Old</v>
      </c>
      <c r="S574" t="s">
        <v>34</v>
      </c>
      <c r="T574">
        <v>3</v>
      </c>
      <c r="U574" t="s">
        <v>25</v>
      </c>
      <c r="V574">
        <v>5435.13</v>
      </c>
      <c r="W574" t="s">
        <v>58</v>
      </c>
      <c r="X574" t="s">
        <v>27</v>
      </c>
      <c r="Y574">
        <v>32</v>
      </c>
      <c r="Z574" t="str">
        <f t="shared" si="115"/>
        <v>Bad Employee</v>
      </c>
      <c r="AA574" t="b">
        <f t="shared" si="116"/>
        <v>0</v>
      </c>
      <c r="AB574" t="b">
        <f>OR(Y574&gt;20, T574&gt;6)</f>
        <v>1</v>
      </c>
      <c r="AC574" t="str">
        <f>IF(OR(Y574&gt;20,T574&gt;6), "Good employee", "Bad Employee")</f>
        <v>Good employee</v>
      </c>
      <c r="AD574" t="s">
        <v>41</v>
      </c>
      <c r="AE574" t="s">
        <v>42</v>
      </c>
      <c r="AF574">
        <v>3</v>
      </c>
      <c r="AG574">
        <v>2016</v>
      </c>
      <c r="AH574" t="s">
        <v>43</v>
      </c>
      <c r="AI574">
        <v>180</v>
      </c>
      <c r="AJ574">
        <v>4.9000000000000004</v>
      </c>
    </row>
    <row r="575" spans="1:36" x14ac:dyDescent="0.25">
      <c r="A575">
        <v>10574</v>
      </c>
      <c r="B575" t="s">
        <v>60</v>
      </c>
      <c r="C575" t="s">
        <v>57</v>
      </c>
      <c r="D575" t="s">
        <v>39</v>
      </c>
      <c r="E575" t="str">
        <f t="shared" si="104"/>
        <v>Jane Davis is in IT Department</v>
      </c>
      <c r="F575" s="6" t="str">
        <f t="shared" si="105"/>
        <v>janedavis@gmail.com</v>
      </c>
      <c r="G575">
        <v>106439</v>
      </c>
      <c r="H575" t="str">
        <f t="shared" si="106"/>
        <v>High</v>
      </c>
      <c r="I575" s="3">
        <v>42081</v>
      </c>
      <c r="J575">
        <f t="shared" si="107"/>
        <v>2015</v>
      </c>
      <c r="K575">
        <f t="shared" si="108"/>
        <v>3</v>
      </c>
      <c r="L575">
        <f t="shared" si="109"/>
        <v>18</v>
      </c>
      <c r="M575" s="3">
        <f t="shared" ca="1" si="110"/>
        <v>46100</v>
      </c>
      <c r="N575">
        <f t="shared" ca="1" si="111"/>
        <v>4019</v>
      </c>
      <c r="O575">
        <f t="shared" ca="1" si="112"/>
        <v>4019</v>
      </c>
      <c r="P575">
        <f t="shared" ca="1" si="113"/>
        <v>2872</v>
      </c>
      <c r="Q575">
        <v>49</v>
      </c>
      <c r="R575" t="str">
        <f t="shared" si="114"/>
        <v>Old</v>
      </c>
      <c r="S575" t="s">
        <v>34</v>
      </c>
      <c r="T575">
        <v>7</v>
      </c>
      <c r="U575" t="s">
        <v>25</v>
      </c>
      <c r="V575">
        <v>2036.96</v>
      </c>
      <c r="W575" t="s">
        <v>26</v>
      </c>
      <c r="X575" t="s">
        <v>55</v>
      </c>
      <c r="Y575">
        <v>24</v>
      </c>
      <c r="Z575" t="str">
        <f t="shared" si="115"/>
        <v>Good Employee</v>
      </c>
      <c r="AA575" t="b">
        <f t="shared" si="116"/>
        <v>1</v>
      </c>
      <c r="AB575" t="b">
        <f>OR(Y575&gt;20, T575&gt;6)</f>
        <v>1</v>
      </c>
      <c r="AC575" t="str">
        <f>IF(OR(Y575&gt;20,T575&gt;6), "Good employee", "Bad Employee")</f>
        <v>Good employee</v>
      </c>
      <c r="AD575" t="s">
        <v>56</v>
      </c>
      <c r="AE575" t="s">
        <v>59</v>
      </c>
      <c r="AF575">
        <v>10</v>
      </c>
      <c r="AG575">
        <v>2018</v>
      </c>
      <c r="AH575" t="s">
        <v>43</v>
      </c>
      <c r="AI575">
        <v>84</v>
      </c>
      <c r="AJ575">
        <v>1.6</v>
      </c>
    </row>
    <row r="576" spans="1:36" x14ac:dyDescent="0.25">
      <c r="A576">
        <v>10575</v>
      </c>
      <c r="B576" t="s">
        <v>21</v>
      </c>
      <c r="C576" t="s">
        <v>22</v>
      </c>
      <c r="D576" t="s">
        <v>23</v>
      </c>
      <c r="E576" t="str">
        <f t="shared" si="104"/>
        <v>Michael Williams is in HR Department</v>
      </c>
      <c r="F576" s="6" t="str">
        <f t="shared" si="105"/>
        <v>michaelwilliams@gmail.com</v>
      </c>
      <c r="G576">
        <v>82800</v>
      </c>
      <c r="H576" t="str">
        <f t="shared" si="106"/>
        <v>High</v>
      </c>
      <c r="I576" s="3">
        <v>43720</v>
      </c>
      <c r="J576">
        <f t="shared" si="107"/>
        <v>2019</v>
      </c>
      <c r="K576">
        <f t="shared" si="108"/>
        <v>9</v>
      </c>
      <c r="L576">
        <f t="shared" si="109"/>
        <v>12</v>
      </c>
      <c r="M576" s="3">
        <f t="shared" ca="1" si="110"/>
        <v>46100</v>
      </c>
      <c r="N576">
        <f t="shared" ca="1" si="111"/>
        <v>2380</v>
      </c>
      <c r="O576">
        <f t="shared" ca="1" si="112"/>
        <v>2380</v>
      </c>
      <c r="P576">
        <f t="shared" ca="1" si="113"/>
        <v>1701</v>
      </c>
      <c r="Q576">
        <v>36</v>
      </c>
      <c r="R576" t="str">
        <f t="shared" si="114"/>
        <v>Old</v>
      </c>
      <c r="S576" t="s">
        <v>24</v>
      </c>
      <c r="T576">
        <v>1</v>
      </c>
      <c r="U576" t="s">
        <v>25</v>
      </c>
      <c r="V576">
        <v>1532.76</v>
      </c>
      <c r="W576" t="s">
        <v>46</v>
      </c>
      <c r="X576" t="s">
        <v>47</v>
      </c>
      <c r="Y576">
        <v>39</v>
      </c>
      <c r="Z576" t="str">
        <f t="shared" si="115"/>
        <v>Bad Employee</v>
      </c>
      <c r="AA576" t="b">
        <f t="shared" si="116"/>
        <v>0</v>
      </c>
      <c r="AB576" t="b">
        <f>OR(Y576&gt;20, T576&gt;6)</f>
        <v>1</v>
      </c>
      <c r="AC576" t="str">
        <f>IF(OR(Y576&gt;20,T576&gt;6), "Good employee", "Bad Employee")</f>
        <v>Good employee</v>
      </c>
      <c r="AD576" t="s">
        <v>56</v>
      </c>
      <c r="AE576" t="s">
        <v>48</v>
      </c>
      <c r="AF576">
        <v>18</v>
      </c>
      <c r="AG576">
        <v>2017</v>
      </c>
      <c r="AH576" t="s">
        <v>49</v>
      </c>
      <c r="AI576">
        <v>28</v>
      </c>
      <c r="AJ576">
        <v>3.6</v>
      </c>
    </row>
    <row r="577" spans="1:36" x14ac:dyDescent="0.25">
      <c r="A577">
        <v>10576</v>
      </c>
      <c r="B577" t="s">
        <v>64</v>
      </c>
      <c r="C577" t="s">
        <v>51</v>
      </c>
      <c r="D577" t="s">
        <v>44</v>
      </c>
      <c r="E577" t="str">
        <f t="shared" si="104"/>
        <v>Katie Brown is in Sales Department</v>
      </c>
      <c r="F577" s="6" t="str">
        <f t="shared" si="105"/>
        <v>katiebrown@gmail.com</v>
      </c>
      <c r="G577">
        <v>35445</v>
      </c>
      <c r="H577" t="str">
        <f t="shared" si="106"/>
        <v>extremely low</v>
      </c>
      <c r="I577" s="3">
        <v>39640</v>
      </c>
      <c r="J577">
        <f t="shared" si="107"/>
        <v>2008</v>
      </c>
      <c r="K577">
        <f t="shared" si="108"/>
        <v>7</v>
      </c>
      <c r="L577">
        <f t="shared" si="109"/>
        <v>11</v>
      </c>
      <c r="M577" s="3">
        <f t="shared" ca="1" si="110"/>
        <v>46100</v>
      </c>
      <c r="N577">
        <f t="shared" ca="1" si="111"/>
        <v>6460</v>
      </c>
      <c r="O577">
        <f t="shared" ca="1" si="112"/>
        <v>6460</v>
      </c>
      <c r="P577">
        <f t="shared" ca="1" si="113"/>
        <v>4615</v>
      </c>
      <c r="Q577">
        <v>40</v>
      </c>
      <c r="R577" t="str">
        <f t="shared" si="114"/>
        <v>Old</v>
      </c>
      <c r="S577" t="s">
        <v>34</v>
      </c>
      <c r="T577">
        <v>1</v>
      </c>
      <c r="U577" t="s">
        <v>25</v>
      </c>
      <c r="V577">
        <v>3251.56</v>
      </c>
      <c r="W577" t="s">
        <v>46</v>
      </c>
      <c r="X577" t="s">
        <v>55</v>
      </c>
      <c r="Y577">
        <v>7</v>
      </c>
      <c r="Z577" t="str">
        <f t="shared" si="115"/>
        <v>Bad Employee</v>
      </c>
      <c r="AA577" t="b">
        <f t="shared" si="116"/>
        <v>0</v>
      </c>
      <c r="AB577" t="b">
        <f>OR(Y577&gt;20, T577&gt;6)</f>
        <v>0</v>
      </c>
      <c r="AC577" t="str">
        <f>IF(OR(Y577&gt;20,T577&gt;6), "Good employee", "Bad Employee")</f>
        <v>Bad Employee</v>
      </c>
      <c r="AD577" t="s">
        <v>41</v>
      </c>
      <c r="AE577" t="s">
        <v>37</v>
      </c>
      <c r="AF577">
        <v>7</v>
      </c>
      <c r="AG577">
        <v>2011</v>
      </c>
      <c r="AH577" t="s">
        <v>49</v>
      </c>
      <c r="AI577">
        <v>85</v>
      </c>
      <c r="AJ577">
        <v>1.1000000000000001</v>
      </c>
    </row>
    <row r="578" spans="1:36" x14ac:dyDescent="0.25">
      <c r="A578">
        <v>10577</v>
      </c>
      <c r="B578" t="s">
        <v>38</v>
      </c>
      <c r="C578" t="s">
        <v>57</v>
      </c>
      <c r="D578" t="s">
        <v>23</v>
      </c>
      <c r="E578" t="str">
        <f t="shared" si="104"/>
        <v>Chris Davis is in HR Department</v>
      </c>
      <c r="F578" s="6" t="str">
        <f t="shared" si="105"/>
        <v>chrisdavis@gmail.com</v>
      </c>
      <c r="G578">
        <v>48040</v>
      </c>
      <c r="H578" t="str">
        <f t="shared" si="106"/>
        <v>low</v>
      </c>
      <c r="I578" s="3">
        <v>41776</v>
      </c>
      <c r="J578">
        <f t="shared" si="107"/>
        <v>2014</v>
      </c>
      <c r="K578">
        <f t="shared" si="108"/>
        <v>5</v>
      </c>
      <c r="L578">
        <f t="shared" si="109"/>
        <v>17</v>
      </c>
      <c r="M578" s="3">
        <f t="shared" ca="1" si="110"/>
        <v>46100</v>
      </c>
      <c r="N578">
        <f t="shared" ca="1" si="111"/>
        <v>4324</v>
      </c>
      <c r="O578">
        <f t="shared" ca="1" si="112"/>
        <v>4324</v>
      </c>
      <c r="P578">
        <f t="shared" ca="1" si="113"/>
        <v>3089</v>
      </c>
      <c r="Q578">
        <v>43</v>
      </c>
      <c r="R578" t="str">
        <f t="shared" si="114"/>
        <v>Old</v>
      </c>
      <c r="S578" t="s">
        <v>24</v>
      </c>
      <c r="T578">
        <v>4</v>
      </c>
      <c r="U578" t="s">
        <v>25</v>
      </c>
      <c r="V578">
        <v>7240.3</v>
      </c>
      <c r="W578" t="s">
        <v>26</v>
      </c>
      <c r="X578" t="s">
        <v>27</v>
      </c>
      <c r="Y578">
        <v>18</v>
      </c>
      <c r="Z578" t="str">
        <f t="shared" si="115"/>
        <v>Bad Employee</v>
      </c>
      <c r="AA578" t="b">
        <f t="shared" si="116"/>
        <v>0</v>
      </c>
      <c r="AB578" t="b">
        <f>OR(Y578&gt;20, T578&gt;6)</f>
        <v>0</v>
      </c>
      <c r="AC578" t="str">
        <f>IF(OR(Y578&gt;20,T578&gt;6), "Good employee", "Bad Employee")</f>
        <v>Bad Employee</v>
      </c>
      <c r="AD578" t="s">
        <v>56</v>
      </c>
      <c r="AE578" t="s">
        <v>48</v>
      </c>
      <c r="AF578">
        <v>9</v>
      </c>
      <c r="AG578">
        <v>2023</v>
      </c>
      <c r="AH578" t="s">
        <v>43</v>
      </c>
      <c r="AI578">
        <v>129</v>
      </c>
      <c r="AJ578">
        <v>2.6</v>
      </c>
    </row>
    <row r="579" spans="1:36" x14ac:dyDescent="0.25">
      <c r="A579">
        <v>10578</v>
      </c>
      <c r="B579" t="s">
        <v>64</v>
      </c>
      <c r="C579" t="s">
        <v>57</v>
      </c>
      <c r="D579" t="s">
        <v>52</v>
      </c>
      <c r="E579" t="str">
        <f t="shared" ref="E579:E642" si="117">CONCATENATE(B579, " ", C579, " is in ", D579, " Department")</f>
        <v>Katie Davis is in Operations Department</v>
      </c>
      <c r="F579" s="6" t="str">
        <f t="shared" ref="F579:F642" si="118">LOWER(CONCATENATE(B579, C579, "@gmail.com"))</f>
        <v>katiedavis@gmail.com</v>
      </c>
      <c r="G579">
        <v>94315</v>
      </c>
      <c r="H579" t="str">
        <f t="shared" ref="H579:H642" si="119">IF(G579&gt;80000, "High", IF(G579&gt;50000, "Medium", IF(G579&gt;40000, "low", "extremely low")))</f>
        <v>High</v>
      </c>
      <c r="I579" s="3">
        <v>38155</v>
      </c>
      <c r="J579">
        <f t="shared" ref="J579:J642" si="120">YEAR(I579)</f>
        <v>2004</v>
      </c>
      <c r="K579">
        <f t="shared" ref="K579:K642" si="121">MONTH(I579)</f>
        <v>6</v>
      </c>
      <c r="L579">
        <f t="shared" ref="L579:L642" si="122">DAY(I579)</f>
        <v>17</v>
      </c>
      <c r="M579" s="3">
        <f t="shared" ref="M579:M642" ca="1" si="123">TODAY()</f>
        <v>46100</v>
      </c>
      <c r="N579">
        <f t="shared" ref="N579:N642" ca="1" si="124">M579-I579</f>
        <v>7945</v>
      </c>
      <c r="O579">
        <f t="shared" ref="O579:O642" ca="1" si="125">DATEDIF(I579,M579, "d")</f>
        <v>7945</v>
      </c>
      <c r="P579">
        <f t="shared" ref="P579:P642" ca="1" si="126">NETWORKDAYS(I579, M579)</f>
        <v>5676</v>
      </c>
      <c r="Q579">
        <v>27</v>
      </c>
      <c r="R579" t="str">
        <f t="shared" ref="R579:R642" si="127">IF(Q579&gt;30, "Old", "Young")</f>
        <v>Young</v>
      </c>
      <c r="S579" t="s">
        <v>24</v>
      </c>
      <c r="T579">
        <v>4</v>
      </c>
      <c r="U579" t="s">
        <v>45</v>
      </c>
      <c r="V579">
        <v>6088.73</v>
      </c>
      <c r="W579" t="s">
        <v>26</v>
      </c>
      <c r="X579" t="s">
        <v>27</v>
      </c>
      <c r="Y579">
        <v>3</v>
      </c>
      <c r="Z579" t="str">
        <f t="shared" ref="Z579:Z642" si="128" xml:space="preserve"> IF(AND(Y579&gt;20, T579&gt;6), "Good Employee", "Bad Employee")</f>
        <v>Bad Employee</v>
      </c>
      <c r="AA579" t="b">
        <f t="shared" ref="AA579:AA642" si="129">AND(Y579&gt;20, T579&gt;6)</f>
        <v>0</v>
      </c>
      <c r="AB579" t="b">
        <f>OR(Y579&gt;20, T579&gt;6)</f>
        <v>0</v>
      </c>
      <c r="AC579" t="str">
        <f>IF(OR(Y579&gt;20,T579&gt;6), "Good employee", "Bad Employee")</f>
        <v>Bad Employee</v>
      </c>
      <c r="AD579" t="s">
        <v>28</v>
      </c>
      <c r="AE579" t="s">
        <v>29</v>
      </c>
      <c r="AF579">
        <v>11</v>
      </c>
      <c r="AG579">
        <v>2016</v>
      </c>
      <c r="AH579" t="s">
        <v>49</v>
      </c>
      <c r="AI579">
        <v>174</v>
      </c>
      <c r="AJ579">
        <v>2.2000000000000002</v>
      </c>
    </row>
    <row r="580" spans="1:36" x14ac:dyDescent="0.25">
      <c r="A580">
        <v>10579</v>
      </c>
      <c r="B580" t="s">
        <v>60</v>
      </c>
      <c r="C580" t="s">
        <v>65</v>
      </c>
      <c r="D580" t="s">
        <v>54</v>
      </c>
      <c r="E580" t="str">
        <f t="shared" si="117"/>
        <v>Jane Johnson is in Finance Department</v>
      </c>
      <c r="F580" s="6" t="str">
        <f t="shared" si="118"/>
        <v>janejohnson@gmail.com</v>
      </c>
      <c r="G580">
        <v>30246</v>
      </c>
      <c r="H580" t="str">
        <f t="shared" si="119"/>
        <v>extremely low</v>
      </c>
      <c r="I580" s="3">
        <v>38069</v>
      </c>
      <c r="J580">
        <f t="shared" si="120"/>
        <v>2004</v>
      </c>
      <c r="K580">
        <f t="shared" si="121"/>
        <v>3</v>
      </c>
      <c r="L580">
        <f t="shared" si="122"/>
        <v>23</v>
      </c>
      <c r="M580" s="3">
        <f t="shared" ca="1" si="123"/>
        <v>46100</v>
      </c>
      <c r="N580">
        <f t="shared" ca="1" si="124"/>
        <v>8031</v>
      </c>
      <c r="O580">
        <f t="shared" ca="1" si="125"/>
        <v>8031</v>
      </c>
      <c r="P580">
        <f t="shared" ca="1" si="126"/>
        <v>5738</v>
      </c>
      <c r="Q580">
        <v>28</v>
      </c>
      <c r="R580" t="str">
        <f t="shared" si="127"/>
        <v>Young</v>
      </c>
      <c r="S580" t="s">
        <v>34</v>
      </c>
      <c r="T580">
        <v>4</v>
      </c>
      <c r="U580" t="s">
        <v>45</v>
      </c>
      <c r="V580">
        <v>5061.17</v>
      </c>
      <c r="W580" t="s">
        <v>26</v>
      </c>
      <c r="X580" t="s">
        <v>36</v>
      </c>
      <c r="Y580">
        <v>20</v>
      </c>
      <c r="Z580" t="str">
        <f t="shared" si="128"/>
        <v>Bad Employee</v>
      </c>
      <c r="AA580" t="b">
        <f t="shared" si="129"/>
        <v>0</v>
      </c>
      <c r="AB580" t="b">
        <f>OR(Y580&gt;20, T580&gt;6)</f>
        <v>0</v>
      </c>
      <c r="AC580" t="str">
        <f>IF(OR(Y580&gt;20,T580&gt;6), "Good employee", "Bad Employee")</f>
        <v>Bad Employee</v>
      </c>
      <c r="AD580" t="s">
        <v>28</v>
      </c>
      <c r="AE580" t="s">
        <v>48</v>
      </c>
      <c r="AF580">
        <v>19</v>
      </c>
      <c r="AG580">
        <v>2014</v>
      </c>
      <c r="AH580" t="s">
        <v>49</v>
      </c>
      <c r="AI580">
        <v>74</v>
      </c>
      <c r="AJ580">
        <v>2.5</v>
      </c>
    </row>
    <row r="581" spans="1:36" x14ac:dyDescent="0.25">
      <c r="A581">
        <v>10580</v>
      </c>
      <c r="B581" t="s">
        <v>60</v>
      </c>
      <c r="C581" t="s">
        <v>51</v>
      </c>
      <c r="D581" t="s">
        <v>33</v>
      </c>
      <c r="E581" t="str">
        <f t="shared" si="117"/>
        <v>Jane Brown is in Marketing Department</v>
      </c>
      <c r="F581" s="6" t="str">
        <f t="shared" si="118"/>
        <v>janebrown@gmail.com</v>
      </c>
      <c r="G581">
        <v>61153</v>
      </c>
      <c r="H581" t="str">
        <f t="shared" si="119"/>
        <v>Medium</v>
      </c>
      <c r="I581" s="3">
        <v>43267</v>
      </c>
      <c r="J581">
        <f t="shared" si="120"/>
        <v>2018</v>
      </c>
      <c r="K581">
        <f t="shared" si="121"/>
        <v>6</v>
      </c>
      <c r="L581">
        <f t="shared" si="122"/>
        <v>16</v>
      </c>
      <c r="M581" s="3">
        <f t="shared" ca="1" si="123"/>
        <v>46100</v>
      </c>
      <c r="N581">
        <f t="shared" ca="1" si="124"/>
        <v>2833</v>
      </c>
      <c r="O581">
        <f t="shared" ca="1" si="125"/>
        <v>2833</v>
      </c>
      <c r="P581">
        <f t="shared" ca="1" si="126"/>
        <v>2024</v>
      </c>
      <c r="Q581">
        <v>30</v>
      </c>
      <c r="R581" t="str">
        <f t="shared" si="127"/>
        <v>Young</v>
      </c>
      <c r="S581" t="s">
        <v>24</v>
      </c>
      <c r="T581">
        <v>9</v>
      </c>
      <c r="U581" t="s">
        <v>25</v>
      </c>
      <c r="V581">
        <v>5929.45</v>
      </c>
      <c r="W581" t="s">
        <v>35</v>
      </c>
      <c r="X581" t="s">
        <v>55</v>
      </c>
      <c r="Y581">
        <v>34</v>
      </c>
      <c r="Z581" t="str">
        <f t="shared" si="128"/>
        <v>Good Employee</v>
      </c>
      <c r="AA581" t="b">
        <f t="shared" si="129"/>
        <v>1</v>
      </c>
      <c r="AB581" t="b">
        <f>OR(Y581&gt;20, T581&gt;6)</f>
        <v>1</v>
      </c>
      <c r="AC581" t="str">
        <f>IF(OR(Y581&gt;20,T581&gt;6), "Good employee", "Bad Employee")</f>
        <v>Good employee</v>
      </c>
      <c r="AD581" t="s">
        <v>28</v>
      </c>
      <c r="AE581" t="s">
        <v>29</v>
      </c>
      <c r="AF581">
        <v>10</v>
      </c>
      <c r="AG581">
        <v>2022</v>
      </c>
      <c r="AH581" t="s">
        <v>49</v>
      </c>
      <c r="AI581">
        <v>82</v>
      </c>
      <c r="AJ581">
        <v>3</v>
      </c>
    </row>
    <row r="582" spans="1:36" x14ac:dyDescent="0.25">
      <c r="A582">
        <v>10581</v>
      </c>
      <c r="B582" t="s">
        <v>64</v>
      </c>
      <c r="C582" t="s">
        <v>61</v>
      </c>
      <c r="D582" t="s">
        <v>44</v>
      </c>
      <c r="E582" t="str">
        <f t="shared" si="117"/>
        <v>Katie Smith is in Sales Department</v>
      </c>
      <c r="F582" s="6" t="str">
        <f t="shared" si="118"/>
        <v>katiesmith@gmail.com</v>
      </c>
      <c r="G582">
        <v>35212</v>
      </c>
      <c r="H582" t="str">
        <f t="shared" si="119"/>
        <v>extremely low</v>
      </c>
      <c r="I582" s="3">
        <v>40105</v>
      </c>
      <c r="J582">
        <f t="shared" si="120"/>
        <v>2009</v>
      </c>
      <c r="K582">
        <f t="shared" si="121"/>
        <v>10</v>
      </c>
      <c r="L582">
        <f t="shared" si="122"/>
        <v>19</v>
      </c>
      <c r="M582" s="3">
        <f t="shared" ca="1" si="123"/>
        <v>46100</v>
      </c>
      <c r="N582">
        <f t="shared" ca="1" si="124"/>
        <v>5995</v>
      </c>
      <c r="O582">
        <f t="shared" ca="1" si="125"/>
        <v>5995</v>
      </c>
      <c r="P582">
        <f t="shared" ca="1" si="126"/>
        <v>4284</v>
      </c>
      <c r="Q582">
        <v>41</v>
      </c>
      <c r="R582" t="str">
        <f t="shared" si="127"/>
        <v>Old</v>
      </c>
      <c r="S582" t="s">
        <v>34</v>
      </c>
      <c r="T582">
        <v>6</v>
      </c>
      <c r="U582" t="s">
        <v>25</v>
      </c>
      <c r="V582">
        <v>5812.95</v>
      </c>
      <c r="W582" t="s">
        <v>35</v>
      </c>
      <c r="X582" t="s">
        <v>40</v>
      </c>
      <c r="Y582">
        <v>30</v>
      </c>
      <c r="Z582" t="str">
        <f t="shared" si="128"/>
        <v>Bad Employee</v>
      </c>
      <c r="AA582" t="b">
        <f t="shared" si="129"/>
        <v>0</v>
      </c>
      <c r="AB582" t="b">
        <f>OR(Y582&gt;20, T582&gt;6)</f>
        <v>1</v>
      </c>
      <c r="AC582" t="str">
        <f>IF(OR(Y582&gt;20,T582&gt;6), "Good employee", "Bad Employee")</f>
        <v>Good employee</v>
      </c>
      <c r="AD582" t="s">
        <v>56</v>
      </c>
      <c r="AE582" t="s">
        <v>37</v>
      </c>
      <c r="AF582">
        <v>19</v>
      </c>
      <c r="AG582">
        <v>2020</v>
      </c>
      <c r="AH582" t="s">
        <v>30</v>
      </c>
      <c r="AI582">
        <v>94</v>
      </c>
      <c r="AJ582">
        <v>3.4</v>
      </c>
    </row>
    <row r="583" spans="1:36" x14ac:dyDescent="0.25">
      <c r="A583">
        <v>10582</v>
      </c>
      <c r="B583" t="s">
        <v>66</v>
      </c>
      <c r="C583" t="s">
        <v>63</v>
      </c>
      <c r="D583" t="s">
        <v>44</v>
      </c>
      <c r="E583" t="str">
        <f t="shared" si="117"/>
        <v>John Miller is in Sales Department</v>
      </c>
      <c r="F583" s="6" t="str">
        <f t="shared" si="118"/>
        <v>johnmiller@gmail.com</v>
      </c>
      <c r="G583">
        <v>33339</v>
      </c>
      <c r="H583" t="str">
        <f t="shared" si="119"/>
        <v>extremely low</v>
      </c>
      <c r="I583" s="3">
        <v>42295</v>
      </c>
      <c r="J583">
        <f t="shared" si="120"/>
        <v>2015</v>
      </c>
      <c r="K583">
        <f t="shared" si="121"/>
        <v>10</v>
      </c>
      <c r="L583">
        <f t="shared" si="122"/>
        <v>18</v>
      </c>
      <c r="M583" s="3">
        <f t="shared" ca="1" si="123"/>
        <v>46100</v>
      </c>
      <c r="N583">
        <f t="shared" ca="1" si="124"/>
        <v>3805</v>
      </c>
      <c r="O583">
        <f t="shared" ca="1" si="125"/>
        <v>3805</v>
      </c>
      <c r="P583">
        <f t="shared" ca="1" si="126"/>
        <v>2719</v>
      </c>
      <c r="Q583">
        <v>58</v>
      </c>
      <c r="R583" t="str">
        <f t="shared" si="127"/>
        <v>Old</v>
      </c>
      <c r="S583" t="s">
        <v>34</v>
      </c>
      <c r="T583">
        <v>3</v>
      </c>
      <c r="U583" t="s">
        <v>45</v>
      </c>
      <c r="V583">
        <v>3416.9</v>
      </c>
      <c r="W583" t="s">
        <v>35</v>
      </c>
      <c r="X583" t="s">
        <v>27</v>
      </c>
      <c r="Y583">
        <v>9</v>
      </c>
      <c r="Z583" t="str">
        <f t="shared" si="128"/>
        <v>Bad Employee</v>
      </c>
      <c r="AA583" t="b">
        <f t="shared" si="129"/>
        <v>0</v>
      </c>
      <c r="AB583" t="b">
        <f>OR(Y583&gt;20, T583&gt;6)</f>
        <v>0</v>
      </c>
      <c r="AC583" t="str">
        <f>IF(OR(Y583&gt;20,T583&gt;6), "Good employee", "Bad Employee")</f>
        <v>Bad Employee</v>
      </c>
      <c r="AD583" t="s">
        <v>56</v>
      </c>
      <c r="AE583" t="s">
        <v>37</v>
      </c>
      <c r="AF583">
        <v>3</v>
      </c>
      <c r="AG583">
        <v>2019</v>
      </c>
      <c r="AH583" t="s">
        <v>49</v>
      </c>
      <c r="AI583">
        <v>128</v>
      </c>
      <c r="AJ583">
        <v>3.3</v>
      </c>
    </row>
    <row r="584" spans="1:36" x14ac:dyDescent="0.25">
      <c r="A584">
        <v>10583</v>
      </c>
      <c r="B584" t="s">
        <v>31</v>
      </c>
      <c r="C584" t="s">
        <v>32</v>
      </c>
      <c r="D584" t="s">
        <v>39</v>
      </c>
      <c r="E584" t="str">
        <f t="shared" si="117"/>
        <v>Emily Wilson is in IT Department</v>
      </c>
      <c r="F584" s="6" t="str">
        <f t="shared" si="118"/>
        <v>emilywilson@gmail.com</v>
      </c>
      <c r="G584">
        <v>118678</v>
      </c>
      <c r="H584" t="str">
        <f t="shared" si="119"/>
        <v>High</v>
      </c>
      <c r="I584" s="3">
        <v>38430</v>
      </c>
      <c r="J584">
        <f t="shared" si="120"/>
        <v>2005</v>
      </c>
      <c r="K584">
        <f t="shared" si="121"/>
        <v>3</v>
      </c>
      <c r="L584">
        <f t="shared" si="122"/>
        <v>19</v>
      </c>
      <c r="M584" s="3">
        <f t="shared" ca="1" si="123"/>
        <v>46100</v>
      </c>
      <c r="N584">
        <f t="shared" ca="1" si="124"/>
        <v>7670</v>
      </c>
      <c r="O584">
        <f t="shared" ca="1" si="125"/>
        <v>7670</v>
      </c>
      <c r="P584">
        <f t="shared" ca="1" si="126"/>
        <v>5479</v>
      </c>
      <c r="Q584">
        <v>32</v>
      </c>
      <c r="R584" t="str">
        <f t="shared" si="127"/>
        <v>Old</v>
      </c>
      <c r="S584" t="s">
        <v>24</v>
      </c>
      <c r="T584">
        <v>6</v>
      </c>
      <c r="U584" t="s">
        <v>45</v>
      </c>
      <c r="V584">
        <v>1425.83</v>
      </c>
      <c r="W584" t="s">
        <v>35</v>
      </c>
      <c r="X584" t="s">
        <v>36</v>
      </c>
      <c r="Y584">
        <v>10</v>
      </c>
      <c r="Z584" t="str">
        <f t="shared" si="128"/>
        <v>Bad Employee</v>
      </c>
      <c r="AA584" t="b">
        <f t="shared" si="129"/>
        <v>0</v>
      </c>
      <c r="AB584" t="b">
        <f>OR(Y584&gt;20, T584&gt;6)</f>
        <v>0</v>
      </c>
      <c r="AC584" t="str">
        <f>IF(OR(Y584&gt;20,T584&gt;6), "Good employee", "Bad Employee")</f>
        <v>Bad Employee</v>
      </c>
      <c r="AD584" t="s">
        <v>28</v>
      </c>
      <c r="AE584" t="s">
        <v>42</v>
      </c>
      <c r="AF584">
        <v>18</v>
      </c>
      <c r="AG584">
        <v>2021</v>
      </c>
      <c r="AH584" t="s">
        <v>49</v>
      </c>
      <c r="AI584">
        <v>96</v>
      </c>
      <c r="AJ584">
        <v>3.5</v>
      </c>
    </row>
    <row r="585" spans="1:36" x14ac:dyDescent="0.25">
      <c r="A585">
        <v>10584</v>
      </c>
      <c r="B585" t="s">
        <v>60</v>
      </c>
      <c r="C585" t="s">
        <v>22</v>
      </c>
      <c r="D585" t="s">
        <v>23</v>
      </c>
      <c r="E585" t="str">
        <f t="shared" si="117"/>
        <v>Jane Williams is in HR Department</v>
      </c>
      <c r="F585" s="6" t="str">
        <f t="shared" si="118"/>
        <v>janewilliams@gmail.com</v>
      </c>
      <c r="G585">
        <v>86238</v>
      </c>
      <c r="H585" t="str">
        <f t="shared" si="119"/>
        <v>High</v>
      </c>
      <c r="I585" s="3">
        <v>37962</v>
      </c>
      <c r="J585">
        <f t="shared" si="120"/>
        <v>2003</v>
      </c>
      <c r="K585">
        <f t="shared" si="121"/>
        <v>12</v>
      </c>
      <c r="L585">
        <f t="shared" si="122"/>
        <v>7</v>
      </c>
      <c r="M585" s="3">
        <f t="shared" ca="1" si="123"/>
        <v>46100</v>
      </c>
      <c r="N585">
        <f t="shared" ca="1" si="124"/>
        <v>8138</v>
      </c>
      <c r="O585">
        <f t="shared" ca="1" si="125"/>
        <v>8138</v>
      </c>
      <c r="P585">
        <f t="shared" ca="1" si="126"/>
        <v>5814</v>
      </c>
      <c r="Q585">
        <v>23</v>
      </c>
      <c r="R585" t="str">
        <f t="shared" si="127"/>
        <v>Young</v>
      </c>
      <c r="S585" t="s">
        <v>24</v>
      </c>
      <c r="T585">
        <v>2</v>
      </c>
      <c r="U585" t="s">
        <v>25</v>
      </c>
      <c r="V585">
        <v>9019.43</v>
      </c>
      <c r="W585" t="s">
        <v>26</v>
      </c>
      <c r="X585" t="s">
        <v>47</v>
      </c>
      <c r="Y585">
        <v>6</v>
      </c>
      <c r="Z585" t="str">
        <f t="shared" si="128"/>
        <v>Bad Employee</v>
      </c>
      <c r="AA585" t="b">
        <f t="shared" si="129"/>
        <v>0</v>
      </c>
      <c r="AB585" t="b">
        <f>OR(Y585&gt;20, T585&gt;6)</f>
        <v>0</v>
      </c>
      <c r="AC585" t="str">
        <f>IF(OR(Y585&gt;20,T585&gt;6), "Good employee", "Bad Employee")</f>
        <v>Bad Employee</v>
      </c>
      <c r="AD585" t="s">
        <v>41</v>
      </c>
      <c r="AE585" t="s">
        <v>59</v>
      </c>
      <c r="AF585">
        <v>19</v>
      </c>
      <c r="AG585">
        <v>2023</v>
      </c>
      <c r="AH585" t="s">
        <v>43</v>
      </c>
      <c r="AI585">
        <v>115</v>
      </c>
      <c r="AJ585">
        <v>4.4000000000000004</v>
      </c>
    </row>
    <row r="586" spans="1:36" x14ac:dyDescent="0.25">
      <c r="A586">
        <v>10585</v>
      </c>
      <c r="B586" t="s">
        <v>64</v>
      </c>
      <c r="C586" t="s">
        <v>65</v>
      </c>
      <c r="D586" t="s">
        <v>39</v>
      </c>
      <c r="E586" t="str">
        <f t="shared" si="117"/>
        <v>Katie Johnson is in IT Department</v>
      </c>
      <c r="F586" s="6" t="str">
        <f t="shared" si="118"/>
        <v>katiejohnson@gmail.com</v>
      </c>
      <c r="G586">
        <v>49394</v>
      </c>
      <c r="H586" t="str">
        <f t="shared" si="119"/>
        <v>low</v>
      </c>
      <c r="I586" s="3">
        <v>41557</v>
      </c>
      <c r="J586">
        <f t="shared" si="120"/>
        <v>2013</v>
      </c>
      <c r="K586">
        <f t="shared" si="121"/>
        <v>10</v>
      </c>
      <c r="L586">
        <f t="shared" si="122"/>
        <v>10</v>
      </c>
      <c r="M586" s="3">
        <f t="shared" ca="1" si="123"/>
        <v>46100</v>
      </c>
      <c r="N586">
        <f t="shared" ca="1" si="124"/>
        <v>4543</v>
      </c>
      <c r="O586">
        <f t="shared" ca="1" si="125"/>
        <v>4543</v>
      </c>
      <c r="P586">
        <f t="shared" ca="1" si="126"/>
        <v>3246</v>
      </c>
      <c r="Q586">
        <v>43</v>
      </c>
      <c r="R586" t="str">
        <f t="shared" si="127"/>
        <v>Old</v>
      </c>
      <c r="S586" t="s">
        <v>24</v>
      </c>
      <c r="T586">
        <v>2</v>
      </c>
      <c r="U586" t="s">
        <v>25</v>
      </c>
      <c r="V586">
        <v>6199.16</v>
      </c>
      <c r="W586" t="s">
        <v>26</v>
      </c>
      <c r="X586" t="s">
        <v>55</v>
      </c>
      <c r="Y586">
        <v>17</v>
      </c>
      <c r="Z586" t="str">
        <f t="shared" si="128"/>
        <v>Bad Employee</v>
      </c>
      <c r="AA586" t="b">
        <f t="shared" si="129"/>
        <v>0</v>
      </c>
      <c r="AB586" t="b">
        <f>OR(Y586&gt;20, T586&gt;6)</f>
        <v>0</v>
      </c>
      <c r="AC586" t="str">
        <f>IF(OR(Y586&gt;20,T586&gt;6), "Good employee", "Bad Employee")</f>
        <v>Bad Employee</v>
      </c>
      <c r="AD586" t="s">
        <v>28</v>
      </c>
      <c r="AE586" t="s">
        <v>29</v>
      </c>
      <c r="AF586">
        <v>9</v>
      </c>
      <c r="AG586">
        <v>2022</v>
      </c>
      <c r="AH586" t="s">
        <v>43</v>
      </c>
      <c r="AI586">
        <v>168</v>
      </c>
      <c r="AJ586">
        <v>4.5</v>
      </c>
    </row>
    <row r="587" spans="1:36" x14ac:dyDescent="0.25">
      <c r="A587">
        <v>10586</v>
      </c>
      <c r="B587" t="s">
        <v>21</v>
      </c>
      <c r="C587" t="s">
        <v>22</v>
      </c>
      <c r="D587" t="s">
        <v>54</v>
      </c>
      <c r="E587" t="str">
        <f t="shared" si="117"/>
        <v>Michael Williams is in Finance Department</v>
      </c>
      <c r="F587" s="6" t="str">
        <f t="shared" si="118"/>
        <v>michaelwilliams@gmail.com</v>
      </c>
      <c r="G587">
        <v>83871</v>
      </c>
      <c r="H587" t="str">
        <f t="shared" si="119"/>
        <v>High</v>
      </c>
      <c r="I587" s="3">
        <v>39843</v>
      </c>
      <c r="J587">
        <f t="shared" si="120"/>
        <v>2009</v>
      </c>
      <c r="K587">
        <f t="shared" si="121"/>
        <v>1</v>
      </c>
      <c r="L587">
        <f t="shared" si="122"/>
        <v>30</v>
      </c>
      <c r="M587" s="3">
        <f t="shared" ca="1" si="123"/>
        <v>46100</v>
      </c>
      <c r="N587">
        <f t="shared" ca="1" si="124"/>
        <v>6257</v>
      </c>
      <c r="O587">
        <f t="shared" ca="1" si="125"/>
        <v>6257</v>
      </c>
      <c r="P587">
        <f t="shared" ca="1" si="126"/>
        <v>4470</v>
      </c>
      <c r="Q587">
        <v>57</v>
      </c>
      <c r="R587" t="str">
        <f t="shared" si="127"/>
        <v>Old</v>
      </c>
      <c r="S587" t="s">
        <v>24</v>
      </c>
      <c r="T587">
        <v>7</v>
      </c>
      <c r="U587" t="s">
        <v>25</v>
      </c>
      <c r="V587">
        <v>7128.61</v>
      </c>
      <c r="W587" t="s">
        <v>26</v>
      </c>
      <c r="X587" t="s">
        <v>27</v>
      </c>
      <c r="Y587">
        <v>15</v>
      </c>
      <c r="Z587" t="str">
        <f t="shared" si="128"/>
        <v>Bad Employee</v>
      </c>
      <c r="AA587" t="b">
        <f t="shared" si="129"/>
        <v>0</v>
      </c>
      <c r="AB587" t="b">
        <f>OR(Y587&gt;20, T587&gt;6)</f>
        <v>1</v>
      </c>
      <c r="AC587" t="str">
        <f>IF(OR(Y587&gt;20,T587&gt;6), "Good employee", "Bad Employee")</f>
        <v>Good employee</v>
      </c>
      <c r="AD587" t="s">
        <v>56</v>
      </c>
      <c r="AE587" t="s">
        <v>62</v>
      </c>
      <c r="AF587">
        <v>14</v>
      </c>
      <c r="AG587">
        <v>2013</v>
      </c>
      <c r="AH587" t="s">
        <v>43</v>
      </c>
      <c r="AI587">
        <v>163</v>
      </c>
      <c r="AJ587">
        <v>3.9</v>
      </c>
    </row>
    <row r="588" spans="1:36" x14ac:dyDescent="0.25">
      <c r="A588">
        <v>10587</v>
      </c>
      <c r="B588" t="s">
        <v>64</v>
      </c>
      <c r="C588" t="s">
        <v>61</v>
      </c>
      <c r="D588" t="s">
        <v>54</v>
      </c>
      <c r="E588" t="str">
        <f t="shared" si="117"/>
        <v>Katie Smith is in Finance Department</v>
      </c>
      <c r="F588" s="6" t="str">
        <f t="shared" si="118"/>
        <v>katiesmith@gmail.com</v>
      </c>
      <c r="G588">
        <v>107722</v>
      </c>
      <c r="H588" t="str">
        <f t="shared" si="119"/>
        <v>High</v>
      </c>
      <c r="I588" s="3">
        <v>40046</v>
      </c>
      <c r="J588">
        <f t="shared" si="120"/>
        <v>2009</v>
      </c>
      <c r="K588">
        <f t="shared" si="121"/>
        <v>8</v>
      </c>
      <c r="L588">
        <f t="shared" si="122"/>
        <v>21</v>
      </c>
      <c r="M588" s="3">
        <f t="shared" ca="1" si="123"/>
        <v>46100</v>
      </c>
      <c r="N588">
        <f t="shared" ca="1" si="124"/>
        <v>6054</v>
      </c>
      <c r="O588">
        <f t="shared" ca="1" si="125"/>
        <v>6054</v>
      </c>
      <c r="P588">
        <f t="shared" ca="1" si="126"/>
        <v>4325</v>
      </c>
      <c r="Q588">
        <v>26</v>
      </c>
      <c r="R588" t="str">
        <f t="shared" si="127"/>
        <v>Young</v>
      </c>
      <c r="S588" t="s">
        <v>34</v>
      </c>
      <c r="T588">
        <v>3</v>
      </c>
      <c r="U588" t="s">
        <v>45</v>
      </c>
      <c r="V588">
        <v>4907.97</v>
      </c>
      <c r="W588" t="s">
        <v>35</v>
      </c>
      <c r="X588" t="s">
        <v>40</v>
      </c>
      <c r="Y588">
        <v>33</v>
      </c>
      <c r="Z588" t="str">
        <f t="shared" si="128"/>
        <v>Bad Employee</v>
      </c>
      <c r="AA588" t="b">
        <f t="shared" si="129"/>
        <v>0</v>
      </c>
      <c r="AB588" t="b">
        <f>OR(Y588&gt;20, T588&gt;6)</f>
        <v>1</v>
      </c>
      <c r="AC588" t="str">
        <f>IF(OR(Y588&gt;20,T588&gt;6), "Good employee", "Bad Employee")</f>
        <v>Good employee</v>
      </c>
      <c r="AD588" t="s">
        <v>28</v>
      </c>
      <c r="AE588" t="s">
        <v>62</v>
      </c>
      <c r="AF588">
        <v>12</v>
      </c>
      <c r="AG588">
        <v>2021</v>
      </c>
      <c r="AH588" t="s">
        <v>49</v>
      </c>
      <c r="AI588">
        <v>132</v>
      </c>
      <c r="AJ588">
        <v>1.3</v>
      </c>
    </row>
    <row r="589" spans="1:36" x14ac:dyDescent="0.25">
      <c r="A589">
        <v>10588</v>
      </c>
      <c r="B589" t="s">
        <v>50</v>
      </c>
      <c r="C589" t="s">
        <v>61</v>
      </c>
      <c r="D589" t="s">
        <v>39</v>
      </c>
      <c r="E589" t="str">
        <f t="shared" si="117"/>
        <v>Alex Smith is in IT Department</v>
      </c>
      <c r="F589" s="6" t="str">
        <f t="shared" si="118"/>
        <v>alexsmith@gmail.com</v>
      </c>
      <c r="G589">
        <v>64607</v>
      </c>
      <c r="H589" t="str">
        <f t="shared" si="119"/>
        <v>Medium</v>
      </c>
      <c r="I589" s="3">
        <v>39585</v>
      </c>
      <c r="J589">
        <f t="shared" si="120"/>
        <v>2008</v>
      </c>
      <c r="K589">
        <f t="shared" si="121"/>
        <v>5</v>
      </c>
      <c r="L589">
        <f t="shared" si="122"/>
        <v>17</v>
      </c>
      <c r="M589" s="3">
        <f t="shared" ca="1" si="123"/>
        <v>46100</v>
      </c>
      <c r="N589">
        <f t="shared" ca="1" si="124"/>
        <v>6515</v>
      </c>
      <c r="O589">
        <f t="shared" ca="1" si="125"/>
        <v>6515</v>
      </c>
      <c r="P589">
        <f t="shared" ca="1" si="126"/>
        <v>4654</v>
      </c>
      <c r="Q589">
        <v>28</v>
      </c>
      <c r="R589" t="str">
        <f t="shared" si="127"/>
        <v>Young</v>
      </c>
      <c r="S589" t="s">
        <v>24</v>
      </c>
      <c r="T589">
        <v>7</v>
      </c>
      <c r="U589" t="s">
        <v>45</v>
      </c>
      <c r="V589">
        <v>7686.57</v>
      </c>
      <c r="W589" t="s">
        <v>35</v>
      </c>
      <c r="X589" t="s">
        <v>27</v>
      </c>
      <c r="Y589">
        <v>13</v>
      </c>
      <c r="Z589" t="str">
        <f t="shared" si="128"/>
        <v>Bad Employee</v>
      </c>
      <c r="AA589" t="b">
        <f t="shared" si="129"/>
        <v>0</v>
      </c>
      <c r="AB589" t="b">
        <f>OR(Y589&gt;20, T589&gt;6)</f>
        <v>1</v>
      </c>
      <c r="AC589" t="str">
        <f>IF(OR(Y589&gt;20,T589&gt;6), "Good employee", "Bad Employee")</f>
        <v>Good employee</v>
      </c>
      <c r="AD589" t="s">
        <v>28</v>
      </c>
      <c r="AE589" t="s">
        <v>42</v>
      </c>
      <c r="AF589">
        <v>12</v>
      </c>
      <c r="AG589">
        <v>2023</v>
      </c>
      <c r="AH589" t="s">
        <v>49</v>
      </c>
      <c r="AI589">
        <v>159</v>
      </c>
      <c r="AJ589">
        <v>4.8</v>
      </c>
    </row>
    <row r="590" spans="1:36" x14ac:dyDescent="0.25">
      <c r="A590">
        <v>10589</v>
      </c>
      <c r="B590" t="s">
        <v>31</v>
      </c>
      <c r="C590" t="s">
        <v>57</v>
      </c>
      <c r="D590" t="s">
        <v>33</v>
      </c>
      <c r="E590" t="str">
        <f t="shared" si="117"/>
        <v>Emily Davis is in Marketing Department</v>
      </c>
      <c r="F590" s="6" t="str">
        <f t="shared" si="118"/>
        <v>emilydavis@gmail.com</v>
      </c>
      <c r="G590">
        <v>82055</v>
      </c>
      <c r="H590" t="str">
        <f t="shared" si="119"/>
        <v>High</v>
      </c>
      <c r="I590" s="3">
        <v>40642</v>
      </c>
      <c r="J590">
        <f t="shared" si="120"/>
        <v>2011</v>
      </c>
      <c r="K590">
        <f t="shared" si="121"/>
        <v>4</v>
      </c>
      <c r="L590">
        <f t="shared" si="122"/>
        <v>9</v>
      </c>
      <c r="M590" s="3">
        <f t="shared" ca="1" si="123"/>
        <v>46100</v>
      </c>
      <c r="N590">
        <f t="shared" ca="1" si="124"/>
        <v>5458</v>
      </c>
      <c r="O590">
        <f t="shared" ca="1" si="125"/>
        <v>5458</v>
      </c>
      <c r="P590">
        <f t="shared" ca="1" si="126"/>
        <v>3899</v>
      </c>
      <c r="Q590">
        <v>27</v>
      </c>
      <c r="R590" t="str">
        <f t="shared" si="127"/>
        <v>Young</v>
      </c>
      <c r="S590" t="s">
        <v>24</v>
      </c>
      <c r="T590">
        <v>3</v>
      </c>
      <c r="U590" t="s">
        <v>25</v>
      </c>
      <c r="V590">
        <v>6052.72</v>
      </c>
      <c r="W590" t="s">
        <v>58</v>
      </c>
      <c r="X590" t="s">
        <v>40</v>
      </c>
      <c r="Y590">
        <v>22</v>
      </c>
      <c r="Z590" t="str">
        <f t="shared" si="128"/>
        <v>Bad Employee</v>
      </c>
      <c r="AA590" t="b">
        <f t="shared" si="129"/>
        <v>0</v>
      </c>
      <c r="AB590" t="b">
        <f>OR(Y590&gt;20, T590&gt;6)</f>
        <v>1</v>
      </c>
      <c r="AC590" t="str">
        <f>IF(OR(Y590&gt;20,T590&gt;6), "Good employee", "Bad Employee")</f>
        <v>Good employee</v>
      </c>
      <c r="AD590" t="s">
        <v>56</v>
      </c>
      <c r="AE590" t="s">
        <v>59</v>
      </c>
      <c r="AF590">
        <v>17</v>
      </c>
      <c r="AG590">
        <v>2019</v>
      </c>
      <c r="AH590" t="s">
        <v>43</v>
      </c>
      <c r="AI590">
        <v>198</v>
      </c>
      <c r="AJ590">
        <v>4.8</v>
      </c>
    </row>
    <row r="591" spans="1:36" x14ac:dyDescent="0.25">
      <c r="A591">
        <v>10590</v>
      </c>
      <c r="B591" t="s">
        <v>38</v>
      </c>
      <c r="C591" t="s">
        <v>32</v>
      </c>
      <c r="D591" t="s">
        <v>54</v>
      </c>
      <c r="E591" t="str">
        <f t="shared" si="117"/>
        <v>Chris Wilson is in Finance Department</v>
      </c>
      <c r="F591" s="6" t="str">
        <f t="shared" si="118"/>
        <v>chriswilson@gmail.com</v>
      </c>
      <c r="G591">
        <v>34395</v>
      </c>
      <c r="H591" t="str">
        <f t="shared" si="119"/>
        <v>extremely low</v>
      </c>
      <c r="I591" s="3">
        <v>37524</v>
      </c>
      <c r="J591">
        <f t="shared" si="120"/>
        <v>2002</v>
      </c>
      <c r="K591">
        <f t="shared" si="121"/>
        <v>9</v>
      </c>
      <c r="L591">
        <f t="shared" si="122"/>
        <v>25</v>
      </c>
      <c r="M591" s="3">
        <f t="shared" ca="1" si="123"/>
        <v>46100</v>
      </c>
      <c r="N591">
        <f t="shared" ca="1" si="124"/>
        <v>8576</v>
      </c>
      <c r="O591">
        <f t="shared" ca="1" si="125"/>
        <v>8576</v>
      </c>
      <c r="P591">
        <f t="shared" ca="1" si="126"/>
        <v>6127</v>
      </c>
      <c r="Q591">
        <v>43</v>
      </c>
      <c r="R591" t="str">
        <f t="shared" si="127"/>
        <v>Old</v>
      </c>
      <c r="S591" t="s">
        <v>24</v>
      </c>
      <c r="T591">
        <v>2</v>
      </c>
      <c r="U591" t="s">
        <v>25</v>
      </c>
      <c r="V591">
        <v>1011.11</v>
      </c>
      <c r="W591" t="s">
        <v>26</v>
      </c>
      <c r="X591" t="s">
        <v>55</v>
      </c>
      <c r="Y591">
        <v>16</v>
      </c>
      <c r="Z591" t="str">
        <f t="shared" si="128"/>
        <v>Bad Employee</v>
      </c>
      <c r="AA591" t="b">
        <f t="shared" si="129"/>
        <v>0</v>
      </c>
      <c r="AB591" t="b">
        <f>OR(Y591&gt;20, T591&gt;6)</f>
        <v>0</v>
      </c>
      <c r="AC591" t="str">
        <f>IF(OR(Y591&gt;20,T591&gt;6), "Good employee", "Bad Employee")</f>
        <v>Bad Employee</v>
      </c>
      <c r="AD591" t="s">
        <v>56</v>
      </c>
      <c r="AE591" t="s">
        <v>29</v>
      </c>
      <c r="AF591">
        <v>6</v>
      </c>
      <c r="AG591">
        <v>2023</v>
      </c>
      <c r="AH591" t="s">
        <v>43</v>
      </c>
      <c r="AI591">
        <v>177</v>
      </c>
      <c r="AJ591">
        <v>3.8</v>
      </c>
    </row>
    <row r="592" spans="1:36" x14ac:dyDescent="0.25">
      <c r="A592">
        <v>10591</v>
      </c>
      <c r="B592" t="s">
        <v>66</v>
      </c>
      <c r="C592" t="s">
        <v>61</v>
      </c>
      <c r="D592" t="s">
        <v>39</v>
      </c>
      <c r="E592" t="str">
        <f t="shared" si="117"/>
        <v>John Smith is in IT Department</v>
      </c>
      <c r="F592" s="6" t="str">
        <f t="shared" si="118"/>
        <v>johnsmith@gmail.com</v>
      </c>
      <c r="G592">
        <v>45290</v>
      </c>
      <c r="H592" t="str">
        <f t="shared" si="119"/>
        <v>low</v>
      </c>
      <c r="I592" s="3">
        <v>37957</v>
      </c>
      <c r="J592">
        <f t="shared" si="120"/>
        <v>2003</v>
      </c>
      <c r="K592">
        <f t="shared" si="121"/>
        <v>12</v>
      </c>
      <c r="L592">
        <f t="shared" si="122"/>
        <v>2</v>
      </c>
      <c r="M592" s="3">
        <f t="shared" ca="1" si="123"/>
        <v>46100</v>
      </c>
      <c r="N592">
        <f t="shared" ca="1" si="124"/>
        <v>8143</v>
      </c>
      <c r="O592">
        <f t="shared" ca="1" si="125"/>
        <v>8143</v>
      </c>
      <c r="P592">
        <f t="shared" ca="1" si="126"/>
        <v>5818</v>
      </c>
      <c r="Q592">
        <v>31</v>
      </c>
      <c r="R592" t="str">
        <f t="shared" si="127"/>
        <v>Old</v>
      </c>
      <c r="S592" t="s">
        <v>24</v>
      </c>
      <c r="T592">
        <v>4</v>
      </c>
      <c r="U592" t="s">
        <v>45</v>
      </c>
      <c r="V592">
        <v>8955.92</v>
      </c>
      <c r="W592" t="s">
        <v>46</v>
      </c>
      <c r="X592" t="s">
        <v>40</v>
      </c>
      <c r="Y592">
        <v>34</v>
      </c>
      <c r="Z592" t="str">
        <f t="shared" si="128"/>
        <v>Bad Employee</v>
      </c>
      <c r="AA592" t="b">
        <f t="shared" si="129"/>
        <v>0</v>
      </c>
      <c r="AB592" t="b">
        <f>OR(Y592&gt;20, T592&gt;6)</f>
        <v>1</v>
      </c>
      <c r="AC592" t="str">
        <f>IF(OR(Y592&gt;20,T592&gt;6), "Good employee", "Bad Employee")</f>
        <v>Good employee</v>
      </c>
      <c r="AD592" t="s">
        <v>56</v>
      </c>
      <c r="AE592" t="s">
        <v>42</v>
      </c>
      <c r="AF592">
        <v>13</v>
      </c>
      <c r="AG592">
        <v>2013</v>
      </c>
      <c r="AH592" t="s">
        <v>30</v>
      </c>
      <c r="AI592">
        <v>48</v>
      </c>
      <c r="AJ592">
        <v>3.1</v>
      </c>
    </row>
    <row r="593" spans="1:36" x14ac:dyDescent="0.25">
      <c r="A593">
        <v>10592</v>
      </c>
      <c r="B593" t="s">
        <v>53</v>
      </c>
      <c r="C593" t="s">
        <v>22</v>
      </c>
      <c r="D593" t="s">
        <v>23</v>
      </c>
      <c r="E593" t="str">
        <f t="shared" si="117"/>
        <v>Sarah Williams is in HR Department</v>
      </c>
      <c r="F593" s="6" t="str">
        <f t="shared" si="118"/>
        <v>sarahwilliams@gmail.com</v>
      </c>
      <c r="G593">
        <v>117687</v>
      </c>
      <c r="H593" t="str">
        <f t="shared" si="119"/>
        <v>High</v>
      </c>
      <c r="I593" s="3">
        <v>41078</v>
      </c>
      <c r="J593">
        <f t="shared" si="120"/>
        <v>2012</v>
      </c>
      <c r="K593">
        <f t="shared" si="121"/>
        <v>6</v>
      </c>
      <c r="L593">
        <f t="shared" si="122"/>
        <v>18</v>
      </c>
      <c r="M593" s="3">
        <f t="shared" ca="1" si="123"/>
        <v>46100</v>
      </c>
      <c r="N593">
        <f t="shared" ca="1" si="124"/>
        <v>5022</v>
      </c>
      <c r="O593">
        <f t="shared" ca="1" si="125"/>
        <v>5022</v>
      </c>
      <c r="P593">
        <f t="shared" ca="1" si="126"/>
        <v>3589</v>
      </c>
      <c r="Q593">
        <v>61</v>
      </c>
      <c r="R593" t="str">
        <f t="shared" si="127"/>
        <v>Old</v>
      </c>
      <c r="S593" t="s">
        <v>34</v>
      </c>
      <c r="T593">
        <v>4</v>
      </c>
      <c r="U593" t="s">
        <v>45</v>
      </c>
      <c r="V593">
        <v>3402.59</v>
      </c>
      <c r="W593" t="s">
        <v>46</v>
      </c>
      <c r="X593" t="s">
        <v>40</v>
      </c>
      <c r="Y593">
        <v>3</v>
      </c>
      <c r="Z593" t="str">
        <f t="shared" si="128"/>
        <v>Bad Employee</v>
      </c>
      <c r="AA593" t="b">
        <f t="shared" si="129"/>
        <v>0</v>
      </c>
      <c r="AB593" t="b">
        <f>OR(Y593&gt;20, T593&gt;6)</f>
        <v>0</v>
      </c>
      <c r="AC593" t="str">
        <f>IF(OR(Y593&gt;20,T593&gt;6), "Good employee", "Bad Employee")</f>
        <v>Bad Employee</v>
      </c>
      <c r="AD593" t="s">
        <v>56</v>
      </c>
      <c r="AE593" t="s">
        <v>59</v>
      </c>
      <c r="AF593">
        <v>4</v>
      </c>
      <c r="AG593">
        <v>2013</v>
      </c>
      <c r="AH593" t="s">
        <v>30</v>
      </c>
      <c r="AI593">
        <v>61</v>
      </c>
      <c r="AJ593">
        <v>2</v>
      </c>
    </row>
    <row r="594" spans="1:36" x14ac:dyDescent="0.25">
      <c r="A594">
        <v>10593</v>
      </c>
      <c r="B594" t="s">
        <v>38</v>
      </c>
      <c r="C594" t="s">
        <v>51</v>
      </c>
      <c r="D594" t="s">
        <v>39</v>
      </c>
      <c r="E594" t="str">
        <f t="shared" si="117"/>
        <v>Chris Brown is in IT Department</v>
      </c>
      <c r="F594" s="6" t="str">
        <f t="shared" si="118"/>
        <v>chrisbrown@gmail.com</v>
      </c>
      <c r="G594">
        <v>95078</v>
      </c>
      <c r="H594" t="str">
        <f t="shared" si="119"/>
        <v>High</v>
      </c>
      <c r="I594" s="3">
        <v>42089</v>
      </c>
      <c r="J594">
        <f t="shared" si="120"/>
        <v>2015</v>
      </c>
      <c r="K594">
        <f t="shared" si="121"/>
        <v>3</v>
      </c>
      <c r="L594">
        <f t="shared" si="122"/>
        <v>26</v>
      </c>
      <c r="M594" s="3">
        <f t="shared" ca="1" si="123"/>
        <v>46100</v>
      </c>
      <c r="N594">
        <f t="shared" ca="1" si="124"/>
        <v>4011</v>
      </c>
      <c r="O594">
        <f t="shared" ca="1" si="125"/>
        <v>4011</v>
      </c>
      <c r="P594">
        <f t="shared" ca="1" si="126"/>
        <v>2866</v>
      </c>
      <c r="Q594">
        <v>41</v>
      </c>
      <c r="R594" t="str">
        <f t="shared" si="127"/>
        <v>Old</v>
      </c>
      <c r="S594" t="s">
        <v>34</v>
      </c>
      <c r="T594">
        <v>3</v>
      </c>
      <c r="U594" t="s">
        <v>45</v>
      </c>
      <c r="V594">
        <v>1809.96</v>
      </c>
      <c r="W594" t="s">
        <v>58</v>
      </c>
      <c r="X594" t="s">
        <v>36</v>
      </c>
      <c r="Y594">
        <v>8</v>
      </c>
      <c r="Z594" t="str">
        <f t="shared" si="128"/>
        <v>Bad Employee</v>
      </c>
      <c r="AA594" t="b">
        <f t="shared" si="129"/>
        <v>0</v>
      </c>
      <c r="AB594" t="b">
        <f>OR(Y594&gt;20, T594&gt;6)</f>
        <v>0</v>
      </c>
      <c r="AC594" t="str">
        <f>IF(OR(Y594&gt;20,T594&gt;6), "Good employee", "Bad Employee")</f>
        <v>Bad Employee</v>
      </c>
      <c r="AD594" t="s">
        <v>28</v>
      </c>
      <c r="AE594" t="s">
        <v>62</v>
      </c>
      <c r="AF594">
        <v>8</v>
      </c>
      <c r="AG594">
        <v>2018</v>
      </c>
      <c r="AH594" t="s">
        <v>30</v>
      </c>
      <c r="AI594">
        <v>25</v>
      </c>
      <c r="AJ594">
        <v>4</v>
      </c>
    </row>
    <row r="595" spans="1:36" x14ac:dyDescent="0.25">
      <c r="A595">
        <v>10594</v>
      </c>
      <c r="B595" t="s">
        <v>31</v>
      </c>
      <c r="C595" t="s">
        <v>51</v>
      </c>
      <c r="D595" t="s">
        <v>39</v>
      </c>
      <c r="E595" t="str">
        <f t="shared" si="117"/>
        <v>Emily Brown is in IT Department</v>
      </c>
      <c r="F595" s="6" t="str">
        <f t="shared" si="118"/>
        <v>emilybrown@gmail.com</v>
      </c>
      <c r="G595">
        <v>33691</v>
      </c>
      <c r="H595" t="str">
        <f t="shared" si="119"/>
        <v>extremely low</v>
      </c>
      <c r="I595" s="3">
        <v>42649</v>
      </c>
      <c r="J595">
        <f t="shared" si="120"/>
        <v>2016</v>
      </c>
      <c r="K595">
        <f t="shared" si="121"/>
        <v>10</v>
      </c>
      <c r="L595">
        <f t="shared" si="122"/>
        <v>6</v>
      </c>
      <c r="M595" s="3">
        <f t="shared" ca="1" si="123"/>
        <v>46100</v>
      </c>
      <c r="N595">
        <f t="shared" ca="1" si="124"/>
        <v>3451</v>
      </c>
      <c r="O595">
        <f t="shared" ca="1" si="125"/>
        <v>3451</v>
      </c>
      <c r="P595">
        <f t="shared" ca="1" si="126"/>
        <v>2466</v>
      </c>
      <c r="Q595">
        <v>49</v>
      </c>
      <c r="R595" t="str">
        <f t="shared" si="127"/>
        <v>Old</v>
      </c>
      <c r="S595" t="s">
        <v>24</v>
      </c>
      <c r="T595">
        <v>9</v>
      </c>
      <c r="U595" t="s">
        <v>25</v>
      </c>
      <c r="V595">
        <v>1336.39</v>
      </c>
      <c r="W595" t="s">
        <v>35</v>
      </c>
      <c r="X595" t="s">
        <v>55</v>
      </c>
      <c r="Y595">
        <v>20</v>
      </c>
      <c r="Z595" t="str">
        <f t="shared" si="128"/>
        <v>Bad Employee</v>
      </c>
      <c r="AA595" t="b">
        <f t="shared" si="129"/>
        <v>0</v>
      </c>
      <c r="AB595" t="b">
        <f>OR(Y595&gt;20, T595&gt;6)</f>
        <v>1</v>
      </c>
      <c r="AC595" t="str">
        <f>IF(OR(Y595&gt;20,T595&gt;6), "Good employee", "Bad Employee")</f>
        <v>Good employee</v>
      </c>
      <c r="AD595" t="s">
        <v>56</v>
      </c>
      <c r="AE595" t="s">
        <v>29</v>
      </c>
      <c r="AF595">
        <v>16</v>
      </c>
      <c r="AG595">
        <v>2016</v>
      </c>
      <c r="AH595" t="s">
        <v>49</v>
      </c>
      <c r="AI595">
        <v>59</v>
      </c>
      <c r="AJ595">
        <v>4.5</v>
      </c>
    </row>
    <row r="596" spans="1:36" x14ac:dyDescent="0.25">
      <c r="A596">
        <v>10595</v>
      </c>
      <c r="B596" t="s">
        <v>31</v>
      </c>
      <c r="C596" t="s">
        <v>57</v>
      </c>
      <c r="D596" t="s">
        <v>52</v>
      </c>
      <c r="E596" t="str">
        <f t="shared" si="117"/>
        <v>Emily Davis is in Operations Department</v>
      </c>
      <c r="F596" s="6" t="str">
        <f t="shared" si="118"/>
        <v>emilydavis@gmail.com</v>
      </c>
      <c r="G596">
        <v>37470</v>
      </c>
      <c r="H596" t="str">
        <f t="shared" si="119"/>
        <v>extremely low</v>
      </c>
      <c r="I596" s="3">
        <v>39587</v>
      </c>
      <c r="J596">
        <f t="shared" si="120"/>
        <v>2008</v>
      </c>
      <c r="K596">
        <f t="shared" si="121"/>
        <v>5</v>
      </c>
      <c r="L596">
        <f t="shared" si="122"/>
        <v>19</v>
      </c>
      <c r="M596" s="3">
        <f t="shared" ca="1" si="123"/>
        <v>46100</v>
      </c>
      <c r="N596">
        <f t="shared" ca="1" si="124"/>
        <v>6513</v>
      </c>
      <c r="O596">
        <f t="shared" ca="1" si="125"/>
        <v>6513</v>
      </c>
      <c r="P596">
        <f t="shared" ca="1" si="126"/>
        <v>4654</v>
      </c>
      <c r="Q596">
        <v>44</v>
      </c>
      <c r="R596" t="str">
        <f t="shared" si="127"/>
        <v>Old</v>
      </c>
      <c r="S596" t="s">
        <v>24</v>
      </c>
      <c r="T596">
        <v>6</v>
      </c>
      <c r="U596" t="s">
        <v>25</v>
      </c>
      <c r="V596">
        <v>7344.18</v>
      </c>
      <c r="W596" t="s">
        <v>26</v>
      </c>
      <c r="X596" t="s">
        <v>27</v>
      </c>
      <c r="Y596">
        <v>24</v>
      </c>
      <c r="Z596" t="str">
        <f t="shared" si="128"/>
        <v>Bad Employee</v>
      </c>
      <c r="AA596" t="b">
        <f t="shared" si="129"/>
        <v>0</v>
      </c>
      <c r="AB596" t="b">
        <f>OR(Y596&gt;20, T596&gt;6)</f>
        <v>1</v>
      </c>
      <c r="AC596" t="str">
        <f>IF(OR(Y596&gt;20,T596&gt;6), "Good employee", "Bad Employee")</f>
        <v>Good employee</v>
      </c>
      <c r="AD596" t="s">
        <v>41</v>
      </c>
      <c r="AE596" t="s">
        <v>59</v>
      </c>
      <c r="AF596">
        <v>4</v>
      </c>
      <c r="AG596">
        <v>2016</v>
      </c>
      <c r="AH596" t="s">
        <v>49</v>
      </c>
      <c r="AI596">
        <v>113</v>
      </c>
      <c r="AJ596">
        <v>3.7</v>
      </c>
    </row>
    <row r="597" spans="1:36" x14ac:dyDescent="0.25">
      <c r="A597">
        <v>10596</v>
      </c>
      <c r="B597" t="s">
        <v>31</v>
      </c>
      <c r="C597" t="s">
        <v>63</v>
      </c>
      <c r="D597" t="s">
        <v>54</v>
      </c>
      <c r="E597" t="str">
        <f t="shared" si="117"/>
        <v>Emily Miller is in Finance Department</v>
      </c>
      <c r="F597" s="6" t="str">
        <f t="shared" si="118"/>
        <v>emilymiller@gmail.com</v>
      </c>
      <c r="G597">
        <v>33841</v>
      </c>
      <c r="H597" t="str">
        <f t="shared" si="119"/>
        <v>extremely low</v>
      </c>
      <c r="I597" s="3">
        <v>36790</v>
      </c>
      <c r="J597">
        <f t="shared" si="120"/>
        <v>2000</v>
      </c>
      <c r="K597">
        <f t="shared" si="121"/>
        <v>9</v>
      </c>
      <c r="L597">
        <f t="shared" si="122"/>
        <v>21</v>
      </c>
      <c r="M597" s="3">
        <f t="shared" ca="1" si="123"/>
        <v>46100</v>
      </c>
      <c r="N597">
        <f t="shared" ca="1" si="124"/>
        <v>9310</v>
      </c>
      <c r="O597">
        <f t="shared" ca="1" si="125"/>
        <v>9310</v>
      </c>
      <c r="P597">
        <f t="shared" ca="1" si="126"/>
        <v>6651</v>
      </c>
      <c r="Q597">
        <v>56</v>
      </c>
      <c r="R597" t="str">
        <f t="shared" si="127"/>
        <v>Old</v>
      </c>
      <c r="S597" t="s">
        <v>34</v>
      </c>
      <c r="T597">
        <v>5</v>
      </c>
      <c r="U597" t="s">
        <v>25</v>
      </c>
      <c r="V597">
        <v>7187.7</v>
      </c>
      <c r="W597" t="s">
        <v>35</v>
      </c>
      <c r="X597" t="s">
        <v>47</v>
      </c>
      <c r="Y597">
        <v>18</v>
      </c>
      <c r="Z597" t="str">
        <f t="shared" si="128"/>
        <v>Bad Employee</v>
      </c>
      <c r="AA597" t="b">
        <f t="shared" si="129"/>
        <v>0</v>
      </c>
      <c r="AB597" t="b">
        <f>OR(Y597&gt;20, T597&gt;6)</f>
        <v>0</v>
      </c>
      <c r="AC597" t="str">
        <f>IF(OR(Y597&gt;20,T597&gt;6), "Good employee", "Bad Employee")</f>
        <v>Bad Employee</v>
      </c>
      <c r="AD597" t="s">
        <v>56</v>
      </c>
      <c r="AE597" t="s">
        <v>48</v>
      </c>
      <c r="AF597">
        <v>15</v>
      </c>
      <c r="AG597">
        <v>2023</v>
      </c>
      <c r="AH597" t="s">
        <v>43</v>
      </c>
      <c r="AI597">
        <v>147</v>
      </c>
      <c r="AJ597">
        <v>3.5</v>
      </c>
    </row>
    <row r="598" spans="1:36" x14ac:dyDescent="0.25">
      <c r="A598">
        <v>10597</v>
      </c>
      <c r="B598" t="s">
        <v>38</v>
      </c>
      <c r="C598" t="s">
        <v>22</v>
      </c>
      <c r="D598" t="s">
        <v>33</v>
      </c>
      <c r="E598" t="str">
        <f t="shared" si="117"/>
        <v>Chris Williams is in Marketing Department</v>
      </c>
      <c r="F598" s="6" t="str">
        <f t="shared" si="118"/>
        <v>chriswilliams@gmail.com</v>
      </c>
      <c r="G598">
        <v>93197</v>
      </c>
      <c r="H598" t="str">
        <f t="shared" si="119"/>
        <v>High</v>
      </c>
      <c r="I598" s="3">
        <v>40257</v>
      </c>
      <c r="J598">
        <f t="shared" si="120"/>
        <v>2010</v>
      </c>
      <c r="K598">
        <f t="shared" si="121"/>
        <v>3</v>
      </c>
      <c r="L598">
        <f t="shared" si="122"/>
        <v>20</v>
      </c>
      <c r="M598" s="3">
        <f t="shared" ca="1" si="123"/>
        <v>46100</v>
      </c>
      <c r="N598">
        <f t="shared" ca="1" si="124"/>
        <v>5843</v>
      </c>
      <c r="O598">
        <f t="shared" ca="1" si="125"/>
        <v>5843</v>
      </c>
      <c r="P598">
        <f t="shared" ca="1" si="126"/>
        <v>4174</v>
      </c>
      <c r="Q598">
        <v>22</v>
      </c>
      <c r="R598" t="str">
        <f t="shared" si="127"/>
        <v>Young</v>
      </c>
      <c r="S598" t="s">
        <v>34</v>
      </c>
      <c r="T598">
        <v>6</v>
      </c>
      <c r="U598" t="s">
        <v>25</v>
      </c>
      <c r="V598">
        <v>7151.54</v>
      </c>
      <c r="W598" t="s">
        <v>35</v>
      </c>
      <c r="X598" t="s">
        <v>55</v>
      </c>
      <c r="Y598">
        <v>23</v>
      </c>
      <c r="Z598" t="str">
        <f t="shared" si="128"/>
        <v>Bad Employee</v>
      </c>
      <c r="AA598" t="b">
        <f t="shared" si="129"/>
        <v>0</v>
      </c>
      <c r="AB598" t="b">
        <f>OR(Y598&gt;20, T598&gt;6)</f>
        <v>1</v>
      </c>
      <c r="AC598" t="str">
        <f>IF(OR(Y598&gt;20,T598&gt;6), "Good employee", "Bad Employee")</f>
        <v>Good employee</v>
      </c>
      <c r="AD598" t="s">
        <v>56</v>
      </c>
      <c r="AE598" t="s">
        <v>29</v>
      </c>
      <c r="AF598">
        <v>8</v>
      </c>
      <c r="AG598">
        <v>2013</v>
      </c>
      <c r="AH598" t="s">
        <v>30</v>
      </c>
      <c r="AI598">
        <v>166</v>
      </c>
      <c r="AJ598">
        <v>1.8</v>
      </c>
    </row>
    <row r="599" spans="1:36" x14ac:dyDescent="0.25">
      <c r="A599">
        <v>10598</v>
      </c>
      <c r="B599" t="s">
        <v>21</v>
      </c>
      <c r="C599" t="s">
        <v>22</v>
      </c>
      <c r="D599" t="s">
        <v>33</v>
      </c>
      <c r="E599" t="str">
        <f t="shared" si="117"/>
        <v>Michael Williams is in Marketing Department</v>
      </c>
      <c r="F599" s="6" t="str">
        <f t="shared" si="118"/>
        <v>michaelwilliams@gmail.com</v>
      </c>
      <c r="G599">
        <v>85773</v>
      </c>
      <c r="H599" t="str">
        <f t="shared" si="119"/>
        <v>High</v>
      </c>
      <c r="I599" s="3">
        <v>42853</v>
      </c>
      <c r="J599">
        <f t="shared" si="120"/>
        <v>2017</v>
      </c>
      <c r="K599">
        <f t="shared" si="121"/>
        <v>4</v>
      </c>
      <c r="L599">
        <f t="shared" si="122"/>
        <v>28</v>
      </c>
      <c r="M599" s="3">
        <f t="shared" ca="1" si="123"/>
        <v>46100</v>
      </c>
      <c r="N599">
        <f t="shared" ca="1" si="124"/>
        <v>3247</v>
      </c>
      <c r="O599">
        <f t="shared" ca="1" si="125"/>
        <v>3247</v>
      </c>
      <c r="P599">
        <f t="shared" ca="1" si="126"/>
        <v>2320</v>
      </c>
      <c r="Q599">
        <v>50</v>
      </c>
      <c r="R599" t="str">
        <f t="shared" si="127"/>
        <v>Old</v>
      </c>
      <c r="S599" t="s">
        <v>34</v>
      </c>
      <c r="T599">
        <v>8</v>
      </c>
      <c r="U599" t="s">
        <v>45</v>
      </c>
      <c r="V599">
        <v>9199.65</v>
      </c>
      <c r="W599" t="s">
        <v>46</v>
      </c>
      <c r="X599" t="s">
        <v>55</v>
      </c>
      <c r="Y599">
        <v>1</v>
      </c>
      <c r="Z599" t="str">
        <f t="shared" si="128"/>
        <v>Bad Employee</v>
      </c>
      <c r="AA599" t="b">
        <f t="shared" si="129"/>
        <v>0</v>
      </c>
      <c r="AB599" t="b">
        <f>OR(Y599&gt;20, T599&gt;6)</f>
        <v>1</v>
      </c>
      <c r="AC599" t="str">
        <f>IF(OR(Y599&gt;20,T599&gt;6), "Good employee", "Bad Employee")</f>
        <v>Good employee</v>
      </c>
      <c r="AD599" t="s">
        <v>28</v>
      </c>
      <c r="AE599" t="s">
        <v>48</v>
      </c>
      <c r="AF599">
        <v>16</v>
      </c>
      <c r="AG599">
        <v>2018</v>
      </c>
      <c r="AH599" t="s">
        <v>49</v>
      </c>
      <c r="AI599">
        <v>108</v>
      </c>
      <c r="AJ599">
        <v>2.4</v>
      </c>
    </row>
    <row r="600" spans="1:36" x14ac:dyDescent="0.25">
      <c r="A600">
        <v>10599</v>
      </c>
      <c r="B600" t="s">
        <v>31</v>
      </c>
      <c r="C600" t="s">
        <v>61</v>
      </c>
      <c r="D600" t="s">
        <v>52</v>
      </c>
      <c r="E600" t="str">
        <f t="shared" si="117"/>
        <v>Emily Smith is in Operations Department</v>
      </c>
      <c r="F600" s="6" t="str">
        <f t="shared" si="118"/>
        <v>emilysmith@gmail.com</v>
      </c>
      <c r="G600">
        <v>47776</v>
      </c>
      <c r="H600" t="str">
        <f t="shared" si="119"/>
        <v>low</v>
      </c>
      <c r="I600" s="3">
        <v>38800</v>
      </c>
      <c r="J600">
        <f t="shared" si="120"/>
        <v>2006</v>
      </c>
      <c r="K600">
        <f t="shared" si="121"/>
        <v>3</v>
      </c>
      <c r="L600">
        <f t="shared" si="122"/>
        <v>24</v>
      </c>
      <c r="M600" s="3">
        <f t="shared" ca="1" si="123"/>
        <v>46100</v>
      </c>
      <c r="N600">
        <f t="shared" ca="1" si="124"/>
        <v>7300</v>
      </c>
      <c r="O600">
        <f t="shared" ca="1" si="125"/>
        <v>7300</v>
      </c>
      <c r="P600">
        <f t="shared" ca="1" si="126"/>
        <v>5215</v>
      </c>
      <c r="Q600">
        <v>30</v>
      </c>
      <c r="R600" t="str">
        <f t="shared" si="127"/>
        <v>Young</v>
      </c>
      <c r="S600" t="s">
        <v>34</v>
      </c>
      <c r="T600">
        <v>5</v>
      </c>
      <c r="U600" t="s">
        <v>45</v>
      </c>
      <c r="V600">
        <v>3814.96</v>
      </c>
      <c r="W600" t="s">
        <v>46</v>
      </c>
      <c r="X600" t="s">
        <v>47</v>
      </c>
      <c r="Y600">
        <v>2</v>
      </c>
      <c r="Z600" t="str">
        <f t="shared" si="128"/>
        <v>Bad Employee</v>
      </c>
      <c r="AA600" t="b">
        <f t="shared" si="129"/>
        <v>0</v>
      </c>
      <c r="AB600" t="b">
        <f>OR(Y600&gt;20, T600&gt;6)</f>
        <v>0</v>
      </c>
      <c r="AC600" t="str">
        <f>IF(OR(Y600&gt;20,T600&gt;6), "Good employee", "Bad Employee")</f>
        <v>Bad Employee</v>
      </c>
      <c r="AD600" t="s">
        <v>41</v>
      </c>
      <c r="AE600" t="s">
        <v>37</v>
      </c>
      <c r="AF600">
        <v>17</v>
      </c>
      <c r="AG600">
        <v>2017</v>
      </c>
      <c r="AH600" t="s">
        <v>30</v>
      </c>
      <c r="AI600">
        <v>135</v>
      </c>
      <c r="AJ600">
        <v>3.9</v>
      </c>
    </row>
    <row r="601" spans="1:36" x14ac:dyDescent="0.25">
      <c r="A601">
        <v>10600</v>
      </c>
      <c r="B601" t="s">
        <v>64</v>
      </c>
      <c r="C601" t="s">
        <v>32</v>
      </c>
      <c r="D601" t="s">
        <v>44</v>
      </c>
      <c r="E601" t="str">
        <f t="shared" si="117"/>
        <v>Katie Wilson is in Sales Department</v>
      </c>
      <c r="F601" s="6" t="str">
        <f t="shared" si="118"/>
        <v>katiewilson@gmail.com</v>
      </c>
      <c r="G601">
        <v>101596</v>
      </c>
      <c r="H601" t="str">
        <f t="shared" si="119"/>
        <v>High</v>
      </c>
      <c r="I601" s="3">
        <v>40401</v>
      </c>
      <c r="J601">
        <f t="shared" si="120"/>
        <v>2010</v>
      </c>
      <c r="K601">
        <f t="shared" si="121"/>
        <v>8</v>
      </c>
      <c r="L601">
        <f t="shared" si="122"/>
        <v>11</v>
      </c>
      <c r="M601" s="3">
        <f t="shared" ca="1" si="123"/>
        <v>46100</v>
      </c>
      <c r="N601">
        <f t="shared" ca="1" si="124"/>
        <v>5699</v>
      </c>
      <c r="O601">
        <f t="shared" ca="1" si="125"/>
        <v>5699</v>
      </c>
      <c r="P601">
        <f t="shared" ca="1" si="126"/>
        <v>4072</v>
      </c>
      <c r="Q601">
        <v>30</v>
      </c>
      <c r="R601" t="str">
        <f t="shared" si="127"/>
        <v>Young</v>
      </c>
      <c r="S601" t="s">
        <v>24</v>
      </c>
      <c r="T601">
        <v>4</v>
      </c>
      <c r="U601" t="s">
        <v>25</v>
      </c>
      <c r="V601">
        <v>5830.76</v>
      </c>
      <c r="W601" t="s">
        <v>26</v>
      </c>
      <c r="X601" t="s">
        <v>27</v>
      </c>
      <c r="Y601">
        <v>5</v>
      </c>
      <c r="Z601" t="str">
        <f t="shared" si="128"/>
        <v>Bad Employee</v>
      </c>
      <c r="AA601" t="b">
        <f t="shared" si="129"/>
        <v>0</v>
      </c>
      <c r="AB601" t="b">
        <f>OR(Y601&gt;20, T601&gt;6)</f>
        <v>0</v>
      </c>
      <c r="AC601" t="str">
        <f>IF(OR(Y601&gt;20,T601&gt;6), "Good employee", "Bad Employee")</f>
        <v>Bad Employee</v>
      </c>
      <c r="AD601" t="s">
        <v>41</v>
      </c>
      <c r="AE601" t="s">
        <v>37</v>
      </c>
      <c r="AF601">
        <v>2</v>
      </c>
      <c r="AG601">
        <v>2019</v>
      </c>
      <c r="AH601" t="s">
        <v>30</v>
      </c>
      <c r="AI601">
        <v>133</v>
      </c>
      <c r="AJ601">
        <v>1.1000000000000001</v>
      </c>
    </row>
    <row r="602" spans="1:36" x14ac:dyDescent="0.25">
      <c r="A602">
        <v>10601</v>
      </c>
      <c r="B602" t="s">
        <v>38</v>
      </c>
      <c r="C602" t="s">
        <v>22</v>
      </c>
      <c r="D602" t="s">
        <v>33</v>
      </c>
      <c r="E602" t="str">
        <f t="shared" si="117"/>
        <v>Chris Williams is in Marketing Department</v>
      </c>
      <c r="F602" s="6" t="str">
        <f t="shared" si="118"/>
        <v>chriswilliams@gmail.com</v>
      </c>
      <c r="G602">
        <v>57584</v>
      </c>
      <c r="H602" t="str">
        <f t="shared" si="119"/>
        <v>Medium</v>
      </c>
      <c r="I602" s="3">
        <v>39843</v>
      </c>
      <c r="J602">
        <f t="shared" si="120"/>
        <v>2009</v>
      </c>
      <c r="K602">
        <f t="shared" si="121"/>
        <v>1</v>
      </c>
      <c r="L602">
        <f t="shared" si="122"/>
        <v>30</v>
      </c>
      <c r="M602" s="3">
        <f t="shared" ca="1" si="123"/>
        <v>46100</v>
      </c>
      <c r="N602">
        <f t="shared" ca="1" si="124"/>
        <v>6257</v>
      </c>
      <c r="O602">
        <f t="shared" ca="1" si="125"/>
        <v>6257</v>
      </c>
      <c r="P602">
        <f t="shared" ca="1" si="126"/>
        <v>4470</v>
      </c>
      <c r="Q602">
        <v>43</v>
      </c>
      <c r="R602" t="str">
        <f t="shared" si="127"/>
        <v>Old</v>
      </c>
      <c r="S602" t="s">
        <v>24</v>
      </c>
      <c r="T602">
        <v>7</v>
      </c>
      <c r="U602" t="s">
        <v>25</v>
      </c>
      <c r="V602">
        <v>6385.21</v>
      </c>
      <c r="W602" t="s">
        <v>26</v>
      </c>
      <c r="X602" t="s">
        <v>36</v>
      </c>
      <c r="Y602">
        <v>18</v>
      </c>
      <c r="Z602" t="str">
        <f t="shared" si="128"/>
        <v>Bad Employee</v>
      </c>
      <c r="AA602" t="b">
        <f t="shared" si="129"/>
        <v>0</v>
      </c>
      <c r="AB602" t="b">
        <f>OR(Y602&gt;20, T602&gt;6)</f>
        <v>1</v>
      </c>
      <c r="AC602" t="str">
        <f>IF(OR(Y602&gt;20,T602&gt;6), "Good employee", "Bad Employee")</f>
        <v>Good employee</v>
      </c>
      <c r="AD602" t="s">
        <v>41</v>
      </c>
      <c r="AE602" t="s">
        <v>37</v>
      </c>
      <c r="AF602">
        <v>4</v>
      </c>
      <c r="AG602">
        <v>2013</v>
      </c>
      <c r="AH602" t="s">
        <v>49</v>
      </c>
      <c r="AI602">
        <v>28</v>
      </c>
      <c r="AJ602">
        <v>3.6</v>
      </c>
    </row>
    <row r="603" spans="1:36" x14ac:dyDescent="0.25">
      <c r="A603">
        <v>10602</v>
      </c>
      <c r="B603" t="s">
        <v>53</v>
      </c>
      <c r="C603" t="s">
        <v>65</v>
      </c>
      <c r="D603" t="s">
        <v>39</v>
      </c>
      <c r="E603" t="str">
        <f t="shared" si="117"/>
        <v>Sarah Johnson is in IT Department</v>
      </c>
      <c r="F603" s="6" t="str">
        <f t="shared" si="118"/>
        <v>sarahjohnson@gmail.com</v>
      </c>
      <c r="G603">
        <v>34300</v>
      </c>
      <c r="H603" t="str">
        <f t="shared" si="119"/>
        <v>extremely low</v>
      </c>
      <c r="I603" s="3">
        <v>38572</v>
      </c>
      <c r="J603">
        <f t="shared" si="120"/>
        <v>2005</v>
      </c>
      <c r="K603">
        <f t="shared" si="121"/>
        <v>8</v>
      </c>
      <c r="L603">
        <f t="shared" si="122"/>
        <v>8</v>
      </c>
      <c r="M603" s="3">
        <f t="shared" ca="1" si="123"/>
        <v>46100</v>
      </c>
      <c r="N603">
        <f t="shared" ca="1" si="124"/>
        <v>7528</v>
      </c>
      <c r="O603">
        <f t="shared" ca="1" si="125"/>
        <v>7528</v>
      </c>
      <c r="P603">
        <f t="shared" ca="1" si="126"/>
        <v>5379</v>
      </c>
      <c r="Q603">
        <v>23</v>
      </c>
      <c r="R603" t="str">
        <f t="shared" si="127"/>
        <v>Young</v>
      </c>
      <c r="S603" t="s">
        <v>34</v>
      </c>
      <c r="T603">
        <v>5</v>
      </c>
      <c r="U603" t="s">
        <v>25</v>
      </c>
      <c r="V603">
        <v>9805.08</v>
      </c>
      <c r="W603" t="s">
        <v>35</v>
      </c>
      <c r="X603" t="s">
        <v>27</v>
      </c>
      <c r="Y603">
        <v>16</v>
      </c>
      <c r="Z603" t="str">
        <f t="shared" si="128"/>
        <v>Bad Employee</v>
      </c>
      <c r="AA603" t="b">
        <f t="shared" si="129"/>
        <v>0</v>
      </c>
      <c r="AB603" t="b">
        <f>OR(Y603&gt;20, T603&gt;6)</f>
        <v>0</v>
      </c>
      <c r="AC603" t="str">
        <f>IF(OR(Y603&gt;20,T603&gt;6), "Good employee", "Bad Employee")</f>
        <v>Bad Employee</v>
      </c>
      <c r="AD603" t="s">
        <v>56</v>
      </c>
      <c r="AE603" t="s">
        <v>42</v>
      </c>
      <c r="AF603">
        <v>16</v>
      </c>
      <c r="AG603">
        <v>2022</v>
      </c>
      <c r="AH603" t="s">
        <v>30</v>
      </c>
      <c r="AI603">
        <v>175</v>
      </c>
      <c r="AJ603">
        <v>4.0999999999999996</v>
      </c>
    </row>
    <row r="604" spans="1:36" x14ac:dyDescent="0.25">
      <c r="A604">
        <v>10603</v>
      </c>
      <c r="B604" t="s">
        <v>31</v>
      </c>
      <c r="C604" t="s">
        <v>63</v>
      </c>
      <c r="D604" t="s">
        <v>52</v>
      </c>
      <c r="E604" t="str">
        <f t="shared" si="117"/>
        <v>Emily Miller is in Operations Department</v>
      </c>
      <c r="F604" s="6" t="str">
        <f t="shared" si="118"/>
        <v>emilymiller@gmail.com</v>
      </c>
      <c r="G604">
        <v>33338</v>
      </c>
      <c r="H604" t="str">
        <f t="shared" si="119"/>
        <v>extremely low</v>
      </c>
      <c r="I604" s="3">
        <v>39670</v>
      </c>
      <c r="J604">
        <f t="shared" si="120"/>
        <v>2008</v>
      </c>
      <c r="K604">
        <f t="shared" si="121"/>
        <v>8</v>
      </c>
      <c r="L604">
        <f t="shared" si="122"/>
        <v>10</v>
      </c>
      <c r="M604" s="3">
        <f t="shared" ca="1" si="123"/>
        <v>46100</v>
      </c>
      <c r="N604">
        <f t="shared" ca="1" si="124"/>
        <v>6430</v>
      </c>
      <c r="O604">
        <f t="shared" ca="1" si="125"/>
        <v>6430</v>
      </c>
      <c r="P604">
        <f t="shared" ca="1" si="126"/>
        <v>4594</v>
      </c>
      <c r="Q604">
        <v>37</v>
      </c>
      <c r="R604" t="str">
        <f t="shared" si="127"/>
        <v>Old</v>
      </c>
      <c r="S604" t="s">
        <v>34</v>
      </c>
      <c r="T604">
        <v>4</v>
      </c>
      <c r="U604" t="s">
        <v>25</v>
      </c>
      <c r="V604">
        <v>3467.29</v>
      </c>
      <c r="W604" t="s">
        <v>35</v>
      </c>
      <c r="X604" t="s">
        <v>47</v>
      </c>
      <c r="Y604">
        <v>10</v>
      </c>
      <c r="Z604" t="str">
        <f t="shared" si="128"/>
        <v>Bad Employee</v>
      </c>
      <c r="AA604" t="b">
        <f t="shared" si="129"/>
        <v>0</v>
      </c>
      <c r="AB604" t="b">
        <f>OR(Y604&gt;20, T604&gt;6)</f>
        <v>0</v>
      </c>
      <c r="AC604" t="str">
        <f>IF(OR(Y604&gt;20,T604&gt;6), "Good employee", "Bad Employee")</f>
        <v>Bad Employee</v>
      </c>
      <c r="AD604" t="s">
        <v>28</v>
      </c>
      <c r="AE604" t="s">
        <v>59</v>
      </c>
      <c r="AF604">
        <v>19</v>
      </c>
      <c r="AG604">
        <v>2015</v>
      </c>
      <c r="AH604" t="s">
        <v>43</v>
      </c>
      <c r="AI604">
        <v>31</v>
      </c>
      <c r="AJ604">
        <v>2.2999999999999998</v>
      </c>
    </row>
    <row r="605" spans="1:36" x14ac:dyDescent="0.25">
      <c r="A605">
        <v>10604</v>
      </c>
      <c r="B605" t="s">
        <v>64</v>
      </c>
      <c r="C605" t="s">
        <v>61</v>
      </c>
      <c r="D605" t="s">
        <v>23</v>
      </c>
      <c r="E605" t="str">
        <f t="shared" si="117"/>
        <v>Katie Smith is in HR Department</v>
      </c>
      <c r="F605" s="6" t="str">
        <f t="shared" si="118"/>
        <v>katiesmith@gmail.com</v>
      </c>
      <c r="G605">
        <v>92601</v>
      </c>
      <c r="H605" t="str">
        <f t="shared" si="119"/>
        <v>High</v>
      </c>
      <c r="I605" s="3">
        <v>39747</v>
      </c>
      <c r="J605">
        <f t="shared" si="120"/>
        <v>2008</v>
      </c>
      <c r="K605">
        <f t="shared" si="121"/>
        <v>10</v>
      </c>
      <c r="L605">
        <f t="shared" si="122"/>
        <v>26</v>
      </c>
      <c r="M605" s="3">
        <f t="shared" ca="1" si="123"/>
        <v>46100</v>
      </c>
      <c r="N605">
        <f t="shared" ca="1" si="124"/>
        <v>6353</v>
      </c>
      <c r="O605">
        <f t="shared" ca="1" si="125"/>
        <v>6353</v>
      </c>
      <c r="P605">
        <f t="shared" ca="1" si="126"/>
        <v>4539</v>
      </c>
      <c r="Q605">
        <v>61</v>
      </c>
      <c r="R605" t="str">
        <f t="shared" si="127"/>
        <v>Old</v>
      </c>
      <c r="S605" t="s">
        <v>24</v>
      </c>
      <c r="T605">
        <v>5</v>
      </c>
      <c r="U605" t="s">
        <v>25</v>
      </c>
      <c r="V605">
        <v>9585.15</v>
      </c>
      <c r="W605" t="s">
        <v>58</v>
      </c>
      <c r="X605" t="s">
        <v>27</v>
      </c>
      <c r="Y605">
        <v>29</v>
      </c>
      <c r="Z605" t="str">
        <f t="shared" si="128"/>
        <v>Bad Employee</v>
      </c>
      <c r="AA605" t="b">
        <f t="shared" si="129"/>
        <v>0</v>
      </c>
      <c r="AB605" t="b">
        <f>OR(Y605&gt;20, T605&gt;6)</f>
        <v>1</v>
      </c>
      <c r="AC605" t="str">
        <f>IF(OR(Y605&gt;20,T605&gt;6), "Good employee", "Bad Employee")</f>
        <v>Good employee</v>
      </c>
      <c r="AD605" t="s">
        <v>28</v>
      </c>
      <c r="AE605" t="s">
        <v>37</v>
      </c>
      <c r="AF605">
        <v>3</v>
      </c>
      <c r="AG605">
        <v>2013</v>
      </c>
      <c r="AH605" t="s">
        <v>43</v>
      </c>
      <c r="AI605">
        <v>141</v>
      </c>
      <c r="AJ605">
        <v>1.3</v>
      </c>
    </row>
    <row r="606" spans="1:36" x14ac:dyDescent="0.25">
      <c r="A606">
        <v>10605</v>
      </c>
      <c r="B606" t="s">
        <v>21</v>
      </c>
      <c r="C606" t="s">
        <v>65</v>
      </c>
      <c r="D606" t="s">
        <v>54</v>
      </c>
      <c r="E606" t="str">
        <f t="shared" si="117"/>
        <v>Michael Johnson is in Finance Department</v>
      </c>
      <c r="F606" s="6" t="str">
        <f t="shared" si="118"/>
        <v>michaeljohnson@gmail.com</v>
      </c>
      <c r="G606">
        <v>35487</v>
      </c>
      <c r="H606" t="str">
        <f t="shared" si="119"/>
        <v>extremely low</v>
      </c>
      <c r="I606" s="3">
        <v>39666</v>
      </c>
      <c r="J606">
        <f t="shared" si="120"/>
        <v>2008</v>
      </c>
      <c r="K606">
        <f t="shared" si="121"/>
        <v>8</v>
      </c>
      <c r="L606">
        <f t="shared" si="122"/>
        <v>6</v>
      </c>
      <c r="M606" s="3">
        <f t="shared" ca="1" si="123"/>
        <v>46100</v>
      </c>
      <c r="N606">
        <f t="shared" ca="1" si="124"/>
        <v>6434</v>
      </c>
      <c r="O606">
        <f t="shared" ca="1" si="125"/>
        <v>6434</v>
      </c>
      <c r="P606">
        <f t="shared" ca="1" si="126"/>
        <v>4597</v>
      </c>
      <c r="Q606">
        <v>27</v>
      </c>
      <c r="R606" t="str">
        <f t="shared" si="127"/>
        <v>Young</v>
      </c>
      <c r="S606" t="s">
        <v>24</v>
      </c>
      <c r="T606">
        <v>4</v>
      </c>
      <c r="U606" t="s">
        <v>25</v>
      </c>
      <c r="V606">
        <v>1912.98</v>
      </c>
      <c r="W606" t="s">
        <v>35</v>
      </c>
      <c r="X606" t="s">
        <v>55</v>
      </c>
      <c r="Y606">
        <v>35</v>
      </c>
      <c r="Z606" t="str">
        <f t="shared" si="128"/>
        <v>Bad Employee</v>
      </c>
      <c r="AA606" t="b">
        <f t="shared" si="129"/>
        <v>0</v>
      </c>
      <c r="AB606" t="b">
        <f>OR(Y606&gt;20, T606&gt;6)</f>
        <v>1</v>
      </c>
      <c r="AC606" t="str">
        <f>IF(OR(Y606&gt;20,T606&gt;6), "Good employee", "Bad Employee")</f>
        <v>Good employee</v>
      </c>
      <c r="AD606" t="s">
        <v>56</v>
      </c>
      <c r="AE606" t="s">
        <v>59</v>
      </c>
      <c r="AF606">
        <v>3</v>
      </c>
      <c r="AG606">
        <v>2010</v>
      </c>
      <c r="AH606" t="s">
        <v>49</v>
      </c>
      <c r="AI606">
        <v>92</v>
      </c>
      <c r="AJ606">
        <v>4.3</v>
      </c>
    </row>
    <row r="607" spans="1:36" x14ac:dyDescent="0.25">
      <c r="A607">
        <v>10606</v>
      </c>
      <c r="B607" t="s">
        <v>50</v>
      </c>
      <c r="C607" t="s">
        <v>57</v>
      </c>
      <c r="D607" t="s">
        <v>54</v>
      </c>
      <c r="E607" t="str">
        <f t="shared" si="117"/>
        <v>Alex Davis is in Finance Department</v>
      </c>
      <c r="F607" s="6" t="str">
        <f t="shared" si="118"/>
        <v>alexdavis@gmail.com</v>
      </c>
      <c r="G607">
        <v>66282</v>
      </c>
      <c r="H607" t="str">
        <f t="shared" si="119"/>
        <v>Medium</v>
      </c>
      <c r="I607" s="3">
        <v>41590</v>
      </c>
      <c r="J607">
        <f t="shared" si="120"/>
        <v>2013</v>
      </c>
      <c r="K607">
        <f t="shared" si="121"/>
        <v>11</v>
      </c>
      <c r="L607">
        <f t="shared" si="122"/>
        <v>12</v>
      </c>
      <c r="M607" s="3">
        <f t="shared" ca="1" si="123"/>
        <v>46100</v>
      </c>
      <c r="N607">
        <f t="shared" ca="1" si="124"/>
        <v>4510</v>
      </c>
      <c r="O607">
        <f t="shared" ca="1" si="125"/>
        <v>4510</v>
      </c>
      <c r="P607">
        <f t="shared" ca="1" si="126"/>
        <v>3223</v>
      </c>
      <c r="Q607">
        <v>34</v>
      </c>
      <c r="R607" t="str">
        <f t="shared" si="127"/>
        <v>Old</v>
      </c>
      <c r="S607" t="s">
        <v>34</v>
      </c>
      <c r="T607">
        <v>8</v>
      </c>
      <c r="U607" t="s">
        <v>25</v>
      </c>
      <c r="V607">
        <v>7758.01</v>
      </c>
      <c r="W607" t="s">
        <v>58</v>
      </c>
      <c r="X607" t="s">
        <v>36</v>
      </c>
      <c r="Y607">
        <v>25</v>
      </c>
      <c r="Z607" t="str">
        <f t="shared" si="128"/>
        <v>Good Employee</v>
      </c>
      <c r="AA607" t="b">
        <f t="shared" si="129"/>
        <v>1</v>
      </c>
      <c r="AB607" t="b">
        <f>OR(Y607&gt;20, T607&gt;6)</f>
        <v>1</v>
      </c>
      <c r="AC607" t="str">
        <f>IF(OR(Y607&gt;20,T607&gt;6), "Good employee", "Bad Employee")</f>
        <v>Good employee</v>
      </c>
      <c r="AD607" t="s">
        <v>41</v>
      </c>
      <c r="AE607" t="s">
        <v>59</v>
      </c>
      <c r="AF607">
        <v>6</v>
      </c>
      <c r="AG607">
        <v>2014</v>
      </c>
      <c r="AH607" t="s">
        <v>30</v>
      </c>
      <c r="AI607">
        <v>149</v>
      </c>
      <c r="AJ607">
        <v>1.6</v>
      </c>
    </row>
    <row r="608" spans="1:36" x14ac:dyDescent="0.25">
      <c r="A608">
        <v>10607</v>
      </c>
      <c r="B608" t="s">
        <v>21</v>
      </c>
      <c r="C608" t="s">
        <v>51</v>
      </c>
      <c r="D608" t="s">
        <v>54</v>
      </c>
      <c r="E608" t="str">
        <f t="shared" si="117"/>
        <v>Michael Brown is in Finance Department</v>
      </c>
      <c r="F608" s="6" t="str">
        <f t="shared" si="118"/>
        <v>michaelbrown@gmail.com</v>
      </c>
      <c r="G608">
        <v>106816</v>
      </c>
      <c r="H608" t="str">
        <f t="shared" si="119"/>
        <v>High</v>
      </c>
      <c r="I608" s="3">
        <v>41426</v>
      </c>
      <c r="J608">
        <f t="shared" si="120"/>
        <v>2013</v>
      </c>
      <c r="K608">
        <f t="shared" si="121"/>
        <v>6</v>
      </c>
      <c r="L608">
        <f t="shared" si="122"/>
        <v>1</v>
      </c>
      <c r="M608" s="3">
        <f t="shared" ca="1" si="123"/>
        <v>46100</v>
      </c>
      <c r="N608">
        <f t="shared" ca="1" si="124"/>
        <v>4674</v>
      </c>
      <c r="O608">
        <f t="shared" ca="1" si="125"/>
        <v>4674</v>
      </c>
      <c r="P608">
        <f t="shared" ca="1" si="126"/>
        <v>3339</v>
      </c>
      <c r="Q608">
        <v>54</v>
      </c>
      <c r="R608" t="str">
        <f t="shared" si="127"/>
        <v>Old</v>
      </c>
      <c r="S608" t="s">
        <v>24</v>
      </c>
      <c r="T608">
        <v>8</v>
      </c>
      <c r="U608" t="s">
        <v>25</v>
      </c>
      <c r="V608">
        <v>6512.42</v>
      </c>
      <c r="W608" t="s">
        <v>35</v>
      </c>
      <c r="X608" t="s">
        <v>40</v>
      </c>
      <c r="Y608">
        <v>24</v>
      </c>
      <c r="Z608" t="str">
        <f t="shared" si="128"/>
        <v>Good Employee</v>
      </c>
      <c r="AA608" t="b">
        <f t="shared" si="129"/>
        <v>1</v>
      </c>
      <c r="AB608" t="b">
        <f>OR(Y608&gt;20, T608&gt;6)</f>
        <v>1</v>
      </c>
      <c r="AC608" t="str">
        <f>IF(OR(Y608&gt;20,T608&gt;6), "Good employee", "Bad Employee")</f>
        <v>Good employee</v>
      </c>
      <c r="AD608" t="s">
        <v>41</v>
      </c>
      <c r="AE608" t="s">
        <v>59</v>
      </c>
      <c r="AF608">
        <v>7</v>
      </c>
      <c r="AG608">
        <v>2019</v>
      </c>
      <c r="AH608" t="s">
        <v>43</v>
      </c>
      <c r="AI608">
        <v>96</v>
      </c>
      <c r="AJ608">
        <v>2.5</v>
      </c>
    </row>
    <row r="609" spans="1:36" x14ac:dyDescent="0.25">
      <c r="A609">
        <v>10608</v>
      </c>
      <c r="B609" t="s">
        <v>53</v>
      </c>
      <c r="C609" t="s">
        <v>57</v>
      </c>
      <c r="D609" t="s">
        <v>39</v>
      </c>
      <c r="E609" t="str">
        <f t="shared" si="117"/>
        <v>Sarah Davis is in IT Department</v>
      </c>
      <c r="F609" s="6" t="str">
        <f t="shared" si="118"/>
        <v>sarahdavis@gmail.com</v>
      </c>
      <c r="G609">
        <v>58804</v>
      </c>
      <c r="H609" t="str">
        <f t="shared" si="119"/>
        <v>Medium</v>
      </c>
      <c r="I609" s="3">
        <v>37779</v>
      </c>
      <c r="J609">
        <f t="shared" si="120"/>
        <v>2003</v>
      </c>
      <c r="K609">
        <f t="shared" si="121"/>
        <v>6</v>
      </c>
      <c r="L609">
        <f t="shared" si="122"/>
        <v>7</v>
      </c>
      <c r="M609" s="3">
        <f t="shared" ca="1" si="123"/>
        <v>46100</v>
      </c>
      <c r="N609">
        <f t="shared" ca="1" si="124"/>
        <v>8321</v>
      </c>
      <c r="O609">
        <f t="shared" ca="1" si="125"/>
        <v>8321</v>
      </c>
      <c r="P609">
        <f t="shared" ca="1" si="126"/>
        <v>5944</v>
      </c>
      <c r="Q609">
        <v>40</v>
      </c>
      <c r="R609" t="str">
        <f t="shared" si="127"/>
        <v>Old</v>
      </c>
      <c r="S609" t="s">
        <v>34</v>
      </c>
      <c r="T609">
        <v>1</v>
      </c>
      <c r="U609" t="s">
        <v>25</v>
      </c>
      <c r="V609">
        <v>8260.51</v>
      </c>
      <c r="W609" t="s">
        <v>35</v>
      </c>
      <c r="X609" t="s">
        <v>27</v>
      </c>
      <c r="Y609">
        <v>13</v>
      </c>
      <c r="Z609" t="str">
        <f t="shared" si="128"/>
        <v>Bad Employee</v>
      </c>
      <c r="AA609" t="b">
        <f t="shared" si="129"/>
        <v>0</v>
      </c>
      <c r="AB609" t="b">
        <f>OR(Y609&gt;20, T609&gt;6)</f>
        <v>0</v>
      </c>
      <c r="AC609" t="str">
        <f>IF(OR(Y609&gt;20,T609&gt;6), "Good employee", "Bad Employee")</f>
        <v>Bad Employee</v>
      </c>
      <c r="AD609" t="s">
        <v>28</v>
      </c>
      <c r="AE609" t="s">
        <v>29</v>
      </c>
      <c r="AF609">
        <v>1</v>
      </c>
      <c r="AG609">
        <v>2023</v>
      </c>
      <c r="AH609" t="s">
        <v>30</v>
      </c>
      <c r="AI609">
        <v>43</v>
      </c>
      <c r="AJ609">
        <v>3.8</v>
      </c>
    </row>
    <row r="610" spans="1:36" x14ac:dyDescent="0.25">
      <c r="A610">
        <v>10609</v>
      </c>
      <c r="B610" t="s">
        <v>31</v>
      </c>
      <c r="C610" t="s">
        <v>51</v>
      </c>
      <c r="D610" t="s">
        <v>23</v>
      </c>
      <c r="E610" t="str">
        <f t="shared" si="117"/>
        <v>Emily Brown is in HR Department</v>
      </c>
      <c r="F610" s="6" t="str">
        <f t="shared" si="118"/>
        <v>emilybrown@gmail.com</v>
      </c>
      <c r="G610">
        <v>39915</v>
      </c>
      <c r="H610" t="str">
        <f t="shared" si="119"/>
        <v>extremely low</v>
      </c>
      <c r="I610" s="3">
        <v>37248</v>
      </c>
      <c r="J610">
        <f t="shared" si="120"/>
        <v>2001</v>
      </c>
      <c r="K610">
        <f t="shared" si="121"/>
        <v>12</v>
      </c>
      <c r="L610">
        <f t="shared" si="122"/>
        <v>23</v>
      </c>
      <c r="M610" s="3">
        <f t="shared" ca="1" si="123"/>
        <v>46100</v>
      </c>
      <c r="N610">
        <f t="shared" ca="1" si="124"/>
        <v>8852</v>
      </c>
      <c r="O610">
        <f t="shared" ca="1" si="125"/>
        <v>8852</v>
      </c>
      <c r="P610">
        <f t="shared" ca="1" si="126"/>
        <v>6324</v>
      </c>
      <c r="Q610">
        <v>36</v>
      </c>
      <c r="R610" t="str">
        <f t="shared" si="127"/>
        <v>Old</v>
      </c>
      <c r="S610" t="s">
        <v>24</v>
      </c>
      <c r="T610">
        <v>3</v>
      </c>
      <c r="U610" t="s">
        <v>25</v>
      </c>
      <c r="V610">
        <v>772.51</v>
      </c>
      <c r="W610" t="s">
        <v>35</v>
      </c>
      <c r="X610" t="s">
        <v>40</v>
      </c>
      <c r="Y610">
        <v>21</v>
      </c>
      <c r="Z610" t="str">
        <f t="shared" si="128"/>
        <v>Bad Employee</v>
      </c>
      <c r="AA610" t="b">
        <f t="shared" si="129"/>
        <v>0</v>
      </c>
      <c r="AB610" t="b">
        <f>OR(Y610&gt;20, T610&gt;6)</f>
        <v>1</v>
      </c>
      <c r="AC610" t="str">
        <f>IF(OR(Y610&gt;20,T610&gt;6), "Good employee", "Bad Employee")</f>
        <v>Good employee</v>
      </c>
      <c r="AD610" t="s">
        <v>56</v>
      </c>
      <c r="AE610" t="s">
        <v>48</v>
      </c>
      <c r="AF610">
        <v>9</v>
      </c>
      <c r="AG610">
        <v>2020</v>
      </c>
      <c r="AH610" t="s">
        <v>43</v>
      </c>
      <c r="AI610">
        <v>59</v>
      </c>
      <c r="AJ610">
        <v>4.3</v>
      </c>
    </row>
    <row r="611" spans="1:36" x14ac:dyDescent="0.25">
      <c r="A611">
        <v>10610</v>
      </c>
      <c r="B611" t="s">
        <v>53</v>
      </c>
      <c r="C611" t="s">
        <v>57</v>
      </c>
      <c r="D611" t="s">
        <v>52</v>
      </c>
      <c r="E611" t="str">
        <f t="shared" si="117"/>
        <v>Sarah Davis is in Operations Department</v>
      </c>
      <c r="F611" s="6" t="str">
        <f t="shared" si="118"/>
        <v>sarahdavis@gmail.com</v>
      </c>
      <c r="G611">
        <v>41158</v>
      </c>
      <c r="H611" t="str">
        <f t="shared" si="119"/>
        <v>low</v>
      </c>
      <c r="I611" s="3">
        <v>41717</v>
      </c>
      <c r="J611">
        <f t="shared" si="120"/>
        <v>2014</v>
      </c>
      <c r="K611">
        <f t="shared" si="121"/>
        <v>3</v>
      </c>
      <c r="L611">
        <f t="shared" si="122"/>
        <v>19</v>
      </c>
      <c r="M611" s="3">
        <f t="shared" ca="1" si="123"/>
        <v>46100</v>
      </c>
      <c r="N611">
        <f t="shared" ca="1" si="124"/>
        <v>4383</v>
      </c>
      <c r="O611">
        <f t="shared" ca="1" si="125"/>
        <v>4383</v>
      </c>
      <c r="P611">
        <f t="shared" ca="1" si="126"/>
        <v>3132</v>
      </c>
      <c r="Q611">
        <v>54</v>
      </c>
      <c r="R611" t="str">
        <f t="shared" si="127"/>
        <v>Old</v>
      </c>
      <c r="S611" t="s">
        <v>24</v>
      </c>
      <c r="T611">
        <v>4</v>
      </c>
      <c r="U611" t="s">
        <v>45</v>
      </c>
      <c r="V611">
        <v>1242.24</v>
      </c>
      <c r="W611" t="s">
        <v>26</v>
      </c>
      <c r="X611" t="s">
        <v>36</v>
      </c>
      <c r="Y611">
        <v>39</v>
      </c>
      <c r="Z611" t="str">
        <f t="shared" si="128"/>
        <v>Bad Employee</v>
      </c>
      <c r="AA611" t="b">
        <f t="shared" si="129"/>
        <v>0</v>
      </c>
      <c r="AB611" t="b">
        <f>OR(Y611&gt;20, T611&gt;6)</f>
        <v>1</v>
      </c>
      <c r="AC611" t="str">
        <f>IF(OR(Y611&gt;20,T611&gt;6), "Good employee", "Bad Employee")</f>
        <v>Good employee</v>
      </c>
      <c r="AD611" t="s">
        <v>41</v>
      </c>
      <c r="AE611" t="s">
        <v>48</v>
      </c>
      <c r="AF611">
        <v>4</v>
      </c>
      <c r="AG611">
        <v>2012</v>
      </c>
      <c r="AH611" t="s">
        <v>43</v>
      </c>
      <c r="AI611">
        <v>129</v>
      </c>
      <c r="AJ611">
        <v>4.4000000000000004</v>
      </c>
    </row>
    <row r="612" spans="1:36" x14ac:dyDescent="0.25">
      <c r="A612">
        <v>10611</v>
      </c>
      <c r="B612" t="s">
        <v>38</v>
      </c>
      <c r="C612" t="s">
        <v>22</v>
      </c>
      <c r="D612" t="s">
        <v>52</v>
      </c>
      <c r="E612" t="str">
        <f t="shared" si="117"/>
        <v>Chris Williams is in Operations Department</v>
      </c>
      <c r="F612" s="6" t="str">
        <f t="shared" si="118"/>
        <v>chriswilliams@gmail.com</v>
      </c>
      <c r="G612">
        <v>104157</v>
      </c>
      <c r="H612" t="str">
        <f t="shared" si="119"/>
        <v>High</v>
      </c>
      <c r="I612" s="3">
        <v>41623</v>
      </c>
      <c r="J612">
        <f t="shared" si="120"/>
        <v>2013</v>
      </c>
      <c r="K612">
        <f t="shared" si="121"/>
        <v>12</v>
      </c>
      <c r="L612">
        <f t="shared" si="122"/>
        <v>15</v>
      </c>
      <c r="M612" s="3">
        <f t="shared" ca="1" si="123"/>
        <v>46100</v>
      </c>
      <c r="N612">
        <f t="shared" ca="1" si="124"/>
        <v>4477</v>
      </c>
      <c r="O612">
        <f t="shared" ca="1" si="125"/>
        <v>4477</v>
      </c>
      <c r="P612">
        <f t="shared" ca="1" si="126"/>
        <v>3199</v>
      </c>
      <c r="Q612">
        <v>31</v>
      </c>
      <c r="R612" t="str">
        <f t="shared" si="127"/>
        <v>Old</v>
      </c>
      <c r="S612" t="s">
        <v>34</v>
      </c>
      <c r="T612">
        <v>2</v>
      </c>
      <c r="U612" t="s">
        <v>45</v>
      </c>
      <c r="V612">
        <v>1162.1099999999999</v>
      </c>
      <c r="W612" t="s">
        <v>26</v>
      </c>
      <c r="X612" t="s">
        <v>40</v>
      </c>
      <c r="Y612">
        <v>34</v>
      </c>
      <c r="Z612" t="str">
        <f t="shared" si="128"/>
        <v>Bad Employee</v>
      </c>
      <c r="AA612" t="b">
        <f t="shared" si="129"/>
        <v>0</v>
      </c>
      <c r="AB612" t="b">
        <f>OR(Y612&gt;20, T612&gt;6)</f>
        <v>1</v>
      </c>
      <c r="AC612" t="str">
        <f>IF(OR(Y612&gt;20,T612&gt;6), "Good employee", "Bad Employee")</f>
        <v>Good employee</v>
      </c>
      <c r="AD612" t="s">
        <v>56</v>
      </c>
      <c r="AE612" t="s">
        <v>42</v>
      </c>
      <c r="AF612">
        <v>16</v>
      </c>
      <c r="AG612">
        <v>2010</v>
      </c>
      <c r="AH612" t="s">
        <v>30</v>
      </c>
      <c r="AI612">
        <v>49</v>
      </c>
      <c r="AJ612">
        <v>3.1</v>
      </c>
    </row>
    <row r="613" spans="1:36" x14ac:dyDescent="0.25">
      <c r="A613">
        <v>10612</v>
      </c>
      <c r="B613" t="s">
        <v>60</v>
      </c>
      <c r="C613" t="s">
        <v>65</v>
      </c>
      <c r="D613" t="s">
        <v>54</v>
      </c>
      <c r="E613" t="str">
        <f t="shared" si="117"/>
        <v>Jane Johnson is in Finance Department</v>
      </c>
      <c r="F613" s="6" t="str">
        <f t="shared" si="118"/>
        <v>janejohnson@gmail.com</v>
      </c>
      <c r="G613">
        <v>40547</v>
      </c>
      <c r="H613" t="str">
        <f t="shared" si="119"/>
        <v>low</v>
      </c>
      <c r="I613" s="3">
        <v>43544</v>
      </c>
      <c r="J613">
        <f t="shared" si="120"/>
        <v>2019</v>
      </c>
      <c r="K613">
        <f t="shared" si="121"/>
        <v>3</v>
      </c>
      <c r="L613">
        <f t="shared" si="122"/>
        <v>20</v>
      </c>
      <c r="M613" s="3">
        <f t="shared" ca="1" si="123"/>
        <v>46100</v>
      </c>
      <c r="N613">
        <f t="shared" ca="1" si="124"/>
        <v>2556</v>
      </c>
      <c r="O613">
        <f t="shared" ca="1" si="125"/>
        <v>2556</v>
      </c>
      <c r="P613">
        <f t="shared" ca="1" si="126"/>
        <v>1827</v>
      </c>
      <c r="Q613">
        <v>22</v>
      </c>
      <c r="R613" t="str">
        <f t="shared" si="127"/>
        <v>Young</v>
      </c>
      <c r="S613" t="s">
        <v>24</v>
      </c>
      <c r="T613">
        <v>5</v>
      </c>
      <c r="U613" t="s">
        <v>45</v>
      </c>
      <c r="V613">
        <v>6133.11</v>
      </c>
      <c r="W613" t="s">
        <v>26</v>
      </c>
      <c r="X613" t="s">
        <v>27</v>
      </c>
      <c r="Y613">
        <v>19</v>
      </c>
      <c r="Z613" t="str">
        <f t="shared" si="128"/>
        <v>Bad Employee</v>
      </c>
      <c r="AA613" t="b">
        <f t="shared" si="129"/>
        <v>0</v>
      </c>
      <c r="AB613" t="b">
        <f>OR(Y613&gt;20, T613&gt;6)</f>
        <v>0</v>
      </c>
      <c r="AC613" t="str">
        <f>IF(OR(Y613&gt;20,T613&gt;6), "Good employee", "Bad Employee")</f>
        <v>Bad Employee</v>
      </c>
      <c r="AD613" t="s">
        <v>28</v>
      </c>
      <c r="AE613" t="s">
        <v>37</v>
      </c>
      <c r="AF613">
        <v>6</v>
      </c>
      <c r="AG613">
        <v>2011</v>
      </c>
      <c r="AH613" t="s">
        <v>49</v>
      </c>
      <c r="AI613">
        <v>160</v>
      </c>
      <c r="AJ613">
        <v>2.9</v>
      </c>
    </row>
    <row r="614" spans="1:36" x14ac:dyDescent="0.25">
      <c r="A614">
        <v>10613</v>
      </c>
      <c r="B614" t="s">
        <v>31</v>
      </c>
      <c r="C614" t="s">
        <v>51</v>
      </c>
      <c r="D614" t="s">
        <v>23</v>
      </c>
      <c r="E614" t="str">
        <f t="shared" si="117"/>
        <v>Emily Brown is in HR Department</v>
      </c>
      <c r="F614" s="6" t="str">
        <f t="shared" si="118"/>
        <v>emilybrown@gmail.com</v>
      </c>
      <c r="G614">
        <v>118713</v>
      </c>
      <c r="H614" t="str">
        <f t="shared" si="119"/>
        <v>High</v>
      </c>
      <c r="I614" s="3">
        <v>36609</v>
      </c>
      <c r="J614">
        <f t="shared" si="120"/>
        <v>2000</v>
      </c>
      <c r="K614">
        <f t="shared" si="121"/>
        <v>3</v>
      </c>
      <c r="L614">
        <f t="shared" si="122"/>
        <v>24</v>
      </c>
      <c r="M614" s="3">
        <f t="shared" ca="1" si="123"/>
        <v>46100</v>
      </c>
      <c r="N614">
        <f t="shared" ca="1" si="124"/>
        <v>9491</v>
      </c>
      <c r="O614">
        <f t="shared" ca="1" si="125"/>
        <v>9491</v>
      </c>
      <c r="P614">
        <f t="shared" ca="1" si="126"/>
        <v>6780</v>
      </c>
      <c r="Q614">
        <v>33</v>
      </c>
      <c r="R614" t="str">
        <f t="shared" si="127"/>
        <v>Old</v>
      </c>
      <c r="S614" t="s">
        <v>34</v>
      </c>
      <c r="T614">
        <v>8</v>
      </c>
      <c r="U614" t="s">
        <v>45</v>
      </c>
      <c r="V614">
        <v>6227.89</v>
      </c>
      <c r="W614" t="s">
        <v>58</v>
      </c>
      <c r="X614" t="s">
        <v>47</v>
      </c>
      <c r="Y614">
        <v>28</v>
      </c>
      <c r="Z614" t="str">
        <f t="shared" si="128"/>
        <v>Good Employee</v>
      </c>
      <c r="AA614" t="b">
        <f t="shared" si="129"/>
        <v>1</v>
      </c>
      <c r="AB614" t="b">
        <f>OR(Y614&gt;20, T614&gt;6)</f>
        <v>1</v>
      </c>
      <c r="AC614" t="str">
        <f>IF(OR(Y614&gt;20,T614&gt;6), "Good employee", "Bad Employee")</f>
        <v>Good employee</v>
      </c>
      <c r="AD614" t="s">
        <v>56</v>
      </c>
      <c r="AE614" t="s">
        <v>42</v>
      </c>
      <c r="AF614">
        <v>1</v>
      </c>
      <c r="AG614">
        <v>2011</v>
      </c>
      <c r="AH614" t="s">
        <v>49</v>
      </c>
      <c r="AI614">
        <v>188</v>
      </c>
      <c r="AJ614">
        <v>4.4000000000000004</v>
      </c>
    </row>
    <row r="615" spans="1:36" x14ac:dyDescent="0.25">
      <c r="A615">
        <v>10614</v>
      </c>
      <c r="B615" t="s">
        <v>60</v>
      </c>
      <c r="C615" t="s">
        <v>61</v>
      </c>
      <c r="D615" t="s">
        <v>23</v>
      </c>
      <c r="E615" t="str">
        <f t="shared" si="117"/>
        <v>Jane Smith is in HR Department</v>
      </c>
      <c r="F615" s="6" t="str">
        <f t="shared" si="118"/>
        <v>janesmith@gmail.com</v>
      </c>
      <c r="G615">
        <v>32459</v>
      </c>
      <c r="H615" t="str">
        <f t="shared" si="119"/>
        <v>extremely low</v>
      </c>
      <c r="I615" s="3">
        <v>41361</v>
      </c>
      <c r="J615">
        <f t="shared" si="120"/>
        <v>2013</v>
      </c>
      <c r="K615">
        <f t="shared" si="121"/>
        <v>3</v>
      </c>
      <c r="L615">
        <f t="shared" si="122"/>
        <v>28</v>
      </c>
      <c r="M615" s="3">
        <f t="shared" ca="1" si="123"/>
        <v>46100</v>
      </c>
      <c r="N615">
        <f t="shared" ca="1" si="124"/>
        <v>4739</v>
      </c>
      <c r="O615">
        <f t="shared" ca="1" si="125"/>
        <v>4739</v>
      </c>
      <c r="P615">
        <f t="shared" ca="1" si="126"/>
        <v>3386</v>
      </c>
      <c r="Q615">
        <v>64</v>
      </c>
      <c r="R615" t="str">
        <f t="shared" si="127"/>
        <v>Old</v>
      </c>
      <c r="S615" t="s">
        <v>24</v>
      </c>
      <c r="T615">
        <v>2</v>
      </c>
      <c r="U615" t="s">
        <v>25</v>
      </c>
      <c r="V615">
        <v>9108</v>
      </c>
      <c r="W615" t="s">
        <v>58</v>
      </c>
      <c r="X615" t="s">
        <v>55</v>
      </c>
      <c r="Y615">
        <v>27</v>
      </c>
      <c r="Z615" t="str">
        <f t="shared" si="128"/>
        <v>Bad Employee</v>
      </c>
      <c r="AA615" t="b">
        <f t="shared" si="129"/>
        <v>0</v>
      </c>
      <c r="AB615" t="b">
        <f>OR(Y615&gt;20, T615&gt;6)</f>
        <v>1</v>
      </c>
      <c r="AC615" t="str">
        <f>IF(OR(Y615&gt;20,T615&gt;6), "Good employee", "Bad Employee")</f>
        <v>Good employee</v>
      </c>
      <c r="AD615" t="s">
        <v>56</v>
      </c>
      <c r="AE615" t="s">
        <v>59</v>
      </c>
      <c r="AF615">
        <v>5</v>
      </c>
      <c r="AG615">
        <v>2017</v>
      </c>
      <c r="AH615" t="s">
        <v>49</v>
      </c>
      <c r="AI615">
        <v>105</v>
      </c>
      <c r="AJ615">
        <v>3.3</v>
      </c>
    </row>
    <row r="616" spans="1:36" x14ac:dyDescent="0.25">
      <c r="A616">
        <v>10615</v>
      </c>
      <c r="B616" t="s">
        <v>64</v>
      </c>
      <c r="C616" t="s">
        <v>65</v>
      </c>
      <c r="D616" t="s">
        <v>23</v>
      </c>
      <c r="E616" t="str">
        <f t="shared" si="117"/>
        <v>Katie Johnson is in HR Department</v>
      </c>
      <c r="F616" s="6" t="str">
        <f t="shared" si="118"/>
        <v>katiejohnson@gmail.com</v>
      </c>
      <c r="G616">
        <v>58768</v>
      </c>
      <c r="H616" t="str">
        <f t="shared" si="119"/>
        <v>Medium</v>
      </c>
      <c r="I616" s="3">
        <v>39896</v>
      </c>
      <c r="J616">
        <f t="shared" si="120"/>
        <v>2009</v>
      </c>
      <c r="K616">
        <f t="shared" si="121"/>
        <v>3</v>
      </c>
      <c r="L616">
        <f t="shared" si="122"/>
        <v>24</v>
      </c>
      <c r="M616" s="3">
        <f t="shared" ca="1" si="123"/>
        <v>46100</v>
      </c>
      <c r="N616">
        <f t="shared" ca="1" si="124"/>
        <v>6204</v>
      </c>
      <c r="O616">
        <f t="shared" ca="1" si="125"/>
        <v>6204</v>
      </c>
      <c r="P616">
        <f t="shared" ca="1" si="126"/>
        <v>4433</v>
      </c>
      <c r="Q616">
        <v>50</v>
      </c>
      <c r="R616" t="str">
        <f t="shared" si="127"/>
        <v>Old</v>
      </c>
      <c r="S616" t="s">
        <v>34</v>
      </c>
      <c r="T616">
        <v>9</v>
      </c>
      <c r="U616" t="s">
        <v>45</v>
      </c>
      <c r="V616">
        <v>4942.2299999999996</v>
      </c>
      <c r="W616" t="s">
        <v>26</v>
      </c>
      <c r="X616" t="s">
        <v>55</v>
      </c>
      <c r="Y616">
        <v>26</v>
      </c>
      <c r="Z616" t="str">
        <f t="shared" si="128"/>
        <v>Good Employee</v>
      </c>
      <c r="AA616" t="b">
        <f t="shared" si="129"/>
        <v>1</v>
      </c>
      <c r="AB616" t="b">
        <f>OR(Y616&gt;20, T616&gt;6)</f>
        <v>1</v>
      </c>
      <c r="AC616" t="str">
        <f>IF(OR(Y616&gt;20,T616&gt;6), "Good employee", "Bad Employee")</f>
        <v>Good employee</v>
      </c>
      <c r="AD616" t="s">
        <v>56</v>
      </c>
      <c r="AE616" t="s">
        <v>62</v>
      </c>
      <c r="AF616">
        <v>9</v>
      </c>
      <c r="AG616">
        <v>2013</v>
      </c>
      <c r="AH616" t="s">
        <v>30</v>
      </c>
      <c r="AI616">
        <v>161</v>
      </c>
      <c r="AJ616">
        <v>3.3</v>
      </c>
    </row>
    <row r="617" spans="1:36" x14ac:dyDescent="0.25">
      <c r="A617">
        <v>10616</v>
      </c>
      <c r="B617" t="s">
        <v>50</v>
      </c>
      <c r="C617" t="s">
        <v>61</v>
      </c>
      <c r="D617" t="s">
        <v>33</v>
      </c>
      <c r="E617" t="str">
        <f t="shared" si="117"/>
        <v>Alex Smith is in Marketing Department</v>
      </c>
      <c r="F617" s="6" t="str">
        <f t="shared" si="118"/>
        <v>alexsmith@gmail.com</v>
      </c>
      <c r="G617">
        <v>93146</v>
      </c>
      <c r="H617" t="str">
        <f t="shared" si="119"/>
        <v>High</v>
      </c>
      <c r="I617" s="3">
        <v>40345</v>
      </c>
      <c r="J617">
        <f t="shared" si="120"/>
        <v>2010</v>
      </c>
      <c r="K617">
        <f t="shared" si="121"/>
        <v>6</v>
      </c>
      <c r="L617">
        <f t="shared" si="122"/>
        <v>16</v>
      </c>
      <c r="M617" s="3">
        <f t="shared" ca="1" si="123"/>
        <v>46100</v>
      </c>
      <c r="N617">
        <f t="shared" ca="1" si="124"/>
        <v>5755</v>
      </c>
      <c r="O617">
        <f t="shared" ca="1" si="125"/>
        <v>5755</v>
      </c>
      <c r="P617">
        <f t="shared" ca="1" si="126"/>
        <v>4112</v>
      </c>
      <c r="Q617">
        <v>38</v>
      </c>
      <c r="R617" t="str">
        <f t="shared" si="127"/>
        <v>Old</v>
      </c>
      <c r="S617" t="s">
        <v>34</v>
      </c>
      <c r="T617">
        <v>7</v>
      </c>
      <c r="U617" t="s">
        <v>45</v>
      </c>
      <c r="V617">
        <v>1146.47</v>
      </c>
      <c r="W617" t="s">
        <v>58</v>
      </c>
      <c r="X617" t="s">
        <v>40</v>
      </c>
      <c r="Y617">
        <v>11</v>
      </c>
      <c r="Z617" t="str">
        <f t="shared" si="128"/>
        <v>Bad Employee</v>
      </c>
      <c r="AA617" t="b">
        <f t="shared" si="129"/>
        <v>0</v>
      </c>
      <c r="AB617" t="b">
        <f>OR(Y617&gt;20, T617&gt;6)</f>
        <v>1</v>
      </c>
      <c r="AC617" t="str">
        <f>IF(OR(Y617&gt;20,T617&gt;6), "Good employee", "Bad Employee")</f>
        <v>Good employee</v>
      </c>
      <c r="AD617" t="s">
        <v>56</v>
      </c>
      <c r="AE617" t="s">
        <v>62</v>
      </c>
      <c r="AF617">
        <v>8</v>
      </c>
      <c r="AG617">
        <v>2012</v>
      </c>
      <c r="AH617" t="s">
        <v>30</v>
      </c>
      <c r="AI617">
        <v>33</v>
      </c>
      <c r="AJ617">
        <v>2.7</v>
      </c>
    </row>
    <row r="618" spans="1:36" x14ac:dyDescent="0.25">
      <c r="A618">
        <v>10617</v>
      </c>
      <c r="B618" t="s">
        <v>66</v>
      </c>
      <c r="C618" t="s">
        <v>65</v>
      </c>
      <c r="D618" t="s">
        <v>33</v>
      </c>
      <c r="E618" t="str">
        <f t="shared" si="117"/>
        <v>John Johnson is in Marketing Department</v>
      </c>
      <c r="F618" s="6" t="str">
        <f t="shared" si="118"/>
        <v>johnjohnson@gmail.com</v>
      </c>
      <c r="G618">
        <v>80870</v>
      </c>
      <c r="H618" t="str">
        <f t="shared" si="119"/>
        <v>High</v>
      </c>
      <c r="I618" s="3">
        <v>39890</v>
      </c>
      <c r="J618">
        <f t="shared" si="120"/>
        <v>2009</v>
      </c>
      <c r="K618">
        <f t="shared" si="121"/>
        <v>3</v>
      </c>
      <c r="L618">
        <f t="shared" si="122"/>
        <v>18</v>
      </c>
      <c r="M618" s="3">
        <f t="shared" ca="1" si="123"/>
        <v>46100</v>
      </c>
      <c r="N618">
        <f t="shared" ca="1" si="124"/>
        <v>6210</v>
      </c>
      <c r="O618">
        <f t="shared" ca="1" si="125"/>
        <v>6210</v>
      </c>
      <c r="P618">
        <f t="shared" ca="1" si="126"/>
        <v>4437</v>
      </c>
      <c r="Q618">
        <v>25</v>
      </c>
      <c r="R618" t="str">
        <f t="shared" si="127"/>
        <v>Young</v>
      </c>
      <c r="S618" t="s">
        <v>34</v>
      </c>
      <c r="T618">
        <v>6</v>
      </c>
      <c r="U618" t="s">
        <v>45</v>
      </c>
      <c r="V618">
        <v>2490.5300000000002</v>
      </c>
      <c r="W618" t="s">
        <v>26</v>
      </c>
      <c r="X618" t="s">
        <v>55</v>
      </c>
      <c r="Y618">
        <v>35</v>
      </c>
      <c r="Z618" t="str">
        <f t="shared" si="128"/>
        <v>Bad Employee</v>
      </c>
      <c r="AA618" t="b">
        <f t="shared" si="129"/>
        <v>0</v>
      </c>
      <c r="AB618" t="b">
        <f>OR(Y618&gt;20, T618&gt;6)</f>
        <v>1</v>
      </c>
      <c r="AC618" t="str">
        <f>IF(OR(Y618&gt;20,T618&gt;6), "Good employee", "Bad Employee")</f>
        <v>Good employee</v>
      </c>
      <c r="AD618" t="s">
        <v>41</v>
      </c>
      <c r="AE618" t="s">
        <v>59</v>
      </c>
      <c r="AF618">
        <v>4</v>
      </c>
      <c r="AG618">
        <v>2013</v>
      </c>
      <c r="AH618" t="s">
        <v>30</v>
      </c>
      <c r="AI618">
        <v>73</v>
      </c>
      <c r="AJ618">
        <v>2.5</v>
      </c>
    </row>
    <row r="619" spans="1:36" x14ac:dyDescent="0.25">
      <c r="A619">
        <v>10618</v>
      </c>
      <c r="B619" t="s">
        <v>53</v>
      </c>
      <c r="C619" t="s">
        <v>65</v>
      </c>
      <c r="D619" t="s">
        <v>54</v>
      </c>
      <c r="E619" t="str">
        <f t="shared" si="117"/>
        <v>Sarah Johnson is in Finance Department</v>
      </c>
      <c r="F619" s="6" t="str">
        <f t="shared" si="118"/>
        <v>sarahjohnson@gmail.com</v>
      </c>
      <c r="G619">
        <v>80460</v>
      </c>
      <c r="H619" t="str">
        <f t="shared" si="119"/>
        <v>High</v>
      </c>
      <c r="I619" s="3">
        <v>38283</v>
      </c>
      <c r="J619">
        <f t="shared" si="120"/>
        <v>2004</v>
      </c>
      <c r="K619">
        <f t="shared" si="121"/>
        <v>10</v>
      </c>
      <c r="L619">
        <f t="shared" si="122"/>
        <v>23</v>
      </c>
      <c r="M619" s="3">
        <f t="shared" ca="1" si="123"/>
        <v>46100</v>
      </c>
      <c r="N619">
        <f t="shared" ca="1" si="124"/>
        <v>7817</v>
      </c>
      <c r="O619">
        <f t="shared" ca="1" si="125"/>
        <v>7817</v>
      </c>
      <c r="P619">
        <f t="shared" ca="1" si="126"/>
        <v>5584</v>
      </c>
      <c r="Q619">
        <v>50</v>
      </c>
      <c r="R619" t="str">
        <f t="shared" si="127"/>
        <v>Old</v>
      </c>
      <c r="S619" t="s">
        <v>24</v>
      </c>
      <c r="T619">
        <v>8</v>
      </c>
      <c r="U619" t="s">
        <v>45</v>
      </c>
      <c r="V619">
        <v>576.69000000000005</v>
      </c>
      <c r="W619" t="s">
        <v>46</v>
      </c>
      <c r="X619" t="s">
        <v>55</v>
      </c>
      <c r="Y619">
        <v>20</v>
      </c>
      <c r="Z619" t="str">
        <f t="shared" si="128"/>
        <v>Bad Employee</v>
      </c>
      <c r="AA619" t="b">
        <f t="shared" si="129"/>
        <v>0</v>
      </c>
      <c r="AB619" t="b">
        <f>OR(Y619&gt;20, T619&gt;6)</f>
        <v>1</v>
      </c>
      <c r="AC619" t="str">
        <f>IF(OR(Y619&gt;20,T619&gt;6), "Good employee", "Bad Employee")</f>
        <v>Good employee</v>
      </c>
      <c r="AD619" t="s">
        <v>28</v>
      </c>
      <c r="AE619" t="s">
        <v>37</v>
      </c>
      <c r="AF619">
        <v>2</v>
      </c>
      <c r="AG619">
        <v>2019</v>
      </c>
      <c r="AH619" t="s">
        <v>49</v>
      </c>
      <c r="AI619">
        <v>15</v>
      </c>
      <c r="AJ619">
        <v>2.9</v>
      </c>
    </row>
    <row r="620" spans="1:36" x14ac:dyDescent="0.25">
      <c r="A620">
        <v>10619</v>
      </c>
      <c r="B620" t="s">
        <v>21</v>
      </c>
      <c r="C620" t="s">
        <v>57</v>
      </c>
      <c r="D620" t="s">
        <v>23</v>
      </c>
      <c r="E620" t="str">
        <f t="shared" si="117"/>
        <v>Michael Davis is in HR Department</v>
      </c>
      <c r="F620" s="6" t="str">
        <f t="shared" si="118"/>
        <v>michaeldavis@gmail.com</v>
      </c>
      <c r="G620">
        <v>112970</v>
      </c>
      <c r="H620" t="str">
        <f t="shared" si="119"/>
        <v>High</v>
      </c>
      <c r="I620" s="3">
        <v>42615</v>
      </c>
      <c r="J620">
        <f t="shared" si="120"/>
        <v>2016</v>
      </c>
      <c r="K620">
        <f t="shared" si="121"/>
        <v>9</v>
      </c>
      <c r="L620">
        <f t="shared" si="122"/>
        <v>2</v>
      </c>
      <c r="M620" s="3">
        <f t="shared" ca="1" si="123"/>
        <v>46100</v>
      </c>
      <c r="N620">
        <f t="shared" ca="1" si="124"/>
        <v>3485</v>
      </c>
      <c r="O620">
        <f t="shared" ca="1" si="125"/>
        <v>3485</v>
      </c>
      <c r="P620">
        <f t="shared" ca="1" si="126"/>
        <v>2490</v>
      </c>
      <c r="Q620">
        <v>28</v>
      </c>
      <c r="R620" t="str">
        <f t="shared" si="127"/>
        <v>Young</v>
      </c>
      <c r="S620" t="s">
        <v>34</v>
      </c>
      <c r="T620">
        <v>2</v>
      </c>
      <c r="U620" t="s">
        <v>45</v>
      </c>
      <c r="V620">
        <v>7878.79</v>
      </c>
      <c r="W620" t="s">
        <v>26</v>
      </c>
      <c r="X620" t="s">
        <v>47</v>
      </c>
      <c r="Y620">
        <v>12</v>
      </c>
      <c r="Z620" t="str">
        <f t="shared" si="128"/>
        <v>Bad Employee</v>
      </c>
      <c r="AA620" t="b">
        <f t="shared" si="129"/>
        <v>0</v>
      </c>
      <c r="AB620" t="b">
        <f>OR(Y620&gt;20, T620&gt;6)</f>
        <v>0</v>
      </c>
      <c r="AC620" t="str">
        <f>IF(OR(Y620&gt;20,T620&gt;6), "Good employee", "Bad Employee")</f>
        <v>Bad Employee</v>
      </c>
      <c r="AD620" t="s">
        <v>41</v>
      </c>
      <c r="AE620" t="s">
        <v>48</v>
      </c>
      <c r="AF620">
        <v>10</v>
      </c>
      <c r="AG620">
        <v>2010</v>
      </c>
      <c r="AH620" t="s">
        <v>30</v>
      </c>
      <c r="AI620">
        <v>134</v>
      </c>
      <c r="AJ620">
        <v>2.5</v>
      </c>
    </row>
    <row r="621" spans="1:36" x14ac:dyDescent="0.25">
      <c r="A621">
        <v>10620</v>
      </c>
      <c r="B621" t="s">
        <v>50</v>
      </c>
      <c r="C621" t="s">
        <v>51</v>
      </c>
      <c r="D621" t="s">
        <v>44</v>
      </c>
      <c r="E621" t="str">
        <f t="shared" si="117"/>
        <v>Alex Brown is in Sales Department</v>
      </c>
      <c r="F621" s="6" t="str">
        <f t="shared" si="118"/>
        <v>alexbrown@gmail.com</v>
      </c>
      <c r="G621">
        <v>90817</v>
      </c>
      <c r="H621" t="str">
        <f t="shared" si="119"/>
        <v>High</v>
      </c>
      <c r="I621" s="3">
        <v>40844</v>
      </c>
      <c r="J621">
        <f t="shared" si="120"/>
        <v>2011</v>
      </c>
      <c r="K621">
        <f t="shared" si="121"/>
        <v>10</v>
      </c>
      <c r="L621">
        <f t="shared" si="122"/>
        <v>28</v>
      </c>
      <c r="M621" s="3">
        <f t="shared" ca="1" si="123"/>
        <v>46100</v>
      </c>
      <c r="N621">
        <f t="shared" ca="1" si="124"/>
        <v>5256</v>
      </c>
      <c r="O621">
        <f t="shared" ca="1" si="125"/>
        <v>5256</v>
      </c>
      <c r="P621">
        <f t="shared" ca="1" si="126"/>
        <v>3755</v>
      </c>
      <c r="Q621">
        <v>34</v>
      </c>
      <c r="R621" t="str">
        <f t="shared" si="127"/>
        <v>Old</v>
      </c>
      <c r="S621" t="s">
        <v>34</v>
      </c>
      <c r="T621">
        <v>5</v>
      </c>
      <c r="U621" t="s">
        <v>25</v>
      </c>
      <c r="V621">
        <v>8248.19</v>
      </c>
      <c r="W621" t="s">
        <v>46</v>
      </c>
      <c r="X621" t="s">
        <v>40</v>
      </c>
      <c r="Y621">
        <v>28</v>
      </c>
      <c r="Z621" t="str">
        <f t="shared" si="128"/>
        <v>Bad Employee</v>
      </c>
      <c r="AA621" t="b">
        <f t="shared" si="129"/>
        <v>0</v>
      </c>
      <c r="AB621" t="b">
        <f>OR(Y621&gt;20, T621&gt;6)</f>
        <v>1</v>
      </c>
      <c r="AC621" t="str">
        <f>IF(OR(Y621&gt;20,T621&gt;6), "Good employee", "Bad Employee")</f>
        <v>Good employee</v>
      </c>
      <c r="AD621" t="s">
        <v>41</v>
      </c>
      <c r="AE621" t="s">
        <v>42</v>
      </c>
      <c r="AF621">
        <v>9</v>
      </c>
      <c r="AG621">
        <v>2010</v>
      </c>
      <c r="AH621" t="s">
        <v>49</v>
      </c>
      <c r="AI621">
        <v>142</v>
      </c>
      <c r="AJ621">
        <v>2.4</v>
      </c>
    </row>
    <row r="622" spans="1:36" x14ac:dyDescent="0.25">
      <c r="A622">
        <v>10621</v>
      </c>
      <c r="B622" t="s">
        <v>31</v>
      </c>
      <c r="C622" t="s">
        <v>51</v>
      </c>
      <c r="D622" t="s">
        <v>23</v>
      </c>
      <c r="E622" t="str">
        <f t="shared" si="117"/>
        <v>Emily Brown is in HR Department</v>
      </c>
      <c r="F622" s="6" t="str">
        <f t="shared" si="118"/>
        <v>emilybrown@gmail.com</v>
      </c>
      <c r="G622">
        <v>68247</v>
      </c>
      <c r="H622" t="str">
        <f t="shared" si="119"/>
        <v>Medium</v>
      </c>
      <c r="I622" s="3">
        <v>43462</v>
      </c>
      <c r="J622">
        <f t="shared" si="120"/>
        <v>2018</v>
      </c>
      <c r="K622">
        <f t="shared" si="121"/>
        <v>12</v>
      </c>
      <c r="L622">
        <f t="shared" si="122"/>
        <v>28</v>
      </c>
      <c r="M622" s="3">
        <f t="shared" ca="1" si="123"/>
        <v>46100</v>
      </c>
      <c r="N622">
        <f t="shared" ca="1" si="124"/>
        <v>2638</v>
      </c>
      <c r="O622">
        <f t="shared" ca="1" si="125"/>
        <v>2638</v>
      </c>
      <c r="P622">
        <f t="shared" ca="1" si="126"/>
        <v>1885</v>
      </c>
      <c r="Q622">
        <v>26</v>
      </c>
      <c r="R622" t="str">
        <f t="shared" si="127"/>
        <v>Young</v>
      </c>
      <c r="S622" t="s">
        <v>24</v>
      </c>
      <c r="T622">
        <v>4</v>
      </c>
      <c r="U622" t="s">
        <v>45</v>
      </c>
      <c r="V622">
        <v>9980.43</v>
      </c>
      <c r="W622" t="s">
        <v>35</v>
      </c>
      <c r="X622" t="s">
        <v>47</v>
      </c>
      <c r="Y622">
        <v>2</v>
      </c>
      <c r="Z622" t="str">
        <f t="shared" si="128"/>
        <v>Bad Employee</v>
      </c>
      <c r="AA622" t="b">
        <f t="shared" si="129"/>
        <v>0</v>
      </c>
      <c r="AB622" t="b">
        <f>OR(Y622&gt;20, T622&gt;6)</f>
        <v>0</v>
      </c>
      <c r="AC622" t="str">
        <f>IF(OR(Y622&gt;20,T622&gt;6), "Good employee", "Bad Employee")</f>
        <v>Bad Employee</v>
      </c>
      <c r="AD622" t="s">
        <v>41</v>
      </c>
      <c r="AE622" t="s">
        <v>29</v>
      </c>
      <c r="AF622">
        <v>15</v>
      </c>
      <c r="AG622">
        <v>2014</v>
      </c>
      <c r="AH622" t="s">
        <v>43</v>
      </c>
      <c r="AI622">
        <v>107</v>
      </c>
      <c r="AJ622">
        <v>5</v>
      </c>
    </row>
    <row r="623" spans="1:36" x14ac:dyDescent="0.25">
      <c r="A623">
        <v>10622</v>
      </c>
      <c r="B623" t="s">
        <v>60</v>
      </c>
      <c r="C623" t="s">
        <v>32</v>
      </c>
      <c r="D623" t="s">
        <v>52</v>
      </c>
      <c r="E623" t="str">
        <f t="shared" si="117"/>
        <v>Jane Wilson is in Operations Department</v>
      </c>
      <c r="F623" s="6" t="str">
        <f t="shared" si="118"/>
        <v>janewilson@gmail.com</v>
      </c>
      <c r="G623">
        <v>45419</v>
      </c>
      <c r="H623" t="str">
        <f t="shared" si="119"/>
        <v>low</v>
      </c>
      <c r="I623" s="3">
        <v>39306</v>
      </c>
      <c r="J623">
        <f t="shared" si="120"/>
        <v>2007</v>
      </c>
      <c r="K623">
        <f t="shared" si="121"/>
        <v>8</v>
      </c>
      <c r="L623">
        <f t="shared" si="122"/>
        <v>12</v>
      </c>
      <c r="M623" s="3">
        <f t="shared" ca="1" si="123"/>
        <v>46100</v>
      </c>
      <c r="N623">
        <f t="shared" ca="1" si="124"/>
        <v>6794</v>
      </c>
      <c r="O623">
        <f t="shared" ca="1" si="125"/>
        <v>6794</v>
      </c>
      <c r="P623">
        <f t="shared" ca="1" si="126"/>
        <v>4854</v>
      </c>
      <c r="Q623">
        <v>27</v>
      </c>
      <c r="R623" t="str">
        <f t="shared" si="127"/>
        <v>Young</v>
      </c>
      <c r="S623" t="s">
        <v>24</v>
      </c>
      <c r="T623">
        <v>8</v>
      </c>
      <c r="U623" t="s">
        <v>45</v>
      </c>
      <c r="V623">
        <v>4415.8500000000004</v>
      </c>
      <c r="W623" t="s">
        <v>58</v>
      </c>
      <c r="X623" t="s">
        <v>47</v>
      </c>
      <c r="Y623">
        <v>1</v>
      </c>
      <c r="Z623" t="str">
        <f t="shared" si="128"/>
        <v>Bad Employee</v>
      </c>
      <c r="AA623" t="b">
        <f t="shared" si="129"/>
        <v>0</v>
      </c>
      <c r="AB623" t="b">
        <f>OR(Y623&gt;20, T623&gt;6)</f>
        <v>1</v>
      </c>
      <c r="AC623" t="str">
        <f>IF(OR(Y623&gt;20,T623&gt;6), "Good employee", "Bad Employee")</f>
        <v>Good employee</v>
      </c>
      <c r="AD623" t="s">
        <v>41</v>
      </c>
      <c r="AE623" t="s">
        <v>62</v>
      </c>
      <c r="AF623">
        <v>19</v>
      </c>
      <c r="AG623">
        <v>2016</v>
      </c>
      <c r="AH623" t="s">
        <v>49</v>
      </c>
      <c r="AI623">
        <v>112</v>
      </c>
      <c r="AJ623">
        <v>2.2999999999999998</v>
      </c>
    </row>
    <row r="624" spans="1:36" x14ac:dyDescent="0.25">
      <c r="A624">
        <v>10623</v>
      </c>
      <c r="B624" t="s">
        <v>21</v>
      </c>
      <c r="C624" t="s">
        <v>65</v>
      </c>
      <c r="D624" t="s">
        <v>52</v>
      </c>
      <c r="E624" t="str">
        <f t="shared" si="117"/>
        <v>Michael Johnson is in Operations Department</v>
      </c>
      <c r="F624" s="6" t="str">
        <f t="shared" si="118"/>
        <v>michaeljohnson@gmail.com</v>
      </c>
      <c r="G624">
        <v>65577</v>
      </c>
      <c r="H624" t="str">
        <f t="shared" si="119"/>
        <v>Medium</v>
      </c>
      <c r="I624" s="3">
        <v>39813</v>
      </c>
      <c r="J624">
        <f t="shared" si="120"/>
        <v>2008</v>
      </c>
      <c r="K624">
        <f t="shared" si="121"/>
        <v>12</v>
      </c>
      <c r="L624">
        <f t="shared" si="122"/>
        <v>31</v>
      </c>
      <c r="M624" s="3">
        <f t="shared" ca="1" si="123"/>
        <v>46100</v>
      </c>
      <c r="N624">
        <f t="shared" ca="1" si="124"/>
        <v>6287</v>
      </c>
      <c r="O624">
        <f t="shared" ca="1" si="125"/>
        <v>6287</v>
      </c>
      <c r="P624">
        <f t="shared" ca="1" si="126"/>
        <v>4492</v>
      </c>
      <c r="Q624">
        <v>55</v>
      </c>
      <c r="R624" t="str">
        <f t="shared" si="127"/>
        <v>Old</v>
      </c>
      <c r="S624" t="s">
        <v>34</v>
      </c>
      <c r="T624">
        <v>1</v>
      </c>
      <c r="U624" t="s">
        <v>25</v>
      </c>
      <c r="V624">
        <v>683.33</v>
      </c>
      <c r="W624" t="s">
        <v>58</v>
      </c>
      <c r="X624" t="s">
        <v>36</v>
      </c>
      <c r="Y624">
        <v>9</v>
      </c>
      <c r="Z624" t="str">
        <f t="shared" si="128"/>
        <v>Bad Employee</v>
      </c>
      <c r="AA624" t="b">
        <f t="shared" si="129"/>
        <v>0</v>
      </c>
      <c r="AB624" t="b">
        <f>OR(Y624&gt;20, T624&gt;6)</f>
        <v>0</v>
      </c>
      <c r="AC624" t="str">
        <f>IF(OR(Y624&gt;20,T624&gt;6), "Good employee", "Bad Employee")</f>
        <v>Bad Employee</v>
      </c>
      <c r="AD624" t="s">
        <v>28</v>
      </c>
      <c r="AE624" t="s">
        <v>42</v>
      </c>
      <c r="AF624">
        <v>18</v>
      </c>
      <c r="AG624">
        <v>2018</v>
      </c>
      <c r="AH624" t="s">
        <v>49</v>
      </c>
      <c r="AI624">
        <v>123</v>
      </c>
      <c r="AJ624">
        <v>2</v>
      </c>
    </row>
    <row r="625" spans="1:36" x14ac:dyDescent="0.25">
      <c r="A625">
        <v>10624</v>
      </c>
      <c r="B625" t="s">
        <v>60</v>
      </c>
      <c r="C625" t="s">
        <v>22</v>
      </c>
      <c r="D625" t="s">
        <v>54</v>
      </c>
      <c r="E625" t="str">
        <f t="shared" si="117"/>
        <v>Jane Williams is in Finance Department</v>
      </c>
      <c r="F625" s="6" t="str">
        <f t="shared" si="118"/>
        <v>janewilliams@gmail.com</v>
      </c>
      <c r="G625">
        <v>32921</v>
      </c>
      <c r="H625" t="str">
        <f t="shared" si="119"/>
        <v>extremely low</v>
      </c>
      <c r="I625" s="3">
        <v>38978</v>
      </c>
      <c r="J625">
        <f t="shared" si="120"/>
        <v>2006</v>
      </c>
      <c r="K625">
        <f t="shared" si="121"/>
        <v>9</v>
      </c>
      <c r="L625">
        <f t="shared" si="122"/>
        <v>18</v>
      </c>
      <c r="M625" s="3">
        <f t="shared" ca="1" si="123"/>
        <v>46100</v>
      </c>
      <c r="N625">
        <f t="shared" ca="1" si="124"/>
        <v>7122</v>
      </c>
      <c r="O625">
        <f t="shared" ca="1" si="125"/>
        <v>7122</v>
      </c>
      <c r="P625">
        <f t="shared" ca="1" si="126"/>
        <v>5089</v>
      </c>
      <c r="Q625">
        <v>28</v>
      </c>
      <c r="R625" t="str">
        <f t="shared" si="127"/>
        <v>Young</v>
      </c>
      <c r="S625" t="s">
        <v>34</v>
      </c>
      <c r="T625">
        <v>3</v>
      </c>
      <c r="U625" t="s">
        <v>45</v>
      </c>
      <c r="V625">
        <v>2729.93</v>
      </c>
      <c r="W625" t="s">
        <v>26</v>
      </c>
      <c r="X625" t="s">
        <v>40</v>
      </c>
      <c r="Y625">
        <v>22</v>
      </c>
      <c r="Z625" t="str">
        <f t="shared" si="128"/>
        <v>Bad Employee</v>
      </c>
      <c r="AA625" t="b">
        <f t="shared" si="129"/>
        <v>0</v>
      </c>
      <c r="AB625" t="b">
        <f>OR(Y625&gt;20, T625&gt;6)</f>
        <v>1</v>
      </c>
      <c r="AC625" t="str">
        <f>IF(OR(Y625&gt;20,T625&gt;6), "Good employee", "Bad Employee")</f>
        <v>Good employee</v>
      </c>
      <c r="AD625" t="s">
        <v>28</v>
      </c>
      <c r="AE625" t="s">
        <v>62</v>
      </c>
      <c r="AF625">
        <v>0</v>
      </c>
      <c r="AG625">
        <v>2016</v>
      </c>
      <c r="AH625" t="s">
        <v>49</v>
      </c>
      <c r="AI625">
        <v>159</v>
      </c>
      <c r="AJ625">
        <v>2.4</v>
      </c>
    </row>
    <row r="626" spans="1:36" x14ac:dyDescent="0.25">
      <c r="A626">
        <v>10625</v>
      </c>
      <c r="B626" t="s">
        <v>38</v>
      </c>
      <c r="C626" t="s">
        <v>22</v>
      </c>
      <c r="D626" t="s">
        <v>44</v>
      </c>
      <c r="E626" t="str">
        <f t="shared" si="117"/>
        <v>Chris Williams is in Sales Department</v>
      </c>
      <c r="F626" s="6" t="str">
        <f t="shared" si="118"/>
        <v>chriswilliams@gmail.com</v>
      </c>
      <c r="G626">
        <v>34676</v>
      </c>
      <c r="H626" t="str">
        <f t="shared" si="119"/>
        <v>extremely low</v>
      </c>
      <c r="I626" s="3">
        <v>41814</v>
      </c>
      <c r="J626">
        <f t="shared" si="120"/>
        <v>2014</v>
      </c>
      <c r="K626">
        <f t="shared" si="121"/>
        <v>6</v>
      </c>
      <c r="L626">
        <f t="shared" si="122"/>
        <v>24</v>
      </c>
      <c r="M626" s="3">
        <f t="shared" ca="1" si="123"/>
        <v>46100</v>
      </c>
      <c r="N626">
        <f t="shared" ca="1" si="124"/>
        <v>4286</v>
      </c>
      <c r="O626">
        <f t="shared" ca="1" si="125"/>
        <v>4286</v>
      </c>
      <c r="P626">
        <f t="shared" ca="1" si="126"/>
        <v>3063</v>
      </c>
      <c r="Q626">
        <v>49</v>
      </c>
      <c r="R626" t="str">
        <f t="shared" si="127"/>
        <v>Old</v>
      </c>
      <c r="S626" t="s">
        <v>24</v>
      </c>
      <c r="T626">
        <v>8</v>
      </c>
      <c r="U626" t="s">
        <v>25</v>
      </c>
      <c r="V626">
        <v>6083.8</v>
      </c>
      <c r="W626" t="s">
        <v>35</v>
      </c>
      <c r="X626" t="s">
        <v>47</v>
      </c>
      <c r="Y626">
        <v>27</v>
      </c>
      <c r="Z626" t="str">
        <f t="shared" si="128"/>
        <v>Good Employee</v>
      </c>
      <c r="AA626" t="b">
        <f t="shared" si="129"/>
        <v>1</v>
      </c>
      <c r="AB626" t="b">
        <f>OR(Y626&gt;20, T626&gt;6)</f>
        <v>1</v>
      </c>
      <c r="AC626" t="str">
        <f>IF(OR(Y626&gt;20,T626&gt;6), "Good employee", "Bad Employee")</f>
        <v>Good employee</v>
      </c>
      <c r="AD626" t="s">
        <v>41</v>
      </c>
      <c r="AE626" t="s">
        <v>48</v>
      </c>
      <c r="AF626">
        <v>10</v>
      </c>
      <c r="AG626">
        <v>2020</v>
      </c>
      <c r="AH626" t="s">
        <v>30</v>
      </c>
      <c r="AI626">
        <v>91</v>
      </c>
      <c r="AJ626">
        <v>3.4</v>
      </c>
    </row>
    <row r="627" spans="1:36" x14ac:dyDescent="0.25">
      <c r="A627">
        <v>10626</v>
      </c>
      <c r="B627" t="s">
        <v>60</v>
      </c>
      <c r="C627" t="s">
        <v>61</v>
      </c>
      <c r="D627" t="s">
        <v>23</v>
      </c>
      <c r="E627" t="str">
        <f t="shared" si="117"/>
        <v>Jane Smith is in HR Department</v>
      </c>
      <c r="F627" s="6" t="str">
        <f t="shared" si="118"/>
        <v>janesmith@gmail.com</v>
      </c>
      <c r="G627">
        <v>115961</v>
      </c>
      <c r="H627" t="str">
        <f t="shared" si="119"/>
        <v>High</v>
      </c>
      <c r="I627" s="3">
        <v>36854</v>
      </c>
      <c r="J627">
        <f t="shared" si="120"/>
        <v>2000</v>
      </c>
      <c r="K627">
        <f t="shared" si="121"/>
        <v>11</v>
      </c>
      <c r="L627">
        <f t="shared" si="122"/>
        <v>24</v>
      </c>
      <c r="M627" s="3">
        <f t="shared" ca="1" si="123"/>
        <v>46100</v>
      </c>
      <c r="N627">
        <f t="shared" ca="1" si="124"/>
        <v>9246</v>
      </c>
      <c r="O627">
        <f t="shared" ca="1" si="125"/>
        <v>9246</v>
      </c>
      <c r="P627">
        <f t="shared" ca="1" si="126"/>
        <v>6605</v>
      </c>
      <c r="Q627">
        <v>31</v>
      </c>
      <c r="R627" t="str">
        <f t="shared" si="127"/>
        <v>Old</v>
      </c>
      <c r="S627" t="s">
        <v>24</v>
      </c>
      <c r="T627">
        <v>5</v>
      </c>
      <c r="U627" t="s">
        <v>45</v>
      </c>
      <c r="V627">
        <v>9638.4599999999991</v>
      </c>
      <c r="W627" t="s">
        <v>35</v>
      </c>
      <c r="X627" t="s">
        <v>27</v>
      </c>
      <c r="Y627">
        <v>9</v>
      </c>
      <c r="Z627" t="str">
        <f t="shared" si="128"/>
        <v>Bad Employee</v>
      </c>
      <c r="AA627" t="b">
        <f t="shared" si="129"/>
        <v>0</v>
      </c>
      <c r="AB627" t="b">
        <f>OR(Y627&gt;20, T627&gt;6)</f>
        <v>0</v>
      </c>
      <c r="AC627" t="str">
        <f>IF(OR(Y627&gt;20,T627&gt;6), "Good employee", "Bad Employee")</f>
        <v>Bad Employee</v>
      </c>
      <c r="AD627" t="s">
        <v>56</v>
      </c>
      <c r="AE627" t="s">
        <v>48</v>
      </c>
      <c r="AF627">
        <v>14</v>
      </c>
      <c r="AG627">
        <v>2014</v>
      </c>
      <c r="AH627" t="s">
        <v>49</v>
      </c>
      <c r="AI627">
        <v>116</v>
      </c>
      <c r="AJ627">
        <v>4.5999999999999996</v>
      </c>
    </row>
    <row r="628" spans="1:36" x14ac:dyDescent="0.25">
      <c r="A628">
        <v>10627</v>
      </c>
      <c r="B628" t="s">
        <v>38</v>
      </c>
      <c r="C628" t="s">
        <v>61</v>
      </c>
      <c r="D628" t="s">
        <v>44</v>
      </c>
      <c r="E628" t="str">
        <f t="shared" si="117"/>
        <v>Chris Smith is in Sales Department</v>
      </c>
      <c r="F628" s="6" t="str">
        <f t="shared" si="118"/>
        <v>chrissmith@gmail.com</v>
      </c>
      <c r="G628">
        <v>79684</v>
      </c>
      <c r="H628" t="str">
        <f t="shared" si="119"/>
        <v>Medium</v>
      </c>
      <c r="I628" s="3">
        <v>36951</v>
      </c>
      <c r="J628">
        <f t="shared" si="120"/>
        <v>2001</v>
      </c>
      <c r="K628">
        <f t="shared" si="121"/>
        <v>3</v>
      </c>
      <c r="L628">
        <f t="shared" si="122"/>
        <v>1</v>
      </c>
      <c r="M628" s="3">
        <f t="shared" ca="1" si="123"/>
        <v>46100</v>
      </c>
      <c r="N628">
        <f t="shared" ca="1" si="124"/>
        <v>9149</v>
      </c>
      <c r="O628">
        <f t="shared" ca="1" si="125"/>
        <v>9149</v>
      </c>
      <c r="P628">
        <f t="shared" ca="1" si="126"/>
        <v>6536</v>
      </c>
      <c r="Q628">
        <v>25</v>
      </c>
      <c r="R628" t="str">
        <f t="shared" si="127"/>
        <v>Young</v>
      </c>
      <c r="S628" t="s">
        <v>24</v>
      </c>
      <c r="T628">
        <v>4</v>
      </c>
      <c r="U628" t="s">
        <v>25</v>
      </c>
      <c r="V628">
        <v>1484</v>
      </c>
      <c r="W628" t="s">
        <v>35</v>
      </c>
      <c r="X628" t="s">
        <v>55</v>
      </c>
      <c r="Y628">
        <v>7</v>
      </c>
      <c r="Z628" t="str">
        <f t="shared" si="128"/>
        <v>Bad Employee</v>
      </c>
      <c r="AA628" t="b">
        <f t="shared" si="129"/>
        <v>0</v>
      </c>
      <c r="AB628" t="b">
        <f>OR(Y628&gt;20, T628&gt;6)</f>
        <v>0</v>
      </c>
      <c r="AC628" t="str">
        <f>IF(OR(Y628&gt;20,T628&gt;6), "Good employee", "Bad Employee")</f>
        <v>Bad Employee</v>
      </c>
      <c r="AD628" t="s">
        <v>56</v>
      </c>
      <c r="AE628" t="s">
        <v>59</v>
      </c>
      <c r="AF628">
        <v>6</v>
      </c>
      <c r="AG628">
        <v>2012</v>
      </c>
      <c r="AH628" t="s">
        <v>43</v>
      </c>
      <c r="AI628">
        <v>167</v>
      </c>
      <c r="AJ628">
        <v>4.2</v>
      </c>
    </row>
    <row r="629" spans="1:36" x14ac:dyDescent="0.25">
      <c r="A629">
        <v>10628</v>
      </c>
      <c r="B629" t="s">
        <v>64</v>
      </c>
      <c r="C629" t="s">
        <v>57</v>
      </c>
      <c r="D629" t="s">
        <v>54</v>
      </c>
      <c r="E629" t="str">
        <f t="shared" si="117"/>
        <v>Katie Davis is in Finance Department</v>
      </c>
      <c r="F629" s="6" t="str">
        <f t="shared" si="118"/>
        <v>katiedavis@gmail.com</v>
      </c>
      <c r="G629">
        <v>43463</v>
      </c>
      <c r="H629" t="str">
        <f t="shared" si="119"/>
        <v>low</v>
      </c>
      <c r="I629" s="3">
        <v>42199</v>
      </c>
      <c r="J629">
        <f t="shared" si="120"/>
        <v>2015</v>
      </c>
      <c r="K629">
        <f t="shared" si="121"/>
        <v>7</v>
      </c>
      <c r="L629">
        <f t="shared" si="122"/>
        <v>14</v>
      </c>
      <c r="M629" s="3">
        <f t="shared" ca="1" si="123"/>
        <v>46100</v>
      </c>
      <c r="N629">
        <f t="shared" ca="1" si="124"/>
        <v>3901</v>
      </c>
      <c r="O629">
        <f t="shared" ca="1" si="125"/>
        <v>3901</v>
      </c>
      <c r="P629">
        <f t="shared" ca="1" si="126"/>
        <v>2788</v>
      </c>
      <c r="Q629">
        <v>24</v>
      </c>
      <c r="R629" t="str">
        <f t="shared" si="127"/>
        <v>Young</v>
      </c>
      <c r="S629" t="s">
        <v>34</v>
      </c>
      <c r="T629">
        <v>6</v>
      </c>
      <c r="U629" t="s">
        <v>25</v>
      </c>
      <c r="V629">
        <v>1654.94</v>
      </c>
      <c r="W629" t="s">
        <v>35</v>
      </c>
      <c r="X629" t="s">
        <v>40</v>
      </c>
      <c r="Y629">
        <v>36</v>
      </c>
      <c r="Z629" t="str">
        <f t="shared" si="128"/>
        <v>Bad Employee</v>
      </c>
      <c r="AA629" t="b">
        <f t="shared" si="129"/>
        <v>0</v>
      </c>
      <c r="AB629" t="b">
        <f>OR(Y629&gt;20, T629&gt;6)</f>
        <v>1</v>
      </c>
      <c r="AC629" t="str">
        <f>IF(OR(Y629&gt;20,T629&gt;6), "Good employee", "Bad Employee")</f>
        <v>Good employee</v>
      </c>
      <c r="AD629" t="s">
        <v>56</v>
      </c>
      <c r="AE629" t="s">
        <v>59</v>
      </c>
      <c r="AF629">
        <v>7</v>
      </c>
      <c r="AG629">
        <v>2017</v>
      </c>
      <c r="AH629" t="s">
        <v>43</v>
      </c>
      <c r="AI629">
        <v>182</v>
      </c>
      <c r="AJ629">
        <v>4.4000000000000004</v>
      </c>
    </row>
    <row r="630" spans="1:36" x14ac:dyDescent="0.25">
      <c r="A630">
        <v>10629</v>
      </c>
      <c r="B630" t="s">
        <v>21</v>
      </c>
      <c r="C630" t="s">
        <v>65</v>
      </c>
      <c r="D630" t="s">
        <v>52</v>
      </c>
      <c r="E630" t="str">
        <f t="shared" si="117"/>
        <v>Michael Johnson is in Operations Department</v>
      </c>
      <c r="F630" s="6" t="str">
        <f t="shared" si="118"/>
        <v>michaeljohnson@gmail.com</v>
      </c>
      <c r="G630">
        <v>55474</v>
      </c>
      <c r="H630" t="str">
        <f t="shared" si="119"/>
        <v>Medium</v>
      </c>
      <c r="I630" s="3">
        <v>37295</v>
      </c>
      <c r="J630">
        <f t="shared" si="120"/>
        <v>2002</v>
      </c>
      <c r="K630">
        <f t="shared" si="121"/>
        <v>2</v>
      </c>
      <c r="L630">
        <f t="shared" si="122"/>
        <v>8</v>
      </c>
      <c r="M630" s="3">
        <f t="shared" ca="1" si="123"/>
        <v>46100</v>
      </c>
      <c r="N630">
        <f t="shared" ca="1" si="124"/>
        <v>8805</v>
      </c>
      <c r="O630">
        <f t="shared" ca="1" si="125"/>
        <v>8805</v>
      </c>
      <c r="P630">
        <f t="shared" ca="1" si="126"/>
        <v>6290</v>
      </c>
      <c r="Q630">
        <v>46</v>
      </c>
      <c r="R630" t="str">
        <f t="shared" si="127"/>
        <v>Old</v>
      </c>
      <c r="S630" t="s">
        <v>24</v>
      </c>
      <c r="T630">
        <v>5</v>
      </c>
      <c r="U630" t="s">
        <v>25</v>
      </c>
      <c r="V630">
        <v>7166.71</v>
      </c>
      <c r="W630" t="s">
        <v>58</v>
      </c>
      <c r="X630" t="s">
        <v>36</v>
      </c>
      <c r="Y630">
        <v>38</v>
      </c>
      <c r="Z630" t="str">
        <f t="shared" si="128"/>
        <v>Bad Employee</v>
      </c>
      <c r="AA630" t="b">
        <f t="shared" si="129"/>
        <v>0</v>
      </c>
      <c r="AB630" t="b">
        <f>OR(Y630&gt;20, T630&gt;6)</f>
        <v>1</v>
      </c>
      <c r="AC630" t="str">
        <f>IF(OR(Y630&gt;20,T630&gt;6), "Good employee", "Bad Employee")</f>
        <v>Good employee</v>
      </c>
      <c r="AD630" t="s">
        <v>56</v>
      </c>
      <c r="AE630" t="s">
        <v>62</v>
      </c>
      <c r="AF630">
        <v>15</v>
      </c>
      <c r="AG630">
        <v>2021</v>
      </c>
      <c r="AH630" t="s">
        <v>43</v>
      </c>
      <c r="AI630">
        <v>78</v>
      </c>
      <c r="AJ630">
        <v>4.4000000000000004</v>
      </c>
    </row>
    <row r="631" spans="1:36" x14ac:dyDescent="0.25">
      <c r="A631">
        <v>10630</v>
      </c>
      <c r="B631" t="s">
        <v>21</v>
      </c>
      <c r="C631" t="s">
        <v>61</v>
      </c>
      <c r="D631" t="s">
        <v>52</v>
      </c>
      <c r="E631" t="str">
        <f t="shared" si="117"/>
        <v>Michael Smith is in Operations Department</v>
      </c>
      <c r="F631" s="6" t="str">
        <f t="shared" si="118"/>
        <v>michaelsmith@gmail.com</v>
      </c>
      <c r="G631">
        <v>70935</v>
      </c>
      <c r="H631" t="str">
        <f t="shared" si="119"/>
        <v>Medium</v>
      </c>
      <c r="I631" s="3">
        <v>41841</v>
      </c>
      <c r="J631">
        <f t="shared" si="120"/>
        <v>2014</v>
      </c>
      <c r="K631">
        <f t="shared" si="121"/>
        <v>7</v>
      </c>
      <c r="L631">
        <f t="shared" si="122"/>
        <v>21</v>
      </c>
      <c r="M631" s="3">
        <f t="shared" ca="1" si="123"/>
        <v>46100</v>
      </c>
      <c r="N631">
        <f t="shared" ca="1" si="124"/>
        <v>4259</v>
      </c>
      <c r="O631">
        <f t="shared" ca="1" si="125"/>
        <v>4259</v>
      </c>
      <c r="P631">
        <f t="shared" ca="1" si="126"/>
        <v>3044</v>
      </c>
      <c r="Q631">
        <v>44</v>
      </c>
      <c r="R631" t="str">
        <f t="shared" si="127"/>
        <v>Old</v>
      </c>
      <c r="S631" t="s">
        <v>34</v>
      </c>
      <c r="T631">
        <v>3</v>
      </c>
      <c r="U631" t="s">
        <v>45</v>
      </c>
      <c r="V631">
        <v>6838.47</v>
      </c>
      <c r="W631" t="s">
        <v>26</v>
      </c>
      <c r="X631" t="s">
        <v>47</v>
      </c>
      <c r="Y631">
        <v>2</v>
      </c>
      <c r="Z631" t="str">
        <f t="shared" si="128"/>
        <v>Bad Employee</v>
      </c>
      <c r="AA631" t="b">
        <f t="shared" si="129"/>
        <v>0</v>
      </c>
      <c r="AB631" t="b">
        <f>OR(Y631&gt;20, T631&gt;6)</f>
        <v>0</v>
      </c>
      <c r="AC631" t="str">
        <f>IF(OR(Y631&gt;20,T631&gt;6), "Good employee", "Bad Employee")</f>
        <v>Bad Employee</v>
      </c>
      <c r="AD631" t="s">
        <v>56</v>
      </c>
      <c r="AE631" t="s">
        <v>62</v>
      </c>
      <c r="AF631">
        <v>17</v>
      </c>
      <c r="AG631">
        <v>2016</v>
      </c>
      <c r="AH631" t="s">
        <v>43</v>
      </c>
      <c r="AI631">
        <v>6</v>
      </c>
      <c r="AJ631">
        <v>4.7</v>
      </c>
    </row>
    <row r="632" spans="1:36" x14ac:dyDescent="0.25">
      <c r="A632">
        <v>10631</v>
      </c>
      <c r="B632" t="s">
        <v>66</v>
      </c>
      <c r="C632" t="s">
        <v>61</v>
      </c>
      <c r="D632" t="s">
        <v>33</v>
      </c>
      <c r="E632" t="str">
        <f t="shared" si="117"/>
        <v>John Smith is in Marketing Department</v>
      </c>
      <c r="F632" s="6" t="str">
        <f t="shared" si="118"/>
        <v>johnsmith@gmail.com</v>
      </c>
      <c r="G632">
        <v>97005</v>
      </c>
      <c r="H632" t="str">
        <f t="shared" si="119"/>
        <v>High</v>
      </c>
      <c r="I632" s="3">
        <v>40501</v>
      </c>
      <c r="J632">
        <f t="shared" si="120"/>
        <v>2010</v>
      </c>
      <c r="K632">
        <f t="shared" si="121"/>
        <v>11</v>
      </c>
      <c r="L632">
        <f t="shared" si="122"/>
        <v>19</v>
      </c>
      <c r="M632" s="3">
        <f t="shared" ca="1" si="123"/>
        <v>46100</v>
      </c>
      <c r="N632">
        <f t="shared" ca="1" si="124"/>
        <v>5599</v>
      </c>
      <c r="O632">
        <f t="shared" ca="1" si="125"/>
        <v>5599</v>
      </c>
      <c r="P632">
        <f t="shared" ca="1" si="126"/>
        <v>4000</v>
      </c>
      <c r="Q632">
        <v>48</v>
      </c>
      <c r="R632" t="str">
        <f t="shared" si="127"/>
        <v>Old</v>
      </c>
      <c r="S632" t="s">
        <v>34</v>
      </c>
      <c r="T632">
        <v>5</v>
      </c>
      <c r="U632" t="s">
        <v>45</v>
      </c>
      <c r="V632">
        <v>2879.81</v>
      </c>
      <c r="W632" t="s">
        <v>26</v>
      </c>
      <c r="X632" t="s">
        <v>27</v>
      </c>
      <c r="Y632">
        <v>5</v>
      </c>
      <c r="Z632" t="str">
        <f t="shared" si="128"/>
        <v>Bad Employee</v>
      </c>
      <c r="AA632" t="b">
        <f t="shared" si="129"/>
        <v>0</v>
      </c>
      <c r="AB632" t="b">
        <f>OR(Y632&gt;20, T632&gt;6)</f>
        <v>0</v>
      </c>
      <c r="AC632" t="str">
        <f>IF(OR(Y632&gt;20,T632&gt;6), "Good employee", "Bad Employee")</f>
        <v>Bad Employee</v>
      </c>
      <c r="AD632" t="s">
        <v>28</v>
      </c>
      <c r="AE632" t="s">
        <v>42</v>
      </c>
      <c r="AF632">
        <v>10</v>
      </c>
      <c r="AG632">
        <v>2013</v>
      </c>
      <c r="AH632" t="s">
        <v>43</v>
      </c>
      <c r="AI632">
        <v>21</v>
      </c>
      <c r="AJ632">
        <v>1.9</v>
      </c>
    </row>
    <row r="633" spans="1:36" x14ac:dyDescent="0.25">
      <c r="A633">
        <v>10632</v>
      </c>
      <c r="B633" t="s">
        <v>31</v>
      </c>
      <c r="C633" t="s">
        <v>63</v>
      </c>
      <c r="D633" t="s">
        <v>54</v>
      </c>
      <c r="E633" t="str">
        <f t="shared" si="117"/>
        <v>Emily Miller is in Finance Department</v>
      </c>
      <c r="F633" s="6" t="str">
        <f t="shared" si="118"/>
        <v>emilymiller@gmail.com</v>
      </c>
      <c r="G633">
        <v>88596</v>
      </c>
      <c r="H633" t="str">
        <f t="shared" si="119"/>
        <v>High</v>
      </c>
      <c r="I633" s="3">
        <v>37133</v>
      </c>
      <c r="J633">
        <f t="shared" si="120"/>
        <v>2001</v>
      </c>
      <c r="K633">
        <f t="shared" si="121"/>
        <v>8</v>
      </c>
      <c r="L633">
        <f t="shared" si="122"/>
        <v>30</v>
      </c>
      <c r="M633" s="3">
        <f t="shared" ca="1" si="123"/>
        <v>46100</v>
      </c>
      <c r="N633">
        <f t="shared" ca="1" si="124"/>
        <v>8967</v>
      </c>
      <c r="O633">
        <f t="shared" ca="1" si="125"/>
        <v>8967</v>
      </c>
      <c r="P633">
        <f t="shared" ca="1" si="126"/>
        <v>6406</v>
      </c>
      <c r="Q633">
        <v>35</v>
      </c>
      <c r="R633" t="str">
        <f t="shared" si="127"/>
        <v>Old</v>
      </c>
      <c r="S633" t="s">
        <v>34</v>
      </c>
      <c r="T633">
        <v>4</v>
      </c>
      <c r="U633" t="s">
        <v>25</v>
      </c>
      <c r="V633">
        <v>8224.8799999999992</v>
      </c>
      <c r="W633" t="s">
        <v>46</v>
      </c>
      <c r="X633" t="s">
        <v>55</v>
      </c>
      <c r="Y633">
        <v>17</v>
      </c>
      <c r="Z633" t="str">
        <f t="shared" si="128"/>
        <v>Bad Employee</v>
      </c>
      <c r="AA633" t="b">
        <f t="shared" si="129"/>
        <v>0</v>
      </c>
      <c r="AB633" t="b">
        <f>OR(Y633&gt;20, T633&gt;6)</f>
        <v>0</v>
      </c>
      <c r="AC633" t="str">
        <f>IF(OR(Y633&gt;20,T633&gt;6), "Good employee", "Bad Employee")</f>
        <v>Bad Employee</v>
      </c>
      <c r="AD633" t="s">
        <v>56</v>
      </c>
      <c r="AE633" t="s">
        <v>59</v>
      </c>
      <c r="AF633">
        <v>0</v>
      </c>
      <c r="AG633">
        <v>2010</v>
      </c>
      <c r="AH633" t="s">
        <v>43</v>
      </c>
      <c r="AI633">
        <v>99</v>
      </c>
      <c r="AJ633">
        <v>2.8</v>
      </c>
    </row>
    <row r="634" spans="1:36" x14ac:dyDescent="0.25">
      <c r="A634">
        <v>10633</v>
      </c>
      <c r="B634" t="s">
        <v>38</v>
      </c>
      <c r="C634" t="s">
        <v>65</v>
      </c>
      <c r="D634" t="s">
        <v>54</v>
      </c>
      <c r="E634" t="str">
        <f t="shared" si="117"/>
        <v>Chris Johnson is in Finance Department</v>
      </c>
      <c r="F634" s="6" t="str">
        <f t="shared" si="118"/>
        <v>chrisjohnson@gmail.com</v>
      </c>
      <c r="G634">
        <v>102828</v>
      </c>
      <c r="H634" t="str">
        <f t="shared" si="119"/>
        <v>High</v>
      </c>
      <c r="I634" s="3">
        <v>38378</v>
      </c>
      <c r="J634">
        <f t="shared" si="120"/>
        <v>2005</v>
      </c>
      <c r="K634">
        <f t="shared" si="121"/>
        <v>1</v>
      </c>
      <c r="L634">
        <f t="shared" si="122"/>
        <v>26</v>
      </c>
      <c r="M634" s="3">
        <f t="shared" ca="1" si="123"/>
        <v>46100</v>
      </c>
      <c r="N634">
        <f t="shared" ca="1" si="124"/>
        <v>7722</v>
      </c>
      <c r="O634">
        <f t="shared" ca="1" si="125"/>
        <v>7722</v>
      </c>
      <c r="P634">
        <f t="shared" ca="1" si="126"/>
        <v>5517</v>
      </c>
      <c r="Q634">
        <v>59</v>
      </c>
      <c r="R634" t="str">
        <f t="shared" si="127"/>
        <v>Old</v>
      </c>
      <c r="S634" t="s">
        <v>24</v>
      </c>
      <c r="T634">
        <v>1</v>
      </c>
      <c r="U634" t="s">
        <v>25</v>
      </c>
      <c r="V634">
        <v>1723.4</v>
      </c>
      <c r="W634" t="s">
        <v>58</v>
      </c>
      <c r="X634" t="s">
        <v>55</v>
      </c>
      <c r="Y634">
        <v>37</v>
      </c>
      <c r="Z634" t="str">
        <f t="shared" si="128"/>
        <v>Bad Employee</v>
      </c>
      <c r="AA634" t="b">
        <f t="shared" si="129"/>
        <v>0</v>
      </c>
      <c r="AB634" t="b">
        <f>OR(Y634&gt;20, T634&gt;6)</f>
        <v>1</v>
      </c>
      <c r="AC634" t="str">
        <f>IF(OR(Y634&gt;20,T634&gt;6), "Good employee", "Bad Employee")</f>
        <v>Good employee</v>
      </c>
      <c r="AD634" t="s">
        <v>28</v>
      </c>
      <c r="AE634" t="s">
        <v>48</v>
      </c>
      <c r="AF634">
        <v>15</v>
      </c>
      <c r="AG634">
        <v>2022</v>
      </c>
      <c r="AH634" t="s">
        <v>49</v>
      </c>
      <c r="AI634">
        <v>84</v>
      </c>
      <c r="AJ634">
        <v>2.5</v>
      </c>
    </row>
    <row r="635" spans="1:36" x14ac:dyDescent="0.25">
      <c r="A635">
        <v>10634</v>
      </c>
      <c r="B635" t="s">
        <v>66</v>
      </c>
      <c r="C635" t="s">
        <v>57</v>
      </c>
      <c r="D635" t="s">
        <v>23</v>
      </c>
      <c r="E635" t="str">
        <f t="shared" si="117"/>
        <v>John Davis is in HR Department</v>
      </c>
      <c r="F635" s="6" t="str">
        <f t="shared" si="118"/>
        <v>johndavis@gmail.com</v>
      </c>
      <c r="G635">
        <v>119062</v>
      </c>
      <c r="H635" t="str">
        <f t="shared" si="119"/>
        <v>High</v>
      </c>
      <c r="I635" s="3">
        <v>43195</v>
      </c>
      <c r="J635">
        <f t="shared" si="120"/>
        <v>2018</v>
      </c>
      <c r="K635">
        <f t="shared" si="121"/>
        <v>4</v>
      </c>
      <c r="L635">
        <f t="shared" si="122"/>
        <v>5</v>
      </c>
      <c r="M635" s="3">
        <f t="shared" ca="1" si="123"/>
        <v>46100</v>
      </c>
      <c r="N635">
        <f t="shared" ca="1" si="124"/>
        <v>2905</v>
      </c>
      <c r="O635">
        <f t="shared" ca="1" si="125"/>
        <v>2905</v>
      </c>
      <c r="P635">
        <f t="shared" ca="1" si="126"/>
        <v>2076</v>
      </c>
      <c r="Q635">
        <v>53</v>
      </c>
      <c r="R635" t="str">
        <f t="shared" si="127"/>
        <v>Old</v>
      </c>
      <c r="S635" t="s">
        <v>24</v>
      </c>
      <c r="T635">
        <v>1</v>
      </c>
      <c r="U635" t="s">
        <v>25</v>
      </c>
      <c r="V635">
        <v>9294.5499999999993</v>
      </c>
      <c r="W635" t="s">
        <v>46</v>
      </c>
      <c r="X635" t="s">
        <v>27</v>
      </c>
      <c r="Y635">
        <v>35</v>
      </c>
      <c r="Z635" t="str">
        <f t="shared" si="128"/>
        <v>Bad Employee</v>
      </c>
      <c r="AA635" t="b">
        <f t="shared" si="129"/>
        <v>0</v>
      </c>
      <c r="AB635" t="b">
        <f>OR(Y635&gt;20, T635&gt;6)</f>
        <v>1</v>
      </c>
      <c r="AC635" t="str">
        <f>IF(OR(Y635&gt;20,T635&gt;6), "Good employee", "Bad Employee")</f>
        <v>Good employee</v>
      </c>
      <c r="AD635" t="s">
        <v>56</v>
      </c>
      <c r="AE635" t="s">
        <v>37</v>
      </c>
      <c r="AF635">
        <v>3</v>
      </c>
      <c r="AG635">
        <v>2012</v>
      </c>
      <c r="AH635" t="s">
        <v>30</v>
      </c>
      <c r="AI635">
        <v>28</v>
      </c>
      <c r="AJ635">
        <v>2.5</v>
      </c>
    </row>
    <row r="636" spans="1:36" x14ac:dyDescent="0.25">
      <c r="A636">
        <v>10635</v>
      </c>
      <c r="B636" t="s">
        <v>60</v>
      </c>
      <c r="C636" t="s">
        <v>61</v>
      </c>
      <c r="D636" t="s">
        <v>23</v>
      </c>
      <c r="E636" t="str">
        <f t="shared" si="117"/>
        <v>Jane Smith is in HR Department</v>
      </c>
      <c r="F636" s="6" t="str">
        <f t="shared" si="118"/>
        <v>janesmith@gmail.com</v>
      </c>
      <c r="G636">
        <v>85152</v>
      </c>
      <c r="H636" t="str">
        <f t="shared" si="119"/>
        <v>High</v>
      </c>
      <c r="I636" s="3">
        <v>39198</v>
      </c>
      <c r="J636">
        <f t="shared" si="120"/>
        <v>2007</v>
      </c>
      <c r="K636">
        <f t="shared" si="121"/>
        <v>4</v>
      </c>
      <c r="L636">
        <f t="shared" si="122"/>
        <v>26</v>
      </c>
      <c r="M636" s="3">
        <f t="shared" ca="1" si="123"/>
        <v>46100</v>
      </c>
      <c r="N636">
        <f t="shared" ca="1" si="124"/>
        <v>6902</v>
      </c>
      <c r="O636">
        <f t="shared" ca="1" si="125"/>
        <v>6902</v>
      </c>
      <c r="P636">
        <f t="shared" ca="1" si="126"/>
        <v>4931</v>
      </c>
      <c r="Q636">
        <v>44</v>
      </c>
      <c r="R636" t="str">
        <f t="shared" si="127"/>
        <v>Old</v>
      </c>
      <c r="S636" t="s">
        <v>24</v>
      </c>
      <c r="T636">
        <v>7</v>
      </c>
      <c r="U636" t="s">
        <v>25</v>
      </c>
      <c r="V636">
        <v>2409.8000000000002</v>
      </c>
      <c r="W636" t="s">
        <v>35</v>
      </c>
      <c r="X636" t="s">
        <v>40</v>
      </c>
      <c r="Y636">
        <v>8</v>
      </c>
      <c r="Z636" t="str">
        <f t="shared" si="128"/>
        <v>Bad Employee</v>
      </c>
      <c r="AA636" t="b">
        <f t="shared" si="129"/>
        <v>0</v>
      </c>
      <c r="AB636" t="b">
        <f>OR(Y636&gt;20, T636&gt;6)</f>
        <v>1</v>
      </c>
      <c r="AC636" t="str">
        <f>IF(OR(Y636&gt;20,T636&gt;6), "Good employee", "Bad Employee")</f>
        <v>Good employee</v>
      </c>
      <c r="AD636" t="s">
        <v>56</v>
      </c>
      <c r="AE636" t="s">
        <v>42</v>
      </c>
      <c r="AF636">
        <v>5</v>
      </c>
      <c r="AG636">
        <v>2020</v>
      </c>
      <c r="AH636" t="s">
        <v>30</v>
      </c>
      <c r="AI636">
        <v>61</v>
      </c>
      <c r="AJ636">
        <v>3.6</v>
      </c>
    </row>
    <row r="637" spans="1:36" x14ac:dyDescent="0.25">
      <c r="A637">
        <v>10636</v>
      </c>
      <c r="B637" t="s">
        <v>60</v>
      </c>
      <c r="C637" t="s">
        <v>57</v>
      </c>
      <c r="D637" t="s">
        <v>33</v>
      </c>
      <c r="E637" t="str">
        <f t="shared" si="117"/>
        <v>Jane Davis is in Marketing Department</v>
      </c>
      <c r="F637" s="6" t="str">
        <f t="shared" si="118"/>
        <v>janedavis@gmail.com</v>
      </c>
      <c r="G637">
        <v>119001</v>
      </c>
      <c r="H637" t="str">
        <f t="shared" si="119"/>
        <v>High</v>
      </c>
      <c r="I637" s="3">
        <v>38650</v>
      </c>
      <c r="J637">
        <f t="shared" si="120"/>
        <v>2005</v>
      </c>
      <c r="K637">
        <f t="shared" si="121"/>
        <v>10</v>
      </c>
      <c r="L637">
        <f t="shared" si="122"/>
        <v>25</v>
      </c>
      <c r="M637" s="3">
        <f t="shared" ca="1" si="123"/>
        <v>46100</v>
      </c>
      <c r="N637">
        <f t="shared" ca="1" si="124"/>
        <v>7450</v>
      </c>
      <c r="O637">
        <f t="shared" ca="1" si="125"/>
        <v>7450</v>
      </c>
      <c r="P637">
        <f t="shared" ca="1" si="126"/>
        <v>5323</v>
      </c>
      <c r="Q637">
        <v>61</v>
      </c>
      <c r="R637" t="str">
        <f t="shared" si="127"/>
        <v>Old</v>
      </c>
      <c r="S637" t="s">
        <v>34</v>
      </c>
      <c r="T637">
        <v>4</v>
      </c>
      <c r="U637" t="s">
        <v>25</v>
      </c>
      <c r="V637">
        <v>1272.8499999999999</v>
      </c>
      <c r="W637" t="s">
        <v>26</v>
      </c>
      <c r="X637" t="s">
        <v>55</v>
      </c>
      <c r="Y637">
        <v>3</v>
      </c>
      <c r="Z637" t="str">
        <f t="shared" si="128"/>
        <v>Bad Employee</v>
      </c>
      <c r="AA637" t="b">
        <f t="shared" si="129"/>
        <v>0</v>
      </c>
      <c r="AB637" t="b">
        <f>OR(Y637&gt;20, T637&gt;6)</f>
        <v>0</v>
      </c>
      <c r="AC637" t="str">
        <f>IF(OR(Y637&gt;20,T637&gt;6), "Good employee", "Bad Employee")</f>
        <v>Bad Employee</v>
      </c>
      <c r="AD637" t="s">
        <v>41</v>
      </c>
      <c r="AE637" t="s">
        <v>42</v>
      </c>
      <c r="AF637">
        <v>10</v>
      </c>
      <c r="AG637">
        <v>2017</v>
      </c>
      <c r="AH637" t="s">
        <v>43</v>
      </c>
      <c r="AI637">
        <v>75</v>
      </c>
      <c r="AJ637">
        <v>2.6</v>
      </c>
    </row>
    <row r="638" spans="1:36" x14ac:dyDescent="0.25">
      <c r="A638">
        <v>10637</v>
      </c>
      <c r="B638" t="s">
        <v>66</v>
      </c>
      <c r="C638" t="s">
        <v>51</v>
      </c>
      <c r="D638" t="s">
        <v>39</v>
      </c>
      <c r="E638" t="str">
        <f t="shared" si="117"/>
        <v>John Brown is in IT Department</v>
      </c>
      <c r="F638" s="6" t="str">
        <f t="shared" si="118"/>
        <v>johnbrown@gmail.com</v>
      </c>
      <c r="G638">
        <v>116569</v>
      </c>
      <c r="H638" t="str">
        <f t="shared" si="119"/>
        <v>High</v>
      </c>
      <c r="I638" s="3">
        <v>42668</v>
      </c>
      <c r="J638">
        <f t="shared" si="120"/>
        <v>2016</v>
      </c>
      <c r="K638">
        <f t="shared" si="121"/>
        <v>10</v>
      </c>
      <c r="L638">
        <f t="shared" si="122"/>
        <v>25</v>
      </c>
      <c r="M638" s="3">
        <f t="shared" ca="1" si="123"/>
        <v>46100</v>
      </c>
      <c r="N638">
        <f t="shared" ca="1" si="124"/>
        <v>3432</v>
      </c>
      <c r="O638">
        <f t="shared" ca="1" si="125"/>
        <v>3432</v>
      </c>
      <c r="P638">
        <f t="shared" ca="1" si="126"/>
        <v>2453</v>
      </c>
      <c r="Q638">
        <v>58</v>
      </c>
      <c r="R638" t="str">
        <f t="shared" si="127"/>
        <v>Old</v>
      </c>
      <c r="S638" t="s">
        <v>34</v>
      </c>
      <c r="T638">
        <v>1</v>
      </c>
      <c r="U638" t="s">
        <v>25</v>
      </c>
      <c r="V638">
        <v>3725.46</v>
      </c>
      <c r="W638" t="s">
        <v>46</v>
      </c>
      <c r="X638" t="s">
        <v>55</v>
      </c>
      <c r="Y638">
        <v>3</v>
      </c>
      <c r="Z638" t="str">
        <f t="shared" si="128"/>
        <v>Bad Employee</v>
      </c>
      <c r="AA638" t="b">
        <f t="shared" si="129"/>
        <v>0</v>
      </c>
      <c r="AB638" t="b">
        <f>OR(Y638&gt;20, T638&gt;6)</f>
        <v>0</v>
      </c>
      <c r="AC638" t="str">
        <f>IF(OR(Y638&gt;20,T638&gt;6), "Good employee", "Bad Employee")</f>
        <v>Bad Employee</v>
      </c>
      <c r="AD638" t="s">
        <v>41</v>
      </c>
      <c r="AE638" t="s">
        <v>29</v>
      </c>
      <c r="AF638">
        <v>5</v>
      </c>
      <c r="AG638">
        <v>2011</v>
      </c>
      <c r="AH638" t="s">
        <v>49</v>
      </c>
      <c r="AI638">
        <v>87</v>
      </c>
      <c r="AJ638">
        <v>3.5</v>
      </c>
    </row>
    <row r="639" spans="1:36" x14ac:dyDescent="0.25">
      <c r="A639">
        <v>10638</v>
      </c>
      <c r="B639" t="s">
        <v>21</v>
      </c>
      <c r="C639" t="s">
        <v>57</v>
      </c>
      <c r="D639" t="s">
        <v>44</v>
      </c>
      <c r="E639" t="str">
        <f t="shared" si="117"/>
        <v>Michael Davis is in Sales Department</v>
      </c>
      <c r="F639" s="6" t="str">
        <f t="shared" si="118"/>
        <v>michaeldavis@gmail.com</v>
      </c>
      <c r="G639">
        <v>102467</v>
      </c>
      <c r="H639" t="str">
        <f t="shared" si="119"/>
        <v>High</v>
      </c>
      <c r="I639" s="3">
        <v>37826</v>
      </c>
      <c r="J639">
        <f t="shared" si="120"/>
        <v>2003</v>
      </c>
      <c r="K639">
        <f t="shared" si="121"/>
        <v>7</v>
      </c>
      <c r="L639">
        <f t="shared" si="122"/>
        <v>24</v>
      </c>
      <c r="M639" s="3">
        <f t="shared" ca="1" si="123"/>
        <v>46100</v>
      </c>
      <c r="N639">
        <f t="shared" ca="1" si="124"/>
        <v>8274</v>
      </c>
      <c r="O639">
        <f t="shared" ca="1" si="125"/>
        <v>8274</v>
      </c>
      <c r="P639">
        <f t="shared" ca="1" si="126"/>
        <v>5911</v>
      </c>
      <c r="Q639">
        <v>24</v>
      </c>
      <c r="R639" t="str">
        <f t="shared" si="127"/>
        <v>Young</v>
      </c>
      <c r="S639" t="s">
        <v>24</v>
      </c>
      <c r="T639">
        <v>6</v>
      </c>
      <c r="U639" t="s">
        <v>25</v>
      </c>
      <c r="V639">
        <v>2284.4899999999998</v>
      </c>
      <c r="W639" t="s">
        <v>58</v>
      </c>
      <c r="X639" t="s">
        <v>55</v>
      </c>
      <c r="Y639">
        <v>1</v>
      </c>
      <c r="Z639" t="str">
        <f t="shared" si="128"/>
        <v>Bad Employee</v>
      </c>
      <c r="AA639" t="b">
        <f t="shared" si="129"/>
        <v>0</v>
      </c>
      <c r="AB639" t="b">
        <f>OR(Y639&gt;20, T639&gt;6)</f>
        <v>0</v>
      </c>
      <c r="AC639" t="str">
        <f>IF(OR(Y639&gt;20,T639&gt;6), "Good employee", "Bad Employee")</f>
        <v>Bad Employee</v>
      </c>
      <c r="AD639" t="s">
        <v>41</v>
      </c>
      <c r="AE639" t="s">
        <v>37</v>
      </c>
      <c r="AF639">
        <v>9</v>
      </c>
      <c r="AG639">
        <v>2018</v>
      </c>
      <c r="AH639" t="s">
        <v>43</v>
      </c>
      <c r="AI639">
        <v>148</v>
      </c>
      <c r="AJ639">
        <v>2.5</v>
      </c>
    </row>
    <row r="640" spans="1:36" x14ac:dyDescent="0.25">
      <c r="A640">
        <v>10639</v>
      </c>
      <c r="B640" t="s">
        <v>60</v>
      </c>
      <c r="C640" t="s">
        <v>22</v>
      </c>
      <c r="D640" t="s">
        <v>39</v>
      </c>
      <c r="E640" t="str">
        <f t="shared" si="117"/>
        <v>Jane Williams is in IT Department</v>
      </c>
      <c r="F640" s="6" t="str">
        <f t="shared" si="118"/>
        <v>janewilliams@gmail.com</v>
      </c>
      <c r="G640">
        <v>82576</v>
      </c>
      <c r="H640" t="str">
        <f t="shared" si="119"/>
        <v>High</v>
      </c>
      <c r="I640" s="3">
        <v>41541</v>
      </c>
      <c r="J640">
        <f t="shared" si="120"/>
        <v>2013</v>
      </c>
      <c r="K640">
        <f t="shared" si="121"/>
        <v>9</v>
      </c>
      <c r="L640">
        <f t="shared" si="122"/>
        <v>24</v>
      </c>
      <c r="M640" s="3">
        <f t="shared" ca="1" si="123"/>
        <v>46100</v>
      </c>
      <c r="N640">
        <f t="shared" ca="1" si="124"/>
        <v>4559</v>
      </c>
      <c r="O640">
        <f t="shared" ca="1" si="125"/>
        <v>4559</v>
      </c>
      <c r="P640">
        <f t="shared" ca="1" si="126"/>
        <v>3258</v>
      </c>
      <c r="Q640">
        <v>56</v>
      </c>
      <c r="R640" t="str">
        <f t="shared" si="127"/>
        <v>Old</v>
      </c>
      <c r="S640" t="s">
        <v>24</v>
      </c>
      <c r="T640">
        <v>1</v>
      </c>
      <c r="U640" t="s">
        <v>25</v>
      </c>
      <c r="V640">
        <v>5505.94</v>
      </c>
      <c r="W640" t="s">
        <v>26</v>
      </c>
      <c r="X640" t="s">
        <v>47</v>
      </c>
      <c r="Y640">
        <v>24</v>
      </c>
      <c r="Z640" t="str">
        <f t="shared" si="128"/>
        <v>Bad Employee</v>
      </c>
      <c r="AA640" t="b">
        <f t="shared" si="129"/>
        <v>0</v>
      </c>
      <c r="AB640" t="b">
        <f>OR(Y640&gt;20, T640&gt;6)</f>
        <v>1</v>
      </c>
      <c r="AC640" t="str">
        <f>IF(OR(Y640&gt;20,T640&gt;6), "Good employee", "Bad Employee")</f>
        <v>Good employee</v>
      </c>
      <c r="AD640" t="s">
        <v>28</v>
      </c>
      <c r="AE640" t="s">
        <v>48</v>
      </c>
      <c r="AF640">
        <v>5</v>
      </c>
      <c r="AG640">
        <v>2023</v>
      </c>
      <c r="AH640" t="s">
        <v>43</v>
      </c>
      <c r="AI640">
        <v>101</v>
      </c>
      <c r="AJ640">
        <v>2.2000000000000002</v>
      </c>
    </row>
    <row r="641" spans="1:36" x14ac:dyDescent="0.25">
      <c r="A641">
        <v>10640</v>
      </c>
      <c r="B641" t="s">
        <v>53</v>
      </c>
      <c r="C641" t="s">
        <v>22</v>
      </c>
      <c r="D641" t="s">
        <v>39</v>
      </c>
      <c r="E641" t="str">
        <f t="shared" si="117"/>
        <v>Sarah Williams is in IT Department</v>
      </c>
      <c r="F641" s="6" t="str">
        <f t="shared" si="118"/>
        <v>sarahwilliams@gmail.com</v>
      </c>
      <c r="G641">
        <v>96627</v>
      </c>
      <c r="H641" t="str">
        <f t="shared" si="119"/>
        <v>High</v>
      </c>
      <c r="I641" s="3">
        <v>43615</v>
      </c>
      <c r="J641">
        <f t="shared" si="120"/>
        <v>2019</v>
      </c>
      <c r="K641">
        <f t="shared" si="121"/>
        <v>5</v>
      </c>
      <c r="L641">
        <f t="shared" si="122"/>
        <v>30</v>
      </c>
      <c r="M641" s="3">
        <f t="shared" ca="1" si="123"/>
        <v>46100</v>
      </c>
      <c r="N641">
        <f t="shared" ca="1" si="124"/>
        <v>2485</v>
      </c>
      <c r="O641">
        <f t="shared" ca="1" si="125"/>
        <v>2485</v>
      </c>
      <c r="P641">
        <f t="shared" ca="1" si="126"/>
        <v>1776</v>
      </c>
      <c r="Q641">
        <v>34</v>
      </c>
      <c r="R641" t="str">
        <f t="shared" si="127"/>
        <v>Old</v>
      </c>
      <c r="S641" t="s">
        <v>34</v>
      </c>
      <c r="T641">
        <v>8</v>
      </c>
      <c r="U641" t="s">
        <v>25</v>
      </c>
      <c r="V641">
        <v>7025.04</v>
      </c>
      <c r="W641" t="s">
        <v>58</v>
      </c>
      <c r="X641" t="s">
        <v>47</v>
      </c>
      <c r="Y641">
        <v>30</v>
      </c>
      <c r="Z641" t="str">
        <f t="shared" si="128"/>
        <v>Good Employee</v>
      </c>
      <c r="AA641" t="b">
        <f t="shared" si="129"/>
        <v>1</v>
      </c>
      <c r="AB641" t="b">
        <f>OR(Y641&gt;20, T641&gt;6)</f>
        <v>1</v>
      </c>
      <c r="AC641" t="str">
        <f>IF(OR(Y641&gt;20,T641&gt;6), "Good employee", "Bad Employee")</f>
        <v>Good employee</v>
      </c>
      <c r="AD641" t="s">
        <v>28</v>
      </c>
      <c r="AE641" t="s">
        <v>42</v>
      </c>
      <c r="AF641">
        <v>9</v>
      </c>
      <c r="AG641">
        <v>2013</v>
      </c>
      <c r="AH641" t="s">
        <v>43</v>
      </c>
      <c r="AI641">
        <v>40</v>
      </c>
      <c r="AJ641">
        <v>2.4</v>
      </c>
    </row>
    <row r="642" spans="1:36" x14ac:dyDescent="0.25">
      <c r="A642">
        <v>10641</v>
      </c>
      <c r="B642" t="s">
        <v>64</v>
      </c>
      <c r="C642" t="s">
        <v>57</v>
      </c>
      <c r="D642" t="s">
        <v>54</v>
      </c>
      <c r="E642" t="str">
        <f t="shared" si="117"/>
        <v>Katie Davis is in Finance Department</v>
      </c>
      <c r="F642" s="6" t="str">
        <f t="shared" si="118"/>
        <v>katiedavis@gmail.com</v>
      </c>
      <c r="G642">
        <v>55772</v>
      </c>
      <c r="H642" t="str">
        <f t="shared" si="119"/>
        <v>Medium</v>
      </c>
      <c r="I642" s="3">
        <v>36991</v>
      </c>
      <c r="J642">
        <f t="shared" si="120"/>
        <v>2001</v>
      </c>
      <c r="K642">
        <f t="shared" si="121"/>
        <v>4</v>
      </c>
      <c r="L642">
        <f t="shared" si="122"/>
        <v>10</v>
      </c>
      <c r="M642" s="3">
        <f t="shared" ca="1" si="123"/>
        <v>46100</v>
      </c>
      <c r="N642">
        <f t="shared" ca="1" si="124"/>
        <v>9109</v>
      </c>
      <c r="O642">
        <f t="shared" ca="1" si="125"/>
        <v>9109</v>
      </c>
      <c r="P642">
        <f t="shared" ca="1" si="126"/>
        <v>6508</v>
      </c>
      <c r="Q642">
        <v>55</v>
      </c>
      <c r="R642" t="str">
        <f t="shared" si="127"/>
        <v>Old</v>
      </c>
      <c r="S642" t="s">
        <v>34</v>
      </c>
      <c r="T642">
        <v>9</v>
      </c>
      <c r="U642" t="s">
        <v>25</v>
      </c>
      <c r="V642">
        <v>5163.75</v>
      </c>
      <c r="W642" t="s">
        <v>26</v>
      </c>
      <c r="X642" t="s">
        <v>55</v>
      </c>
      <c r="Y642">
        <v>26</v>
      </c>
      <c r="Z642" t="str">
        <f t="shared" si="128"/>
        <v>Good Employee</v>
      </c>
      <c r="AA642" t="b">
        <f t="shared" si="129"/>
        <v>1</v>
      </c>
      <c r="AB642" t="b">
        <f>OR(Y642&gt;20, T642&gt;6)</f>
        <v>1</v>
      </c>
      <c r="AC642" t="str">
        <f>IF(OR(Y642&gt;20,T642&gt;6), "Good employee", "Bad Employee")</f>
        <v>Good employee</v>
      </c>
      <c r="AD642" t="s">
        <v>41</v>
      </c>
      <c r="AE642" t="s">
        <v>37</v>
      </c>
      <c r="AF642">
        <v>4</v>
      </c>
      <c r="AG642">
        <v>2023</v>
      </c>
      <c r="AH642" t="s">
        <v>43</v>
      </c>
      <c r="AI642">
        <v>49</v>
      </c>
      <c r="AJ642">
        <v>4.2</v>
      </c>
    </row>
    <row r="643" spans="1:36" x14ac:dyDescent="0.25">
      <c r="A643">
        <v>10642</v>
      </c>
      <c r="B643" t="s">
        <v>64</v>
      </c>
      <c r="C643" t="s">
        <v>22</v>
      </c>
      <c r="D643" t="s">
        <v>44</v>
      </c>
      <c r="E643" t="str">
        <f t="shared" ref="E643:E706" si="130">CONCATENATE(B643, " ", C643, " is in ", D643, " Department")</f>
        <v>Katie Williams is in Sales Department</v>
      </c>
      <c r="F643" s="6" t="str">
        <f t="shared" ref="F643:F706" si="131">LOWER(CONCATENATE(B643, C643, "@gmail.com"))</f>
        <v>katiewilliams@gmail.com</v>
      </c>
      <c r="G643">
        <v>46363</v>
      </c>
      <c r="H643" t="str">
        <f t="shared" ref="H643:H706" si="132">IF(G643&gt;80000, "High", IF(G643&gt;50000, "Medium", IF(G643&gt;40000, "low", "extremely low")))</f>
        <v>low</v>
      </c>
      <c r="I643" s="3">
        <v>38490</v>
      </c>
      <c r="J643">
        <f t="shared" ref="J643:J706" si="133">YEAR(I643)</f>
        <v>2005</v>
      </c>
      <c r="K643">
        <f t="shared" ref="K643:K706" si="134">MONTH(I643)</f>
        <v>5</v>
      </c>
      <c r="L643">
        <f t="shared" ref="L643:L706" si="135">DAY(I643)</f>
        <v>18</v>
      </c>
      <c r="M643" s="3">
        <f t="shared" ref="M643:M706" ca="1" si="136">TODAY()</f>
        <v>46100</v>
      </c>
      <c r="N643">
        <f t="shared" ref="N643:N706" ca="1" si="137">M643-I643</f>
        <v>7610</v>
      </c>
      <c r="O643">
        <f t="shared" ref="O643:O706" ca="1" si="138">DATEDIF(I643,M643, "d")</f>
        <v>7610</v>
      </c>
      <c r="P643">
        <f t="shared" ref="P643:P706" ca="1" si="139">NETWORKDAYS(I643, M643)</f>
        <v>5437</v>
      </c>
      <c r="Q643">
        <v>45</v>
      </c>
      <c r="R643" t="str">
        <f t="shared" ref="R643:R706" si="140">IF(Q643&gt;30, "Old", "Young")</f>
        <v>Old</v>
      </c>
      <c r="S643" t="s">
        <v>34</v>
      </c>
      <c r="T643">
        <v>3</v>
      </c>
      <c r="U643" t="s">
        <v>45</v>
      </c>
      <c r="V643">
        <v>6775.77</v>
      </c>
      <c r="W643" t="s">
        <v>58</v>
      </c>
      <c r="X643" t="s">
        <v>36</v>
      </c>
      <c r="Y643">
        <v>38</v>
      </c>
      <c r="Z643" t="str">
        <f t="shared" ref="Z643:Z706" si="141" xml:space="preserve"> IF(AND(Y643&gt;20, T643&gt;6), "Good Employee", "Bad Employee")</f>
        <v>Bad Employee</v>
      </c>
      <c r="AA643" t="b">
        <f t="shared" ref="AA643:AA706" si="142">AND(Y643&gt;20, T643&gt;6)</f>
        <v>0</v>
      </c>
      <c r="AB643" t="b">
        <f>OR(Y643&gt;20, T643&gt;6)</f>
        <v>1</v>
      </c>
      <c r="AC643" t="str">
        <f>IF(OR(Y643&gt;20,T643&gt;6), "Good employee", "Bad Employee")</f>
        <v>Good employee</v>
      </c>
      <c r="AD643" t="s">
        <v>41</v>
      </c>
      <c r="AE643" t="s">
        <v>29</v>
      </c>
      <c r="AF643">
        <v>8</v>
      </c>
      <c r="AG643">
        <v>2016</v>
      </c>
      <c r="AH643" t="s">
        <v>30</v>
      </c>
      <c r="AI643">
        <v>14</v>
      </c>
      <c r="AJ643">
        <v>3.4</v>
      </c>
    </row>
    <row r="644" spans="1:36" x14ac:dyDescent="0.25">
      <c r="A644">
        <v>10643</v>
      </c>
      <c r="B644" t="s">
        <v>53</v>
      </c>
      <c r="C644" t="s">
        <v>51</v>
      </c>
      <c r="D644" t="s">
        <v>54</v>
      </c>
      <c r="E644" t="str">
        <f t="shared" si="130"/>
        <v>Sarah Brown is in Finance Department</v>
      </c>
      <c r="F644" s="6" t="str">
        <f t="shared" si="131"/>
        <v>sarahbrown@gmail.com</v>
      </c>
      <c r="G644">
        <v>58490</v>
      </c>
      <c r="H644" t="str">
        <f t="shared" si="132"/>
        <v>Medium</v>
      </c>
      <c r="I644" s="3">
        <v>42093</v>
      </c>
      <c r="J644">
        <f t="shared" si="133"/>
        <v>2015</v>
      </c>
      <c r="K644">
        <f t="shared" si="134"/>
        <v>3</v>
      </c>
      <c r="L644">
        <f t="shared" si="135"/>
        <v>30</v>
      </c>
      <c r="M644" s="3">
        <f t="shared" ca="1" si="136"/>
        <v>46100</v>
      </c>
      <c r="N644">
        <f t="shared" ca="1" si="137"/>
        <v>4007</v>
      </c>
      <c r="O644">
        <f t="shared" ca="1" si="138"/>
        <v>4007</v>
      </c>
      <c r="P644">
        <f t="shared" ca="1" si="139"/>
        <v>2864</v>
      </c>
      <c r="Q644">
        <v>22</v>
      </c>
      <c r="R644" t="str">
        <f t="shared" si="140"/>
        <v>Young</v>
      </c>
      <c r="S644" t="s">
        <v>34</v>
      </c>
      <c r="T644">
        <v>7</v>
      </c>
      <c r="U644" t="s">
        <v>25</v>
      </c>
      <c r="V644">
        <v>3966.74</v>
      </c>
      <c r="W644" t="s">
        <v>58</v>
      </c>
      <c r="X644" t="s">
        <v>55</v>
      </c>
      <c r="Y644">
        <v>38</v>
      </c>
      <c r="Z644" t="str">
        <f t="shared" si="141"/>
        <v>Good Employee</v>
      </c>
      <c r="AA644" t="b">
        <f t="shared" si="142"/>
        <v>1</v>
      </c>
      <c r="AB644" t="b">
        <f>OR(Y644&gt;20, T644&gt;6)</f>
        <v>1</v>
      </c>
      <c r="AC644" t="str">
        <f>IF(OR(Y644&gt;20,T644&gt;6), "Good employee", "Bad Employee")</f>
        <v>Good employee</v>
      </c>
      <c r="AD644" t="s">
        <v>56</v>
      </c>
      <c r="AE644" t="s">
        <v>37</v>
      </c>
      <c r="AF644">
        <v>6</v>
      </c>
      <c r="AG644">
        <v>2019</v>
      </c>
      <c r="AH644" t="s">
        <v>30</v>
      </c>
      <c r="AI644">
        <v>67</v>
      </c>
      <c r="AJ644">
        <v>4.9000000000000004</v>
      </c>
    </row>
    <row r="645" spans="1:36" x14ac:dyDescent="0.25">
      <c r="A645">
        <v>10644</v>
      </c>
      <c r="B645" t="s">
        <v>66</v>
      </c>
      <c r="C645" t="s">
        <v>65</v>
      </c>
      <c r="D645" t="s">
        <v>44</v>
      </c>
      <c r="E645" t="str">
        <f t="shared" si="130"/>
        <v>John Johnson is in Sales Department</v>
      </c>
      <c r="F645" s="6" t="str">
        <f t="shared" si="131"/>
        <v>johnjohnson@gmail.com</v>
      </c>
      <c r="G645">
        <v>89004</v>
      </c>
      <c r="H645" t="str">
        <f t="shared" si="132"/>
        <v>High</v>
      </c>
      <c r="I645" s="3">
        <v>38471</v>
      </c>
      <c r="J645">
        <f t="shared" si="133"/>
        <v>2005</v>
      </c>
      <c r="K645">
        <f t="shared" si="134"/>
        <v>4</v>
      </c>
      <c r="L645">
        <f t="shared" si="135"/>
        <v>29</v>
      </c>
      <c r="M645" s="3">
        <f t="shared" ca="1" si="136"/>
        <v>46100</v>
      </c>
      <c r="N645">
        <f t="shared" ca="1" si="137"/>
        <v>7629</v>
      </c>
      <c r="O645">
        <f t="shared" ca="1" si="138"/>
        <v>7629</v>
      </c>
      <c r="P645">
        <f t="shared" ca="1" si="139"/>
        <v>5450</v>
      </c>
      <c r="Q645">
        <v>33</v>
      </c>
      <c r="R645" t="str">
        <f t="shared" si="140"/>
        <v>Old</v>
      </c>
      <c r="S645" t="s">
        <v>24</v>
      </c>
      <c r="T645">
        <v>5</v>
      </c>
      <c r="U645" t="s">
        <v>45</v>
      </c>
      <c r="V645">
        <v>765.26</v>
      </c>
      <c r="W645" t="s">
        <v>26</v>
      </c>
      <c r="X645" t="s">
        <v>40</v>
      </c>
      <c r="Y645">
        <v>3</v>
      </c>
      <c r="Z645" t="str">
        <f t="shared" si="141"/>
        <v>Bad Employee</v>
      </c>
      <c r="AA645" t="b">
        <f t="shared" si="142"/>
        <v>0</v>
      </c>
      <c r="AB645" t="b">
        <f>OR(Y645&gt;20, T645&gt;6)</f>
        <v>0</v>
      </c>
      <c r="AC645" t="str">
        <f>IF(OR(Y645&gt;20,T645&gt;6), "Good employee", "Bad Employee")</f>
        <v>Bad Employee</v>
      </c>
      <c r="AD645" t="s">
        <v>28</v>
      </c>
      <c r="AE645" t="s">
        <v>59</v>
      </c>
      <c r="AF645">
        <v>16</v>
      </c>
      <c r="AG645">
        <v>2021</v>
      </c>
      <c r="AH645" t="s">
        <v>49</v>
      </c>
      <c r="AI645">
        <v>47</v>
      </c>
      <c r="AJ645">
        <v>4.3</v>
      </c>
    </row>
    <row r="646" spans="1:36" x14ac:dyDescent="0.25">
      <c r="A646">
        <v>10645</v>
      </c>
      <c r="B646" t="s">
        <v>53</v>
      </c>
      <c r="C646" t="s">
        <v>22</v>
      </c>
      <c r="D646" t="s">
        <v>52</v>
      </c>
      <c r="E646" t="str">
        <f t="shared" si="130"/>
        <v>Sarah Williams is in Operations Department</v>
      </c>
      <c r="F646" s="6" t="str">
        <f t="shared" si="131"/>
        <v>sarahwilliams@gmail.com</v>
      </c>
      <c r="G646">
        <v>83806</v>
      </c>
      <c r="H646" t="str">
        <f t="shared" si="132"/>
        <v>High</v>
      </c>
      <c r="I646" s="3">
        <v>41805</v>
      </c>
      <c r="J646">
        <f t="shared" si="133"/>
        <v>2014</v>
      </c>
      <c r="K646">
        <f t="shared" si="134"/>
        <v>6</v>
      </c>
      <c r="L646">
        <f t="shared" si="135"/>
        <v>15</v>
      </c>
      <c r="M646" s="3">
        <f t="shared" ca="1" si="136"/>
        <v>46100</v>
      </c>
      <c r="N646">
        <f t="shared" ca="1" si="137"/>
        <v>4295</v>
      </c>
      <c r="O646">
        <f t="shared" ca="1" si="138"/>
        <v>4295</v>
      </c>
      <c r="P646">
        <f t="shared" ca="1" si="139"/>
        <v>3069</v>
      </c>
      <c r="Q646">
        <v>29</v>
      </c>
      <c r="R646" t="str">
        <f t="shared" si="140"/>
        <v>Young</v>
      </c>
      <c r="S646" t="s">
        <v>34</v>
      </c>
      <c r="T646">
        <v>3</v>
      </c>
      <c r="U646" t="s">
        <v>25</v>
      </c>
      <c r="V646">
        <v>9753.61</v>
      </c>
      <c r="W646" t="s">
        <v>58</v>
      </c>
      <c r="X646" t="s">
        <v>36</v>
      </c>
      <c r="Y646">
        <v>13</v>
      </c>
      <c r="Z646" t="str">
        <f t="shared" si="141"/>
        <v>Bad Employee</v>
      </c>
      <c r="AA646" t="b">
        <f t="shared" si="142"/>
        <v>0</v>
      </c>
      <c r="AB646" t="b">
        <f>OR(Y646&gt;20, T646&gt;6)</f>
        <v>0</v>
      </c>
      <c r="AC646" t="str">
        <f>IF(OR(Y646&gt;20,T646&gt;6), "Good employee", "Bad Employee")</f>
        <v>Bad Employee</v>
      </c>
      <c r="AD646" t="s">
        <v>56</v>
      </c>
      <c r="AE646" t="s">
        <v>48</v>
      </c>
      <c r="AF646">
        <v>11</v>
      </c>
      <c r="AG646">
        <v>2016</v>
      </c>
      <c r="AH646" t="s">
        <v>49</v>
      </c>
      <c r="AI646">
        <v>55</v>
      </c>
      <c r="AJ646">
        <v>2.9</v>
      </c>
    </row>
    <row r="647" spans="1:36" x14ac:dyDescent="0.25">
      <c r="A647">
        <v>10646</v>
      </c>
      <c r="B647" t="s">
        <v>38</v>
      </c>
      <c r="C647" t="s">
        <v>22</v>
      </c>
      <c r="D647" t="s">
        <v>54</v>
      </c>
      <c r="E647" t="str">
        <f t="shared" si="130"/>
        <v>Chris Williams is in Finance Department</v>
      </c>
      <c r="F647" s="6" t="str">
        <f t="shared" si="131"/>
        <v>chriswilliams@gmail.com</v>
      </c>
      <c r="G647">
        <v>30260</v>
      </c>
      <c r="H647" t="str">
        <f t="shared" si="132"/>
        <v>extremely low</v>
      </c>
      <c r="I647" s="3">
        <v>39065</v>
      </c>
      <c r="J647">
        <f t="shared" si="133"/>
        <v>2006</v>
      </c>
      <c r="K647">
        <f t="shared" si="134"/>
        <v>12</v>
      </c>
      <c r="L647">
        <f t="shared" si="135"/>
        <v>14</v>
      </c>
      <c r="M647" s="3">
        <f t="shared" ca="1" si="136"/>
        <v>46100</v>
      </c>
      <c r="N647">
        <f t="shared" ca="1" si="137"/>
        <v>7035</v>
      </c>
      <c r="O647">
        <f t="shared" ca="1" si="138"/>
        <v>7035</v>
      </c>
      <c r="P647">
        <f t="shared" ca="1" si="139"/>
        <v>5026</v>
      </c>
      <c r="Q647">
        <v>40</v>
      </c>
      <c r="R647" t="str">
        <f t="shared" si="140"/>
        <v>Old</v>
      </c>
      <c r="S647" t="s">
        <v>34</v>
      </c>
      <c r="T647">
        <v>5</v>
      </c>
      <c r="U647" t="s">
        <v>45</v>
      </c>
      <c r="V647">
        <v>8284.43</v>
      </c>
      <c r="W647" t="s">
        <v>58</v>
      </c>
      <c r="X647" t="s">
        <v>40</v>
      </c>
      <c r="Y647">
        <v>36</v>
      </c>
      <c r="Z647" t="str">
        <f t="shared" si="141"/>
        <v>Bad Employee</v>
      </c>
      <c r="AA647" t="b">
        <f t="shared" si="142"/>
        <v>0</v>
      </c>
      <c r="AB647" t="b">
        <f>OR(Y647&gt;20, T647&gt;6)</f>
        <v>1</v>
      </c>
      <c r="AC647" t="str">
        <f>IF(OR(Y647&gt;20,T647&gt;6), "Good employee", "Bad Employee")</f>
        <v>Good employee</v>
      </c>
      <c r="AD647" t="s">
        <v>56</v>
      </c>
      <c r="AE647" t="s">
        <v>59</v>
      </c>
      <c r="AF647">
        <v>10</v>
      </c>
      <c r="AG647">
        <v>2021</v>
      </c>
      <c r="AH647" t="s">
        <v>43</v>
      </c>
      <c r="AI647">
        <v>111</v>
      </c>
      <c r="AJ647">
        <v>2</v>
      </c>
    </row>
    <row r="648" spans="1:36" x14ac:dyDescent="0.25">
      <c r="A648">
        <v>10647</v>
      </c>
      <c r="B648" t="s">
        <v>38</v>
      </c>
      <c r="C648" t="s">
        <v>57</v>
      </c>
      <c r="D648" t="s">
        <v>54</v>
      </c>
      <c r="E648" t="str">
        <f t="shared" si="130"/>
        <v>Chris Davis is in Finance Department</v>
      </c>
      <c r="F648" s="6" t="str">
        <f t="shared" si="131"/>
        <v>chrisdavis@gmail.com</v>
      </c>
      <c r="G648">
        <v>105992</v>
      </c>
      <c r="H648" t="str">
        <f t="shared" si="132"/>
        <v>High</v>
      </c>
      <c r="I648" s="3">
        <v>38886</v>
      </c>
      <c r="J648">
        <f t="shared" si="133"/>
        <v>2006</v>
      </c>
      <c r="K648">
        <f t="shared" si="134"/>
        <v>6</v>
      </c>
      <c r="L648">
        <f t="shared" si="135"/>
        <v>18</v>
      </c>
      <c r="M648" s="3">
        <f t="shared" ca="1" si="136"/>
        <v>46100</v>
      </c>
      <c r="N648">
        <f t="shared" ca="1" si="137"/>
        <v>7214</v>
      </c>
      <c r="O648">
        <f t="shared" ca="1" si="138"/>
        <v>7214</v>
      </c>
      <c r="P648">
        <f t="shared" ca="1" si="139"/>
        <v>5154</v>
      </c>
      <c r="Q648">
        <v>30</v>
      </c>
      <c r="R648" t="str">
        <f t="shared" si="140"/>
        <v>Young</v>
      </c>
      <c r="S648" t="s">
        <v>24</v>
      </c>
      <c r="T648">
        <v>7</v>
      </c>
      <c r="U648" t="s">
        <v>25</v>
      </c>
      <c r="V648">
        <v>1197.48</v>
      </c>
      <c r="W648" t="s">
        <v>35</v>
      </c>
      <c r="X648" t="s">
        <v>27</v>
      </c>
      <c r="Y648">
        <v>12</v>
      </c>
      <c r="Z648" t="str">
        <f t="shared" si="141"/>
        <v>Bad Employee</v>
      </c>
      <c r="AA648" t="b">
        <f t="shared" si="142"/>
        <v>0</v>
      </c>
      <c r="AB648" t="b">
        <f>OR(Y648&gt;20, T648&gt;6)</f>
        <v>1</v>
      </c>
      <c r="AC648" t="str">
        <f>IF(OR(Y648&gt;20,T648&gt;6), "Good employee", "Bad Employee")</f>
        <v>Good employee</v>
      </c>
      <c r="AD648" t="s">
        <v>41</v>
      </c>
      <c r="AE648" t="s">
        <v>29</v>
      </c>
      <c r="AF648">
        <v>5</v>
      </c>
      <c r="AG648">
        <v>2017</v>
      </c>
      <c r="AH648" t="s">
        <v>30</v>
      </c>
      <c r="AI648">
        <v>7</v>
      </c>
      <c r="AJ648">
        <v>3.7</v>
      </c>
    </row>
    <row r="649" spans="1:36" x14ac:dyDescent="0.25">
      <c r="A649">
        <v>10648</v>
      </c>
      <c r="B649" t="s">
        <v>66</v>
      </c>
      <c r="C649" t="s">
        <v>51</v>
      </c>
      <c r="D649" t="s">
        <v>54</v>
      </c>
      <c r="E649" t="str">
        <f t="shared" si="130"/>
        <v>John Brown is in Finance Department</v>
      </c>
      <c r="F649" s="6" t="str">
        <f t="shared" si="131"/>
        <v>johnbrown@gmail.com</v>
      </c>
      <c r="G649">
        <v>52320</v>
      </c>
      <c r="H649" t="str">
        <f t="shared" si="132"/>
        <v>Medium</v>
      </c>
      <c r="I649" s="3">
        <v>42276</v>
      </c>
      <c r="J649">
        <f t="shared" si="133"/>
        <v>2015</v>
      </c>
      <c r="K649">
        <f t="shared" si="134"/>
        <v>9</v>
      </c>
      <c r="L649">
        <f t="shared" si="135"/>
        <v>29</v>
      </c>
      <c r="M649" s="3">
        <f t="shared" ca="1" si="136"/>
        <v>46100</v>
      </c>
      <c r="N649">
        <f t="shared" ca="1" si="137"/>
        <v>3824</v>
      </c>
      <c r="O649">
        <f t="shared" ca="1" si="138"/>
        <v>3824</v>
      </c>
      <c r="P649">
        <f t="shared" ca="1" si="139"/>
        <v>2733</v>
      </c>
      <c r="Q649">
        <v>49</v>
      </c>
      <c r="R649" t="str">
        <f t="shared" si="140"/>
        <v>Old</v>
      </c>
      <c r="S649" t="s">
        <v>24</v>
      </c>
      <c r="T649">
        <v>7</v>
      </c>
      <c r="U649" t="s">
        <v>45</v>
      </c>
      <c r="V649">
        <v>4767.18</v>
      </c>
      <c r="W649" t="s">
        <v>26</v>
      </c>
      <c r="X649" t="s">
        <v>27</v>
      </c>
      <c r="Y649">
        <v>20</v>
      </c>
      <c r="Z649" t="str">
        <f t="shared" si="141"/>
        <v>Bad Employee</v>
      </c>
      <c r="AA649" t="b">
        <f t="shared" si="142"/>
        <v>0</v>
      </c>
      <c r="AB649" t="b">
        <f>OR(Y649&gt;20, T649&gt;6)</f>
        <v>1</v>
      </c>
      <c r="AC649" t="str">
        <f>IF(OR(Y649&gt;20,T649&gt;6), "Good employee", "Bad Employee")</f>
        <v>Good employee</v>
      </c>
      <c r="AD649" t="s">
        <v>56</v>
      </c>
      <c r="AE649" t="s">
        <v>48</v>
      </c>
      <c r="AF649">
        <v>10</v>
      </c>
      <c r="AG649">
        <v>2016</v>
      </c>
      <c r="AH649" t="s">
        <v>43</v>
      </c>
      <c r="AI649">
        <v>198</v>
      </c>
      <c r="AJ649">
        <v>3.9</v>
      </c>
    </row>
    <row r="650" spans="1:36" x14ac:dyDescent="0.25">
      <c r="A650">
        <v>10649</v>
      </c>
      <c r="B650" t="s">
        <v>53</v>
      </c>
      <c r="C650" t="s">
        <v>32</v>
      </c>
      <c r="D650" t="s">
        <v>33</v>
      </c>
      <c r="E650" t="str">
        <f t="shared" si="130"/>
        <v>Sarah Wilson is in Marketing Department</v>
      </c>
      <c r="F650" s="6" t="str">
        <f t="shared" si="131"/>
        <v>sarahwilson@gmail.com</v>
      </c>
      <c r="G650">
        <v>108971</v>
      </c>
      <c r="H650" t="str">
        <f t="shared" si="132"/>
        <v>High</v>
      </c>
      <c r="I650" s="3">
        <v>38565</v>
      </c>
      <c r="J650">
        <f t="shared" si="133"/>
        <v>2005</v>
      </c>
      <c r="K650">
        <f t="shared" si="134"/>
        <v>8</v>
      </c>
      <c r="L650">
        <f t="shared" si="135"/>
        <v>1</v>
      </c>
      <c r="M650" s="3">
        <f t="shared" ca="1" si="136"/>
        <v>46100</v>
      </c>
      <c r="N650">
        <f t="shared" ca="1" si="137"/>
        <v>7535</v>
      </c>
      <c r="O650">
        <f t="shared" ca="1" si="138"/>
        <v>7535</v>
      </c>
      <c r="P650">
        <f t="shared" ca="1" si="139"/>
        <v>5384</v>
      </c>
      <c r="Q650">
        <v>35</v>
      </c>
      <c r="R650" t="str">
        <f t="shared" si="140"/>
        <v>Old</v>
      </c>
      <c r="S650" t="s">
        <v>24</v>
      </c>
      <c r="T650">
        <v>9</v>
      </c>
      <c r="U650" t="s">
        <v>25</v>
      </c>
      <c r="V650">
        <v>6532.68</v>
      </c>
      <c r="W650" t="s">
        <v>46</v>
      </c>
      <c r="X650" t="s">
        <v>47</v>
      </c>
      <c r="Y650">
        <v>39</v>
      </c>
      <c r="Z650" t="str">
        <f t="shared" si="141"/>
        <v>Good Employee</v>
      </c>
      <c r="AA650" t="b">
        <f t="shared" si="142"/>
        <v>1</v>
      </c>
      <c r="AB650" t="b">
        <f>OR(Y650&gt;20, T650&gt;6)</f>
        <v>1</v>
      </c>
      <c r="AC650" t="str">
        <f>IF(OR(Y650&gt;20,T650&gt;6), "Good employee", "Bad Employee")</f>
        <v>Good employee</v>
      </c>
      <c r="AD650" t="s">
        <v>56</v>
      </c>
      <c r="AE650" t="s">
        <v>62</v>
      </c>
      <c r="AF650">
        <v>10</v>
      </c>
      <c r="AG650">
        <v>2020</v>
      </c>
      <c r="AH650" t="s">
        <v>30</v>
      </c>
      <c r="AI650">
        <v>167</v>
      </c>
      <c r="AJ650">
        <v>2.9</v>
      </c>
    </row>
    <row r="651" spans="1:36" x14ac:dyDescent="0.25">
      <c r="A651">
        <v>10650</v>
      </c>
      <c r="B651" t="s">
        <v>38</v>
      </c>
      <c r="C651" t="s">
        <v>32</v>
      </c>
      <c r="D651" t="s">
        <v>54</v>
      </c>
      <c r="E651" t="str">
        <f t="shared" si="130"/>
        <v>Chris Wilson is in Finance Department</v>
      </c>
      <c r="F651" s="6" t="str">
        <f t="shared" si="131"/>
        <v>chriswilson@gmail.com</v>
      </c>
      <c r="G651">
        <v>72145</v>
      </c>
      <c r="H651" t="str">
        <f t="shared" si="132"/>
        <v>Medium</v>
      </c>
      <c r="I651" s="3">
        <v>37710</v>
      </c>
      <c r="J651">
        <f t="shared" si="133"/>
        <v>2003</v>
      </c>
      <c r="K651">
        <f t="shared" si="134"/>
        <v>3</v>
      </c>
      <c r="L651">
        <f t="shared" si="135"/>
        <v>30</v>
      </c>
      <c r="M651" s="3">
        <f t="shared" ca="1" si="136"/>
        <v>46100</v>
      </c>
      <c r="N651">
        <f t="shared" ca="1" si="137"/>
        <v>8390</v>
      </c>
      <c r="O651">
        <f t="shared" ca="1" si="138"/>
        <v>8390</v>
      </c>
      <c r="P651">
        <f t="shared" ca="1" si="139"/>
        <v>5994</v>
      </c>
      <c r="Q651">
        <v>48</v>
      </c>
      <c r="R651" t="str">
        <f t="shared" si="140"/>
        <v>Old</v>
      </c>
      <c r="S651" t="s">
        <v>24</v>
      </c>
      <c r="T651">
        <v>8</v>
      </c>
      <c r="U651" t="s">
        <v>25</v>
      </c>
      <c r="V651">
        <v>2310.65</v>
      </c>
      <c r="W651" t="s">
        <v>26</v>
      </c>
      <c r="X651" t="s">
        <v>47</v>
      </c>
      <c r="Y651">
        <v>8</v>
      </c>
      <c r="Z651" t="str">
        <f t="shared" si="141"/>
        <v>Bad Employee</v>
      </c>
      <c r="AA651" t="b">
        <f t="shared" si="142"/>
        <v>0</v>
      </c>
      <c r="AB651" t="b">
        <f>OR(Y651&gt;20, T651&gt;6)</f>
        <v>1</v>
      </c>
      <c r="AC651" t="str">
        <f>IF(OR(Y651&gt;20,T651&gt;6), "Good employee", "Bad Employee")</f>
        <v>Good employee</v>
      </c>
      <c r="AD651" t="s">
        <v>41</v>
      </c>
      <c r="AE651" t="s">
        <v>62</v>
      </c>
      <c r="AF651">
        <v>13</v>
      </c>
      <c r="AG651">
        <v>2013</v>
      </c>
      <c r="AH651" t="s">
        <v>30</v>
      </c>
      <c r="AI651">
        <v>73</v>
      </c>
      <c r="AJ651">
        <v>1.9</v>
      </c>
    </row>
    <row r="652" spans="1:36" x14ac:dyDescent="0.25">
      <c r="A652">
        <v>10651</v>
      </c>
      <c r="B652" t="s">
        <v>21</v>
      </c>
      <c r="C652" t="s">
        <v>32</v>
      </c>
      <c r="D652" t="s">
        <v>23</v>
      </c>
      <c r="E652" t="str">
        <f t="shared" si="130"/>
        <v>Michael Wilson is in HR Department</v>
      </c>
      <c r="F652" s="6" t="str">
        <f t="shared" si="131"/>
        <v>michaelwilson@gmail.com</v>
      </c>
      <c r="G652">
        <v>93688</v>
      </c>
      <c r="H652" t="str">
        <f t="shared" si="132"/>
        <v>High</v>
      </c>
      <c r="I652" s="3">
        <v>42977</v>
      </c>
      <c r="J652">
        <f t="shared" si="133"/>
        <v>2017</v>
      </c>
      <c r="K652">
        <f t="shared" si="134"/>
        <v>8</v>
      </c>
      <c r="L652">
        <f t="shared" si="135"/>
        <v>30</v>
      </c>
      <c r="M652" s="3">
        <f t="shared" ca="1" si="136"/>
        <v>46100</v>
      </c>
      <c r="N652">
        <f t="shared" ca="1" si="137"/>
        <v>3123</v>
      </c>
      <c r="O652">
        <f t="shared" ca="1" si="138"/>
        <v>3123</v>
      </c>
      <c r="P652">
        <f t="shared" ca="1" si="139"/>
        <v>2232</v>
      </c>
      <c r="Q652">
        <v>39</v>
      </c>
      <c r="R652" t="str">
        <f t="shared" si="140"/>
        <v>Old</v>
      </c>
      <c r="S652" t="s">
        <v>34</v>
      </c>
      <c r="T652">
        <v>4</v>
      </c>
      <c r="U652" t="s">
        <v>25</v>
      </c>
      <c r="V652">
        <v>5990.89</v>
      </c>
      <c r="W652" t="s">
        <v>26</v>
      </c>
      <c r="X652" t="s">
        <v>47</v>
      </c>
      <c r="Y652">
        <v>2</v>
      </c>
      <c r="Z652" t="str">
        <f t="shared" si="141"/>
        <v>Bad Employee</v>
      </c>
      <c r="AA652" t="b">
        <f t="shared" si="142"/>
        <v>0</v>
      </c>
      <c r="AB652" t="b">
        <f>OR(Y652&gt;20, T652&gt;6)</f>
        <v>0</v>
      </c>
      <c r="AC652" t="str">
        <f>IF(OR(Y652&gt;20,T652&gt;6), "Good employee", "Bad Employee")</f>
        <v>Bad Employee</v>
      </c>
      <c r="AD652" t="s">
        <v>41</v>
      </c>
      <c r="AE652" t="s">
        <v>62</v>
      </c>
      <c r="AF652">
        <v>15</v>
      </c>
      <c r="AG652">
        <v>2022</v>
      </c>
      <c r="AH652" t="s">
        <v>49</v>
      </c>
      <c r="AI652">
        <v>83</v>
      </c>
      <c r="AJ652">
        <v>3.2</v>
      </c>
    </row>
    <row r="653" spans="1:36" x14ac:dyDescent="0.25">
      <c r="A653">
        <v>10652</v>
      </c>
      <c r="B653" t="s">
        <v>53</v>
      </c>
      <c r="C653" t="s">
        <v>32</v>
      </c>
      <c r="D653" t="s">
        <v>23</v>
      </c>
      <c r="E653" t="str">
        <f t="shared" si="130"/>
        <v>Sarah Wilson is in HR Department</v>
      </c>
      <c r="F653" s="6" t="str">
        <f t="shared" si="131"/>
        <v>sarahwilson@gmail.com</v>
      </c>
      <c r="G653">
        <v>78581</v>
      </c>
      <c r="H653" t="str">
        <f t="shared" si="132"/>
        <v>Medium</v>
      </c>
      <c r="I653" s="3">
        <v>40460</v>
      </c>
      <c r="J653">
        <f t="shared" si="133"/>
        <v>2010</v>
      </c>
      <c r="K653">
        <f t="shared" si="134"/>
        <v>10</v>
      </c>
      <c r="L653">
        <f t="shared" si="135"/>
        <v>9</v>
      </c>
      <c r="M653" s="3">
        <f t="shared" ca="1" si="136"/>
        <v>46100</v>
      </c>
      <c r="N653">
        <f t="shared" ca="1" si="137"/>
        <v>5640</v>
      </c>
      <c r="O653">
        <f t="shared" ca="1" si="138"/>
        <v>5640</v>
      </c>
      <c r="P653">
        <f t="shared" ca="1" si="139"/>
        <v>4029</v>
      </c>
      <c r="Q653">
        <v>63</v>
      </c>
      <c r="R653" t="str">
        <f t="shared" si="140"/>
        <v>Old</v>
      </c>
      <c r="S653" t="s">
        <v>34</v>
      </c>
      <c r="T653">
        <v>5</v>
      </c>
      <c r="U653" t="s">
        <v>45</v>
      </c>
      <c r="V653">
        <v>5569.66</v>
      </c>
      <c r="W653" t="s">
        <v>35</v>
      </c>
      <c r="X653" t="s">
        <v>27</v>
      </c>
      <c r="Y653">
        <v>11</v>
      </c>
      <c r="Z653" t="str">
        <f t="shared" si="141"/>
        <v>Bad Employee</v>
      </c>
      <c r="AA653" t="b">
        <f t="shared" si="142"/>
        <v>0</v>
      </c>
      <c r="AB653" t="b">
        <f>OR(Y653&gt;20, T653&gt;6)</f>
        <v>0</v>
      </c>
      <c r="AC653" t="str">
        <f>IF(OR(Y653&gt;20,T653&gt;6), "Good employee", "Bad Employee")</f>
        <v>Bad Employee</v>
      </c>
      <c r="AD653" t="s">
        <v>56</v>
      </c>
      <c r="AE653" t="s">
        <v>37</v>
      </c>
      <c r="AF653">
        <v>1</v>
      </c>
      <c r="AG653">
        <v>2021</v>
      </c>
      <c r="AH653" t="s">
        <v>49</v>
      </c>
      <c r="AI653">
        <v>40</v>
      </c>
      <c r="AJ653">
        <v>2</v>
      </c>
    </row>
    <row r="654" spans="1:36" x14ac:dyDescent="0.25">
      <c r="A654">
        <v>10653</v>
      </c>
      <c r="B654" t="s">
        <v>21</v>
      </c>
      <c r="C654" t="s">
        <v>65</v>
      </c>
      <c r="D654" t="s">
        <v>44</v>
      </c>
      <c r="E654" t="str">
        <f t="shared" si="130"/>
        <v>Michael Johnson is in Sales Department</v>
      </c>
      <c r="F654" s="6" t="str">
        <f t="shared" si="131"/>
        <v>michaeljohnson@gmail.com</v>
      </c>
      <c r="G654">
        <v>50754</v>
      </c>
      <c r="H654" t="str">
        <f t="shared" si="132"/>
        <v>Medium</v>
      </c>
      <c r="I654" s="3">
        <v>39743</v>
      </c>
      <c r="J654">
        <f t="shared" si="133"/>
        <v>2008</v>
      </c>
      <c r="K654">
        <f t="shared" si="134"/>
        <v>10</v>
      </c>
      <c r="L654">
        <f t="shared" si="135"/>
        <v>22</v>
      </c>
      <c r="M654" s="3">
        <f t="shared" ca="1" si="136"/>
        <v>46100</v>
      </c>
      <c r="N654">
        <f t="shared" ca="1" si="137"/>
        <v>6357</v>
      </c>
      <c r="O654">
        <f t="shared" ca="1" si="138"/>
        <v>6357</v>
      </c>
      <c r="P654">
        <f t="shared" ca="1" si="139"/>
        <v>4542</v>
      </c>
      <c r="Q654">
        <v>62</v>
      </c>
      <c r="R654" t="str">
        <f t="shared" si="140"/>
        <v>Old</v>
      </c>
      <c r="S654" t="s">
        <v>34</v>
      </c>
      <c r="T654">
        <v>5</v>
      </c>
      <c r="U654" t="s">
        <v>25</v>
      </c>
      <c r="V654">
        <v>2478.52</v>
      </c>
      <c r="W654" t="s">
        <v>46</v>
      </c>
      <c r="X654" t="s">
        <v>40</v>
      </c>
      <c r="Y654">
        <v>21</v>
      </c>
      <c r="Z654" t="str">
        <f t="shared" si="141"/>
        <v>Bad Employee</v>
      </c>
      <c r="AA654" t="b">
        <f t="shared" si="142"/>
        <v>0</v>
      </c>
      <c r="AB654" t="b">
        <f>OR(Y654&gt;20, T654&gt;6)</f>
        <v>1</v>
      </c>
      <c r="AC654" t="str">
        <f>IF(OR(Y654&gt;20,T654&gt;6), "Good employee", "Bad Employee")</f>
        <v>Good employee</v>
      </c>
      <c r="AD654" t="s">
        <v>56</v>
      </c>
      <c r="AE654" t="s">
        <v>42</v>
      </c>
      <c r="AF654">
        <v>1</v>
      </c>
      <c r="AG654">
        <v>2016</v>
      </c>
      <c r="AH654" t="s">
        <v>30</v>
      </c>
      <c r="AI654">
        <v>53</v>
      </c>
      <c r="AJ654">
        <v>4.8</v>
      </c>
    </row>
    <row r="655" spans="1:36" x14ac:dyDescent="0.25">
      <c r="A655">
        <v>10654</v>
      </c>
      <c r="B655" t="s">
        <v>38</v>
      </c>
      <c r="C655" t="s">
        <v>57</v>
      </c>
      <c r="D655" t="s">
        <v>52</v>
      </c>
      <c r="E655" t="str">
        <f t="shared" si="130"/>
        <v>Chris Davis is in Operations Department</v>
      </c>
      <c r="F655" s="6" t="str">
        <f t="shared" si="131"/>
        <v>chrisdavis@gmail.com</v>
      </c>
      <c r="G655">
        <v>99837</v>
      </c>
      <c r="H655" t="str">
        <f t="shared" si="132"/>
        <v>High</v>
      </c>
      <c r="I655" s="3">
        <v>42320</v>
      </c>
      <c r="J655">
        <f t="shared" si="133"/>
        <v>2015</v>
      </c>
      <c r="K655">
        <f t="shared" si="134"/>
        <v>11</v>
      </c>
      <c r="L655">
        <f t="shared" si="135"/>
        <v>12</v>
      </c>
      <c r="M655" s="3">
        <f t="shared" ca="1" si="136"/>
        <v>46100</v>
      </c>
      <c r="N655">
        <f t="shared" ca="1" si="137"/>
        <v>3780</v>
      </c>
      <c r="O655">
        <f t="shared" ca="1" si="138"/>
        <v>3780</v>
      </c>
      <c r="P655">
        <f t="shared" ca="1" si="139"/>
        <v>2701</v>
      </c>
      <c r="Q655">
        <v>27</v>
      </c>
      <c r="R655" t="str">
        <f t="shared" si="140"/>
        <v>Young</v>
      </c>
      <c r="S655" t="s">
        <v>34</v>
      </c>
      <c r="T655">
        <v>2</v>
      </c>
      <c r="U655" t="s">
        <v>25</v>
      </c>
      <c r="V655">
        <v>1841.5</v>
      </c>
      <c r="W655" t="s">
        <v>46</v>
      </c>
      <c r="X655" t="s">
        <v>36</v>
      </c>
      <c r="Y655">
        <v>37</v>
      </c>
      <c r="Z655" t="str">
        <f t="shared" si="141"/>
        <v>Bad Employee</v>
      </c>
      <c r="AA655" t="b">
        <f t="shared" si="142"/>
        <v>0</v>
      </c>
      <c r="AB655" t="b">
        <f>OR(Y655&gt;20, T655&gt;6)</f>
        <v>1</v>
      </c>
      <c r="AC655" t="str">
        <f>IF(OR(Y655&gt;20,T655&gt;6), "Good employee", "Bad Employee")</f>
        <v>Good employee</v>
      </c>
      <c r="AD655" t="s">
        <v>56</v>
      </c>
      <c r="AE655" t="s">
        <v>37</v>
      </c>
      <c r="AF655">
        <v>4</v>
      </c>
      <c r="AG655">
        <v>2014</v>
      </c>
      <c r="AH655" t="s">
        <v>49</v>
      </c>
      <c r="AI655">
        <v>5</v>
      </c>
      <c r="AJ655">
        <v>3.5</v>
      </c>
    </row>
    <row r="656" spans="1:36" x14ac:dyDescent="0.25">
      <c r="A656">
        <v>10655</v>
      </c>
      <c r="B656" t="s">
        <v>64</v>
      </c>
      <c r="C656" t="s">
        <v>57</v>
      </c>
      <c r="D656" t="s">
        <v>33</v>
      </c>
      <c r="E656" t="str">
        <f t="shared" si="130"/>
        <v>Katie Davis is in Marketing Department</v>
      </c>
      <c r="F656" s="6" t="str">
        <f t="shared" si="131"/>
        <v>katiedavis@gmail.com</v>
      </c>
      <c r="G656">
        <v>37207</v>
      </c>
      <c r="H656" t="str">
        <f t="shared" si="132"/>
        <v>extremely low</v>
      </c>
      <c r="I656" s="3">
        <v>43360</v>
      </c>
      <c r="J656">
        <f t="shared" si="133"/>
        <v>2018</v>
      </c>
      <c r="K656">
        <f t="shared" si="134"/>
        <v>9</v>
      </c>
      <c r="L656">
        <f t="shared" si="135"/>
        <v>17</v>
      </c>
      <c r="M656" s="3">
        <f t="shared" ca="1" si="136"/>
        <v>46100</v>
      </c>
      <c r="N656">
        <f t="shared" ca="1" si="137"/>
        <v>2740</v>
      </c>
      <c r="O656">
        <f t="shared" ca="1" si="138"/>
        <v>2740</v>
      </c>
      <c r="P656">
        <f t="shared" ca="1" si="139"/>
        <v>1959</v>
      </c>
      <c r="Q656">
        <v>54</v>
      </c>
      <c r="R656" t="str">
        <f t="shared" si="140"/>
        <v>Old</v>
      </c>
      <c r="S656" t="s">
        <v>34</v>
      </c>
      <c r="T656">
        <v>7</v>
      </c>
      <c r="U656" t="s">
        <v>25</v>
      </c>
      <c r="V656">
        <v>7710.14</v>
      </c>
      <c r="W656" t="s">
        <v>46</v>
      </c>
      <c r="X656" t="s">
        <v>47</v>
      </c>
      <c r="Y656">
        <v>6</v>
      </c>
      <c r="Z656" t="str">
        <f t="shared" si="141"/>
        <v>Bad Employee</v>
      </c>
      <c r="AA656" t="b">
        <f t="shared" si="142"/>
        <v>0</v>
      </c>
      <c r="AB656" t="b">
        <f>OR(Y656&gt;20, T656&gt;6)</f>
        <v>1</v>
      </c>
      <c r="AC656" t="str">
        <f>IF(OR(Y656&gt;20,T656&gt;6), "Good employee", "Bad Employee")</f>
        <v>Good employee</v>
      </c>
      <c r="AD656" t="s">
        <v>28</v>
      </c>
      <c r="AE656" t="s">
        <v>37</v>
      </c>
      <c r="AF656">
        <v>13</v>
      </c>
      <c r="AG656">
        <v>2021</v>
      </c>
      <c r="AH656" t="s">
        <v>43</v>
      </c>
      <c r="AI656">
        <v>174</v>
      </c>
      <c r="AJ656">
        <v>2.2000000000000002</v>
      </c>
    </row>
    <row r="657" spans="1:36" x14ac:dyDescent="0.25">
      <c r="A657">
        <v>10656</v>
      </c>
      <c r="B657" t="s">
        <v>38</v>
      </c>
      <c r="C657" t="s">
        <v>63</v>
      </c>
      <c r="D657" t="s">
        <v>44</v>
      </c>
      <c r="E657" t="str">
        <f t="shared" si="130"/>
        <v>Chris Miller is in Sales Department</v>
      </c>
      <c r="F657" s="6" t="str">
        <f t="shared" si="131"/>
        <v>chrismiller@gmail.com</v>
      </c>
      <c r="G657">
        <v>57920</v>
      </c>
      <c r="H657" t="str">
        <f t="shared" si="132"/>
        <v>Medium</v>
      </c>
      <c r="I657" s="3">
        <v>42758</v>
      </c>
      <c r="J657">
        <f t="shared" si="133"/>
        <v>2017</v>
      </c>
      <c r="K657">
        <f t="shared" si="134"/>
        <v>1</v>
      </c>
      <c r="L657">
        <f t="shared" si="135"/>
        <v>23</v>
      </c>
      <c r="M657" s="3">
        <f t="shared" ca="1" si="136"/>
        <v>46100</v>
      </c>
      <c r="N657">
        <f t="shared" ca="1" si="137"/>
        <v>3342</v>
      </c>
      <c r="O657">
        <f t="shared" ca="1" si="138"/>
        <v>3342</v>
      </c>
      <c r="P657">
        <f t="shared" ca="1" si="139"/>
        <v>2389</v>
      </c>
      <c r="Q657">
        <v>58</v>
      </c>
      <c r="R657" t="str">
        <f t="shared" si="140"/>
        <v>Old</v>
      </c>
      <c r="S657" t="s">
        <v>24</v>
      </c>
      <c r="T657">
        <v>7</v>
      </c>
      <c r="U657" t="s">
        <v>45</v>
      </c>
      <c r="V657">
        <v>3564.57</v>
      </c>
      <c r="W657" t="s">
        <v>58</v>
      </c>
      <c r="X657" t="s">
        <v>27</v>
      </c>
      <c r="Y657">
        <v>19</v>
      </c>
      <c r="Z657" t="str">
        <f t="shared" si="141"/>
        <v>Bad Employee</v>
      </c>
      <c r="AA657" t="b">
        <f t="shared" si="142"/>
        <v>0</v>
      </c>
      <c r="AB657" t="b">
        <f>OR(Y657&gt;20, T657&gt;6)</f>
        <v>1</v>
      </c>
      <c r="AC657" t="str">
        <f>IF(OR(Y657&gt;20,T657&gt;6), "Good employee", "Bad Employee")</f>
        <v>Good employee</v>
      </c>
      <c r="AD657" t="s">
        <v>56</v>
      </c>
      <c r="AE657" t="s">
        <v>37</v>
      </c>
      <c r="AF657">
        <v>9</v>
      </c>
      <c r="AG657">
        <v>2019</v>
      </c>
      <c r="AH657" t="s">
        <v>30</v>
      </c>
      <c r="AI657">
        <v>173</v>
      </c>
      <c r="AJ657">
        <v>1.9</v>
      </c>
    </row>
    <row r="658" spans="1:36" x14ac:dyDescent="0.25">
      <c r="A658">
        <v>10657</v>
      </c>
      <c r="B658" t="s">
        <v>21</v>
      </c>
      <c r="C658" t="s">
        <v>51</v>
      </c>
      <c r="D658" t="s">
        <v>23</v>
      </c>
      <c r="E658" t="str">
        <f t="shared" si="130"/>
        <v>Michael Brown is in HR Department</v>
      </c>
      <c r="F658" s="6" t="str">
        <f t="shared" si="131"/>
        <v>michaelbrown@gmail.com</v>
      </c>
      <c r="G658">
        <v>117739</v>
      </c>
      <c r="H658" t="str">
        <f t="shared" si="132"/>
        <v>High</v>
      </c>
      <c r="I658" s="3">
        <v>39308</v>
      </c>
      <c r="J658">
        <f t="shared" si="133"/>
        <v>2007</v>
      </c>
      <c r="K658">
        <f t="shared" si="134"/>
        <v>8</v>
      </c>
      <c r="L658">
        <f t="shared" si="135"/>
        <v>14</v>
      </c>
      <c r="M658" s="3">
        <f t="shared" ca="1" si="136"/>
        <v>46100</v>
      </c>
      <c r="N658">
        <f t="shared" ca="1" si="137"/>
        <v>6792</v>
      </c>
      <c r="O658">
        <f t="shared" ca="1" si="138"/>
        <v>6792</v>
      </c>
      <c r="P658">
        <f t="shared" ca="1" si="139"/>
        <v>4853</v>
      </c>
      <c r="Q658">
        <v>63</v>
      </c>
      <c r="R658" t="str">
        <f t="shared" si="140"/>
        <v>Old</v>
      </c>
      <c r="S658" t="s">
        <v>24</v>
      </c>
      <c r="T658">
        <v>9</v>
      </c>
      <c r="U658" t="s">
        <v>45</v>
      </c>
      <c r="V658">
        <v>2818.39</v>
      </c>
      <c r="W658" t="s">
        <v>58</v>
      </c>
      <c r="X658" t="s">
        <v>47</v>
      </c>
      <c r="Y658">
        <v>30</v>
      </c>
      <c r="Z658" t="str">
        <f t="shared" si="141"/>
        <v>Good Employee</v>
      </c>
      <c r="AA658" t="b">
        <f t="shared" si="142"/>
        <v>1</v>
      </c>
      <c r="AB658" t="b">
        <f>OR(Y658&gt;20, T658&gt;6)</f>
        <v>1</v>
      </c>
      <c r="AC658" t="str">
        <f>IF(OR(Y658&gt;20,T658&gt;6), "Good employee", "Bad Employee")</f>
        <v>Good employee</v>
      </c>
      <c r="AD658" t="s">
        <v>41</v>
      </c>
      <c r="AE658" t="s">
        <v>37</v>
      </c>
      <c r="AF658">
        <v>9</v>
      </c>
      <c r="AG658">
        <v>2016</v>
      </c>
      <c r="AH658" t="s">
        <v>30</v>
      </c>
      <c r="AI658">
        <v>77</v>
      </c>
      <c r="AJ658">
        <v>3.9</v>
      </c>
    </row>
    <row r="659" spans="1:36" x14ac:dyDescent="0.25">
      <c r="A659">
        <v>10658</v>
      </c>
      <c r="B659" t="s">
        <v>50</v>
      </c>
      <c r="C659" t="s">
        <v>32</v>
      </c>
      <c r="D659" t="s">
        <v>33</v>
      </c>
      <c r="E659" t="str">
        <f t="shared" si="130"/>
        <v>Alex Wilson is in Marketing Department</v>
      </c>
      <c r="F659" s="6" t="str">
        <f t="shared" si="131"/>
        <v>alexwilson@gmail.com</v>
      </c>
      <c r="G659">
        <v>117081</v>
      </c>
      <c r="H659" t="str">
        <f t="shared" si="132"/>
        <v>High</v>
      </c>
      <c r="I659" s="3">
        <v>37303</v>
      </c>
      <c r="J659">
        <f t="shared" si="133"/>
        <v>2002</v>
      </c>
      <c r="K659">
        <f t="shared" si="134"/>
        <v>2</v>
      </c>
      <c r="L659">
        <f t="shared" si="135"/>
        <v>16</v>
      </c>
      <c r="M659" s="3">
        <f t="shared" ca="1" si="136"/>
        <v>46100</v>
      </c>
      <c r="N659">
        <f t="shared" ca="1" si="137"/>
        <v>8797</v>
      </c>
      <c r="O659">
        <f t="shared" ca="1" si="138"/>
        <v>8797</v>
      </c>
      <c r="P659">
        <f t="shared" ca="1" si="139"/>
        <v>6284</v>
      </c>
      <c r="Q659">
        <v>46</v>
      </c>
      <c r="R659" t="str">
        <f t="shared" si="140"/>
        <v>Old</v>
      </c>
      <c r="S659" t="s">
        <v>34</v>
      </c>
      <c r="T659">
        <v>9</v>
      </c>
      <c r="U659" t="s">
        <v>25</v>
      </c>
      <c r="V659">
        <v>7509.84</v>
      </c>
      <c r="W659" t="s">
        <v>58</v>
      </c>
      <c r="X659" t="s">
        <v>55</v>
      </c>
      <c r="Y659">
        <v>39</v>
      </c>
      <c r="Z659" t="str">
        <f t="shared" si="141"/>
        <v>Good Employee</v>
      </c>
      <c r="AA659" t="b">
        <f t="shared" si="142"/>
        <v>1</v>
      </c>
      <c r="AB659" t="b">
        <f>OR(Y659&gt;20, T659&gt;6)</f>
        <v>1</v>
      </c>
      <c r="AC659" t="str">
        <f>IF(OR(Y659&gt;20,T659&gt;6), "Good employee", "Bad Employee")</f>
        <v>Good employee</v>
      </c>
      <c r="AD659" t="s">
        <v>56</v>
      </c>
      <c r="AE659" t="s">
        <v>62</v>
      </c>
      <c r="AF659">
        <v>17</v>
      </c>
      <c r="AG659">
        <v>2012</v>
      </c>
      <c r="AH659" t="s">
        <v>30</v>
      </c>
      <c r="AI659">
        <v>189</v>
      </c>
      <c r="AJ659">
        <v>3.8</v>
      </c>
    </row>
    <row r="660" spans="1:36" x14ac:dyDescent="0.25">
      <c r="A660">
        <v>10659</v>
      </c>
      <c r="B660" t="s">
        <v>31</v>
      </c>
      <c r="C660" t="s">
        <v>65</v>
      </c>
      <c r="D660" t="s">
        <v>33</v>
      </c>
      <c r="E660" t="str">
        <f t="shared" si="130"/>
        <v>Emily Johnson is in Marketing Department</v>
      </c>
      <c r="F660" s="6" t="str">
        <f t="shared" si="131"/>
        <v>emilyjohnson@gmail.com</v>
      </c>
      <c r="G660">
        <v>54016</v>
      </c>
      <c r="H660" t="str">
        <f t="shared" si="132"/>
        <v>Medium</v>
      </c>
      <c r="I660" s="3">
        <v>43420</v>
      </c>
      <c r="J660">
        <f t="shared" si="133"/>
        <v>2018</v>
      </c>
      <c r="K660">
        <f t="shared" si="134"/>
        <v>11</v>
      </c>
      <c r="L660">
        <f t="shared" si="135"/>
        <v>16</v>
      </c>
      <c r="M660" s="3">
        <f t="shared" ca="1" si="136"/>
        <v>46100</v>
      </c>
      <c r="N660">
        <f t="shared" ca="1" si="137"/>
        <v>2680</v>
      </c>
      <c r="O660">
        <f t="shared" ca="1" si="138"/>
        <v>2680</v>
      </c>
      <c r="P660">
        <f t="shared" ca="1" si="139"/>
        <v>1915</v>
      </c>
      <c r="Q660">
        <v>34</v>
      </c>
      <c r="R660" t="str">
        <f t="shared" si="140"/>
        <v>Old</v>
      </c>
      <c r="S660" t="s">
        <v>24</v>
      </c>
      <c r="T660">
        <v>4</v>
      </c>
      <c r="U660" t="s">
        <v>25</v>
      </c>
      <c r="V660">
        <v>7492.65</v>
      </c>
      <c r="W660" t="s">
        <v>46</v>
      </c>
      <c r="X660" t="s">
        <v>36</v>
      </c>
      <c r="Y660">
        <v>36</v>
      </c>
      <c r="Z660" t="str">
        <f t="shared" si="141"/>
        <v>Bad Employee</v>
      </c>
      <c r="AA660" t="b">
        <f t="shared" si="142"/>
        <v>0</v>
      </c>
      <c r="AB660" t="b">
        <f>OR(Y660&gt;20, T660&gt;6)</f>
        <v>1</v>
      </c>
      <c r="AC660" t="str">
        <f>IF(OR(Y660&gt;20,T660&gt;6), "Good employee", "Bad Employee")</f>
        <v>Good employee</v>
      </c>
      <c r="AD660" t="s">
        <v>28</v>
      </c>
      <c r="AE660" t="s">
        <v>42</v>
      </c>
      <c r="AF660">
        <v>19</v>
      </c>
      <c r="AG660">
        <v>2019</v>
      </c>
      <c r="AH660" t="s">
        <v>43</v>
      </c>
      <c r="AI660">
        <v>120</v>
      </c>
      <c r="AJ660">
        <v>3.4</v>
      </c>
    </row>
    <row r="661" spans="1:36" x14ac:dyDescent="0.25">
      <c r="A661">
        <v>10660</v>
      </c>
      <c r="B661" t="s">
        <v>60</v>
      </c>
      <c r="C661" t="s">
        <v>51</v>
      </c>
      <c r="D661" t="s">
        <v>52</v>
      </c>
      <c r="E661" t="str">
        <f t="shared" si="130"/>
        <v>Jane Brown is in Operations Department</v>
      </c>
      <c r="F661" s="6" t="str">
        <f t="shared" si="131"/>
        <v>janebrown@gmail.com</v>
      </c>
      <c r="G661">
        <v>90522</v>
      </c>
      <c r="H661" t="str">
        <f t="shared" si="132"/>
        <v>High</v>
      </c>
      <c r="I661" s="3">
        <v>39905</v>
      </c>
      <c r="J661">
        <f t="shared" si="133"/>
        <v>2009</v>
      </c>
      <c r="K661">
        <f t="shared" si="134"/>
        <v>4</v>
      </c>
      <c r="L661">
        <f t="shared" si="135"/>
        <v>2</v>
      </c>
      <c r="M661" s="3">
        <f t="shared" ca="1" si="136"/>
        <v>46100</v>
      </c>
      <c r="N661">
        <f t="shared" ca="1" si="137"/>
        <v>6195</v>
      </c>
      <c r="O661">
        <f t="shared" ca="1" si="138"/>
        <v>6195</v>
      </c>
      <c r="P661">
        <f t="shared" ca="1" si="139"/>
        <v>4426</v>
      </c>
      <c r="Q661">
        <v>44</v>
      </c>
      <c r="R661" t="str">
        <f t="shared" si="140"/>
        <v>Old</v>
      </c>
      <c r="S661" t="s">
        <v>34</v>
      </c>
      <c r="T661">
        <v>5</v>
      </c>
      <c r="U661" t="s">
        <v>45</v>
      </c>
      <c r="V661">
        <v>3125.82</v>
      </c>
      <c r="W661" t="s">
        <v>26</v>
      </c>
      <c r="X661" t="s">
        <v>40</v>
      </c>
      <c r="Y661">
        <v>20</v>
      </c>
      <c r="Z661" t="str">
        <f t="shared" si="141"/>
        <v>Bad Employee</v>
      </c>
      <c r="AA661" t="b">
        <f t="shared" si="142"/>
        <v>0</v>
      </c>
      <c r="AB661" t="b">
        <f>OR(Y661&gt;20, T661&gt;6)</f>
        <v>0</v>
      </c>
      <c r="AC661" t="str">
        <f>IF(OR(Y661&gt;20,T661&gt;6), "Good employee", "Bad Employee")</f>
        <v>Bad Employee</v>
      </c>
      <c r="AD661" t="s">
        <v>56</v>
      </c>
      <c r="AE661" t="s">
        <v>42</v>
      </c>
      <c r="AF661">
        <v>8</v>
      </c>
      <c r="AG661">
        <v>2020</v>
      </c>
      <c r="AH661" t="s">
        <v>30</v>
      </c>
      <c r="AI661">
        <v>152</v>
      </c>
      <c r="AJ661">
        <v>3.5</v>
      </c>
    </row>
    <row r="662" spans="1:36" x14ac:dyDescent="0.25">
      <c r="A662">
        <v>10661</v>
      </c>
      <c r="B662" t="s">
        <v>53</v>
      </c>
      <c r="C662" t="s">
        <v>32</v>
      </c>
      <c r="D662" t="s">
        <v>33</v>
      </c>
      <c r="E662" t="str">
        <f t="shared" si="130"/>
        <v>Sarah Wilson is in Marketing Department</v>
      </c>
      <c r="F662" s="6" t="str">
        <f t="shared" si="131"/>
        <v>sarahwilson@gmail.com</v>
      </c>
      <c r="G662">
        <v>104092</v>
      </c>
      <c r="H662" t="str">
        <f t="shared" si="132"/>
        <v>High</v>
      </c>
      <c r="I662" s="3">
        <v>38944</v>
      </c>
      <c r="J662">
        <f t="shared" si="133"/>
        <v>2006</v>
      </c>
      <c r="K662">
        <f t="shared" si="134"/>
        <v>8</v>
      </c>
      <c r="L662">
        <f t="shared" si="135"/>
        <v>15</v>
      </c>
      <c r="M662" s="3">
        <f t="shared" ca="1" si="136"/>
        <v>46100</v>
      </c>
      <c r="N662">
        <f t="shared" ca="1" si="137"/>
        <v>7156</v>
      </c>
      <c r="O662">
        <f t="shared" ca="1" si="138"/>
        <v>7156</v>
      </c>
      <c r="P662">
        <f t="shared" ca="1" si="139"/>
        <v>5113</v>
      </c>
      <c r="Q662">
        <v>57</v>
      </c>
      <c r="R662" t="str">
        <f t="shared" si="140"/>
        <v>Old</v>
      </c>
      <c r="S662" t="s">
        <v>34</v>
      </c>
      <c r="T662">
        <v>7</v>
      </c>
      <c r="U662" t="s">
        <v>45</v>
      </c>
      <c r="V662">
        <v>8789.4</v>
      </c>
      <c r="W662" t="s">
        <v>26</v>
      </c>
      <c r="X662" t="s">
        <v>47</v>
      </c>
      <c r="Y662">
        <v>10</v>
      </c>
      <c r="Z662" t="str">
        <f t="shared" si="141"/>
        <v>Bad Employee</v>
      </c>
      <c r="AA662" t="b">
        <f t="shared" si="142"/>
        <v>0</v>
      </c>
      <c r="AB662" t="b">
        <f>OR(Y662&gt;20, T662&gt;6)</f>
        <v>1</v>
      </c>
      <c r="AC662" t="str">
        <f>IF(OR(Y662&gt;20,T662&gt;6), "Good employee", "Bad Employee")</f>
        <v>Good employee</v>
      </c>
      <c r="AD662" t="s">
        <v>28</v>
      </c>
      <c r="AE662" t="s">
        <v>29</v>
      </c>
      <c r="AF662">
        <v>3</v>
      </c>
      <c r="AG662">
        <v>2016</v>
      </c>
      <c r="AH662" t="s">
        <v>49</v>
      </c>
      <c r="AI662">
        <v>18</v>
      </c>
      <c r="AJ662">
        <v>3.4</v>
      </c>
    </row>
    <row r="663" spans="1:36" x14ac:dyDescent="0.25">
      <c r="A663">
        <v>10662</v>
      </c>
      <c r="B663" t="s">
        <v>50</v>
      </c>
      <c r="C663" t="s">
        <v>65</v>
      </c>
      <c r="D663" t="s">
        <v>54</v>
      </c>
      <c r="E663" t="str">
        <f t="shared" si="130"/>
        <v>Alex Johnson is in Finance Department</v>
      </c>
      <c r="F663" s="6" t="str">
        <f t="shared" si="131"/>
        <v>alexjohnson@gmail.com</v>
      </c>
      <c r="G663">
        <v>84068</v>
      </c>
      <c r="H663" t="str">
        <f t="shared" si="132"/>
        <v>High</v>
      </c>
      <c r="I663" s="3">
        <v>43120</v>
      </c>
      <c r="J663">
        <f t="shared" si="133"/>
        <v>2018</v>
      </c>
      <c r="K663">
        <f t="shared" si="134"/>
        <v>1</v>
      </c>
      <c r="L663">
        <f t="shared" si="135"/>
        <v>20</v>
      </c>
      <c r="M663" s="3">
        <f t="shared" ca="1" si="136"/>
        <v>46100</v>
      </c>
      <c r="N663">
        <f t="shared" ca="1" si="137"/>
        <v>2980</v>
      </c>
      <c r="O663">
        <f t="shared" ca="1" si="138"/>
        <v>2980</v>
      </c>
      <c r="P663">
        <f t="shared" ca="1" si="139"/>
        <v>2129</v>
      </c>
      <c r="Q663">
        <v>54</v>
      </c>
      <c r="R663" t="str">
        <f t="shared" si="140"/>
        <v>Old</v>
      </c>
      <c r="S663" t="s">
        <v>34</v>
      </c>
      <c r="T663">
        <v>7</v>
      </c>
      <c r="U663" t="s">
        <v>25</v>
      </c>
      <c r="V663">
        <v>7038.38</v>
      </c>
      <c r="W663" t="s">
        <v>46</v>
      </c>
      <c r="X663" t="s">
        <v>55</v>
      </c>
      <c r="Y663">
        <v>24</v>
      </c>
      <c r="Z663" t="str">
        <f t="shared" si="141"/>
        <v>Good Employee</v>
      </c>
      <c r="AA663" t="b">
        <f t="shared" si="142"/>
        <v>1</v>
      </c>
      <c r="AB663" t="b">
        <f>OR(Y663&gt;20, T663&gt;6)</f>
        <v>1</v>
      </c>
      <c r="AC663" t="str">
        <f>IF(OR(Y663&gt;20,T663&gt;6), "Good employee", "Bad Employee")</f>
        <v>Good employee</v>
      </c>
      <c r="AD663" t="s">
        <v>28</v>
      </c>
      <c r="AE663" t="s">
        <v>62</v>
      </c>
      <c r="AF663">
        <v>16</v>
      </c>
      <c r="AG663">
        <v>2016</v>
      </c>
      <c r="AH663" t="s">
        <v>43</v>
      </c>
      <c r="AI663">
        <v>126</v>
      </c>
      <c r="AJ663">
        <v>2.4</v>
      </c>
    </row>
    <row r="664" spans="1:36" x14ac:dyDescent="0.25">
      <c r="A664">
        <v>10663</v>
      </c>
      <c r="B664" t="s">
        <v>38</v>
      </c>
      <c r="C664" t="s">
        <v>51</v>
      </c>
      <c r="D664" t="s">
        <v>33</v>
      </c>
      <c r="E664" t="str">
        <f t="shared" si="130"/>
        <v>Chris Brown is in Marketing Department</v>
      </c>
      <c r="F664" s="6" t="str">
        <f t="shared" si="131"/>
        <v>chrisbrown@gmail.com</v>
      </c>
      <c r="G664">
        <v>50102</v>
      </c>
      <c r="H664" t="str">
        <f t="shared" si="132"/>
        <v>Medium</v>
      </c>
      <c r="I664" s="3">
        <v>40603</v>
      </c>
      <c r="J664">
        <f t="shared" si="133"/>
        <v>2011</v>
      </c>
      <c r="K664">
        <f t="shared" si="134"/>
        <v>3</v>
      </c>
      <c r="L664">
        <f t="shared" si="135"/>
        <v>1</v>
      </c>
      <c r="M664" s="3">
        <f t="shared" ca="1" si="136"/>
        <v>46100</v>
      </c>
      <c r="N664">
        <f t="shared" ca="1" si="137"/>
        <v>5497</v>
      </c>
      <c r="O664">
        <f t="shared" ca="1" si="138"/>
        <v>5497</v>
      </c>
      <c r="P664">
        <f t="shared" ca="1" si="139"/>
        <v>3928</v>
      </c>
      <c r="Q664">
        <v>42</v>
      </c>
      <c r="R664" t="str">
        <f t="shared" si="140"/>
        <v>Old</v>
      </c>
      <c r="S664" t="s">
        <v>34</v>
      </c>
      <c r="T664">
        <v>8</v>
      </c>
      <c r="U664" t="s">
        <v>25</v>
      </c>
      <c r="V664">
        <v>3784.76</v>
      </c>
      <c r="W664" t="s">
        <v>46</v>
      </c>
      <c r="X664" t="s">
        <v>55</v>
      </c>
      <c r="Y664">
        <v>33</v>
      </c>
      <c r="Z664" t="str">
        <f t="shared" si="141"/>
        <v>Good Employee</v>
      </c>
      <c r="AA664" t="b">
        <f t="shared" si="142"/>
        <v>1</v>
      </c>
      <c r="AB664" t="b">
        <f>OR(Y664&gt;20, T664&gt;6)</f>
        <v>1</v>
      </c>
      <c r="AC664" t="str">
        <f>IF(OR(Y664&gt;20,T664&gt;6), "Good employee", "Bad Employee")</f>
        <v>Good employee</v>
      </c>
      <c r="AD664" t="s">
        <v>41</v>
      </c>
      <c r="AE664" t="s">
        <v>48</v>
      </c>
      <c r="AF664">
        <v>1</v>
      </c>
      <c r="AG664">
        <v>2011</v>
      </c>
      <c r="AH664" t="s">
        <v>30</v>
      </c>
      <c r="AI664">
        <v>97</v>
      </c>
      <c r="AJ664">
        <v>4.7</v>
      </c>
    </row>
    <row r="665" spans="1:36" x14ac:dyDescent="0.25">
      <c r="A665">
        <v>10664</v>
      </c>
      <c r="B665" t="s">
        <v>64</v>
      </c>
      <c r="C665" t="s">
        <v>57</v>
      </c>
      <c r="D665" t="s">
        <v>52</v>
      </c>
      <c r="E665" t="str">
        <f t="shared" si="130"/>
        <v>Katie Davis is in Operations Department</v>
      </c>
      <c r="F665" s="6" t="str">
        <f t="shared" si="131"/>
        <v>katiedavis@gmail.com</v>
      </c>
      <c r="G665">
        <v>31924</v>
      </c>
      <c r="H665" t="str">
        <f t="shared" si="132"/>
        <v>extremely low</v>
      </c>
      <c r="I665" s="3">
        <v>40788</v>
      </c>
      <c r="J665">
        <f t="shared" si="133"/>
        <v>2011</v>
      </c>
      <c r="K665">
        <f t="shared" si="134"/>
        <v>9</v>
      </c>
      <c r="L665">
        <f t="shared" si="135"/>
        <v>2</v>
      </c>
      <c r="M665" s="3">
        <f t="shared" ca="1" si="136"/>
        <v>46100</v>
      </c>
      <c r="N665">
        <f t="shared" ca="1" si="137"/>
        <v>5312</v>
      </c>
      <c r="O665">
        <f t="shared" ca="1" si="138"/>
        <v>5312</v>
      </c>
      <c r="P665">
        <f t="shared" ca="1" si="139"/>
        <v>3795</v>
      </c>
      <c r="Q665">
        <v>55</v>
      </c>
      <c r="R665" t="str">
        <f t="shared" si="140"/>
        <v>Old</v>
      </c>
      <c r="S665" t="s">
        <v>34</v>
      </c>
      <c r="T665">
        <v>8</v>
      </c>
      <c r="U665" t="s">
        <v>25</v>
      </c>
      <c r="V665">
        <v>4561.1499999999996</v>
      </c>
      <c r="W665" t="s">
        <v>35</v>
      </c>
      <c r="X665" t="s">
        <v>36</v>
      </c>
      <c r="Y665">
        <v>29</v>
      </c>
      <c r="Z665" t="str">
        <f t="shared" si="141"/>
        <v>Good Employee</v>
      </c>
      <c r="AA665" t="b">
        <f t="shared" si="142"/>
        <v>1</v>
      </c>
      <c r="AB665" t="b">
        <f>OR(Y665&gt;20, T665&gt;6)</f>
        <v>1</v>
      </c>
      <c r="AC665" t="str">
        <f>IF(OR(Y665&gt;20,T665&gt;6), "Good employee", "Bad Employee")</f>
        <v>Good employee</v>
      </c>
      <c r="AD665" t="s">
        <v>56</v>
      </c>
      <c r="AE665" t="s">
        <v>37</v>
      </c>
      <c r="AF665">
        <v>13</v>
      </c>
      <c r="AG665">
        <v>2017</v>
      </c>
      <c r="AH665" t="s">
        <v>43</v>
      </c>
      <c r="AI665">
        <v>184</v>
      </c>
      <c r="AJ665">
        <v>2.9</v>
      </c>
    </row>
    <row r="666" spans="1:36" x14ac:dyDescent="0.25">
      <c r="A666">
        <v>10665</v>
      </c>
      <c r="B666" t="s">
        <v>66</v>
      </c>
      <c r="C666" t="s">
        <v>57</v>
      </c>
      <c r="D666" t="s">
        <v>44</v>
      </c>
      <c r="E666" t="str">
        <f t="shared" si="130"/>
        <v>John Davis is in Sales Department</v>
      </c>
      <c r="F666" s="6" t="str">
        <f t="shared" si="131"/>
        <v>johndavis@gmail.com</v>
      </c>
      <c r="G666">
        <v>115015</v>
      </c>
      <c r="H666" t="str">
        <f t="shared" si="132"/>
        <v>High</v>
      </c>
      <c r="I666" s="3">
        <v>38965</v>
      </c>
      <c r="J666">
        <f t="shared" si="133"/>
        <v>2006</v>
      </c>
      <c r="K666">
        <f t="shared" si="134"/>
        <v>9</v>
      </c>
      <c r="L666">
        <f t="shared" si="135"/>
        <v>5</v>
      </c>
      <c r="M666" s="3">
        <f t="shared" ca="1" si="136"/>
        <v>46100</v>
      </c>
      <c r="N666">
        <f t="shared" ca="1" si="137"/>
        <v>7135</v>
      </c>
      <c r="O666">
        <f t="shared" ca="1" si="138"/>
        <v>7135</v>
      </c>
      <c r="P666">
        <f t="shared" ca="1" si="139"/>
        <v>5098</v>
      </c>
      <c r="Q666">
        <v>57</v>
      </c>
      <c r="R666" t="str">
        <f t="shared" si="140"/>
        <v>Old</v>
      </c>
      <c r="S666" t="s">
        <v>24</v>
      </c>
      <c r="T666">
        <v>2</v>
      </c>
      <c r="U666" t="s">
        <v>45</v>
      </c>
      <c r="V666">
        <v>7403.74</v>
      </c>
      <c r="W666" t="s">
        <v>58</v>
      </c>
      <c r="X666" t="s">
        <v>27</v>
      </c>
      <c r="Y666">
        <v>30</v>
      </c>
      <c r="Z666" t="str">
        <f t="shared" si="141"/>
        <v>Bad Employee</v>
      </c>
      <c r="AA666" t="b">
        <f t="shared" si="142"/>
        <v>0</v>
      </c>
      <c r="AB666" t="b">
        <f>OR(Y666&gt;20, T666&gt;6)</f>
        <v>1</v>
      </c>
      <c r="AC666" t="str">
        <f>IF(OR(Y666&gt;20,T666&gt;6), "Good employee", "Bad Employee")</f>
        <v>Good employee</v>
      </c>
      <c r="AD666" t="s">
        <v>28</v>
      </c>
      <c r="AE666" t="s">
        <v>42</v>
      </c>
      <c r="AF666">
        <v>0</v>
      </c>
      <c r="AG666">
        <v>2016</v>
      </c>
      <c r="AH666" t="s">
        <v>43</v>
      </c>
      <c r="AI666">
        <v>58</v>
      </c>
      <c r="AJ666">
        <v>1.1000000000000001</v>
      </c>
    </row>
    <row r="667" spans="1:36" x14ac:dyDescent="0.25">
      <c r="A667">
        <v>10666</v>
      </c>
      <c r="B667" t="s">
        <v>38</v>
      </c>
      <c r="C667" t="s">
        <v>61</v>
      </c>
      <c r="D667" t="s">
        <v>52</v>
      </c>
      <c r="E667" t="str">
        <f t="shared" si="130"/>
        <v>Chris Smith is in Operations Department</v>
      </c>
      <c r="F667" s="6" t="str">
        <f t="shared" si="131"/>
        <v>chrissmith@gmail.com</v>
      </c>
      <c r="G667">
        <v>84333</v>
      </c>
      <c r="H667" t="str">
        <f t="shared" si="132"/>
        <v>High</v>
      </c>
      <c r="I667" s="3">
        <v>41357</v>
      </c>
      <c r="J667">
        <f t="shared" si="133"/>
        <v>2013</v>
      </c>
      <c r="K667">
        <f t="shared" si="134"/>
        <v>3</v>
      </c>
      <c r="L667">
        <f t="shared" si="135"/>
        <v>24</v>
      </c>
      <c r="M667" s="3">
        <f t="shared" ca="1" si="136"/>
        <v>46100</v>
      </c>
      <c r="N667">
        <f t="shared" ca="1" si="137"/>
        <v>4743</v>
      </c>
      <c r="O667">
        <f t="shared" ca="1" si="138"/>
        <v>4743</v>
      </c>
      <c r="P667">
        <f t="shared" ca="1" si="139"/>
        <v>3389</v>
      </c>
      <c r="Q667">
        <v>38</v>
      </c>
      <c r="R667" t="str">
        <f t="shared" si="140"/>
        <v>Old</v>
      </c>
      <c r="S667" t="s">
        <v>24</v>
      </c>
      <c r="T667">
        <v>9</v>
      </c>
      <c r="U667" t="s">
        <v>45</v>
      </c>
      <c r="V667">
        <v>2510.0500000000002</v>
      </c>
      <c r="W667" t="s">
        <v>58</v>
      </c>
      <c r="X667" t="s">
        <v>27</v>
      </c>
      <c r="Y667">
        <v>36</v>
      </c>
      <c r="Z667" t="str">
        <f t="shared" si="141"/>
        <v>Good Employee</v>
      </c>
      <c r="AA667" t="b">
        <f t="shared" si="142"/>
        <v>1</v>
      </c>
      <c r="AB667" t="b">
        <f>OR(Y667&gt;20, T667&gt;6)</f>
        <v>1</v>
      </c>
      <c r="AC667" t="str">
        <f>IF(OR(Y667&gt;20,T667&gt;6), "Good employee", "Bad Employee")</f>
        <v>Good employee</v>
      </c>
      <c r="AD667" t="s">
        <v>56</v>
      </c>
      <c r="AE667" t="s">
        <v>29</v>
      </c>
      <c r="AF667">
        <v>6</v>
      </c>
      <c r="AG667">
        <v>2018</v>
      </c>
      <c r="AH667" t="s">
        <v>49</v>
      </c>
      <c r="AI667">
        <v>53</v>
      </c>
      <c r="AJ667">
        <v>2.4</v>
      </c>
    </row>
    <row r="668" spans="1:36" x14ac:dyDescent="0.25">
      <c r="A668">
        <v>10667</v>
      </c>
      <c r="B668" t="s">
        <v>64</v>
      </c>
      <c r="C668" t="s">
        <v>22</v>
      </c>
      <c r="D668" t="s">
        <v>52</v>
      </c>
      <c r="E668" t="str">
        <f t="shared" si="130"/>
        <v>Katie Williams is in Operations Department</v>
      </c>
      <c r="F668" s="6" t="str">
        <f t="shared" si="131"/>
        <v>katiewilliams@gmail.com</v>
      </c>
      <c r="G668">
        <v>114458</v>
      </c>
      <c r="H668" t="str">
        <f t="shared" si="132"/>
        <v>High</v>
      </c>
      <c r="I668" s="3">
        <v>43160</v>
      </c>
      <c r="J668">
        <f t="shared" si="133"/>
        <v>2018</v>
      </c>
      <c r="K668">
        <f t="shared" si="134"/>
        <v>3</v>
      </c>
      <c r="L668">
        <f t="shared" si="135"/>
        <v>1</v>
      </c>
      <c r="M668" s="3">
        <f t="shared" ca="1" si="136"/>
        <v>46100</v>
      </c>
      <c r="N668">
        <f t="shared" ca="1" si="137"/>
        <v>2940</v>
      </c>
      <c r="O668">
        <f t="shared" ca="1" si="138"/>
        <v>2940</v>
      </c>
      <c r="P668">
        <f t="shared" ca="1" si="139"/>
        <v>2101</v>
      </c>
      <c r="Q668">
        <v>31</v>
      </c>
      <c r="R668" t="str">
        <f t="shared" si="140"/>
        <v>Old</v>
      </c>
      <c r="S668" t="s">
        <v>34</v>
      </c>
      <c r="T668">
        <v>4</v>
      </c>
      <c r="U668" t="s">
        <v>25</v>
      </c>
      <c r="V668">
        <v>4953.2299999999996</v>
      </c>
      <c r="W668" t="s">
        <v>58</v>
      </c>
      <c r="X668" t="s">
        <v>47</v>
      </c>
      <c r="Y668">
        <v>6</v>
      </c>
      <c r="Z668" t="str">
        <f t="shared" si="141"/>
        <v>Bad Employee</v>
      </c>
      <c r="AA668" t="b">
        <f t="shared" si="142"/>
        <v>0</v>
      </c>
      <c r="AB668" t="b">
        <f>OR(Y668&gt;20, T668&gt;6)</f>
        <v>0</v>
      </c>
      <c r="AC668" t="str">
        <f>IF(OR(Y668&gt;20,T668&gt;6), "Good employee", "Bad Employee")</f>
        <v>Bad Employee</v>
      </c>
      <c r="AD668" t="s">
        <v>28</v>
      </c>
      <c r="AE668" t="s">
        <v>42</v>
      </c>
      <c r="AF668">
        <v>3</v>
      </c>
      <c r="AG668">
        <v>2021</v>
      </c>
      <c r="AH668" t="s">
        <v>49</v>
      </c>
      <c r="AI668">
        <v>34</v>
      </c>
      <c r="AJ668">
        <v>1.5</v>
      </c>
    </row>
    <row r="669" spans="1:36" x14ac:dyDescent="0.25">
      <c r="A669">
        <v>10668</v>
      </c>
      <c r="B669" t="s">
        <v>31</v>
      </c>
      <c r="C669" t="s">
        <v>32</v>
      </c>
      <c r="D669" t="s">
        <v>23</v>
      </c>
      <c r="E669" t="str">
        <f t="shared" si="130"/>
        <v>Emily Wilson is in HR Department</v>
      </c>
      <c r="F669" s="6" t="str">
        <f t="shared" si="131"/>
        <v>emilywilson@gmail.com</v>
      </c>
      <c r="G669">
        <v>114196</v>
      </c>
      <c r="H669" t="str">
        <f t="shared" si="132"/>
        <v>High</v>
      </c>
      <c r="I669" s="3">
        <v>41546</v>
      </c>
      <c r="J669">
        <f t="shared" si="133"/>
        <v>2013</v>
      </c>
      <c r="K669">
        <f t="shared" si="134"/>
        <v>9</v>
      </c>
      <c r="L669">
        <f t="shared" si="135"/>
        <v>29</v>
      </c>
      <c r="M669" s="3">
        <f t="shared" ca="1" si="136"/>
        <v>46100</v>
      </c>
      <c r="N669">
        <f t="shared" ca="1" si="137"/>
        <v>4554</v>
      </c>
      <c r="O669">
        <f t="shared" ca="1" si="138"/>
        <v>4554</v>
      </c>
      <c r="P669">
        <f t="shared" ca="1" si="139"/>
        <v>3254</v>
      </c>
      <c r="Q669">
        <v>44</v>
      </c>
      <c r="R669" t="str">
        <f t="shared" si="140"/>
        <v>Old</v>
      </c>
      <c r="S669" t="s">
        <v>34</v>
      </c>
      <c r="T669">
        <v>1</v>
      </c>
      <c r="U669" t="s">
        <v>45</v>
      </c>
      <c r="V669">
        <v>6708.8</v>
      </c>
      <c r="W669" t="s">
        <v>35</v>
      </c>
      <c r="X669" t="s">
        <v>47</v>
      </c>
      <c r="Y669">
        <v>14</v>
      </c>
      <c r="Z669" t="str">
        <f t="shared" si="141"/>
        <v>Bad Employee</v>
      </c>
      <c r="AA669" t="b">
        <f t="shared" si="142"/>
        <v>0</v>
      </c>
      <c r="AB669" t="b">
        <f>OR(Y669&gt;20, T669&gt;6)</f>
        <v>0</v>
      </c>
      <c r="AC669" t="str">
        <f>IF(OR(Y669&gt;20,T669&gt;6), "Good employee", "Bad Employee")</f>
        <v>Bad Employee</v>
      </c>
      <c r="AD669" t="s">
        <v>41</v>
      </c>
      <c r="AE669" t="s">
        <v>48</v>
      </c>
      <c r="AF669">
        <v>8</v>
      </c>
      <c r="AG669">
        <v>2013</v>
      </c>
      <c r="AH669" t="s">
        <v>49</v>
      </c>
      <c r="AI669">
        <v>135</v>
      </c>
      <c r="AJ669">
        <v>2.5</v>
      </c>
    </row>
    <row r="670" spans="1:36" x14ac:dyDescent="0.25">
      <c r="A670">
        <v>10669</v>
      </c>
      <c r="B670" t="s">
        <v>38</v>
      </c>
      <c r="C670" t="s">
        <v>63</v>
      </c>
      <c r="D670" t="s">
        <v>54</v>
      </c>
      <c r="E670" t="str">
        <f t="shared" si="130"/>
        <v>Chris Miller is in Finance Department</v>
      </c>
      <c r="F670" s="6" t="str">
        <f t="shared" si="131"/>
        <v>chrismiller@gmail.com</v>
      </c>
      <c r="G670">
        <v>76099</v>
      </c>
      <c r="H670" t="str">
        <f t="shared" si="132"/>
        <v>Medium</v>
      </c>
      <c r="I670" s="3">
        <v>41795</v>
      </c>
      <c r="J670">
        <f t="shared" si="133"/>
        <v>2014</v>
      </c>
      <c r="K670">
        <f t="shared" si="134"/>
        <v>6</v>
      </c>
      <c r="L670">
        <f t="shared" si="135"/>
        <v>5</v>
      </c>
      <c r="M670" s="3">
        <f t="shared" ca="1" si="136"/>
        <v>46100</v>
      </c>
      <c r="N670">
        <f t="shared" ca="1" si="137"/>
        <v>4305</v>
      </c>
      <c r="O670">
        <f t="shared" ca="1" si="138"/>
        <v>4305</v>
      </c>
      <c r="P670">
        <f t="shared" ca="1" si="139"/>
        <v>3076</v>
      </c>
      <c r="Q670">
        <v>23</v>
      </c>
      <c r="R670" t="str">
        <f t="shared" si="140"/>
        <v>Young</v>
      </c>
      <c r="S670" t="s">
        <v>24</v>
      </c>
      <c r="T670">
        <v>1</v>
      </c>
      <c r="U670" t="s">
        <v>45</v>
      </c>
      <c r="V670">
        <v>5625.24</v>
      </c>
      <c r="W670" t="s">
        <v>35</v>
      </c>
      <c r="X670" t="s">
        <v>27</v>
      </c>
      <c r="Y670">
        <v>3</v>
      </c>
      <c r="Z670" t="str">
        <f t="shared" si="141"/>
        <v>Bad Employee</v>
      </c>
      <c r="AA670" t="b">
        <f t="shared" si="142"/>
        <v>0</v>
      </c>
      <c r="AB670" t="b">
        <f>OR(Y670&gt;20, T670&gt;6)</f>
        <v>0</v>
      </c>
      <c r="AC670" t="str">
        <f>IF(OR(Y670&gt;20,T670&gt;6), "Good employee", "Bad Employee")</f>
        <v>Bad Employee</v>
      </c>
      <c r="AD670" t="s">
        <v>41</v>
      </c>
      <c r="AE670" t="s">
        <v>48</v>
      </c>
      <c r="AF670">
        <v>2</v>
      </c>
      <c r="AG670">
        <v>2018</v>
      </c>
      <c r="AH670" t="s">
        <v>30</v>
      </c>
      <c r="AI670">
        <v>16</v>
      </c>
      <c r="AJ670">
        <v>3.4</v>
      </c>
    </row>
    <row r="671" spans="1:36" x14ac:dyDescent="0.25">
      <c r="A671">
        <v>10670</v>
      </c>
      <c r="B671" t="s">
        <v>21</v>
      </c>
      <c r="C671" t="s">
        <v>51</v>
      </c>
      <c r="D671" t="s">
        <v>23</v>
      </c>
      <c r="E671" t="str">
        <f t="shared" si="130"/>
        <v>Michael Brown is in HR Department</v>
      </c>
      <c r="F671" s="6" t="str">
        <f t="shared" si="131"/>
        <v>michaelbrown@gmail.com</v>
      </c>
      <c r="G671">
        <v>87346</v>
      </c>
      <c r="H671" t="str">
        <f t="shared" si="132"/>
        <v>High</v>
      </c>
      <c r="I671" s="3">
        <v>42113</v>
      </c>
      <c r="J671">
        <f t="shared" si="133"/>
        <v>2015</v>
      </c>
      <c r="K671">
        <f t="shared" si="134"/>
        <v>4</v>
      </c>
      <c r="L671">
        <f t="shared" si="135"/>
        <v>19</v>
      </c>
      <c r="M671" s="3">
        <f t="shared" ca="1" si="136"/>
        <v>46100</v>
      </c>
      <c r="N671">
        <f t="shared" ca="1" si="137"/>
        <v>3987</v>
      </c>
      <c r="O671">
        <f t="shared" ca="1" si="138"/>
        <v>3987</v>
      </c>
      <c r="P671">
        <f t="shared" ca="1" si="139"/>
        <v>2849</v>
      </c>
      <c r="Q671">
        <v>56</v>
      </c>
      <c r="R671" t="str">
        <f t="shared" si="140"/>
        <v>Old</v>
      </c>
      <c r="S671" t="s">
        <v>34</v>
      </c>
      <c r="T671">
        <v>5</v>
      </c>
      <c r="U671" t="s">
        <v>25</v>
      </c>
      <c r="V671">
        <v>6279.12</v>
      </c>
      <c r="W671" t="s">
        <v>35</v>
      </c>
      <c r="X671" t="s">
        <v>40</v>
      </c>
      <c r="Y671">
        <v>24</v>
      </c>
      <c r="Z671" t="str">
        <f t="shared" si="141"/>
        <v>Bad Employee</v>
      </c>
      <c r="AA671" t="b">
        <f t="shared" si="142"/>
        <v>0</v>
      </c>
      <c r="AB671" t="b">
        <f>OR(Y671&gt;20, T671&gt;6)</f>
        <v>1</v>
      </c>
      <c r="AC671" t="str">
        <f>IF(OR(Y671&gt;20,T671&gt;6), "Good employee", "Bad Employee")</f>
        <v>Good employee</v>
      </c>
      <c r="AD671" t="s">
        <v>56</v>
      </c>
      <c r="AE671" t="s">
        <v>62</v>
      </c>
      <c r="AF671">
        <v>4</v>
      </c>
      <c r="AG671">
        <v>2010</v>
      </c>
      <c r="AH671" t="s">
        <v>30</v>
      </c>
      <c r="AI671">
        <v>115</v>
      </c>
      <c r="AJ671">
        <v>1.1000000000000001</v>
      </c>
    </row>
    <row r="672" spans="1:36" x14ac:dyDescent="0.25">
      <c r="A672">
        <v>10671</v>
      </c>
      <c r="B672" t="s">
        <v>66</v>
      </c>
      <c r="C672" t="s">
        <v>63</v>
      </c>
      <c r="D672" t="s">
        <v>44</v>
      </c>
      <c r="E672" t="str">
        <f t="shared" si="130"/>
        <v>John Miller is in Sales Department</v>
      </c>
      <c r="F672" s="6" t="str">
        <f t="shared" si="131"/>
        <v>johnmiller@gmail.com</v>
      </c>
      <c r="G672">
        <v>105481</v>
      </c>
      <c r="H672" t="str">
        <f t="shared" si="132"/>
        <v>High</v>
      </c>
      <c r="I672" s="3">
        <v>38515</v>
      </c>
      <c r="J672">
        <f t="shared" si="133"/>
        <v>2005</v>
      </c>
      <c r="K672">
        <f t="shared" si="134"/>
        <v>6</v>
      </c>
      <c r="L672">
        <f t="shared" si="135"/>
        <v>12</v>
      </c>
      <c r="M672" s="3">
        <f t="shared" ca="1" si="136"/>
        <v>46100</v>
      </c>
      <c r="N672">
        <f t="shared" ca="1" si="137"/>
        <v>7585</v>
      </c>
      <c r="O672">
        <f t="shared" ca="1" si="138"/>
        <v>7585</v>
      </c>
      <c r="P672">
        <f t="shared" ca="1" si="139"/>
        <v>5419</v>
      </c>
      <c r="Q672">
        <v>35</v>
      </c>
      <c r="R672" t="str">
        <f t="shared" si="140"/>
        <v>Old</v>
      </c>
      <c r="S672" t="s">
        <v>34</v>
      </c>
      <c r="T672">
        <v>7</v>
      </c>
      <c r="U672" t="s">
        <v>25</v>
      </c>
      <c r="V672">
        <v>5689.02</v>
      </c>
      <c r="W672" t="s">
        <v>46</v>
      </c>
      <c r="X672" t="s">
        <v>40</v>
      </c>
      <c r="Y672">
        <v>19</v>
      </c>
      <c r="Z672" t="str">
        <f t="shared" si="141"/>
        <v>Bad Employee</v>
      </c>
      <c r="AA672" t="b">
        <f t="shared" si="142"/>
        <v>0</v>
      </c>
      <c r="AB672" t="b">
        <f>OR(Y672&gt;20, T672&gt;6)</f>
        <v>1</v>
      </c>
      <c r="AC672" t="str">
        <f>IF(OR(Y672&gt;20,T672&gt;6), "Good employee", "Bad Employee")</f>
        <v>Good employee</v>
      </c>
      <c r="AD672" t="s">
        <v>56</v>
      </c>
      <c r="AE672" t="s">
        <v>42</v>
      </c>
      <c r="AF672">
        <v>9</v>
      </c>
      <c r="AG672">
        <v>2014</v>
      </c>
      <c r="AH672" t="s">
        <v>49</v>
      </c>
      <c r="AI672">
        <v>163</v>
      </c>
      <c r="AJ672">
        <v>4.5</v>
      </c>
    </row>
    <row r="673" spans="1:36" x14ac:dyDescent="0.25">
      <c r="A673">
        <v>10672</v>
      </c>
      <c r="B673" t="s">
        <v>64</v>
      </c>
      <c r="C673" t="s">
        <v>61</v>
      </c>
      <c r="D673" t="s">
        <v>39</v>
      </c>
      <c r="E673" t="str">
        <f t="shared" si="130"/>
        <v>Katie Smith is in IT Department</v>
      </c>
      <c r="F673" s="6" t="str">
        <f t="shared" si="131"/>
        <v>katiesmith@gmail.com</v>
      </c>
      <c r="G673">
        <v>80062</v>
      </c>
      <c r="H673" t="str">
        <f t="shared" si="132"/>
        <v>High</v>
      </c>
      <c r="I673" s="3">
        <v>37592</v>
      </c>
      <c r="J673">
        <f t="shared" si="133"/>
        <v>2002</v>
      </c>
      <c r="K673">
        <f t="shared" si="134"/>
        <v>12</v>
      </c>
      <c r="L673">
        <f t="shared" si="135"/>
        <v>2</v>
      </c>
      <c r="M673" s="3">
        <f t="shared" ca="1" si="136"/>
        <v>46100</v>
      </c>
      <c r="N673">
        <f t="shared" ca="1" si="137"/>
        <v>8508</v>
      </c>
      <c r="O673">
        <f t="shared" ca="1" si="138"/>
        <v>8508</v>
      </c>
      <c r="P673">
        <f t="shared" ca="1" si="139"/>
        <v>6079</v>
      </c>
      <c r="Q673">
        <v>62</v>
      </c>
      <c r="R673" t="str">
        <f t="shared" si="140"/>
        <v>Old</v>
      </c>
      <c r="S673" t="s">
        <v>34</v>
      </c>
      <c r="T673">
        <v>5</v>
      </c>
      <c r="U673" t="s">
        <v>25</v>
      </c>
      <c r="V673">
        <v>2392.66</v>
      </c>
      <c r="W673" t="s">
        <v>35</v>
      </c>
      <c r="X673" t="s">
        <v>55</v>
      </c>
      <c r="Y673">
        <v>38</v>
      </c>
      <c r="Z673" t="str">
        <f t="shared" si="141"/>
        <v>Bad Employee</v>
      </c>
      <c r="AA673" t="b">
        <f t="shared" si="142"/>
        <v>0</v>
      </c>
      <c r="AB673" t="b">
        <f>OR(Y673&gt;20, T673&gt;6)</f>
        <v>1</v>
      </c>
      <c r="AC673" t="str">
        <f>IF(OR(Y673&gt;20,T673&gt;6), "Good employee", "Bad Employee")</f>
        <v>Good employee</v>
      </c>
      <c r="AD673" t="s">
        <v>56</v>
      </c>
      <c r="AE673" t="s">
        <v>48</v>
      </c>
      <c r="AF673">
        <v>9</v>
      </c>
      <c r="AG673">
        <v>2019</v>
      </c>
      <c r="AH673" t="s">
        <v>49</v>
      </c>
      <c r="AI673">
        <v>169</v>
      </c>
      <c r="AJ673">
        <v>3.4</v>
      </c>
    </row>
    <row r="674" spans="1:36" x14ac:dyDescent="0.25">
      <c r="A674">
        <v>10673</v>
      </c>
      <c r="B674" t="s">
        <v>64</v>
      </c>
      <c r="C674" t="s">
        <v>22</v>
      </c>
      <c r="D674" t="s">
        <v>44</v>
      </c>
      <c r="E674" t="str">
        <f t="shared" si="130"/>
        <v>Katie Williams is in Sales Department</v>
      </c>
      <c r="F674" s="6" t="str">
        <f t="shared" si="131"/>
        <v>katiewilliams@gmail.com</v>
      </c>
      <c r="G674">
        <v>30306</v>
      </c>
      <c r="H674" t="str">
        <f t="shared" si="132"/>
        <v>extremely low</v>
      </c>
      <c r="I674" s="3">
        <v>37470</v>
      </c>
      <c r="J674">
        <f t="shared" si="133"/>
        <v>2002</v>
      </c>
      <c r="K674">
        <f t="shared" si="134"/>
        <v>8</v>
      </c>
      <c r="L674">
        <f t="shared" si="135"/>
        <v>2</v>
      </c>
      <c r="M674" s="3">
        <f t="shared" ca="1" si="136"/>
        <v>46100</v>
      </c>
      <c r="N674">
        <f t="shared" ca="1" si="137"/>
        <v>8630</v>
      </c>
      <c r="O674">
        <f t="shared" ca="1" si="138"/>
        <v>8630</v>
      </c>
      <c r="P674">
        <f t="shared" ca="1" si="139"/>
        <v>6165</v>
      </c>
      <c r="Q674">
        <v>23</v>
      </c>
      <c r="R674" t="str">
        <f t="shared" si="140"/>
        <v>Young</v>
      </c>
      <c r="S674" t="s">
        <v>24</v>
      </c>
      <c r="T674">
        <v>3</v>
      </c>
      <c r="U674" t="s">
        <v>45</v>
      </c>
      <c r="V674">
        <v>4396.95</v>
      </c>
      <c r="W674" t="s">
        <v>26</v>
      </c>
      <c r="X674" t="s">
        <v>36</v>
      </c>
      <c r="Y674">
        <v>34</v>
      </c>
      <c r="Z674" t="str">
        <f t="shared" si="141"/>
        <v>Bad Employee</v>
      </c>
      <c r="AA674" t="b">
        <f t="shared" si="142"/>
        <v>0</v>
      </c>
      <c r="AB674" t="b">
        <f>OR(Y674&gt;20, T674&gt;6)</f>
        <v>1</v>
      </c>
      <c r="AC674" t="str">
        <f>IF(OR(Y674&gt;20,T674&gt;6), "Good employee", "Bad Employee")</f>
        <v>Good employee</v>
      </c>
      <c r="AD674" t="s">
        <v>56</v>
      </c>
      <c r="AE674" t="s">
        <v>59</v>
      </c>
      <c r="AF674">
        <v>3</v>
      </c>
      <c r="AG674">
        <v>2016</v>
      </c>
      <c r="AH674" t="s">
        <v>30</v>
      </c>
      <c r="AI674">
        <v>159</v>
      </c>
      <c r="AJ674">
        <v>2.2000000000000002</v>
      </c>
    </row>
    <row r="675" spans="1:36" x14ac:dyDescent="0.25">
      <c r="A675">
        <v>10674</v>
      </c>
      <c r="B675" t="s">
        <v>64</v>
      </c>
      <c r="C675" t="s">
        <v>51</v>
      </c>
      <c r="D675" t="s">
        <v>54</v>
      </c>
      <c r="E675" t="str">
        <f t="shared" si="130"/>
        <v>Katie Brown is in Finance Department</v>
      </c>
      <c r="F675" s="6" t="str">
        <f t="shared" si="131"/>
        <v>katiebrown@gmail.com</v>
      </c>
      <c r="G675">
        <v>118495</v>
      </c>
      <c r="H675" t="str">
        <f t="shared" si="132"/>
        <v>High</v>
      </c>
      <c r="I675" s="3">
        <v>36554</v>
      </c>
      <c r="J675">
        <f t="shared" si="133"/>
        <v>2000</v>
      </c>
      <c r="K675">
        <f t="shared" si="134"/>
        <v>1</v>
      </c>
      <c r="L675">
        <f t="shared" si="135"/>
        <v>29</v>
      </c>
      <c r="M675" s="3">
        <f t="shared" ca="1" si="136"/>
        <v>46100</v>
      </c>
      <c r="N675">
        <f t="shared" ca="1" si="137"/>
        <v>9546</v>
      </c>
      <c r="O675">
        <f t="shared" ca="1" si="138"/>
        <v>9546</v>
      </c>
      <c r="P675">
        <f t="shared" ca="1" si="139"/>
        <v>6819</v>
      </c>
      <c r="Q675">
        <v>40</v>
      </c>
      <c r="R675" t="str">
        <f t="shared" si="140"/>
        <v>Old</v>
      </c>
      <c r="S675" t="s">
        <v>34</v>
      </c>
      <c r="T675">
        <v>7</v>
      </c>
      <c r="U675" t="s">
        <v>45</v>
      </c>
      <c r="V675">
        <v>5553.86</v>
      </c>
      <c r="W675" t="s">
        <v>46</v>
      </c>
      <c r="X675" t="s">
        <v>40</v>
      </c>
      <c r="Y675">
        <v>9</v>
      </c>
      <c r="Z675" t="str">
        <f t="shared" si="141"/>
        <v>Bad Employee</v>
      </c>
      <c r="AA675" t="b">
        <f t="shared" si="142"/>
        <v>0</v>
      </c>
      <c r="AB675" t="b">
        <f>OR(Y675&gt;20, T675&gt;6)</f>
        <v>1</v>
      </c>
      <c r="AC675" t="str">
        <f>IF(OR(Y675&gt;20,T675&gt;6), "Good employee", "Bad Employee")</f>
        <v>Good employee</v>
      </c>
      <c r="AD675" t="s">
        <v>56</v>
      </c>
      <c r="AE675" t="s">
        <v>48</v>
      </c>
      <c r="AF675">
        <v>16</v>
      </c>
      <c r="AG675">
        <v>2013</v>
      </c>
      <c r="AH675" t="s">
        <v>49</v>
      </c>
      <c r="AI675">
        <v>120</v>
      </c>
      <c r="AJ675">
        <v>2.2000000000000002</v>
      </c>
    </row>
    <row r="676" spans="1:36" x14ac:dyDescent="0.25">
      <c r="A676">
        <v>10675</v>
      </c>
      <c r="B676" t="s">
        <v>31</v>
      </c>
      <c r="C676" t="s">
        <v>65</v>
      </c>
      <c r="D676" t="s">
        <v>33</v>
      </c>
      <c r="E676" t="str">
        <f t="shared" si="130"/>
        <v>Emily Johnson is in Marketing Department</v>
      </c>
      <c r="F676" s="6" t="str">
        <f t="shared" si="131"/>
        <v>emilyjohnson@gmail.com</v>
      </c>
      <c r="G676">
        <v>99767</v>
      </c>
      <c r="H676" t="str">
        <f t="shared" si="132"/>
        <v>High</v>
      </c>
      <c r="I676" s="3">
        <v>38423</v>
      </c>
      <c r="J676">
        <f t="shared" si="133"/>
        <v>2005</v>
      </c>
      <c r="K676">
        <f t="shared" si="134"/>
        <v>3</v>
      </c>
      <c r="L676">
        <f t="shared" si="135"/>
        <v>12</v>
      </c>
      <c r="M676" s="3">
        <f t="shared" ca="1" si="136"/>
        <v>46100</v>
      </c>
      <c r="N676">
        <f t="shared" ca="1" si="137"/>
        <v>7677</v>
      </c>
      <c r="O676">
        <f t="shared" ca="1" si="138"/>
        <v>7677</v>
      </c>
      <c r="P676">
        <f t="shared" ca="1" si="139"/>
        <v>5484</v>
      </c>
      <c r="Q676">
        <v>37</v>
      </c>
      <c r="R676" t="str">
        <f t="shared" si="140"/>
        <v>Old</v>
      </c>
      <c r="S676" t="s">
        <v>34</v>
      </c>
      <c r="T676">
        <v>1</v>
      </c>
      <c r="U676" t="s">
        <v>25</v>
      </c>
      <c r="V676">
        <v>7910.6</v>
      </c>
      <c r="W676" t="s">
        <v>46</v>
      </c>
      <c r="X676" t="s">
        <v>47</v>
      </c>
      <c r="Y676">
        <v>30</v>
      </c>
      <c r="Z676" t="str">
        <f t="shared" si="141"/>
        <v>Bad Employee</v>
      </c>
      <c r="AA676" t="b">
        <f t="shared" si="142"/>
        <v>0</v>
      </c>
      <c r="AB676" t="b">
        <f>OR(Y676&gt;20, T676&gt;6)</f>
        <v>1</v>
      </c>
      <c r="AC676" t="str">
        <f>IF(OR(Y676&gt;20,T676&gt;6), "Good employee", "Bad Employee")</f>
        <v>Good employee</v>
      </c>
      <c r="AD676" t="s">
        <v>28</v>
      </c>
      <c r="AE676" t="s">
        <v>48</v>
      </c>
      <c r="AF676">
        <v>16</v>
      </c>
      <c r="AG676">
        <v>2022</v>
      </c>
      <c r="AH676" t="s">
        <v>43</v>
      </c>
      <c r="AI676">
        <v>156</v>
      </c>
      <c r="AJ676">
        <v>2.9</v>
      </c>
    </row>
    <row r="677" spans="1:36" x14ac:dyDescent="0.25">
      <c r="A677">
        <v>10676</v>
      </c>
      <c r="B677" t="s">
        <v>38</v>
      </c>
      <c r="C677" t="s">
        <v>32</v>
      </c>
      <c r="D677" t="s">
        <v>52</v>
      </c>
      <c r="E677" t="str">
        <f t="shared" si="130"/>
        <v>Chris Wilson is in Operations Department</v>
      </c>
      <c r="F677" s="6" t="str">
        <f t="shared" si="131"/>
        <v>chriswilson@gmail.com</v>
      </c>
      <c r="G677">
        <v>42207</v>
      </c>
      <c r="H677" t="str">
        <f t="shared" si="132"/>
        <v>low</v>
      </c>
      <c r="I677" s="3">
        <v>42277</v>
      </c>
      <c r="J677">
        <f t="shared" si="133"/>
        <v>2015</v>
      </c>
      <c r="K677">
        <f t="shared" si="134"/>
        <v>9</v>
      </c>
      <c r="L677">
        <f t="shared" si="135"/>
        <v>30</v>
      </c>
      <c r="M677" s="3">
        <f t="shared" ca="1" si="136"/>
        <v>46100</v>
      </c>
      <c r="N677">
        <f t="shared" ca="1" si="137"/>
        <v>3823</v>
      </c>
      <c r="O677">
        <f t="shared" ca="1" si="138"/>
        <v>3823</v>
      </c>
      <c r="P677">
        <f t="shared" ca="1" si="139"/>
        <v>2732</v>
      </c>
      <c r="Q677">
        <v>64</v>
      </c>
      <c r="R677" t="str">
        <f t="shared" si="140"/>
        <v>Old</v>
      </c>
      <c r="S677" t="s">
        <v>24</v>
      </c>
      <c r="T677">
        <v>1</v>
      </c>
      <c r="U677" t="s">
        <v>45</v>
      </c>
      <c r="V677">
        <v>6712.09</v>
      </c>
      <c r="W677" t="s">
        <v>58</v>
      </c>
      <c r="X677" t="s">
        <v>40</v>
      </c>
      <c r="Y677">
        <v>32</v>
      </c>
      <c r="Z677" t="str">
        <f t="shared" si="141"/>
        <v>Bad Employee</v>
      </c>
      <c r="AA677" t="b">
        <f t="shared" si="142"/>
        <v>0</v>
      </c>
      <c r="AB677" t="b">
        <f>OR(Y677&gt;20, T677&gt;6)</f>
        <v>1</v>
      </c>
      <c r="AC677" t="str">
        <f>IF(OR(Y677&gt;20,T677&gt;6), "Good employee", "Bad Employee")</f>
        <v>Good employee</v>
      </c>
      <c r="AD677" t="s">
        <v>56</v>
      </c>
      <c r="AE677" t="s">
        <v>42</v>
      </c>
      <c r="AF677">
        <v>18</v>
      </c>
      <c r="AG677">
        <v>2016</v>
      </c>
      <c r="AH677" t="s">
        <v>43</v>
      </c>
      <c r="AI677">
        <v>116</v>
      </c>
      <c r="AJ677">
        <v>2</v>
      </c>
    </row>
    <row r="678" spans="1:36" x14ac:dyDescent="0.25">
      <c r="A678">
        <v>10677</v>
      </c>
      <c r="B678" t="s">
        <v>31</v>
      </c>
      <c r="C678" t="s">
        <v>22</v>
      </c>
      <c r="D678" t="s">
        <v>39</v>
      </c>
      <c r="E678" t="str">
        <f t="shared" si="130"/>
        <v>Emily Williams is in IT Department</v>
      </c>
      <c r="F678" s="6" t="str">
        <f t="shared" si="131"/>
        <v>emilywilliams@gmail.com</v>
      </c>
      <c r="G678">
        <v>69426</v>
      </c>
      <c r="H678" t="str">
        <f t="shared" si="132"/>
        <v>Medium</v>
      </c>
      <c r="I678" s="3">
        <v>42494</v>
      </c>
      <c r="J678">
        <f t="shared" si="133"/>
        <v>2016</v>
      </c>
      <c r="K678">
        <f t="shared" si="134"/>
        <v>5</v>
      </c>
      <c r="L678">
        <f t="shared" si="135"/>
        <v>4</v>
      </c>
      <c r="M678" s="3">
        <f t="shared" ca="1" si="136"/>
        <v>46100</v>
      </c>
      <c r="N678">
        <f t="shared" ca="1" si="137"/>
        <v>3606</v>
      </c>
      <c r="O678">
        <f t="shared" ca="1" si="138"/>
        <v>3606</v>
      </c>
      <c r="P678">
        <f t="shared" ca="1" si="139"/>
        <v>2577</v>
      </c>
      <c r="Q678">
        <v>46</v>
      </c>
      <c r="R678" t="str">
        <f t="shared" si="140"/>
        <v>Old</v>
      </c>
      <c r="S678" t="s">
        <v>34</v>
      </c>
      <c r="T678">
        <v>2</v>
      </c>
      <c r="U678" t="s">
        <v>45</v>
      </c>
      <c r="V678">
        <v>4552.6099999999997</v>
      </c>
      <c r="W678" t="s">
        <v>58</v>
      </c>
      <c r="X678" t="s">
        <v>36</v>
      </c>
      <c r="Y678">
        <v>13</v>
      </c>
      <c r="Z678" t="str">
        <f t="shared" si="141"/>
        <v>Bad Employee</v>
      </c>
      <c r="AA678" t="b">
        <f t="shared" si="142"/>
        <v>0</v>
      </c>
      <c r="AB678" t="b">
        <f>OR(Y678&gt;20, T678&gt;6)</f>
        <v>0</v>
      </c>
      <c r="AC678" t="str">
        <f>IF(OR(Y678&gt;20,T678&gt;6), "Good employee", "Bad Employee")</f>
        <v>Bad Employee</v>
      </c>
      <c r="AD678" t="s">
        <v>28</v>
      </c>
      <c r="AE678" t="s">
        <v>37</v>
      </c>
      <c r="AF678">
        <v>5</v>
      </c>
      <c r="AG678">
        <v>2023</v>
      </c>
      <c r="AH678" t="s">
        <v>43</v>
      </c>
      <c r="AI678">
        <v>173</v>
      </c>
      <c r="AJ678">
        <v>1</v>
      </c>
    </row>
    <row r="679" spans="1:36" x14ac:dyDescent="0.25">
      <c r="A679">
        <v>10678</v>
      </c>
      <c r="B679" t="s">
        <v>53</v>
      </c>
      <c r="C679" t="s">
        <v>57</v>
      </c>
      <c r="D679" t="s">
        <v>54</v>
      </c>
      <c r="E679" t="str">
        <f t="shared" si="130"/>
        <v>Sarah Davis is in Finance Department</v>
      </c>
      <c r="F679" s="6" t="str">
        <f t="shared" si="131"/>
        <v>sarahdavis@gmail.com</v>
      </c>
      <c r="G679">
        <v>36336</v>
      </c>
      <c r="H679" t="str">
        <f t="shared" si="132"/>
        <v>extremely low</v>
      </c>
      <c r="I679" s="3">
        <v>41676</v>
      </c>
      <c r="J679">
        <f t="shared" si="133"/>
        <v>2014</v>
      </c>
      <c r="K679">
        <f t="shared" si="134"/>
        <v>2</v>
      </c>
      <c r="L679">
        <f t="shared" si="135"/>
        <v>6</v>
      </c>
      <c r="M679" s="3">
        <f t="shared" ca="1" si="136"/>
        <v>46100</v>
      </c>
      <c r="N679">
        <f t="shared" ca="1" si="137"/>
        <v>4424</v>
      </c>
      <c r="O679">
        <f t="shared" ca="1" si="138"/>
        <v>4424</v>
      </c>
      <c r="P679">
        <f t="shared" ca="1" si="139"/>
        <v>3161</v>
      </c>
      <c r="Q679">
        <v>22</v>
      </c>
      <c r="R679" t="str">
        <f t="shared" si="140"/>
        <v>Young</v>
      </c>
      <c r="S679" t="s">
        <v>34</v>
      </c>
      <c r="T679">
        <v>1</v>
      </c>
      <c r="U679" t="s">
        <v>45</v>
      </c>
      <c r="V679">
        <v>9756.7999999999993</v>
      </c>
      <c r="W679" t="s">
        <v>35</v>
      </c>
      <c r="X679" t="s">
        <v>47</v>
      </c>
      <c r="Y679">
        <v>18</v>
      </c>
      <c r="Z679" t="str">
        <f t="shared" si="141"/>
        <v>Bad Employee</v>
      </c>
      <c r="AA679" t="b">
        <f t="shared" si="142"/>
        <v>0</v>
      </c>
      <c r="AB679" t="b">
        <f>OR(Y679&gt;20, T679&gt;6)</f>
        <v>0</v>
      </c>
      <c r="AC679" t="str">
        <f>IF(OR(Y679&gt;20,T679&gt;6), "Good employee", "Bad Employee")</f>
        <v>Bad Employee</v>
      </c>
      <c r="AD679" t="s">
        <v>28</v>
      </c>
      <c r="AE679" t="s">
        <v>48</v>
      </c>
      <c r="AF679">
        <v>0</v>
      </c>
      <c r="AG679">
        <v>2021</v>
      </c>
      <c r="AH679" t="s">
        <v>30</v>
      </c>
      <c r="AI679">
        <v>108</v>
      </c>
      <c r="AJ679">
        <v>1.1000000000000001</v>
      </c>
    </row>
    <row r="680" spans="1:36" x14ac:dyDescent="0.25">
      <c r="A680">
        <v>10679</v>
      </c>
      <c r="B680" t="s">
        <v>60</v>
      </c>
      <c r="C680" t="s">
        <v>61</v>
      </c>
      <c r="D680" t="s">
        <v>23</v>
      </c>
      <c r="E680" t="str">
        <f t="shared" si="130"/>
        <v>Jane Smith is in HR Department</v>
      </c>
      <c r="F680" s="6" t="str">
        <f t="shared" si="131"/>
        <v>janesmith@gmail.com</v>
      </c>
      <c r="G680">
        <v>105166</v>
      </c>
      <c r="H680" t="str">
        <f t="shared" si="132"/>
        <v>High</v>
      </c>
      <c r="I680" s="3">
        <v>43362</v>
      </c>
      <c r="J680">
        <f t="shared" si="133"/>
        <v>2018</v>
      </c>
      <c r="K680">
        <f t="shared" si="134"/>
        <v>9</v>
      </c>
      <c r="L680">
        <f t="shared" si="135"/>
        <v>19</v>
      </c>
      <c r="M680" s="3">
        <f t="shared" ca="1" si="136"/>
        <v>46100</v>
      </c>
      <c r="N680">
        <f t="shared" ca="1" si="137"/>
        <v>2738</v>
      </c>
      <c r="O680">
        <f t="shared" ca="1" si="138"/>
        <v>2738</v>
      </c>
      <c r="P680">
        <f t="shared" ca="1" si="139"/>
        <v>1957</v>
      </c>
      <c r="Q680">
        <v>23</v>
      </c>
      <c r="R680" t="str">
        <f t="shared" si="140"/>
        <v>Young</v>
      </c>
      <c r="S680" t="s">
        <v>24</v>
      </c>
      <c r="T680">
        <v>9</v>
      </c>
      <c r="U680" t="s">
        <v>45</v>
      </c>
      <c r="V680">
        <v>1524.06</v>
      </c>
      <c r="W680" t="s">
        <v>26</v>
      </c>
      <c r="X680" t="s">
        <v>36</v>
      </c>
      <c r="Y680">
        <v>22</v>
      </c>
      <c r="Z680" t="str">
        <f t="shared" si="141"/>
        <v>Good Employee</v>
      </c>
      <c r="AA680" t="b">
        <f t="shared" si="142"/>
        <v>1</v>
      </c>
      <c r="AB680" t="b">
        <f>OR(Y680&gt;20, T680&gt;6)</f>
        <v>1</v>
      </c>
      <c r="AC680" t="str">
        <f>IF(OR(Y680&gt;20,T680&gt;6), "Good employee", "Bad Employee")</f>
        <v>Good employee</v>
      </c>
      <c r="AD680" t="s">
        <v>28</v>
      </c>
      <c r="AE680" t="s">
        <v>29</v>
      </c>
      <c r="AF680">
        <v>13</v>
      </c>
      <c r="AG680">
        <v>2018</v>
      </c>
      <c r="AH680" t="s">
        <v>49</v>
      </c>
      <c r="AI680">
        <v>196</v>
      </c>
      <c r="AJ680">
        <v>2.4</v>
      </c>
    </row>
    <row r="681" spans="1:36" x14ac:dyDescent="0.25">
      <c r="A681">
        <v>10680</v>
      </c>
      <c r="B681" t="s">
        <v>60</v>
      </c>
      <c r="C681" t="s">
        <v>22</v>
      </c>
      <c r="D681" t="s">
        <v>52</v>
      </c>
      <c r="E681" t="str">
        <f t="shared" si="130"/>
        <v>Jane Williams is in Operations Department</v>
      </c>
      <c r="F681" s="6" t="str">
        <f t="shared" si="131"/>
        <v>janewilliams@gmail.com</v>
      </c>
      <c r="G681">
        <v>47256</v>
      </c>
      <c r="H681" t="str">
        <f t="shared" si="132"/>
        <v>low</v>
      </c>
      <c r="I681" s="3">
        <v>38223</v>
      </c>
      <c r="J681">
        <f t="shared" si="133"/>
        <v>2004</v>
      </c>
      <c r="K681">
        <f t="shared" si="134"/>
        <v>8</v>
      </c>
      <c r="L681">
        <f t="shared" si="135"/>
        <v>24</v>
      </c>
      <c r="M681" s="3">
        <f t="shared" ca="1" si="136"/>
        <v>46100</v>
      </c>
      <c r="N681">
        <f t="shared" ca="1" si="137"/>
        <v>7877</v>
      </c>
      <c r="O681">
        <f t="shared" ca="1" si="138"/>
        <v>7877</v>
      </c>
      <c r="P681">
        <f t="shared" ca="1" si="139"/>
        <v>5628</v>
      </c>
      <c r="Q681">
        <v>48</v>
      </c>
      <c r="R681" t="str">
        <f t="shared" si="140"/>
        <v>Old</v>
      </c>
      <c r="S681" t="s">
        <v>24</v>
      </c>
      <c r="T681">
        <v>4</v>
      </c>
      <c r="U681" t="s">
        <v>25</v>
      </c>
      <c r="V681">
        <v>2464.65</v>
      </c>
      <c r="W681" t="s">
        <v>46</v>
      </c>
      <c r="X681" t="s">
        <v>27</v>
      </c>
      <c r="Y681">
        <v>4</v>
      </c>
      <c r="Z681" t="str">
        <f t="shared" si="141"/>
        <v>Bad Employee</v>
      </c>
      <c r="AA681" t="b">
        <f t="shared" si="142"/>
        <v>0</v>
      </c>
      <c r="AB681" t="b">
        <f>OR(Y681&gt;20, T681&gt;6)</f>
        <v>0</v>
      </c>
      <c r="AC681" t="str">
        <f>IF(OR(Y681&gt;20,T681&gt;6), "Good employee", "Bad Employee")</f>
        <v>Bad Employee</v>
      </c>
      <c r="AD681" t="s">
        <v>56</v>
      </c>
      <c r="AE681" t="s">
        <v>37</v>
      </c>
      <c r="AF681">
        <v>12</v>
      </c>
      <c r="AG681">
        <v>2022</v>
      </c>
      <c r="AH681" t="s">
        <v>43</v>
      </c>
      <c r="AI681">
        <v>15</v>
      </c>
      <c r="AJ681">
        <v>1.5</v>
      </c>
    </row>
    <row r="682" spans="1:36" x14ac:dyDescent="0.25">
      <c r="A682">
        <v>10681</v>
      </c>
      <c r="B682" t="s">
        <v>53</v>
      </c>
      <c r="C682" t="s">
        <v>32</v>
      </c>
      <c r="D682" t="s">
        <v>44</v>
      </c>
      <c r="E682" t="str">
        <f t="shared" si="130"/>
        <v>Sarah Wilson is in Sales Department</v>
      </c>
      <c r="F682" s="6" t="str">
        <f t="shared" si="131"/>
        <v>sarahwilson@gmail.com</v>
      </c>
      <c r="G682">
        <v>79817</v>
      </c>
      <c r="H682" t="str">
        <f t="shared" si="132"/>
        <v>Medium</v>
      </c>
      <c r="I682" s="3">
        <v>42797</v>
      </c>
      <c r="J682">
        <f t="shared" si="133"/>
        <v>2017</v>
      </c>
      <c r="K682">
        <f t="shared" si="134"/>
        <v>3</v>
      </c>
      <c r="L682">
        <f t="shared" si="135"/>
        <v>3</v>
      </c>
      <c r="M682" s="3">
        <f t="shared" ca="1" si="136"/>
        <v>46100</v>
      </c>
      <c r="N682">
        <f t="shared" ca="1" si="137"/>
        <v>3303</v>
      </c>
      <c r="O682">
        <f t="shared" ca="1" si="138"/>
        <v>3303</v>
      </c>
      <c r="P682">
        <f t="shared" ca="1" si="139"/>
        <v>2360</v>
      </c>
      <c r="Q682">
        <v>23</v>
      </c>
      <c r="R682" t="str">
        <f t="shared" si="140"/>
        <v>Young</v>
      </c>
      <c r="S682" t="s">
        <v>34</v>
      </c>
      <c r="T682">
        <v>7</v>
      </c>
      <c r="U682" t="s">
        <v>45</v>
      </c>
      <c r="V682">
        <v>3742.47</v>
      </c>
      <c r="W682" t="s">
        <v>46</v>
      </c>
      <c r="X682" t="s">
        <v>36</v>
      </c>
      <c r="Y682">
        <v>23</v>
      </c>
      <c r="Z682" t="str">
        <f t="shared" si="141"/>
        <v>Good Employee</v>
      </c>
      <c r="AA682" t="b">
        <f t="shared" si="142"/>
        <v>1</v>
      </c>
      <c r="AB682" t="b">
        <f>OR(Y682&gt;20, T682&gt;6)</f>
        <v>1</v>
      </c>
      <c r="AC682" t="str">
        <f>IF(OR(Y682&gt;20,T682&gt;6), "Good employee", "Bad Employee")</f>
        <v>Good employee</v>
      </c>
      <c r="AD682" t="s">
        <v>41</v>
      </c>
      <c r="AE682" t="s">
        <v>48</v>
      </c>
      <c r="AF682">
        <v>2</v>
      </c>
      <c r="AG682">
        <v>2023</v>
      </c>
      <c r="AH682" t="s">
        <v>30</v>
      </c>
      <c r="AI682">
        <v>95</v>
      </c>
      <c r="AJ682">
        <v>1.1000000000000001</v>
      </c>
    </row>
    <row r="683" spans="1:36" x14ac:dyDescent="0.25">
      <c r="A683">
        <v>10682</v>
      </c>
      <c r="B683" t="s">
        <v>38</v>
      </c>
      <c r="C683" t="s">
        <v>22</v>
      </c>
      <c r="D683" t="s">
        <v>23</v>
      </c>
      <c r="E683" t="str">
        <f t="shared" si="130"/>
        <v>Chris Williams is in HR Department</v>
      </c>
      <c r="F683" s="6" t="str">
        <f t="shared" si="131"/>
        <v>chriswilliams@gmail.com</v>
      </c>
      <c r="G683">
        <v>63719</v>
      </c>
      <c r="H683" t="str">
        <f t="shared" si="132"/>
        <v>Medium</v>
      </c>
      <c r="I683" s="3">
        <v>39340</v>
      </c>
      <c r="J683">
        <f t="shared" si="133"/>
        <v>2007</v>
      </c>
      <c r="K683">
        <f t="shared" si="134"/>
        <v>9</v>
      </c>
      <c r="L683">
        <f t="shared" si="135"/>
        <v>15</v>
      </c>
      <c r="M683" s="3">
        <f t="shared" ca="1" si="136"/>
        <v>46100</v>
      </c>
      <c r="N683">
        <f t="shared" ca="1" si="137"/>
        <v>6760</v>
      </c>
      <c r="O683">
        <f t="shared" ca="1" si="138"/>
        <v>6760</v>
      </c>
      <c r="P683">
        <f t="shared" ca="1" si="139"/>
        <v>4829</v>
      </c>
      <c r="Q683">
        <v>51</v>
      </c>
      <c r="R683" t="str">
        <f t="shared" si="140"/>
        <v>Old</v>
      </c>
      <c r="S683" t="s">
        <v>24</v>
      </c>
      <c r="T683">
        <v>5</v>
      </c>
      <c r="U683" t="s">
        <v>25</v>
      </c>
      <c r="V683">
        <v>2671.43</v>
      </c>
      <c r="W683" t="s">
        <v>46</v>
      </c>
      <c r="X683" t="s">
        <v>36</v>
      </c>
      <c r="Y683">
        <v>7</v>
      </c>
      <c r="Z683" t="str">
        <f t="shared" si="141"/>
        <v>Bad Employee</v>
      </c>
      <c r="AA683" t="b">
        <f t="shared" si="142"/>
        <v>0</v>
      </c>
      <c r="AB683" t="b">
        <f>OR(Y683&gt;20, T683&gt;6)</f>
        <v>0</v>
      </c>
      <c r="AC683" t="str">
        <f>IF(OR(Y683&gt;20,T683&gt;6), "Good employee", "Bad Employee")</f>
        <v>Bad Employee</v>
      </c>
      <c r="AD683" t="s">
        <v>41</v>
      </c>
      <c r="AE683" t="s">
        <v>59</v>
      </c>
      <c r="AF683">
        <v>1</v>
      </c>
      <c r="AG683">
        <v>2014</v>
      </c>
      <c r="AH683" t="s">
        <v>49</v>
      </c>
      <c r="AI683">
        <v>77</v>
      </c>
      <c r="AJ683">
        <v>4.4000000000000004</v>
      </c>
    </row>
    <row r="684" spans="1:36" x14ac:dyDescent="0.25">
      <c r="A684">
        <v>10683</v>
      </c>
      <c r="B684" t="s">
        <v>21</v>
      </c>
      <c r="C684" t="s">
        <v>32</v>
      </c>
      <c r="D684" t="s">
        <v>54</v>
      </c>
      <c r="E684" t="str">
        <f t="shared" si="130"/>
        <v>Michael Wilson is in Finance Department</v>
      </c>
      <c r="F684" s="6" t="str">
        <f t="shared" si="131"/>
        <v>michaelwilson@gmail.com</v>
      </c>
      <c r="G684">
        <v>72017</v>
      </c>
      <c r="H684" t="str">
        <f t="shared" si="132"/>
        <v>Medium</v>
      </c>
      <c r="I684" s="3">
        <v>39891</v>
      </c>
      <c r="J684">
        <f t="shared" si="133"/>
        <v>2009</v>
      </c>
      <c r="K684">
        <f t="shared" si="134"/>
        <v>3</v>
      </c>
      <c r="L684">
        <f t="shared" si="135"/>
        <v>19</v>
      </c>
      <c r="M684" s="3">
        <f t="shared" ca="1" si="136"/>
        <v>46100</v>
      </c>
      <c r="N684">
        <f t="shared" ca="1" si="137"/>
        <v>6209</v>
      </c>
      <c r="O684">
        <f t="shared" ca="1" si="138"/>
        <v>6209</v>
      </c>
      <c r="P684">
        <f t="shared" ca="1" si="139"/>
        <v>4436</v>
      </c>
      <c r="Q684">
        <v>31</v>
      </c>
      <c r="R684" t="str">
        <f t="shared" si="140"/>
        <v>Old</v>
      </c>
      <c r="S684" t="s">
        <v>34</v>
      </c>
      <c r="T684">
        <v>7</v>
      </c>
      <c r="U684" t="s">
        <v>45</v>
      </c>
      <c r="V684">
        <v>6441.7</v>
      </c>
      <c r="W684" t="s">
        <v>58</v>
      </c>
      <c r="X684" t="s">
        <v>36</v>
      </c>
      <c r="Y684">
        <v>11</v>
      </c>
      <c r="Z684" t="str">
        <f t="shared" si="141"/>
        <v>Bad Employee</v>
      </c>
      <c r="AA684" t="b">
        <f t="shared" si="142"/>
        <v>0</v>
      </c>
      <c r="AB684" t="b">
        <f>OR(Y684&gt;20, T684&gt;6)</f>
        <v>1</v>
      </c>
      <c r="AC684" t="str">
        <f>IF(OR(Y684&gt;20,T684&gt;6), "Good employee", "Bad Employee")</f>
        <v>Good employee</v>
      </c>
      <c r="AD684" t="s">
        <v>56</v>
      </c>
      <c r="AE684" t="s">
        <v>48</v>
      </c>
      <c r="AF684">
        <v>6</v>
      </c>
      <c r="AG684">
        <v>2014</v>
      </c>
      <c r="AH684" t="s">
        <v>49</v>
      </c>
      <c r="AI684">
        <v>20</v>
      </c>
      <c r="AJ684">
        <v>2.1</v>
      </c>
    </row>
    <row r="685" spans="1:36" x14ac:dyDescent="0.25">
      <c r="A685">
        <v>10684</v>
      </c>
      <c r="B685" t="s">
        <v>31</v>
      </c>
      <c r="C685" t="s">
        <v>57</v>
      </c>
      <c r="D685" t="s">
        <v>54</v>
      </c>
      <c r="E685" t="str">
        <f t="shared" si="130"/>
        <v>Emily Davis is in Finance Department</v>
      </c>
      <c r="F685" s="6" t="str">
        <f t="shared" si="131"/>
        <v>emilydavis@gmail.com</v>
      </c>
      <c r="G685">
        <v>75704</v>
      </c>
      <c r="H685" t="str">
        <f t="shared" si="132"/>
        <v>Medium</v>
      </c>
      <c r="I685" s="3">
        <v>39014</v>
      </c>
      <c r="J685">
        <f t="shared" si="133"/>
        <v>2006</v>
      </c>
      <c r="K685">
        <f t="shared" si="134"/>
        <v>10</v>
      </c>
      <c r="L685">
        <f t="shared" si="135"/>
        <v>24</v>
      </c>
      <c r="M685" s="3">
        <f t="shared" ca="1" si="136"/>
        <v>46100</v>
      </c>
      <c r="N685">
        <f t="shared" ca="1" si="137"/>
        <v>7086</v>
      </c>
      <c r="O685">
        <f t="shared" ca="1" si="138"/>
        <v>7086</v>
      </c>
      <c r="P685">
        <f t="shared" ca="1" si="139"/>
        <v>5063</v>
      </c>
      <c r="Q685">
        <v>40</v>
      </c>
      <c r="R685" t="str">
        <f t="shared" si="140"/>
        <v>Old</v>
      </c>
      <c r="S685" t="s">
        <v>34</v>
      </c>
      <c r="T685">
        <v>7</v>
      </c>
      <c r="U685" t="s">
        <v>25</v>
      </c>
      <c r="V685">
        <v>875.73</v>
      </c>
      <c r="W685" t="s">
        <v>58</v>
      </c>
      <c r="X685" t="s">
        <v>47</v>
      </c>
      <c r="Y685">
        <v>39</v>
      </c>
      <c r="Z685" t="str">
        <f t="shared" si="141"/>
        <v>Good Employee</v>
      </c>
      <c r="AA685" t="b">
        <f t="shared" si="142"/>
        <v>1</v>
      </c>
      <c r="AB685" t="b">
        <f>OR(Y685&gt;20, T685&gt;6)</f>
        <v>1</v>
      </c>
      <c r="AC685" t="str">
        <f>IF(OR(Y685&gt;20,T685&gt;6), "Good employee", "Bad Employee")</f>
        <v>Good employee</v>
      </c>
      <c r="AD685" t="s">
        <v>56</v>
      </c>
      <c r="AE685" t="s">
        <v>62</v>
      </c>
      <c r="AF685">
        <v>11</v>
      </c>
      <c r="AG685">
        <v>2011</v>
      </c>
      <c r="AH685" t="s">
        <v>43</v>
      </c>
      <c r="AI685">
        <v>18</v>
      </c>
      <c r="AJ685">
        <v>3</v>
      </c>
    </row>
    <row r="686" spans="1:36" x14ac:dyDescent="0.25">
      <c r="A686">
        <v>10685</v>
      </c>
      <c r="B686" t="s">
        <v>66</v>
      </c>
      <c r="C686" t="s">
        <v>51</v>
      </c>
      <c r="D686" t="s">
        <v>44</v>
      </c>
      <c r="E686" t="str">
        <f t="shared" si="130"/>
        <v>John Brown is in Sales Department</v>
      </c>
      <c r="F686" s="6" t="str">
        <f t="shared" si="131"/>
        <v>johnbrown@gmail.com</v>
      </c>
      <c r="G686">
        <v>60013</v>
      </c>
      <c r="H686" t="str">
        <f t="shared" si="132"/>
        <v>Medium</v>
      </c>
      <c r="I686" s="3">
        <v>43538</v>
      </c>
      <c r="J686">
        <f t="shared" si="133"/>
        <v>2019</v>
      </c>
      <c r="K686">
        <f t="shared" si="134"/>
        <v>3</v>
      </c>
      <c r="L686">
        <f t="shared" si="135"/>
        <v>14</v>
      </c>
      <c r="M686" s="3">
        <f t="shared" ca="1" si="136"/>
        <v>46100</v>
      </c>
      <c r="N686">
        <f t="shared" ca="1" si="137"/>
        <v>2562</v>
      </c>
      <c r="O686">
        <f t="shared" ca="1" si="138"/>
        <v>2562</v>
      </c>
      <c r="P686">
        <f t="shared" ca="1" si="139"/>
        <v>1831</v>
      </c>
      <c r="Q686">
        <v>63</v>
      </c>
      <c r="R686" t="str">
        <f t="shared" si="140"/>
        <v>Old</v>
      </c>
      <c r="S686" t="s">
        <v>24</v>
      </c>
      <c r="T686">
        <v>1</v>
      </c>
      <c r="U686" t="s">
        <v>45</v>
      </c>
      <c r="V686">
        <v>2185.65</v>
      </c>
      <c r="W686" t="s">
        <v>26</v>
      </c>
      <c r="X686" t="s">
        <v>36</v>
      </c>
      <c r="Y686">
        <v>34</v>
      </c>
      <c r="Z686" t="str">
        <f t="shared" si="141"/>
        <v>Bad Employee</v>
      </c>
      <c r="AA686" t="b">
        <f t="shared" si="142"/>
        <v>0</v>
      </c>
      <c r="AB686" t="b">
        <f>OR(Y686&gt;20, T686&gt;6)</f>
        <v>1</v>
      </c>
      <c r="AC686" t="str">
        <f>IF(OR(Y686&gt;20,T686&gt;6), "Good employee", "Bad Employee")</f>
        <v>Good employee</v>
      </c>
      <c r="AD686" t="s">
        <v>56</v>
      </c>
      <c r="AE686" t="s">
        <v>42</v>
      </c>
      <c r="AF686">
        <v>1</v>
      </c>
      <c r="AG686">
        <v>2023</v>
      </c>
      <c r="AH686" t="s">
        <v>49</v>
      </c>
      <c r="AI686">
        <v>179</v>
      </c>
      <c r="AJ686">
        <v>1.7</v>
      </c>
    </row>
    <row r="687" spans="1:36" x14ac:dyDescent="0.25">
      <c r="A687">
        <v>10686</v>
      </c>
      <c r="B687" t="s">
        <v>64</v>
      </c>
      <c r="C687" t="s">
        <v>65</v>
      </c>
      <c r="D687" t="s">
        <v>39</v>
      </c>
      <c r="E687" t="str">
        <f t="shared" si="130"/>
        <v>Katie Johnson is in IT Department</v>
      </c>
      <c r="F687" s="6" t="str">
        <f t="shared" si="131"/>
        <v>katiejohnson@gmail.com</v>
      </c>
      <c r="G687">
        <v>109991</v>
      </c>
      <c r="H687" t="str">
        <f t="shared" si="132"/>
        <v>High</v>
      </c>
      <c r="I687" s="3">
        <v>42033</v>
      </c>
      <c r="J687">
        <f t="shared" si="133"/>
        <v>2015</v>
      </c>
      <c r="K687">
        <f t="shared" si="134"/>
        <v>1</v>
      </c>
      <c r="L687">
        <f t="shared" si="135"/>
        <v>29</v>
      </c>
      <c r="M687" s="3">
        <f t="shared" ca="1" si="136"/>
        <v>46100</v>
      </c>
      <c r="N687">
        <f t="shared" ca="1" si="137"/>
        <v>4067</v>
      </c>
      <c r="O687">
        <f t="shared" ca="1" si="138"/>
        <v>4067</v>
      </c>
      <c r="P687">
        <f t="shared" ca="1" si="139"/>
        <v>2906</v>
      </c>
      <c r="Q687">
        <v>37</v>
      </c>
      <c r="R687" t="str">
        <f t="shared" si="140"/>
        <v>Old</v>
      </c>
      <c r="S687" t="s">
        <v>34</v>
      </c>
      <c r="T687">
        <v>1</v>
      </c>
      <c r="U687" t="s">
        <v>25</v>
      </c>
      <c r="V687">
        <v>3286.8</v>
      </c>
      <c r="W687" t="s">
        <v>58</v>
      </c>
      <c r="X687" t="s">
        <v>36</v>
      </c>
      <c r="Y687">
        <v>5</v>
      </c>
      <c r="Z687" t="str">
        <f t="shared" si="141"/>
        <v>Bad Employee</v>
      </c>
      <c r="AA687" t="b">
        <f t="shared" si="142"/>
        <v>0</v>
      </c>
      <c r="AB687" t="b">
        <f>OR(Y687&gt;20, T687&gt;6)</f>
        <v>0</v>
      </c>
      <c r="AC687" t="str">
        <f>IF(OR(Y687&gt;20,T687&gt;6), "Good employee", "Bad Employee")</f>
        <v>Bad Employee</v>
      </c>
      <c r="AD687" t="s">
        <v>28</v>
      </c>
      <c r="AE687" t="s">
        <v>59</v>
      </c>
      <c r="AF687">
        <v>10</v>
      </c>
      <c r="AG687">
        <v>2014</v>
      </c>
      <c r="AH687" t="s">
        <v>49</v>
      </c>
      <c r="AI687">
        <v>162</v>
      </c>
      <c r="AJ687">
        <v>1.2</v>
      </c>
    </row>
    <row r="688" spans="1:36" x14ac:dyDescent="0.25">
      <c r="A688">
        <v>10687</v>
      </c>
      <c r="B688" t="s">
        <v>64</v>
      </c>
      <c r="C688" t="s">
        <v>57</v>
      </c>
      <c r="D688" t="s">
        <v>44</v>
      </c>
      <c r="E688" t="str">
        <f t="shared" si="130"/>
        <v>Katie Davis is in Sales Department</v>
      </c>
      <c r="F688" s="6" t="str">
        <f t="shared" si="131"/>
        <v>katiedavis@gmail.com</v>
      </c>
      <c r="G688">
        <v>100258</v>
      </c>
      <c r="H688" t="str">
        <f t="shared" si="132"/>
        <v>High</v>
      </c>
      <c r="I688" s="3">
        <v>42411</v>
      </c>
      <c r="J688">
        <f t="shared" si="133"/>
        <v>2016</v>
      </c>
      <c r="K688">
        <f t="shared" si="134"/>
        <v>2</v>
      </c>
      <c r="L688">
        <f t="shared" si="135"/>
        <v>11</v>
      </c>
      <c r="M688" s="3">
        <f t="shared" ca="1" si="136"/>
        <v>46100</v>
      </c>
      <c r="N688">
        <f t="shared" ca="1" si="137"/>
        <v>3689</v>
      </c>
      <c r="O688">
        <f t="shared" ca="1" si="138"/>
        <v>3689</v>
      </c>
      <c r="P688">
        <f t="shared" ca="1" si="139"/>
        <v>2636</v>
      </c>
      <c r="Q688">
        <v>34</v>
      </c>
      <c r="R688" t="str">
        <f t="shared" si="140"/>
        <v>Old</v>
      </c>
      <c r="S688" t="s">
        <v>24</v>
      </c>
      <c r="T688">
        <v>3</v>
      </c>
      <c r="U688" t="s">
        <v>25</v>
      </c>
      <c r="V688">
        <v>6991.78</v>
      </c>
      <c r="W688" t="s">
        <v>26</v>
      </c>
      <c r="X688" t="s">
        <v>55</v>
      </c>
      <c r="Y688">
        <v>25</v>
      </c>
      <c r="Z688" t="str">
        <f t="shared" si="141"/>
        <v>Bad Employee</v>
      </c>
      <c r="AA688" t="b">
        <f t="shared" si="142"/>
        <v>0</v>
      </c>
      <c r="AB688" t="b">
        <f>OR(Y688&gt;20, T688&gt;6)</f>
        <v>1</v>
      </c>
      <c r="AC688" t="str">
        <f>IF(OR(Y688&gt;20,T688&gt;6), "Good employee", "Bad Employee")</f>
        <v>Good employee</v>
      </c>
      <c r="AD688" t="s">
        <v>41</v>
      </c>
      <c r="AE688" t="s">
        <v>29</v>
      </c>
      <c r="AF688">
        <v>15</v>
      </c>
      <c r="AG688">
        <v>2017</v>
      </c>
      <c r="AH688" t="s">
        <v>43</v>
      </c>
      <c r="AI688">
        <v>114</v>
      </c>
      <c r="AJ688">
        <v>4</v>
      </c>
    </row>
    <row r="689" spans="1:36" x14ac:dyDescent="0.25">
      <c r="A689">
        <v>10688</v>
      </c>
      <c r="B689" t="s">
        <v>38</v>
      </c>
      <c r="C689" t="s">
        <v>65</v>
      </c>
      <c r="D689" t="s">
        <v>33</v>
      </c>
      <c r="E689" t="str">
        <f t="shared" si="130"/>
        <v>Chris Johnson is in Marketing Department</v>
      </c>
      <c r="F689" s="6" t="str">
        <f t="shared" si="131"/>
        <v>chrisjohnson@gmail.com</v>
      </c>
      <c r="G689">
        <v>108348</v>
      </c>
      <c r="H689" t="str">
        <f t="shared" si="132"/>
        <v>High</v>
      </c>
      <c r="I689" s="3">
        <v>38191</v>
      </c>
      <c r="J689">
        <f t="shared" si="133"/>
        <v>2004</v>
      </c>
      <c r="K689">
        <f t="shared" si="134"/>
        <v>7</v>
      </c>
      <c r="L689">
        <f t="shared" si="135"/>
        <v>23</v>
      </c>
      <c r="M689" s="3">
        <f t="shared" ca="1" si="136"/>
        <v>46100</v>
      </c>
      <c r="N689">
        <f t="shared" ca="1" si="137"/>
        <v>7909</v>
      </c>
      <c r="O689">
        <f t="shared" ca="1" si="138"/>
        <v>7909</v>
      </c>
      <c r="P689">
        <f t="shared" ca="1" si="139"/>
        <v>5650</v>
      </c>
      <c r="Q689">
        <v>29</v>
      </c>
      <c r="R689" t="str">
        <f t="shared" si="140"/>
        <v>Young</v>
      </c>
      <c r="S689" t="s">
        <v>24</v>
      </c>
      <c r="T689">
        <v>2</v>
      </c>
      <c r="U689" t="s">
        <v>45</v>
      </c>
      <c r="V689">
        <v>8820.7199999999993</v>
      </c>
      <c r="W689" t="s">
        <v>58</v>
      </c>
      <c r="X689" t="s">
        <v>47</v>
      </c>
      <c r="Y689">
        <v>28</v>
      </c>
      <c r="Z689" t="str">
        <f t="shared" si="141"/>
        <v>Bad Employee</v>
      </c>
      <c r="AA689" t="b">
        <f t="shared" si="142"/>
        <v>0</v>
      </c>
      <c r="AB689" t="b">
        <f>OR(Y689&gt;20, T689&gt;6)</f>
        <v>1</v>
      </c>
      <c r="AC689" t="str">
        <f>IF(OR(Y689&gt;20,T689&gt;6), "Good employee", "Bad Employee")</f>
        <v>Good employee</v>
      </c>
      <c r="AD689" t="s">
        <v>41</v>
      </c>
      <c r="AE689" t="s">
        <v>48</v>
      </c>
      <c r="AF689">
        <v>4</v>
      </c>
      <c r="AG689">
        <v>2013</v>
      </c>
      <c r="AH689" t="s">
        <v>43</v>
      </c>
      <c r="AI689">
        <v>156</v>
      </c>
      <c r="AJ689">
        <v>1.5</v>
      </c>
    </row>
    <row r="690" spans="1:36" x14ac:dyDescent="0.25">
      <c r="A690">
        <v>10689</v>
      </c>
      <c r="B690" t="s">
        <v>21</v>
      </c>
      <c r="C690" t="s">
        <v>51</v>
      </c>
      <c r="D690" t="s">
        <v>23</v>
      </c>
      <c r="E690" t="str">
        <f t="shared" si="130"/>
        <v>Michael Brown is in HR Department</v>
      </c>
      <c r="F690" s="6" t="str">
        <f t="shared" si="131"/>
        <v>michaelbrown@gmail.com</v>
      </c>
      <c r="G690">
        <v>66776</v>
      </c>
      <c r="H690" t="str">
        <f t="shared" si="132"/>
        <v>Medium</v>
      </c>
      <c r="I690" s="3">
        <v>41145</v>
      </c>
      <c r="J690">
        <f t="shared" si="133"/>
        <v>2012</v>
      </c>
      <c r="K690">
        <f t="shared" si="134"/>
        <v>8</v>
      </c>
      <c r="L690">
        <f t="shared" si="135"/>
        <v>24</v>
      </c>
      <c r="M690" s="3">
        <f t="shared" ca="1" si="136"/>
        <v>46100</v>
      </c>
      <c r="N690">
        <f t="shared" ca="1" si="137"/>
        <v>4955</v>
      </c>
      <c r="O690">
        <f t="shared" ca="1" si="138"/>
        <v>4955</v>
      </c>
      <c r="P690">
        <f t="shared" ca="1" si="139"/>
        <v>3540</v>
      </c>
      <c r="Q690">
        <v>52</v>
      </c>
      <c r="R690" t="str">
        <f t="shared" si="140"/>
        <v>Old</v>
      </c>
      <c r="S690" t="s">
        <v>24</v>
      </c>
      <c r="T690">
        <v>7</v>
      </c>
      <c r="U690" t="s">
        <v>45</v>
      </c>
      <c r="V690">
        <v>8085.67</v>
      </c>
      <c r="W690" t="s">
        <v>26</v>
      </c>
      <c r="X690" t="s">
        <v>36</v>
      </c>
      <c r="Y690">
        <v>14</v>
      </c>
      <c r="Z690" t="str">
        <f t="shared" si="141"/>
        <v>Bad Employee</v>
      </c>
      <c r="AA690" t="b">
        <f t="shared" si="142"/>
        <v>0</v>
      </c>
      <c r="AB690" t="b">
        <f>OR(Y690&gt;20, T690&gt;6)</f>
        <v>1</v>
      </c>
      <c r="AC690" t="str">
        <f>IF(OR(Y690&gt;20,T690&gt;6), "Good employee", "Bad Employee")</f>
        <v>Good employee</v>
      </c>
      <c r="AD690" t="s">
        <v>41</v>
      </c>
      <c r="AE690" t="s">
        <v>48</v>
      </c>
      <c r="AF690">
        <v>16</v>
      </c>
      <c r="AG690">
        <v>2011</v>
      </c>
      <c r="AH690" t="s">
        <v>49</v>
      </c>
      <c r="AI690">
        <v>145</v>
      </c>
      <c r="AJ690">
        <v>1.1000000000000001</v>
      </c>
    </row>
    <row r="691" spans="1:36" x14ac:dyDescent="0.25">
      <c r="A691">
        <v>10690</v>
      </c>
      <c r="B691" t="s">
        <v>60</v>
      </c>
      <c r="C691" t="s">
        <v>22</v>
      </c>
      <c r="D691" t="s">
        <v>39</v>
      </c>
      <c r="E691" t="str">
        <f t="shared" si="130"/>
        <v>Jane Williams is in IT Department</v>
      </c>
      <c r="F691" s="6" t="str">
        <f t="shared" si="131"/>
        <v>janewilliams@gmail.com</v>
      </c>
      <c r="G691">
        <v>40060</v>
      </c>
      <c r="H691" t="str">
        <f t="shared" si="132"/>
        <v>low</v>
      </c>
      <c r="I691" s="3">
        <v>38096</v>
      </c>
      <c r="J691">
        <f t="shared" si="133"/>
        <v>2004</v>
      </c>
      <c r="K691">
        <f t="shared" si="134"/>
        <v>4</v>
      </c>
      <c r="L691">
        <f t="shared" si="135"/>
        <v>19</v>
      </c>
      <c r="M691" s="3">
        <f t="shared" ca="1" si="136"/>
        <v>46100</v>
      </c>
      <c r="N691">
        <f t="shared" ca="1" si="137"/>
        <v>8004</v>
      </c>
      <c r="O691">
        <f t="shared" ca="1" si="138"/>
        <v>8004</v>
      </c>
      <c r="P691">
        <f t="shared" ca="1" si="139"/>
        <v>5719</v>
      </c>
      <c r="Q691">
        <v>46</v>
      </c>
      <c r="R691" t="str">
        <f t="shared" si="140"/>
        <v>Old</v>
      </c>
      <c r="S691" t="s">
        <v>34</v>
      </c>
      <c r="T691">
        <v>3</v>
      </c>
      <c r="U691" t="s">
        <v>25</v>
      </c>
      <c r="V691">
        <v>2229.77</v>
      </c>
      <c r="W691" t="s">
        <v>58</v>
      </c>
      <c r="X691" t="s">
        <v>40</v>
      </c>
      <c r="Y691">
        <v>27</v>
      </c>
      <c r="Z691" t="str">
        <f t="shared" si="141"/>
        <v>Bad Employee</v>
      </c>
      <c r="AA691" t="b">
        <f t="shared" si="142"/>
        <v>0</v>
      </c>
      <c r="AB691" t="b">
        <f>OR(Y691&gt;20, T691&gt;6)</f>
        <v>1</v>
      </c>
      <c r="AC691" t="str">
        <f>IF(OR(Y691&gt;20,T691&gt;6), "Good employee", "Bad Employee")</f>
        <v>Good employee</v>
      </c>
      <c r="AD691" t="s">
        <v>41</v>
      </c>
      <c r="AE691" t="s">
        <v>29</v>
      </c>
      <c r="AF691">
        <v>2</v>
      </c>
      <c r="AG691">
        <v>2017</v>
      </c>
      <c r="AH691" t="s">
        <v>30</v>
      </c>
      <c r="AI691">
        <v>123</v>
      </c>
      <c r="AJ691">
        <v>3.3</v>
      </c>
    </row>
    <row r="692" spans="1:36" x14ac:dyDescent="0.25">
      <c r="A692">
        <v>10691</v>
      </c>
      <c r="B692" t="s">
        <v>60</v>
      </c>
      <c r="C692" t="s">
        <v>65</v>
      </c>
      <c r="D692" t="s">
        <v>52</v>
      </c>
      <c r="E692" t="str">
        <f t="shared" si="130"/>
        <v>Jane Johnson is in Operations Department</v>
      </c>
      <c r="F692" s="6" t="str">
        <f t="shared" si="131"/>
        <v>janejohnson@gmail.com</v>
      </c>
      <c r="G692">
        <v>108592</v>
      </c>
      <c r="H692" t="str">
        <f t="shared" si="132"/>
        <v>High</v>
      </c>
      <c r="I692" s="3">
        <v>38259</v>
      </c>
      <c r="J692">
        <f t="shared" si="133"/>
        <v>2004</v>
      </c>
      <c r="K692">
        <f t="shared" si="134"/>
        <v>9</v>
      </c>
      <c r="L692">
        <f t="shared" si="135"/>
        <v>29</v>
      </c>
      <c r="M692" s="3">
        <f t="shared" ca="1" si="136"/>
        <v>46100</v>
      </c>
      <c r="N692">
        <f t="shared" ca="1" si="137"/>
        <v>7841</v>
      </c>
      <c r="O692">
        <f t="shared" ca="1" si="138"/>
        <v>7841</v>
      </c>
      <c r="P692">
        <f t="shared" ca="1" si="139"/>
        <v>5602</v>
      </c>
      <c r="Q692">
        <v>60</v>
      </c>
      <c r="R692" t="str">
        <f t="shared" si="140"/>
        <v>Old</v>
      </c>
      <c r="S692" t="s">
        <v>24</v>
      </c>
      <c r="T692">
        <v>7</v>
      </c>
      <c r="U692" t="s">
        <v>45</v>
      </c>
      <c r="V692">
        <v>5871.35</v>
      </c>
      <c r="W692" t="s">
        <v>58</v>
      </c>
      <c r="X692" t="s">
        <v>36</v>
      </c>
      <c r="Y692">
        <v>16</v>
      </c>
      <c r="Z692" t="str">
        <f t="shared" si="141"/>
        <v>Bad Employee</v>
      </c>
      <c r="AA692" t="b">
        <f t="shared" si="142"/>
        <v>0</v>
      </c>
      <c r="AB692" t="b">
        <f>OR(Y692&gt;20, T692&gt;6)</f>
        <v>1</v>
      </c>
      <c r="AC692" t="str">
        <f>IF(OR(Y692&gt;20,T692&gt;6), "Good employee", "Bad Employee")</f>
        <v>Good employee</v>
      </c>
      <c r="AD692" t="s">
        <v>28</v>
      </c>
      <c r="AE692" t="s">
        <v>48</v>
      </c>
      <c r="AF692">
        <v>13</v>
      </c>
      <c r="AG692">
        <v>2013</v>
      </c>
      <c r="AH692" t="s">
        <v>30</v>
      </c>
      <c r="AI692">
        <v>130</v>
      </c>
      <c r="AJ692">
        <v>1.1000000000000001</v>
      </c>
    </row>
    <row r="693" spans="1:36" x14ac:dyDescent="0.25">
      <c r="A693">
        <v>10692</v>
      </c>
      <c r="B693" t="s">
        <v>64</v>
      </c>
      <c r="C693" t="s">
        <v>61</v>
      </c>
      <c r="D693" t="s">
        <v>33</v>
      </c>
      <c r="E693" t="str">
        <f t="shared" si="130"/>
        <v>Katie Smith is in Marketing Department</v>
      </c>
      <c r="F693" s="6" t="str">
        <f t="shared" si="131"/>
        <v>katiesmith@gmail.com</v>
      </c>
      <c r="G693">
        <v>36655</v>
      </c>
      <c r="H693" t="str">
        <f t="shared" si="132"/>
        <v>extremely low</v>
      </c>
      <c r="I693" s="3">
        <v>37285</v>
      </c>
      <c r="J693">
        <f t="shared" si="133"/>
        <v>2002</v>
      </c>
      <c r="K693">
        <f t="shared" si="134"/>
        <v>1</v>
      </c>
      <c r="L693">
        <f t="shared" si="135"/>
        <v>29</v>
      </c>
      <c r="M693" s="3">
        <f t="shared" ca="1" si="136"/>
        <v>46100</v>
      </c>
      <c r="N693">
        <f t="shared" ca="1" si="137"/>
        <v>8815</v>
      </c>
      <c r="O693">
        <f t="shared" ca="1" si="138"/>
        <v>8815</v>
      </c>
      <c r="P693">
        <f t="shared" ca="1" si="139"/>
        <v>6298</v>
      </c>
      <c r="Q693">
        <v>42</v>
      </c>
      <c r="R693" t="str">
        <f t="shared" si="140"/>
        <v>Old</v>
      </c>
      <c r="S693" t="s">
        <v>34</v>
      </c>
      <c r="T693">
        <v>9</v>
      </c>
      <c r="U693" t="s">
        <v>25</v>
      </c>
      <c r="V693">
        <v>785.22</v>
      </c>
      <c r="W693" t="s">
        <v>35</v>
      </c>
      <c r="X693" t="s">
        <v>40</v>
      </c>
      <c r="Y693">
        <v>27</v>
      </c>
      <c r="Z693" t="str">
        <f t="shared" si="141"/>
        <v>Good Employee</v>
      </c>
      <c r="AA693" t="b">
        <f t="shared" si="142"/>
        <v>1</v>
      </c>
      <c r="AB693" t="b">
        <f>OR(Y693&gt;20, T693&gt;6)</f>
        <v>1</v>
      </c>
      <c r="AC693" t="str">
        <f>IF(OR(Y693&gt;20,T693&gt;6), "Good employee", "Bad Employee")</f>
        <v>Good employee</v>
      </c>
      <c r="AD693" t="s">
        <v>56</v>
      </c>
      <c r="AE693" t="s">
        <v>62</v>
      </c>
      <c r="AF693">
        <v>15</v>
      </c>
      <c r="AG693">
        <v>2023</v>
      </c>
      <c r="AH693" t="s">
        <v>43</v>
      </c>
      <c r="AI693">
        <v>13</v>
      </c>
      <c r="AJ693">
        <v>2.7</v>
      </c>
    </row>
    <row r="694" spans="1:36" x14ac:dyDescent="0.25">
      <c r="A694">
        <v>10693</v>
      </c>
      <c r="B694" t="s">
        <v>38</v>
      </c>
      <c r="C694" t="s">
        <v>61</v>
      </c>
      <c r="D694" t="s">
        <v>39</v>
      </c>
      <c r="E694" t="str">
        <f t="shared" si="130"/>
        <v>Chris Smith is in IT Department</v>
      </c>
      <c r="F694" s="6" t="str">
        <f t="shared" si="131"/>
        <v>chrissmith@gmail.com</v>
      </c>
      <c r="G694">
        <v>118110</v>
      </c>
      <c r="H694" t="str">
        <f t="shared" si="132"/>
        <v>High</v>
      </c>
      <c r="I694" s="3">
        <v>38683</v>
      </c>
      <c r="J694">
        <f t="shared" si="133"/>
        <v>2005</v>
      </c>
      <c r="K694">
        <f t="shared" si="134"/>
        <v>11</v>
      </c>
      <c r="L694">
        <f t="shared" si="135"/>
        <v>27</v>
      </c>
      <c r="M694" s="3">
        <f t="shared" ca="1" si="136"/>
        <v>46100</v>
      </c>
      <c r="N694">
        <f t="shared" ca="1" si="137"/>
        <v>7417</v>
      </c>
      <c r="O694">
        <f t="shared" ca="1" si="138"/>
        <v>7417</v>
      </c>
      <c r="P694">
        <f t="shared" ca="1" si="139"/>
        <v>5299</v>
      </c>
      <c r="Q694">
        <v>59</v>
      </c>
      <c r="R694" t="str">
        <f t="shared" si="140"/>
        <v>Old</v>
      </c>
      <c r="S694" t="s">
        <v>24</v>
      </c>
      <c r="T694">
        <v>1</v>
      </c>
      <c r="U694" t="s">
        <v>25</v>
      </c>
      <c r="V694">
        <v>3450.1</v>
      </c>
      <c r="W694" t="s">
        <v>35</v>
      </c>
      <c r="X694" t="s">
        <v>27</v>
      </c>
      <c r="Y694">
        <v>2</v>
      </c>
      <c r="Z694" t="str">
        <f t="shared" si="141"/>
        <v>Bad Employee</v>
      </c>
      <c r="AA694" t="b">
        <f t="shared" si="142"/>
        <v>0</v>
      </c>
      <c r="AB694" t="b">
        <f>OR(Y694&gt;20, T694&gt;6)</f>
        <v>0</v>
      </c>
      <c r="AC694" t="str">
        <f>IF(OR(Y694&gt;20,T694&gt;6), "Good employee", "Bad Employee")</f>
        <v>Bad Employee</v>
      </c>
      <c r="AD694" t="s">
        <v>28</v>
      </c>
      <c r="AE694" t="s">
        <v>37</v>
      </c>
      <c r="AF694">
        <v>16</v>
      </c>
      <c r="AG694">
        <v>2022</v>
      </c>
      <c r="AH694" t="s">
        <v>49</v>
      </c>
      <c r="AI694">
        <v>181</v>
      </c>
      <c r="AJ694">
        <v>2.2000000000000002</v>
      </c>
    </row>
    <row r="695" spans="1:36" x14ac:dyDescent="0.25">
      <c r="A695">
        <v>10694</v>
      </c>
      <c r="B695" t="s">
        <v>31</v>
      </c>
      <c r="C695" t="s">
        <v>32</v>
      </c>
      <c r="D695" t="s">
        <v>23</v>
      </c>
      <c r="E695" t="str">
        <f t="shared" si="130"/>
        <v>Emily Wilson is in HR Department</v>
      </c>
      <c r="F695" s="6" t="str">
        <f t="shared" si="131"/>
        <v>emilywilson@gmail.com</v>
      </c>
      <c r="G695">
        <v>79923</v>
      </c>
      <c r="H695" t="str">
        <f t="shared" si="132"/>
        <v>Medium</v>
      </c>
      <c r="I695" s="3">
        <v>37877</v>
      </c>
      <c r="J695">
        <f t="shared" si="133"/>
        <v>2003</v>
      </c>
      <c r="K695">
        <f t="shared" si="134"/>
        <v>9</v>
      </c>
      <c r="L695">
        <f t="shared" si="135"/>
        <v>13</v>
      </c>
      <c r="M695" s="3">
        <f t="shared" ca="1" si="136"/>
        <v>46100</v>
      </c>
      <c r="N695">
        <f t="shared" ca="1" si="137"/>
        <v>8223</v>
      </c>
      <c r="O695">
        <f t="shared" ca="1" si="138"/>
        <v>8223</v>
      </c>
      <c r="P695">
        <f t="shared" ca="1" si="139"/>
        <v>5874</v>
      </c>
      <c r="Q695">
        <v>62</v>
      </c>
      <c r="R695" t="str">
        <f t="shared" si="140"/>
        <v>Old</v>
      </c>
      <c r="S695" t="s">
        <v>24</v>
      </c>
      <c r="T695">
        <v>3</v>
      </c>
      <c r="U695" t="s">
        <v>25</v>
      </c>
      <c r="V695">
        <v>8156.85</v>
      </c>
      <c r="W695" t="s">
        <v>35</v>
      </c>
      <c r="X695" t="s">
        <v>27</v>
      </c>
      <c r="Y695">
        <v>19</v>
      </c>
      <c r="Z695" t="str">
        <f t="shared" si="141"/>
        <v>Bad Employee</v>
      </c>
      <c r="AA695" t="b">
        <f t="shared" si="142"/>
        <v>0</v>
      </c>
      <c r="AB695" t="b">
        <f>OR(Y695&gt;20, T695&gt;6)</f>
        <v>0</v>
      </c>
      <c r="AC695" t="str">
        <f>IF(OR(Y695&gt;20,T695&gt;6), "Good employee", "Bad Employee")</f>
        <v>Bad Employee</v>
      </c>
      <c r="AD695" t="s">
        <v>56</v>
      </c>
      <c r="AE695" t="s">
        <v>37</v>
      </c>
      <c r="AF695">
        <v>18</v>
      </c>
      <c r="AG695">
        <v>2014</v>
      </c>
      <c r="AH695" t="s">
        <v>43</v>
      </c>
      <c r="AI695">
        <v>158</v>
      </c>
      <c r="AJ695">
        <v>2.2999999999999998</v>
      </c>
    </row>
    <row r="696" spans="1:36" x14ac:dyDescent="0.25">
      <c r="A696">
        <v>10695</v>
      </c>
      <c r="B696" t="s">
        <v>60</v>
      </c>
      <c r="C696" t="s">
        <v>57</v>
      </c>
      <c r="D696" t="s">
        <v>54</v>
      </c>
      <c r="E696" t="str">
        <f t="shared" si="130"/>
        <v>Jane Davis is in Finance Department</v>
      </c>
      <c r="F696" s="6" t="str">
        <f t="shared" si="131"/>
        <v>janedavis@gmail.com</v>
      </c>
      <c r="G696">
        <v>108563</v>
      </c>
      <c r="H696" t="str">
        <f t="shared" si="132"/>
        <v>High</v>
      </c>
      <c r="I696" s="3">
        <v>40002</v>
      </c>
      <c r="J696">
        <f t="shared" si="133"/>
        <v>2009</v>
      </c>
      <c r="K696">
        <f t="shared" si="134"/>
        <v>7</v>
      </c>
      <c r="L696">
        <f t="shared" si="135"/>
        <v>8</v>
      </c>
      <c r="M696" s="3">
        <f t="shared" ca="1" si="136"/>
        <v>46100</v>
      </c>
      <c r="N696">
        <f t="shared" ca="1" si="137"/>
        <v>6098</v>
      </c>
      <c r="O696">
        <f t="shared" ca="1" si="138"/>
        <v>6098</v>
      </c>
      <c r="P696">
        <f t="shared" ca="1" si="139"/>
        <v>4357</v>
      </c>
      <c r="Q696">
        <v>50</v>
      </c>
      <c r="R696" t="str">
        <f t="shared" si="140"/>
        <v>Old</v>
      </c>
      <c r="S696" t="s">
        <v>34</v>
      </c>
      <c r="T696">
        <v>6</v>
      </c>
      <c r="U696" t="s">
        <v>25</v>
      </c>
      <c r="V696">
        <v>4838.32</v>
      </c>
      <c r="W696" t="s">
        <v>26</v>
      </c>
      <c r="X696" t="s">
        <v>47</v>
      </c>
      <c r="Y696">
        <v>23</v>
      </c>
      <c r="Z696" t="str">
        <f t="shared" si="141"/>
        <v>Bad Employee</v>
      </c>
      <c r="AA696" t="b">
        <f t="shared" si="142"/>
        <v>0</v>
      </c>
      <c r="AB696" t="b">
        <f>OR(Y696&gt;20, T696&gt;6)</f>
        <v>1</v>
      </c>
      <c r="AC696" t="str">
        <f>IF(OR(Y696&gt;20,T696&gt;6), "Good employee", "Bad Employee")</f>
        <v>Good employee</v>
      </c>
      <c r="AD696" t="s">
        <v>56</v>
      </c>
      <c r="AE696" t="s">
        <v>59</v>
      </c>
      <c r="AF696">
        <v>3</v>
      </c>
      <c r="AG696">
        <v>2023</v>
      </c>
      <c r="AH696" t="s">
        <v>30</v>
      </c>
      <c r="AI696">
        <v>53</v>
      </c>
      <c r="AJ696">
        <v>1</v>
      </c>
    </row>
    <row r="697" spans="1:36" x14ac:dyDescent="0.25">
      <c r="A697">
        <v>10696</v>
      </c>
      <c r="B697" t="s">
        <v>31</v>
      </c>
      <c r="C697" t="s">
        <v>51</v>
      </c>
      <c r="D697" t="s">
        <v>52</v>
      </c>
      <c r="E697" t="str">
        <f t="shared" si="130"/>
        <v>Emily Brown is in Operations Department</v>
      </c>
      <c r="F697" s="6" t="str">
        <f t="shared" si="131"/>
        <v>emilybrown@gmail.com</v>
      </c>
      <c r="G697">
        <v>34030</v>
      </c>
      <c r="H697" t="str">
        <f t="shared" si="132"/>
        <v>extremely low</v>
      </c>
      <c r="I697" s="3">
        <v>37794</v>
      </c>
      <c r="J697">
        <f t="shared" si="133"/>
        <v>2003</v>
      </c>
      <c r="K697">
        <f t="shared" si="134"/>
        <v>6</v>
      </c>
      <c r="L697">
        <f t="shared" si="135"/>
        <v>22</v>
      </c>
      <c r="M697" s="3">
        <f t="shared" ca="1" si="136"/>
        <v>46100</v>
      </c>
      <c r="N697">
        <f t="shared" ca="1" si="137"/>
        <v>8306</v>
      </c>
      <c r="O697">
        <f t="shared" ca="1" si="138"/>
        <v>8306</v>
      </c>
      <c r="P697">
        <f t="shared" ca="1" si="139"/>
        <v>5934</v>
      </c>
      <c r="Q697">
        <v>27</v>
      </c>
      <c r="R697" t="str">
        <f t="shared" si="140"/>
        <v>Young</v>
      </c>
      <c r="S697" t="s">
        <v>34</v>
      </c>
      <c r="T697">
        <v>9</v>
      </c>
      <c r="U697" t="s">
        <v>45</v>
      </c>
      <c r="V697">
        <v>1924.44</v>
      </c>
      <c r="W697" t="s">
        <v>26</v>
      </c>
      <c r="X697" t="s">
        <v>47</v>
      </c>
      <c r="Y697">
        <v>14</v>
      </c>
      <c r="Z697" t="str">
        <f t="shared" si="141"/>
        <v>Bad Employee</v>
      </c>
      <c r="AA697" t="b">
        <f t="shared" si="142"/>
        <v>0</v>
      </c>
      <c r="AB697" t="b">
        <f>OR(Y697&gt;20, T697&gt;6)</f>
        <v>1</v>
      </c>
      <c r="AC697" t="str">
        <f>IF(OR(Y697&gt;20,T697&gt;6), "Good employee", "Bad Employee")</f>
        <v>Good employee</v>
      </c>
      <c r="AD697" t="s">
        <v>41</v>
      </c>
      <c r="AE697" t="s">
        <v>48</v>
      </c>
      <c r="AF697">
        <v>19</v>
      </c>
      <c r="AG697">
        <v>2021</v>
      </c>
      <c r="AH697" t="s">
        <v>30</v>
      </c>
      <c r="AI697">
        <v>46</v>
      </c>
      <c r="AJ697">
        <v>4.9000000000000004</v>
      </c>
    </row>
    <row r="698" spans="1:36" x14ac:dyDescent="0.25">
      <c r="A698">
        <v>10697</v>
      </c>
      <c r="B698" t="s">
        <v>21</v>
      </c>
      <c r="C698" t="s">
        <v>32</v>
      </c>
      <c r="D698" t="s">
        <v>44</v>
      </c>
      <c r="E698" t="str">
        <f t="shared" si="130"/>
        <v>Michael Wilson is in Sales Department</v>
      </c>
      <c r="F698" s="6" t="str">
        <f t="shared" si="131"/>
        <v>michaelwilson@gmail.com</v>
      </c>
      <c r="G698">
        <v>119779</v>
      </c>
      <c r="H698" t="str">
        <f t="shared" si="132"/>
        <v>High</v>
      </c>
      <c r="I698" s="3">
        <v>38311</v>
      </c>
      <c r="J698">
        <f t="shared" si="133"/>
        <v>2004</v>
      </c>
      <c r="K698">
        <f t="shared" si="134"/>
        <v>11</v>
      </c>
      <c r="L698">
        <f t="shared" si="135"/>
        <v>20</v>
      </c>
      <c r="M698" s="3">
        <f t="shared" ca="1" si="136"/>
        <v>46100</v>
      </c>
      <c r="N698">
        <f t="shared" ca="1" si="137"/>
        <v>7789</v>
      </c>
      <c r="O698">
        <f t="shared" ca="1" si="138"/>
        <v>7789</v>
      </c>
      <c r="P698">
        <f t="shared" ca="1" si="139"/>
        <v>5564</v>
      </c>
      <c r="Q698">
        <v>39</v>
      </c>
      <c r="R698" t="str">
        <f t="shared" si="140"/>
        <v>Old</v>
      </c>
      <c r="S698" t="s">
        <v>24</v>
      </c>
      <c r="T698">
        <v>5</v>
      </c>
      <c r="U698" t="s">
        <v>45</v>
      </c>
      <c r="V698">
        <v>4666.26</v>
      </c>
      <c r="W698" t="s">
        <v>26</v>
      </c>
      <c r="X698" t="s">
        <v>27</v>
      </c>
      <c r="Y698">
        <v>26</v>
      </c>
      <c r="Z698" t="str">
        <f t="shared" si="141"/>
        <v>Bad Employee</v>
      </c>
      <c r="AA698" t="b">
        <f t="shared" si="142"/>
        <v>0</v>
      </c>
      <c r="AB698" t="b">
        <f>OR(Y698&gt;20, T698&gt;6)</f>
        <v>1</v>
      </c>
      <c r="AC698" t="str">
        <f>IF(OR(Y698&gt;20,T698&gt;6), "Good employee", "Bad Employee")</f>
        <v>Good employee</v>
      </c>
      <c r="AD698" t="s">
        <v>41</v>
      </c>
      <c r="AE698" t="s">
        <v>29</v>
      </c>
      <c r="AF698">
        <v>19</v>
      </c>
      <c r="AG698">
        <v>2016</v>
      </c>
      <c r="AH698" t="s">
        <v>49</v>
      </c>
      <c r="AI698">
        <v>177</v>
      </c>
      <c r="AJ698">
        <v>3.1</v>
      </c>
    </row>
    <row r="699" spans="1:36" x14ac:dyDescent="0.25">
      <c r="A699">
        <v>10698</v>
      </c>
      <c r="B699" t="s">
        <v>60</v>
      </c>
      <c r="C699" t="s">
        <v>57</v>
      </c>
      <c r="D699" t="s">
        <v>23</v>
      </c>
      <c r="E699" t="str">
        <f t="shared" si="130"/>
        <v>Jane Davis is in HR Department</v>
      </c>
      <c r="F699" s="6" t="str">
        <f t="shared" si="131"/>
        <v>janedavis@gmail.com</v>
      </c>
      <c r="G699">
        <v>63289</v>
      </c>
      <c r="H699" t="str">
        <f t="shared" si="132"/>
        <v>Medium</v>
      </c>
      <c r="I699" s="3">
        <v>40475</v>
      </c>
      <c r="J699">
        <f t="shared" si="133"/>
        <v>2010</v>
      </c>
      <c r="K699">
        <f t="shared" si="134"/>
        <v>10</v>
      </c>
      <c r="L699">
        <f t="shared" si="135"/>
        <v>24</v>
      </c>
      <c r="M699" s="3">
        <f t="shared" ca="1" si="136"/>
        <v>46100</v>
      </c>
      <c r="N699">
        <f t="shared" ca="1" si="137"/>
        <v>5625</v>
      </c>
      <c r="O699">
        <f t="shared" ca="1" si="138"/>
        <v>5625</v>
      </c>
      <c r="P699">
        <f t="shared" ca="1" si="139"/>
        <v>4019</v>
      </c>
      <c r="Q699">
        <v>56</v>
      </c>
      <c r="R699" t="str">
        <f t="shared" si="140"/>
        <v>Old</v>
      </c>
      <c r="S699" t="s">
        <v>34</v>
      </c>
      <c r="T699">
        <v>3</v>
      </c>
      <c r="U699" t="s">
        <v>45</v>
      </c>
      <c r="V699">
        <v>2381.31</v>
      </c>
      <c r="W699" t="s">
        <v>26</v>
      </c>
      <c r="X699" t="s">
        <v>47</v>
      </c>
      <c r="Y699">
        <v>8</v>
      </c>
      <c r="Z699" t="str">
        <f t="shared" si="141"/>
        <v>Bad Employee</v>
      </c>
      <c r="AA699" t="b">
        <f t="shared" si="142"/>
        <v>0</v>
      </c>
      <c r="AB699" t="b">
        <f>OR(Y699&gt;20, T699&gt;6)</f>
        <v>0</v>
      </c>
      <c r="AC699" t="str">
        <f>IF(OR(Y699&gt;20,T699&gt;6), "Good employee", "Bad Employee")</f>
        <v>Bad Employee</v>
      </c>
      <c r="AD699" t="s">
        <v>56</v>
      </c>
      <c r="AE699" t="s">
        <v>29</v>
      </c>
      <c r="AF699">
        <v>8</v>
      </c>
      <c r="AG699">
        <v>2020</v>
      </c>
      <c r="AH699" t="s">
        <v>43</v>
      </c>
      <c r="AI699">
        <v>118</v>
      </c>
      <c r="AJ699">
        <v>3.3</v>
      </c>
    </row>
    <row r="700" spans="1:36" x14ac:dyDescent="0.25">
      <c r="A700">
        <v>10699</v>
      </c>
      <c r="B700" t="s">
        <v>60</v>
      </c>
      <c r="C700" t="s">
        <v>57</v>
      </c>
      <c r="D700" t="s">
        <v>33</v>
      </c>
      <c r="E700" t="str">
        <f t="shared" si="130"/>
        <v>Jane Davis is in Marketing Department</v>
      </c>
      <c r="F700" s="6" t="str">
        <f t="shared" si="131"/>
        <v>janedavis@gmail.com</v>
      </c>
      <c r="G700">
        <v>49739</v>
      </c>
      <c r="H700" t="str">
        <f t="shared" si="132"/>
        <v>low</v>
      </c>
      <c r="I700" s="3">
        <v>42474</v>
      </c>
      <c r="J700">
        <f t="shared" si="133"/>
        <v>2016</v>
      </c>
      <c r="K700">
        <f t="shared" si="134"/>
        <v>4</v>
      </c>
      <c r="L700">
        <f t="shared" si="135"/>
        <v>14</v>
      </c>
      <c r="M700" s="3">
        <f t="shared" ca="1" si="136"/>
        <v>46100</v>
      </c>
      <c r="N700">
        <f t="shared" ca="1" si="137"/>
        <v>3626</v>
      </c>
      <c r="O700">
        <f t="shared" ca="1" si="138"/>
        <v>3626</v>
      </c>
      <c r="P700">
        <f t="shared" ca="1" si="139"/>
        <v>2591</v>
      </c>
      <c r="Q700">
        <v>48</v>
      </c>
      <c r="R700" t="str">
        <f t="shared" si="140"/>
        <v>Old</v>
      </c>
      <c r="S700" t="s">
        <v>34</v>
      </c>
      <c r="T700">
        <v>8</v>
      </c>
      <c r="U700" t="s">
        <v>45</v>
      </c>
      <c r="V700">
        <v>4235.32</v>
      </c>
      <c r="W700" t="s">
        <v>35</v>
      </c>
      <c r="X700" t="s">
        <v>40</v>
      </c>
      <c r="Y700">
        <v>27</v>
      </c>
      <c r="Z700" t="str">
        <f t="shared" si="141"/>
        <v>Good Employee</v>
      </c>
      <c r="AA700" t="b">
        <f t="shared" si="142"/>
        <v>1</v>
      </c>
      <c r="AB700" t="b">
        <f>OR(Y700&gt;20, T700&gt;6)</f>
        <v>1</v>
      </c>
      <c r="AC700" t="str">
        <f>IF(OR(Y700&gt;20,T700&gt;6), "Good employee", "Bad Employee")</f>
        <v>Good employee</v>
      </c>
      <c r="AD700" t="s">
        <v>56</v>
      </c>
      <c r="AE700" t="s">
        <v>59</v>
      </c>
      <c r="AF700">
        <v>10</v>
      </c>
      <c r="AG700">
        <v>2014</v>
      </c>
      <c r="AH700" t="s">
        <v>43</v>
      </c>
      <c r="AI700">
        <v>81</v>
      </c>
      <c r="AJ700">
        <v>3.7</v>
      </c>
    </row>
    <row r="701" spans="1:36" x14ac:dyDescent="0.25">
      <c r="A701">
        <v>10700</v>
      </c>
      <c r="B701" t="s">
        <v>50</v>
      </c>
      <c r="C701" t="s">
        <v>32</v>
      </c>
      <c r="D701" t="s">
        <v>33</v>
      </c>
      <c r="E701" t="str">
        <f t="shared" si="130"/>
        <v>Alex Wilson is in Marketing Department</v>
      </c>
      <c r="F701" s="6" t="str">
        <f t="shared" si="131"/>
        <v>alexwilson@gmail.com</v>
      </c>
      <c r="G701">
        <v>91687</v>
      </c>
      <c r="H701" t="str">
        <f t="shared" si="132"/>
        <v>High</v>
      </c>
      <c r="I701" s="3">
        <v>42832</v>
      </c>
      <c r="J701">
        <f t="shared" si="133"/>
        <v>2017</v>
      </c>
      <c r="K701">
        <f t="shared" si="134"/>
        <v>4</v>
      </c>
      <c r="L701">
        <f t="shared" si="135"/>
        <v>7</v>
      </c>
      <c r="M701" s="3">
        <f t="shared" ca="1" si="136"/>
        <v>46100</v>
      </c>
      <c r="N701">
        <f t="shared" ca="1" si="137"/>
        <v>3268</v>
      </c>
      <c r="O701">
        <f t="shared" ca="1" si="138"/>
        <v>3268</v>
      </c>
      <c r="P701">
        <f t="shared" ca="1" si="139"/>
        <v>2335</v>
      </c>
      <c r="Q701">
        <v>26</v>
      </c>
      <c r="R701" t="str">
        <f t="shared" si="140"/>
        <v>Young</v>
      </c>
      <c r="S701" t="s">
        <v>24</v>
      </c>
      <c r="T701">
        <v>5</v>
      </c>
      <c r="U701" t="s">
        <v>45</v>
      </c>
      <c r="V701">
        <v>5134.42</v>
      </c>
      <c r="W701" t="s">
        <v>46</v>
      </c>
      <c r="X701" t="s">
        <v>40</v>
      </c>
      <c r="Y701">
        <v>28</v>
      </c>
      <c r="Z701" t="str">
        <f t="shared" si="141"/>
        <v>Bad Employee</v>
      </c>
      <c r="AA701" t="b">
        <f t="shared" si="142"/>
        <v>0</v>
      </c>
      <c r="AB701" t="b">
        <f>OR(Y701&gt;20, T701&gt;6)</f>
        <v>1</v>
      </c>
      <c r="AC701" t="str">
        <f>IF(OR(Y701&gt;20,T701&gt;6), "Good employee", "Bad Employee")</f>
        <v>Good employee</v>
      </c>
      <c r="AD701" t="s">
        <v>41</v>
      </c>
      <c r="AE701" t="s">
        <v>62</v>
      </c>
      <c r="AF701">
        <v>4</v>
      </c>
      <c r="AG701">
        <v>2022</v>
      </c>
      <c r="AH701" t="s">
        <v>30</v>
      </c>
      <c r="AI701">
        <v>153</v>
      </c>
      <c r="AJ701">
        <v>4.2</v>
      </c>
    </row>
    <row r="702" spans="1:36" x14ac:dyDescent="0.25">
      <c r="A702">
        <v>10701</v>
      </c>
      <c r="B702" t="s">
        <v>60</v>
      </c>
      <c r="C702" t="s">
        <v>63</v>
      </c>
      <c r="D702" t="s">
        <v>54</v>
      </c>
      <c r="E702" t="str">
        <f t="shared" si="130"/>
        <v>Jane Miller is in Finance Department</v>
      </c>
      <c r="F702" s="6" t="str">
        <f t="shared" si="131"/>
        <v>janemiller@gmail.com</v>
      </c>
      <c r="G702">
        <v>66491</v>
      </c>
      <c r="H702" t="str">
        <f t="shared" si="132"/>
        <v>Medium</v>
      </c>
      <c r="I702" s="3">
        <v>39133</v>
      </c>
      <c r="J702">
        <f t="shared" si="133"/>
        <v>2007</v>
      </c>
      <c r="K702">
        <f t="shared" si="134"/>
        <v>2</v>
      </c>
      <c r="L702">
        <f t="shared" si="135"/>
        <v>20</v>
      </c>
      <c r="M702" s="3">
        <f t="shared" ca="1" si="136"/>
        <v>46100</v>
      </c>
      <c r="N702">
        <f t="shared" ca="1" si="137"/>
        <v>6967</v>
      </c>
      <c r="O702">
        <f t="shared" ca="1" si="138"/>
        <v>6967</v>
      </c>
      <c r="P702">
        <f t="shared" ca="1" si="139"/>
        <v>4978</v>
      </c>
      <c r="Q702">
        <v>28</v>
      </c>
      <c r="R702" t="str">
        <f t="shared" si="140"/>
        <v>Young</v>
      </c>
      <c r="S702" t="s">
        <v>24</v>
      </c>
      <c r="T702">
        <v>6</v>
      </c>
      <c r="U702" t="s">
        <v>25</v>
      </c>
      <c r="V702">
        <v>3820.8</v>
      </c>
      <c r="W702" t="s">
        <v>58</v>
      </c>
      <c r="X702" t="s">
        <v>55</v>
      </c>
      <c r="Y702">
        <v>4</v>
      </c>
      <c r="Z702" t="str">
        <f t="shared" si="141"/>
        <v>Bad Employee</v>
      </c>
      <c r="AA702" t="b">
        <f t="shared" si="142"/>
        <v>0</v>
      </c>
      <c r="AB702" t="b">
        <f>OR(Y702&gt;20, T702&gt;6)</f>
        <v>0</v>
      </c>
      <c r="AC702" t="str">
        <f>IF(OR(Y702&gt;20,T702&gt;6), "Good employee", "Bad Employee")</f>
        <v>Bad Employee</v>
      </c>
      <c r="AD702" t="s">
        <v>41</v>
      </c>
      <c r="AE702" t="s">
        <v>59</v>
      </c>
      <c r="AF702">
        <v>10</v>
      </c>
      <c r="AG702">
        <v>2019</v>
      </c>
      <c r="AH702" t="s">
        <v>43</v>
      </c>
      <c r="AI702">
        <v>161</v>
      </c>
      <c r="AJ702">
        <v>3.4</v>
      </c>
    </row>
    <row r="703" spans="1:36" x14ac:dyDescent="0.25">
      <c r="A703">
        <v>10702</v>
      </c>
      <c r="B703" t="s">
        <v>53</v>
      </c>
      <c r="C703" t="s">
        <v>57</v>
      </c>
      <c r="D703" t="s">
        <v>54</v>
      </c>
      <c r="E703" t="str">
        <f t="shared" si="130"/>
        <v>Sarah Davis is in Finance Department</v>
      </c>
      <c r="F703" s="6" t="str">
        <f t="shared" si="131"/>
        <v>sarahdavis@gmail.com</v>
      </c>
      <c r="G703">
        <v>102115</v>
      </c>
      <c r="H703" t="str">
        <f t="shared" si="132"/>
        <v>High</v>
      </c>
      <c r="I703" s="3">
        <v>36924</v>
      </c>
      <c r="J703">
        <f t="shared" si="133"/>
        <v>2001</v>
      </c>
      <c r="K703">
        <f t="shared" si="134"/>
        <v>2</v>
      </c>
      <c r="L703">
        <f t="shared" si="135"/>
        <v>2</v>
      </c>
      <c r="M703" s="3">
        <f t="shared" ca="1" si="136"/>
        <v>46100</v>
      </c>
      <c r="N703">
        <f t="shared" ca="1" si="137"/>
        <v>9176</v>
      </c>
      <c r="O703">
        <f t="shared" ca="1" si="138"/>
        <v>9176</v>
      </c>
      <c r="P703">
        <f t="shared" ca="1" si="139"/>
        <v>6555</v>
      </c>
      <c r="Q703">
        <v>31</v>
      </c>
      <c r="R703" t="str">
        <f t="shared" si="140"/>
        <v>Old</v>
      </c>
      <c r="S703" t="s">
        <v>34</v>
      </c>
      <c r="T703">
        <v>2</v>
      </c>
      <c r="U703" t="s">
        <v>45</v>
      </c>
      <c r="V703">
        <v>9401.2099999999991</v>
      </c>
      <c r="W703" t="s">
        <v>58</v>
      </c>
      <c r="X703" t="s">
        <v>47</v>
      </c>
      <c r="Y703">
        <v>38</v>
      </c>
      <c r="Z703" t="str">
        <f t="shared" si="141"/>
        <v>Bad Employee</v>
      </c>
      <c r="AA703" t="b">
        <f t="shared" si="142"/>
        <v>0</v>
      </c>
      <c r="AB703" t="b">
        <f>OR(Y703&gt;20, T703&gt;6)</f>
        <v>1</v>
      </c>
      <c r="AC703" t="str">
        <f>IF(OR(Y703&gt;20,T703&gt;6), "Good employee", "Bad Employee")</f>
        <v>Good employee</v>
      </c>
      <c r="AD703" t="s">
        <v>41</v>
      </c>
      <c r="AE703" t="s">
        <v>48</v>
      </c>
      <c r="AF703">
        <v>12</v>
      </c>
      <c r="AG703">
        <v>2013</v>
      </c>
      <c r="AH703" t="s">
        <v>43</v>
      </c>
      <c r="AI703">
        <v>96</v>
      </c>
      <c r="AJ703">
        <v>4</v>
      </c>
    </row>
    <row r="704" spans="1:36" x14ac:dyDescent="0.25">
      <c r="A704">
        <v>10703</v>
      </c>
      <c r="B704" t="s">
        <v>66</v>
      </c>
      <c r="C704" t="s">
        <v>63</v>
      </c>
      <c r="D704" t="s">
        <v>52</v>
      </c>
      <c r="E704" t="str">
        <f t="shared" si="130"/>
        <v>John Miller is in Operations Department</v>
      </c>
      <c r="F704" s="6" t="str">
        <f t="shared" si="131"/>
        <v>johnmiller@gmail.com</v>
      </c>
      <c r="G704">
        <v>113778</v>
      </c>
      <c r="H704" t="str">
        <f t="shared" si="132"/>
        <v>High</v>
      </c>
      <c r="I704" s="3">
        <v>39156</v>
      </c>
      <c r="J704">
        <f t="shared" si="133"/>
        <v>2007</v>
      </c>
      <c r="K704">
        <f t="shared" si="134"/>
        <v>3</v>
      </c>
      <c r="L704">
        <f t="shared" si="135"/>
        <v>15</v>
      </c>
      <c r="M704" s="3">
        <f t="shared" ca="1" si="136"/>
        <v>46100</v>
      </c>
      <c r="N704">
        <f t="shared" ca="1" si="137"/>
        <v>6944</v>
      </c>
      <c r="O704">
        <f t="shared" ca="1" si="138"/>
        <v>6944</v>
      </c>
      <c r="P704">
        <f t="shared" ca="1" si="139"/>
        <v>4961</v>
      </c>
      <c r="Q704">
        <v>31</v>
      </c>
      <c r="R704" t="str">
        <f t="shared" si="140"/>
        <v>Old</v>
      </c>
      <c r="S704" t="s">
        <v>24</v>
      </c>
      <c r="T704">
        <v>4</v>
      </c>
      <c r="U704" t="s">
        <v>45</v>
      </c>
      <c r="V704">
        <v>5844.04</v>
      </c>
      <c r="W704" t="s">
        <v>26</v>
      </c>
      <c r="X704" t="s">
        <v>47</v>
      </c>
      <c r="Y704">
        <v>11</v>
      </c>
      <c r="Z704" t="str">
        <f t="shared" si="141"/>
        <v>Bad Employee</v>
      </c>
      <c r="AA704" t="b">
        <f t="shared" si="142"/>
        <v>0</v>
      </c>
      <c r="AB704" t="b">
        <f>OR(Y704&gt;20, T704&gt;6)</f>
        <v>0</v>
      </c>
      <c r="AC704" t="str">
        <f>IF(OR(Y704&gt;20,T704&gt;6), "Good employee", "Bad Employee")</f>
        <v>Bad Employee</v>
      </c>
      <c r="AD704" t="s">
        <v>41</v>
      </c>
      <c r="AE704" t="s">
        <v>37</v>
      </c>
      <c r="AF704">
        <v>1</v>
      </c>
      <c r="AG704">
        <v>2016</v>
      </c>
      <c r="AH704" t="s">
        <v>43</v>
      </c>
      <c r="AI704">
        <v>156</v>
      </c>
      <c r="AJ704">
        <v>2.8</v>
      </c>
    </row>
    <row r="705" spans="1:36" x14ac:dyDescent="0.25">
      <c r="A705">
        <v>10704</v>
      </c>
      <c r="B705" t="s">
        <v>53</v>
      </c>
      <c r="C705" t="s">
        <v>61</v>
      </c>
      <c r="D705" t="s">
        <v>44</v>
      </c>
      <c r="E705" t="str">
        <f t="shared" si="130"/>
        <v>Sarah Smith is in Sales Department</v>
      </c>
      <c r="F705" s="6" t="str">
        <f t="shared" si="131"/>
        <v>sarahsmith@gmail.com</v>
      </c>
      <c r="G705">
        <v>34781</v>
      </c>
      <c r="H705" t="str">
        <f t="shared" si="132"/>
        <v>extremely low</v>
      </c>
      <c r="I705" s="3">
        <v>38972</v>
      </c>
      <c r="J705">
        <f t="shared" si="133"/>
        <v>2006</v>
      </c>
      <c r="K705">
        <f t="shared" si="134"/>
        <v>9</v>
      </c>
      <c r="L705">
        <f t="shared" si="135"/>
        <v>12</v>
      </c>
      <c r="M705" s="3">
        <f t="shared" ca="1" si="136"/>
        <v>46100</v>
      </c>
      <c r="N705">
        <f t="shared" ca="1" si="137"/>
        <v>7128</v>
      </c>
      <c r="O705">
        <f t="shared" ca="1" si="138"/>
        <v>7128</v>
      </c>
      <c r="P705">
        <f t="shared" ca="1" si="139"/>
        <v>5093</v>
      </c>
      <c r="Q705">
        <v>49</v>
      </c>
      <c r="R705" t="str">
        <f t="shared" si="140"/>
        <v>Old</v>
      </c>
      <c r="S705" t="s">
        <v>24</v>
      </c>
      <c r="T705">
        <v>1</v>
      </c>
      <c r="U705" t="s">
        <v>45</v>
      </c>
      <c r="V705">
        <v>8507.48</v>
      </c>
      <c r="W705" t="s">
        <v>35</v>
      </c>
      <c r="X705" t="s">
        <v>55</v>
      </c>
      <c r="Y705">
        <v>24</v>
      </c>
      <c r="Z705" t="str">
        <f t="shared" si="141"/>
        <v>Bad Employee</v>
      </c>
      <c r="AA705" t="b">
        <f t="shared" si="142"/>
        <v>0</v>
      </c>
      <c r="AB705" t="b">
        <f>OR(Y705&gt;20, T705&gt;6)</f>
        <v>1</v>
      </c>
      <c r="AC705" t="str">
        <f>IF(OR(Y705&gt;20,T705&gt;6), "Good employee", "Bad Employee")</f>
        <v>Good employee</v>
      </c>
      <c r="AD705" t="s">
        <v>41</v>
      </c>
      <c r="AE705" t="s">
        <v>62</v>
      </c>
      <c r="AF705">
        <v>1</v>
      </c>
      <c r="AG705">
        <v>2022</v>
      </c>
      <c r="AH705" t="s">
        <v>49</v>
      </c>
      <c r="AI705">
        <v>124</v>
      </c>
      <c r="AJ705">
        <v>2.5</v>
      </c>
    </row>
    <row r="706" spans="1:36" x14ac:dyDescent="0.25">
      <c r="A706">
        <v>10705</v>
      </c>
      <c r="B706" t="s">
        <v>38</v>
      </c>
      <c r="C706" t="s">
        <v>61</v>
      </c>
      <c r="D706" t="s">
        <v>52</v>
      </c>
      <c r="E706" t="str">
        <f t="shared" si="130"/>
        <v>Chris Smith is in Operations Department</v>
      </c>
      <c r="F706" s="6" t="str">
        <f t="shared" si="131"/>
        <v>chrissmith@gmail.com</v>
      </c>
      <c r="G706">
        <v>50448</v>
      </c>
      <c r="H706" t="str">
        <f t="shared" si="132"/>
        <v>Medium</v>
      </c>
      <c r="I706" s="3">
        <v>38195</v>
      </c>
      <c r="J706">
        <f t="shared" si="133"/>
        <v>2004</v>
      </c>
      <c r="K706">
        <f t="shared" si="134"/>
        <v>7</v>
      </c>
      <c r="L706">
        <f t="shared" si="135"/>
        <v>27</v>
      </c>
      <c r="M706" s="3">
        <f t="shared" ca="1" si="136"/>
        <v>46100</v>
      </c>
      <c r="N706">
        <f t="shared" ca="1" si="137"/>
        <v>7905</v>
      </c>
      <c r="O706">
        <f t="shared" ca="1" si="138"/>
        <v>7905</v>
      </c>
      <c r="P706">
        <f t="shared" ca="1" si="139"/>
        <v>5648</v>
      </c>
      <c r="Q706">
        <v>57</v>
      </c>
      <c r="R706" t="str">
        <f t="shared" si="140"/>
        <v>Old</v>
      </c>
      <c r="S706" t="s">
        <v>24</v>
      </c>
      <c r="T706">
        <v>4</v>
      </c>
      <c r="U706" t="s">
        <v>25</v>
      </c>
      <c r="V706">
        <v>7726.92</v>
      </c>
      <c r="W706" t="s">
        <v>46</v>
      </c>
      <c r="X706" t="s">
        <v>36</v>
      </c>
      <c r="Y706">
        <v>28</v>
      </c>
      <c r="Z706" t="str">
        <f t="shared" si="141"/>
        <v>Bad Employee</v>
      </c>
      <c r="AA706" t="b">
        <f t="shared" si="142"/>
        <v>0</v>
      </c>
      <c r="AB706" t="b">
        <f>OR(Y706&gt;20, T706&gt;6)</f>
        <v>1</v>
      </c>
      <c r="AC706" t="str">
        <f>IF(OR(Y706&gt;20,T706&gt;6), "Good employee", "Bad Employee")</f>
        <v>Good employee</v>
      </c>
      <c r="AD706" t="s">
        <v>28</v>
      </c>
      <c r="AE706" t="s">
        <v>62</v>
      </c>
      <c r="AF706">
        <v>9</v>
      </c>
      <c r="AG706">
        <v>2013</v>
      </c>
      <c r="AH706" t="s">
        <v>30</v>
      </c>
      <c r="AI706">
        <v>174</v>
      </c>
      <c r="AJ706">
        <v>4.3</v>
      </c>
    </row>
    <row r="707" spans="1:36" x14ac:dyDescent="0.25">
      <c r="A707">
        <v>10706</v>
      </c>
      <c r="B707" t="s">
        <v>38</v>
      </c>
      <c r="C707" t="s">
        <v>57</v>
      </c>
      <c r="D707" t="s">
        <v>54</v>
      </c>
      <c r="E707" t="str">
        <f t="shared" ref="E707:E770" si="143">CONCATENATE(B707, " ", C707, " is in ", D707, " Department")</f>
        <v>Chris Davis is in Finance Department</v>
      </c>
      <c r="F707" s="6" t="str">
        <f t="shared" ref="F707:F770" si="144">LOWER(CONCATENATE(B707, C707, "@gmail.com"))</f>
        <v>chrisdavis@gmail.com</v>
      </c>
      <c r="G707">
        <v>81550</v>
      </c>
      <c r="H707" t="str">
        <f t="shared" ref="H707:H770" si="145">IF(G707&gt;80000, "High", IF(G707&gt;50000, "Medium", IF(G707&gt;40000, "low", "extremely low")))</f>
        <v>High</v>
      </c>
      <c r="I707" s="3">
        <v>36764</v>
      </c>
      <c r="J707">
        <f t="shared" ref="J707:J770" si="146">YEAR(I707)</f>
        <v>2000</v>
      </c>
      <c r="K707">
        <f t="shared" ref="K707:K770" si="147">MONTH(I707)</f>
        <v>8</v>
      </c>
      <c r="L707">
        <f t="shared" ref="L707:L770" si="148">DAY(I707)</f>
        <v>26</v>
      </c>
      <c r="M707" s="3">
        <f t="shared" ref="M707:M770" ca="1" si="149">TODAY()</f>
        <v>46100</v>
      </c>
      <c r="N707">
        <f t="shared" ref="N707:N770" ca="1" si="150">M707-I707</f>
        <v>9336</v>
      </c>
      <c r="O707">
        <f t="shared" ref="O707:O770" ca="1" si="151">DATEDIF(I707,M707, "d")</f>
        <v>9336</v>
      </c>
      <c r="P707">
        <f t="shared" ref="P707:P770" ca="1" si="152">NETWORKDAYS(I707, M707)</f>
        <v>6669</v>
      </c>
      <c r="Q707">
        <v>31</v>
      </c>
      <c r="R707" t="str">
        <f t="shared" ref="R707:R770" si="153">IF(Q707&gt;30, "Old", "Young")</f>
        <v>Old</v>
      </c>
      <c r="S707" t="s">
        <v>34</v>
      </c>
      <c r="T707">
        <v>1</v>
      </c>
      <c r="U707" t="s">
        <v>45</v>
      </c>
      <c r="V707">
        <v>6781.08</v>
      </c>
      <c r="W707" t="s">
        <v>35</v>
      </c>
      <c r="X707" t="s">
        <v>40</v>
      </c>
      <c r="Y707">
        <v>18</v>
      </c>
      <c r="Z707" t="str">
        <f t="shared" ref="Z707:Z770" si="154" xml:space="preserve"> IF(AND(Y707&gt;20, T707&gt;6), "Good Employee", "Bad Employee")</f>
        <v>Bad Employee</v>
      </c>
      <c r="AA707" t="b">
        <f t="shared" ref="AA707:AA770" si="155">AND(Y707&gt;20, T707&gt;6)</f>
        <v>0</v>
      </c>
      <c r="AB707" t="b">
        <f>OR(Y707&gt;20, T707&gt;6)</f>
        <v>0</v>
      </c>
      <c r="AC707" t="str">
        <f>IF(OR(Y707&gt;20,T707&gt;6), "Good employee", "Bad Employee")</f>
        <v>Bad Employee</v>
      </c>
      <c r="AD707" t="s">
        <v>28</v>
      </c>
      <c r="AE707" t="s">
        <v>29</v>
      </c>
      <c r="AF707">
        <v>12</v>
      </c>
      <c r="AG707">
        <v>2019</v>
      </c>
      <c r="AH707" t="s">
        <v>43</v>
      </c>
      <c r="AI707">
        <v>88</v>
      </c>
      <c r="AJ707">
        <v>4.5</v>
      </c>
    </row>
    <row r="708" spans="1:36" x14ac:dyDescent="0.25">
      <c r="A708">
        <v>10707</v>
      </c>
      <c r="B708" t="s">
        <v>31</v>
      </c>
      <c r="C708" t="s">
        <v>61</v>
      </c>
      <c r="D708" t="s">
        <v>54</v>
      </c>
      <c r="E708" t="str">
        <f t="shared" si="143"/>
        <v>Emily Smith is in Finance Department</v>
      </c>
      <c r="F708" s="6" t="str">
        <f t="shared" si="144"/>
        <v>emilysmith@gmail.com</v>
      </c>
      <c r="G708">
        <v>79294</v>
      </c>
      <c r="H708" t="str">
        <f t="shared" si="145"/>
        <v>Medium</v>
      </c>
      <c r="I708" s="3">
        <v>40062</v>
      </c>
      <c r="J708">
        <f t="shared" si="146"/>
        <v>2009</v>
      </c>
      <c r="K708">
        <f t="shared" si="147"/>
        <v>9</v>
      </c>
      <c r="L708">
        <f t="shared" si="148"/>
        <v>6</v>
      </c>
      <c r="M708" s="3">
        <f t="shared" ca="1" si="149"/>
        <v>46100</v>
      </c>
      <c r="N708">
        <f t="shared" ca="1" si="150"/>
        <v>6038</v>
      </c>
      <c r="O708">
        <f t="shared" ca="1" si="151"/>
        <v>6038</v>
      </c>
      <c r="P708">
        <f t="shared" ca="1" si="152"/>
        <v>4314</v>
      </c>
      <c r="Q708">
        <v>56</v>
      </c>
      <c r="R708" t="str">
        <f t="shared" si="153"/>
        <v>Old</v>
      </c>
      <c r="S708" t="s">
        <v>34</v>
      </c>
      <c r="T708">
        <v>4</v>
      </c>
      <c r="U708" t="s">
        <v>45</v>
      </c>
      <c r="V708">
        <v>5220.4399999999996</v>
      </c>
      <c r="W708" t="s">
        <v>58</v>
      </c>
      <c r="X708" t="s">
        <v>36</v>
      </c>
      <c r="Y708">
        <v>21</v>
      </c>
      <c r="Z708" t="str">
        <f t="shared" si="154"/>
        <v>Bad Employee</v>
      </c>
      <c r="AA708" t="b">
        <f t="shared" si="155"/>
        <v>0</v>
      </c>
      <c r="AB708" t="b">
        <f>OR(Y708&gt;20, T708&gt;6)</f>
        <v>1</v>
      </c>
      <c r="AC708" t="str">
        <f>IF(OR(Y708&gt;20,T708&gt;6), "Good employee", "Bad Employee")</f>
        <v>Good employee</v>
      </c>
      <c r="AD708" t="s">
        <v>28</v>
      </c>
      <c r="AE708" t="s">
        <v>62</v>
      </c>
      <c r="AF708">
        <v>4</v>
      </c>
      <c r="AG708">
        <v>2021</v>
      </c>
      <c r="AH708" t="s">
        <v>49</v>
      </c>
      <c r="AI708">
        <v>107</v>
      </c>
      <c r="AJ708">
        <v>1.6</v>
      </c>
    </row>
    <row r="709" spans="1:36" x14ac:dyDescent="0.25">
      <c r="A709">
        <v>10708</v>
      </c>
      <c r="B709" t="s">
        <v>53</v>
      </c>
      <c r="C709" t="s">
        <v>51</v>
      </c>
      <c r="D709" t="s">
        <v>33</v>
      </c>
      <c r="E709" t="str">
        <f t="shared" si="143"/>
        <v>Sarah Brown is in Marketing Department</v>
      </c>
      <c r="F709" s="6" t="str">
        <f t="shared" si="144"/>
        <v>sarahbrown@gmail.com</v>
      </c>
      <c r="G709">
        <v>51446</v>
      </c>
      <c r="H709" t="str">
        <f t="shared" si="145"/>
        <v>Medium</v>
      </c>
      <c r="I709" s="3">
        <v>42225</v>
      </c>
      <c r="J709">
        <f t="shared" si="146"/>
        <v>2015</v>
      </c>
      <c r="K709">
        <f t="shared" si="147"/>
        <v>8</v>
      </c>
      <c r="L709">
        <f t="shared" si="148"/>
        <v>9</v>
      </c>
      <c r="M709" s="3">
        <f t="shared" ca="1" si="149"/>
        <v>46100</v>
      </c>
      <c r="N709">
        <f t="shared" ca="1" si="150"/>
        <v>3875</v>
      </c>
      <c r="O709">
        <f t="shared" ca="1" si="151"/>
        <v>3875</v>
      </c>
      <c r="P709">
        <f t="shared" ca="1" si="152"/>
        <v>2769</v>
      </c>
      <c r="Q709">
        <v>56</v>
      </c>
      <c r="R709" t="str">
        <f t="shared" si="153"/>
        <v>Old</v>
      </c>
      <c r="S709" t="s">
        <v>34</v>
      </c>
      <c r="T709">
        <v>2</v>
      </c>
      <c r="U709" t="s">
        <v>45</v>
      </c>
      <c r="V709">
        <v>520.65</v>
      </c>
      <c r="W709" t="s">
        <v>26</v>
      </c>
      <c r="X709" t="s">
        <v>55</v>
      </c>
      <c r="Y709">
        <v>26</v>
      </c>
      <c r="Z709" t="str">
        <f t="shared" si="154"/>
        <v>Bad Employee</v>
      </c>
      <c r="AA709" t="b">
        <f t="shared" si="155"/>
        <v>0</v>
      </c>
      <c r="AB709" t="b">
        <f>OR(Y709&gt;20, T709&gt;6)</f>
        <v>1</v>
      </c>
      <c r="AC709" t="str">
        <f>IF(OR(Y709&gt;20,T709&gt;6), "Good employee", "Bad Employee")</f>
        <v>Good employee</v>
      </c>
      <c r="AD709" t="s">
        <v>41</v>
      </c>
      <c r="AE709" t="s">
        <v>48</v>
      </c>
      <c r="AF709">
        <v>10</v>
      </c>
      <c r="AG709">
        <v>2013</v>
      </c>
      <c r="AH709" t="s">
        <v>43</v>
      </c>
      <c r="AI709">
        <v>75</v>
      </c>
      <c r="AJ709">
        <v>3.2</v>
      </c>
    </row>
    <row r="710" spans="1:36" x14ac:dyDescent="0.25">
      <c r="A710">
        <v>10709</v>
      </c>
      <c r="B710" t="s">
        <v>53</v>
      </c>
      <c r="C710" t="s">
        <v>63</v>
      </c>
      <c r="D710" t="s">
        <v>54</v>
      </c>
      <c r="E710" t="str">
        <f t="shared" si="143"/>
        <v>Sarah Miller is in Finance Department</v>
      </c>
      <c r="F710" s="6" t="str">
        <f t="shared" si="144"/>
        <v>sarahmiller@gmail.com</v>
      </c>
      <c r="G710">
        <v>106579</v>
      </c>
      <c r="H710" t="str">
        <f t="shared" si="145"/>
        <v>High</v>
      </c>
      <c r="I710" s="3">
        <v>40387</v>
      </c>
      <c r="J710">
        <f t="shared" si="146"/>
        <v>2010</v>
      </c>
      <c r="K710">
        <f t="shared" si="147"/>
        <v>7</v>
      </c>
      <c r="L710">
        <f t="shared" si="148"/>
        <v>28</v>
      </c>
      <c r="M710" s="3">
        <f t="shared" ca="1" si="149"/>
        <v>46100</v>
      </c>
      <c r="N710">
        <f t="shared" ca="1" si="150"/>
        <v>5713</v>
      </c>
      <c r="O710">
        <f t="shared" ca="1" si="151"/>
        <v>5713</v>
      </c>
      <c r="P710">
        <f t="shared" ca="1" si="152"/>
        <v>4082</v>
      </c>
      <c r="Q710">
        <v>58</v>
      </c>
      <c r="R710" t="str">
        <f t="shared" si="153"/>
        <v>Old</v>
      </c>
      <c r="S710" t="s">
        <v>24</v>
      </c>
      <c r="T710">
        <v>6</v>
      </c>
      <c r="U710" t="s">
        <v>45</v>
      </c>
      <c r="V710">
        <v>6327.94</v>
      </c>
      <c r="W710" t="s">
        <v>26</v>
      </c>
      <c r="X710" t="s">
        <v>47</v>
      </c>
      <c r="Y710">
        <v>3</v>
      </c>
      <c r="Z710" t="str">
        <f t="shared" si="154"/>
        <v>Bad Employee</v>
      </c>
      <c r="AA710" t="b">
        <f t="shared" si="155"/>
        <v>0</v>
      </c>
      <c r="AB710" t="b">
        <f>OR(Y710&gt;20, T710&gt;6)</f>
        <v>0</v>
      </c>
      <c r="AC710" t="str">
        <f>IF(OR(Y710&gt;20,T710&gt;6), "Good employee", "Bad Employee")</f>
        <v>Bad Employee</v>
      </c>
      <c r="AD710" t="s">
        <v>56</v>
      </c>
      <c r="AE710" t="s">
        <v>48</v>
      </c>
      <c r="AF710">
        <v>14</v>
      </c>
      <c r="AG710">
        <v>2011</v>
      </c>
      <c r="AH710" t="s">
        <v>43</v>
      </c>
      <c r="AI710">
        <v>173</v>
      </c>
      <c r="AJ710">
        <v>3.7</v>
      </c>
    </row>
    <row r="711" spans="1:36" x14ac:dyDescent="0.25">
      <c r="A711">
        <v>10710</v>
      </c>
      <c r="B711" t="s">
        <v>53</v>
      </c>
      <c r="C711" t="s">
        <v>63</v>
      </c>
      <c r="D711" t="s">
        <v>39</v>
      </c>
      <c r="E711" t="str">
        <f t="shared" si="143"/>
        <v>Sarah Miller is in IT Department</v>
      </c>
      <c r="F711" s="6" t="str">
        <f t="shared" si="144"/>
        <v>sarahmiller@gmail.com</v>
      </c>
      <c r="G711">
        <v>115389</v>
      </c>
      <c r="H711" t="str">
        <f t="shared" si="145"/>
        <v>High</v>
      </c>
      <c r="I711" s="3">
        <v>39629</v>
      </c>
      <c r="J711">
        <f t="shared" si="146"/>
        <v>2008</v>
      </c>
      <c r="K711">
        <f t="shared" si="147"/>
        <v>6</v>
      </c>
      <c r="L711">
        <f t="shared" si="148"/>
        <v>30</v>
      </c>
      <c r="M711" s="3">
        <f t="shared" ca="1" si="149"/>
        <v>46100</v>
      </c>
      <c r="N711">
        <f t="shared" ca="1" si="150"/>
        <v>6471</v>
      </c>
      <c r="O711">
        <f t="shared" ca="1" si="151"/>
        <v>6471</v>
      </c>
      <c r="P711">
        <f t="shared" ca="1" si="152"/>
        <v>4624</v>
      </c>
      <c r="Q711">
        <v>41</v>
      </c>
      <c r="R711" t="str">
        <f t="shared" si="153"/>
        <v>Old</v>
      </c>
      <c r="S711" t="s">
        <v>34</v>
      </c>
      <c r="T711">
        <v>6</v>
      </c>
      <c r="U711" t="s">
        <v>45</v>
      </c>
      <c r="V711">
        <v>3881.6</v>
      </c>
      <c r="W711" t="s">
        <v>35</v>
      </c>
      <c r="X711" t="s">
        <v>36</v>
      </c>
      <c r="Y711">
        <v>13</v>
      </c>
      <c r="Z711" t="str">
        <f t="shared" si="154"/>
        <v>Bad Employee</v>
      </c>
      <c r="AA711" t="b">
        <f t="shared" si="155"/>
        <v>0</v>
      </c>
      <c r="AB711" t="b">
        <f>OR(Y711&gt;20, T711&gt;6)</f>
        <v>0</v>
      </c>
      <c r="AC711" t="str">
        <f>IF(OR(Y711&gt;20,T711&gt;6), "Good employee", "Bad Employee")</f>
        <v>Bad Employee</v>
      </c>
      <c r="AD711" t="s">
        <v>56</v>
      </c>
      <c r="AE711" t="s">
        <v>48</v>
      </c>
      <c r="AF711">
        <v>4</v>
      </c>
      <c r="AG711">
        <v>2014</v>
      </c>
      <c r="AH711" t="s">
        <v>30</v>
      </c>
      <c r="AI711">
        <v>52</v>
      </c>
      <c r="AJ711">
        <v>1.3</v>
      </c>
    </row>
    <row r="712" spans="1:36" x14ac:dyDescent="0.25">
      <c r="A712">
        <v>10711</v>
      </c>
      <c r="B712" t="s">
        <v>21</v>
      </c>
      <c r="C712" t="s">
        <v>57</v>
      </c>
      <c r="D712" t="s">
        <v>23</v>
      </c>
      <c r="E712" t="str">
        <f t="shared" si="143"/>
        <v>Michael Davis is in HR Department</v>
      </c>
      <c r="F712" s="6" t="str">
        <f t="shared" si="144"/>
        <v>michaeldavis@gmail.com</v>
      </c>
      <c r="G712">
        <v>115615</v>
      </c>
      <c r="H712" t="str">
        <f t="shared" si="145"/>
        <v>High</v>
      </c>
      <c r="I712" s="3">
        <v>37672</v>
      </c>
      <c r="J712">
        <f t="shared" si="146"/>
        <v>2003</v>
      </c>
      <c r="K712">
        <f t="shared" si="147"/>
        <v>2</v>
      </c>
      <c r="L712">
        <f t="shared" si="148"/>
        <v>20</v>
      </c>
      <c r="M712" s="3">
        <f t="shared" ca="1" si="149"/>
        <v>46100</v>
      </c>
      <c r="N712">
        <f t="shared" ca="1" si="150"/>
        <v>8428</v>
      </c>
      <c r="O712">
        <f t="shared" ca="1" si="151"/>
        <v>8428</v>
      </c>
      <c r="P712">
        <f t="shared" ca="1" si="152"/>
        <v>6021</v>
      </c>
      <c r="Q712">
        <v>34</v>
      </c>
      <c r="R712" t="str">
        <f t="shared" si="153"/>
        <v>Old</v>
      </c>
      <c r="S712" t="s">
        <v>24</v>
      </c>
      <c r="T712">
        <v>8</v>
      </c>
      <c r="U712" t="s">
        <v>25</v>
      </c>
      <c r="V712">
        <v>1618.74</v>
      </c>
      <c r="W712" t="s">
        <v>26</v>
      </c>
      <c r="X712" t="s">
        <v>47</v>
      </c>
      <c r="Y712">
        <v>38</v>
      </c>
      <c r="Z712" t="str">
        <f t="shared" si="154"/>
        <v>Good Employee</v>
      </c>
      <c r="AA712" t="b">
        <f t="shared" si="155"/>
        <v>1</v>
      </c>
      <c r="AB712" t="b">
        <f>OR(Y712&gt;20, T712&gt;6)</f>
        <v>1</v>
      </c>
      <c r="AC712" t="str">
        <f>IF(OR(Y712&gt;20,T712&gt;6), "Good employee", "Bad Employee")</f>
        <v>Good employee</v>
      </c>
      <c r="AD712" t="s">
        <v>41</v>
      </c>
      <c r="AE712" t="s">
        <v>37</v>
      </c>
      <c r="AF712">
        <v>19</v>
      </c>
      <c r="AG712">
        <v>2017</v>
      </c>
      <c r="AH712" t="s">
        <v>49</v>
      </c>
      <c r="AI712">
        <v>83</v>
      </c>
      <c r="AJ712">
        <v>4.7</v>
      </c>
    </row>
    <row r="713" spans="1:36" x14ac:dyDescent="0.25">
      <c r="A713">
        <v>10712</v>
      </c>
      <c r="B713" t="s">
        <v>60</v>
      </c>
      <c r="C713" t="s">
        <v>61</v>
      </c>
      <c r="D713" t="s">
        <v>54</v>
      </c>
      <c r="E713" t="str">
        <f t="shared" si="143"/>
        <v>Jane Smith is in Finance Department</v>
      </c>
      <c r="F713" s="6" t="str">
        <f t="shared" si="144"/>
        <v>janesmith@gmail.com</v>
      </c>
      <c r="G713">
        <v>47101</v>
      </c>
      <c r="H713" t="str">
        <f t="shared" si="145"/>
        <v>low</v>
      </c>
      <c r="I713" s="3">
        <v>38083</v>
      </c>
      <c r="J713">
        <f t="shared" si="146"/>
        <v>2004</v>
      </c>
      <c r="K713">
        <f t="shared" si="147"/>
        <v>4</v>
      </c>
      <c r="L713">
        <f t="shared" si="148"/>
        <v>6</v>
      </c>
      <c r="M713" s="3">
        <f t="shared" ca="1" si="149"/>
        <v>46100</v>
      </c>
      <c r="N713">
        <f t="shared" ca="1" si="150"/>
        <v>8017</v>
      </c>
      <c r="O713">
        <f t="shared" ca="1" si="151"/>
        <v>8017</v>
      </c>
      <c r="P713">
        <f t="shared" ca="1" si="152"/>
        <v>5728</v>
      </c>
      <c r="Q713">
        <v>32</v>
      </c>
      <c r="R713" t="str">
        <f t="shared" si="153"/>
        <v>Old</v>
      </c>
      <c r="S713" t="s">
        <v>24</v>
      </c>
      <c r="T713">
        <v>9</v>
      </c>
      <c r="U713" t="s">
        <v>45</v>
      </c>
      <c r="V713">
        <v>4723.95</v>
      </c>
      <c r="W713" t="s">
        <v>46</v>
      </c>
      <c r="X713" t="s">
        <v>55</v>
      </c>
      <c r="Y713">
        <v>28</v>
      </c>
      <c r="Z713" t="str">
        <f t="shared" si="154"/>
        <v>Good Employee</v>
      </c>
      <c r="AA713" t="b">
        <f t="shared" si="155"/>
        <v>1</v>
      </c>
      <c r="AB713" t="b">
        <f>OR(Y713&gt;20, T713&gt;6)</f>
        <v>1</v>
      </c>
      <c r="AC713" t="str">
        <f>IF(OR(Y713&gt;20,T713&gt;6), "Good employee", "Bad Employee")</f>
        <v>Good employee</v>
      </c>
      <c r="AD713" t="s">
        <v>28</v>
      </c>
      <c r="AE713" t="s">
        <v>42</v>
      </c>
      <c r="AF713">
        <v>4</v>
      </c>
      <c r="AG713">
        <v>2013</v>
      </c>
      <c r="AH713" t="s">
        <v>43</v>
      </c>
      <c r="AI713">
        <v>81</v>
      </c>
      <c r="AJ713">
        <v>3.1</v>
      </c>
    </row>
    <row r="714" spans="1:36" x14ac:dyDescent="0.25">
      <c r="A714">
        <v>10713</v>
      </c>
      <c r="B714" t="s">
        <v>66</v>
      </c>
      <c r="C714" t="s">
        <v>65</v>
      </c>
      <c r="D714" t="s">
        <v>52</v>
      </c>
      <c r="E714" t="str">
        <f t="shared" si="143"/>
        <v>John Johnson is in Operations Department</v>
      </c>
      <c r="F714" s="6" t="str">
        <f t="shared" si="144"/>
        <v>johnjohnson@gmail.com</v>
      </c>
      <c r="G714">
        <v>96178</v>
      </c>
      <c r="H714" t="str">
        <f t="shared" si="145"/>
        <v>High</v>
      </c>
      <c r="I714" s="3">
        <v>40264</v>
      </c>
      <c r="J714">
        <f t="shared" si="146"/>
        <v>2010</v>
      </c>
      <c r="K714">
        <f t="shared" si="147"/>
        <v>3</v>
      </c>
      <c r="L714">
        <f t="shared" si="148"/>
        <v>27</v>
      </c>
      <c r="M714" s="3">
        <f t="shared" ca="1" si="149"/>
        <v>46100</v>
      </c>
      <c r="N714">
        <f t="shared" ca="1" si="150"/>
        <v>5836</v>
      </c>
      <c r="O714">
        <f t="shared" ca="1" si="151"/>
        <v>5836</v>
      </c>
      <c r="P714">
        <f t="shared" ca="1" si="152"/>
        <v>4169</v>
      </c>
      <c r="Q714">
        <v>40</v>
      </c>
      <c r="R714" t="str">
        <f t="shared" si="153"/>
        <v>Old</v>
      </c>
      <c r="S714" t="s">
        <v>24</v>
      </c>
      <c r="T714">
        <v>8</v>
      </c>
      <c r="U714" t="s">
        <v>45</v>
      </c>
      <c r="V714">
        <v>7487.76</v>
      </c>
      <c r="W714" t="s">
        <v>58</v>
      </c>
      <c r="X714" t="s">
        <v>27</v>
      </c>
      <c r="Y714">
        <v>14</v>
      </c>
      <c r="Z714" t="str">
        <f t="shared" si="154"/>
        <v>Bad Employee</v>
      </c>
      <c r="AA714" t="b">
        <f t="shared" si="155"/>
        <v>0</v>
      </c>
      <c r="AB714" t="b">
        <f>OR(Y714&gt;20, T714&gt;6)</f>
        <v>1</v>
      </c>
      <c r="AC714" t="str">
        <f>IF(OR(Y714&gt;20,T714&gt;6), "Good employee", "Bad Employee")</f>
        <v>Good employee</v>
      </c>
      <c r="AD714" t="s">
        <v>56</v>
      </c>
      <c r="AE714" t="s">
        <v>62</v>
      </c>
      <c r="AF714">
        <v>6</v>
      </c>
      <c r="AG714">
        <v>2020</v>
      </c>
      <c r="AH714" t="s">
        <v>30</v>
      </c>
      <c r="AI714">
        <v>47</v>
      </c>
      <c r="AJ714">
        <v>3.6</v>
      </c>
    </row>
    <row r="715" spans="1:36" x14ac:dyDescent="0.25">
      <c r="A715">
        <v>10714</v>
      </c>
      <c r="B715" t="s">
        <v>31</v>
      </c>
      <c r="C715" t="s">
        <v>32</v>
      </c>
      <c r="D715" t="s">
        <v>44</v>
      </c>
      <c r="E715" t="str">
        <f t="shared" si="143"/>
        <v>Emily Wilson is in Sales Department</v>
      </c>
      <c r="F715" s="6" t="str">
        <f t="shared" si="144"/>
        <v>emilywilson@gmail.com</v>
      </c>
      <c r="G715">
        <v>58016</v>
      </c>
      <c r="H715" t="str">
        <f t="shared" si="145"/>
        <v>Medium</v>
      </c>
      <c r="I715" s="3">
        <v>38683</v>
      </c>
      <c r="J715">
        <f t="shared" si="146"/>
        <v>2005</v>
      </c>
      <c r="K715">
        <f t="shared" si="147"/>
        <v>11</v>
      </c>
      <c r="L715">
        <f t="shared" si="148"/>
        <v>27</v>
      </c>
      <c r="M715" s="3">
        <f t="shared" ca="1" si="149"/>
        <v>46100</v>
      </c>
      <c r="N715">
        <f t="shared" ca="1" si="150"/>
        <v>7417</v>
      </c>
      <c r="O715">
        <f t="shared" ca="1" si="151"/>
        <v>7417</v>
      </c>
      <c r="P715">
        <f t="shared" ca="1" si="152"/>
        <v>5299</v>
      </c>
      <c r="Q715">
        <v>49</v>
      </c>
      <c r="R715" t="str">
        <f t="shared" si="153"/>
        <v>Old</v>
      </c>
      <c r="S715" t="s">
        <v>24</v>
      </c>
      <c r="T715">
        <v>1</v>
      </c>
      <c r="U715" t="s">
        <v>45</v>
      </c>
      <c r="V715">
        <v>9635.94</v>
      </c>
      <c r="W715" t="s">
        <v>46</v>
      </c>
      <c r="X715" t="s">
        <v>47</v>
      </c>
      <c r="Y715">
        <v>1</v>
      </c>
      <c r="Z715" t="str">
        <f t="shared" si="154"/>
        <v>Bad Employee</v>
      </c>
      <c r="AA715" t="b">
        <f t="shared" si="155"/>
        <v>0</v>
      </c>
      <c r="AB715" t="b">
        <f>OR(Y715&gt;20, T715&gt;6)</f>
        <v>0</v>
      </c>
      <c r="AC715" t="str">
        <f>IF(OR(Y715&gt;20,T715&gt;6), "Good employee", "Bad Employee")</f>
        <v>Bad Employee</v>
      </c>
      <c r="AD715" t="s">
        <v>41</v>
      </c>
      <c r="AE715" t="s">
        <v>62</v>
      </c>
      <c r="AF715">
        <v>9</v>
      </c>
      <c r="AG715">
        <v>2022</v>
      </c>
      <c r="AH715" t="s">
        <v>49</v>
      </c>
      <c r="AI715">
        <v>12</v>
      </c>
      <c r="AJ715">
        <v>1.7</v>
      </c>
    </row>
    <row r="716" spans="1:36" x14ac:dyDescent="0.25">
      <c r="A716">
        <v>10715</v>
      </c>
      <c r="B716" t="s">
        <v>53</v>
      </c>
      <c r="C716" t="s">
        <v>32</v>
      </c>
      <c r="D716" t="s">
        <v>44</v>
      </c>
      <c r="E716" t="str">
        <f t="shared" si="143"/>
        <v>Sarah Wilson is in Sales Department</v>
      </c>
      <c r="F716" s="6" t="str">
        <f t="shared" si="144"/>
        <v>sarahwilson@gmail.com</v>
      </c>
      <c r="G716">
        <v>48932</v>
      </c>
      <c r="H716" t="str">
        <f t="shared" si="145"/>
        <v>low</v>
      </c>
      <c r="I716" s="3">
        <v>41916</v>
      </c>
      <c r="J716">
        <f t="shared" si="146"/>
        <v>2014</v>
      </c>
      <c r="K716">
        <f t="shared" si="147"/>
        <v>10</v>
      </c>
      <c r="L716">
        <f t="shared" si="148"/>
        <v>4</v>
      </c>
      <c r="M716" s="3">
        <f t="shared" ca="1" si="149"/>
        <v>46100</v>
      </c>
      <c r="N716">
        <f t="shared" ca="1" si="150"/>
        <v>4184</v>
      </c>
      <c r="O716">
        <f t="shared" ca="1" si="151"/>
        <v>4184</v>
      </c>
      <c r="P716">
        <f t="shared" ca="1" si="152"/>
        <v>2989</v>
      </c>
      <c r="Q716">
        <v>59</v>
      </c>
      <c r="R716" t="str">
        <f t="shared" si="153"/>
        <v>Old</v>
      </c>
      <c r="S716" t="s">
        <v>34</v>
      </c>
      <c r="T716">
        <v>3</v>
      </c>
      <c r="U716" t="s">
        <v>25</v>
      </c>
      <c r="V716">
        <v>4054</v>
      </c>
      <c r="W716" t="s">
        <v>35</v>
      </c>
      <c r="X716" t="s">
        <v>36</v>
      </c>
      <c r="Y716">
        <v>28</v>
      </c>
      <c r="Z716" t="str">
        <f t="shared" si="154"/>
        <v>Bad Employee</v>
      </c>
      <c r="AA716" t="b">
        <f t="shared" si="155"/>
        <v>0</v>
      </c>
      <c r="AB716" t="b">
        <f>OR(Y716&gt;20, T716&gt;6)</f>
        <v>1</v>
      </c>
      <c r="AC716" t="str">
        <f>IF(OR(Y716&gt;20,T716&gt;6), "Good employee", "Bad Employee")</f>
        <v>Good employee</v>
      </c>
      <c r="AD716" t="s">
        <v>28</v>
      </c>
      <c r="AE716" t="s">
        <v>48</v>
      </c>
      <c r="AF716">
        <v>1</v>
      </c>
      <c r="AG716">
        <v>2011</v>
      </c>
      <c r="AH716" t="s">
        <v>43</v>
      </c>
      <c r="AI716">
        <v>67</v>
      </c>
      <c r="AJ716">
        <v>2.1</v>
      </c>
    </row>
    <row r="717" spans="1:36" x14ac:dyDescent="0.25">
      <c r="A717">
        <v>10716</v>
      </c>
      <c r="B717" t="s">
        <v>53</v>
      </c>
      <c r="C717" t="s">
        <v>63</v>
      </c>
      <c r="D717" t="s">
        <v>44</v>
      </c>
      <c r="E717" t="str">
        <f t="shared" si="143"/>
        <v>Sarah Miller is in Sales Department</v>
      </c>
      <c r="F717" s="6" t="str">
        <f t="shared" si="144"/>
        <v>sarahmiller@gmail.com</v>
      </c>
      <c r="G717">
        <v>74653</v>
      </c>
      <c r="H717" t="str">
        <f t="shared" si="145"/>
        <v>Medium</v>
      </c>
      <c r="I717" s="3">
        <v>39977</v>
      </c>
      <c r="J717">
        <f t="shared" si="146"/>
        <v>2009</v>
      </c>
      <c r="K717">
        <f t="shared" si="147"/>
        <v>6</v>
      </c>
      <c r="L717">
        <f t="shared" si="148"/>
        <v>13</v>
      </c>
      <c r="M717" s="3">
        <f t="shared" ca="1" si="149"/>
        <v>46100</v>
      </c>
      <c r="N717">
        <f t="shared" ca="1" si="150"/>
        <v>6123</v>
      </c>
      <c r="O717">
        <f t="shared" ca="1" si="151"/>
        <v>6123</v>
      </c>
      <c r="P717">
        <f t="shared" ca="1" si="152"/>
        <v>4374</v>
      </c>
      <c r="Q717">
        <v>25</v>
      </c>
      <c r="R717" t="str">
        <f t="shared" si="153"/>
        <v>Young</v>
      </c>
      <c r="S717" t="s">
        <v>24</v>
      </c>
      <c r="T717">
        <v>6</v>
      </c>
      <c r="U717" t="s">
        <v>45</v>
      </c>
      <c r="V717">
        <v>5655.87</v>
      </c>
      <c r="W717" t="s">
        <v>58</v>
      </c>
      <c r="X717" t="s">
        <v>36</v>
      </c>
      <c r="Y717">
        <v>36</v>
      </c>
      <c r="Z717" t="str">
        <f t="shared" si="154"/>
        <v>Bad Employee</v>
      </c>
      <c r="AA717" t="b">
        <f t="shared" si="155"/>
        <v>0</v>
      </c>
      <c r="AB717" t="b">
        <f>OR(Y717&gt;20, T717&gt;6)</f>
        <v>1</v>
      </c>
      <c r="AC717" t="str">
        <f>IF(OR(Y717&gt;20,T717&gt;6), "Good employee", "Bad Employee")</f>
        <v>Good employee</v>
      </c>
      <c r="AD717" t="s">
        <v>28</v>
      </c>
      <c r="AE717" t="s">
        <v>29</v>
      </c>
      <c r="AF717">
        <v>0</v>
      </c>
      <c r="AG717">
        <v>2018</v>
      </c>
      <c r="AH717" t="s">
        <v>30</v>
      </c>
      <c r="AI717">
        <v>124</v>
      </c>
      <c r="AJ717">
        <v>1.5</v>
      </c>
    </row>
    <row r="718" spans="1:36" x14ac:dyDescent="0.25">
      <c r="A718">
        <v>10717</v>
      </c>
      <c r="B718" t="s">
        <v>50</v>
      </c>
      <c r="C718" t="s">
        <v>57</v>
      </c>
      <c r="D718" t="s">
        <v>39</v>
      </c>
      <c r="E718" t="str">
        <f t="shared" si="143"/>
        <v>Alex Davis is in IT Department</v>
      </c>
      <c r="F718" s="6" t="str">
        <f t="shared" si="144"/>
        <v>alexdavis@gmail.com</v>
      </c>
      <c r="G718">
        <v>82802</v>
      </c>
      <c r="H718" t="str">
        <f t="shared" si="145"/>
        <v>High</v>
      </c>
      <c r="I718" s="3">
        <v>36825</v>
      </c>
      <c r="J718">
        <f t="shared" si="146"/>
        <v>2000</v>
      </c>
      <c r="K718">
        <f t="shared" si="147"/>
        <v>10</v>
      </c>
      <c r="L718">
        <f t="shared" si="148"/>
        <v>26</v>
      </c>
      <c r="M718" s="3">
        <f t="shared" ca="1" si="149"/>
        <v>46100</v>
      </c>
      <c r="N718">
        <f t="shared" ca="1" si="150"/>
        <v>9275</v>
      </c>
      <c r="O718">
        <f t="shared" ca="1" si="151"/>
        <v>9275</v>
      </c>
      <c r="P718">
        <f t="shared" ca="1" si="152"/>
        <v>6626</v>
      </c>
      <c r="Q718">
        <v>58</v>
      </c>
      <c r="R718" t="str">
        <f t="shared" si="153"/>
        <v>Old</v>
      </c>
      <c r="S718" t="s">
        <v>24</v>
      </c>
      <c r="T718">
        <v>1</v>
      </c>
      <c r="U718" t="s">
        <v>45</v>
      </c>
      <c r="V718">
        <v>8586.82</v>
      </c>
      <c r="W718" t="s">
        <v>46</v>
      </c>
      <c r="X718" t="s">
        <v>55</v>
      </c>
      <c r="Y718">
        <v>11</v>
      </c>
      <c r="Z718" t="str">
        <f t="shared" si="154"/>
        <v>Bad Employee</v>
      </c>
      <c r="AA718" t="b">
        <f t="shared" si="155"/>
        <v>0</v>
      </c>
      <c r="AB718" t="b">
        <f>OR(Y718&gt;20, T718&gt;6)</f>
        <v>0</v>
      </c>
      <c r="AC718" t="str">
        <f>IF(OR(Y718&gt;20,T718&gt;6), "Good employee", "Bad Employee")</f>
        <v>Bad Employee</v>
      </c>
      <c r="AD718" t="s">
        <v>28</v>
      </c>
      <c r="AE718" t="s">
        <v>37</v>
      </c>
      <c r="AF718">
        <v>19</v>
      </c>
      <c r="AG718">
        <v>2015</v>
      </c>
      <c r="AH718" t="s">
        <v>43</v>
      </c>
      <c r="AI718">
        <v>67</v>
      </c>
      <c r="AJ718">
        <v>2.1</v>
      </c>
    </row>
    <row r="719" spans="1:36" x14ac:dyDescent="0.25">
      <c r="A719">
        <v>10718</v>
      </c>
      <c r="B719" t="s">
        <v>31</v>
      </c>
      <c r="C719" t="s">
        <v>57</v>
      </c>
      <c r="D719" t="s">
        <v>52</v>
      </c>
      <c r="E719" t="str">
        <f t="shared" si="143"/>
        <v>Emily Davis is in Operations Department</v>
      </c>
      <c r="F719" s="6" t="str">
        <f t="shared" si="144"/>
        <v>emilydavis@gmail.com</v>
      </c>
      <c r="G719">
        <v>37549</v>
      </c>
      <c r="H719" t="str">
        <f t="shared" si="145"/>
        <v>extremely low</v>
      </c>
      <c r="I719" s="3">
        <v>40224</v>
      </c>
      <c r="J719">
        <f t="shared" si="146"/>
        <v>2010</v>
      </c>
      <c r="K719">
        <f t="shared" si="147"/>
        <v>2</v>
      </c>
      <c r="L719">
        <f t="shared" si="148"/>
        <v>15</v>
      </c>
      <c r="M719" s="3">
        <f t="shared" ca="1" si="149"/>
        <v>46100</v>
      </c>
      <c r="N719">
        <f t="shared" ca="1" si="150"/>
        <v>5876</v>
      </c>
      <c r="O719">
        <f t="shared" ca="1" si="151"/>
        <v>5876</v>
      </c>
      <c r="P719">
        <f t="shared" ca="1" si="152"/>
        <v>4199</v>
      </c>
      <c r="Q719">
        <v>40</v>
      </c>
      <c r="R719" t="str">
        <f t="shared" si="153"/>
        <v>Old</v>
      </c>
      <c r="S719" t="s">
        <v>34</v>
      </c>
      <c r="T719">
        <v>8</v>
      </c>
      <c r="U719" t="s">
        <v>25</v>
      </c>
      <c r="V719">
        <v>3672.99</v>
      </c>
      <c r="W719" t="s">
        <v>46</v>
      </c>
      <c r="X719" t="s">
        <v>36</v>
      </c>
      <c r="Y719">
        <v>4</v>
      </c>
      <c r="Z719" t="str">
        <f t="shared" si="154"/>
        <v>Bad Employee</v>
      </c>
      <c r="AA719" t="b">
        <f t="shared" si="155"/>
        <v>0</v>
      </c>
      <c r="AB719" t="b">
        <f>OR(Y719&gt;20, T719&gt;6)</f>
        <v>1</v>
      </c>
      <c r="AC719" t="str">
        <f>IF(OR(Y719&gt;20,T719&gt;6), "Good employee", "Bad Employee")</f>
        <v>Good employee</v>
      </c>
      <c r="AD719" t="s">
        <v>28</v>
      </c>
      <c r="AE719" t="s">
        <v>62</v>
      </c>
      <c r="AF719">
        <v>0</v>
      </c>
      <c r="AG719">
        <v>2012</v>
      </c>
      <c r="AH719" t="s">
        <v>43</v>
      </c>
      <c r="AI719">
        <v>10</v>
      </c>
      <c r="AJ719">
        <v>3</v>
      </c>
    </row>
    <row r="720" spans="1:36" x14ac:dyDescent="0.25">
      <c r="A720">
        <v>10719</v>
      </c>
      <c r="B720" t="s">
        <v>53</v>
      </c>
      <c r="C720" t="s">
        <v>51</v>
      </c>
      <c r="D720" t="s">
        <v>39</v>
      </c>
      <c r="E720" t="str">
        <f t="shared" si="143"/>
        <v>Sarah Brown is in IT Department</v>
      </c>
      <c r="F720" s="6" t="str">
        <f t="shared" si="144"/>
        <v>sarahbrown@gmail.com</v>
      </c>
      <c r="G720">
        <v>108933</v>
      </c>
      <c r="H720" t="str">
        <f t="shared" si="145"/>
        <v>High</v>
      </c>
      <c r="I720" s="3">
        <v>40579</v>
      </c>
      <c r="J720">
        <f t="shared" si="146"/>
        <v>2011</v>
      </c>
      <c r="K720">
        <f t="shared" si="147"/>
        <v>2</v>
      </c>
      <c r="L720">
        <f t="shared" si="148"/>
        <v>5</v>
      </c>
      <c r="M720" s="3">
        <f t="shared" ca="1" si="149"/>
        <v>46100</v>
      </c>
      <c r="N720">
        <f t="shared" ca="1" si="150"/>
        <v>5521</v>
      </c>
      <c r="O720">
        <f t="shared" ca="1" si="151"/>
        <v>5521</v>
      </c>
      <c r="P720">
        <f t="shared" ca="1" si="152"/>
        <v>3944</v>
      </c>
      <c r="Q720">
        <v>58</v>
      </c>
      <c r="R720" t="str">
        <f t="shared" si="153"/>
        <v>Old</v>
      </c>
      <c r="S720" t="s">
        <v>24</v>
      </c>
      <c r="T720">
        <v>6</v>
      </c>
      <c r="U720" t="s">
        <v>45</v>
      </c>
      <c r="V720">
        <v>1851.44</v>
      </c>
      <c r="W720" t="s">
        <v>46</v>
      </c>
      <c r="X720" t="s">
        <v>40</v>
      </c>
      <c r="Y720">
        <v>34</v>
      </c>
      <c r="Z720" t="str">
        <f t="shared" si="154"/>
        <v>Bad Employee</v>
      </c>
      <c r="AA720" t="b">
        <f t="shared" si="155"/>
        <v>0</v>
      </c>
      <c r="AB720" t="b">
        <f>OR(Y720&gt;20, T720&gt;6)</f>
        <v>1</v>
      </c>
      <c r="AC720" t="str">
        <f>IF(OR(Y720&gt;20,T720&gt;6), "Good employee", "Bad Employee")</f>
        <v>Good employee</v>
      </c>
      <c r="AD720" t="s">
        <v>28</v>
      </c>
      <c r="AE720" t="s">
        <v>42</v>
      </c>
      <c r="AF720">
        <v>3</v>
      </c>
      <c r="AG720">
        <v>2022</v>
      </c>
      <c r="AH720" t="s">
        <v>49</v>
      </c>
      <c r="AI720">
        <v>78</v>
      </c>
      <c r="AJ720">
        <v>4.3</v>
      </c>
    </row>
    <row r="721" spans="1:36" x14ac:dyDescent="0.25">
      <c r="A721">
        <v>10720</v>
      </c>
      <c r="B721" t="s">
        <v>31</v>
      </c>
      <c r="C721" t="s">
        <v>22</v>
      </c>
      <c r="D721" t="s">
        <v>54</v>
      </c>
      <c r="E721" t="str">
        <f t="shared" si="143"/>
        <v>Emily Williams is in Finance Department</v>
      </c>
      <c r="F721" s="6" t="str">
        <f t="shared" si="144"/>
        <v>emilywilliams@gmail.com</v>
      </c>
      <c r="G721">
        <v>55362</v>
      </c>
      <c r="H721" t="str">
        <f t="shared" si="145"/>
        <v>Medium</v>
      </c>
      <c r="I721" s="3">
        <v>43671</v>
      </c>
      <c r="J721">
        <f t="shared" si="146"/>
        <v>2019</v>
      </c>
      <c r="K721">
        <f t="shared" si="147"/>
        <v>7</v>
      </c>
      <c r="L721">
        <f t="shared" si="148"/>
        <v>25</v>
      </c>
      <c r="M721" s="3">
        <f t="shared" ca="1" si="149"/>
        <v>46100</v>
      </c>
      <c r="N721">
        <f t="shared" ca="1" si="150"/>
        <v>2429</v>
      </c>
      <c r="O721">
        <f t="shared" ca="1" si="151"/>
        <v>2429</v>
      </c>
      <c r="P721">
        <f t="shared" ca="1" si="152"/>
        <v>1736</v>
      </c>
      <c r="Q721">
        <v>35</v>
      </c>
      <c r="R721" t="str">
        <f t="shared" si="153"/>
        <v>Old</v>
      </c>
      <c r="S721" t="s">
        <v>34</v>
      </c>
      <c r="T721">
        <v>1</v>
      </c>
      <c r="U721" t="s">
        <v>25</v>
      </c>
      <c r="V721">
        <v>3177.88</v>
      </c>
      <c r="W721" t="s">
        <v>58</v>
      </c>
      <c r="X721" t="s">
        <v>47</v>
      </c>
      <c r="Y721">
        <v>1</v>
      </c>
      <c r="Z721" t="str">
        <f t="shared" si="154"/>
        <v>Bad Employee</v>
      </c>
      <c r="AA721" t="b">
        <f t="shared" si="155"/>
        <v>0</v>
      </c>
      <c r="AB721" t="b">
        <f>OR(Y721&gt;20, T721&gt;6)</f>
        <v>0</v>
      </c>
      <c r="AC721" t="str">
        <f>IF(OR(Y721&gt;20,T721&gt;6), "Good employee", "Bad Employee")</f>
        <v>Bad Employee</v>
      </c>
      <c r="AD721" t="s">
        <v>28</v>
      </c>
      <c r="AE721" t="s">
        <v>62</v>
      </c>
      <c r="AF721">
        <v>14</v>
      </c>
      <c r="AG721">
        <v>2023</v>
      </c>
      <c r="AH721" t="s">
        <v>30</v>
      </c>
      <c r="AI721">
        <v>56</v>
      </c>
      <c r="AJ721">
        <v>3.1</v>
      </c>
    </row>
    <row r="722" spans="1:36" x14ac:dyDescent="0.25">
      <c r="A722">
        <v>10721</v>
      </c>
      <c r="B722" t="s">
        <v>60</v>
      </c>
      <c r="C722" t="s">
        <v>22</v>
      </c>
      <c r="D722" t="s">
        <v>23</v>
      </c>
      <c r="E722" t="str">
        <f t="shared" si="143"/>
        <v>Jane Williams is in HR Department</v>
      </c>
      <c r="F722" s="6" t="str">
        <f t="shared" si="144"/>
        <v>janewilliams@gmail.com</v>
      </c>
      <c r="G722">
        <v>77842</v>
      </c>
      <c r="H722" t="str">
        <f t="shared" si="145"/>
        <v>Medium</v>
      </c>
      <c r="I722" s="3">
        <v>42387</v>
      </c>
      <c r="J722">
        <f t="shared" si="146"/>
        <v>2016</v>
      </c>
      <c r="K722">
        <f t="shared" si="147"/>
        <v>1</v>
      </c>
      <c r="L722">
        <f t="shared" si="148"/>
        <v>18</v>
      </c>
      <c r="M722" s="3">
        <f t="shared" ca="1" si="149"/>
        <v>46100</v>
      </c>
      <c r="N722">
        <f t="shared" ca="1" si="150"/>
        <v>3713</v>
      </c>
      <c r="O722">
        <f t="shared" ca="1" si="151"/>
        <v>3713</v>
      </c>
      <c r="P722">
        <f t="shared" ca="1" si="152"/>
        <v>2654</v>
      </c>
      <c r="Q722">
        <v>52</v>
      </c>
      <c r="R722" t="str">
        <f t="shared" si="153"/>
        <v>Old</v>
      </c>
      <c r="S722" t="s">
        <v>34</v>
      </c>
      <c r="T722">
        <v>2</v>
      </c>
      <c r="U722" t="s">
        <v>45</v>
      </c>
      <c r="V722">
        <v>9041.67</v>
      </c>
      <c r="W722" t="s">
        <v>58</v>
      </c>
      <c r="X722" t="s">
        <v>40</v>
      </c>
      <c r="Y722">
        <v>10</v>
      </c>
      <c r="Z722" t="str">
        <f t="shared" si="154"/>
        <v>Bad Employee</v>
      </c>
      <c r="AA722" t="b">
        <f t="shared" si="155"/>
        <v>0</v>
      </c>
      <c r="AB722" t="b">
        <f>OR(Y722&gt;20, T722&gt;6)</f>
        <v>0</v>
      </c>
      <c r="AC722" t="str">
        <f>IF(OR(Y722&gt;20,T722&gt;6), "Good employee", "Bad Employee")</f>
        <v>Bad Employee</v>
      </c>
      <c r="AD722" t="s">
        <v>28</v>
      </c>
      <c r="AE722" t="s">
        <v>59</v>
      </c>
      <c r="AF722">
        <v>14</v>
      </c>
      <c r="AG722">
        <v>2019</v>
      </c>
      <c r="AH722" t="s">
        <v>49</v>
      </c>
      <c r="AI722">
        <v>25</v>
      </c>
      <c r="AJ722">
        <v>2</v>
      </c>
    </row>
    <row r="723" spans="1:36" x14ac:dyDescent="0.25">
      <c r="A723">
        <v>10722</v>
      </c>
      <c r="B723" t="s">
        <v>50</v>
      </c>
      <c r="C723" t="s">
        <v>63</v>
      </c>
      <c r="D723" t="s">
        <v>44</v>
      </c>
      <c r="E723" t="str">
        <f t="shared" si="143"/>
        <v>Alex Miller is in Sales Department</v>
      </c>
      <c r="F723" s="6" t="str">
        <f t="shared" si="144"/>
        <v>alexmiller@gmail.com</v>
      </c>
      <c r="G723">
        <v>76539</v>
      </c>
      <c r="H723" t="str">
        <f t="shared" si="145"/>
        <v>Medium</v>
      </c>
      <c r="I723" s="3">
        <v>41385</v>
      </c>
      <c r="J723">
        <f t="shared" si="146"/>
        <v>2013</v>
      </c>
      <c r="K723">
        <f t="shared" si="147"/>
        <v>4</v>
      </c>
      <c r="L723">
        <f t="shared" si="148"/>
        <v>21</v>
      </c>
      <c r="M723" s="3">
        <f t="shared" ca="1" si="149"/>
        <v>46100</v>
      </c>
      <c r="N723">
        <f t="shared" ca="1" si="150"/>
        <v>4715</v>
      </c>
      <c r="O723">
        <f t="shared" ca="1" si="151"/>
        <v>4715</v>
      </c>
      <c r="P723">
        <f t="shared" ca="1" si="152"/>
        <v>3369</v>
      </c>
      <c r="Q723">
        <v>49</v>
      </c>
      <c r="R723" t="str">
        <f t="shared" si="153"/>
        <v>Old</v>
      </c>
      <c r="S723" t="s">
        <v>34</v>
      </c>
      <c r="T723">
        <v>6</v>
      </c>
      <c r="U723" t="s">
        <v>25</v>
      </c>
      <c r="V723">
        <v>2014.23</v>
      </c>
      <c r="W723" t="s">
        <v>26</v>
      </c>
      <c r="X723" t="s">
        <v>55</v>
      </c>
      <c r="Y723">
        <v>17</v>
      </c>
      <c r="Z723" t="str">
        <f t="shared" si="154"/>
        <v>Bad Employee</v>
      </c>
      <c r="AA723" t="b">
        <f t="shared" si="155"/>
        <v>0</v>
      </c>
      <c r="AB723" t="b">
        <f>OR(Y723&gt;20, T723&gt;6)</f>
        <v>0</v>
      </c>
      <c r="AC723" t="str">
        <f>IF(OR(Y723&gt;20,T723&gt;6), "Good employee", "Bad Employee")</f>
        <v>Bad Employee</v>
      </c>
      <c r="AD723" t="s">
        <v>28</v>
      </c>
      <c r="AE723" t="s">
        <v>42</v>
      </c>
      <c r="AF723">
        <v>5</v>
      </c>
      <c r="AG723">
        <v>2020</v>
      </c>
      <c r="AH723" t="s">
        <v>43</v>
      </c>
      <c r="AI723">
        <v>146</v>
      </c>
      <c r="AJ723">
        <v>1.2</v>
      </c>
    </row>
    <row r="724" spans="1:36" x14ac:dyDescent="0.25">
      <c r="A724">
        <v>10723</v>
      </c>
      <c r="B724" t="s">
        <v>31</v>
      </c>
      <c r="C724" t="s">
        <v>32</v>
      </c>
      <c r="D724" t="s">
        <v>52</v>
      </c>
      <c r="E724" t="str">
        <f t="shared" si="143"/>
        <v>Emily Wilson is in Operations Department</v>
      </c>
      <c r="F724" s="6" t="str">
        <f t="shared" si="144"/>
        <v>emilywilson@gmail.com</v>
      </c>
      <c r="G724">
        <v>63717</v>
      </c>
      <c r="H724" t="str">
        <f t="shared" si="145"/>
        <v>Medium</v>
      </c>
      <c r="I724" s="3">
        <v>36774</v>
      </c>
      <c r="J724">
        <f t="shared" si="146"/>
        <v>2000</v>
      </c>
      <c r="K724">
        <f t="shared" si="147"/>
        <v>9</v>
      </c>
      <c r="L724">
        <f t="shared" si="148"/>
        <v>5</v>
      </c>
      <c r="M724" s="3">
        <f t="shared" ca="1" si="149"/>
        <v>46100</v>
      </c>
      <c r="N724">
        <f t="shared" ca="1" si="150"/>
        <v>9326</v>
      </c>
      <c r="O724">
        <f t="shared" ca="1" si="151"/>
        <v>9326</v>
      </c>
      <c r="P724">
        <f t="shared" ca="1" si="152"/>
        <v>6663</v>
      </c>
      <c r="Q724">
        <v>57</v>
      </c>
      <c r="R724" t="str">
        <f t="shared" si="153"/>
        <v>Old</v>
      </c>
      <c r="S724" t="s">
        <v>24</v>
      </c>
      <c r="T724">
        <v>8</v>
      </c>
      <c r="U724" t="s">
        <v>25</v>
      </c>
      <c r="V724">
        <v>3627.6</v>
      </c>
      <c r="W724" t="s">
        <v>35</v>
      </c>
      <c r="X724" t="s">
        <v>40</v>
      </c>
      <c r="Y724">
        <v>7</v>
      </c>
      <c r="Z724" t="str">
        <f t="shared" si="154"/>
        <v>Bad Employee</v>
      </c>
      <c r="AA724" t="b">
        <f t="shared" si="155"/>
        <v>0</v>
      </c>
      <c r="AB724" t="b">
        <f>OR(Y724&gt;20, T724&gt;6)</f>
        <v>1</v>
      </c>
      <c r="AC724" t="str">
        <f>IF(OR(Y724&gt;20,T724&gt;6), "Good employee", "Bad Employee")</f>
        <v>Good employee</v>
      </c>
      <c r="AD724" t="s">
        <v>28</v>
      </c>
      <c r="AE724" t="s">
        <v>29</v>
      </c>
      <c r="AF724">
        <v>5</v>
      </c>
      <c r="AG724">
        <v>2014</v>
      </c>
      <c r="AH724" t="s">
        <v>30</v>
      </c>
      <c r="AI724">
        <v>120</v>
      </c>
      <c r="AJ724">
        <v>3.5</v>
      </c>
    </row>
    <row r="725" spans="1:36" x14ac:dyDescent="0.25">
      <c r="A725">
        <v>10724</v>
      </c>
      <c r="B725" t="s">
        <v>66</v>
      </c>
      <c r="C725" t="s">
        <v>51</v>
      </c>
      <c r="D725" t="s">
        <v>44</v>
      </c>
      <c r="E725" t="str">
        <f t="shared" si="143"/>
        <v>John Brown is in Sales Department</v>
      </c>
      <c r="F725" s="6" t="str">
        <f t="shared" si="144"/>
        <v>johnbrown@gmail.com</v>
      </c>
      <c r="G725">
        <v>84596</v>
      </c>
      <c r="H725" t="str">
        <f t="shared" si="145"/>
        <v>High</v>
      </c>
      <c r="I725" s="3">
        <v>39094</v>
      </c>
      <c r="J725">
        <f t="shared" si="146"/>
        <v>2007</v>
      </c>
      <c r="K725">
        <f t="shared" si="147"/>
        <v>1</v>
      </c>
      <c r="L725">
        <f t="shared" si="148"/>
        <v>12</v>
      </c>
      <c r="M725" s="3">
        <f t="shared" ca="1" si="149"/>
        <v>46100</v>
      </c>
      <c r="N725">
        <f t="shared" ca="1" si="150"/>
        <v>7006</v>
      </c>
      <c r="O725">
        <f t="shared" ca="1" si="151"/>
        <v>7006</v>
      </c>
      <c r="P725">
        <f t="shared" ca="1" si="152"/>
        <v>5005</v>
      </c>
      <c r="Q725">
        <v>59</v>
      </c>
      <c r="R725" t="str">
        <f t="shared" si="153"/>
        <v>Old</v>
      </c>
      <c r="S725" t="s">
        <v>34</v>
      </c>
      <c r="T725">
        <v>5</v>
      </c>
      <c r="U725" t="s">
        <v>25</v>
      </c>
      <c r="V725">
        <v>4914.08</v>
      </c>
      <c r="W725" t="s">
        <v>26</v>
      </c>
      <c r="X725" t="s">
        <v>40</v>
      </c>
      <c r="Y725">
        <v>39</v>
      </c>
      <c r="Z725" t="str">
        <f t="shared" si="154"/>
        <v>Bad Employee</v>
      </c>
      <c r="AA725" t="b">
        <f t="shared" si="155"/>
        <v>0</v>
      </c>
      <c r="AB725" t="b">
        <f>OR(Y725&gt;20, T725&gt;6)</f>
        <v>1</v>
      </c>
      <c r="AC725" t="str">
        <f>IF(OR(Y725&gt;20,T725&gt;6), "Good employee", "Bad Employee")</f>
        <v>Good employee</v>
      </c>
      <c r="AD725" t="s">
        <v>28</v>
      </c>
      <c r="AE725" t="s">
        <v>42</v>
      </c>
      <c r="AF725">
        <v>0</v>
      </c>
      <c r="AG725">
        <v>2015</v>
      </c>
      <c r="AH725" t="s">
        <v>43</v>
      </c>
      <c r="AI725">
        <v>62</v>
      </c>
      <c r="AJ725">
        <v>2.7</v>
      </c>
    </row>
    <row r="726" spans="1:36" x14ac:dyDescent="0.25">
      <c r="A726">
        <v>10725</v>
      </c>
      <c r="B726" t="s">
        <v>66</v>
      </c>
      <c r="C726" t="s">
        <v>51</v>
      </c>
      <c r="D726" t="s">
        <v>39</v>
      </c>
      <c r="E726" t="str">
        <f t="shared" si="143"/>
        <v>John Brown is in IT Department</v>
      </c>
      <c r="F726" s="6" t="str">
        <f t="shared" si="144"/>
        <v>johnbrown@gmail.com</v>
      </c>
      <c r="G726">
        <v>53016</v>
      </c>
      <c r="H726" t="str">
        <f t="shared" si="145"/>
        <v>Medium</v>
      </c>
      <c r="I726" s="3">
        <v>40655</v>
      </c>
      <c r="J726">
        <f t="shared" si="146"/>
        <v>2011</v>
      </c>
      <c r="K726">
        <f t="shared" si="147"/>
        <v>4</v>
      </c>
      <c r="L726">
        <f t="shared" si="148"/>
        <v>22</v>
      </c>
      <c r="M726" s="3">
        <f t="shared" ca="1" si="149"/>
        <v>46100</v>
      </c>
      <c r="N726">
        <f t="shared" ca="1" si="150"/>
        <v>5445</v>
      </c>
      <c r="O726">
        <f t="shared" ca="1" si="151"/>
        <v>5445</v>
      </c>
      <c r="P726">
        <f t="shared" ca="1" si="152"/>
        <v>3890</v>
      </c>
      <c r="Q726">
        <v>40</v>
      </c>
      <c r="R726" t="str">
        <f t="shared" si="153"/>
        <v>Old</v>
      </c>
      <c r="S726" t="s">
        <v>24</v>
      </c>
      <c r="T726">
        <v>1</v>
      </c>
      <c r="U726" t="s">
        <v>25</v>
      </c>
      <c r="V726">
        <v>8547.58</v>
      </c>
      <c r="W726" t="s">
        <v>35</v>
      </c>
      <c r="X726" t="s">
        <v>47</v>
      </c>
      <c r="Y726">
        <v>13</v>
      </c>
      <c r="Z726" t="str">
        <f t="shared" si="154"/>
        <v>Bad Employee</v>
      </c>
      <c r="AA726" t="b">
        <f t="shared" si="155"/>
        <v>0</v>
      </c>
      <c r="AB726" t="b">
        <f>OR(Y726&gt;20, T726&gt;6)</f>
        <v>0</v>
      </c>
      <c r="AC726" t="str">
        <f>IF(OR(Y726&gt;20,T726&gt;6), "Good employee", "Bad Employee")</f>
        <v>Bad Employee</v>
      </c>
      <c r="AD726" t="s">
        <v>41</v>
      </c>
      <c r="AE726" t="s">
        <v>42</v>
      </c>
      <c r="AF726">
        <v>6</v>
      </c>
      <c r="AG726">
        <v>2018</v>
      </c>
      <c r="AH726" t="s">
        <v>43</v>
      </c>
      <c r="AI726">
        <v>157</v>
      </c>
      <c r="AJ726">
        <v>4.9000000000000004</v>
      </c>
    </row>
    <row r="727" spans="1:36" x14ac:dyDescent="0.25">
      <c r="A727">
        <v>10726</v>
      </c>
      <c r="B727" t="s">
        <v>38</v>
      </c>
      <c r="C727" t="s">
        <v>51</v>
      </c>
      <c r="D727" t="s">
        <v>33</v>
      </c>
      <c r="E727" t="str">
        <f t="shared" si="143"/>
        <v>Chris Brown is in Marketing Department</v>
      </c>
      <c r="F727" s="6" t="str">
        <f t="shared" si="144"/>
        <v>chrisbrown@gmail.com</v>
      </c>
      <c r="G727">
        <v>85200</v>
      </c>
      <c r="H727" t="str">
        <f t="shared" si="145"/>
        <v>High</v>
      </c>
      <c r="I727" s="3">
        <v>40849</v>
      </c>
      <c r="J727">
        <f t="shared" si="146"/>
        <v>2011</v>
      </c>
      <c r="K727">
        <f t="shared" si="147"/>
        <v>11</v>
      </c>
      <c r="L727">
        <f t="shared" si="148"/>
        <v>2</v>
      </c>
      <c r="M727" s="3">
        <f t="shared" ca="1" si="149"/>
        <v>46100</v>
      </c>
      <c r="N727">
        <f t="shared" ca="1" si="150"/>
        <v>5251</v>
      </c>
      <c r="O727">
        <f t="shared" ca="1" si="151"/>
        <v>5251</v>
      </c>
      <c r="P727">
        <f t="shared" ca="1" si="152"/>
        <v>3752</v>
      </c>
      <c r="Q727">
        <v>63</v>
      </c>
      <c r="R727" t="str">
        <f t="shared" si="153"/>
        <v>Old</v>
      </c>
      <c r="S727" t="s">
        <v>34</v>
      </c>
      <c r="T727">
        <v>2</v>
      </c>
      <c r="U727" t="s">
        <v>45</v>
      </c>
      <c r="V727">
        <v>9408.2800000000007</v>
      </c>
      <c r="W727" t="s">
        <v>58</v>
      </c>
      <c r="X727" t="s">
        <v>47</v>
      </c>
      <c r="Y727">
        <v>22</v>
      </c>
      <c r="Z727" t="str">
        <f t="shared" si="154"/>
        <v>Bad Employee</v>
      </c>
      <c r="AA727" t="b">
        <f t="shared" si="155"/>
        <v>0</v>
      </c>
      <c r="AB727" t="b">
        <f>OR(Y727&gt;20, T727&gt;6)</f>
        <v>1</v>
      </c>
      <c r="AC727" t="str">
        <f>IF(OR(Y727&gt;20,T727&gt;6), "Good employee", "Bad Employee")</f>
        <v>Good employee</v>
      </c>
      <c r="AD727" t="s">
        <v>56</v>
      </c>
      <c r="AE727" t="s">
        <v>62</v>
      </c>
      <c r="AF727">
        <v>4</v>
      </c>
      <c r="AG727">
        <v>2014</v>
      </c>
      <c r="AH727" t="s">
        <v>43</v>
      </c>
      <c r="AI727">
        <v>60</v>
      </c>
      <c r="AJ727">
        <v>4.0999999999999996</v>
      </c>
    </row>
    <row r="728" spans="1:36" x14ac:dyDescent="0.25">
      <c r="A728">
        <v>10727</v>
      </c>
      <c r="B728" t="s">
        <v>50</v>
      </c>
      <c r="C728" t="s">
        <v>63</v>
      </c>
      <c r="D728" t="s">
        <v>54</v>
      </c>
      <c r="E728" t="str">
        <f t="shared" si="143"/>
        <v>Alex Miller is in Finance Department</v>
      </c>
      <c r="F728" s="6" t="str">
        <f t="shared" si="144"/>
        <v>alexmiller@gmail.com</v>
      </c>
      <c r="G728">
        <v>110268</v>
      </c>
      <c r="H728" t="str">
        <f t="shared" si="145"/>
        <v>High</v>
      </c>
      <c r="I728" s="3">
        <v>41206</v>
      </c>
      <c r="J728">
        <f t="shared" si="146"/>
        <v>2012</v>
      </c>
      <c r="K728">
        <f t="shared" si="147"/>
        <v>10</v>
      </c>
      <c r="L728">
        <f t="shared" si="148"/>
        <v>24</v>
      </c>
      <c r="M728" s="3">
        <f t="shared" ca="1" si="149"/>
        <v>46100</v>
      </c>
      <c r="N728">
        <f t="shared" ca="1" si="150"/>
        <v>4894</v>
      </c>
      <c r="O728">
        <f t="shared" ca="1" si="151"/>
        <v>4894</v>
      </c>
      <c r="P728">
        <f t="shared" ca="1" si="152"/>
        <v>3497</v>
      </c>
      <c r="Q728">
        <v>22</v>
      </c>
      <c r="R728" t="str">
        <f t="shared" si="153"/>
        <v>Young</v>
      </c>
      <c r="S728" t="s">
        <v>34</v>
      </c>
      <c r="T728">
        <v>4</v>
      </c>
      <c r="U728" t="s">
        <v>25</v>
      </c>
      <c r="V728">
        <v>4545.2</v>
      </c>
      <c r="W728" t="s">
        <v>46</v>
      </c>
      <c r="X728" t="s">
        <v>27</v>
      </c>
      <c r="Y728">
        <v>1</v>
      </c>
      <c r="Z728" t="str">
        <f t="shared" si="154"/>
        <v>Bad Employee</v>
      </c>
      <c r="AA728" t="b">
        <f t="shared" si="155"/>
        <v>0</v>
      </c>
      <c r="AB728" t="b">
        <f>OR(Y728&gt;20, T728&gt;6)</f>
        <v>0</v>
      </c>
      <c r="AC728" t="str">
        <f>IF(OR(Y728&gt;20,T728&gt;6), "Good employee", "Bad Employee")</f>
        <v>Bad Employee</v>
      </c>
      <c r="AD728" t="s">
        <v>41</v>
      </c>
      <c r="AE728" t="s">
        <v>42</v>
      </c>
      <c r="AF728">
        <v>16</v>
      </c>
      <c r="AG728">
        <v>2018</v>
      </c>
      <c r="AH728" t="s">
        <v>30</v>
      </c>
      <c r="AI728">
        <v>87</v>
      </c>
      <c r="AJ728">
        <v>4.2</v>
      </c>
    </row>
    <row r="729" spans="1:36" x14ac:dyDescent="0.25">
      <c r="A729">
        <v>10728</v>
      </c>
      <c r="B729" t="s">
        <v>50</v>
      </c>
      <c r="C729" t="s">
        <v>22</v>
      </c>
      <c r="D729" t="s">
        <v>23</v>
      </c>
      <c r="E729" t="str">
        <f t="shared" si="143"/>
        <v>Alex Williams is in HR Department</v>
      </c>
      <c r="F729" s="6" t="str">
        <f t="shared" si="144"/>
        <v>alexwilliams@gmail.com</v>
      </c>
      <c r="G729">
        <v>90287</v>
      </c>
      <c r="H729" t="str">
        <f t="shared" si="145"/>
        <v>High</v>
      </c>
      <c r="I729" s="3">
        <v>43627</v>
      </c>
      <c r="J729">
        <f t="shared" si="146"/>
        <v>2019</v>
      </c>
      <c r="K729">
        <f t="shared" si="147"/>
        <v>6</v>
      </c>
      <c r="L729">
        <f t="shared" si="148"/>
        <v>11</v>
      </c>
      <c r="M729" s="3">
        <f t="shared" ca="1" si="149"/>
        <v>46100</v>
      </c>
      <c r="N729">
        <f t="shared" ca="1" si="150"/>
        <v>2473</v>
      </c>
      <c r="O729">
        <f t="shared" ca="1" si="151"/>
        <v>2473</v>
      </c>
      <c r="P729">
        <f t="shared" ca="1" si="152"/>
        <v>1768</v>
      </c>
      <c r="Q729">
        <v>44</v>
      </c>
      <c r="R729" t="str">
        <f t="shared" si="153"/>
        <v>Old</v>
      </c>
      <c r="S729" t="s">
        <v>34</v>
      </c>
      <c r="T729">
        <v>4</v>
      </c>
      <c r="U729" t="s">
        <v>25</v>
      </c>
      <c r="V729">
        <v>9353.56</v>
      </c>
      <c r="W729" t="s">
        <v>26</v>
      </c>
      <c r="X729" t="s">
        <v>40</v>
      </c>
      <c r="Y729">
        <v>28</v>
      </c>
      <c r="Z729" t="str">
        <f t="shared" si="154"/>
        <v>Bad Employee</v>
      </c>
      <c r="AA729" t="b">
        <f t="shared" si="155"/>
        <v>0</v>
      </c>
      <c r="AB729" t="b">
        <f>OR(Y729&gt;20, T729&gt;6)</f>
        <v>1</v>
      </c>
      <c r="AC729" t="str">
        <f>IF(OR(Y729&gt;20,T729&gt;6), "Good employee", "Bad Employee")</f>
        <v>Good employee</v>
      </c>
      <c r="AD729" t="s">
        <v>56</v>
      </c>
      <c r="AE729" t="s">
        <v>48</v>
      </c>
      <c r="AF729">
        <v>6</v>
      </c>
      <c r="AG729">
        <v>2010</v>
      </c>
      <c r="AH729" t="s">
        <v>43</v>
      </c>
      <c r="AI729">
        <v>13</v>
      </c>
      <c r="AJ729">
        <v>1</v>
      </c>
    </row>
    <row r="730" spans="1:36" x14ac:dyDescent="0.25">
      <c r="A730">
        <v>10729</v>
      </c>
      <c r="B730" t="s">
        <v>38</v>
      </c>
      <c r="C730" t="s">
        <v>32</v>
      </c>
      <c r="D730" t="s">
        <v>54</v>
      </c>
      <c r="E730" t="str">
        <f t="shared" si="143"/>
        <v>Chris Wilson is in Finance Department</v>
      </c>
      <c r="F730" s="6" t="str">
        <f t="shared" si="144"/>
        <v>chriswilson@gmail.com</v>
      </c>
      <c r="G730">
        <v>113402</v>
      </c>
      <c r="H730" t="str">
        <f t="shared" si="145"/>
        <v>High</v>
      </c>
      <c r="I730" s="3">
        <v>39386</v>
      </c>
      <c r="J730">
        <f t="shared" si="146"/>
        <v>2007</v>
      </c>
      <c r="K730">
        <f t="shared" si="147"/>
        <v>10</v>
      </c>
      <c r="L730">
        <f t="shared" si="148"/>
        <v>31</v>
      </c>
      <c r="M730" s="3">
        <f t="shared" ca="1" si="149"/>
        <v>46100</v>
      </c>
      <c r="N730">
        <f t="shared" ca="1" si="150"/>
        <v>6714</v>
      </c>
      <c r="O730">
        <f t="shared" ca="1" si="151"/>
        <v>6714</v>
      </c>
      <c r="P730">
        <f t="shared" ca="1" si="152"/>
        <v>4797</v>
      </c>
      <c r="Q730">
        <v>49</v>
      </c>
      <c r="R730" t="str">
        <f t="shared" si="153"/>
        <v>Old</v>
      </c>
      <c r="S730" t="s">
        <v>34</v>
      </c>
      <c r="T730">
        <v>7</v>
      </c>
      <c r="U730" t="s">
        <v>45</v>
      </c>
      <c r="V730">
        <v>2033.86</v>
      </c>
      <c r="W730" t="s">
        <v>58</v>
      </c>
      <c r="X730" t="s">
        <v>47</v>
      </c>
      <c r="Y730">
        <v>33</v>
      </c>
      <c r="Z730" t="str">
        <f t="shared" si="154"/>
        <v>Good Employee</v>
      </c>
      <c r="AA730" t="b">
        <f t="shared" si="155"/>
        <v>1</v>
      </c>
      <c r="AB730" t="b">
        <f>OR(Y730&gt;20, T730&gt;6)</f>
        <v>1</v>
      </c>
      <c r="AC730" t="str">
        <f>IF(OR(Y730&gt;20,T730&gt;6), "Good employee", "Bad Employee")</f>
        <v>Good employee</v>
      </c>
      <c r="AD730" t="s">
        <v>41</v>
      </c>
      <c r="AE730" t="s">
        <v>37</v>
      </c>
      <c r="AF730">
        <v>3</v>
      </c>
      <c r="AG730">
        <v>2021</v>
      </c>
      <c r="AH730" t="s">
        <v>30</v>
      </c>
      <c r="AI730">
        <v>168</v>
      </c>
      <c r="AJ730">
        <v>4.0999999999999996</v>
      </c>
    </row>
    <row r="731" spans="1:36" x14ac:dyDescent="0.25">
      <c r="A731">
        <v>10730</v>
      </c>
      <c r="B731" t="s">
        <v>31</v>
      </c>
      <c r="C731" t="s">
        <v>51</v>
      </c>
      <c r="D731" t="s">
        <v>33</v>
      </c>
      <c r="E731" t="str">
        <f t="shared" si="143"/>
        <v>Emily Brown is in Marketing Department</v>
      </c>
      <c r="F731" s="6" t="str">
        <f t="shared" si="144"/>
        <v>emilybrown@gmail.com</v>
      </c>
      <c r="G731">
        <v>72607</v>
      </c>
      <c r="H731" t="str">
        <f t="shared" si="145"/>
        <v>Medium</v>
      </c>
      <c r="I731" s="3">
        <v>37249</v>
      </c>
      <c r="J731">
        <f t="shared" si="146"/>
        <v>2001</v>
      </c>
      <c r="K731">
        <f t="shared" si="147"/>
        <v>12</v>
      </c>
      <c r="L731">
        <f t="shared" si="148"/>
        <v>24</v>
      </c>
      <c r="M731" s="3">
        <f t="shared" ca="1" si="149"/>
        <v>46100</v>
      </c>
      <c r="N731">
        <f t="shared" ca="1" si="150"/>
        <v>8851</v>
      </c>
      <c r="O731">
        <f t="shared" ca="1" si="151"/>
        <v>8851</v>
      </c>
      <c r="P731">
        <f t="shared" ca="1" si="152"/>
        <v>6324</v>
      </c>
      <c r="Q731">
        <v>25</v>
      </c>
      <c r="R731" t="str">
        <f t="shared" si="153"/>
        <v>Young</v>
      </c>
      <c r="S731" t="s">
        <v>24</v>
      </c>
      <c r="T731">
        <v>2</v>
      </c>
      <c r="U731" t="s">
        <v>45</v>
      </c>
      <c r="V731">
        <v>1990.1</v>
      </c>
      <c r="W731" t="s">
        <v>58</v>
      </c>
      <c r="X731" t="s">
        <v>40</v>
      </c>
      <c r="Y731">
        <v>13</v>
      </c>
      <c r="Z731" t="str">
        <f t="shared" si="154"/>
        <v>Bad Employee</v>
      </c>
      <c r="AA731" t="b">
        <f t="shared" si="155"/>
        <v>0</v>
      </c>
      <c r="AB731" t="b">
        <f>OR(Y731&gt;20, T731&gt;6)</f>
        <v>0</v>
      </c>
      <c r="AC731" t="str">
        <f>IF(OR(Y731&gt;20,T731&gt;6), "Good employee", "Bad Employee")</f>
        <v>Bad Employee</v>
      </c>
      <c r="AD731" t="s">
        <v>56</v>
      </c>
      <c r="AE731" t="s">
        <v>42</v>
      </c>
      <c r="AF731">
        <v>2</v>
      </c>
      <c r="AG731">
        <v>2019</v>
      </c>
      <c r="AH731" t="s">
        <v>43</v>
      </c>
      <c r="AI731">
        <v>189</v>
      </c>
      <c r="AJ731">
        <v>1.8</v>
      </c>
    </row>
    <row r="732" spans="1:36" x14ac:dyDescent="0.25">
      <c r="A732">
        <v>10731</v>
      </c>
      <c r="B732" t="s">
        <v>50</v>
      </c>
      <c r="C732" t="s">
        <v>32</v>
      </c>
      <c r="D732" t="s">
        <v>23</v>
      </c>
      <c r="E732" t="str">
        <f t="shared" si="143"/>
        <v>Alex Wilson is in HR Department</v>
      </c>
      <c r="F732" s="6" t="str">
        <f t="shared" si="144"/>
        <v>alexwilson@gmail.com</v>
      </c>
      <c r="G732">
        <v>57621</v>
      </c>
      <c r="H732" t="str">
        <f t="shared" si="145"/>
        <v>Medium</v>
      </c>
      <c r="I732" s="3">
        <v>43253</v>
      </c>
      <c r="J732">
        <f t="shared" si="146"/>
        <v>2018</v>
      </c>
      <c r="K732">
        <f t="shared" si="147"/>
        <v>6</v>
      </c>
      <c r="L732">
        <f t="shared" si="148"/>
        <v>2</v>
      </c>
      <c r="M732" s="3">
        <f t="shared" ca="1" si="149"/>
        <v>46100</v>
      </c>
      <c r="N732">
        <f t="shared" ca="1" si="150"/>
        <v>2847</v>
      </c>
      <c r="O732">
        <f t="shared" ca="1" si="151"/>
        <v>2847</v>
      </c>
      <c r="P732">
        <f t="shared" ca="1" si="152"/>
        <v>2034</v>
      </c>
      <c r="Q732">
        <v>62</v>
      </c>
      <c r="R732" t="str">
        <f t="shared" si="153"/>
        <v>Old</v>
      </c>
      <c r="S732" t="s">
        <v>24</v>
      </c>
      <c r="T732">
        <v>7</v>
      </c>
      <c r="U732" t="s">
        <v>25</v>
      </c>
      <c r="V732">
        <v>9517.8799999999992</v>
      </c>
      <c r="W732" t="s">
        <v>58</v>
      </c>
      <c r="X732" t="s">
        <v>40</v>
      </c>
      <c r="Y732">
        <v>1</v>
      </c>
      <c r="Z732" t="str">
        <f t="shared" si="154"/>
        <v>Bad Employee</v>
      </c>
      <c r="AA732" t="b">
        <f t="shared" si="155"/>
        <v>0</v>
      </c>
      <c r="AB732" t="b">
        <f>OR(Y732&gt;20, T732&gt;6)</f>
        <v>1</v>
      </c>
      <c r="AC732" t="str">
        <f>IF(OR(Y732&gt;20,T732&gt;6), "Good employee", "Bad Employee")</f>
        <v>Good employee</v>
      </c>
      <c r="AD732" t="s">
        <v>56</v>
      </c>
      <c r="AE732" t="s">
        <v>62</v>
      </c>
      <c r="AF732">
        <v>11</v>
      </c>
      <c r="AG732">
        <v>2013</v>
      </c>
      <c r="AH732" t="s">
        <v>49</v>
      </c>
      <c r="AI732">
        <v>137</v>
      </c>
      <c r="AJ732">
        <v>3.3</v>
      </c>
    </row>
    <row r="733" spans="1:36" x14ac:dyDescent="0.25">
      <c r="A733">
        <v>10732</v>
      </c>
      <c r="B733" t="s">
        <v>66</v>
      </c>
      <c r="C733" t="s">
        <v>61</v>
      </c>
      <c r="D733" t="s">
        <v>33</v>
      </c>
      <c r="E733" t="str">
        <f t="shared" si="143"/>
        <v>John Smith is in Marketing Department</v>
      </c>
      <c r="F733" s="6" t="str">
        <f t="shared" si="144"/>
        <v>johnsmith@gmail.com</v>
      </c>
      <c r="G733">
        <v>42823</v>
      </c>
      <c r="H733" t="str">
        <f t="shared" si="145"/>
        <v>low</v>
      </c>
      <c r="I733" s="3">
        <v>37095</v>
      </c>
      <c r="J733">
        <f t="shared" si="146"/>
        <v>2001</v>
      </c>
      <c r="K733">
        <f t="shared" si="147"/>
        <v>7</v>
      </c>
      <c r="L733">
        <f t="shared" si="148"/>
        <v>23</v>
      </c>
      <c r="M733" s="3">
        <f t="shared" ca="1" si="149"/>
        <v>46100</v>
      </c>
      <c r="N733">
        <f t="shared" ca="1" si="150"/>
        <v>9005</v>
      </c>
      <c r="O733">
        <f t="shared" ca="1" si="151"/>
        <v>9005</v>
      </c>
      <c r="P733">
        <f t="shared" ca="1" si="152"/>
        <v>6434</v>
      </c>
      <c r="Q733">
        <v>39</v>
      </c>
      <c r="R733" t="str">
        <f t="shared" si="153"/>
        <v>Old</v>
      </c>
      <c r="S733" t="s">
        <v>34</v>
      </c>
      <c r="T733">
        <v>7</v>
      </c>
      <c r="U733" t="s">
        <v>25</v>
      </c>
      <c r="V733">
        <v>5341.96</v>
      </c>
      <c r="W733" t="s">
        <v>26</v>
      </c>
      <c r="X733" t="s">
        <v>55</v>
      </c>
      <c r="Y733">
        <v>38</v>
      </c>
      <c r="Z733" t="str">
        <f t="shared" si="154"/>
        <v>Good Employee</v>
      </c>
      <c r="AA733" t="b">
        <f t="shared" si="155"/>
        <v>1</v>
      </c>
      <c r="AB733" t="b">
        <f>OR(Y733&gt;20, T733&gt;6)</f>
        <v>1</v>
      </c>
      <c r="AC733" t="str">
        <f>IF(OR(Y733&gt;20,T733&gt;6), "Good employee", "Bad Employee")</f>
        <v>Good employee</v>
      </c>
      <c r="AD733" t="s">
        <v>56</v>
      </c>
      <c r="AE733" t="s">
        <v>48</v>
      </c>
      <c r="AF733">
        <v>14</v>
      </c>
      <c r="AG733">
        <v>2010</v>
      </c>
      <c r="AH733" t="s">
        <v>30</v>
      </c>
      <c r="AI733">
        <v>85</v>
      </c>
      <c r="AJ733">
        <v>2.8</v>
      </c>
    </row>
    <row r="734" spans="1:36" x14ac:dyDescent="0.25">
      <c r="A734">
        <v>10733</v>
      </c>
      <c r="B734" t="s">
        <v>66</v>
      </c>
      <c r="C734" t="s">
        <v>57</v>
      </c>
      <c r="D734" t="s">
        <v>54</v>
      </c>
      <c r="E734" t="str">
        <f t="shared" si="143"/>
        <v>John Davis is in Finance Department</v>
      </c>
      <c r="F734" s="6" t="str">
        <f t="shared" si="144"/>
        <v>johndavis@gmail.com</v>
      </c>
      <c r="G734">
        <v>59986</v>
      </c>
      <c r="H734" t="str">
        <f t="shared" si="145"/>
        <v>Medium</v>
      </c>
      <c r="I734" s="3">
        <v>36745</v>
      </c>
      <c r="J734">
        <f t="shared" si="146"/>
        <v>2000</v>
      </c>
      <c r="K734">
        <f t="shared" si="147"/>
        <v>8</v>
      </c>
      <c r="L734">
        <f t="shared" si="148"/>
        <v>7</v>
      </c>
      <c r="M734" s="3">
        <f t="shared" ca="1" si="149"/>
        <v>46100</v>
      </c>
      <c r="N734">
        <f t="shared" ca="1" si="150"/>
        <v>9355</v>
      </c>
      <c r="O734">
        <f t="shared" ca="1" si="151"/>
        <v>9355</v>
      </c>
      <c r="P734">
        <f t="shared" ca="1" si="152"/>
        <v>6684</v>
      </c>
      <c r="Q734">
        <v>60</v>
      </c>
      <c r="R734" t="str">
        <f t="shared" si="153"/>
        <v>Old</v>
      </c>
      <c r="S734" t="s">
        <v>34</v>
      </c>
      <c r="T734">
        <v>7</v>
      </c>
      <c r="U734" t="s">
        <v>45</v>
      </c>
      <c r="V734">
        <v>2266.12</v>
      </c>
      <c r="W734" t="s">
        <v>58</v>
      </c>
      <c r="X734" t="s">
        <v>55</v>
      </c>
      <c r="Y734">
        <v>25</v>
      </c>
      <c r="Z734" t="str">
        <f t="shared" si="154"/>
        <v>Good Employee</v>
      </c>
      <c r="AA734" t="b">
        <f t="shared" si="155"/>
        <v>1</v>
      </c>
      <c r="AB734" t="b">
        <f>OR(Y734&gt;20, T734&gt;6)</f>
        <v>1</v>
      </c>
      <c r="AC734" t="str">
        <f>IF(OR(Y734&gt;20,T734&gt;6), "Good employee", "Bad Employee")</f>
        <v>Good employee</v>
      </c>
      <c r="AD734" t="s">
        <v>41</v>
      </c>
      <c r="AE734" t="s">
        <v>29</v>
      </c>
      <c r="AF734">
        <v>19</v>
      </c>
      <c r="AG734">
        <v>2011</v>
      </c>
      <c r="AH734" t="s">
        <v>43</v>
      </c>
      <c r="AI734">
        <v>98</v>
      </c>
      <c r="AJ734">
        <v>3.3</v>
      </c>
    </row>
    <row r="735" spans="1:36" x14ac:dyDescent="0.25">
      <c r="A735">
        <v>10734</v>
      </c>
      <c r="B735" t="s">
        <v>53</v>
      </c>
      <c r="C735" t="s">
        <v>57</v>
      </c>
      <c r="D735" t="s">
        <v>39</v>
      </c>
      <c r="E735" t="str">
        <f t="shared" si="143"/>
        <v>Sarah Davis is in IT Department</v>
      </c>
      <c r="F735" s="6" t="str">
        <f t="shared" si="144"/>
        <v>sarahdavis@gmail.com</v>
      </c>
      <c r="G735">
        <v>94325</v>
      </c>
      <c r="H735" t="str">
        <f t="shared" si="145"/>
        <v>High</v>
      </c>
      <c r="I735" s="3">
        <v>37920</v>
      </c>
      <c r="J735">
        <f t="shared" si="146"/>
        <v>2003</v>
      </c>
      <c r="K735">
        <f t="shared" si="147"/>
        <v>10</v>
      </c>
      <c r="L735">
        <f t="shared" si="148"/>
        <v>26</v>
      </c>
      <c r="M735" s="3">
        <f t="shared" ca="1" si="149"/>
        <v>46100</v>
      </c>
      <c r="N735">
        <f t="shared" ca="1" si="150"/>
        <v>8180</v>
      </c>
      <c r="O735">
        <f t="shared" ca="1" si="151"/>
        <v>8180</v>
      </c>
      <c r="P735">
        <f t="shared" ca="1" si="152"/>
        <v>5844</v>
      </c>
      <c r="Q735">
        <v>46</v>
      </c>
      <c r="R735" t="str">
        <f t="shared" si="153"/>
        <v>Old</v>
      </c>
      <c r="S735" t="s">
        <v>34</v>
      </c>
      <c r="T735">
        <v>3</v>
      </c>
      <c r="U735" t="s">
        <v>25</v>
      </c>
      <c r="V735">
        <v>5135.91</v>
      </c>
      <c r="W735" t="s">
        <v>35</v>
      </c>
      <c r="X735" t="s">
        <v>40</v>
      </c>
      <c r="Y735">
        <v>21</v>
      </c>
      <c r="Z735" t="str">
        <f t="shared" si="154"/>
        <v>Bad Employee</v>
      </c>
      <c r="AA735" t="b">
        <f t="shared" si="155"/>
        <v>0</v>
      </c>
      <c r="AB735" t="b">
        <f>OR(Y735&gt;20, T735&gt;6)</f>
        <v>1</v>
      </c>
      <c r="AC735" t="str">
        <f>IF(OR(Y735&gt;20,T735&gt;6), "Good employee", "Bad Employee")</f>
        <v>Good employee</v>
      </c>
      <c r="AD735" t="s">
        <v>56</v>
      </c>
      <c r="AE735" t="s">
        <v>59</v>
      </c>
      <c r="AF735">
        <v>8</v>
      </c>
      <c r="AG735">
        <v>2011</v>
      </c>
      <c r="AH735" t="s">
        <v>49</v>
      </c>
      <c r="AI735">
        <v>139</v>
      </c>
      <c r="AJ735">
        <v>1.5</v>
      </c>
    </row>
    <row r="736" spans="1:36" x14ac:dyDescent="0.25">
      <c r="A736">
        <v>10735</v>
      </c>
      <c r="B736" t="s">
        <v>60</v>
      </c>
      <c r="C736" t="s">
        <v>32</v>
      </c>
      <c r="D736" t="s">
        <v>54</v>
      </c>
      <c r="E736" t="str">
        <f t="shared" si="143"/>
        <v>Jane Wilson is in Finance Department</v>
      </c>
      <c r="F736" s="6" t="str">
        <f t="shared" si="144"/>
        <v>janewilson@gmail.com</v>
      </c>
      <c r="G736">
        <v>87771</v>
      </c>
      <c r="H736" t="str">
        <f t="shared" si="145"/>
        <v>High</v>
      </c>
      <c r="I736" s="3">
        <v>39360</v>
      </c>
      <c r="J736">
        <f t="shared" si="146"/>
        <v>2007</v>
      </c>
      <c r="K736">
        <f t="shared" si="147"/>
        <v>10</v>
      </c>
      <c r="L736">
        <f t="shared" si="148"/>
        <v>5</v>
      </c>
      <c r="M736" s="3">
        <f t="shared" ca="1" si="149"/>
        <v>46100</v>
      </c>
      <c r="N736">
        <f t="shared" ca="1" si="150"/>
        <v>6740</v>
      </c>
      <c r="O736">
        <f t="shared" ca="1" si="151"/>
        <v>6740</v>
      </c>
      <c r="P736">
        <f t="shared" ca="1" si="152"/>
        <v>4815</v>
      </c>
      <c r="Q736">
        <v>39</v>
      </c>
      <c r="R736" t="str">
        <f t="shared" si="153"/>
        <v>Old</v>
      </c>
      <c r="S736" t="s">
        <v>24</v>
      </c>
      <c r="T736">
        <v>6</v>
      </c>
      <c r="U736" t="s">
        <v>45</v>
      </c>
      <c r="V736">
        <v>7940.51</v>
      </c>
      <c r="W736" t="s">
        <v>35</v>
      </c>
      <c r="X736" t="s">
        <v>55</v>
      </c>
      <c r="Y736">
        <v>33</v>
      </c>
      <c r="Z736" t="str">
        <f t="shared" si="154"/>
        <v>Bad Employee</v>
      </c>
      <c r="AA736" t="b">
        <f t="shared" si="155"/>
        <v>0</v>
      </c>
      <c r="AB736" t="b">
        <f>OR(Y736&gt;20, T736&gt;6)</f>
        <v>1</v>
      </c>
      <c r="AC736" t="str">
        <f>IF(OR(Y736&gt;20,T736&gt;6), "Good employee", "Bad Employee")</f>
        <v>Good employee</v>
      </c>
      <c r="AD736" t="s">
        <v>28</v>
      </c>
      <c r="AE736" t="s">
        <v>42</v>
      </c>
      <c r="AF736">
        <v>11</v>
      </c>
      <c r="AG736">
        <v>2019</v>
      </c>
      <c r="AH736" t="s">
        <v>30</v>
      </c>
      <c r="AI736">
        <v>138</v>
      </c>
      <c r="AJ736">
        <v>2.8</v>
      </c>
    </row>
    <row r="737" spans="1:36" x14ac:dyDescent="0.25">
      <c r="A737">
        <v>10736</v>
      </c>
      <c r="B737" t="s">
        <v>50</v>
      </c>
      <c r="C737" t="s">
        <v>65</v>
      </c>
      <c r="D737" t="s">
        <v>54</v>
      </c>
      <c r="E737" t="str">
        <f t="shared" si="143"/>
        <v>Alex Johnson is in Finance Department</v>
      </c>
      <c r="F737" s="6" t="str">
        <f t="shared" si="144"/>
        <v>alexjohnson@gmail.com</v>
      </c>
      <c r="G737">
        <v>84973</v>
      </c>
      <c r="H737" t="str">
        <f t="shared" si="145"/>
        <v>High</v>
      </c>
      <c r="I737" s="3">
        <v>43197</v>
      </c>
      <c r="J737">
        <f t="shared" si="146"/>
        <v>2018</v>
      </c>
      <c r="K737">
        <f t="shared" si="147"/>
        <v>4</v>
      </c>
      <c r="L737">
        <f t="shared" si="148"/>
        <v>7</v>
      </c>
      <c r="M737" s="3">
        <f t="shared" ca="1" si="149"/>
        <v>46100</v>
      </c>
      <c r="N737">
        <f t="shared" ca="1" si="150"/>
        <v>2903</v>
      </c>
      <c r="O737">
        <f t="shared" ca="1" si="151"/>
        <v>2903</v>
      </c>
      <c r="P737">
        <f t="shared" ca="1" si="152"/>
        <v>2074</v>
      </c>
      <c r="Q737">
        <v>27</v>
      </c>
      <c r="R737" t="str">
        <f t="shared" si="153"/>
        <v>Young</v>
      </c>
      <c r="S737" t="s">
        <v>34</v>
      </c>
      <c r="T737">
        <v>6</v>
      </c>
      <c r="U737" t="s">
        <v>45</v>
      </c>
      <c r="V737">
        <v>8355.74</v>
      </c>
      <c r="W737" t="s">
        <v>46</v>
      </c>
      <c r="X737" t="s">
        <v>47</v>
      </c>
      <c r="Y737">
        <v>37</v>
      </c>
      <c r="Z737" t="str">
        <f t="shared" si="154"/>
        <v>Bad Employee</v>
      </c>
      <c r="AA737" t="b">
        <f t="shared" si="155"/>
        <v>0</v>
      </c>
      <c r="AB737" t="b">
        <f>OR(Y737&gt;20, T737&gt;6)</f>
        <v>1</v>
      </c>
      <c r="AC737" t="str">
        <f>IF(OR(Y737&gt;20,T737&gt;6), "Good employee", "Bad Employee")</f>
        <v>Good employee</v>
      </c>
      <c r="AD737" t="s">
        <v>56</v>
      </c>
      <c r="AE737" t="s">
        <v>48</v>
      </c>
      <c r="AF737">
        <v>4</v>
      </c>
      <c r="AG737">
        <v>2020</v>
      </c>
      <c r="AH737" t="s">
        <v>49</v>
      </c>
      <c r="AI737">
        <v>56</v>
      </c>
      <c r="AJ737">
        <v>1.1000000000000001</v>
      </c>
    </row>
    <row r="738" spans="1:36" x14ac:dyDescent="0.25">
      <c r="A738">
        <v>10737</v>
      </c>
      <c r="B738" t="s">
        <v>31</v>
      </c>
      <c r="C738" t="s">
        <v>65</v>
      </c>
      <c r="D738" t="s">
        <v>54</v>
      </c>
      <c r="E738" t="str">
        <f t="shared" si="143"/>
        <v>Emily Johnson is in Finance Department</v>
      </c>
      <c r="F738" s="6" t="str">
        <f t="shared" si="144"/>
        <v>emilyjohnson@gmail.com</v>
      </c>
      <c r="G738">
        <v>44690</v>
      </c>
      <c r="H738" t="str">
        <f t="shared" si="145"/>
        <v>low</v>
      </c>
      <c r="I738" s="3">
        <v>38648</v>
      </c>
      <c r="J738">
        <f t="shared" si="146"/>
        <v>2005</v>
      </c>
      <c r="K738">
        <f t="shared" si="147"/>
        <v>10</v>
      </c>
      <c r="L738">
        <f t="shared" si="148"/>
        <v>23</v>
      </c>
      <c r="M738" s="3">
        <f t="shared" ca="1" si="149"/>
        <v>46100</v>
      </c>
      <c r="N738">
        <f t="shared" ca="1" si="150"/>
        <v>7452</v>
      </c>
      <c r="O738">
        <f t="shared" ca="1" si="151"/>
        <v>7452</v>
      </c>
      <c r="P738">
        <f t="shared" ca="1" si="152"/>
        <v>5324</v>
      </c>
      <c r="Q738">
        <v>40</v>
      </c>
      <c r="R738" t="str">
        <f t="shared" si="153"/>
        <v>Old</v>
      </c>
      <c r="S738" t="s">
        <v>34</v>
      </c>
      <c r="T738">
        <v>4</v>
      </c>
      <c r="U738" t="s">
        <v>25</v>
      </c>
      <c r="V738">
        <v>8707.7099999999991</v>
      </c>
      <c r="W738" t="s">
        <v>26</v>
      </c>
      <c r="X738" t="s">
        <v>40</v>
      </c>
      <c r="Y738">
        <v>34</v>
      </c>
      <c r="Z738" t="str">
        <f t="shared" si="154"/>
        <v>Bad Employee</v>
      </c>
      <c r="AA738" t="b">
        <f t="shared" si="155"/>
        <v>0</v>
      </c>
      <c r="AB738" t="b">
        <f>OR(Y738&gt;20, T738&gt;6)</f>
        <v>1</v>
      </c>
      <c r="AC738" t="str">
        <f>IF(OR(Y738&gt;20,T738&gt;6), "Good employee", "Bad Employee")</f>
        <v>Good employee</v>
      </c>
      <c r="AD738" t="s">
        <v>41</v>
      </c>
      <c r="AE738" t="s">
        <v>48</v>
      </c>
      <c r="AF738">
        <v>7</v>
      </c>
      <c r="AG738">
        <v>2014</v>
      </c>
      <c r="AH738" t="s">
        <v>43</v>
      </c>
      <c r="AI738">
        <v>110</v>
      </c>
      <c r="AJ738">
        <v>1.2</v>
      </c>
    </row>
    <row r="739" spans="1:36" x14ac:dyDescent="0.25">
      <c r="A739">
        <v>10738</v>
      </c>
      <c r="B739" t="s">
        <v>38</v>
      </c>
      <c r="C739" t="s">
        <v>63</v>
      </c>
      <c r="D739" t="s">
        <v>52</v>
      </c>
      <c r="E739" t="str">
        <f t="shared" si="143"/>
        <v>Chris Miller is in Operations Department</v>
      </c>
      <c r="F739" s="6" t="str">
        <f t="shared" si="144"/>
        <v>chrismiller@gmail.com</v>
      </c>
      <c r="G739">
        <v>69107</v>
      </c>
      <c r="H739" t="str">
        <f t="shared" si="145"/>
        <v>Medium</v>
      </c>
      <c r="I739" s="3">
        <v>42263</v>
      </c>
      <c r="J739">
        <f t="shared" si="146"/>
        <v>2015</v>
      </c>
      <c r="K739">
        <f t="shared" si="147"/>
        <v>9</v>
      </c>
      <c r="L739">
        <f t="shared" si="148"/>
        <v>16</v>
      </c>
      <c r="M739" s="3">
        <f t="shared" ca="1" si="149"/>
        <v>46100</v>
      </c>
      <c r="N739">
        <f t="shared" ca="1" si="150"/>
        <v>3837</v>
      </c>
      <c r="O739">
        <f t="shared" ca="1" si="151"/>
        <v>3837</v>
      </c>
      <c r="P739">
        <f t="shared" ca="1" si="152"/>
        <v>2742</v>
      </c>
      <c r="Q739">
        <v>33</v>
      </c>
      <c r="R739" t="str">
        <f t="shared" si="153"/>
        <v>Old</v>
      </c>
      <c r="S739" t="s">
        <v>24</v>
      </c>
      <c r="T739">
        <v>1</v>
      </c>
      <c r="U739" t="s">
        <v>45</v>
      </c>
      <c r="V739">
        <v>5910.92</v>
      </c>
      <c r="W739" t="s">
        <v>26</v>
      </c>
      <c r="X739" t="s">
        <v>55</v>
      </c>
      <c r="Y739">
        <v>3</v>
      </c>
      <c r="Z739" t="str">
        <f t="shared" si="154"/>
        <v>Bad Employee</v>
      </c>
      <c r="AA739" t="b">
        <f t="shared" si="155"/>
        <v>0</v>
      </c>
      <c r="AB739" t="b">
        <f>OR(Y739&gt;20, T739&gt;6)</f>
        <v>0</v>
      </c>
      <c r="AC739" t="str">
        <f>IF(OR(Y739&gt;20,T739&gt;6), "Good employee", "Bad Employee")</f>
        <v>Bad Employee</v>
      </c>
      <c r="AD739" t="s">
        <v>41</v>
      </c>
      <c r="AE739" t="s">
        <v>29</v>
      </c>
      <c r="AF739">
        <v>14</v>
      </c>
      <c r="AG739">
        <v>2010</v>
      </c>
      <c r="AH739" t="s">
        <v>49</v>
      </c>
      <c r="AI739">
        <v>59</v>
      </c>
      <c r="AJ739">
        <v>3.6</v>
      </c>
    </row>
    <row r="740" spans="1:36" x14ac:dyDescent="0.25">
      <c r="A740">
        <v>10739</v>
      </c>
      <c r="B740" t="s">
        <v>38</v>
      </c>
      <c r="C740" t="s">
        <v>63</v>
      </c>
      <c r="D740" t="s">
        <v>33</v>
      </c>
      <c r="E740" t="str">
        <f t="shared" si="143"/>
        <v>Chris Miller is in Marketing Department</v>
      </c>
      <c r="F740" s="6" t="str">
        <f t="shared" si="144"/>
        <v>chrismiller@gmail.com</v>
      </c>
      <c r="G740">
        <v>87888</v>
      </c>
      <c r="H740" t="str">
        <f t="shared" si="145"/>
        <v>High</v>
      </c>
      <c r="I740" s="3">
        <v>40757</v>
      </c>
      <c r="J740">
        <f t="shared" si="146"/>
        <v>2011</v>
      </c>
      <c r="K740">
        <f t="shared" si="147"/>
        <v>8</v>
      </c>
      <c r="L740">
        <f t="shared" si="148"/>
        <v>2</v>
      </c>
      <c r="M740" s="3">
        <f t="shared" ca="1" si="149"/>
        <v>46100</v>
      </c>
      <c r="N740">
        <f t="shared" ca="1" si="150"/>
        <v>5343</v>
      </c>
      <c r="O740">
        <f t="shared" ca="1" si="151"/>
        <v>5343</v>
      </c>
      <c r="P740">
        <f t="shared" ca="1" si="152"/>
        <v>3818</v>
      </c>
      <c r="Q740">
        <v>46</v>
      </c>
      <c r="R740" t="str">
        <f t="shared" si="153"/>
        <v>Old</v>
      </c>
      <c r="S740" t="s">
        <v>34</v>
      </c>
      <c r="T740">
        <v>9</v>
      </c>
      <c r="U740" t="s">
        <v>45</v>
      </c>
      <c r="V740">
        <v>8735.99</v>
      </c>
      <c r="W740" t="s">
        <v>26</v>
      </c>
      <c r="X740" t="s">
        <v>47</v>
      </c>
      <c r="Y740">
        <v>30</v>
      </c>
      <c r="Z740" t="str">
        <f t="shared" si="154"/>
        <v>Good Employee</v>
      </c>
      <c r="AA740" t="b">
        <f t="shared" si="155"/>
        <v>1</v>
      </c>
      <c r="AB740" t="b">
        <f>OR(Y740&gt;20, T740&gt;6)</f>
        <v>1</v>
      </c>
      <c r="AC740" t="str">
        <f>IF(OR(Y740&gt;20,T740&gt;6), "Good employee", "Bad Employee")</f>
        <v>Good employee</v>
      </c>
      <c r="AD740" t="s">
        <v>28</v>
      </c>
      <c r="AE740" t="s">
        <v>29</v>
      </c>
      <c r="AF740">
        <v>6</v>
      </c>
      <c r="AG740">
        <v>2019</v>
      </c>
      <c r="AH740" t="s">
        <v>43</v>
      </c>
      <c r="AI740">
        <v>18</v>
      </c>
      <c r="AJ740">
        <v>4.8</v>
      </c>
    </row>
    <row r="741" spans="1:36" x14ac:dyDescent="0.25">
      <c r="A741">
        <v>10740</v>
      </c>
      <c r="B741" t="s">
        <v>31</v>
      </c>
      <c r="C741" t="s">
        <v>57</v>
      </c>
      <c r="D741" t="s">
        <v>33</v>
      </c>
      <c r="E741" t="str">
        <f t="shared" si="143"/>
        <v>Emily Davis is in Marketing Department</v>
      </c>
      <c r="F741" s="6" t="str">
        <f t="shared" si="144"/>
        <v>emilydavis@gmail.com</v>
      </c>
      <c r="G741">
        <v>40956</v>
      </c>
      <c r="H741" t="str">
        <f t="shared" si="145"/>
        <v>low</v>
      </c>
      <c r="I741" s="3">
        <v>40526</v>
      </c>
      <c r="J741">
        <f t="shared" si="146"/>
        <v>2010</v>
      </c>
      <c r="K741">
        <f t="shared" si="147"/>
        <v>12</v>
      </c>
      <c r="L741">
        <f t="shared" si="148"/>
        <v>14</v>
      </c>
      <c r="M741" s="3">
        <f t="shared" ca="1" si="149"/>
        <v>46100</v>
      </c>
      <c r="N741">
        <f t="shared" ca="1" si="150"/>
        <v>5574</v>
      </c>
      <c r="O741">
        <f t="shared" ca="1" si="151"/>
        <v>5574</v>
      </c>
      <c r="P741">
        <f t="shared" ca="1" si="152"/>
        <v>3983</v>
      </c>
      <c r="Q741">
        <v>56</v>
      </c>
      <c r="R741" t="str">
        <f t="shared" si="153"/>
        <v>Old</v>
      </c>
      <c r="S741" t="s">
        <v>34</v>
      </c>
      <c r="T741">
        <v>2</v>
      </c>
      <c r="U741" t="s">
        <v>25</v>
      </c>
      <c r="V741">
        <v>5345.29</v>
      </c>
      <c r="W741" t="s">
        <v>26</v>
      </c>
      <c r="X741" t="s">
        <v>40</v>
      </c>
      <c r="Y741">
        <v>3</v>
      </c>
      <c r="Z741" t="str">
        <f t="shared" si="154"/>
        <v>Bad Employee</v>
      </c>
      <c r="AA741" t="b">
        <f t="shared" si="155"/>
        <v>0</v>
      </c>
      <c r="AB741" t="b">
        <f>OR(Y741&gt;20, T741&gt;6)</f>
        <v>0</v>
      </c>
      <c r="AC741" t="str">
        <f>IF(OR(Y741&gt;20,T741&gt;6), "Good employee", "Bad Employee")</f>
        <v>Bad Employee</v>
      </c>
      <c r="AD741" t="s">
        <v>56</v>
      </c>
      <c r="AE741" t="s">
        <v>59</v>
      </c>
      <c r="AF741">
        <v>18</v>
      </c>
      <c r="AG741">
        <v>2023</v>
      </c>
      <c r="AH741" t="s">
        <v>43</v>
      </c>
      <c r="AI741">
        <v>133</v>
      </c>
      <c r="AJ741">
        <v>4.0999999999999996</v>
      </c>
    </row>
    <row r="742" spans="1:36" x14ac:dyDescent="0.25">
      <c r="A742">
        <v>10741</v>
      </c>
      <c r="B742" t="s">
        <v>21</v>
      </c>
      <c r="C742" t="s">
        <v>61</v>
      </c>
      <c r="D742" t="s">
        <v>44</v>
      </c>
      <c r="E742" t="str">
        <f t="shared" si="143"/>
        <v>Michael Smith is in Sales Department</v>
      </c>
      <c r="F742" s="6" t="str">
        <f t="shared" si="144"/>
        <v>michaelsmith@gmail.com</v>
      </c>
      <c r="G742">
        <v>116839</v>
      </c>
      <c r="H742" t="str">
        <f t="shared" si="145"/>
        <v>High</v>
      </c>
      <c r="I742" s="3">
        <v>42743</v>
      </c>
      <c r="J742">
        <f t="shared" si="146"/>
        <v>2017</v>
      </c>
      <c r="K742">
        <f t="shared" si="147"/>
        <v>1</v>
      </c>
      <c r="L742">
        <f t="shared" si="148"/>
        <v>8</v>
      </c>
      <c r="M742" s="3">
        <f t="shared" ca="1" si="149"/>
        <v>46100</v>
      </c>
      <c r="N742">
        <f t="shared" ca="1" si="150"/>
        <v>3357</v>
      </c>
      <c r="O742">
        <f t="shared" ca="1" si="151"/>
        <v>3357</v>
      </c>
      <c r="P742">
        <f t="shared" ca="1" si="152"/>
        <v>2399</v>
      </c>
      <c r="Q742">
        <v>22</v>
      </c>
      <c r="R742" t="str">
        <f t="shared" si="153"/>
        <v>Young</v>
      </c>
      <c r="S742" t="s">
        <v>34</v>
      </c>
      <c r="T742">
        <v>9</v>
      </c>
      <c r="U742" t="s">
        <v>45</v>
      </c>
      <c r="V742">
        <v>6267.07</v>
      </c>
      <c r="W742" t="s">
        <v>26</v>
      </c>
      <c r="X742" t="s">
        <v>40</v>
      </c>
      <c r="Y742">
        <v>18</v>
      </c>
      <c r="Z742" t="str">
        <f t="shared" si="154"/>
        <v>Bad Employee</v>
      </c>
      <c r="AA742" t="b">
        <f t="shared" si="155"/>
        <v>0</v>
      </c>
      <c r="AB742" t="b">
        <f>OR(Y742&gt;20, T742&gt;6)</f>
        <v>1</v>
      </c>
      <c r="AC742" t="str">
        <f>IF(OR(Y742&gt;20,T742&gt;6), "Good employee", "Bad Employee")</f>
        <v>Good employee</v>
      </c>
      <c r="AD742" t="s">
        <v>41</v>
      </c>
      <c r="AE742" t="s">
        <v>59</v>
      </c>
      <c r="AF742">
        <v>12</v>
      </c>
      <c r="AG742">
        <v>2012</v>
      </c>
      <c r="AH742" t="s">
        <v>30</v>
      </c>
      <c r="AI742">
        <v>169</v>
      </c>
      <c r="AJ742">
        <v>2.9</v>
      </c>
    </row>
    <row r="743" spans="1:36" x14ac:dyDescent="0.25">
      <c r="A743">
        <v>10742</v>
      </c>
      <c r="B743" t="s">
        <v>64</v>
      </c>
      <c r="C743" t="s">
        <v>22</v>
      </c>
      <c r="D743" t="s">
        <v>33</v>
      </c>
      <c r="E743" t="str">
        <f t="shared" si="143"/>
        <v>Katie Williams is in Marketing Department</v>
      </c>
      <c r="F743" s="6" t="str">
        <f t="shared" si="144"/>
        <v>katiewilliams@gmail.com</v>
      </c>
      <c r="G743">
        <v>86227</v>
      </c>
      <c r="H743" t="str">
        <f t="shared" si="145"/>
        <v>High</v>
      </c>
      <c r="I743" s="3">
        <v>40875</v>
      </c>
      <c r="J743">
        <f t="shared" si="146"/>
        <v>2011</v>
      </c>
      <c r="K743">
        <f t="shared" si="147"/>
        <v>11</v>
      </c>
      <c r="L743">
        <f t="shared" si="148"/>
        <v>28</v>
      </c>
      <c r="M743" s="3">
        <f t="shared" ca="1" si="149"/>
        <v>46100</v>
      </c>
      <c r="N743">
        <f t="shared" ca="1" si="150"/>
        <v>5225</v>
      </c>
      <c r="O743">
        <f t="shared" ca="1" si="151"/>
        <v>5225</v>
      </c>
      <c r="P743">
        <f t="shared" ca="1" si="152"/>
        <v>3734</v>
      </c>
      <c r="Q743">
        <v>26</v>
      </c>
      <c r="R743" t="str">
        <f t="shared" si="153"/>
        <v>Young</v>
      </c>
      <c r="S743" t="s">
        <v>34</v>
      </c>
      <c r="T743">
        <v>8</v>
      </c>
      <c r="U743" t="s">
        <v>45</v>
      </c>
      <c r="V743">
        <v>7707.84</v>
      </c>
      <c r="W743" t="s">
        <v>58</v>
      </c>
      <c r="X743" t="s">
        <v>55</v>
      </c>
      <c r="Y743">
        <v>23</v>
      </c>
      <c r="Z743" t="str">
        <f t="shared" si="154"/>
        <v>Good Employee</v>
      </c>
      <c r="AA743" t="b">
        <f t="shared" si="155"/>
        <v>1</v>
      </c>
      <c r="AB743" t="b">
        <f>OR(Y743&gt;20, T743&gt;6)</f>
        <v>1</v>
      </c>
      <c r="AC743" t="str">
        <f>IF(OR(Y743&gt;20,T743&gt;6), "Good employee", "Bad Employee")</f>
        <v>Good employee</v>
      </c>
      <c r="AD743" t="s">
        <v>56</v>
      </c>
      <c r="AE743" t="s">
        <v>62</v>
      </c>
      <c r="AF743">
        <v>0</v>
      </c>
      <c r="AG743">
        <v>2020</v>
      </c>
      <c r="AH743" t="s">
        <v>43</v>
      </c>
      <c r="AI743">
        <v>53</v>
      </c>
      <c r="AJ743">
        <v>1.2</v>
      </c>
    </row>
    <row r="744" spans="1:36" x14ac:dyDescent="0.25">
      <c r="A744">
        <v>10743</v>
      </c>
      <c r="B744" t="s">
        <v>60</v>
      </c>
      <c r="C744" t="s">
        <v>22</v>
      </c>
      <c r="D744" t="s">
        <v>44</v>
      </c>
      <c r="E744" t="str">
        <f t="shared" si="143"/>
        <v>Jane Williams is in Sales Department</v>
      </c>
      <c r="F744" s="6" t="str">
        <f t="shared" si="144"/>
        <v>janewilliams@gmail.com</v>
      </c>
      <c r="G744">
        <v>66533</v>
      </c>
      <c r="H744" t="str">
        <f t="shared" si="145"/>
        <v>Medium</v>
      </c>
      <c r="I744" s="3">
        <v>39615</v>
      </c>
      <c r="J744">
        <f t="shared" si="146"/>
        <v>2008</v>
      </c>
      <c r="K744">
        <f t="shared" si="147"/>
        <v>6</v>
      </c>
      <c r="L744">
        <f t="shared" si="148"/>
        <v>16</v>
      </c>
      <c r="M744" s="3">
        <f t="shared" ca="1" si="149"/>
        <v>46100</v>
      </c>
      <c r="N744">
        <f t="shared" ca="1" si="150"/>
        <v>6485</v>
      </c>
      <c r="O744">
        <f t="shared" ca="1" si="151"/>
        <v>6485</v>
      </c>
      <c r="P744">
        <f t="shared" ca="1" si="152"/>
        <v>4634</v>
      </c>
      <c r="Q744">
        <v>22</v>
      </c>
      <c r="R744" t="str">
        <f t="shared" si="153"/>
        <v>Young</v>
      </c>
      <c r="S744" t="s">
        <v>24</v>
      </c>
      <c r="T744">
        <v>1</v>
      </c>
      <c r="U744" t="s">
        <v>25</v>
      </c>
      <c r="V744">
        <v>4541.6400000000003</v>
      </c>
      <c r="W744" t="s">
        <v>58</v>
      </c>
      <c r="X744" t="s">
        <v>47</v>
      </c>
      <c r="Y744">
        <v>8</v>
      </c>
      <c r="Z744" t="str">
        <f t="shared" si="154"/>
        <v>Bad Employee</v>
      </c>
      <c r="AA744" t="b">
        <f t="shared" si="155"/>
        <v>0</v>
      </c>
      <c r="AB744" t="b">
        <f>OR(Y744&gt;20, T744&gt;6)</f>
        <v>0</v>
      </c>
      <c r="AC744" t="str">
        <f>IF(OR(Y744&gt;20,T744&gt;6), "Good employee", "Bad Employee")</f>
        <v>Bad Employee</v>
      </c>
      <c r="AD744" t="s">
        <v>28</v>
      </c>
      <c r="AE744" t="s">
        <v>59</v>
      </c>
      <c r="AF744">
        <v>10</v>
      </c>
      <c r="AG744">
        <v>2015</v>
      </c>
      <c r="AH744" t="s">
        <v>43</v>
      </c>
      <c r="AI744">
        <v>144</v>
      </c>
      <c r="AJ744">
        <v>1.2</v>
      </c>
    </row>
    <row r="745" spans="1:36" x14ac:dyDescent="0.25">
      <c r="A745">
        <v>10744</v>
      </c>
      <c r="B745" t="s">
        <v>38</v>
      </c>
      <c r="C745" t="s">
        <v>63</v>
      </c>
      <c r="D745" t="s">
        <v>52</v>
      </c>
      <c r="E745" t="str">
        <f t="shared" si="143"/>
        <v>Chris Miller is in Operations Department</v>
      </c>
      <c r="F745" s="6" t="str">
        <f t="shared" si="144"/>
        <v>chrismiller@gmail.com</v>
      </c>
      <c r="G745">
        <v>86234</v>
      </c>
      <c r="H745" t="str">
        <f t="shared" si="145"/>
        <v>High</v>
      </c>
      <c r="I745" s="3">
        <v>42576</v>
      </c>
      <c r="J745">
        <f t="shared" si="146"/>
        <v>2016</v>
      </c>
      <c r="K745">
        <f t="shared" si="147"/>
        <v>7</v>
      </c>
      <c r="L745">
        <f t="shared" si="148"/>
        <v>25</v>
      </c>
      <c r="M745" s="3">
        <f t="shared" ca="1" si="149"/>
        <v>46100</v>
      </c>
      <c r="N745">
        <f t="shared" ca="1" si="150"/>
        <v>3524</v>
      </c>
      <c r="O745">
        <f t="shared" ca="1" si="151"/>
        <v>3524</v>
      </c>
      <c r="P745">
        <f t="shared" ca="1" si="152"/>
        <v>2519</v>
      </c>
      <c r="Q745">
        <v>29</v>
      </c>
      <c r="R745" t="str">
        <f t="shared" si="153"/>
        <v>Young</v>
      </c>
      <c r="S745" t="s">
        <v>24</v>
      </c>
      <c r="T745">
        <v>7</v>
      </c>
      <c r="U745" t="s">
        <v>45</v>
      </c>
      <c r="V745">
        <v>1199.02</v>
      </c>
      <c r="W745" t="s">
        <v>35</v>
      </c>
      <c r="X745" t="s">
        <v>40</v>
      </c>
      <c r="Y745">
        <v>9</v>
      </c>
      <c r="Z745" t="str">
        <f t="shared" si="154"/>
        <v>Bad Employee</v>
      </c>
      <c r="AA745" t="b">
        <f t="shared" si="155"/>
        <v>0</v>
      </c>
      <c r="AB745" t="b">
        <f>OR(Y745&gt;20, T745&gt;6)</f>
        <v>1</v>
      </c>
      <c r="AC745" t="str">
        <f>IF(OR(Y745&gt;20,T745&gt;6), "Good employee", "Bad Employee")</f>
        <v>Good employee</v>
      </c>
      <c r="AD745" t="s">
        <v>28</v>
      </c>
      <c r="AE745" t="s">
        <v>59</v>
      </c>
      <c r="AF745">
        <v>12</v>
      </c>
      <c r="AG745">
        <v>2010</v>
      </c>
      <c r="AH745" t="s">
        <v>30</v>
      </c>
      <c r="AI745">
        <v>137</v>
      </c>
      <c r="AJ745">
        <v>1.6</v>
      </c>
    </row>
    <row r="746" spans="1:36" x14ac:dyDescent="0.25">
      <c r="A746">
        <v>10745</v>
      </c>
      <c r="B746" t="s">
        <v>50</v>
      </c>
      <c r="C746" t="s">
        <v>61</v>
      </c>
      <c r="D746" t="s">
        <v>39</v>
      </c>
      <c r="E746" t="str">
        <f t="shared" si="143"/>
        <v>Alex Smith is in IT Department</v>
      </c>
      <c r="F746" s="6" t="str">
        <f t="shared" si="144"/>
        <v>alexsmith@gmail.com</v>
      </c>
      <c r="G746">
        <v>97594</v>
      </c>
      <c r="H746" t="str">
        <f t="shared" si="145"/>
        <v>High</v>
      </c>
      <c r="I746" s="3">
        <v>43691</v>
      </c>
      <c r="J746">
        <f t="shared" si="146"/>
        <v>2019</v>
      </c>
      <c r="K746">
        <f t="shared" si="147"/>
        <v>8</v>
      </c>
      <c r="L746">
        <f t="shared" si="148"/>
        <v>14</v>
      </c>
      <c r="M746" s="3">
        <f t="shared" ca="1" si="149"/>
        <v>46100</v>
      </c>
      <c r="N746">
        <f t="shared" ca="1" si="150"/>
        <v>2409</v>
      </c>
      <c r="O746">
        <f t="shared" ca="1" si="151"/>
        <v>2409</v>
      </c>
      <c r="P746">
        <f t="shared" ca="1" si="152"/>
        <v>1722</v>
      </c>
      <c r="Q746">
        <v>60</v>
      </c>
      <c r="R746" t="str">
        <f t="shared" si="153"/>
        <v>Old</v>
      </c>
      <c r="S746" t="s">
        <v>24</v>
      </c>
      <c r="T746">
        <v>3</v>
      </c>
      <c r="U746" t="s">
        <v>45</v>
      </c>
      <c r="V746">
        <v>3826.58</v>
      </c>
      <c r="W746" t="s">
        <v>26</v>
      </c>
      <c r="X746" t="s">
        <v>40</v>
      </c>
      <c r="Y746">
        <v>2</v>
      </c>
      <c r="Z746" t="str">
        <f t="shared" si="154"/>
        <v>Bad Employee</v>
      </c>
      <c r="AA746" t="b">
        <f t="shared" si="155"/>
        <v>0</v>
      </c>
      <c r="AB746" t="b">
        <f>OR(Y746&gt;20, T746&gt;6)</f>
        <v>0</v>
      </c>
      <c r="AC746" t="str">
        <f>IF(OR(Y746&gt;20,T746&gt;6), "Good employee", "Bad Employee")</f>
        <v>Bad Employee</v>
      </c>
      <c r="AD746" t="s">
        <v>41</v>
      </c>
      <c r="AE746" t="s">
        <v>48</v>
      </c>
      <c r="AF746">
        <v>1</v>
      </c>
      <c r="AG746">
        <v>2021</v>
      </c>
      <c r="AH746" t="s">
        <v>30</v>
      </c>
      <c r="AI746">
        <v>74</v>
      </c>
      <c r="AJ746">
        <v>4.9000000000000004</v>
      </c>
    </row>
    <row r="747" spans="1:36" x14ac:dyDescent="0.25">
      <c r="A747">
        <v>10746</v>
      </c>
      <c r="B747" t="s">
        <v>60</v>
      </c>
      <c r="C747" t="s">
        <v>63</v>
      </c>
      <c r="D747" t="s">
        <v>44</v>
      </c>
      <c r="E747" t="str">
        <f t="shared" si="143"/>
        <v>Jane Miller is in Sales Department</v>
      </c>
      <c r="F747" s="6" t="str">
        <f t="shared" si="144"/>
        <v>janemiller@gmail.com</v>
      </c>
      <c r="G747">
        <v>86901</v>
      </c>
      <c r="H747" t="str">
        <f t="shared" si="145"/>
        <v>High</v>
      </c>
      <c r="I747" s="3">
        <v>43736</v>
      </c>
      <c r="J747">
        <f t="shared" si="146"/>
        <v>2019</v>
      </c>
      <c r="K747">
        <f t="shared" si="147"/>
        <v>9</v>
      </c>
      <c r="L747">
        <f t="shared" si="148"/>
        <v>28</v>
      </c>
      <c r="M747" s="3">
        <f t="shared" ca="1" si="149"/>
        <v>46100</v>
      </c>
      <c r="N747">
        <f t="shared" ca="1" si="150"/>
        <v>2364</v>
      </c>
      <c r="O747">
        <f t="shared" ca="1" si="151"/>
        <v>2364</v>
      </c>
      <c r="P747">
        <f t="shared" ca="1" si="152"/>
        <v>1689</v>
      </c>
      <c r="Q747">
        <v>64</v>
      </c>
      <c r="R747" t="str">
        <f t="shared" si="153"/>
        <v>Old</v>
      </c>
      <c r="S747" t="s">
        <v>34</v>
      </c>
      <c r="T747">
        <v>9</v>
      </c>
      <c r="U747" t="s">
        <v>25</v>
      </c>
      <c r="V747">
        <v>6427.47</v>
      </c>
      <c r="W747" t="s">
        <v>26</v>
      </c>
      <c r="X747" t="s">
        <v>27</v>
      </c>
      <c r="Y747">
        <v>2</v>
      </c>
      <c r="Z747" t="str">
        <f t="shared" si="154"/>
        <v>Bad Employee</v>
      </c>
      <c r="AA747" t="b">
        <f t="shared" si="155"/>
        <v>0</v>
      </c>
      <c r="AB747" t="b">
        <f>OR(Y747&gt;20, T747&gt;6)</f>
        <v>1</v>
      </c>
      <c r="AC747" t="str">
        <f>IF(OR(Y747&gt;20,T747&gt;6), "Good employee", "Bad Employee")</f>
        <v>Good employee</v>
      </c>
      <c r="AD747" t="s">
        <v>56</v>
      </c>
      <c r="AE747" t="s">
        <v>42</v>
      </c>
      <c r="AF747">
        <v>18</v>
      </c>
      <c r="AG747">
        <v>2020</v>
      </c>
      <c r="AH747" t="s">
        <v>43</v>
      </c>
      <c r="AI747">
        <v>120</v>
      </c>
      <c r="AJ747">
        <v>2.6</v>
      </c>
    </row>
    <row r="748" spans="1:36" x14ac:dyDescent="0.25">
      <c r="A748">
        <v>10747</v>
      </c>
      <c r="B748" t="s">
        <v>50</v>
      </c>
      <c r="C748" t="s">
        <v>22</v>
      </c>
      <c r="D748" t="s">
        <v>54</v>
      </c>
      <c r="E748" t="str">
        <f t="shared" si="143"/>
        <v>Alex Williams is in Finance Department</v>
      </c>
      <c r="F748" s="6" t="str">
        <f t="shared" si="144"/>
        <v>alexwilliams@gmail.com</v>
      </c>
      <c r="G748">
        <v>41519</v>
      </c>
      <c r="H748" t="str">
        <f t="shared" si="145"/>
        <v>low</v>
      </c>
      <c r="I748" s="3">
        <v>36575</v>
      </c>
      <c r="J748">
        <f t="shared" si="146"/>
        <v>2000</v>
      </c>
      <c r="K748">
        <f t="shared" si="147"/>
        <v>2</v>
      </c>
      <c r="L748">
        <f t="shared" si="148"/>
        <v>19</v>
      </c>
      <c r="M748" s="3">
        <f t="shared" ca="1" si="149"/>
        <v>46100</v>
      </c>
      <c r="N748">
        <f t="shared" ca="1" si="150"/>
        <v>9525</v>
      </c>
      <c r="O748">
        <f t="shared" ca="1" si="151"/>
        <v>9525</v>
      </c>
      <c r="P748">
        <f t="shared" ca="1" si="152"/>
        <v>6804</v>
      </c>
      <c r="Q748">
        <v>39</v>
      </c>
      <c r="R748" t="str">
        <f t="shared" si="153"/>
        <v>Old</v>
      </c>
      <c r="S748" t="s">
        <v>34</v>
      </c>
      <c r="T748">
        <v>5</v>
      </c>
      <c r="U748" t="s">
        <v>45</v>
      </c>
      <c r="V748">
        <v>2327.16</v>
      </c>
      <c r="W748" t="s">
        <v>26</v>
      </c>
      <c r="X748" t="s">
        <v>40</v>
      </c>
      <c r="Y748">
        <v>27</v>
      </c>
      <c r="Z748" t="str">
        <f t="shared" si="154"/>
        <v>Bad Employee</v>
      </c>
      <c r="AA748" t="b">
        <f t="shared" si="155"/>
        <v>0</v>
      </c>
      <c r="AB748" t="b">
        <f>OR(Y748&gt;20, T748&gt;6)</f>
        <v>1</v>
      </c>
      <c r="AC748" t="str">
        <f>IF(OR(Y748&gt;20,T748&gt;6), "Good employee", "Bad Employee")</f>
        <v>Good employee</v>
      </c>
      <c r="AD748" t="s">
        <v>28</v>
      </c>
      <c r="AE748" t="s">
        <v>42</v>
      </c>
      <c r="AF748">
        <v>10</v>
      </c>
      <c r="AG748">
        <v>2010</v>
      </c>
      <c r="AH748" t="s">
        <v>43</v>
      </c>
      <c r="AI748">
        <v>123</v>
      </c>
      <c r="AJ748">
        <v>4.4000000000000004</v>
      </c>
    </row>
    <row r="749" spans="1:36" x14ac:dyDescent="0.25">
      <c r="A749">
        <v>10748</v>
      </c>
      <c r="B749" t="s">
        <v>21</v>
      </c>
      <c r="C749" t="s">
        <v>32</v>
      </c>
      <c r="D749" t="s">
        <v>39</v>
      </c>
      <c r="E749" t="str">
        <f t="shared" si="143"/>
        <v>Michael Wilson is in IT Department</v>
      </c>
      <c r="F749" s="6" t="str">
        <f t="shared" si="144"/>
        <v>michaelwilson@gmail.com</v>
      </c>
      <c r="G749">
        <v>61115</v>
      </c>
      <c r="H749" t="str">
        <f t="shared" si="145"/>
        <v>Medium</v>
      </c>
      <c r="I749" s="3">
        <v>37040</v>
      </c>
      <c r="J749">
        <f t="shared" si="146"/>
        <v>2001</v>
      </c>
      <c r="K749">
        <f t="shared" si="147"/>
        <v>5</v>
      </c>
      <c r="L749">
        <f t="shared" si="148"/>
        <v>29</v>
      </c>
      <c r="M749" s="3">
        <f t="shared" ca="1" si="149"/>
        <v>46100</v>
      </c>
      <c r="N749">
        <f t="shared" ca="1" si="150"/>
        <v>9060</v>
      </c>
      <c r="O749">
        <f t="shared" ca="1" si="151"/>
        <v>9060</v>
      </c>
      <c r="P749">
        <f t="shared" ca="1" si="152"/>
        <v>6473</v>
      </c>
      <c r="Q749">
        <v>30</v>
      </c>
      <c r="R749" t="str">
        <f t="shared" si="153"/>
        <v>Young</v>
      </c>
      <c r="S749" t="s">
        <v>24</v>
      </c>
      <c r="T749">
        <v>3</v>
      </c>
      <c r="U749" t="s">
        <v>45</v>
      </c>
      <c r="V749">
        <v>1909.66</v>
      </c>
      <c r="W749" t="s">
        <v>35</v>
      </c>
      <c r="X749" t="s">
        <v>27</v>
      </c>
      <c r="Y749">
        <v>39</v>
      </c>
      <c r="Z749" t="str">
        <f t="shared" si="154"/>
        <v>Bad Employee</v>
      </c>
      <c r="AA749" t="b">
        <f t="shared" si="155"/>
        <v>0</v>
      </c>
      <c r="AB749" t="b">
        <f>OR(Y749&gt;20, T749&gt;6)</f>
        <v>1</v>
      </c>
      <c r="AC749" t="str">
        <f>IF(OR(Y749&gt;20,T749&gt;6), "Good employee", "Bad Employee")</f>
        <v>Good employee</v>
      </c>
      <c r="AD749" t="s">
        <v>28</v>
      </c>
      <c r="AE749" t="s">
        <v>37</v>
      </c>
      <c r="AF749">
        <v>0</v>
      </c>
      <c r="AG749">
        <v>2012</v>
      </c>
      <c r="AH749" t="s">
        <v>30</v>
      </c>
      <c r="AI749">
        <v>143</v>
      </c>
      <c r="AJ749">
        <v>3.8</v>
      </c>
    </row>
    <row r="750" spans="1:36" x14ac:dyDescent="0.25">
      <c r="A750">
        <v>10749</v>
      </c>
      <c r="B750" t="s">
        <v>66</v>
      </c>
      <c r="C750" t="s">
        <v>63</v>
      </c>
      <c r="D750" t="s">
        <v>52</v>
      </c>
      <c r="E750" t="str">
        <f t="shared" si="143"/>
        <v>John Miller is in Operations Department</v>
      </c>
      <c r="F750" s="6" t="str">
        <f t="shared" si="144"/>
        <v>johnmiller@gmail.com</v>
      </c>
      <c r="G750">
        <v>96266</v>
      </c>
      <c r="H750" t="str">
        <f t="shared" si="145"/>
        <v>High</v>
      </c>
      <c r="I750" s="3">
        <v>39317</v>
      </c>
      <c r="J750">
        <f t="shared" si="146"/>
        <v>2007</v>
      </c>
      <c r="K750">
        <f t="shared" si="147"/>
        <v>8</v>
      </c>
      <c r="L750">
        <f t="shared" si="148"/>
        <v>23</v>
      </c>
      <c r="M750" s="3">
        <f t="shared" ca="1" si="149"/>
        <v>46100</v>
      </c>
      <c r="N750">
        <f t="shared" ca="1" si="150"/>
        <v>6783</v>
      </c>
      <c r="O750">
        <f t="shared" ca="1" si="151"/>
        <v>6783</v>
      </c>
      <c r="P750">
        <f t="shared" ca="1" si="152"/>
        <v>4846</v>
      </c>
      <c r="Q750">
        <v>26</v>
      </c>
      <c r="R750" t="str">
        <f t="shared" si="153"/>
        <v>Young</v>
      </c>
      <c r="S750" t="s">
        <v>34</v>
      </c>
      <c r="T750">
        <v>8</v>
      </c>
      <c r="U750" t="s">
        <v>45</v>
      </c>
      <c r="V750">
        <v>3284.27</v>
      </c>
      <c r="W750" t="s">
        <v>26</v>
      </c>
      <c r="X750" t="s">
        <v>27</v>
      </c>
      <c r="Y750">
        <v>36</v>
      </c>
      <c r="Z750" t="str">
        <f t="shared" si="154"/>
        <v>Good Employee</v>
      </c>
      <c r="AA750" t="b">
        <f t="shared" si="155"/>
        <v>1</v>
      </c>
      <c r="AB750" t="b">
        <f>OR(Y750&gt;20, T750&gt;6)</f>
        <v>1</v>
      </c>
      <c r="AC750" t="str">
        <f>IF(OR(Y750&gt;20,T750&gt;6), "Good employee", "Bad Employee")</f>
        <v>Good employee</v>
      </c>
      <c r="AD750" t="s">
        <v>41</v>
      </c>
      <c r="AE750" t="s">
        <v>59</v>
      </c>
      <c r="AF750">
        <v>0</v>
      </c>
      <c r="AG750">
        <v>2018</v>
      </c>
      <c r="AH750" t="s">
        <v>30</v>
      </c>
      <c r="AI750">
        <v>185</v>
      </c>
      <c r="AJ750">
        <v>3.4</v>
      </c>
    </row>
    <row r="751" spans="1:36" x14ac:dyDescent="0.25">
      <c r="A751">
        <v>10750</v>
      </c>
      <c r="B751" t="s">
        <v>60</v>
      </c>
      <c r="C751" t="s">
        <v>51</v>
      </c>
      <c r="D751" t="s">
        <v>33</v>
      </c>
      <c r="E751" t="str">
        <f t="shared" si="143"/>
        <v>Jane Brown is in Marketing Department</v>
      </c>
      <c r="F751" s="6" t="str">
        <f t="shared" si="144"/>
        <v>janebrown@gmail.com</v>
      </c>
      <c r="G751">
        <v>31832</v>
      </c>
      <c r="H751" t="str">
        <f t="shared" si="145"/>
        <v>extremely low</v>
      </c>
      <c r="I751" s="3">
        <v>39304</v>
      </c>
      <c r="J751">
        <f t="shared" si="146"/>
        <v>2007</v>
      </c>
      <c r="K751">
        <f t="shared" si="147"/>
        <v>8</v>
      </c>
      <c r="L751">
        <f t="shared" si="148"/>
        <v>10</v>
      </c>
      <c r="M751" s="3">
        <f t="shared" ca="1" si="149"/>
        <v>46100</v>
      </c>
      <c r="N751">
        <f t="shared" ca="1" si="150"/>
        <v>6796</v>
      </c>
      <c r="O751">
        <f t="shared" ca="1" si="151"/>
        <v>6796</v>
      </c>
      <c r="P751">
        <f t="shared" ca="1" si="152"/>
        <v>4855</v>
      </c>
      <c r="Q751">
        <v>25</v>
      </c>
      <c r="R751" t="str">
        <f t="shared" si="153"/>
        <v>Young</v>
      </c>
      <c r="S751" t="s">
        <v>34</v>
      </c>
      <c r="T751">
        <v>3</v>
      </c>
      <c r="U751" t="s">
        <v>45</v>
      </c>
      <c r="V751">
        <v>805.06</v>
      </c>
      <c r="W751" t="s">
        <v>26</v>
      </c>
      <c r="X751" t="s">
        <v>47</v>
      </c>
      <c r="Y751">
        <v>5</v>
      </c>
      <c r="Z751" t="str">
        <f t="shared" si="154"/>
        <v>Bad Employee</v>
      </c>
      <c r="AA751" t="b">
        <f t="shared" si="155"/>
        <v>0</v>
      </c>
      <c r="AB751" t="b">
        <f>OR(Y751&gt;20, T751&gt;6)</f>
        <v>0</v>
      </c>
      <c r="AC751" t="str">
        <f>IF(OR(Y751&gt;20,T751&gt;6), "Good employee", "Bad Employee")</f>
        <v>Bad Employee</v>
      </c>
      <c r="AD751" t="s">
        <v>28</v>
      </c>
      <c r="AE751" t="s">
        <v>37</v>
      </c>
      <c r="AF751">
        <v>7</v>
      </c>
      <c r="AG751">
        <v>2011</v>
      </c>
      <c r="AH751" t="s">
        <v>49</v>
      </c>
      <c r="AI751">
        <v>187</v>
      </c>
      <c r="AJ751">
        <v>4.8</v>
      </c>
    </row>
    <row r="752" spans="1:36" x14ac:dyDescent="0.25">
      <c r="A752">
        <v>10751</v>
      </c>
      <c r="B752" t="s">
        <v>53</v>
      </c>
      <c r="C752" t="s">
        <v>32</v>
      </c>
      <c r="D752" t="s">
        <v>44</v>
      </c>
      <c r="E752" t="str">
        <f t="shared" si="143"/>
        <v>Sarah Wilson is in Sales Department</v>
      </c>
      <c r="F752" s="6" t="str">
        <f t="shared" si="144"/>
        <v>sarahwilson@gmail.com</v>
      </c>
      <c r="G752">
        <v>71368</v>
      </c>
      <c r="H752" t="str">
        <f t="shared" si="145"/>
        <v>Medium</v>
      </c>
      <c r="I752" s="3">
        <v>39144</v>
      </c>
      <c r="J752">
        <f t="shared" si="146"/>
        <v>2007</v>
      </c>
      <c r="K752">
        <f t="shared" si="147"/>
        <v>3</v>
      </c>
      <c r="L752">
        <f t="shared" si="148"/>
        <v>3</v>
      </c>
      <c r="M752" s="3">
        <f t="shared" ca="1" si="149"/>
        <v>46100</v>
      </c>
      <c r="N752">
        <f t="shared" ca="1" si="150"/>
        <v>6956</v>
      </c>
      <c r="O752">
        <f t="shared" ca="1" si="151"/>
        <v>6956</v>
      </c>
      <c r="P752">
        <f t="shared" ca="1" si="152"/>
        <v>4969</v>
      </c>
      <c r="Q752">
        <v>50</v>
      </c>
      <c r="R752" t="str">
        <f t="shared" si="153"/>
        <v>Old</v>
      </c>
      <c r="S752" t="s">
        <v>24</v>
      </c>
      <c r="T752">
        <v>7</v>
      </c>
      <c r="U752" t="s">
        <v>25</v>
      </c>
      <c r="V752">
        <v>7562.52</v>
      </c>
      <c r="W752" t="s">
        <v>58</v>
      </c>
      <c r="X752" t="s">
        <v>36</v>
      </c>
      <c r="Y752">
        <v>1</v>
      </c>
      <c r="Z752" t="str">
        <f t="shared" si="154"/>
        <v>Bad Employee</v>
      </c>
      <c r="AA752" t="b">
        <f t="shared" si="155"/>
        <v>0</v>
      </c>
      <c r="AB752" t="b">
        <f>OR(Y752&gt;20, T752&gt;6)</f>
        <v>1</v>
      </c>
      <c r="AC752" t="str">
        <f>IF(OR(Y752&gt;20,T752&gt;6), "Good employee", "Bad Employee")</f>
        <v>Good employee</v>
      </c>
      <c r="AD752" t="s">
        <v>41</v>
      </c>
      <c r="AE752" t="s">
        <v>37</v>
      </c>
      <c r="AF752">
        <v>12</v>
      </c>
      <c r="AG752">
        <v>2021</v>
      </c>
      <c r="AH752" t="s">
        <v>49</v>
      </c>
      <c r="AI752">
        <v>83</v>
      </c>
      <c r="AJ752">
        <v>1.9</v>
      </c>
    </row>
    <row r="753" spans="1:36" x14ac:dyDescent="0.25">
      <c r="A753">
        <v>10752</v>
      </c>
      <c r="B753" t="s">
        <v>38</v>
      </c>
      <c r="C753" t="s">
        <v>63</v>
      </c>
      <c r="D753" t="s">
        <v>54</v>
      </c>
      <c r="E753" t="str">
        <f t="shared" si="143"/>
        <v>Chris Miller is in Finance Department</v>
      </c>
      <c r="F753" s="6" t="str">
        <f t="shared" si="144"/>
        <v>chrismiller@gmail.com</v>
      </c>
      <c r="G753">
        <v>118425</v>
      </c>
      <c r="H753" t="str">
        <f t="shared" si="145"/>
        <v>High</v>
      </c>
      <c r="I753" s="3">
        <v>38363</v>
      </c>
      <c r="J753">
        <f t="shared" si="146"/>
        <v>2005</v>
      </c>
      <c r="K753">
        <f t="shared" si="147"/>
        <v>1</v>
      </c>
      <c r="L753">
        <f t="shared" si="148"/>
        <v>11</v>
      </c>
      <c r="M753" s="3">
        <f t="shared" ca="1" si="149"/>
        <v>46100</v>
      </c>
      <c r="N753">
        <f t="shared" ca="1" si="150"/>
        <v>7737</v>
      </c>
      <c r="O753">
        <f t="shared" ca="1" si="151"/>
        <v>7737</v>
      </c>
      <c r="P753">
        <f t="shared" ca="1" si="152"/>
        <v>5528</v>
      </c>
      <c r="Q753">
        <v>22</v>
      </c>
      <c r="R753" t="str">
        <f t="shared" si="153"/>
        <v>Young</v>
      </c>
      <c r="S753" t="s">
        <v>24</v>
      </c>
      <c r="T753">
        <v>7</v>
      </c>
      <c r="U753" t="s">
        <v>45</v>
      </c>
      <c r="V753">
        <v>2957.8</v>
      </c>
      <c r="W753" t="s">
        <v>35</v>
      </c>
      <c r="X753" t="s">
        <v>27</v>
      </c>
      <c r="Y753">
        <v>22</v>
      </c>
      <c r="Z753" t="str">
        <f t="shared" si="154"/>
        <v>Good Employee</v>
      </c>
      <c r="AA753" t="b">
        <f t="shared" si="155"/>
        <v>1</v>
      </c>
      <c r="AB753" t="b">
        <f>OR(Y753&gt;20, T753&gt;6)</f>
        <v>1</v>
      </c>
      <c r="AC753" t="str">
        <f>IF(OR(Y753&gt;20,T753&gt;6), "Good employee", "Bad Employee")</f>
        <v>Good employee</v>
      </c>
      <c r="AD753" t="s">
        <v>28</v>
      </c>
      <c r="AE753" t="s">
        <v>62</v>
      </c>
      <c r="AF753">
        <v>7</v>
      </c>
      <c r="AG753">
        <v>2015</v>
      </c>
      <c r="AH753" t="s">
        <v>49</v>
      </c>
      <c r="AI753">
        <v>54</v>
      </c>
      <c r="AJ753">
        <v>2.8</v>
      </c>
    </row>
    <row r="754" spans="1:36" x14ac:dyDescent="0.25">
      <c r="A754">
        <v>10753</v>
      </c>
      <c r="B754" t="s">
        <v>60</v>
      </c>
      <c r="C754" t="s">
        <v>57</v>
      </c>
      <c r="D754" t="s">
        <v>23</v>
      </c>
      <c r="E754" t="str">
        <f t="shared" si="143"/>
        <v>Jane Davis is in HR Department</v>
      </c>
      <c r="F754" s="6" t="str">
        <f t="shared" si="144"/>
        <v>janedavis@gmail.com</v>
      </c>
      <c r="G754">
        <v>99715</v>
      </c>
      <c r="H754" t="str">
        <f t="shared" si="145"/>
        <v>High</v>
      </c>
      <c r="I754" s="3">
        <v>41197</v>
      </c>
      <c r="J754">
        <f t="shared" si="146"/>
        <v>2012</v>
      </c>
      <c r="K754">
        <f t="shared" si="147"/>
        <v>10</v>
      </c>
      <c r="L754">
        <f t="shared" si="148"/>
        <v>15</v>
      </c>
      <c r="M754" s="3">
        <f t="shared" ca="1" si="149"/>
        <v>46100</v>
      </c>
      <c r="N754">
        <f t="shared" ca="1" si="150"/>
        <v>4903</v>
      </c>
      <c r="O754">
        <f t="shared" ca="1" si="151"/>
        <v>4903</v>
      </c>
      <c r="P754">
        <f t="shared" ca="1" si="152"/>
        <v>3504</v>
      </c>
      <c r="Q754">
        <v>51</v>
      </c>
      <c r="R754" t="str">
        <f t="shared" si="153"/>
        <v>Old</v>
      </c>
      <c r="S754" t="s">
        <v>34</v>
      </c>
      <c r="T754">
        <v>7</v>
      </c>
      <c r="U754" t="s">
        <v>25</v>
      </c>
      <c r="V754">
        <v>1680.26</v>
      </c>
      <c r="W754" t="s">
        <v>58</v>
      </c>
      <c r="X754" t="s">
        <v>47</v>
      </c>
      <c r="Y754">
        <v>10</v>
      </c>
      <c r="Z754" t="str">
        <f t="shared" si="154"/>
        <v>Bad Employee</v>
      </c>
      <c r="AA754" t="b">
        <f t="shared" si="155"/>
        <v>0</v>
      </c>
      <c r="AB754" t="b">
        <f>OR(Y754&gt;20, T754&gt;6)</f>
        <v>1</v>
      </c>
      <c r="AC754" t="str">
        <f>IF(OR(Y754&gt;20,T754&gt;6), "Good employee", "Bad Employee")</f>
        <v>Good employee</v>
      </c>
      <c r="AD754" t="s">
        <v>28</v>
      </c>
      <c r="AE754" t="s">
        <v>62</v>
      </c>
      <c r="AF754">
        <v>1</v>
      </c>
      <c r="AG754">
        <v>2012</v>
      </c>
      <c r="AH754" t="s">
        <v>30</v>
      </c>
      <c r="AI754">
        <v>185</v>
      </c>
      <c r="AJ754">
        <v>4.5</v>
      </c>
    </row>
    <row r="755" spans="1:36" x14ac:dyDescent="0.25">
      <c r="A755">
        <v>10754</v>
      </c>
      <c r="B755" t="s">
        <v>60</v>
      </c>
      <c r="C755" t="s">
        <v>63</v>
      </c>
      <c r="D755" t="s">
        <v>23</v>
      </c>
      <c r="E755" t="str">
        <f t="shared" si="143"/>
        <v>Jane Miller is in HR Department</v>
      </c>
      <c r="F755" s="6" t="str">
        <f t="shared" si="144"/>
        <v>janemiller@gmail.com</v>
      </c>
      <c r="G755">
        <v>101835</v>
      </c>
      <c r="H755" t="str">
        <f t="shared" si="145"/>
        <v>High</v>
      </c>
      <c r="I755" s="3">
        <v>37691</v>
      </c>
      <c r="J755">
        <f t="shared" si="146"/>
        <v>2003</v>
      </c>
      <c r="K755">
        <f t="shared" si="147"/>
        <v>3</v>
      </c>
      <c r="L755">
        <f t="shared" si="148"/>
        <v>11</v>
      </c>
      <c r="M755" s="3">
        <f t="shared" ca="1" si="149"/>
        <v>46100</v>
      </c>
      <c r="N755">
        <f t="shared" ca="1" si="150"/>
        <v>8409</v>
      </c>
      <c r="O755">
        <f t="shared" ca="1" si="151"/>
        <v>8409</v>
      </c>
      <c r="P755">
        <f t="shared" ca="1" si="152"/>
        <v>6008</v>
      </c>
      <c r="Q755">
        <v>22</v>
      </c>
      <c r="R755" t="str">
        <f t="shared" si="153"/>
        <v>Young</v>
      </c>
      <c r="S755" t="s">
        <v>24</v>
      </c>
      <c r="T755">
        <v>1</v>
      </c>
      <c r="U755" t="s">
        <v>45</v>
      </c>
      <c r="V755">
        <v>7141.73</v>
      </c>
      <c r="W755" t="s">
        <v>46</v>
      </c>
      <c r="X755" t="s">
        <v>55</v>
      </c>
      <c r="Y755">
        <v>24</v>
      </c>
      <c r="Z755" t="str">
        <f t="shared" si="154"/>
        <v>Bad Employee</v>
      </c>
      <c r="AA755" t="b">
        <f t="shared" si="155"/>
        <v>0</v>
      </c>
      <c r="AB755" t="b">
        <f>OR(Y755&gt;20, T755&gt;6)</f>
        <v>1</v>
      </c>
      <c r="AC755" t="str">
        <f>IF(OR(Y755&gt;20,T755&gt;6), "Good employee", "Bad Employee")</f>
        <v>Good employee</v>
      </c>
      <c r="AD755" t="s">
        <v>41</v>
      </c>
      <c r="AE755" t="s">
        <v>42</v>
      </c>
      <c r="AF755">
        <v>7</v>
      </c>
      <c r="AG755">
        <v>2015</v>
      </c>
      <c r="AH755" t="s">
        <v>30</v>
      </c>
      <c r="AI755">
        <v>129</v>
      </c>
      <c r="AJ755">
        <v>3.2</v>
      </c>
    </row>
    <row r="756" spans="1:36" x14ac:dyDescent="0.25">
      <c r="A756">
        <v>10755</v>
      </c>
      <c r="B756" t="s">
        <v>60</v>
      </c>
      <c r="C756" t="s">
        <v>57</v>
      </c>
      <c r="D756" t="s">
        <v>39</v>
      </c>
      <c r="E756" t="str">
        <f t="shared" si="143"/>
        <v>Jane Davis is in IT Department</v>
      </c>
      <c r="F756" s="6" t="str">
        <f t="shared" si="144"/>
        <v>janedavis@gmail.com</v>
      </c>
      <c r="G756">
        <v>103366</v>
      </c>
      <c r="H756" t="str">
        <f t="shared" si="145"/>
        <v>High</v>
      </c>
      <c r="I756" s="3">
        <v>41524</v>
      </c>
      <c r="J756">
        <f t="shared" si="146"/>
        <v>2013</v>
      </c>
      <c r="K756">
        <f t="shared" si="147"/>
        <v>9</v>
      </c>
      <c r="L756">
        <f t="shared" si="148"/>
        <v>7</v>
      </c>
      <c r="M756" s="3">
        <f t="shared" ca="1" si="149"/>
        <v>46100</v>
      </c>
      <c r="N756">
        <f t="shared" ca="1" si="150"/>
        <v>4576</v>
      </c>
      <c r="O756">
        <f t="shared" ca="1" si="151"/>
        <v>4576</v>
      </c>
      <c r="P756">
        <f t="shared" ca="1" si="152"/>
        <v>3269</v>
      </c>
      <c r="Q756">
        <v>24</v>
      </c>
      <c r="R756" t="str">
        <f t="shared" si="153"/>
        <v>Young</v>
      </c>
      <c r="S756" t="s">
        <v>34</v>
      </c>
      <c r="T756">
        <v>5</v>
      </c>
      <c r="U756" t="s">
        <v>25</v>
      </c>
      <c r="V756">
        <v>8507.82</v>
      </c>
      <c r="W756" t="s">
        <v>26</v>
      </c>
      <c r="X756" t="s">
        <v>27</v>
      </c>
      <c r="Y756">
        <v>15</v>
      </c>
      <c r="Z756" t="str">
        <f t="shared" si="154"/>
        <v>Bad Employee</v>
      </c>
      <c r="AA756" t="b">
        <f t="shared" si="155"/>
        <v>0</v>
      </c>
      <c r="AB756" t="b">
        <f>OR(Y756&gt;20, T756&gt;6)</f>
        <v>0</v>
      </c>
      <c r="AC756" t="str">
        <f>IF(OR(Y756&gt;20,T756&gt;6), "Good employee", "Bad Employee")</f>
        <v>Bad Employee</v>
      </c>
      <c r="AD756" t="s">
        <v>41</v>
      </c>
      <c r="AE756" t="s">
        <v>29</v>
      </c>
      <c r="AF756">
        <v>13</v>
      </c>
      <c r="AG756">
        <v>2020</v>
      </c>
      <c r="AH756" t="s">
        <v>30</v>
      </c>
      <c r="AI756">
        <v>59</v>
      </c>
      <c r="AJ756">
        <v>2</v>
      </c>
    </row>
    <row r="757" spans="1:36" x14ac:dyDescent="0.25">
      <c r="A757">
        <v>10756</v>
      </c>
      <c r="B757" t="s">
        <v>64</v>
      </c>
      <c r="C757" t="s">
        <v>61</v>
      </c>
      <c r="D757" t="s">
        <v>33</v>
      </c>
      <c r="E757" t="str">
        <f t="shared" si="143"/>
        <v>Katie Smith is in Marketing Department</v>
      </c>
      <c r="F757" s="6" t="str">
        <f t="shared" si="144"/>
        <v>katiesmith@gmail.com</v>
      </c>
      <c r="G757">
        <v>67570</v>
      </c>
      <c r="H757" t="str">
        <f t="shared" si="145"/>
        <v>Medium</v>
      </c>
      <c r="I757" s="3">
        <v>38775</v>
      </c>
      <c r="J757">
        <f t="shared" si="146"/>
        <v>2006</v>
      </c>
      <c r="K757">
        <f t="shared" si="147"/>
        <v>2</v>
      </c>
      <c r="L757">
        <f t="shared" si="148"/>
        <v>27</v>
      </c>
      <c r="M757" s="3">
        <f t="shared" ca="1" si="149"/>
        <v>46100</v>
      </c>
      <c r="N757">
        <f t="shared" ca="1" si="150"/>
        <v>7325</v>
      </c>
      <c r="O757">
        <f t="shared" ca="1" si="151"/>
        <v>7325</v>
      </c>
      <c r="P757">
        <f t="shared" ca="1" si="152"/>
        <v>5234</v>
      </c>
      <c r="Q757">
        <v>43</v>
      </c>
      <c r="R757" t="str">
        <f t="shared" si="153"/>
        <v>Old</v>
      </c>
      <c r="S757" t="s">
        <v>24</v>
      </c>
      <c r="T757">
        <v>1</v>
      </c>
      <c r="U757" t="s">
        <v>45</v>
      </c>
      <c r="V757">
        <v>688.82</v>
      </c>
      <c r="W757" t="s">
        <v>46</v>
      </c>
      <c r="X757" t="s">
        <v>36</v>
      </c>
      <c r="Y757">
        <v>33</v>
      </c>
      <c r="Z757" t="str">
        <f t="shared" si="154"/>
        <v>Bad Employee</v>
      </c>
      <c r="AA757" t="b">
        <f t="shared" si="155"/>
        <v>0</v>
      </c>
      <c r="AB757" t="b">
        <f>OR(Y757&gt;20, T757&gt;6)</f>
        <v>1</v>
      </c>
      <c r="AC757" t="str">
        <f>IF(OR(Y757&gt;20,T757&gt;6), "Good employee", "Bad Employee")</f>
        <v>Good employee</v>
      </c>
      <c r="AD757" t="s">
        <v>56</v>
      </c>
      <c r="AE757" t="s">
        <v>48</v>
      </c>
      <c r="AF757">
        <v>1</v>
      </c>
      <c r="AG757">
        <v>2020</v>
      </c>
      <c r="AH757" t="s">
        <v>49</v>
      </c>
      <c r="AI757">
        <v>96</v>
      </c>
      <c r="AJ757">
        <v>1.8</v>
      </c>
    </row>
    <row r="758" spans="1:36" x14ac:dyDescent="0.25">
      <c r="A758">
        <v>10757</v>
      </c>
      <c r="B758" t="s">
        <v>60</v>
      </c>
      <c r="C758" t="s">
        <v>22</v>
      </c>
      <c r="D758" t="s">
        <v>23</v>
      </c>
      <c r="E758" t="str">
        <f t="shared" si="143"/>
        <v>Jane Williams is in HR Department</v>
      </c>
      <c r="F758" s="6" t="str">
        <f t="shared" si="144"/>
        <v>janewilliams@gmail.com</v>
      </c>
      <c r="G758">
        <v>117977</v>
      </c>
      <c r="H758" t="str">
        <f t="shared" si="145"/>
        <v>High</v>
      </c>
      <c r="I758" s="3">
        <v>42876</v>
      </c>
      <c r="J758">
        <f t="shared" si="146"/>
        <v>2017</v>
      </c>
      <c r="K758">
        <f t="shared" si="147"/>
        <v>5</v>
      </c>
      <c r="L758">
        <f t="shared" si="148"/>
        <v>21</v>
      </c>
      <c r="M758" s="3">
        <f t="shared" ca="1" si="149"/>
        <v>46100</v>
      </c>
      <c r="N758">
        <f t="shared" ca="1" si="150"/>
        <v>3224</v>
      </c>
      <c r="O758">
        <f t="shared" ca="1" si="151"/>
        <v>3224</v>
      </c>
      <c r="P758">
        <f t="shared" ca="1" si="152"/>
        <v>2304</v>
      </c>
      <c r="Q758">
        <v>29</v>
      </c>
      <c r="R758" t="str">
        <f t="shared" si="153"/>
        <v>Young</v>
      </c>
      <c r="S758" t="s">
        <v>24</v>
      </c>
      <c r="T758">
        <v>7</v>
      </c>
      <c r="U758" t="s">
        <v>25</v>
      </c>
      <c r="V758">
        <v>2719.2</v>
      </c>
      <c r="W758" t="s">
        <v>26</v>
      </c>
      <c r="X758" t="s">
        <v>55</v>
      </c>
      <c r="Y758">
        <v>23</v>
      </c>
      <c r="Z758" t="str">
        <f t="shared" si="154"/>
        <v>Good Employee</v>
      </c>
      <c r="AA758" t="b">
        <f t="shared" si="155"/>
        <v>1</v>
      </c>
      <c r="AB758" t="b">
        <f>OR(Y758&gt;20, T758&gt;6)</f>
        <v>1</v>
      </c>
      <c r="AC758" t="str">
        <f>IF(OR(Y758&gt;20,T758&gt;6), "Good employee", "Bad Employee")</f>
        <v>Good employee</v>
      </c>
      <c r="AD758" t="s">
        <v>28</v>
      </c>
      <c r="AE758" t="s">
        <v>59</v>
      </c>
      <c r="AF758">
        <v>12</v>
      </c>
      <c r="AG758">
        <v>2016</v>
      </c>
      <c r="AH758" t="s">
        <v>43</v>
      </c>
      <c r="AI758">
        <v>7</v>
      </c>
      <c r="AJ758">
        <v>4</v>
      </c>
    </row>
    <row r="759" spans="1:36" x14ac:dyDescent="0.25">
      <c r="A759">
        <v>10758</v>
      </c>
      <c r="B759" t="s">
        <v>50</v>
      </c>
      <c r="C759" t="s">
        <v>32</v>
      </c>
      <c r="D759" t="s">
        <v>39</v>
      </c>
      <c r="E759" t="str">
        <f t="shared" si="143"/>
        <v>Alex Wilson is in IT Department</v>
      </c>
      <c r="F759" s="6" t="str">
        <f t="shared" si="144"/>
        <v>alexwilson@gmail.com</v>
      </c>
      <c r="G759">
        <v>36615</v>
      </c>
      <c r="H759" t="str">
        <f t="shared" si="145"/>
        <v>extremely low</v>
      </c>
      <c r="I759" s="3">
        <v>36940</v>
      </c>
      <c r="J759">
        <f t="shared" si="146"/>
        <v>2001</v>
      </c>
      <c r="K759">
        <f t="shared" si="147"/>
        <v>2</v>
      </c>
      <c r="L759">
        <f t="shared" si="148"/>
        <v>18</v>
      </c>
      <c r="M759" s="3">
        <f t="shared" ca="1" si="149"/>
        <v>46100</v>
      </c>
      <c r="N759">
        <f t="shared" ca="1" si="150"/>
        <v>9160</v>
      </c>
      <c r="O759">
        <f t="shared" ca="1" si="151"/>
        <v>9160</v>
      </c>
      <c r="P759">
        <f t="shared" ca="1" si="152"/>
        <v>6544</v>
      </c>
      <c r="Q759">
        <v>39</v>
      </c>
      <c r="R759" t="str">
        <f t="shared" si="153"/>
        <v>Old</v>
      </c>
      <c r="S759" t="s">
        <v>34</v>
      </c>
      <c r="T759">
        <v>8</v>
      </c>
      <c r="U759" t="s">
        <v>25</v>
      </c>
      <c r="V759">
        <v>9479.7099999999991</v>
      </c>
      <c r="W759" t="s">
        <v>46</v>
      </c>
      <c r="X759" t="s">
        <v>27</v>
      </c>
      <c r="Y759">
        <v>14</v>
      </c>
      <c r="Z759" t="str">
        <f t="shared" si="154"/>
        <v>Bad Employee</v>
      </c>
      <c r="AA759" t="b">
        <f t="shared" si="155"/>
        <v>0</v>
      </c>
      <c r="AB759" t="b">
        <f>OR(Y759&gt;20, T759&gt;6)</f>
        <v>1</v>
      </c>
      <c r="AC759" t="str">
        <f>IF(OR(Y759&gt;20,T759&gt;6), "Good employee", "Bad Employee")</f>
        <v>Good employee</v>
      </c>
      <c r="AD759" t="s">
        <v>56</v>
      </c>
      <c r="AE759" t="s">
        <v>48</v>
      </c>
      <c r="AF759">
        <v>4</v>
      </c>
      <c r="AG759">
        <v>2022</v>
      </c>
      <c r="AH759" t="s">
        <v>43</v>
      </c>
      <c r="AI759">
        <v>124</v>
      </c>
      <c r="AJ759">
        <v>1.1000000000000001</v>
      </c>
    </row>
    <row r="760" spans="1:36" x14ac:dyDescent="0.25">
      <c r="A760">
        <v>10759</v>
      </c>
      <c r="B760" t="s">
        <v>66</v>
      </c>
      <c r="C760" t="s">
        <v>32</v>
      </c>
      <c r="D760" t="s">
        <v>52</v>
      </c>
      <c r="E760" t="str">
        <f t="shared" si="143"/>
        <v>John Wilson is in Operations Department</v>
      </c>
      <c r="F760" s="6" t="str">
        <f t="shared" si="144"/>
        <v>johnwilson@gmail.com</v>
      </c>
      <c r="G760">
        <v>102298</v>
      </c>
      <c r="H760" t="str">
        <f t="shared" si="145"/>
        <v>High</v>
      </c>
      <c r="I760" s="3">
        <v>38794</v>
      </c>
      <c r="J760">
        <f t="shared" si="146"/>
        <v>2006</v>
      </c>
      <c r="K760">
        <f t="shared" si="147"/>
        <v>3</v>
      </c>
      <c r="L760">
        <f t="shared" si="148"/>
        <v>18</v>
      </c>
      <c r="M760" s="3">
        <f t="shared" ca="1" si="149"/>
        <v>46100</v>
      </c>
      <c r="N760">
        <f t="shared" ca="1" si="150"/>
        <v>7306</v>
      </c>
      <c r="O760">
        <f t="shared" ca="1" si="151"/>
        <v>7306</v>
      </c>
      <c r="P760">
        <f t="shared" ca="1" si="152"/>
        <v>5219</v>
      </c>
      <c r="Q760">
        <v>46</v>
      </c>
      <c r="R760" t="str">
        <f t="shared" si="153"/>
        <v>Old</v>
      </c>
      <c r="S760" t="s">
        <v>34</v>
      </c>
      <c r="T760">
        <v>7</v>
      </c>
      <c r="U760" t="s">
        <v>45</v>
      </c>
      <c r="V760">
        <v>4159.91</v>
      </c>
      <c r="W760" t="s">
        <v>58</v>
      </c>
      <c r="X760" t="s">
        <v>27</v>
      </c>
      <c r="Y760">
        <v>18</v>
      </c>
      <c r="Z760" t="str">
        <f t="shared" si="154"/>
        <v>Bad Employee</v>
      </c>
      <c r="AA760" t="b">
        <f t="shared" si="155"/>
        <v>0</v>
      </c>
      <c r="AB760" t="b">
        <f>OR(Y760&gt;20, T760&gt;6)</f>
        <v>1</v>
      </c>
      <c r="AC760" t="str">
        <f>IF(OR(Y760&gt;20,T760&gt;6), "Good employee", "Bad Employee")</f>
        <v>Good employee</v>
      </c>
      <c r="AD760" t="s">
        <v>56</v>
      </c>
      <c r="AE760" t="s">
        <v>59</v>
      </c>
      <c r="AF760">
        <v>0</v>
      </c>
      <c r="AG760">
        <v>2022</v>
      </c>
      <c r="AH760" t="s">
        <v>43</v>
      </c>
      <c r="AI760">
        <v>148</v>
      </c>
      <c r="AJ760">
        <v>4.7</v>
      </c>
    </row>
    <row r="761" spans="1:36" x14ac:dyDescent="0.25">
      <c r="A761">
        <v>10760</v>
      </c>
      <c r="B761" t="s">
        <v>21</v>
      </c>
      <c r="C761" t="s">
        <v>65</v>
      </c>
      <c r="D761" t="s">
        <v>39</v>
      </c>
      <c r="E761" t="str">
        <f t="shared" si="143"/>
        <v>Michael Johnson is in IT Department</v>
      </c>
      <c r="F761" s="6" t="str">
        <f t="shared" si="144"/>
        <v>michaeljohnson@gmail.com</v>
      </c>
      <c r="G761">
        <v>68311</v>
      </c>
      <c r="H761" t="str">
        <f t="shared" si="145"/>
        <v>Medium</v>
      </c>
      <c r="I761" s="3">
        <v>43427</v>
      </c>
      <c r="J761">
        <f t="shared" si="146"/>
        <v>2018</v>
      </c>
      <c r="K761">
        <f t="shared" si="147"/>
        <v>11</v>
      </c>
      <c r="L761">
        <f t="shared" si="148"/>
        <v>23</v>
      </c>
      <c r="M761" s="3">
        <f t="shared" ca="1" si="149"/>
        <v>46100</v>
      </c>
      <c r="N761">
        <f t="shared" ca="1" si="150"/>
        <v>2673</v>
      </c>
      <c r="O761">
        <f t="shared" ca="1" si="151"/>
        <v>2673</v>
      </c>
      <c r="P761">
        <f t="shared" ca="1" si="152"/>
        <v>1910</v>
      </c>
      <c r="Q761">
        <v>41</v>
      </c>
      <c r="R761" t="str">
        <f t="shared" si="153"/>
        <v>Old</v>
      </c>
      <c r="S761" t="s">
        <v>24</v>
      </c>
      <c r="T761">
        <v>1</v>
      </c>
      <c r="U761" t="s">
        <v>45</v>
      </c>
      <c r="V761">
        <v>9416.6200000000008</v>
      </c>
      <c r="W761" t="s">
        <v>35</v>
      </c>
      <c r="X761" t="s">
        <v>36</v>
      </c>
      <c r="Y761">
        <v>25</v>
      </c>
      <c r="Z761" t="str">
        <f t="shared" si="154"/>
        <v>Bad Employee</v>
      </c>
      <c r="AA761" t="b">
        <f t="shared" si="155"/>
        <v>0</v>
      </c>
      <c r="AB761" t="b">
        <f>OR(Y761&gt;20, T761&gt;6)</f>
        <v>1</v>
      </c>
      <c r="AC761" t="str">
        <f>IF(OR(Y761&gt;20,T761&gt;6), "Good employee", "Bad Employee")</f>
        <v>Good employee</v>
      </c>
      <c r="AD761" t="s">
        <v>41</v>
      </c>
      <c r="AE761" t="s">
        <v>59</v>
      </c>
      <c r="AF761">
        <v>8</v>
      </c>
      <c r="AG761">
        <v>2016</v>
      </c>
      <c r="AH761" t="s">
        <v>30</v>
      </c>
      <c r="AI761">
        <v>177</v>
      </c>
      <c r="AJ761">
        <v>1.1000000000000001</v>
      </c>
    </row>
    <row r="762" spans="1:36" x14ac:dyDescent="0.25">
      <c r="A762">
        <v>10761</v>
      </c>
      <c r="B762" t="s">
        <v>31</v>
      </c>
      <c r="C762" t="s">
        <v>65</v>
      </c>
      <c r="D762" t="s">
        <v>39</v>
      </c>
      <c r="E762" t="str">
        <f t="shared" si="143"/>
        <v>Emily Johnson is in IT Department</v>
      </c>
      <c r="F762" s="6" t="str">
        <f t="shared" si="144"/>
        <v>emilyjohnson@gmail.com</v>
      </c>
      <c r="G762">
        <v>53434</v>
      </c>
      <c r="H762" t="str">
        <f t="shared" si="145"/>
        <v>Medium</v>
      </c>
      <c r="I762" s="3">
        <v>37630</v>
      </c>
      <c r="J762">
        <f t="shared" si="146"/>
        <v>2003</v>
      </c>
      <c r="K762">
        <f t="shared" si="147"/>
        <v>1</v>
      </c>
      <c r="L762">
        <f t="shared" si="148"/>
        <v>9</v>
      </c>
      <c r="M762" s="3">
        <f t="shared" ca="1" si="149"/>
        <v>46100</v>
      </c>
      <c r="N762">
        <f t="shared" ca="1" si="150"/>
        <v>8470</v>
      </c>
      <c r="O762">
        <f t="shared" ca="1" si="151"/>
        <v>8470</v>
      </c>
      <c r="P762">
        <f t="shared" ca="1" si="152"/>
        <v>6051</v>
      </c>
      <c r="Q762">
        <v>52</v>
      </c>
      <c r="R762" t="str">
        <f t="shared" si="153"/>
        <v>Old</v>
      </c>
      <c r="S762" t="s">
        <v>34</v>
      </c>
      <c r="T762">
        <v>3</v>
      </c>
      <c r="U762" t="s">
        <v>25</v>
      </c>
      <c r="V762">
        <v>3105.02</v>
      </c>
      <c r="W762" t="s">
        <v>46</v>
      </c>
      <c r="X762" t="s">
        <v>40</v>
      </c>
      <c r="Y762">
        <v>22</v>
      </c>
      <c r="Z762" t="str">
        <f t="shared" si="154"/>
        <v>Bad Employee</v>
      </c>
      <c r="AA762" t="b">
        <f t="shared" si="155"/>
        <v>0</v>
      </c>
      <c r="AB762" t="b">
        <f>OR(Y762&gt;20, T762&gt;6)</f>
        <v>1</v>
      </c>
      <c r="AC762" t="str">
        <f>IF(OR(Y762&gt;20,T762&gt;6), "Good employee", "Bad Employee")</f>
        <v>Good employee</v>
      </c>
      <c r="AD762" t="s">
        <v>28</v>
      </c>
      <c r="AE762" t="s">
        <v>37</v>
      </c>
      <c r="AF762">
        <v>19</v>
      </c>
      <c r="AG762">
        <v>2023</v>
      </c>
      <c r="AH762" t="s">
        <v>43</v>
      </c>
      <c r="AI762">
        <v>85</v>
      </c>
      <c r="AJ762">
        <v>3.5</v>
      </c>
    </row>
    <row r="763" spans="1:36" x14ac:dyDescent="0.25">
      <c r="A763">
        <v>10762</v>
      </c>
      <c r="B763" t="s">
        <v>60</v>
      </c>
      <c r="C763" t="s">
        <v>22</v>
      </c>
      <c r="D763" t="s">
        <v>39</v>
      </c>
      <c r="E763" t="str">
        <f t="shared" si="143"/>
        <v>Jane Williams is in IT Department</v>
      </c>
      <c r="F763" s="6" t="str">
        <f t="shared" si="144"/>
        <v>janewilliams@gmail.com</v>
      </c>
      <c r="G763">
        <v>116879</v>
      </c>
      <c r="H763" t="str">
        <f t="shared" si="145"/>
        <v>High</v>
      </c>
      <c r="I763" s="3">
        <v>41384</v>
      </c>
      <c r="J763">
        <f t="shared" si="146"/>
        <v>2013</v>
      </c>
      <c r="K763">
        <f t="shared" si="147"/>
        <v>4</v>
      </c>
      <c r="L763">
        <f t="shared" si="148"/>
        <v>20</v>
      </c>
      <c r="M763" s="3">
        <f t="shared" ca="1" si="149"/>
        <v>46100</v>
      </c>
      <c r="N763">
        <f t="shared" ca="1" si="150"/>
        <v>4716</v>
      </c>
      <c r="O763">
        <f t="shared" ca="1" si="151"/>
        <v>4716</v>
      </c>
      <c r="P763">
        <f t="shared" ca="1" si="152"/>
        <v>3369</v>
      </c>
      <c r="Q763">
        <v>51</v>
      </c>
      <c r="R763" t="str">
        <f t="shared" si="153"/>
        <v>Old</v>
      </c>
      <c r="S763" t="s">
        <v>34</v>
      </c>
      <c r="T763">
        <v>3</v>
      </c>
      <c r="U763" t="s">
        <v>25</v>
      </c>
      <c r="V763">
        <v>2571.64</v>
      </c>
      <c r="W763" t="s">
        <v>58</v>
      </c>
      <c r="X763" t="s">
        <v>36</v>
      </c>
      <c r="Y763">
        <v>37</v>
      </c>
      <c r="Z763" t="str">
        <f t="shared" si="154"/>
        <v>Bad Employee</v>
      </c>
      <c r="AA763" t="b">
        <f t="shared" si="155"/>
        <v>0</v>
      </c>
      <c r="AB763" t="b">
        <f>OR(Y763&gt;20, T763&gt;6)</f>
        <v>1</v>
      </c>
      <c r="AC763" t="str">
        <f>IF(OR(Y763&gt;20,T763&gt;6), "Good employee", "Bad Employee")</f>
        <v>Good employee</v>
      </c>
      <c r="AD763" t="s">
        <v>41</v>
      </c>
      <c r="AE763" t="s">
        <v>42</v>
      </c>
      <c r="AF763">
        <v>9</v>
      </c>
      <c r="AG763">
        <v>2011</v>
      </c>
      <c r="AH763" t="s">
        <v>43</v>
      </c>
      <c r="AI763">
        <v>168</v>
      </c>
      <c r="AJ763">
        <v>3.4</v>
      </c>
    </row>
    <row r="764" spans="1:36" x14ac:dyDescent="0.25">
      <c r="A764">
        <v>10763</v>
      </c>
      <c r="B764" t="s">
        <v>38</v>
      </c>
      <c r="C764" t="s">
        <v>65</v>
      </c>
      <c r="D764" t="s">
        <v>54</v>
      </c>
      <c r="E764" t="str">
        <f t="shared" si="143"/>
        <v>Chris Johnson is in Finance Department</v>
      </c>
      <c r="F764" s="6" t="str">
        <f t="shared" si="144"/>
        <v>chrisjohnson@gmail.com</v>
      </c>
      <c r="G764">
        <v>45739</v>
      </c>
      <c r="H764" t="str">
        <f t="shared" si="145"/>
        <v>low</v>
      </c>
      <c r="I764" s="3">
        <v>41184</v>
      </c>
      <c r="J764">
        <f t="shared" si="146"/>
        <v>2012</v>
      </c>
      <c r="K764">
        <f t="shared" si="147"/>
        <v>10</v>
      </c>
      <c r="L764">
        <f t="shared" si="148"/>
        <v>2</v>
      </c>
      <c r="M764" s="3">
        <f t="shared" ca="1" si="149"/>
        <v>46100</v>
      </c>
      <c r="N764">
        <f t="shared" ca="1" si="150"/>
        <v>4916</v>
      </c>
      <c r="O764">
        <f t="shared" ca="1" si="151"/>
        <v>4916</v>
      </c>
      <c r="P764">
        <f t="shared" ca="1" si="152"/>
        <v>3513</v>
      </c>
      <c r="Q764">
        <v>37</v>
      </c>
      <c r="R764" t="str">
        <f t="shared" si="153"/>
        <v>Old</v>
      </c>
      <c r="S764" t="s">
        <v>34</v>
      </c>
      <c r="T764">
        <v>7</v>
      </c>
      <c r="U764" t="s">
        <v>25</v>
      </c>
      <c r="V764">
        <v>2534.0300000000002</v>
      </c>
      <c r="W764" t="s">
        <v>46</v>
      </c>
      <c r="X764" t="s">
        <v>47</v>
      </c>
      <c r="Y764">
        <v>7</v>
      </c>
      <c r="Z764" t="str">
        <f t="shared" si="154"/>
        <v>Bad Employee</v>
      </c>
      <c r="AA764" t="b">
        <f t="shared" si="155"/>
        <v>0</v>
      </c>
      <c r="AB764" t="b">
        <f>OR(Y764&gt;20, T764&gt;6)</f>
        <v>1</v>
      </c>
      <c r="AC764" t="str">
        <f>IF(OR(Y764&gt;20,T764&gt;6), "Good employee", "Bad Employee")</f>
        <v>Good employee</v>
      </c>
      <c r="AD764" t="s">
        <v>28</v>
      </c>
      <c r="AE764" t="s">
        <v>48</v>
      </c>
      <c r="AF764">
        <v>10</v>
      </c>
      <c r="AG764">
        <v>2012</v>
      </c>
      <c r="AH764" t="s">
        <v>30</v>
      </c>
      <c r="AI764">
        <v>23</v>
      </c>
      <c r="AJ764">
        <v>3.3</v>
      </c>
    </row>
    <row r="765" spans="1:36" x14ac:dyDescent="0.25">
      <c r="A765">
        <v>10764</v>
      </c>
      <c r="B765" t="s">
        <v>60</v>
      </c>
      <c r="C765" t="s">
        <v>32</v>
      </c>
      <c r="D765" t="s">
        <v>39</v>
      </c>
      <c r="E765" t="str">
        <f t="shared" si="143"/>
        <v>Jane Wilson is in IT Department</v>
      </c>
      <c r="F765" s="6" t="str">
        <f t="shared" si="144"/>
        <v>janewilson@gmail.com</v>
      </c>
      <c r="G765">
        <v>96202</v>
      </c>
      <c r="H765" t="str">
        <f t="shared" si="145"/>
        <v>High</v>
      </c>
      <c r="I765" s="3">
        <v>39882</v>
      </c>
      <c r="J765">
        <f t="shared" si="146"/>
        <v>2009</v>
      </c>
      <c r="K765">
        <f t="shared" si="147"/>
        <v>3</v>
      </c>
      <c r="L765">
        <f t="shared" si="148"/>
        <v>10</v>
      </c>
      <c r="M765" s="3">
        <f t="shared" ca="1" si="149"/>
        <v>46100</v>
      </c>
      <c r="N765">
        <f t="shared" ca="1" si="150"/>
        <v>6218</v>
      </c>
      <c r="O765">
        <f t="shared" ca="1" si="151"/>
        <v>6218</v>
      </c>
      <c r="P765">
        <f t="shared" ca="1" si="152"/>
        <v>4443</v>
      </c>
      <c r="Q765">
        <v>23</v>
      </c>
      <c r="R765" t="str">
        <f t="shared" si="153"/>
        <v>Young</v>
      </c>
      <c r="S765" t="s">
        <v>24</v>
      </c>
      <c r="T765">
        <v>4</v>
      </c>
      <c r="U765" t="s">
        <v>25</v>
      </c>
      <c r="V765">
        <v>1309.67</v>
      </c>
      <c r="W765" t="s">
        <v>46</v>
      </c>
      <c r="X765" t="s">
        <v>47</v>
      </c>
      <c r="Y765">
        <v>26</v>
      </c>
      <c r="Z765" t="str">
        <f t="shared" si="154"/>
        <v>Bad Employee</v>
      </c>
      <c r="AA765" t="b">
        <f t="shared" si="155"/>
        <v>0</v>
      </c>
      <c r="AB765" t="b">
        <f>OR(Y765&gt;20, T765&gt;6)</f>
        <v>1</v>
      </c>
      <c r="AC765" t="str">
        <f>IF(OR(Y765&gt;20,T765&gt;6), "Good employee", "Bad Employee")</f>
        <v>Good employee</v>
      </c>
      <c r="AD765" t="s">
        <v>41</v>
      </c>
      <c r="AE765" t="s">
        <v>48</v>
      </c>
      <c r="AF765">
        <v>17</v>
      </c>
      <c r="AG765">
        <v>2013</v>
      </c>
      <c r="AH765" t="s">
        <v>30</v>
      </c>
      <c r="AI765">
        <v>136</v>
      </c>
      <c r="AJ765">
        <v>2.9</v>
      </c>
    </row>
    <row r="766" spans="1:36" x14ac:dyDescent="0.25">
      <c r="A766">
        <v>10765</v>
      </c>
      <c r="B766" t="s">
        <v>38</v>
      </c>
      <c r="C766" t="s">
        <v>63</v>
      </c>
      <c r="D766" t="s">
        <v>44</v>
      </c>
      <c r="E766" t="str">
        <f t="shared" si="143"/>
        <v>Chris Miller is in Sales Department</v>
      </c>
      <c r="F766" s="6" t="str">
        <f t="shared" si="144"/>
        <v>chrismiller@gmail.com</v>
      </c>
      <c r="G766">
        <v>109599</v>
      </c>
      <c r="H766" t="str">
        <f t="shared" si="145"/>
        <v>High</v>
      </c>
      <c r="I766" s="3">
        <v>38942</v>
      </c>
      <c r="J766">
        <f t="shared" si="146"/>
        <v>2006</v>
      </c>
      <c r="K766">
        <f t="shared" si="147"/>
        <v>8</v>
      </c>
      <c r="L766">
        <f t="shared" si="148"/>
        <v>13</v>
      </c>
      <c r="M766" s="3">
        <f t="shared" ca="1" si="149"/>
        <v>46100</v>
      </c>
      <c r="N766">
        <f t="shared" ca="1" si="150"/>
        <v>7158</v>
      </c>
      <c r="O766">
        <f t="shared" ca="1" si="151"/>
        <v>7158</v>
      </c>
      <c r="P766">
        <f t="shared" ca="1" si="152"/>
        <v>5114</v>
      </c>
      <c r="Q766">
        <v>38</v>
      </c>
      <c r="R766" t="str">
        <f t="shared" si="153"/>
        <v>Old</v>
      </c>
      <c r="S766" t="s">
        <v>34</v>
      </c>
      <c r="T766">
        <v>3</v>
      </c>
      <c r="U766" t="s">
        <v>25</v>
      </c>
      <c r="V766">
        <v>9016.11</v>
      </c>
      <c r="W766" t="s">
        <v>35</v>
      </c>
      <c r="X766" t="s">
        <v>36</v>
      </c>
      <c r="Y766">
        <v>24</v>
      </c>
      <c r="Z766" t="str">
        <f t="shared" si="154"/>
        <v>Bad Employee</v>
      </c>
      <c r="AA766" t="b">
        <f t="shared" si="155"/>
        <v>0</v>
      </c>
      <c r="AB766" t="b">
        <f>OR(Y766&gt;20, T766&gt;6)</f>
        <v>1</v>
      </c>
      <c r="AC766" t="str">
        <f>IF(OR(Y766&gt;20,T766&gt;6), "Good employee", "Bad Employee")</f>
        <v>Good employee</v>
      </c>
      <c r="AD766" t="s">
        <v>28</v>
      </c>
      <c r="AE766" t="s">
        <v>29</v>
      </c>
      <c r="AF766">
        <v>16</v>
      </c>
      <c r="AG766">
        <v>2017</v>
      </c>
      <c r="AH766" t="s">
        <v>30</v>
      </c>
      <c r="AI766">
        <v>63</v>
      </c>
      <c r="AJ766">
        <v>4.4000000000000004</v>
      </c>
    </row>
    <row r="767" spans="1:36" x14ac:dyDescent="0.25">
      <c r="A767">
        <v>10766</v>
      </c>
      <c r="B767" t="s">
        <v>50</v>
      </c>
      <c r="C767" t="s">
        <v>61</v>
      </c>
      <c r="D767" t="s">
        <v>39</v>
      </c>
      <c r="E767" t="str">
        <f t="shared" si="143"/>
        <v>Alex Smith is in IT Department</v>
      </c>
      <c r="F767" s="6" t="str">
        <f t="shared" si="144"/>
        <v>alexsmith@gmail.com</v>
      </c>
      <c r="G767">
        <v>63649</v>
      </c>
      <c r="H767" t="str">
        <f t="shared" si="145"/>
        <v>Medium</v>
      </c>
      <c r="I767" s="3">
        <v>42137</v>
      </c>
      <c r="J767">
        <f t="shared" si="146"/>
        <v>2015</v>
      </c>
      <c r="K767">
        <f t="shared" si="147"/>
        <v>5</v>
      </c>
      <c r="L767">
        <f t="shared" si="148"/>
        <v>13</v>
      </c>
      <c r="M767" s="3">
        <f t="shared" ca="1" si="149"/>
        <v>46100</v>
      </c>
      <c r="N767">
        <f t="shared" ca="1" si="150"/>
        <v>3963</v>
      </c>
      <c r="O767">
        <f t="shared" ca="1" si="151"/>
        <v>3963</v>
      </c>
      <c r="P767">
        <f t="shared" ca="1" si="152"/>
        <v>2832</v>
      </c>
      <c r="Q767">
        <v>31</v>
      </c>
      <c r="R767" t="str">
        <f t="shared" si="153"/>
        <v>Old</v>
      </c>
      <c r="S767" t="s">
        <v>34</v>
      </c>
      <c r="T767">
        <v>6</v>
      </c>
      <c r="U767" t="s">
        <v>25</v>
      </c>
      <c r="V767">
        <v>9808.43</v>
      </c>
      <c r="W767" t="s">
        <v>58</v>
      </c>
      <c r="X767" t="s">
        <v>36</v>
      </c>
      <c r="Y767">
        <v>13</v>
      </c>
      <c r="Z767" t="str">
        <f t="shared" si="154"/>
        <v>Bad Employee</v>
      </c>
      <c r="AA767" t="b">
        <f t="shared" si="155"/>
        <v>0</v>
      </c>
      <c r="AB767" t="b">
        <f>OR(Y767&gt;20, T767&gt;6)</f>
        <v>0</v>
      </c>
      <c r="AC767" t="str">
        <f>IF(OR(Y767&gt;20,T767&gt;6), "Good employee", "Bad Employee")</f>
        <v>Bad Employee</v>
      </c>
      <c r="AD767" t="s">
        <v>56</v>
      </c>
      <c r="AE767" t="s">
        <v>29</v>
      </c>
      <c r="AF767">
        <v>5</v>
      </c>
      <c r="AG767">
        <v>2014</v>
      </c>
      <c r="AH767" t="s">
        <v>30</v>
      </c>
      <c r="AI767">
        <v>93</v>
      </c>
      <c r="AJ767">
        <v>3.6</v>
      </c>
    </row>
    <row r="768" spans="1:36" x14ac:dyDescent="0.25">
      <c r="A768">
        <v>10767</v>
      </c>
      <c r="B768" t="s">
        <v>38</v>
      </c>
      <c r="C768" t="s">
        <v>61</v>
      </c>
      <c r="D768" t="s">
        <v>54</v>
      </c>
      <c r="E768" t="str">
        <f t="shared" si="143"/>
        <v>Chris Smith is in Finance Department</v>
      </c>
      <c r="F768" s="6" t="str">
        <f t="shared" si="144"/>
        <v>chrissmith@gmail.com</v>
      </c>
      <c r="G768">
        <v>77445</v>
      </c>
      <c r="H768" t="str">
        <f t="shared" si="145"/>
        <v>Medium</v>
      </c>
      <c r="I768" s="3">
        <v>38460</v>
      </c>
      <c r="J768">
        <f t="shared" si="146"/>
        <v>2005</v>
      </c>
      <c r="K768">
        <f t="shared" si="147"/>
        <v>4</v>
      </c>
      <c r="L768">
        <f t="shared" si="148"/>
        <v>18</v>
      </c>
      <c r="M768" s="3">
        <f t="shared" ca="1" si="149"/>
        <v>46100</v>
      </c>
      <c r="N768">
        <f t="shared" ca="1" si="150"/>
        <v>7640</v>
      </c>
      <c r="O768">
        <f t="shared" ca="1" si="151"/>
        <v>7640</v>
      </c>
      <c r="P768">
        <f t="shared" ca="1" si="152"/>
        <v>5459</v>
      </c>
      <c r="Q768">
        <v>28</v>
      </c>
      <c r="R768" t="str">
        <f t="shared" si="153"/>
        <v>Young</v>
      </c>
      <c r="S768" t="s">
        <v>24</v>
      </c>
      <c r="T768">
        <v>6</v>
      </c>
      <c r="U768" t="s">
        <v>45</v>
      </c>
      <c r="V768">
        <v>9567.83</v>
      </c>
      <c r="W768" t="s">
        <v>35</v>
      </c>
      <c r="X768" t="s">
        <v>36</v>
      </c>
      <c r="Y768">
        <v>6</v>
      </c>
      <c r="Z768" t="str">
        <f t="shared" si="154"/>
        <v>Bad Employee</v>
      </c>
      <c r="AA768" t="b">
        <f t="shared" si="155"/>
        <v>0</v>
      </c>
      <c r="AB768" t="b">
        <f>OR(Y768&gt;20, T768&gt;6)</f>
        <v>0</v>
      </c>
      <c r="AC768" t="str">
        <f>IF(OR(Y768&gt;20,T768&gt;6), "Good employee", "Bad Employee")</f>
        <v>Bad Employee</v>
      </c>
      <c r="AD768" t="s">
        <v>28</v>
      </c>
      <c r="AE768" t="s">
        <v>48</v>
      </c>
      <c r="AF768">
        <v>10</v>
      </c>
      <c r="AG768">
        <v>2010</v>
      </c>
      <c r="AH768" t="s">
        <v>30</v>
      </c>
      <c r="AI768">
        <v>144</v>
      </c>
      <c r="AJ768">
        <v>4.0999999999999996</v>
      </c>
    </row>
    <row r="769" spans="1:36" x14ac:dyDescent="0.25">
      <c r="A769">
        <v>10768</v>
      </c>
      <c r="B769" t="s">
        <v>53</v>
      </c>
      <c r="C769" t="s">
        <v>22</v>
      </c>
      <c r="D769" t="s">
        <v>54</v>
      </c>
      <c r="E769" t="str">
        <f t="shared" si="143"/>
        <v>Sarah Williams is in Finance Department</v>
      </c>
      <c r="F769" s="6" t="str">
        <f t="shared" si="144"/>
        <v>sarahwilliams@gmail.com</v>
      </c>
      <c r="G769">
        <v>69470</v>
      </c>
      <c r="H769" t="str">
        <f t="shared" si="145"/>
        <v>Medium</v>
      </c>
      <c r="I769" s="3">
        <v>43565</v>
      </c>
      <c r="J769">
        <f t="shared" si="146"/>
        <v>2019</v>
      </c>
      <c r="K769">
        <f t="shared" si="147"/>
        <v>4</v>
      </c>
      <c r="L769">
        <f t="shared" si="148"/>
        <v>10</v>
      </c>
      <c r="M769" s="3">
        <f t="shared" ca="1" si="149"/>
        <v>46100</v>
      </c>
      <c r="N769">
        <f t="shared" ca="1" si="150"/>
        <v>2535</v>
      </c>
      <c r="O769">
        <f t="shared" ca="1" si="151"/>
        <v>2535</v>
      </c>
      <c r="P769">
        <f t="shared" ca="1" si="152"/>
        <v>1812</v>
      </c>
      <c r="Q769">
        <v>63</v>
      </c>
      <c r="R769" t="str">
        <f t="shared" si="153"/>
        <v>Old</v>
      </c>
      <c r="S769" t="s">
        <v>24</v>
      </c>
      <c r="T769">
        <v>5</v>
      </c>
      <c r="U769" t="s">
        <v>45</v>
      </c>
      <c r="V769">
        <v>8594.27</v>
      </c>
      <c r="W769" t="s">
        <v>26</v>
      </c>
      <c r="X769" t="s">
        <v>36</v>
      </c>
      <c r="Y769">
        <v>21</v>
      </c>
      <c r="Z769" t="str">
        <f t="shared" si="154"/>
        <v>Bad Employee</v>
      </c>
      <c r="AA769" t="b">
        <f t="shared" si="155"/>
        <v>0</v>
      </c>
      <c r="AB769" t="b">
        <f>OR(Y769&gt;20, T769&gt;6)</f>
        <v>1</v>
      </c>
      <c r="AC769" t="str">
        <f>IF(OR(Y769&gt;20,T769&gt;6), "Good employee", "Bad Employee")</f>
        <v>Good employee</v>
      </c>
      <c r="AD769" t="s">
        <v>28</v>
      </c>
      <c r="AE769" t="s">
        <v>29</v>
      </c>
      <c r="AF769">
        <v>3</v>
      </c>
      <c r="AG769">
        <v>2018</v>
      </c>
      <c r="AH769" t="s">
        <v>49</v>
      </c>
      <c r="AI769">
        <v>67</v>
      </c>
      <c r="AJ769">
        <v>1.5</v>
      </c>
    </row>
    <row r="770" spans="1:36" x14ac:dyDescent="0.25">
      <c r="A770">
        <v>10769</v>
      </c>
      <c r="B770" t="s">
        <v>31</v>
      </c>
      <c r="C770" t="s">
        <v>65</v>
      </c>
      <c r="D770" t="s">
        <v>52</v>
      </c>
      <c r="E770" t="str">
        <f t="shared" si="143"/>
        <v>Emily Johnson is in Operations Department</v>
      </c>
      <c r="F770" s="6" t="str">
        <f t="shared" si="144"/>
        <v>emilyjohnson@gmail.com</v>
      </c>
      <c r="G770">
        <v>104965</v>
      </c>
      <c r="H770" t="str">
        <f t="shared" si="145"/>
        <v>High</v>
      </c>
      <c r="I770" s="3">
        <v>41991</v>
      </c>
      <c r="J770">
        <f t="shared" si="146"/>
        <v>2014</v>
      </c>
      <c r="K770">
        <f t="shared" si="147"/>
        <v>12</v>
      </c>
      <c r="L770">
        <f t="shared" si="148"/>
        <v>18</v>
      </c>
      <c r="M770" s="3">
        <f t="shared" ca="1" si="149"/>
        <v>46100</v>
      </c>
      <c r="N770">
        <f t="shared" ca="1" si="150"/>
        <v>4109</v>
      </c>
      <c r="O770">
        <f t="shared" ca="1" si="151"/>
        <v>4109</v>
      </c>
      <c r="P770">
        <f t="shared" ca="1" si="152"/>
        <v>2936</v>
      </c>
      <c r="Q770">
        <v>30</v>
      </c>
      <c r="R770" t="str">
        <f t="shared" si="153"/>
        <v>Young</v>
      </c>
      <c r="S770" t="s">
        <v>24</v>
      </c>
      <c r="T770">
        <v>6</v>
      </c>
      <c r="U770" t="s">
        <v>25</v>
      </c>
      <c r="V770">
        <v>8545.44</v>
      </c>
      <c r="W770" t="s">
        <v>35</v>
      </c>
      <c r="X770" t="s">
        <v>36</v>
      </c>
      <c r="Y770">
        <v>7</v>
      </c>
      <c r="Z770" t="str">
        <f t="shared" si="154"/>
        <v>Bad Employee</v>
      </c>
      <c r="AA770" t="b">
        <f t="shared" si="155"/>
        <v>0</v>
      </c>
      <c r="AB770" t="b">
        <f>OR(Y770&gt;20, T770&gt;6)</f>
        <v>0</v>
      </c>
      <c r="AC770" t="str">
        <f>IF(OR(Y770&gt;20,T770&gt;6), "Good employee", "Bad Employee")</f>
        <v>Bad Employee</v>
      </c>
      <c r="AD770" t="s">
        <v>41</v>
      </c>
      <c r="AE770" t="s">
        <v>29</v>
      </c>
      <c r="AF770">
        <v>0</v>
      </c>
      <c r="AG770">
        <v>2010</v>
      </c>
      <c r="AH770" t="s">
        <v>30</v>
      </c>
      <c r="AI770">
        <v>188</v>
      </c>
      <c r="AJ770">
        <v>1.2</v>
      </c>
    </row>
    <row r="771" spans="1:36" x14ac:dyDescent="0.25">
      <c r="A771">
        <v>10770</v>
      </c>
      <c r="B771" t="s">
        <v>66</v>
      </c>
      <c r="C771" t="s">
        <v>63</v>
      </c>
      <c r="D771" t="s">
        <v>33</v>
      </c>
      <c r="E771" t="str">
        <f t="shared" ref="E771:E834" si="156">CONCATENATE(B771, " ", C771, " is in ", D771, " Department")</f>
        <v>John Miller is in Marketing Department</v>
      </c>
      <c r="F771" s="6" t="str">
        <f t="shared" ref="F771:F834" si="157">LOWER(CONCATENATE(B771, C771, "@gmail.com"))</f>
        <v>johnmiller@gmail.com</v>
      </c>
      <c r="G771">
        <v>78621</v>
      </c>
      <c r="H771" t="str">
        <f t="shared" ref="H771:H834" si="158">IF(G771&gt;80000, "High", IF(G771&gt;50000, "Medium", IF(G771&gt;40000, "low", "extremely low")))</f>
        <v>Medium</v>
      </c>
      <c r="I771" s="3">
        <v>36729</v>
      </c>
      <c r="J771">
        <f t="shared" ref="J771:J834" si="159">YEAR(I771)</f>
        <v>2000</v>
      </c>
      <c r="K771">
        <f t="shared" ref="K771:K834" si="160">MONTH(I771)</f>
        <v>7</v>
      </c>
      <c r="L771">
        <f t="shared" ref="L771:L834" si="161">DAY(I771)</f>
        <v>22</v>
      </c>
      <c r="M771" s="3">
        <f t="shared" ref="M771:M834" ca="1" si="162">TODAY()</f>
        <v>46100</v>
      </c>
      <c r="N771">
        <f t="shared" ref="N771:N834" ca="1" si="163">M771-I771</f>
        <v>9371</v>
      </c>
      <c r="O771">
        <f t="shared" ref="O771:O834" ca="1" si="164">DATEDIF(I771,M771, "d")</f>
        <v>9371</v>
      </c>
      <c r="P771">
        <f t="shared" ref="P771:P834" ca="1" si="165">NETWORKDAYS(I771, M771)</f>
        <v>6694</v>
      </c>
      <c r="Q771">
        <v>38</v>
      </c>
      <c r="R771" t="str">
        <f t="shared" ref="R771:R834" si="166">IF(Q771&gt;30, "Old", "Young")</f>
        <v>Old</v>
      </c>
      <c r="S771" t="s">
        <v>24</v>
      </c>
      <c r="T771">
        <v>3</v>
      </c>
      <c r="U771" t="s">
        <v>25</v>
      </c>
      <c r="V771">
        <v>6780.31</v>
      </c>
      <c r="W771" t="s">
        <v>35</v>
      </c>
      <c r="X771" t="s">
        <v>27</v>
      </c>
      <c r="Y771">
        <v>18</v>
      </c>
      <c r="Z771" t="str">
        <f t="shared" ref="Z771:Z834" si="167" xml:space="preserve"> IF(AND(Y771&gt;20, T771&gt;6), "Good Employee", "Bad Employee")</f>
        <v>Bad Employee</v>
      </c>
      <c r="AA771" t="b">
        <f t="shared" ref="AA771:AA834" si="168">AND(Y771&gt;20, T771&gt;6)</f>
        <v>0</v>
      </c>
      <c r="AB771" t="b">
        <f>OR(Y771&gt;20, T771&gt;6)</f>
        <v>0</v>
      </c>
      <c r="AC771" t="str">
        <f>IF(OR(Y771&gt;20,T771&gt;6), "Good employee", "Bad Employee")</f>
        <v>Bad Employee</v>
      </c>
      <c r="AD771" t="s">
        <v>28</v>
      </c>
      <c r="AE771" t="s">
        <v>59</v>
      </c>
      <c r="AF771">
        <v>0</v>
      </c>
      <c r="AG771">
        <v>2011</v>
      </c>
      <c r="AH771" t="s">
        <v>43</v>
      </c>
      <c r="AI771">
        <v>31</v>
      </c>
      <c r="AJ771">
        <v>1.1000000000000001</v>
      </c>
    </row>
    <row r="772" spans="1:36" x14ac:dyDescent="0.25">
      <c r="A772">
        <v>10771</v>
      </c>
      <c r="B772" t="s">
        <v>38</v>
      </c>
      <c r="C772" t="s">
        <v>61</v>
      </c>
      <c r="D772" t="s">
        <v>23</v>
      </c>
      <c r="E772" t="str">
        <f t="shared" si="156"/>
        <v>Chris Smith is in HR Department</v>
      </c>
      <c r="F772" s="6" t="str">
        <f t="shared" si="157"/>
        <v>chrissmith@gmail.com</v>
      </c>
      <c r="G772">
        <v>62926</v>
      </c>
      <c r="H772" t="str">
        <f t="shared" si="158"/>
        <v>Medium</v>
      </c>
      <c r="I772" s="3">
        <v>43718</v>
      </c>
      <c r="J772">
        <f t="shared" si="159"/>
        <v>2019</v>
      </c>
      <c r="K772">
        <f t="shared" si="160"/>
        <v>9</v>
      </c>
      <c r="L772">
        <f t="shared" si="161"/>
        <v>10</v>
      </c>
      <c r="M772" s="3">
        <f t="shared" ca="1" si="162"/>
        <v>46100</v>
      </c>
      <c r="N772">
        <f t="shared" ca="1" si="163"/>
        <v>2382</v>
      </c>
      <c r="O772">
        <f t="shared" ca="1" si="164"/>
        <v>2382</v>
      </c>
      <c r="P772">
        <f t="shared" ca="1" si="165"/>
        <v>1703</v>
      </c>
      <c r="Q772">
        <v>30</v>
      </c>
      <c r="R772" t="str">
        <f t="shared" si="166"/>
        <v>Young</v>
      </c>
      <c r="S772" t="s">
        <v>34</v>
      </c>
      <c r="T772">
        <v>5</v>
      </c>
      <c r="U772" t="s">
        <v>45</v>
      </c>
      <c r="V772">
        <v>8349.0300000000007</v>
      </c>
      <c r="W772" t="s">
        <v>46</v>
      </c>
      <c r="X772" t="s">
        <v>55</v>
      </c>
      <c r="Y772">
        <v>15</v>
      </c>
      <c r="Z772" t="str">
        <f t="shared" si="167"/>
        <v>Bad Employee</v>
      </c>
      <c r="AA772" t="b">
        <f t="shared" si="168"/>
        <v>0</v>
      </c>
      <c r="AB772" t="b">
        <f>OR(Y772&gt;20, T772&gt;6)</f>
        <v>0</v>
      </c>
      <c r="AC772" t="str">
        <f>IF(OR(Y772&gt;20,T772&gt;6), "Good employee", "Bad Employee")</f>
        <v>Bad Employee</v>
      </c>
      <c r="AD772" t="s">
        <v>28</v>
      </c>
      <c r="AE772" t="s">
        <v>42</v>
      </c>
      <c r="AF772">
        <v>17</v>
      </c>
      <c r="AG772">
        <v>2016</v>
      </c>
      <c r="AH772" t="s">
        <v>43</v>
      </c>
      <c r="AI772">
        <v>129</v>
      </c>
      <c r="AJ772">
        <v>1.6</v>
      </c>
    </row>
    <row r="773" spans="1:36" x14ac:dyDescent="0.25">
      <c r="A773">
        <v>10772</v>
      </c>
      <c r="B773" t="s">
        <v>38</v>
      </c>
      <c r="C773" t="s">
        <v>61</v>
      </c>
      <c r="D773" t="s">
        <v>23</v>
      </c>
      <c r="E773" t="str">
        <f t="shared" si="156"/>
        <v>Chris Smith is in HR Department</v>
      </c>
      <c r="F773" s="6" t="str">
        <f t="shared" si="157"/>
        <v>chrissmith@gmail.com</v>
      </c>
      <c r="G773">
        <v>67997</v>
      </c>
      <c r="H773" t="str">
        <f t="shared" si="158"/>
        <v>Medium</v>
      </c>
      <c r="I773" s="3">
        <v>43626</v>
      </c>
      <c r="J773">
        <f t="shared" si="159"/>
        <v>2019</v>
      </c>
      <c r="K773">
        <f t="shared" si="160"/>
        <v>6</v>
      </c>
      <c r="L773">
        <f t="shared" si="161"/>
        <v>10</v>
      </c>
      <c r="M773" s="3">
        <f t="shared" ca="1" si="162"/>
        <v>46100</v>
      </c>
      <c r="N773">
        <f t="shared" ca="1" si="163"/>
        <v>2474</v>
      </c>
      <c r="O773">
        <f t="shared" ca="1" si="164"/>
        <v>2474</v>
      </c>
      <c r="P773">
        <f t="shared" ca="1" si="165"/>
        <v>1769</v>
      </c>
      <c r="Q773">
        <v>30</v>
      </c>
      <c r="R773" t="str">
        <f t="shared" si="166"/>
        <v>Young</v>
      </c>
      <c r="S773" t="s">
        <v>34</v>
      </c>
      <c r="T773">
        <v>9</v>
      </c>
      <c r="U773" t="s">
        <v>25</v>
      </c>
      <c r="V773">
        <v>2479.25</v>
      </c>
      <c r="W773" t="s">
        <v>46</v>
      </c>
      <c r="X773" t="s">
        <v>47</v>
      </c>
      <c r="Y773">
        <v>8</v>
      </c>
      <c r="Z773" t="str">
        <f t="shared" si="167"/>
        <v>Bad Employee</v>
      </c>
      <c r="AA773" t="b">
        <f t="shared" si="168"/>
        <v>0</v>
      </c>
      <c r="AB773" t="b">
        <f>OR(Y773&gt;20, T773&gt;6)</f>
        <v>1</v>
      </c>
      <c r="AC773" t="str">
        <f>IF(OR(Y773&gt;20,T773&gt;6), "Good employee", "Bad Employee")</f>
        <v>Good employee</v>
      </c>
      <c r="AD773" t="s">
        <v>28</v>
      </c>
      <c r="AE773" t="s">
        <v>59</v>
      </c>
      <c r="AF773">
        <v>4</v>
      </c>
      <c r="AG773">
        <v>2020</v>
      </c>
      <c r="AH773" t="s">
        <v>49</v>
      </c>
      <c r="AI773">
        <v>156</v>
      </c>
      <c r="AJ773">
        <v>3.7</v>
      </c>
    </row>
    <row r="774" spans="1:36" x14ac:dyDescent="0.25">
      <c r="A774">
        <v>10773</v>
      </c>
      <c r="B774" t="s">
        <v>66</v>
      </c>
      <c r="C774" t="s">
        <v>51</v>
      </c>
      <c r="D774" t="s">
        <v>39</v>
      </c>
      <c r="E774" t="str">
        <f t="shared" si="156"/>
        <v>John Brown is in IT Department</v>
      </c>
      <c r="F774" s="6" t="str">
        <f t="shared" si="157"/>
        <v>johnbrown@gmail.com</v>
      </c>
      <c r="G774">
        <v>89940</v>
      </c>
      <c r="H774" t="str">
        <f t="shared" si="158"/>
        <v>High</v>
      </c>
      <c r="I774" s="3">
        <v>42198</v>
      </c>
      <c r="J774">
        <f t="shared" si="159"/>
        <v>2015</v>
      </c>
      <c r="K774">
        <f t="shared" si="160"/>
        <v>7</v>
      </c>
      <c r="L774">
        <f t="shared" si="161"/>
        <v>13</v>
      </c>
      <c r="M774" s="3">
        <f t="shared" ca="1" si="162"/>
        <v>46100</v>
      </c>
      <c r="N774">
        <f t="shared" ca="1" si="163"/>
        <v>3902</v>
      </c>
      <c r="O774">
        <f t="shared" ca="1" si="164"/>
        <v>3902</v>
      </c>
      <c r="P774">
        <f t="shared" ca="1" si="165"/>
        <v>2789</v>
      </c>
      <c r="Q774">
        <v>58</v>
      </c>
      <c r="R774" t="str">
        <f t="shared" si="166"/>
        <v>Old</v>
      </c>
      <c r="S774" t="s">
        <v>24</v>
      </c>
      <c r="T774">
        <v>4</v>
      </c>
      <c r="U774" t="s">
        <v>25</v>
      </c>
      <c r="V774">
        <v>4185.17</v>
      </c>
      <c r="W774" t="s">
        <v>46</v>
      </c>
      <c r="X774" t="s">
        <v>47</v>
      </c>
      <c r="Y774">
        <v>16</v>
      </c>
      <c r="Z774" t="str">
        <f t="shared" si="167"/>
        <v>Bad Employee</v>
      </c>
      <c r="AA774" t="b">
        <f t="shared" si="168"/>
        <v>0</v>
      </c>
      <c r="AB774" t="b">
        <f>OR(Y774&gt;20, T774&gt;6)</f>
        <v>0</v>
      </c>
      <c r="AC774" t="str">
        <f>IF(OR(Y774&gt;20,T774&gt;6), "Good employee", "Bad Employee")</f>
        <v>Bad Employee</v>
      </c>
      <c r="AD774" t="s">
        <v>28</v>
      </c>
      <c r="AE774" t="s">
        <v>37</v>
      </c>
      <c r="AF774">
        <v>15</v>
      </c>
      <c r="AG774">
        <v>2012</v>
      </c>
      <c r="AH774" t="s">
        <v>30</v>
      </c>
      <c r="AI774">
        <v>158</v>
      </c>
      <c r="AJ774">
        <v>3</v>
      </c>
    </row>
    <row r="775" spans="1:36" x14ac:dyDescent="0.25">
      <c r="A775">
        <v>10774</v>
      </c>
      <c r="B775" t="s">
        <v>31</v>
      </c>
      <c r="C775" t="s">
        <v>51</v>
      </c>
      <c r="D775" t="s">
        <v>52</v>
      </c>
      <c r="E775" t="str">
        <f t="shared" si="156"/>
        <v>Emily Brown is in Operations Department</v>
      </c>
      <c r="F775" s="6" t="str">
        <f t="shared" si="157"/>
        <v>emilybrown@gmail.com</v>
      </c>
      <c r="G775">
        <v>70724</v>
      </c>
      <c r="H775" t="str">
        <f t="shared" si="158"/>
        <v>Medium</v>
      </c>
      <c r="I775" s="3">
        <v>36594</v>
      </c>
      <c r="J775">
        <f t="shared" si="159"/>
        <v>2000</v>
      </c>
      <c r="K775">
        <f t="shared" si="160"/>
        <v>3</v>
      </c>
      <c r="L775">
        <f t="shared" si="161"/>
        <v>9</v>
      </c>
      <c r="M775" s="3">
        <f t="shared" ca="1" si="162"/>
        <v>46100</v>
      </c>
      <c r="N775">
        <f t="shared" ca="1" si="163"/>
        <v>9506</v>
      </c>
      <c r="O775">
        <f t="shared" ca="1" si="164"/>
        <v>9506</v>
      </c>
      <c r="P775">
        <f t="shared" ca="1" si="165"/>
        <v>6791</v>
      </c>
      <c r="Q775">
        <v>45</v>
      </c>
      <c r="R775" t="str">
        <f t="shared" si="166"/>
        <v>Old</v>
      </c>
      <c r="S775" t="s">
        <v>24</v>
      </c>
      <c r="T775">
        <v>2</v>
      </c>
      <c r="U775" t="s">
        <v>45</v>
      </c>
      <c r="V775">
        <v>6587.94</v>
      </c>
      <c r="W775" t="s">
        <v>58</v>
      </c>
      <c r="X775" t="s">
        <v>55</v>
      </c>
      <c r="Y775">
        <v>3</v>
      </c>
      <c r="Z775" t="str">
        <f t="shared" si="167"/>
        <v>Bad Employee</v>
      </c>
      <c r="AA775" t="b">
        <f t="shared" si="168"/>
        <v>0</v>
      </c>
      <c r="AB775" t="b">
        <f>OR(Y775&gt;20, T775&gt;6)</f>
        <v>0</v>
      </c>
      <c r="AC775" t="str">
        <f>IF(OR(Y775&gt;20,T775&gt;6), "Good employee", "Bad Employee")</f>
        <v>Bad Employee</v>
      </c>
      <c r="AD775" t="s">
        <v>56</v>
      </c>
      <c r="AE775" t="s">
        <v>29</v>
      </c>
      <c r="AF775">
        <v>1</v>
      </c>
      <c r="AG775">
        <v>2015</v>
      </c>
      <c r="AH775" t="s">
        <v>43</v>
      </c>
      <c r="AI775">
        <v>26</v>
      </c>
      <c r="AJ775">
        <v>4</v>
      </c>
    </row>
    <row r="776" spans="1:36" x14ac:dyDescent="0.25">
      <c r="A776">
        <v>10775</v>
      </c>
      <c r="B776" t="s">
        <v>60</v>
      </c>
      <c r="C776" t="s">
        <v>32</v>
      </c>
      <c r="D776" t="s">
        <v>39</v>
      </c>
      <c r="E776" t="str">
        <f t="shared" si="156"/>
        <v>Jane Wilson is in IT Department</v>
      </c>
      <c r="F776" s="6" t="str">
        <f t="shared" si="157"/>
        <v>janewilson@gmail.com</v>
      </c>
      <c r="G776">
        <v>61704</v>
      </c>
      <c r="H776" t="str">
        <f t="shared" si="158"/>
        <v>Medium</v>
      </c>
      <c r="I776" s="3">
        <v>37041</v>
      </c>
      <c r="J776">
        <f t="shared" si="159"/>
        <v>2001</v>
      </c>
      <c r="K776">
        <f t="shared" si="160"/>
        <v>5</v>
      </c>
      <c r="L776">
        <f t="shared" si="161"/>
        <v>30</v>
      </c>
      <c r="M776" s="3">
        <f t="shared" ca="1" si="162"/>
        <v>46100</v>
      </c>
      <c r="N776">
        <f t="shared" ca="1" si="163"/>
        <v>9059</v>
      </c>
      <c r="O776">
        <f t="shared" ca="1" si="164"/>
        <v>9059</v>
      </c>
      <c r="P776">
        <f t="shared" ca="1" si="165"/>
        <v>6472</v>
      </c>
      <c r="Q776">
        <v>60</v>
      </c>
      <c r="R776" t="str">
        <f t="shared" si="166"/>
        <v>Old</v>
      </c>
      <c r="S776" t="s">
        <v>34</v>
      </c>
      <c r="T776">
        <v>5</v>
      </c>
      <c r="U776" t="s">
        <v>45</v>
      </c>
      <c r="V776">
        <v>8810.33</v>
      </c>
      <c r="W776" t="s">
        <v>35</v>
      </c>
      <c r="X776" t="s">
        <v>36</v>
      </c>
      <c r="Y776">
        <v>9</v>
      </c>
      <c r="Z776" t="str">
        <f t="shared" si="167"/>
        <v>Bad Employee</v>
      </c>
      <c r="AA776" t="b">
        <f t="shared" si="168"/>
        <v>0</v>
      </c>
      <c r="AB776" t="b">
        <f>OR(Y776&gt;20, T776&gt;6)</f>
        <v>0</v>
      </c>
      <c r="AC776" t="str">
        <f>IF(OR(Y776&gt;20,T776&gt;6), "Good employee", "Bad Employee")</f>
        <v>Bad Employee</v>
      </c>
      <c r="AD776" t="s">
        <v>41</v>
      </c>
      <c r="AE776" t="s">
        <v>59</v>
      </c>
      <c r="AF776">
        <v>8</v>
      </c>
      <c r="AG776">
        <v>2017</v>
      </c>
      <c r="AH776" t="s">
        <v>43</v>
      </c>
      <c r="AI776">
        <v>74</v>
      </c>
      <c r="AJ776">
        <v>1.8</v>
      </c>
    </row>
    <row r="777" spans="1:36" x14ac:dyDescent="0.25">
      <c r="A777">
        <v>10776</v>
      </c>
      <c r="B777" t="s">
        <v>38</v>
      </c>
      <c r="C777" t="s">
        <v>61</v>
      </c>
      <c r="D777" t="s">
        <v>23</v>
      </c>
      <c r="E777" t="str">
        <f t="shared" si="156"/>
        <v>Chris Smith is in HR Department</v>
      </c>
      <c r="F777" s="6" t="str">
        <f t="shared" si="157"/>
        <v>chrissmith@gmail.com</v>
      </c>
      <c r="G777">
        <v>58391</v>
      </c>
      <c r="H777" t="str">
        <f t="shared" si="158"/>
        <v>Medium</v>
      </c>
      <c r="I777" s="3">
        <v>40089</v>
      </c>
      <c r="J777">
        <f t="shared" si="159"/>
        <v>2009</v>
      </c>
      <c r="K777">
        <f t="shared" si="160"/>
        <v>10</v>
      </c>
      <c r="L777">
        <f t="shared" si="161"/>
        <v>3</v>
      </c>
      <c r="M777" s="3">
        <f t="shared" ca="1" si="162"/>
        <v>46100</v>
      </c>
      <c r="N777">
        <f t="shared" ca="1" si="163"/>
        <v>6011</v>
      </c>
      <c r="O777">
        <f t="shared" ca="1" si="164"/>
        <v>6011</v>
      </c>
      <c r="P777">
        <f t="shared" ca="1" si="165"/>
        <v>4294</v>
      </c>
      <c r="Q777">
        <v>32</v>
      </c>
      <c r="R777" t="str">
        <f t="shared" si="166"/>
        <v>Old</v>
      </c>
      <c r="S777" t="s">
        <v>34</v>
      </c>
      <c r="T777">
        <v>3</v>
      </c>
      <c r="U777" t="s">
        <v>25</v>
      </c>
      <c r="V777">
        <v>6774.46</v>
      </c>
      <c r="W777" t="s">
        <v>26</v>
      </c>
      <c r="X777" t="s">
        <v>55</v>
      </c>
      <c r="Y777">
        <v>26</v>
      </c>
      <c r="Z777" t="str">
        <f t="shared" si="167"/>
        <v>Bad Employee</v>
      </c>
      <c r="AA777" t="b">
        <f t="shared" si="168"/>
        <v>0</v>
      </c>
      <c r="AB777" t="b">
        <f>OR(Y777&gt;20, T777&gt;6)</f>
        <v>1</v>
      </c>
      <c r="AC777" t="str">
        <f>IF(OR(Y777&gt;20,T777&gt;6), "Good employee", "Bad Employee")</f>
        <v>Good employee</v>
      </c>
      <c r="AD777" t="s">
        <v>28</v>
      </c>
      <c r="AE777" t="s">
        <v>59</v>
      </c>
      <c r="AF777">
        <v>1</v>
      </c>
      <c r="AG777">
        <v>2014</v>
      </c>
      <c r="AH777" t="s">
        <v>30</v>
      </c>
      <c r="AI777">
        <v>23</v>
      </c>
      <c r="AJ777">
        <v>2.5</v>
      </c>
    </row>
    <row r="778" spans="1:36" x14ac:dyDescent="0.25">
      <c r="A778">
        <v>10777</v>
      </c>
      <c r="B778" t="s">
        <v>66</v>
      </c>
      <c r="C778" t="s">
        <v>22</v>
      </c>
      <c r="D778" t="s">
        <v>54</v>
      </c>
      <c r="E778" t="str">
        <f t="shared" si="156"/>
        <v>John Williams is in Finance Department</v>
      </c>
      <c r="F778" s="6" t="str">
        <f t="shared" si="157"/>
        <v>johnwilliams@gmail.com</v>
      </c>
      <c r="G778">
        <v>93291</v>
      </c>
      <c r="H778" t="str">
        <f t="shared" si="158"/>
        <v>High</v>
      </c>
      <c r="I778" s="3">
        <v>42909</v>
      </c>
      <c r="J778">
        <f t="shared" si="159"/>
        <v>2017</v>
      </c>
      <c r="K778">
        <f t="shared" si="160"/>
        <v>6</v>
      </c>
      <c r="L778">
        <f t="shared" si="161"/>
        <v>23</v>
      </c>
      <c r="M778" s="3">
        <f t="shared" ca="1" si="162"/>
        <v>46100</v>
      </c>
      <c r="N778">
        <f t="shared" ca="1" si="163"/>
        <v>3191</v>
      </c>
      <c r="O778">
        <f t="shared" ca="1" si="164"/>
        <v>3191</v>
      </c>
      <c r="P778">
        <f t="shared" ca="1" si="165"/>
        <v>2280</v>
      </c>
      <c r="Q778">
        <v>29</v>
      </c>
      <c r="R778" t="str">
        <f t="shared" si="166"/>
        <v>Young</v>
      </c>
      <c r="S778" t="s">
        <v>24</v>
      </c>
      <c r="T778">
        <v>3</v>
      </c>
      <c r="U778" t="s">
        <v>45</v>
      </c>
      <c r="V778">
        <v>8470.7099999999991</v>
      </c>
      <c r="W778" t="s">
        <v>46</v>
      </c>
      <c r="X778" t="s">
        <v>36</v>
      </c>
      <c r="Y778">
        <v>26</v>
      </c>
      <c r="Z778" t="str">
        <f t="shared" si="167"/>
        <v>Bad Employee</v>
      </c>
      <c r="AA778" t="b">
        <f t="shared" si="168"/>
        <v>0</v>
      </c>
      <c r="AB778" t="b">
        <f>OR(Y778&gt;20, T778&gt;6)</f>
        <v>1</v>
      </c>
      <c r="AC778" t="str">
        <f>IF(OR(Y778&gt;20,T778&gt;6), "Good employee", "Bad Employee")</f>
        <v>Good employee</v>
      </c>
      <c r="AD778" t="s">
        <v>41</v>
      </c>
      <c r="AE778" t="s">
        <v>62</v>
      </c>
      <c r="AF778">
        <v>4</v>
      </c>
      <c r="AG778">
        <v>2010</v>
      </c>
      <c r="AH778" t="s">
        <v>49</v>
      </c>
      <c r="AI778">
        <v>105</v>
      </c>
      <c r="AJ778">
        <v>4.5999999999999996</v>
      </c>
    </row>
    <row r="779" spans="1:36" x14ac:dyDescent="0.25">
      <c r="A779">
        <v>10778</v>
      </c>
      <c r="B779" t="s">
        <v>53</v>
      </c>
      <c r="C779" t="s">
        <v>57</v>
      </c>
      <c r="D779" t="s">
        <v>33</v>
      </c>
      <c r="E779" t="str">
        <f t="shared" si="156"/>
        <v>Sarah Davis is in Marketing Department</v>
      </c>
      <c r="F779" s="6" t="str">
        <f t="shared" si="157"/>
        <v>sarahdavis@gmail.com</v>
      </c>
      <c r="G779">
        <v>119723</v>
      </c>
      <c r="H779" t="str">
        <f t="shared" si="158"/>
        <v>High</v>
      </c>
      <c r="I779" s="3">
        <v>40982</v>
      </c>
      <c r="J779">
        <f t="shared" si="159"/>
        <v>2012</v>
      </c>
      <c r="K779">
        <f t="shared" si="160"/>
        <v>3</v>
      </c>
      <c r="L779">
        <f t="shared" si="161"/>
        <v>14</v>
      </c>
      <c r="M779" s="3">
        <f t="shared" ca="1" si="162"/>
        <v>46100</v>
      </c>
      <c r="N779">
        <f t="shared" ca="1" si="163"/>
        <v>5118</v>
      </c>
      <c r="O779">
        <f t="shared" ca="1" si="164"/>
        <v>5118</v>
      </c>
      <c r="P779">
        <f t="shared" ca="1" si="165"/>
        <v>3657</v>
      </c>
      <c r="Q779">
        <v>46</v>
      </c>
      <c r="R779" t="str">
        <f t="shared" si="166"/>
        <v>Old</v>
      </c>
      <c r="S779" t="s">
        <v>34</v>
      </c>
      <c r="T779">
        <v>4</v>
      </c>
      <c r="U779" t="s">
        <v>25</v>
      </c>
      <c r="V779">
        <v>5002.5200000000004</v>
      </c>
      <c r="W779" t="s">
        <v>26</v>
      </c>
      <c r="X779" t="s">
        <v>47</v>
      </c>
      <c r="Y779">
        <v>30</v>
      </c>
      <c r="Z779" t="str">
        <f t="shared" si="167"/>
        <v>Bad Employee</v>
      </c>
      <c r="AA779" t="b">
        <f t="shared" si="168"/>
        <v>0</v>
      </c>
      <c r="AB779" t="b">
        <f>OR(Y779&gt;20, T779&gt;6)</f>
        <v>1</v>
      </c>
      <c r="AC779" t="str">
        <f>IF(OR(Y779&gt;20,T779&gt;6), "Good employee", "Bad Employee")</f>
        <v>Good employee</v>
      </c>
      <c r="AD779" t="s">
        <v>56</v>
      </c>
      <c r="AE779" t="s">
        <v>59</v>
      </c>
      <c r="AF779">
        <v>19</v>
      </c>
      <c r="AG779">
        <v>2019</v>
      </c>
      <c r="AH779" t="s">
        <v>30</v>
      </c>
      <c r="AI779">
        <v>166</v>
      </c>
      <c r="AJ779">
        <v>4.7</v>
      </c>
    </row>
    <row r="780" spans="1:36" x14ac:dyDescent="0.25">
      <c r="A780">
        <v>10779</v>
      </c>
      <c r="B780" t="s">
        <v>53</v>
      </c>
      <c r="C780" t="s">
        <v>57</v>
      </c>
      <c r="D780" t="s">
        <v>52</v>
      </c>
      <c r="E780" t="str">
        <f t="shared" si="156"/>
        <v>Sarah Davis is in Operations Department</v>
      </c>
      <c r="F780" s="6" t="str">
        <f t="shared" si="157"/>
        <v>sarahdavis@gmail.com</v>
      </c>
      <c r="G780">
        <v>32526</v>
      </c>
      <c r="H780" t="str">
        <f t="shared" si="158"/>
        <v>extremely low</v>
      </c>
      <c r="I780" s="3">
        <v>37990</v>
      </c>
      <c r="J780">
        <f t="shared" si="159"/>
        <v>2004</v>
      </c>
      <c r="K780">
        <f t="shared" si="160"/>
        <v>1</v>
      </c>
      <c r="L780">
        <f t="shared" si="161"/>
        <v>4</v>
      </c>
      <c r="M780" s="3">
        <f t="shared" ca="1" si="162"/>
        <v>46100</v>
      </c>
      <c r="N780">
        <f t="shared" ca="1" si="163"/>
        <v>8110</v>
      </c>
      <c r="O780">
        <f t="shared" ca="1" si="164"/>
        <v>8110</v>
      </c>
      <c r="P780">
        <f t="shared" ca="1" si="165"/>
        <v>5794</v>
      </c>
      <c r="Q780">
        <v>23</v>
      </c>
      <c r="R780" t="str">
        <f t="shared" si="166"/>
        <v>Young</v>
      </c>
      <c r="S780" t="s">
        <v>34</v>
      </c>
      <c r="T780">
        <v>4</v>
      </c>
      <c r="U780" t="s">
        <v>45</v>
      </c>
      <c r="V780">
        <v>7314.39</v>
      </c>
      <c r="W780" t="s">
        <v>35</v>
      </c>
      <c r="X780" t="s">
        <v>40</v>
      </c>
      <c r="Y780">
        <v>27</v>
      </c>
      <c r="Z780" t="str">
        <f t="shared" si="167"/>
        <v>Bad Employee</v>
      </c>
      <c r="AA780" t="b">
        <f t="shared" si="168"/>
        <v>0</v>
      </c>
      <c r="AB780" t="b">
        <f>OR(Y780&gt;20, T780&gt;6)</f>
        <v>1</v>
      </c>
      <c r="AC780" t="str">
        <f>IF(OR(Y780&gt;20,T780&gt;6), "Good employee", "Bad Employee")</f>
        <v>Good employee</v>
      </c>
      <c r="AD780" t="s">
        <v>56</v>
      </c>
      <c r="AE780" t="s">
        <v>59</v>
      </c>
      <c r="AF780">
        <v>16</v>
      </c>
      <c r="AG780">
        <v>2023</v>
      </c>
      <c r="AH780" t="s">
        <v>30</v>
      </c>
      <c r="AI780">
        <v>143</v>
      </c>
      <c r="AJ780">
        <v>4.7</v>
      </c>
    </row>
    <row r="781" spans="1:36" x14ac:dyDescent="0.25">
      <c r="A781">
        <v>10780</v>
      </c>
      <c r="B781" t="s">
        <v>50</v>
      </c>
      <c r="C781" t="s">
        <v>63</v>
      </c>
      <c r="D781" t="s">
        <v>54</v>
      </c>
      <c r="E781" t="str">
        <f t="shared" si="156"/>
        <v>Alex Miller is in Finance Department</v>
      </c>
      <c r="F781" s="6" t="str">
        <f t="shared" si="157"/>
        <v>alexmiller@gmail.com</v>
      </c>
      <c r="G781">
        <v>54686</v>
      </c>
      <c r="H781" t="str">
        <f t="shared" si="158"/>
        <v>Medium</v>
      </c>
      <c r="I781" s="3">
        <v>41676</v>
      </c>
      <c r="J781">
        <f t="shared" si="159"/>
        <v>2014</v>
      </c>
      <c r="K781">
        <f t="shared" si="160"/>
        <v>2</v>
      </c>
      <c r="L781">
        <f t="shared" si="161"/>
        <v>6</v>
      </c>
      <c r="M781" s="3">
        <f t="shared" ca="1" si="162"/>
        <v>46100</v>
      </c>
      <c r="N781">
        <f t="shared" ca="1" si="163"/>
        <v>4424</v>
      </c>
      <c r="O781">
        <f t="shared" ca="1" si="164"/>
        <v>4424</v>
      </c>
      <c r="P781">
        <f t="shared" ca="1" si="165"/>
        <v>3161</v>
      </c>
      <c r="Q781">
        <v>31</v>
      </c>
      <c r="R781" t="str">
        <f t="shared" si="166"/>
        <v>Old</v>
      </c>
      <c r="S781" t="s">
        <v>24</v>
      </c>
      <c r="T781">
        <v>5</v>
      </c>
      <c r="U781" t="s">
        <v>25</v>
      </c>
      <c r="V781">
        <v>9809.82</v>
      </c>
      <c r="W781" t="s">
        <v>35</v>
      </c>
      <c r="X781" t="s">
        <v>47</v>
      </c>
      <c r="Y781">
        <v>16</v>
      </c>
      <c r="Z781" t="str">
        <f t="shared" si="167"/>
        <v>Bad Employee</v>
      </c>
      <c r="AA781" t="b">
        <f t="shared" si="168"/>
        <v>0</v>
      </c>
      <c r="AB781" t="b">
        <f>OR(Y781&gt;20, T781&gt;6)</f>
        <v>0</v>
      </c>
      <c r="AC781" t="str">
        <f>IF(OR(Y781&gt;20,T781&gt;6), "Good employee", "Bad Employee")</f>
        <v>Bad Employee</v>
      </c>
      <c r="AD781" t="s">
        <v>28</v>
      </c>
      <c r="AE781" t="s">
        <v>42</v>
      </c>
      <c r="AF781">
        <v>18</v>
      </c>
      <c r="AG781">
        <v>2021</v>
      </c>
      <c r="AH781" t="s">
        <v>30</v>
      </c>
      <c r="AI781">
        <v>124</v>
      </c>
      <c r="AJ781">
        <v>4.3</v>
      </c>
    </row>
    <row r="782" spans="1:36" x14ac:dyDescent="0.25">
      <c r="A782">
        <v>10781</v>
      </c>
      <c r="B782" t="s">
        <v>66</v>
      </c>
      <c r="C782" t="s">
        <v>61</v>
      </c>
      <c r="D782" t="s">
        <v>33</v>
      </c>
      <c r="E782" t="str">
        <f t="shared" si="156"/>
        <v>John Smith is in Marketing Department</v>
      </c>
      <c r="F782" s="6" t="str">
        <f t="shared" si="157"/>
        <v>johnsmith@gmail.com</v>
      </c>
      <c r="G782">
        <v>103339</v>
      </c>
      <c r="H782" t="str">
        <f t="shared" si="158"/>
        <v>High</v>
      </c>
      <c r="I782" s="3">
        <v>42544</v>
      </c>
      <c r="J782">
        <f t="shared" si="159"/>
        <v>2016</v>
      </c>
      <c r="K782">
        <f t="shared" si="160"/>
        <v>6</v>
      </c>
      <c r="L782">
        <f t="shared" si="161"/>
        <v>23</v>
      </c>
      <c r="M782" s="3">
        <f t="shared" ca="1" si="162"/>
        <v>46100</v>
      </c>
      <c r="N782">
        <f t="shared" ca="1" si="163"/>
        <v>3556</v>
      </c>
      <c r="O782">
        <f t="shared" ca="1" si="164"/>
        <v>3556</v>
      </c>
      <c r="P782">
        <f t="shared" ca="1" si="165"/>
        <v>2541</v>
      </c>
      <c r="Q782">
        <v>45</v>
      </c>
      <c r="R782" t="str">
        <f t="shared" si="166"/>
        <v>Old</v>
      </c>
      <c r="S782" t="s">
        <v>24</v>
      </c>
      <c r="T782">
        <v>7</v>
      </c>
      <c r="U782" t="s">
        <v>25</v>
      </c>
      <c r="V782">
        <v>1958.14</v>
      </c>
      <c r="W782" t="s">
        <v>35</v>
      </c>
      <c r="X782" t="s">
        <v>47</v>
      </c>
      <c r="Y782">
        <v>4</v>
      </c>
      <c r="Z782" t="str">
        <f t="shared" si="167"/>
        <v>Bad Employee</v>
      </c>
      <c r="AA782" t="b">
        <f t="shared" si="168"/>
        <v>0</v>
      </c>
      <c r="AB782" t="b">
        <f>OR(Y782&gt;20, T782&gt;6)</f>
        <v>1</v>
      </c>
      <c r="AC782" t="str">
        <f>IF(OR(Y782&gt;20,T782&gt;6), "Good employee", "Bad Employee")</f>
        <v>Good employee</v>
      </c>
      <c r="AD782" t="s">
        <v>41</v>
      </c>
      <c r="AE782" t="s">
        <v>48</v>
      </c>
      <c r="AF782">
        <v>9</v>
      </c>
      <c r="AG782">
        <v>2012</v>
      </c>
      <c r="AH782" t="s">
        <v>30</v>
      </c>
      <c r="AI782">
        <v>92</v>
      </c>
      <c r="AJ782">
        <v>3.8</v>
      </c>
    </row>
    <row r="783" spans="1:36" x14ac:dyDescent="0.25">
      <c r="A783">
        <v>10782</v>
      </c>
      <c r="B783" t="s">
        <v>50</v>
      </c>
      <c r="C783" t="s">
        <v>61</v>
      </c>
      <c r="D783" t="s">
        <v>52</v>
      </c>
      <c r="E783" t="str">
        <f t="shared" si="156"/>
        <v>Alex Smith is in Operations Department</v>
      </c>
      <c r="F783" s="6" t="str">
        <f t="shared" si="157"/>
        <v>alexsmith@gmail.com</v>
      </c>
      <c r="G783">
        <v>36574</v>
      </c>
      <c r="H783" t="str">
        <f t="shared" si="158"/>
        <v>extremely low</v>
      </c>
      <c r="I783" s="3">
        <v>38178</v>
      </c>
      <c r="J783">
        <f t="shared" si="159"/>
        <v>2004</v>
      </c>
      <c r="K783">
        <f t="shared" si="160"/>
        <v>7</v>
      </c>
      <c r="L783">
        <f t="shared" si="161"/>
        <v>10</v>
      </c>
      <c r="M783" s="3">
        <f t="shared" ca="1" si="162"/>
        <v>46100</v>
      </c>
      <c r="N783">
        <f t="shared" ca="1" si="163"/>
        <v>7922</v>
      </c>
      <c r="O783">
        <f t="shared" ca="1" si="164"/>
        <v>7922</v>
      </c>
      <c r="P783">
        <f t="shared" ca="1" si="165"/>
        <v>5659</v>
      </c>
      <c r="Q783">
        <v>37</v>
      </c>
      <c r="R783" t="str">
        <f t="shared" si="166"/>
        <v>Old</v>
      </c>
      <c r="S783" t="s">
        <v>24</v>
      </c>
      <c r="T783">
        <v>4</v>
      </c>
      <c r="U783" t="s">
        <v>25</v>
      </c>
      <c r="V783">
        <v>9305.75</v>
      </c>
      <c r="W783" t="s">
        <v>26</v>
      </c>
      <c r="X783" t="s">
        <v>40</v>
      </c>
      <c r="Y783">
        <v>19</v>
      </c>
      <c r="Z783" t="str">
        <f t="shared" si="167"/>
        <v>Bad Employee</v>
      </c>
      <c r="AA783" t="b">
        <f t="shared" si="168"/>
        <v>0</v>
      </c>
      <c r="AB783" t="b">
        <f>OR(Y783&gt;20, T783&gt;6)</f>
        <v>0</v>
      </c>
      <c r="AC783" t="str">
        <f>IF(OR(Y783&gt;20,T783&gt;6), "Good employee", "Bad Employee")</f>
        <v>Bad Employee</v>
      </c>
      <c r="AD783" t="s">
        <v>41</v>
      </c>
      <c r="AE783" t="s">
        <v>62</v>
      </c>
      <c r="AF783">
        <v>7</v>
      </c>
      <c r="AG783">
        <v>2020</v>
      </c>
      <c r="AH783" t="s">
        <v>30</v>
      </c>
      <c r="AI783">
        <v>177</v>
      </c>
      <c r="AJ783">
        <v>4.7</v>
      </c>
    </row>
    <row r="784" spans="1:36" x14ac:dyDescent="0.25">
      <c r="A784">
        <v>10783</v>
      </c>
      <c r="B784" t="s">
        <v>53</v>
      </c>
      <c r="C784" t="s">
        <v>32</v>
      </c>
      <c r="D784" t="s">
        <v>52</v>
      </c>
      <c r="E784" t="str">
        <f t="shared" si="156"/>
        <v>Sarah Wilson is in Operations Department</v>
      </c>
      <c r="F784" s="6" t="str">
        <f t="shared" si="157"/>
        <v>sarahwilson@gmail.com</v>
      </c>
      <c r="G784">
        <v>38733</v>
      </c>
      <c r="H784" t="str">
        <f t="shared" si="158"/>
        <v>extremely low</v>
      </c>
      <c r="I784" s="3">
        <v>37232</v>
      </c>
      <c r="J784">
        <f t="shared" si="159"/>
        <v>2001</v>
      </c>
      <c r="K784">
        <f t="shared" si="160"/>
        <v>12</v>
      </c>
      <c r="L784">
        <f t="shared" si="161"/>
        <v>7</v>
      </c>
      <c r="M784" s="3">
        <f t="shared" ca="1" si="162"/>
        <v>46100</v>
      </c>
      <c r="N784">
        <f t="shared" ca="1" si="163"/>
        <v>8868</v>
      </c>
      <c r="O784">
        <f t="shared" ca="1" si="164"/>
        <v>8868</v>
      </c>
      <c r="P784">
        <f t="shared" ca="1" si="165"/>
        <v>6335</v>
      </c>
      <c r="Q784">
        <v>40</v>
      </c>
      <c r="R784" t="str">
        <f t="shared" si="166"/>
        <v>Old</v>
      </c>
      <c r="S784" t="s">
        <v>24</v>
      </c>
      <c r="T784">
        <v>7</v>
      </c>
      <c r="U784" t="s">
        <v>25</v>
      </c>
      <c r="V784">
        <v>5462.46</v>
      </c>
      <c r="W784" t="s">
        <v>26</v>
      </c>
      <c r="X784" t="s">
        <v>55</v>
      </c>
      <c r="Y784">
        <v>34</v>
      </c>
      <c r="Z784" t="str">
        <f t="shared" si="167"/>
        <v>Good Employee</v>
      </c>
      <c r="AA784" t="b">
        <f t="shared" si="168"/>
        <v>1</v>
      </c>
      <c r="AB784" t="b">
        <f>OR(Y784&gt;20, T784&gt;6)</f>
        <v>1</v>
      </c>
      <c r="AC784" t="str">
        <f>IF(OR(Y784&gt;20,T784&gt;6), "Good employee", "Bad Employee")</f>
        <v>Good employee</v>
      </c>
      <c r="AD784" t="s">
        <v>41</v>
      </c>
      <c r="AE784" t="s">
        <v>62</v>
      </c>
      <c r="AF784">
        <v>19</v>
      </c>
      <c r="AG784">
        <v>2011</v>
      </c>
      <c r="AH784" t="s">
        <v>49</v>
      </c>
      <c r="AI784">
        <v>41</v>
      </c>
      <c r="AJ784">
        <v>3.9</v>
      </c>
    </row>
    <row r="785" spans="1:36" x14ac:dyDescent="0.25">
      <c r="A785">
        <v>10784</v>
      </c>
      <c r="B785" t="s">
        <v>31</v>
      </c>
      <c r="C785" t="s">
        <v>61</v>
      </c>
      <c r="D785" t="s">
        <v>23</v>
      </c>
      <c r="E785" t="str">
        <f t="shared" si="156"/>
        <v>Emily Smith is in HR Department</v>
      </c>
      <c r="F785" s="6" t="str">
        <f t="shared" si="157"/>
        <v>emilysmith@gmail.com</v>
      </c>
      <c r="G785">
        <v>80290</v>
      </c>
      <c r="H785" t="str">
        <f t="shared" si="158"/>
        <v>High</v>
      </c>
      <c r="I785" s="3">
        <v>38151</v>
      </c>
      <c r="J785">
        <f t="shared" si="159"/>
        <v>2004</v>
      </c>
      <c r="K785">
        <f t="shared" si="160"/>
        <v>6</v>
      </c>
      <c r="L785">
        <f t="shared" si="161"/>
        <v>13</v>
      </c>
      <c r="M785" s="3">
        <f t="shared" ca="1" si="162"/>
        <v>46100</v>
      </c>
      <c r="N785">
        <f t="shared" ca="1" si="163"/>
        <v>7949</v>
      </c>
      <c r="O785">
        <f t="shared" ca="1" si="164"/>
        <v>7949</v>
      </c>
      <c r="P785">
        <f t="shared" ca="1" si="165"/>
        <v>5679</v>
      </c>
      <c r="Q785">
        <v>52</v>
      </c>
      <c r="R785" t="str">
        <f t="shared" si="166"/>
        <v>Old</v>
      </c>
      <c r="S785" t="s">
        <v>34</v>
      </c>
      <c r="T785">
        <v>9</v>
      </c>
      <c r="U785" t="s">
        <v>45</v>
      </c>
      <c r="V785">
        <v>6610.57</v>
      </c>
      <c r="W785" t="s">
        <v>26</v>
      </c>
      <c r="X785" t="s">
        <v>27</v>
      </c>
      <c r="Y785">
        <v>6</v>
      </c>
      <c r="Z785" t="str">
        <f t="shared" si="167"/>
        <v>Bad Employee</v>
      </c>
      <c r="AA785" t="b">
        <f t="shared" si="168"/>
        <v>0</v>
      </c>
      <c r="AB785" t="b">
        <f>OR(Y785&gt;20, T785&gt;6)</f>
        <v>1</v>
      </c>
      <c r="AC785" t="str">
        <f>IF(OR(Y785&gt;20,T785&gt;6), "Good employee", "Bad Employee")</f>
        <v>Good employee</v>
      </c>
      <c r="AD785" t="s">
        <v>56</v>
      </c>
      <c r="AE785" t="s">
        <v>62</v>
      </c>
      <c r="AF785">
        <v>10</v>
      </c>
      <c r="AG785">
        <v>2015</v>
      </c>
      <c r="AH785" t="s">
        <v>43</v>
      </c>
      <c r="AI785">
        <v>155</v>
      </c>
      <c r="AJ785">
        <v>4.8</v>
      </c>
    </row>
    <row r="786" spans="1:36" x14ac:dyDescent="0.25">
      <c r="A786">
        <v>10785</v>
      </c>
      <c r="B786" t="s">
        <v>60</v>
      </c>
      <c r="C786" t="s">
        <v>22</v>
      </c>
      <c r="D786" t="s">
        <v>54</v>
      </c>
      <c r="E786" t="str">
        <f t="shared" si="156"/>
        <v>Jane Williams is in Finance Department</v>
      </c>
      <c r="F786" s="6" t="str">
        <f t="shared" si="157"/>
        <v>janewilliams@gmail.com</v>
      </c>
      <c r="G786">
        <v>102793</v>
      </c>
      <c r="H786" t="str">
        <f t="shared" si="158"/>
        <v>High</v>
      </c>
      <c r="I786" s="3">
        <v>43359</v>
      </c>
      <c r="J786">
        <f t="shared" si="159"/>
        <v>2018</v>
      </c>
      <c r="K786">
        <f t="shared" si="160"/>
        <v>9</v>
      </c>
      <c r="L786">
        <f t="shared" si="161"/>
        <v>16</v>
      </c>
      <c r="M786" s="3">
        <f t="shared" ca="1" si="162"/>
        <v>46100</v>
      </c>
      <c r="N786">
        <f t="shared" ca="1" si="163"/>
        <v>2741</v>
      </c>
      <c r="O786">
        <f t="shared" ca="1" si="164"/>
        <v>2741</v>
      </c>
      <c r="P786">
        <f t="shared" ca="1" si="165"/>
        <v>1959</v>
      </c>
      <c r="Q786">
        <v>32</v>
      </c>
      <c r="R786" t="str">
        <f t="shared" si="166"/>
        <v>Old</v>
      </c>
      <c r="S786" t="s">
        <v>24</v>
      </c>
      <c r="T786">
        <v>3</v>
      </c>
      <c r="U786" t="s">
        <v>45</v>
      </c>
      <c r="V786">
        <v>8839.76</v>
      </c>
      <c r="W786" t="s">
        <v>35</v>
      </c>
      <c r="X786" t="s">
        <v>36</v>
      </c>
      <c r="Y786">
        <v>15</v>
      </c>
      <c r="Z786" t="str">
        <f t="shared" si="167"/>
        <v>Bad Employee</v>
      </c>
      <c r="AA786" t="b">
        <f t="shared" si="168"/>
        <v>0</v>
      </c>
      <c r="AB786" t="b">
        <f>OR(Y786&gt;20, T786&gt;6)</f>
        <v>0</v>
      </c>
      <c r="AC786" t="str">
        <f>IF(OR(Y786&gt;20,T786&gt;6), "Good employee", "Bad Employee")</f>
        <v>Bad Employee</v>
      </c>
      <c r="AD786" t="s">
        <v>56</v>
      </c>
      <c r="AE786" t="s">
        <v>37</v>
      </c>
      <c r="AF786">
        <v>12</v>
      </c>
      <c r="AG786">
        <v>2023</v>
      </c>
      <c r="AH786" t="s">
        <v>30</v>
      </c>
      <c r="AI786">
        <v>172</v>
      </c>
      <c r="AJ786">
        <v>1.1000000000000001</v>
      </c>
    </row>
    <row r="787" spans="1:36" x14ac:dyDescent="0.25">
      <c r="A787">
        <v>10786</v>
      </c>
      <c r="B787" t="s">
        <v>66</v>
      </c>
      <c r="C787" t="s">
        <v>51</v>
      </c>
      <c r="D787" t="s">
        <v>52</v>
      </c>
      <c r="E787" t="str">
        <f t="shared" si="156"/>
        <v>John Brown is in Operations Department</v>
      </c>
      <c r="F787" s="6" t="str">
        <f t="shared" si="157"/>
        <v>johnbrown@gmail.com</v>
      </c>
      <c r="G787">
        <v>66051</v>
      </c>
      <c r="H787" t="str">
        <f t="shared" si="158"/>
        <v>Medium</v>
      </c>
      <c r="I787" s="3">
        <v>41278</v>
      </c>
      <c r="J787">
        <f t="shared" si="159"/>
        <v>2013</v>
      </c>
      <c r="K787">
        <f t="shared" si="160"/>
        <v>1</v>
      </c>
      <c r="L787">
        <f t="shared" si="161"/>
        <v>4</v>
      </c>
      <c r="M787" s="3">
        <f t="shared" ca="1" si="162"/>
        <v>46100</v>
      </c>
      <c r="N787">
        <f t="shared" ca="1" si="163"/>
        <v>4822</v>
      </c>
      <c r="O787">
        <f t="shared" ca="1" si="164"/>
        <v>4822</v>
      </c>
      <c r="P787">
        <f t="shared" ca="1" si="165"/>
        <v>3445</v>
      </c>
      <c r="Q787">
        <v>27</v>
      </c>
      <c r="R787" t="str">
        <f t="shared" si="166"/>
        <v>Young</v>
      </c>
      <c r="S787" t="s">
        <v>34</v>
      </c>
      <c r="T787">
        <v>5</v>
      </c>
      <c r="U787" t="s">
        <v>45</v>
      </c>
      <c r="V787">
        <v>4391.71</v>
      </c>
      <c r="W787" t="s">
        <v>35</v>
      </c>
      <c r="X787" t="s">
        <v>36</v>
      </c>
      <c r="Y787">
        <v>10</v>
      </c>
      <c r="Z787" t="str">
        <f t="shared" si="167"/>
        <v>Bad Employee</v>
      </c>
      <c r="AA787" t="b">
        <f t="shared" si="168"/>
        <v>0</v>
      </c>
      <c r="AB787" t="b">
        <f>OR(Y787&gt;20, T787&gt;6)</f>
        <v>0</v>
      </c>
      <c r="AC787" t="str">
        <f>IF(OR(Y787&gt;20,T787&gt;6), "Good employee", "Bad Employee")</f>
        <v>Bad Employee</v>
      </c>
      <c r="AD787" t="s">
        <v>28</v>
      </c>
      <c r="AE787" t="s">
        <v>62</v>
      </c>
      <c r="AF787">
        <v>12</v>
      </c>
      <c r="AG787">
        <v>2014</v>
      </c>
      <c r="AH787" t="s">
        <v>43</v>
      </c>
      <c r="AI787">
        <v>175</v>
      </c>
      <c r="AJ787">
        <v>4.7</v>
      </c>
    </row>
    <row r="788" spans="1:36" x14ac:dyDescent="0.25">
      <c r="A788">
        <v>10787</v>
      </c>
      <c r="B788" t="s">
        <v>21</v>
      </c>
      <c r="C788" t="s">
        <v>61</v>
      </c>
      <c r="D788" t="s">
        <v>44</v>
      </c>
      <c r="E788" t="str">
        <f t="shared" si="156"/>
        <v>Michael Smith is in Sales Department</v>
      </c>
      <c r="F788" s="6" t="str">
        <f t="shared" si="157"/>
        <v>michaelsmith@gmail.com</v>
      </c>
      <c r="G788">
        <v>45909</v>
      </c>
      <c r="H788" t="str">
        <f t="shared" si="158"/>
        <v>low</v>
      </c>
      <c r="I788" s="3">
        <v>40311</v>
      </c>
      <c r="J788">
        <f t="shared" si="159"/>
        <v>2010</v>
      </c>
      <c r="K788">
        <f t="shared" si="160"/>
        <v>5</v>
      </c>
      <c r="L788">
        <f t="shared" si="161"/>
        <v>13</v>
      </c>
      <c r="M788" s="3">
        <f t="shared" ca="1" si="162"/>
        <v>46100</v>
      </c>
      <c r="N788">
        <f t="shared" ca="1" si="163"/>
        <v>5789</v>
      </c>
      <c r="O788">
        <f t="shared" ca="1" si="164"/>
        <v>5789</v>
      </c>
      <c r="P788">
        <f t="shared" ca="1" si="165"/>
        <v>4136</v>
      </c>
      <c r="Q788">
        <v>27</v>
      </c>
      <c r="R788" t="str">
        <f t="shared" si="166"/>
        <v>Young</v>
      </c>
      <c r="S788" t="s">
        <v>34</v>
      </c>
      <c r="T788">
        <v>4</v>
      </c>
      <c r="U788" t="s">
        <v>25</v>
      </c>
      <c r="V788">
        <v>4477.58</v>
      </c>
      <c r="W788" t="s">
        <v>46</v>
      </c>
      <c r="X788" t="s">
        <v>47</v>
      </c>
      <c r="Y788">
        <v>36</v>
      </c>
      <c r="Z788" t="str">
        <f t="shared" si="167"/>
        <v>Bad Employee</v>
      </c>
      <c r="AA788" t="b">
        <f t="shared" si="168"/>
        <v>0</v>
      </c>
      <c r="AB788" t="b">
        <f>OR(Y788&gt;20, T788&gt;6)</f>
        <v>1</v>
      </c>
      <c r="AC788" t="str">
        <f>IF(OR(Y788&gt;20,T788&gt;6), "Good employee", "Bad Employee")</f>
        <v>Good employee</v>
      </c>
      <c r="AD788" t="s">
        <v>41</v>
      </c>
      <c r="AE788" t="s">
        <v>42</v>
      </c>
      <c r="AF788">
        <v>8</v>
      </c>
      <c r="AG788">
        <v>2016</v>
      </c>
      <c r="AH788" t="s">
        <v>43</v>
      </c>
      <c r="AI788">
        <v>8</v>
      </c>
      <c r="AJ788">
        <v>3.2</v>
      </c>
    </row>
    <row r="789" spans="1:36" x14ac:dyDescent="0.25">
      <c r="A789">
        <v>10788</v>
      </c>
      <c r="B789" t="s">
        <v>53</v>
      </c>
      <c r="C789" t="s">
        <v>61</v>
      </c>
      <c r="D789" t="s">
        <v>52</v>
      </c>
      <c r="E789" t="str">
        <f t="shared" si="156"/>
        <v>Sarah Smith is in Operations Department</v>
      </c>
      <c r="F789" s="6" t="str">
        <f t="shared" si="157"/>
        <v>sarahsmith@gmail.com</v>
      </c>
      <c r="G789">
        <v>119682</v>
      </c>
      <c r="H789" t="str">
        <f t="shared" si="158"/>
        <v>High</v>
      </c>
      <c r="I789" s="3">
        <v>37871</v>
      </c>
      <c r="J789">
        <f t="shared" si="159"/>
        <v>2003</v>
      </c>
      <c r="K789">
        <f t="shared" si="160"/>
        <v>9</v>
      </c>
      <c r="L789">
        <f t="shared" si="161"/>
        <v>7</v>
      </c>
      <c r="M789" s="3">
        <f t="shared" ca="1" si="162"/>
        <v>46100</v>
      </c>
      <c r="N789">
        <f t="shared" ca="1" si="163"/>
        <v>8229</v>
      </c>
      <c r="O789">
        <f t="shared" ca="1" si="164"/>
        <v>8229</v>
      </c>
      <c r="P789">
        <f t="shared" ca="1" si="165"/>
        <v>5879</v>
      </c>
      <c r="Q789">
        <v>53</v>
      </c>
      <c r="R789" t="str">
        <f t="shared" si="166"/>
        <v>Old</v>
      </c>
      <c r="S789" t="s">
        <v>34</v>
      </c>
      <c r="T789">
        <v>9</v>
      </c>
      <c r="U789" t="s">
        <v>45</v>
      </c>
      <c r="V789">
        <v>5508.23</v>
      </c>
      <c r="W789" t="s">
        <v>58</v>
      </c>
      <c r="X789" t="s">
        <v>40</v>
      </c>
      <c r="Y789">
        <v>6</v>
      </c>
      <c r="Z789" t="str">
        <f t="shared" si="167"/>
        <v>Bad Employee</v>
      </c>
      <c r="AA789" t="b">
        <f t="shared" si="168"/>
        <v>0</v>
      </c>
      <c r="AB789" t="b">
        <f>OR(Y789&gt;20, T789&gt;6)</f>
        <v>1</v>
      </c>
      <c r="AC789" t="str">
        <f>IF(OR(Y789&gt;20,T789&gt;6), "Good employee", "Bad Employee")</f>
        <v>Good employee</v>
      </c>
      <c r="AD789" t="s">
        <v>41</v>
      </c>
      <c r="AE789" t="s">
        <v>48</v>
      </c>
      <c r="AF789">
        <v>4</v>
      </c>
      <c r="AG789">
        <v>2011</v>
      </c>
      <c r="AH789" t="s">
        <v>30</v>
      </c>
      <c r="AI789">
        <v>86</v>
      </c>
      <c r="AJ789">
        <v>1.4</v>
      </c>
    </row>
    <row r="790" spans="1:36" x14ac:dyDescent="0.25">
      <c r="A790">
        <v>10789</v>
      </c>
      <c r="B790" t="s">
        <v>53</v>
      </c>
      <c r="C790" t="s">
        <v>32</v>
      </c>
      <c r="D790" t="s">
        <v>33</v>
      </c>
      <c r="E790" t="str">
        <f t="shared" si="156"/>
        <v>Sarah Wilson is in Marketing Department</v>
      </c>
      <c r="F790" s="6" t="str">
        <f t="shared" si="157"/>
        <v>sarahwilson@gmail.com</v>
      </c>
      <c r="G790">
        <v>107338</v>
      </c>
      <c r="H790" t="str">
        <f t="shared" si="158"/>
        <v>High</v>
      </c>
      <c r="I790" s="3">
        <v>36869</v>
      </c>
      <c r="J790">
        <f t="shared" si="159"/>
        <v>2000</v>
      </c>
      <c r="K790">
        <f t="shared" si="160"/>
        <v>12</v>
      </c>
      <c r="L790">
        <f t="shared" si="161"/>
        <v>9</v>
      </c>
      <c r="M790" s="3">
        <f t="shared" ca="1" si="162"/>
        <v>46100</v>
      </c>
      <c r="N790">
        <f t="shared" ca="1" si="163"/>
        <v>9231</v>
      </c>
      <c r="O790">
        <f t="shared" ca="1" si="164"/>
        <v>9231</v>
      </c>
      <c r="P790">
        <f t="shared" ca="1" si="165"/>
        <v>6594</v>
      </c>
      <c r="Q790">
        <v>60</v>
      </c>
      <c r="R790" t="str">
        <f t="shared" si="166"/>
        <v>Old</v>
      </c>
      <c r="S790" t="s">
        <v>24</v>
      </c>
      <c r="T790">
        <v>5</v>
      </c>
      <c r="U790" t="s">
        <v>25</v>
      </c>
      <c r="V790">
        <v>681.47</v>
      </c>
      <c r="W790" t="s">
        <v>26</v>
      </c>
      <c r="X790" t="s">
        <v>47</v>
      </c>
      <c r="Y790">
        <v>6</v>
      </c>
      <c r="Z790" t="str">
        <f t="shared" si="167"/>
        <v>Bad Employee</v>
      </c>
      <c r="AA790" t="b">
        <f t="shared" si="168"/>
        <v>0</v>
      </c>
      <c r="AB790" t="b">
        <f>OR(Y790&gt;20, T790&gt;6)</f>
        <v>0</v>
      </c>
      <c r="AC790" t="str">
        <f>IF(OR(Y790&gt;20,T790&gt;6), "Good employee", "Bad Employee")</f>
        <v>Bad Employee</v>
      </c>
      <c r="AD790" t="s">
        <v>56</v>
      </c>
      <c r="AE790" t="s">
        <v>37</v>
      </c>
      <c r="AF790">
        <v>17</v>
      </c>
      <c r="AG790">
        <v>2023</v>
      </c>
      <c r="AH790" t="s">
        <v>43</v>
      </c>
      <c r="AI790">
        <v>19</v>
      </c>
      <c r="AJ790">
        <v>1.9</v>
      </c>
    </row>
    <row r="791" spans="1:36" x14ac:dyDescent="0.25">
      <c r="A791">
        <v>10790</v>
      </c>
      <c r="B791" t="s">
        <v>21</v>
      </c>
      <c r="C791" t="s">
        <v>65</v>
      </c>
      <c r="D791" t="s">
        <v>23</v>
      </c>
      <c r="E791" t="str">
        <f t="shared" si="156"/>
        <v>Michael Johnson is in HR Department</v>
      </c>
      <c r="F791" s="6" t="str">
        <f t="shared" si="157"/>
        <v>michaeljohnson@gmail.com</v>
      </c>
      <c r="G791">
        <v>103432</v>
      </c>
      <c r="H791" t="str">
        <f t="shared" si="158"/>
        <v>High</v>
      </c>
      <c r="I791" s="3">
        <v>40312</v>
      </c>
      <c r="J791">
        <f t="shared" si="159"/>
        <v>2010</v>
      </c>
      <c r="K791">
        <f t="shared" si="160"/>
        <v>5</v>
      </c>
      <c r="L791">
        <f t="shared" si="161"/>
        <v>14</v>
      </c>
      <c r="M791" s="3">
        <f t="shared" ca="1" si="162"/>
        <v>46100</v>
      </c>
      <c r="N791">
        <f t="shared" ca="1" si="163"/>
        <v>5788</v>
      </c>
      <c r="O791">
        <f t="shared" ca="1" si="164"/>
        <v>5788</v>
      </c>
      <c r="P791">
        <f t="shared" ca="1" si="165"/>
        <v>4135</v>
      </c>
      <c r="Q791">
        <v>34</v>
      </c>
      <c r="R791" t="str">
        <f t="shared" si="166"/>
        <v>Old</v>
      </c>
      <c r="S791" t="s">
        <v>34</v>
      </c>
      <c r="T791">
        <v>2</v>
      </c>
      <c r="U791" t="s">
        <v>25</v>
      </c>
      <c r="V791">
        <v>5218.33</v>
      </c>
      <c r="W791" t="s">
        <v>58</v>
      </c>
      <c r="X791" t="s">
        <v>47</v>
      </c>
      <c r="Y791">
        <v>15</v>
      </c>
      <c r="Z791" t="str">
        <f t="shared" si="167"/>
        <v>Bad Employee</v>
      </c>
      <c r="AA791" t="b">
        <f t="shared" si="168"/>
        <v>0</v>
      </c>
      <c r="AB791" t="b">
        <f>OR(Y791&gt;20, T791&gt;6)</f>
        <v>0</v>
      </c>
      <c r="AC791" t="str">
        <f>IF(OR(Y791&gt;20,T791&gt;6), "Good employee", "Bad Employee")</f>
        <v>Bad Employee</v>
      </c>
      <c r="AD791" t="s">
        <v>28</v>
      </c>
      <c r="AE791" t="s">
        <v>42</v>
      </c>
      <c r="AF791">
        <v>7</v>
      </c>
      <c r="AG791">
        <v>2022</v>
      </c>
      <c r="AH791" t="s">
        <v>30</v>
      </c>
      <c r="AI791">
        <v>155</v>
      </c>
      <c r="AJ791">
        <v>4.4000000000000004</v>
      </c>
    </row>
    <row r="792" spans="1:36" x14ac:dyDescent="0.25">
      <c r="A792">
        <v>10791</v>
      </c>
      <c r="B792" t="s">
        <v>64</v>
      </c>
      <c r="C792" t="s">
        <v>32</v>
      </c>
      <c r="D792" t="s">
        <v>39</v>
      </c>
      <c r="E792" t="str">
        <f t="shared" si="156"/>
        <v>Katie Wilson is in IT Department</v>
      </c>
      <c r="F792" s="6" t="str">
        <f t="shared" si="157"/>
        <v>katiewilson@gmail.com</v>
      </c>
      <c r="G792">
        <v>58133</v>
      </c>
      <c r="H792" t="str">
        <f t="shared" si="158"/>
        <v>Medium</v>
      </c>
      <c r="I792" s="3">
        <v>37061</v>
      </c>
      <c r="J792">
        <f t="shared" si="159"/>
        <v>2001</v>
      </c>
      <c r="K792">
        <f t="shared" si="160"/>
        <v>6</v>
      </c>
      <c r="L792">
        <f t="shared" si="161"/>
        <v>19</v>
      </c>
      <c r="M792" s="3">
        <f t="shared" ca="1" si="162"/>
        <v>46100</v>
      </c>
      <c r="N792">
        <f t="shared" ca="1" si="163"/>
        <v>9039</v>
      </c>
      <c r="O792">
        <f t="shared" ca="1" si="164"/>
        <v>9039</v>
      </c>
      <c r="P792">
        <f t="shared" ca="1" si="165"/>
        <v>6458</v>
      </c>
      <c r="Q792">
        <v>24</v>
      </c>
      <c r="R792" t="str">
        <f t="shared" si="166"/>
        <v>Young</v>
      </c>
      <c r="S792" t="s">
        <v>24</v>
      </c>
      <c r="T792">
        <v>1</v>
      </c>
      <c r="U792" t="s">
        <v>45</v>
      </c>
      <c r="V792">
        <v>3265.33</v>
      </c>
      <c r="W792" t="s">
        <v>26</v>
      </c>
      <c r="X792" t="s">
        <v>55</v>
      </c>
      <c r="Y792">
        <v>29</v>
      </c>
      <c r="Z792" t="str">
        <f t="shared" si="167"/>
        <v>Bad Employee</v>
      </c>
      <c r="AA792" t="b">
        <f t="shared" si="168"/>
        <v>0</v>
      </c>
      <c r="AB792" t="b">
        <f>OR(Y792&gt;20, T792&gt;6)</f>
        <v>1</v>
      </c>
      <c r="AC792" t="str">
        <f>IF(OR(Y792&gt;20,T792&gt;6), "Good employee", "Bad Employee")</f>
        <v>Good employee</v>
      </c>
      <c r="AD792" t="s">
        <v>28</v>
      </c>
      <c r="AE792" t="s">
        <v>62</v>
      </c>
      <c r="AF792">
        <v>19</v>
      </c>
      <c r="AG792">
        <v>2015</v>
      </c>
      <c r="AH792" t="s">
        <v>30</v>
      </c>
      <c r="AI792">
        <v>144</v>
      </c>
      <c r="AJ792">
        <v>3</v>
      </c>
    </row>
    <row r="793" spans="1:36" x14ac:dyDescent="0.25">
      <c r="A793">
        <v>10792</v>
      </c>
      <c r="B793" t="s">
        <v>53</v>
      </c>
      <c r="C793" t="s">
        <v>32</v>
      </c>
      <c r="D793" t="s">
        <v>23</v>
      </c>
      <c r="E793" t="str">
        <f t="shared" si="156"/>
        <v>Sarah Wilson is in HR Department</v>
      </c>
      <c r="F793" s="6" t="str">
        <f t="shared" si="157"/>
        <v>sarahwilson@gmail.com</v>
      </c>
      <c r="G793">
        <v>81571</v>
      </c>
      <c r="H793" t="str">
        <f t="shared" si="158"/>
        <v>High</v>
      </c>
      <c r="I793" s="3">
        <v>36880</v>
      </c>
      <c r="J793">
        <f t="shared" si="159"/>
        <v>2000</v>
      </c>
      <c r="K793">
        <f t="shared" si="160"/>
        <v>12</v>
      </c>
      <c r="L793">
        <f t="shared" si="161"/>
        <v>20</v>
      </c>
      <c r="M793" s="3">
        <f t="shared" ca="1" si="162"/>
        <v>46100</v>
      </c>
      <c r="N793">
        <f t="shared" ca="1" si="163"/>
        <v>9220</v>
      </c>
      <c r="O793">
        <f t="shared" ca="1" si="164"/>
        <v>9220</v>
      </c>
      <c r="P793">
        <f t="shared" ca="1" si="165"/>
        <v>6587</v>
      </c>
      <c r="Q793">
        <v>62</v>
      </c>
      <c r="R793" t="str">
        <f t="shared" si="166"/>
        <v>Old</v>
      </c>
      <c r="S793" t="s">
        <v>24</v>
      </c>
      <c r="T793">
        <v>7</v>
      </c>
      <c r="U793" t="s">
        <v>45</v>
      </c>
      <c r="V793">
        <v>9315.56</v>
      </c>
      <c r="W793" t="s">
        <v>26</v>
      </c>
      <c r="X793" t="s">
        <v>36</v>
      </c>
      <c r="Y793">
        <v>25</v>
      </c>
      <c r="Z793" t="str">
        <f t="shared" si="167"/>
        <v>Good Employee</v>
      </c>
      <c r="AA793" t="b">
        <f t="shared" si="168"/>
        <v>1</v>
      </c>
      <c r="AB793" t="b">
        <f>OR(Y793&gt;20, T793&gt;6)</f>
        <v>1</v>
      </c>
      <c r="AC793" t="str">
        <f>IF(OR(Y793&gt;20,T793&gt;6), "Good employee", "Bad Employee")</f>
        <v>Good employee</v>
      </c>
      <c r="AD793" t="s">
        <v>28</v>
      </c>
      <c r="AE793" t="s">
        <v>48</v>
      </c>
      <c r="AF793">
        <v>13</v>
      </c>
      <c r="AG793">
        <v>2020</v>
      </c>
      <c r="AH793" t="s">
        <v>30</v>
      </c>
      <c r="AI793">
        <v>72</v>
      </c>
      <c r="AJ793">
        <v>4.9000000000000004</v>
      </c>
    </row>
    <row r="794" spans="1:36" x14ac:dyDescent="0.25">
      <c r="A794">
        <v>10793</v>
      </c>
      <c r="B794" t="s">
        <v>38</v>
      </c>
      <c r="C794" t="s">
        <v>22</v>
      </c>
      <c r="D794" t="s">
        <v>39</v>
      </c>
      <c r="E794" t="str">
        <f t="shared" si="156"/>
        <v>Chris Williams is in IT Department</v>
      </c>
      <c r="F794" s="6" t="str">
        <f t="shared" si="157"/>
        <v>chriswilliams@gmail.com</v>
      </c>
      <c r="G794">
        <v>109062</v>
      </c>
      <c r="H794" t="str">
        <f t="shared" si="158"/>
        <v>High</v>
      </c>
      <c r="I794" s="3">
        <v>40068</v>
      </c>
      <c r="J794">
        <f t="shared" si="159"/>
        <v>2009</v>
      </c>
      <c r="K794">
        <f t="shared" si="160"/>
        <v>9</v>
      </c>
      <c r="L794">
        <f t="shared" si="161"/>
        <v>12</v>
      </c>
      <c r="M794" s="3">
        <f t="shared" ca="1" si="162"/>
        <v>46100</v>
      </c>
      <c r="N794">
        <f t="shared" ca="1" si="163"/>
        <v>6032</v>
      </c>
      <c r="O794">
        <f t="shared" ca="1" si="164"/>
        <v>6032</v>
      </c>
      <c r="P794">
        <f t="shared" ca="1" si="165"/>
        <v>4309</v>
      </c>
      <c r="Q794">
        <v>56</v>
      </c>
      <c r="R794" t="str">
        <f t="shared" si="166"/>
        <v>Old</v>
      </c>
      <c r="S794" t="s">
        <v>24</v>
      </c>
      <c r="T794">
        <v>1</v>
      </c>
      <c r="U794" t="s">
        <v>25</v>
      </c>
      <c r="V794">
        <v>1333.49</v>
      </c>
      <c r="W794" t="s">
        <v>58</v>
      </c>
      <c r="X794" t="s">
        <v>27</v>
      </c>
      <c r="Y794">
        <v>19</v>
      </c>
      <c r="Z794" t="str">
        <f t="shared" si="167"/>
        <v>Bad Employee</v>
      </c>
      <c r="AA794" t="b">
        <f t="shared" si="168"/>
        <v>0</v>
      </c>
      <c r="AB794" t="b">
        <f>OR(Y794&gt;20, T794&gt;6)</f>
        <v>0</v>
      </c>
      <c r="AC794" t="str">
        <f>IF(OR(Y794&gt;20,T794&gt;6), "Good employee", "Bad Employee")</f>
        <v>Bad Employee</v>
      </c>
      <c r="AD794" t="s">
        <v>56</v>
      </c>
      <c r="AE794" t="s">
        <v>42</v>
      </c>
      <c r="AF794">
        <v>1</v>
      </c>
      <c r="AG794">
        <v>2014</v>
      </c>
      <c r="AH794" t="s">
        <v>49</v>
      </c>
      <c r="AI794">
        <v>72</v>
      </c>
      <c r="AJ794">
        <v>1.5</v>
      </c>
    </row>
    <row r="795" spans="1:36" x14ac:dyDescent="0.25">
      <c r="A795">
        <v>10794</v>
      </c>
      <c r="B795" t="s">
        <v>31</v>
      </c>
      <c r="C795" t="s">
        <v>63</v>
      </c>
      <c r="D795" t="s">
        <v>54</v>
      </c>
      <c r="E795" t="str">
        <f t="shared" si="156"/>
        <v>Emily Miller is in Finance Department</v>
      </c>
      <c r="F795" s="6" t="str">
        <f t="shared" si="157"/>
        <v>emilymiller@gmail.com</v>
      </c>
      <c r="G795">
        <v>80908</v>
      </c>
      <c r="H795" t="str">
        <f t="shared" si="158"/>
        <v>High</v>
      </c>
      <c r="I795" s="3">
        <v>41549</v>
      </c>
      <c r="J795">
        <f t="shared" si="159"/>
        <v>2013</v>
      </c>
      <c r="K795">
        <f t="shared" si="160"/>
        <v>10</v>
      </c>
      <c r="L795">
        <f t="shared" si="161"/>
        <v>2</v>
      </c>
      <c r="M795" s="3">
        <f t="shared" ca="1" si="162"/>
        <v>46100</v>
      </c>
      <c r="N795">
        <f t="shared" ca="1" si="163"/>
        <v>4551</v>
      </c>
      <c r="O795">
        <f t="shared" ca="1" si="164"/>
        <v>4551</v>
      </c>
      <c r="P795">
        <f t="shared" ca="1" si="165"/>
        <v>3252</v>
      </c>
      <c r="Q795">
        <v>59</v>
      </c>
      <c r="R795" t="str">
        <f t="shared" si="166"/>
        <v>Old</v>
      </c>
      <c r="S795" t="s">
        <v>34</v>
      </c>
      <c r="T795">
        <v>8</v>
      </c>
      <c r="U795" t="s">
        <v>25</v>
      </c>
      <c r="V795">
        <v>4863.54</v>
      </c>
      <c r="W795" t="s">
        <v>58</v>
      </c>
      <c r="X795" t="s">
        <v>40</v>
      </c>
      <c r="Y795">
        <v>14</v>
      </c>
      <c r="Z795" t="str">
        <f t="shared" si="167"/>
        <v>Bad Employee</v>
      </c>
      <c r="AA795" t="b">
        <f t="shared" si="168"/>
        <v>0</v>
      </c>
      <c r="AB795" t="b">
        <f>OR(Y795&gt;20, T795&gt;6)</f>
        <v>1</v>
      </c>
      <c r="AC795" t="str">
        <f>IF(OR(Y795&gt;20,T795&gt;6), "Good employee", "Bad Employee")</f>
        <v>Good employee</v>
      </c>
      <c r="AD795" t="s">
        <v>41</v>
      </c>
      <c r="AE795" t="s">
        <v>48</v>
      </c>
      <c r="AF795">
        <v>15</v>
      </c>
      <c r="AG795">
        <v>2015</v>
      </c>
      <c r="AH795" t="s">
        <v>30</v>
      </c>
      <c r="AI795">
        <v>184</v>
      </c>
      <c r="AJ795">
        <v>2.7</v>
      </c>
    </row>
    <row r="796" spans="1:36" x14ac:dyDescent="0.25">
      <c r="A796">
        <v>10795</v>
      </c>
      <c r="B796" t="s">
        <v>66</v>
      </c>
      <c r="C796" t="s">
        <v>61</v>
      </c>
      <c r="D796" t="s">
        <v>54</v>
      </c>
      <c r="E796" t="str">
        <f t="shared" si="156"/>
        <v>John Smith is in Finance Department</v>
      </c>
      <c r="F796" s="6" t="str">
        <f t="shared" si="157"/>
        <v>johnsmith@gmail.com</v>
      </c>
      <c r="G796">
        <v>41278</v>
      </c>
      <c r="H796" t="str">
        <f t="shared" si="158"/>
        <v>low</v>
      </c>
      <c r="I796" s="3">
        <v>37508</v>
      </c>
      <c r="J796">
        <f t="shared" si="159"/>
        <v>2002</v>
      </c>
      <c r="K796">
        <f t="shared" si="160"/>
        <v>9</v>
      </c>
      <c r="L796">
        <f t="shared" si="161"/>
        <v>9</v>
      </c>
      <c r="M796" s="3">
        <f t="shared" ca="1" si="162"/>
        <v>46100</v>
      </c>
      <c r="N796">
        <f t="shared" ca="1" si="163"/>
        <v>8592</v>
      </c>
      <c r="O796">
        <f t="shared" ca="1" si="164"/>
        <v>8592</v>
      </c>
      <c r="P796">
        <f t="shared" ca="1" si="165"/>
        <v>6139</v>
      </c>
      <c r="Q796">
        <v>38</v>
      </c>
      <c r="R796" t="str">
        <f t="shared" si="166"/>
        <v>Old</v>
      </c>
      <c r="S796" t="s">
        <v>24</v>
      </c>
      <c r="T796">
        <v>9</v>
      </c>
      <c r="U796" t="s">
        <v>45</v>
      </c>
      <c r="V796">
        <v>9500.9500000000007</v>
      </c>
      <c r="W796" t="s">
        <v>26</v>
      </c>
      <c r="X796" t="s">
        <v>27</v>
      </c>
      <c r="Y796">
        <v>3</v>
      </c>
      <c r="Z796" t="str">
        <f t="shared" si="167"/>
        <v>Bad Employee</v>
      </c>
      <c r="AA796" t="b">
        <f t="shared" si="168"/>
        <v>0</v>
      </c>
      <c r="AB796" t="b">
        <f>OR(Y796&gt;20, T796&gt;6)</f>
        <v>1</v>
      </c>
      <c r="AC796" t="str">
        <f>IF(OR(Y796&gt;20,T796&gt;6), "Good employee", "Bad Employee")</f>
        <v>Good employee</v>
      </c>
      <c r="AD796" t="s">
        <v>28</v>
      </c>
      <c r="AE796" t="s">
        <v>37</v>
      </c>
      <c r="AF796">
        <v>0</v>
      </c>
      <c r="AG796">
        <v>2014</v>
      </c>
      <c r="AH796" t="s">
        <v>30</v>
      </c>
      <c r="AI796">
        <v>173</v>
      </c>
      <c r="AJ796">
        <v>2.2999999999999998</v>
      </c>
    </row>
    <row r="797" spans="1:36" x14ac:dyDescent="0.25">
      <c r="A797">
        <v>10796</v>
      </c>
      <c r="B797" t="s">
        <v>21</v>
      </c>
      <c r="C797" t="s">
        <v>32</v>
      </c>
      <c r="D797" t="s">
        <v>52</v>
      </c>
      <c r="E797" t="str">
        <f t="shared" si="156"/>
        <v>Michael Wilson is in Operations Department</v>
      </c>
      <c r="F797" s="6" t="str">
        <f t="shared" si="157"/>
        <v>michaelwilson@gmail.com</v>
      </c>
      <c r="G797">
        <v>81458</v>
      </c>
      <c r="H797" t="str">
        <f t="shared" si="158"/>
        <v>High</v>
      </c>
      <c r="I797" s="3">
        <v>42639</v>
      </c>
      <c r="J797">
        <f t="shared" si="159"/>
        <v>2016</v>
      </c>
      <c r="K797">
        <f t="shared" si="160"/>
        <v>9</v>
      </c>
      <c r="L797">
        <f t="shared" si="161"/>
        <v>26</v>
      </c>
      <c r="M797" s="3">
        <f t="shared" ca="1" si="162"/>
        <v>46100</v>
      </c>
      <c r="N797">
        <f t="shared" ca="1" si="163"/>
        <v>3461</v>
      </c>
      <c r="O797">
        <f t="shared" ca="1" si="164"/>
        <v>3461</v>
      </c>
      <c r="P797">
        <f t="shared" ca="1" si="165"/>
        <v>2474</v>
      </c>
      <c r="Q797">
        <v>24</v>
      </c>
      <c r="R797" t="str">
        <f t="shared" si="166"/>
        <v>Young</v>
      </c>
      <c r="S797" t="s">
        <v>24</v>
      </c>
      <c r="T797">
        <v>7</v>
      </c>
      <c r="U797" t="s">
        <v>45</v>
      </c>
      <c r="V797">
        <v>9059.83</v>
      </c>
      <c r="W797" t="s">
        <v>35</v>
      </c>
      <c r="X797" t="s">
        <v>40</v>
      </c>
      <c r="Y797">
        <v>14</v>
      </c>
      <c r="Z797" t="str">
        <f t="shared" si="167"/>
        <v>Bad Employee</v>
      </c>
      <c r="AA797" t="b">
        <f t="shared" si="168"/>
        <v>0</v>
      </c>
      <c r="AB797" t="b">
        <f>OR(Y797&gt;20, T797&gt;6)</f>
        <v>1</v>
      </c>
      <c r="AC797" t="str">
        <f>IF(OR(Y797&gt;20,T797&gt;6), "Good employee", "Bad Employee")</f>
        <v>Good employee</v>
      </c>
      <c r="AD797" t="s">
        <v>28</v>
      </c>
      <c r="AE797" t="s">
        <v>42</v>
      </c>
      <c r="AF797">
        <v>12</v>
      </c>
      <c r="AG797">
        <v>2016</v>
      </c>
      <c r="AH797" t="s">
        <v>43</v>
      </c>
      <c r="AI797">
        <v>109</v>
      </c>
      <c r="AJ797">
        <v>3.1</v>
      </c>
    </row>
    <row r="798" spans="1:36" x14ac:dyDescent="0.25">
      <c r="A798">
        <v>10797</v>
      </c>
      <c r="B798" t="s">
        <v>38</v>
      </c>
      <c r="C798" t="s">
        <v>32</v>
      </c>
      <c r="D798" t="s">
        <v>44</v>
      </c>
      <c r="E798" t="str">
        <f t="shared" si="156"/>
        <v>Chris Wilson is in Sales Department</v>
      </c>
      <c r="F798" s="6" t="str">
        <f t="shared" si="157"/>
        <v>chriswilson@gmail.com</v>
      </c>
      <c r="G798">
        <v>94265</v>
      </c>
      <c r="H798" t="str">
        <f t="shared" si="158"/>
        <v>High</v>
      </c>
      <c r="I798" s="3">
        <v>42774</v>
      </c>
      <c r="J798">
        <f t="shared" si="159"/>
        <v>2017</v>
      </c>
      <c r="K798">
        <f t="shared" si="160"/>
        <v>2</v>
      </c>
      <c r="L798">
        <f t="shared" si="161"/>
        <v>8</v>
      </c>
      <c r="M798" s="3">
        <f t="shared" ca="1" si="162"/>
        <v>46100</v>
      </c>
      <c r="N798">
        <f t="shared" ca="1" si="163"/>
        <v>3326</v>
      </c>
      <c r="O798">
        <f t="shared" ca="1" si="164"/>
        <v>3326</v>
      </c>
      <c r="P798">
        <f t="shared" ca="1" si="165"/>
        <v>2377</v>
      </c>
      <c r="Q798">
        <v>55</v>
      </c>
      <c r="R798" t="str">
        <f t="shared" si="166"/>
        <v>Old</v>
      </c>
      <c r="S798" t="s">
        <v>34</v>
      </c>
      <c r="T798">
        <v>9</v>
      </c>
      <c r="U798" t="s">
        <v>45</v>
      </c>
      <c r="V798">
        <v>7162.81</v>
      </c>
      <c r="W798" t="s">
        <v>46</v>
      </c>
      <c r="X798" t="s">
        <v>36</v>
      </c>
      <c r="Y798">
        <v>39</v>
      </c>
      <c r="Z798" t="str">
        <f t="shared" si="167"/>
        <v>Good Employee</v>
      </c>
      <c r="AA798" t="b">
        <f t="shared" si="168"/>
        <v>1</v>
      </c>
      <c r="AB798" t="b">
        <f>OR(Y798&gt;20, T798&gt;6)</f>
        <v>1</v>
      </c>
      <c r="AC798" t="str">
        <f>IF(OR(Y798&gt;20,T798&gt;6), "Good employee", "Bad Employee")</f>
        <v>Good employee</v>
      </c>
      <c r="AD798" t="s">
        <v>41</v>
      </c>
      <c r="AE798" t="s">
        <v>48</v>
      </c>
      <c r="AF798">
        <v>17</v>
      </c>
      <c r="AG798">
        <v>2014</v>
      </c>
      <c r="AH798" t="s">
        <v>49</v>
      </c>
      <c r="AI798">
        <v>63</v>
      </c>
      <c r="AJ798">
        <v>3.5</v>
      </c>
    </row>
    <row r="799" spans="1:36" x14ac:dyDescent="0.25">
      <c r="A799">
        <v>10798</v>
      </c>
      <c r="B799" t="s">
        <v>21</v>
      </c>
      <c r="C799" t="s">
        <v>65</v>
      </c>
      <c r="D799" t="s">
        <v>54</v>
      </c>
      <c r="E799" t="str">
        <f t="shared" si="156"/>
        <v>Michael Johnson is in Finance Department</v>
      </c>
      <c r="F799" s="6" t="str">
        <f t="shared" si="157"/>
        <v>michaeljohnson@gmail.com</v>
      </c>
      <c r="G799">
        <v>86782</v>
      </c>
      <c r="H799" t="str">
        <f t="shared" si="158"/>
        <v>High</v>
      </c>
      <c r="I799" s="3">
        <v>37871</v>
      </c>
      <c r="J799">
        <f t="shared" si="159"/>
        <v>2003</v>
      </c>
      <c r="K799">
        <f t="shared" si="160"/>
        <v>9</v>
      </c>
      <c r="L799">
        <f t="shared" si="161"/>
        <v>7</v>
      </c>
      <c r="M799" s="3">
        <f t="shared" ca="1" si="162"/>
        <v>46100</v>
      </c>
      <c r="N799">
        <f t="shared" ca="1" si="163"/>
        <v>8229</v>
      </c>
      <c r="O799">
        <f t="shared" ca="1" si="164"/>
        <v>8229</v>
      </c>
      <c r="P799">
        <f t="shared" ca="1" si="165"/>
        <v>5879</v>
      </c>
      <c r="Q799">
        <v>33</v>
      </c>
      <c r="R799" t="str">
        <f t="shared" si="166"/>
        <v>Old</v>
      </c>
      <c r="S799" t="s">
        <v>24</v>
      </c>
      <c r="T799">
        <v>6</v>
      </c>
      <c r="U799" t="s">
        <v>45</v>
      </c>
      <c r="V799">
        <v>6098.93</v>
      </c>
      <c r="W799" t="s">
        <v>26</v>
      </c>
      <c r="X799" t="s">
        <v>55</v>
      </c>
      <c r="Y799">
        <v>39</v>
      </c>
      <c r="Z799" t="str">
        <f t="shared" si="167"/>
        <v>Bad Employee</v>
      </c>
      <c r="AA799" t="b">
        <f t="shared" si="168"/>
        <v>0</v>
      </c>
      <c r="AB799" t="b">
        <f>OR(Y799&gt;20, T799&gt;6)</f>
        <v>1</v>
      </c>
      <c r="AC799" t="str">
        <f>IF(OR(Y799&gt;20,T799&gt;6), "Good employee", "Bad Employee")</f>
        <v>Good employee</v>
      </c>
      <c r="AD799" t="s">
        <v>28</v>
      </c>
      <c r="AE799" t="s">
        <v>42</v>
      </c>
      <c r="AF799">
        <v>0</v>
      </c>
      <c r="AG799">
        <v>2023</v>
      </c>
      <c r="AH799" t="s">
        <v>43</v>
      </c>
      <c r="AI799">
        <v>62</v>
      </c>
      <c r="AJ799">
        <v>3.6</v>
      </c>
    </row>
    <row r="800" spans="1:36" x14ac:dyDescent="0.25">
      <c r="A800">
        <v>10799</v>
      </c>
      <c r="B800" t="s">
        <v>66</v>
      </c>
      <c r="C800" t="s">
        <v>32</v>
      </c>
      <c r="D800" t="s">
        <v>52</v>
      </c>
      <c r="E800" t="str">
        <f t="shared" si="156"/>
        <v>John Wilson is in Operations Department</v>
      </c>
      <c r="F800" s="6" t="str">
        <f t="shared" si="157"/>
        <v>johnwilson@gmail.com</v>
      </c>
      <c r="G800">
        <v>85415</v>
      </c>
      <c r="H800" t="str">
        <f t="shared" si="158"/>
        <v>High</v>
      </c>
      <c r="I800" s="3">
        <v>42217</v>
      </c>
      <c r="J800">
        <f t="shared" si="159"/>
        <v>2015</v>
      </c>
      <c r="K800">
        <f t="shared" si="160"/>
        <v>8</v>
      </c>
      <c r="L800">
        <f t="shared" si="161"/>
        <v>1</v>
      </c>
      <c r="M800" s="3">
        <f t="shared" ca="1" si="162"/>
        <v>46100</v>
      </c>
      <c r="N800">
        <f t="shared" ca="1" si="163"/>
        <v>3883</v>
      </c>
      <c r="O800">
        <f t="shared" ca="1" si="164"/>
        <v>3883</v>
      </c>
      <c r="P800">
        <f t="shared" ca="1" si="165"/>
        <v>2774</v>
      </c>
      <c r="Q800">
        <v>45</v>
      </c>
      <c r="R800" t="str">
        <f t="shared" si="166"/>
        <v>Old</v>
      </c>
      <c r="S800" t="s">
        <v>34</v>
      </c>
      <c r="T800">
        <v>7</v>
      </c>
      <c r="U800" t="s">
        <v>45</v>
      </c>
      <c r="V800">
        <v>3166.94</v>
      </c>
      <c r="W800" t="s">
        <v>46</v>
      </c>
      <c r="X800" t="s">
        <v>27</v>
      </c>
      <c r="Y800">
        <v>21</v>
      </c>
      <c r="Z800" t="str">
        <f t="shared" si="167"/>
        <v>Good Employee</v>
      </c>
      <c r="AA800" t="b">
        <f t="shared" si="168"/>
        <v>1</v>
      </c>
      <c r="AB800" t="b">
        <f>OR(Y800&gt;20, T800&gt;6)</f>
        <v>1</v>
      </c>
      <c r="AC800" t="str">
        <f>IF(OR(Y800&gt;20,T800&gt;6), "Good employee", "Bad Employee")</f>
        <v>Good employee</v>
      </c>
      <c r="AD800" t="s">
        <v>56</v>
      </c>
      <c r="AE800" t="s">
        <v>62</v>
      </c>
      <c r="AF800">
        <v>6</v>
      </c>
      <c r="AG800">
        <v>2022</v>
      </c>
      <c r="AH800" t="s">
        <v>43</v>
      </c>
      <c r="AI800">
        <v>124</v>
      </c>
      <c r="AJ800">
        <v>1</v>
      </c>
    </row>
    <row r="801" spans="1:36" x14ac:dyDescent="0.25">
      <c r="A801">
        <v>10800</v>
      </c>
      <c r="B801" t="s">
        <v>50</v>
      </c>
      <c r="C801" t="s">
        <v>57</v>
      </c>
      <c r="D801" t="s">
        <v>23</v>
      </c>
      <c r="E801" t="str">
        <f t="shared" si="156"/>
        <v>Alex Davis is in HR Department</v>
      </c>
      <c r="F801" s="6" t="str">
        <f t="shared" si="157"/>
        <v>alexdavis@gmail.com</v>
      </c>
      <c r="G801">
        <v>84160</v>
      </c>
      <c r="H801" t="str">
        <f t="shared" si="158"/>
        <v>High</v>
      </c>
      <c r="I801" s="3">
        <v>42528</v>
      </c>
      <c r="J801">
        <f t="shared" si="159"/>
        <v>2016</v>
      </c>
      <c r="K801">
        <f t="shared" si="160"/>
        <v>6</v>
      </c>
      <c r="L801">
        <f t="shared" si="161"/>
        <v>7</v>
      </c>
      <c r="M801" s="3">
        <f t="shared" ca="1" si="162"/>
        <v>46100</v>
      </c>
      <c r="N801">
        <f t="shared" ca="1" si="163"/>
        <v>3572</v>
      </c>
      <c r="O801">
        <f t="shared" ca="1" si="164"/>
        <v>3572</v>
      </c>
      <c r="P801">
        <f t="shared" ca="1" si="165"/>
        <v>2553</v>
      </c>
      <c r="Q801">
        <v>27</v>
      </c>
      <c r="R801" t="str">
        <f t="shared" si="166"/>
        <v>Young</v>
      </c>
      <c r="S801" t="s">
        <v>34</v>
      </c>
      <c r="T801">
        <v>3</v>
      </c>
      <c r="U801" t="s">
        <v>25</v>
      </c>
      <c r="V801">
        <v>3986.09</v>
      </c>
      <c r="W801" t="s">
        <v>35</v>
      </c>
      <c r="X801" t="s">
        <v>40</v>
      </c>
      <c r="Y801">
        <v>11</v>
      </c>
      <c r="Z801" t="str">
        <f t="shared" si="167"/>
        <v>Bad Employee</v>
      </c>
      <c r="AA801" t="b">
        <f t="shared" si="168"/>
        <v>0</v>
      </c>
      <c r="AB801" t="b">
        <f>OR(Y801&gt;20, T801&gt;6)</f>
        <v>0</v>
      </c>
      <c r="AC801" t="str">
        <f>IF(OR(Y801&gt;20,T801&gt;6), "Good employee", "Bad Employee")</f>
        <v>Bad Employee</v>
      </c>
      <c r="AD801" t="s">
        <v>28</v>
      </c>
      <c r="AE801" t="s">
        <v>62</v>
      </c>
      <c r="AF801">
        <v>3</v>
      </c>
      <c r="AG801">
        <v>2016</v>
      </c>
      <c r="AH801" t="s">
        <v>30</v>
      </c>
      <c r="AI801">
        <v>191</v>
      </c>
      <c r="AJ801">
        <v>1.4</v>
      </c>
    </row>
    <row r="802" spans="1:36" x14ac:dyDescent="0.25">
      <c r="A802">
        <v>10801</v>
      </c>
      <c r="B802" t="s">
        <v>66</v>
      </c>
      <c r="C802" t="s">
        <v>63</v>
      </c>
      <c r="D802" t="s">
        <v>54</v>
      </c>
      <c r="E802" t="str">
        <f t="shared" si="156"/>
        <v>John Miller is in Finance Department</v>
      </c>
      <c r="F802" s="6" t="str">
        <f t="shared" si="157"/>
        <v>johnmiller@gmail.com</v>
      </c>
      <c r="G802">
        <v>84399</v>
      </c>
      <c r="H802" t="str">
        <f t="shared" si="158"/>
        <v>High</v>
      </c>
      <c r="I802" s="3">
        <v>39535</v>
      </c>
      <c r="J802">
        <f t="shared" si="159"/>
        <v>2008</v>
      </c>
      <c r="K802">
        <f t="shared" si="160"/>
        <v>3</v>
      </c>
      <c r="L802">
        <f t="shared" si="161"/>
        <v>28</v>
      </c>
      <c r="M802" s="3">
        <f t="shared" ca="1" si="162"/>
        <v>46100</v>
      </c>
      <c r="N802">
        <f t="shared" ca="1" si="163"/>
        <v>6565</v>
      </c>
      <c r="O802">
        <f t="shared" ca="1" si="164"/>
        <v>6565</v>
      </c>
      <c r="P802">
        <f t="shared" ca="1" si="165"/>
        <v>4690</v>
      </c>
      <c r="Q802">
        <v>63</v>
      </c>
      <c r="R802" t="str">
        <f t="shared" si="166"/>
        <v>Old</v>
      </c>
      <c r="S802" t="s">
        <v>24</v>
      </c>
      <c r="T802">
        <v>9</v>
      </c>
      <c r="U802" t="s">
        <v>25</v>
      </c>
      <c r="V802">
        <v>1356.28</v>
      </c>
      <c r="W802" t="s">
        <v>35</v>
      </c>
      <c r="X802" t="s">
        <v>47</v>
      </c>
      <c r="Y802">
        <v>10</v>
      </c>
      <c r="Z802" t="str">
        <f t="shared" si="167"/>
        <v>Bad Employee</v>
      </c>
      <c r="AA802" t="b">
        <f t="shared" si="168"/>
        <v>0</v>
      </c>
      <c r="AB802" t="b">
        <f>OR(Y802&gt;20, T802&gt;6)</f>
        <v>1</v>
      </c>
      <c r="AC802" t="str">
        <f>IF(OR(Y802&gt;20,T802&gt;6), "Good employee", "Bad Employee")</f>
        <v>Good employee</v>
      </c>
      <c r="AD802" t="s">
        <v>41</v>
      </c>
      <c r="AE802" t="s">
        <v>62</v>
      </c>
      <c r="AF802">
        <v>9</v>
      </c>
      <c r="AG802">
        <v>2010</v>
      </c>
      <c r="AH802" t="s">
        <v>49</v>
      </c>
      <c r="AI802">
        <v>155</v>
      </c>
      <c r="AJ802">
        <v>1.1000000000000001</v>
      </c>
    </row>
    <row r="803" spans="1:36" x14ac:dyDescent="0.25">
      <c r="A803">
        <v>10802</v>
      </c>
      <c r="B803" t="s">
        <v>64</v>
      </c>
      <c r="C803" t="s">
        <v>61</v>
      </c>
      <c r="D803" t="s">
        <v>23</v>
      </c>
      <c r="E803" t="str">
        <f t="shared" si="156"/>
        <v>Katie Smith is in HR Department</v>
      </c>
      <c r="F803" s="6" t="str">
        <f t="shared" si="157"/>
        <v>katiesmith@gmail.com</v>
      </c>
      <c r="G803">
        <v>55298</v>
      </c>
      <c r="H803" t="str">
        <f t="shared" si="158"/>
        <v>Medium</v>
      </c>
      <c r="I803" s="3">
        <v>37052</v>
      </c>
      <c r="J803">
        <f t="shared" si="159"/>
        <v>2001</v>
      </c>
      <c r="K803">
        <f t="shared" si="160"/>
        <v>6</v>
      </c>
      <c r="L803">
        <f t="shared" si="161"/>
        <v>10</v>
      </c>
      <c r="M803" s="3">
        <f t="shared" ca="1" si="162"/>
        <v>46100</v>
      </c>
      <c r="N803">
        <f t="shared" ca="1" si="163"/>
        <v>9048</v>
      </c>
      <c r="O803">
        <f t="shared" ca="1" si="164"/>
        <v>9048</v>
      </c>
      <c r="P803">
        <f t="shared" ca="1" si="165"/>
        <v>6464</v>
      </c>
      <c r="Q803">
        <v>32</v>
      </c>
      <c r="R803" t="str">
        <f t="shared" si="166"/>
        <v>Old</v>
      </c>
      <c r="S803" t="s">
        <v>24</v>
      </c>
      <c r="T803">
        <v>3</v>
      </c>
      <c r="U803" t="s">
        <v>25</v>
      </c>
      <c r="V803">
        <v>7968.03</v>
      </c>
      <c r="W803" t="s">
        <v>46</v>
      </c>
      <c r="X803" t="s">
        <v>36</v>
      </c>
      <c r="Y803">
        <v>15</v>
      </c>
      <c r="Z803" t="str">
        <f t="shared" si="167"/>
        <v>Bad Employee</v>
      </c>
      <c r="AA803" t="b">
        <f t="shared" si="168"/>
        <v>0</v>
      </c>
      <c r="AB803" t="b">
        <f>OR(Y803&gt;20, T803&gt;6)</f>
        <v>0</v>
      </c>
      <c r="AC803" t="str">
        <f>IF(OR(Y803&gt;20,T803&gt;6), "Good employee", "Bad Employee")</f>
        <v>Bad Employee</v>
      </c>
      <c r="AD803" t="s">
        <v>56</v>
      </c>
      <c r="AE803" t="s">
        <v>37</v>
      </c>
      <c r="AF803">
        <v>7</v>
      </c>
      <c r="AG803">
        <v>2018</v>
      </c>
      <c r="AH803" t="s">
        <v>49</v>
      </c>
      <c r="AI803">
        <v>133</v>
      </c>
      <c r="AJ803">
        <v>4.5</v>
      </c>
    </row>
    <row r="804" spans="1:36" x14ac:dyDescent="0.25">
      <c r="A804">
        <v>10803</v>
      </c>
      <c r="B804" t="s">
        <v>66</v>
      </c>
      <c r="C804" t="s">
        <v>61</v>
      </c>
      <c r="D804" t="s">
        <v>23</v>
      </c>
      <c r="E804" t="str">
        <f t="shared" si="156"/>
        <v>John Smith is in HR Department</v>
      </c>
      <c r="F804" s="6" t="str">
        <f t="shared" si="157"/>
        <v>johnsmith@gmail.com</v>
      </c>
      <c r="G804">
        <v>52191</v>
      </c>
      <c r="H804" t="str">
        <f t="shared" si="158"/>
        <v>Medium</v>
      </c>
      <c r="I804" s="3">
        <v>43173</v>
      </c>
      <c r="J804">
        <f t="shared" si="159"/>
        <v>2018</v>
      </c>
      <c r="K804">
        <f t="shared" si="160"/>
        <v>3</v>
      </c>
      <c r="L804">
        <f t="shared" si="161"/>
        <v>14</v>
      </c>
      <c r="M804" s="3">
        <f t="shared" ca="1" si="162"/>
        <v>46100</v>
      </c>
      <c r="N804">
        <f t="shared" ca="1" si="163"/>
        <v>2927</v>
      </c>
      <c r="O804">
        <f t="shared" ca="1" si="164"/>
        <v>2927</v>
      </c>
      <c r="P804">
        <f t="shared" ca="1" si="165"/>
        <v>2092</v>
      </c>
      <c r="Q804">
        <v>48</v>
      </c>
      <c r="R804" t="str">
        <f t="shared" si="166"/>
        <v>Old</v>
      </c>
      <c r="S804" t="s">
        <v>24</v>
      </c>
      <c r="T804">
        <v>6</v>
      </c>
      <c r="U804" t="s">
        <v>45</v>
      </c>
      <c r="V804">
        <v>3576.76</v>
      </c>
      <c r="W804" t="s">
        <v>26</v>
      </c>
      <c r="X804" t="s">
        <v>55</v>
      </c>
      <c r="Y804">
        <v>30</v>
      </c>
      <c r="Z804" t="str">
        <f t="shared" si="167"/>
        <v>Bad Employee</v>
      </c>
      <c r="AA804" t="b">
        <f t="shared" si="168"/>
        <v>0</v>
      </c>
      <c r="AB804" t="b">
        <f>OR(Y804&gt;20, T804&gt;6)</f>
        <v>1</v>
      </c>
      <c r="AC804" t="str">
        <f>IF(OR(Y804&gt;20,T804&gt;6), "Good employee", "Bad Employee")</f>
        <v>Good employee</v>
      </c>
      <c r="AD804" t="s">
        <v>28</v>
      </c>
      <c r="AE804" t="s">
        <v>42</v>
      </c>
      <c r="AF804">
        <v>2</v>
      </c>
      <c r="AG804">
        <v>2015</v>
      </c>
      <c r="AH804" t="s">
        <v>30</v>
      </c>
      <c r="AI804">
        <v>60</v>
      </c>
      <c r="AJ804">
        <v>2.2999999999999998</v>
      </c>
    </row>
    <row r="805" spans="1:36" x14ac:dyDescent="0.25">
      <c r="A805">
        <v>10804</v>
      </c>
      <c r="B805" t="s">
        <v>66</v>
      </c>
      <c r="C805" t="s">
        <v>65</v>
      </c>
      <c r="D805" t="s">
        <v>44</v>
      </c>
      <c r="E805" t="str">
        <f t="shared" si="156"/>
        <v>John Johnson is in Sales Department</v>
      </c>
      <c r="F805" s="6" t="str">
        <f t="shared" si="157"/>
        <v>johnjohnson@gmail.com</v>
      </c>
      <c r="G805">
        <v>86964</v>
      </c>
      <c r="H805" t="str">
        <f t="shared" si="158"/>
        <v>High</v>
      </c>
      <c r="I805" s="3">
        <v>43778</v>
      </c>
      <c r="J805">
        <f t="shared" si="159"/>
        <v>2019</v>
      </c>
      <c r="K805">
        <f t="shared" si="160"/>
        <v>11</v>
      </c>
      <c r="L805">
        <f t="shared" si="161"/>
        <v>9</v>
      </c>
      <c r="M805" s="3">
        <f t="shared" ca="1" si="162"/>
        <v>46100</v>
      </c>
      <c r="N805">
        <f t="shared" ca="1" si="163"/>
        <v>2322</v>
      </c>
      <c r="O805">
        <f t="shared" ca="1" si="164"/>
        <v>2322</v>
      </c>
      <c r="P805">
        <f t="shared" ca="1" si="165"/>
        <v>1659</v>
      </c>
      <c r="Q805">
        <v>45</v>
      </c>
      <c r="R805" t="str">
        <f t="shared" si="166"/>
        <v>Old</v>
      </c>
      <c r="S805" t="s">
        <v>24</v>
      </c>
      <c r="T805">
        <v>4</v>
      </c>
      <c r="U805" t="s">
        <v>25</v>
      </c>
      <c r="V805">
        <v>6843.93</v>
      </c>
      <c r="W805" t="s">
        <v>46</v>
      </c>
      <c r="X805" t="s">
        <v>47</v>
      </c>
      <c r="Y805">
        <v>17</v>
      </c>
      <c r="Z805" t="str">
        <f t="shared" si="167"/>
        <v>Bad Employee</v>
      </c>
      <c r="AA805" t="b">
        <f t="shared" si="168"/>
        <v>0</v>
      </c>
      <c r="AB805" t="b">
        <f>OR(Y805&gt;20, T805&gt;6)</f>
        <v>0</v>
      </c>
      <c r="AC805" t="str">
        <f>IF(OR(Y805&gt;20,T805&gt;6), "Good employee", "Bad Employee")</f>
        <v>Bad Employee</v>
      </c>
      <c r="AD805" t="s">
        <v>41</v>
      </c>
      <c r="AE805" t="s">
        <v>48</v>
      </c>
      <c r="AF805">
        <v>6</v>
      </c>
      <c r="AG805">
        <v>2018</v>
      </c>
      <c r="AH805" t="s">
        <v>49</v>
      </c>
      <c r="AI805">
        <v>8</v>
      </c>
      <c r="AJ805">
        <v>2.5</v>
      </c>
    </row>
    <row r="806" spans="1:36" x14ac:dyDescent="0.25">
      <c r="A806">
        <v>10805</v>
      </c>
      <c r="B806" t="s">
        <v>64</v>
      </c>
      <c r="C806" t="s">
        <v>22</v>
      </c>
      <c r="D806" t="s">
        <v>54</v>
      </c>
      <c r="E806" t="str">
        <f t="shared" si="156"/>
        <v>Katie Williams is in Finance Department</v>
      </c>
      <c r="F806" s="6" t="str">
        <f t="shared" si="157"/>
        <v>katiewilliams@gmail.com</v>
      </c>
      <c r="G806">
        <v>63092</v>
      </c>
      <c r="H806" t="str">
        <f t="shared" si="158"/>
        <v>Medium</v>
      </c>
      <c r="I806" s="3">
        <v>37456</v>
      </c>
      <c r="J806">
        <f t="shared" si="159"/>
        <v>2002</v>
      </c>
      <c r="K806">
        <f t="shared" si="160"/>
        <v>7</v>
      </c>
      <c r="L806">
        <f t="shared" si="161"/>
        <v>19</v>
      </c>
      <c r="M806" s="3">
        <f t="shared" ca="1" si="162"/>
        <v>46100</v>
      </c>
      <c r="N806">
        <f t="shared" ca="1" si="163"/>
        <v>8644</v>
      </c>
      <c r="O806">
        <f t="shared" ca="1" si="164"/>
        <v>8644</v>
      </c>
      <c r="P806">
        <f t="shared" ca="1" si="165"/>
        <v>6175</v>
      </c>
      <c r="Q806">
        <v>39</v>
      </c>
      <c r="R806" t="str">
        <f t="shared" si="166"/>
        <v>Old</v>
      </c>
      <c r="S806" t="s">
        <v>34</v>
      </c>
      <c r="T806">
        <v>9</v>
      </c>
      <c r="U806" t="s">
        <v>45</v>
      </c>
      <c r="V806">
        <v>3897.15</v>
      </c>
      <c r="W806" t="s">
        <v>26</v>
      </c>
      <c r="X806" t="s">
        <v>55</v>
      </c>
      <c r="Y806">
        <v>29</v>
      </c>
      <c r="Z806" t="str">
        <f t="shared" si="167"/>
        <v>Good Employee</v>
      </c>
      <c r="AA806" t="b">
        <f t="shared" si="168"/>
        <v>1</v>
      </c>
      <c r="AB806" t="b">
        <f>OR(Y806&gt;20, T806&gt;6)</f>
        <v>1</v>
      </c>
      <c r="AC806" t="str">
        <f>IF(OR(Y806&gt;20,T806&gt;6), "Good employee", "Bad Employee")</f>
        <v>Good employee</v>
      </c>
      <c r="AD806" t="s">
        <v>41</v>
      </c>
      <c r="AE806" t="s">
        <v>48</v>
      </c>
      <c r="AF806">
        <v>15</v>
      </c>
      <c r="AG806">
        <v>2010</v>
      </c>
      <c r="AH806" t="s">
        <v>30</v>
      </c>
      <c r="AI806">
        <v>33</v>
      </c>
      <c r="AJ806">
        <v>2.8</v>
      </c>
    </row>
    <row r="807" spans="1:36" x14ac:dyDescent="0.25">
      <c r="A807">
        <v>10806</v>
      </c>
      <c r="B807" t="s">
        <v>31</v>
      </c>
      <c r="C807" t="s">
        <v>61</v>
      </c>
      <c r="D807" t="s">
        <v>23</v>
      </c>
      <c r="E807" t="str">
        <f t="shared" si="156"/>
        <v>Emily Smith is in HR Department</v>
      </c>
      <c r="F807" s="6" t="str">
        <f t="shared" si="157"/>
        <v>emilysmith@gmail.com</v>
      </c>
      <c r="G807">
        <v>119407</v>
      </c>
      <c r="H807" t="str">
        <f t="shared" si="158"/>
        <v>High</v>
      </c>
      <c r="I807" s="3">
        <v>39282</v>
      </c>
      <c r="J807">
        <f t="shared" si="159"/>
        <v>2007</v>
      </c>
      <c r="K807">
        <f t="shared" si="160"/>
        <v>7</v>
      </c>
      <c r="L807">
        <f t="shared" si="161"/>
        <v>19</v>
      </c>
      <c r="M807" s="3">
        <f t="shared" ca="1" si="162"/>
        <v>46100</v>
      </c>
      <c r="N807">
        <f t="shared" ca="1" si="163"/>
        <v>6818</v>
      </c>
      <c r="O807">
        <f t="shared" ca="1" si="164"/>
        <v>6818</v>
      </c>
      <c r="P807">
        <f t="shared" ca="1" si="165"/>
        <v>4871</v>
      </c>
      <c r="Q807">
        <v>48</v>
      </c>
      <c r="R807" t="str">
        <f t="shared" si="166"/>
        <v>Old</v>
      </c>
      <c r="S807" t="s">
        <v>24</v>
      </c>
      <c r="T807">
        <v>1</v>
      </c>
      <c r="U807" t="s">
        <v>45</v>
      </c>
      <c r="V807">
        <v>4911.1400000000003</v>
      </c>
      <c r="W807" t="s">
        <v>58</v>
      </c>
      <c r="X807" t="s">
        <v>40</v>
      </c>
      <c r="Y807">
        <v>17</v>
      </c>
      <c r="Z807" t="str">
        <f t="shared" si="167"/>
        <v>Bad Employee</v>
      </c>
      <c r="AA807" t="b">
        <f t="shared" si="168"/>
        <v>0</v>
      </c>
      <c r="AB807" t="b">
        <f>OR(Y807&gt;20, T807&gt;6)</f>
        <v>0</v>
      </c>
      <c r="AC807" t="str">
        <f>IF(OR(Y807&gt;20,T807&gt;6), "Good employee", "Bad Employee")</f>
        <v>Bad Employee</v>
      </c>
      <c r="AD807" t="s">
        <v>41</v>
      </c>
      <c r="AE807" t="s">
        <v>29</v>
      </c>
      <c r="AF807">
        <v>19</v>
      </c>
      <c r="AG807">
        <v>2011</v>
      </c>
      <c r="AH807" t="s">
        <v>49</v>
      </c>
      <c r="AI807">
        <v>21</v>
      </c>
      <c r="AJ807">
        <v>4.4000000000000004</v>
      </c>
    </row>
    <row r="808" spans="1:36" x14ac:dyDescent="0.25">
      <c r="A808">
        <v>10807</v>
      </c>
      <c r="B808" t="s">
        <v>53</v>
      </c>
      <c r="C808" t="s">
        <v>57</v>
      </c>
      <c r="D808" t="s">
        <v>44</v>
      </c>
      <c r="E808" t="str">
        <f t="shared" si="156"/>
        <v>Sarah Davis is in Sales Department</v>
      </c>
      <c r="F808" s="6" t="str">
        <f t="shared" si="157"/>
        <v>sarahdavis@gmail.com</v>
      </c>
      <c r="G808">
        <v>105257</v>
      </c>
      <c r="H808" t="str">
        <f t="shared" si="158"/>
        <v>High</v>
      </c>
      <c r="I808" s="3">
        <v>38808</v>
      </c>
      <c r="J808">
        <f t="shared" si="159"/>
        <v>2006</v>
      </c>
      <c r="K808">
        <f t="shared" si="160"/>
        <v>4</v>
      </c>
      <c r="L808">
        <f t="shared" si="161"/>
        <v>1</v>
      </c>
      <c r="M808" s="3">
        <f t="shared" ca="1" si="162"/>
        <v>46100</v>
      </c>
      <c r="N808">
        <f t="shared" ca="1" si="163"/>
        <v>7292</v>
      </c>
      <c r="O808">
        <f t="shared" ca="1" si="164"/>
        <v>7292</v>
      </c>
      <c r="P808">
        <f t="shared" ca="1" si="165"/>
        <v>5209</v>
      </c>
      <c r="Q808">
        <v>62</v>
      </c>
      <c r="R808" t="str">
        <f t="shared" si="166"/>
        <v>Old</v>
      </c>
      <c r="S808" t="s">
        <v>24</v>
      </c>
      <c r="T808">
        <v>9</v>
      </c>
      <c r="U808" t="s">
        <v>45</v>
      </c>
      <c r="V808">
        <v>5772.52</v>
      </c>
      <c r="W808" t="s">
        <v>26</v>
      </c>
      <c r="X808" t="s">
        <v>47</v>
      </c>
      <c r="Y808">
        <v>33</v>
      </c>
      <c r="Z808" t="str">
        <f t="shared" si="167"/>
        <v>Good Employee</v>
      </c>
      <c r="AA808" t="b">
        <f t="shared" si="168"/>
        <v>1</v>
      </c>
      <c r="AB808" t="b">
        <f>OR(Y808&gt;20, T808&gt;6)</f>
        <v>1</v>
      </c>
      <c r="AC808" t="str">
        <f>IF(OR(Y808&gt;20,T808&gt;6), "Good employee", "Bad Employee")</f>
        <v>Good employee</v>
      </c>
      <c r="AD808" t="s">
        <v>41</v>
      </c>
      <c r="AE808" t="s">
        <v>59</v>
      </c>
      <c r="AF808">
        <v>9</v>
      </c>
      <c r="AG808">
        <v>2016</v>
      </c>
      <c r="AH808" t="s">
        <v>49</v>
      </c>
      <c r="AI808">
        <v>181</v>
      </c>
      <c r="AJ808">
        <v>1.1000000000000001</v>
      </c>
    </row>
    <row r="809" spans="1:36" x14ac:dyDescent="0.25">
      <c r="A809">
        <v>10808</v>
      </c>
      <c r="B809" t="s">
        <v>66</v>
      </c>
      <c r="C809" t="s">
        <v>61</v>
      </c>
      <c r="D809" t="s">
        <v>44</v>
      </c>
      <c r="E809" t="str">
        <f t="shared" si="156"/>
        <v>John Smith is in Sales Department</v>
      </c>
      <c r="F809" s="6" t="str">
        <f t="shared" si="157"/>
        <v>johnsmith@gmail.com</v>
      </c>
      <c r="G809">
        <v>92513</v>
      </c>
      <c r="H809" t="str">
        <f t="shared" si="158"/>
        <v>High</v>
      </c>
      <c r="I809" s="3">
        <v>38472</v>
      </c>
      <c r="J809">
        <f t="shared" si="159"/>
        <v>2005</v>
      </c>
      <c r="K809">
        <f t="shared" si="160"/>
        <v>4</v>
      </c>
      <c r="L809">
        <f t="shared" si="161"/>
        <v>30</v>
      </c>
      <c r="M809" s="3">
        <f t="shared" ca="1" si="162"/>
        <v>46100</v>
      </c>
      <c r="N809">
        <f t="shared" ca="1" si="163"/>
        <v>7628</v>
      </c>
      <c r="O809">
        <f t="shared" ca="1" si="164"/>
        <v>7628</v>
      </c>
      <c r="P809">
        <f t="shared" ca="1" si="165"/>
        <v>5449</v>
      </c>
      <c r="Q809">
        <v>42</v>
      </c>
      <c r="R809" t="str">
        <f t="shared" si="166"/>
        <v>Old</v>
      </c>
      <c r="S809" t="s">
        <v>34</v>
      </c>
      <c r="T809">
        <v>4</v>
      </c>
      <c r="U809" t="s">
        <v>25</v>
      </c>
      <c r="V809">
        <v>8117.6</v>
      </c>
      <c r="W809" t="s">
        <v>58</v>
      </c>
      <c r="X809" t="s">
        <v>55</v>
      </c>
      <c r="Y809">
        <v>38</v>
      </c>
      <c r="Z809" t="str">
        <f t="shared" si="167"/>
        <v>Bad Employee</v>
      </c>
      <c r="AA809" t="b">
        <f t="shared" si="168"/>
        <v>0</v>
      </c>
      <c r="AB809" t="b">
        <f>OR(Y809&gt;20, T809&gt;6)</f>
        <v>1</v>
      </c>
      <c r="AC809" t="str">
        <f>IF(OR(Y809&gt;20,T809&gt;6), "Good employee", "Bad Employee")</f>
        <v>Good employee</v>
      </c>
      <c r="AD809" t="s">
        <v>28</v>
      </c>
      <c r="AE809" t="s">
        <v>62</v>
      </c>
      <c r="AF809">
        <v>12</v>
      </c>
      <c r="AG809">
        <v>2013</v>
      </c>
      <c r="AH809" t="s">
        <v>30</v>
      </c>
      <c r="AI809">
        <v>55</v>
      </c>
      <c r="AJ809">
        <v>1.5</v>
      </c>
    </row>
    <row r="810" spans="1:36" x14ac:dyDescent="0.25">
      <c r="A810">
        <v>10809</v>
      </c>
      <c r="B810" t="s">
        <v>64</v>
      </c>
      <c r="C810" t="s">
        <v>57</v>
      </c>
      <c r="D810" t="s">
        <v>54</v>
      </c>
      <c r="E810" t="str">
        <f t="shared" si="156"/>
        <v>Katie Davis is in Finance Department</v>
      </c>
      <c r="F810" s="6" t="str">
        <f t="shared" si="157"/>
        <v>katiedavis@gmail.com</v>
      </c>
      <c r="G810">
        <v>81097</v>
      </c>
      <c r="H810" t="str">
        <f t="shared" si="158"/>
        <v>High</v>
      </c>
      <c r="I810" s="3">
        <v>40453</v>
      </c>
      <c r="J810">
        <f t="shared" si="159"/>
        <v>2010</v>
      </c>
      <c r="K810">
        <f t="shared" si="160"/>
        <v>10</v>
      </c>
      <c r="L810">
        <f t="shared" si="161"/>
        <v>2</v>
      </c>
      <c r="M810" s="3">
        <f t="shared" ca="1" si="162"/>
        <v>46100</v>
      </c>
      <c r="N810">
        <f t="shared" ca="1" si="163"/>
        <v>5647</v>
      </c>
      <c r="O810">
        <f t="shared" ca="1" si="164"/>
        <v>5647</v>
      </c>
      <c r="P810">
        <f t="shared" ca="1" si="165"/>
        <v>4034</v>
      </c>
      <c r="Q810">
        <v>55</v>
      </c>
      <c r="R810" t="str">
        <f t="shared" si="166"/>
        <v>Old</v>
      </c>
      <c r="S810" t="s">
        <v>24</v>
      </c>
      <c r="T810">
        <v>5</v>
      </c>
      <c r="U810" t="s">
        <v>25</v>
      </c>
      <c r="V810">
        <v>2505.9899999999998</v>
      </c>
      <c r="W810" t="s">
        <v>58</v>
      </c>
      <c r="X810" t="s">
        <v>36</v>
      </c>
      <c r="Y810">
        <v>21</v>
      </c>
      <c r="Z810" t="str">
        <f t="shared" si="167"/>
        <v>Bad Employee</v>
      </c>
      <c r="AA810" t="b">
        <f t="shared" si="168"/>
        <v>0</v>
      </c>
      <c r="AB810" t="b">
        <f>OR(Y810&gt;20, T810&gt;6)</f>
        <v>1</v>
      </c>
      <c r="AC810" t="str">
        <f>IF(OR(Y810&gt;20,T810&gt;6), "Good employee", "Bad Employee")</f>
        <v>Good employee</v>
      </c>
      <c r="AD810" t="s">
        <v>28</v>
      </c>
      <c r="AE810" t="s">
        <v>62</v>
      </c>
      <c r="AF810">
        <v>0</v>
      </c>
      <c r="AG810">
        <v>2023</v>
      </c>
      <c r="AH810" t="s">
        <v>49</v>
      </c>
      <c r="AI810">
        <v>181</v>
      </c>
      <c r="AJ810">
        <v>3.7</v>
      </c>
    </row>
    <row r="811" spans="1:36" x14ac:dyDescent="0.25">
      <c r="A811">
        <v>10810</v>
      </c>
      <c r="B811" t="s">
        <v>38</v>
      </c>
      <c r="C811" t="s">
        <v>63</v>
      </c>
      <c r="D811" t="s">
        <v>44</v>
      </c>
      <c r="E811" t="str">
        <f t="shared" si="156"/>
        <v>Chris Miller is in Sales Department</v>
      </c>
      <c r="F811" s="6" t="str">
        <f t="shared" si="157"/>
        <v>chrismiller@gmail.com</v>
      </c>
      <c r="G811">
        <v>60279</v>
      </c>
      <c r="H811" t="str">
        <f t="shared" si="158"/>
        <v>Medium</v>
      </c>
      <c r="I811" s="3">
        <v>41908</v>
      </c>
      <c r="J811">
        <f t="shared" si="159"/>
        <v>2014</v>
      </c>
      <c r="K811">
        <f t="shared" si="160"/>
        <v>9</v>
      </c>
      <c r="L811">
        <f t="shared" si="161"/>
        <v>26</v>
      </c>
      <c r="M811" s="3">
        <f t="shared" ca="1" si="162"/>
        <v>46100</v>
      </c>
      <c r="N811">
        <f t="shared" ca="1" si="163"/>
        <v>4192</v>
      </c>
      <c r="O811">
        <f t="shared" ca="1" si="164"/>
        <v>4192</v>
      </c>
      <c r="P811">
        <f t="shared" ca="1" si="165"/>
        <v>2995</v>
      </c>
      <c r="Q811">
        <v>54</v>
      </c>
      <c r="R811" t="str">
        <f t="shared" si="166"/>
        <v>Old</v>
      </c>
      <c r="S811" t="s">
        <v>24</v>
      </c>
      <c r="T811">
        <v>1</v>
      </c>
      <c r="U811" t="s">
        <v>25</v>
      </c>
      <c r="V811">
        <v>4288.2700000000004</v>
      </c>
      <c r="W811" t="s">
        <v>46</v>
      </c>
      <c r="X811" t="s">
        <v>27</v>
      </c>
      <c r="Y811">
        <v>14</v>
      </c>
      <c r="Z811" t="str">
        <f t="shared" si="167"/>
        <v>Bad Employee</v>
      </c>
      <c r="AA811" t="b">
        <f t="shared" si="168"/>
        <v>0</v>
      </c>
      <c r="AB811" t="b">
        <f>OR(Y811&gt;20, T811&gt;6)</f>
        <v>0</v>
      </c>
      <c r="AC811" t="str">
        <f>IF(OR(Y811&gt;20,T811&gt;6), "Good employee", "Bad Employee")</f>
        <v>Bad Employee</v>
      </c>
      <c r="AD811" t="s">
        <v>56</v>
      </c>
      <c r="AE811" t="s">
        <v>62</v>
      </c>
      <c r="AF811">
        <v>6</v>
      </c>
      <c r="AG811">
        <v>2022</v>
      </c>
      <c r="AH811" t="s">
        <v>49</v>
      </c>
      <c r="AI811">
        <v>28</v>
      </c>
      <c r="AJ811">
        <v>4.9000000000000004</v>
      </c>
    </row>
    <row r="812" spans="1:36" x14ac:dyDescent="0.25">
      <c r="A812">
        <v>10811</v>
      </c>
      <c r="B812" t="s">
        <v>50</v>
      </c>
      <c r="C812" t="s">
        <v>63</v>
      </c>
      <c r="D812" t="s">
        <v>54</v>
      </c>
      <c r="E812" t="str">
        <f t="shared" si="156"/>
        <v>Alex Miller is in Finance Department</v>
      </c>
      <c r="F812" s="6" t="str">
        <f t="shared" si="157"/>
        <v>alexmiller@gmail.com</v>
      </c>
      <c r="G812">
        <v>44404</v>
      </c>
      <c r="H812" t="str">
        <f t="shared" si="158"/>
        <v>low</v>
      </c>
      <c r="I812" s="3">
        <v>43699</v>
      </c>
      <c r="J812">
        <f t="shared" si="159"/>
        <v>2019</v>
      </c>
      <c r="K812">
        <f t="shared" si="160"/>
        <v>8</v>
      </c>
      <c r="L812">
        <f t="shared" si="161"/>
        <v>22</v>
      </c>
      <c r="M812" s="3">
        <f t="shared" ca="1" si="162"/>
        <v>46100</v>
      </c>
      <c r="N812">
        <f t="shared" ca="1" si="163"/>
        <v>2401</v>
      </c>
      <c r="O812">
        <f t="shared" ca="1" si="164"/>
        <v>2401</v>
      </c>
      <c r="P812">
        <f t="shared" ca="1" si="165"/>
        <v>1716</v>
      </c>
      <c r="Q812">
        <v>39</v>
      </c>
      <c r="R812" t="str">
        <f t="shared" si="166"/>
        <v>Old</v>
      </c>
      <c r="S812" t="s">
        <v>24</v>
      </c>
      <c r="T812">
        <v>1</v>
      </c>
      <c r="U812" t="s">
        <v>25</v>
      </c>
      <c r="V812">
        <v>1735.77</v>
      </c>
      <c r="W812" t="s">
        <v>58</v>
      </c>
      <c r="X812" t="s">
        <v>27</v>
      </c>
      <c r="Y812">
        <v>10</v>
      </c>
      <c r="Z812" t="str">
        <f t="shared" si="167"/>
        <v>Bad Employee</v>
      </c>
      <c r="AA812" t="b">
        <f t="shared" si="168"/>
        <v>0</v>
      </c>
      <c r="AB812" t="b">
        <f>OR(Y812&gt;20, T812&gt;6)</f>
        <v>0</v>
      </c>
      <c r="AC812" t="str">
        <f>IF(OR(Y812&gt;20,T812&gt;6), "Good employee", "Bad Employee")</f>
        <v>Bad Employee</v>
      </c>
      <c r="AD812" t="s">
        <v>56</v>
      </c>
      <c r="AE812" t="s">
        <v>29</v>
      </c>
      <c r="AF812">
        <v>9</v>
      </c>
      <c r="AG812">
        <v>2019</v>
      </c>
      <c r="AH812" t="s">
        <v>49</v>
      </c>
      <c r="AI812">
        <v>48</v>
      </c>
      <c r="AJ812">
        <v>3.6</v>
      </c>
    </row>
    <row r="813" spans="1:36" x14ac:dyDescent="0.25">
      <c r="A813">
        <v>10812</v>
      </c>
      <c r="B813" t="s">
        <v>50</v>
      </c>
      <c r="C813" t="s">
        <v>51</v>
      </c>
      <c r="D813" t="s">
        <v>54</v>
      </c>
      <c r="E813" t="str">
        <f t="shared" si="156"/>
        <v>Alex Brown is in Finance Department</v>
      </c>
      <c r="F813" s="6" t="str">
        <f t="shared" si="157"/>
        <v>alexbrown@gmail.com</v>
      </c>
      <c r="G813">
        <v>100022</v>
      </c>
      <c r="H813" t="str">
        <f t="shared" si="158"/>
        <v>High</v>
      </c>
      <c r="I813" s="3">
        <v>39067</v>
      </c>
      <c r="J813">
        <f t="shared" si="159"/>
        <v>2006</v>
      </c>
      <c r="K813">
        <f t="shared" si="160"/>
        <v>12</v>
      </c>
      <c r="L813">
        <f t="shared" si="161"/>
        <v>16</v>
      </c>
      <c r="M813" s="3">
        <f t="shared" ca="1" si="162"/>
        <v>46100</v>
      </c>
      <c r="N813">
        <f t="shared" ca="1" si="163"/>
        <v>7033</v>
      </c>
      <c r="O813">
        <f t="shared" ca="1" si="164"/>
        <v>7033</v>
      </c>
      <c r="P813">
        <f t="shared" ca="1" si="165"/>
        <v>5024</v>
      </c>
      <c r="Q813">
        <v>24</v>
      </c>
      <c r="R813" t="str">
        <f t="shared" si="166"/>
        <v>Young</v>
      </c>
      <c r="S813" t="s">
        <v>24</v>
      </c>
      <c r="T813">
        <v>6</v>
      </c>
      <c r="U813" t="s">
        <v>45</v>
      </c>
      <c r="V813">
        <v>1219.72</v>
      </c>
      <c r="W813" t="s">
        <v>46</v>
      </c>
      <c r="X813" t="s">
        <v>47</v>
      </c>
      <c r="Y813">
        <v>23</v>
      </c>
      <c r="Z813" t="str">
        <f t="shared" si="167"/>
        <v>Bad Employee</v>
      </c>
      <c r="AA813" t="b">
        <f t="shared" si="168"/>
        <v>0</v>
      </c>
      <c r="AB813" t="b">
        <f>OR(Y813&gt;20, T813&gt;6)</f>
        <v>1</v>
      </c>
      <c r="AC813" t="str">
        <f>IF(OR(Y813&gt;20,T813&gt;6), "Good employee", "Bad Employee")</f>
        <v>Good employee</v>
      </c>
      <c r="AD813" t="s">
        <v>41</v>
      </c>
      <c r="AE813" t="s">
        <v>29</v>
      </c>
      <c r="AF813">
        <v>11</v>
      </c>
      <c r="AG813">
        <v>2023</v>
      </c>
      <c r="AH813" t="s">
        <v>43</v>
      </c>
      <c r="AI813">
        <v>120</v>
      </c>
      <c r="AJ813">
        <v>2</v>
      </c>
    </row>
    <row r="814" spans="1:36" x14ac:dyDescent="0.25">
      <c r="A814">
        <v>10813</v>
      </c>
      <c r="B814" t="s">
        <v>66</v>
      </c>
      <c r="C814" t="s">
        <v>51</v>
      </c>
      <c r="D814" t="s">
        <v>39</v>
      </c>
      <c r="E814" t="str">
        <f t="shared" si="156"/>
        <v>John Brown is in IT Department</v>
      </c>
      <c r="F814" s="6" t="str">
        <f t="shared" si="157"/>
        <v>johnbrown@gmail.com</v>
      </c>
      <c r="G814">
        <v>65198</v>
      </c>
      <c r="H814" t="str">
        <f t="shared" si="158"/>
        <v>Medium</v>
      </c>
      <c r="I814" s="3">
        <v>38442</v>
      </c>
      <c r="J814">
        <f t="shared" si="159"/>
        <v>2005</v>
      </c>
      <c r="K814">
        <f t="shared" si="160"/>
        <v>3</v>
      </c>
      <c r="L814">
        <f t="shared" si="161"/>
        <v>31</v>
      </c>
      <c r="M814" s="3">
        <f t="shared" ca="1" si="162"/>
        <v>46100</v>
      </c>
      <c r="N814">
        <f t="shared" ca="1" si="163"/>
        <v>7658</v>
      </c>
      <c r="O814">
        <f t="shared" ca="1" si="164"/>
        <v>7658</v>
      </c>
      <c r="P814">
        <f t="shared" ca="1" si="165"/>
        <v>5471</v>
      </c>
      <c r="Q814">
        <v>45</v>
      </c>
      <c r="R814" t="str">
        <f t="shared" si="166"/>
        <v>Old</v>
      </c>
      <c r="S814" t="s">
        <v>24</v>
      </c>
      <c r="T814">
        <v>1</v>
      </c>
      <c r="U814" t="s">
        <v>45</v>
      </c>
      <c r="V814">
        <v>6244.41</v>
      </c>
      <c r="W814" t="s">
        <v>46</v>
      </c>
      <c r="X814" t="s">
        <v>36</v>
      </c>
      <c r="Y814">
        <v>39</v>
      </c>
      <c r="Z814" t="str">
        <f t="shared" si="167"/>
        <v>Bad Employee</v>
      </c>
      <c r="AA814" t="b">
        <f t="shared" si="168"/>
        <v>0</v>
      </c>
      <c r="AB814" t="b">
        <f>OR(Y814&gt;20, T814&gt;6)</f>
        <v>1</v>
      </c>
      <c r="AC814" t="str">
        <f>IF(OR(Y814&gt;20,T814&gt;6), "Good employee", "Bad Employee")</f>
        <v>Good employee</v>
      </c>
      <c r="AD814" t="s">
        <v>41</v>
      </c>
      <c r="AE814" t="s">
        <v>29</v>
      </c>
      <c r="AF814">
        <v>13</v>
      </c>
      <c r="AG814">
        <v>2010</v>
      </c>
      <c r="AH814" t="s">
        <v>30</v>
      </c>
      <c r="AI814">
        <v>173</v>
      </c>
      <c r="AJ814">
        <v>3.1</v>
      </c>
    </row>
    <row r="815" spans="1:36" x14ac:dyDescent="0.25">
      <c r="A815">
        <v>10814</v>
      </c>
      <c r="B815" t="s">
        <v>31</v>
      </c>
      <c r="C815" t="s">
        <v>57</v>
      </c>
      <c r="D815" t="s">
        <v>23</v>
      </c>
      <c r="E815" t="str">
        <f t="shared" si="156"/>
        <v>Emily Davis is in HR Department</v>
      </c>
      <c r="F815" s="6" t="str">
        <f t="shared" si="157"/>
        <v>emilydavis@gmail.com</v>
      </c>
      <c r="G815">
        <v>79997</v>
      </c>
      <c r="H815" t="str">
        <f t="shared" si="158"/>
        <v>Medium</v>
      </c>
      <c r="I815" s="3">
        <v>39886</v>
      </c>
      <c r="J815">
        <f t="shared" si="159"/>
        <v>2009</v>
      </c>
      <c r="K815">
        <f t="shared" si="160"/>
        <v>3</v>
      </c>
      <c r="L815">
        <f t="shared" si="161"/>
        <v>14</v>
      </c>
      <c r="M815" s="3">
        <f t="shared" ca="1" si="162"/>
        <v>46100</v>
      </c>
      <c r="N815">
        <f t="shared" ca="1" si="163"/>
        <v>6214</v>
      </c>
      <c r="O815">
        <f t="shared" ca="1" si="164"/>
        <v>6214</v>
      </c>
      <c r="P815">
        <f t="shared" ca="1" si="165"/>
        <v>4439</v>
      </c>
      <c r="Q815">
        <v>22</v>
      </c>
      <c r="R815" t="str">
        <f t="shared" si="166"/>
        <v>Young</v>
      </c>
      <c r="S815" t="s">
        <v>34</v>
      </c>
      <c r="T815">
        <v>2</v>
      </c>
      <c r="U815" t="s">
        <v>25</v>
      </c>
      <c r="V815">
        <v>2296.36</v>
      </c>
      <c r="W815" t="s">
        <v>35</v>
      </c>
      <c r="X815" t="s">
        <v>36</v>
      </c>
      <c r="Y815">
        <v>39</v>
      </c>
      <c r="Z815" t="str">
        <f t="shared" si="167"/>
        <v>Bad Employee</v>
      </c>
      <c r="AA815" t="b">
        <f t="shared" si="168"/>
        <v>0</v>
      </c>
      <c r="AB815" t="b">
        <f>OR(Y815&gt;20, T815&gt;6)</f>
        <v>1</v>
      </c>
      <c r="AC815" t="str">
        <f>IF(OR(Y815&gt;20,T815&gt;6), "Good employee", "Bad Employee")</f>
        <v>Good employee</v>
      </c>
      <c r="AD815" t="s">
        <v>56</v>
      </c>
      <c r="AE815" t="s">
        <v>62</v>
      </c>
      <c r="AF815">
        <v>10</v>
      </c>
      <c r="AG815">
        <v>2014</v>
      </c>
      <c r="AH815" t="s">
        <v>43</v>
      </c>
      <c r="AI815">
        <v>61</v>
      </c>
      <c r="AJ815">
        <v>4.9000000000000004</v>
      </c>
    </row>
    <row r="816" spans="1:36" x14ac:dyDescent="0.25">
      <c r="A816">
        <v>10815</v>
      </c>
      <c r="B816" t="s">
        <v>31</v>
      </c>
      <c r="C816" t="s">
        <v>22</v>
      </c>
      <c r="D816" t="s">
        <v>33</v>
      </c>
      <c r="E816" t="str">
        <f t="shared" si="156"/>
        <v>Emily Williams is in Marketing Department</v>
      </c>
      <c r="F816" s="6" t="str">
        <f t="shared" si="157"/>
        <v>emilywilliams@gmail.com</v>
      </c>
      <c r="G816">
        <v>108692</v>
      </c>
      <c r="H816" t="str">
        <f t="shared" si="158"/>
        <v>High</v>
      </c>
      <c r="I816" s="3">
        <v>38119</v>
      </c>
      <c r="J816">
        <f t="shared" si="159"/>
        <v>2004</v>
      </c>
      <c r="K816">
        <f t="shared" si="160"/>
        <v>5</v>
      </c>
      <c r="L816">
        <f t="shared" si="161"/>
        <v>12</v>
      </c>
      <c r="M816" s="3">
        <f t="shared" ca="1" si="162"/>
        <v>46100</v>
      </c>
      <c r="N816">
        <f t="shared" ca="1" si="163"/>
        <v>7981</v>
      </c>
      <c r="O816">
        <f t="shared" ca="1" si="164"/>
        <v>7981</v>
      </c>
      <c r="P816">
        <f t="shared" ca="1" si="165"/>
        <v>5702</v>
      </c>
      <c r="Q816">
        <v>27</v>
      </c>
      <c r="R816" t="str">
        <f t="shared" si="166"/>
        <v>Young</v>
      </c>
      <c r="S816" t="s">
        <v>24</v>
      </c>
      <c r="T816">
        <v>3</v>
      </c>
      <c r="U816" t="s">
        <v>25</v>
      </c>
      <c r="V816">
        <v>1068.0899999999999</v>
      </c>
      <c r="W816" t="s">
        <v>46</v>
      </c>
      <c r="X816" t="s">
        <v>55</v>
      </c>
      <c r="Y816">
        <v>14</v>
      </c>
      <c r="Z816" t="str">
        <f t="shared" si="167"/>
        <v>Bad Employee</v>
      </c>
      <c r="AA816" t="b">
        <f t="shared" si="168"/>
        <v>0</v>
      </c>
      <c r="AB816" t="b">
        <f>OR(Y816&gt;20, T816&gt;6)</f>
        <v>0</v>
      </c>
      <c r="AC816" t="str">
        <f>IF(OR(Y816&gt;20,T816&gt;6), "Good employee", "Bad Employee")</f>
        <v>Bad Employee</v>
      </c>
      <c r="AD816" t="s">
        <v>28</v>
      </c>
      <c r="AE816" t="s">
        <v>48</v>
      </c>
      <c r="AF816">
        <v>16</v>
      </c>
      <c r="AG816">
        <v>2013</v>
      </c>
      <c r="AH816" t="s">
        <v>49</v>
      </c>
      <c r="AI816">
        <v>188</v>
      </c>
      <c r="AJ816">
        <v>3.1</v>
      </c>
    </row>
    <row r="817" spans="1:36" x14ac:dyDescent="0.25">
      <c r="A817">
        <v>10816</v>
      </c>
      <c r="B817" t="s">
        <v>38</v>
      </c>
      <c r="C817" t="s">
        <v>61</v>
      </c>
      <c r="D817" t="s">
        <v>54</v>
      </c>
      <c r="E817" t="str">
        <f t="shared" si="156"/>
        <v>Chris Smith is in Finance Department</v>
      </c>
      <c r="F817" s="6" t="str">
        <f t="shared" si="157"/>
        <v>chrissmith@gmail.com</v>
      </c>
      <c r="G817">
        <v>30567</v>
      </c>
      <c r="H817" t="str">
        <f t="shared" si="158"/>
        <v>extremely low</v>
      </c>
      <c r="I817" s="3">
        <v>39451</v>
      </c>
      <c r="J817">
        <f t="shared" si="159"/>
        <v>2008</v>
      </c>
      <c r="K817">
        <f t="shared" si="160"/>
        <v>1</v>
      </c>
      <c r="L817">
        <f t="shared" si="161"/>
        <v>4</v>
      </c>
      <c r="M817" s="3">
        <f t="shared" ca="1" si="162"/>
        <v>46100</v>
      </c>
      <c r="N817">
        <f t="shared" ca="1" si="163"/>
        <v>6649</v>
      </c>
      <c r="O817">
        <f t="shared" ca="1" si="164"/>
        <v>6649</v>
      </c>
      <c r="P817">
        <f t="shared" ca="1" si="165"/>
        <v>4750</v>
      </c>
      <c r="Q817">
        <v>40</v>
      </c>
      <c r="R817" t="str">
        <f t="shared" si="166"/>
        <v>Old</v>
      </c>
      <c r="S817" t="s">
        <v>34</v>
      </c>
      <c r="T817">
        <v>7</v>
      </c>
      <c r="U817" t="s">
        <v>45</v>
      </c>
      <c r="V817">
        <v>9022.43</v>
      </c>
      <c r="W817" t="s">
        <v>35</v>
      </c>
      <c r="X817" t="s">
        <v>47</v>
      </c>
      <c r="Y817">
        <v>22</v>
      </c>
      <c r="Z817" t="str">
        <f t="shared" si="167"/>
        <v>Good Employee</v>
      </c>
      <c r="AA817" t="b">
        <f t="shared" si="168"/>
        <v>1</v>
      </c>
      <c r="AB817" t="b">
        <f>OR(Y817&gt;20, T817&gt;6)</f>
        <v>1</v>
      </c>
      <c r="AC817" t="str">
        <f>IF(OR(Y817&gt;20,T817&gt;6), "Good employee", "Bad Employee")</f>
        <v>Good employee</v>
      </c>
      <c r="AD817" t="s">
        <v>28</v>
      </c>
      <c r="AE817" t="s">
        <v>62</v>
      </c>
      <c r="AF817">
        <v>8</v>
      </c>
      <c r="AG817">
        <v>2015</v>
      </c>
      <c r="AH817" t="s">
        <v>49</v>
      </c>
      <c r="AI817">
        <v>36</v>
      </c>
      <c r="AJ817">
        <v>2.5</v>
      </c>
    </row>
    <row r="818" spans="1:36" x14ac:dyDescent="0.25">
      <c r="A818">
        <v>10817</v>
      </c>
      <c r="B818" t="s">
        <v>66</v>
      </c>
      <c r="C818" t="s">
        <v>32</v>
      </c>
      <c r="D818" t="s">
        <v>23</v>
      </c>
      <c r="E818" t="str">
        <f t="shared" si="156"/>
        <v>John Wilson is in HR Department</v>
      </c>
      <c r="F818" s="6" t="str">
        <f t="shared" si="157"/>
        <v>johnwilson@gmail.com</v>
      </c>
      <c r="G818">
        <v>91032</v>
      </c>
      <c r="H818" t="str">
        <f t="shared" si="158"/>
        <v>High</v>
      </c>
      <c r="I818" s="3">
        <v>40151</v>
      </c>
      <c r="J818">
        <f t="shared" si="159"/>
        <v>2009</v>
      </c>
      <c r="K818">
        <f t="shared" si="160"/>
        <v>12</v>
      </c>
      <c r="L818">
        <f t="shared" si="161"/>
        <v>4</v>
      </c>
      <c r="M818" s="3">
        <f t="shared" ca="1" si="162"/>
        <v>46100</v>
      </c>
      <c r="N818">
        <f t="shared" ca="1" si="163"/>
        <v>5949</v>
      </c>
      <c r="O818">
        <f t="shared" ca="1" si="164"/>
        <v>5949</v>
      </c>
      <c r="P818">
        <f t="shared" ca="1" si="165"/>
        <v>4250</v>
      </c>
      <c r="Q818">
        <v>43</v>
      </c>
      <c r="R818" t="str">
        <f t="shared" si="166"/>
        <v>Old</v>
      </c>
      <c r="S818" t="s">
        <v>34</v>
      </c>
      <c r="T818">
        <v>2</v>
      </c>
      <c r="U818" t="s">
        <v>25</v>
      </c>
      <c r="V818">
        <v>5575.99</v>
      </c>
      <c r="W818" t="s">
        <v>35</v>
      </c>
      <c r="X818" t="s">
        <v>36</v>
      </c>
      <c r="Y818">
        <v>28</v>
      </c>
      <c r="Z818" t="str">
        <f t="shared" si="167"/>
        <v>Bad Employee</v>
      </c>
      <c r="AA818" t="b">
        <f t="shared" si="168"/>
        <v>0</v>
      </c>
      <c r="AB818" t="b">
        <f>OR(Y818&gt;20, T818&gt;6)</f>
        <v>1</v>
      </c>
      <c r="AC818" t="str">
        <f>IF(OR(Y818&gt;20,T818&gt;6), "Good employee", "Bad Employee")</f>
        <v>Good employee</v>
      </c>
      <c r="AD818" t="s">
        <v>28</v>
      </c>
      <c r="AE818" t="s">
        <v>29</v>
      </c>
      <c r="AF818">
        <v>7</v>
      </c>
      <c r="AG818">
        <v>2022</v>
      </c>
      <c r="AH818" t="s">
        <v>43</v>
      </c>
      <c r="AI818">
        <v>163</v>
      </c>
      <c r="AJ818">
        <v>2.5</v>
      </c>
    </row>
    <row r="819" spans="1:36" x14ac:dyDescent="0.25">
      <c r="A819">
        <v>10818</v>
      </c>
      <c r="B819" t="s">
        <v>50</v>
      </c>
      <c r="C819" t="s">
        <v>61</v>
      </c>
      <c r="D819" t="s">
        <v>44</v>
      </c>
      <c r="E819" t="str">
        <f t="shared" si="156"/>
        <v>Alex Smith is in Sales Department</v>
      </c>
      <c r="F819" s="6" t="str">
        <f t="shared" si="157"/>
        <v>alexsmith@gmail.com</v>
      </c>
      <c r="G819">
        <v>32179</v>
      </c>
      <c r="H819" t="str">
        <f t="shared" si="158"/>
        <v>extremely low</v>
      </c>
      <c r="I819" s="3">
        <v>41995</v>
      </c>
      <c r="J819">
        <f t="shared" si="159"/>
        <v>2014</v>
      </c>
      <c r="K819">
        <f t="shared" si="160"/>
        <v>12</v>
      </c>
      <c r="L819">
        <f t="shared" si="161"/>
        <v>22</v>
      </c>
      <c r="M819" s="3">
        <f t="shared" ca="1" si="162"/>
        <v>46100</v>
      </c>
      <c r="N819">
        <f t="shared" ca="1" si="163"/>
        <v>4105</v>
      </c>
      <c r="O819">
        <f t="shared" ca="1" si="164"/>
        <v>4105</v>
      </c>
      <c r="P819">
        <f t="shared" ca="1" si="165"/>
        <v>2934</v>
      </c>
      <c r="Q819">
        <v>64</v>
      </c>
      <c r="R819" t="str">
        <f t="shared" si="166"/>
        <v>Old</v>
      </c>
      <c r="S819" t="s">
        <v>34</v>
      </c>
      <c r="T819">
        <v>5</v>
      </c>
      <c r="U819" t="s">
        <v>25</v>
      </c>
      <c r="V819">
        <v>1778.97</v>
      </c>
      <c r="W819" t="s">
        <v>46</v>
      </c>
      <c r="X819" t="s">
        <v>55</v>
      </c>
      <c r="Y819">
        <v>9</v>
      </c>
      <c r="Z819" t="str">
        <f t="shared" si="167"/>
        <v>Bad Employee</v>
      </c>
      <c r="AA819" t="b">
        <f t="shared" si="168"/>
        <v>0</v>
      </c>
      <c r="AB819" t="b">
        <f>OR(Y819&gt;20, T819&gt;6)</f>
        <v>0</v>
      </c>
      <c r="AC819" t="str">
        <f>IF(OR(Y819&gt;20,T819&gt;6), "Good employee", "Bad Employee")</f>
        <v>Bad Employee</v>
      </c>
      <c r="AD819" t="s">
        <v>41</v>
      </c>
      <c r="AE819" t="s">
        <v>29</v>
      </c>
      <c r="AF819">
        <v>9</v>
      </c>
      <c r="AG819">
        <v>2016</v>
      </c>
      <c r="AH819" t="s">
        <v>49</v>
      </c>
      <c r="AI819">
        <v>148</v>
      </c>
      <c r="AJ819">
        <v>4.9000000000000004</v>
      </c>
    </row>
    <row r="820" spans="1:36" x14ac:dyDescent="0.25">
      <c r="A820">
        <v>10819</v>
      </c>
      <c r="B820" t="s">
        <v>31</v>
      </c>
      <c r="C820" t="s">
        <v>51</v>
      </c>
      <c r="D820" t="s">
        <v>52</v>
      </c>
      <c r="E820" t="str">
        <f t="shared" si="156"/>
        <v>Emily Brown is in Operations Department</v>
      </c>
      <c r="F820" s="6" t="str">
        <f t="shared" si="157"/>
        <v>emilybrown@gmail.com</v>
      </c>
      <c r="G820">
        <v>32019</v>
      </c>
      <c r="H820" t="str">
        <f t="shared" si="158"/>
        <v>extremely low</v>
      </c>
      <c r="I820" s="3">
        <v>37749</v>
      </c>
      <c r="J820">
        <f t="shared" si="159"/>
        <v>2003</v>
      </c>
      <c r="K820">
        <f t="shared" si="160"/>
        <v>5</v>
      </c>
      <c r="L820">
        <f t="shared" si="161"/>
        <v>8</v>
      </c>
      <c r="M820" s="3">
        <f t="shared" ca="1" si="162"/>
        <v>46100</v>
      </c>
      <c r="N820">
        <f t="shared" ca="1" si="163"/>
        <v>8351</v>
      </c>
      <c r="O820">
        <f t="shared" ca="1" si="164"/>
        <v>8351</v>
      </c>
      <c r="P820">
        <f t="shared" ca="1" si="165"/>
        <v>5966</v>
      </c>
      <c r="Q820">
        <v>29</v>
      </c>
      <c r="R820" t="str">
        <f t="shared" si="166"/>
        <v>Young</v>
      </c>
      <c r="S820" t="s">
        <v>34</v>
      </c>
      <c r="T820">
        <v>9</v>
      </c>
      <c r="U820" t="s">
        <v>45</v>
      </c>
      <c r="V820">
        <v>1007.55</v>
      </c>
      <c r="W820" t="s">
        <v>26</v>
      </c>
      <c r="X820" t="s">
        <v>36</v>
      </c>
      <c r="Y820">
        <v>23</v>
      </c>
      <c r="Z820" t="str">
        <f t="shared" si="167"/>
        <v>Good Employee</v>
      </c>
      <c r="AA820" t="b">
        <f t="shared" si="168"/>
        <v>1</v>
      </c>
      <c r="AB820" t="b">
        <f>OR(Y820&gt;20, T820&gt;6)</f>
        <v>1</v>
      </c>
      <c r="AC820" t="str">
        <f>IF(OR(Y820&gt;20,T820&gt;6), "Good employee", "Bad Employee")</f>
        <v>Good employee</v>
      </c>
      <c r="AD820" t="s">
        <v>56</v>
      </c>
      <c r="AE820" t="s">
        <v>59</v>
      </c>
      <c r="AF820">
        <v>3</v>
      </c>
      <c r="AG820">
        <v>2020</v>
      </c>
      <c r="AH820" t="s">
        <v>49</v>
      </c>
      <c r="AI820">
        <v>164</v>
      </c>
      <c r="AJ820">
        <v>3.9</v>
      </c>
    </row>
    <row r="821" spans="1:36" x14ac:dyDescent="0.25">
      <c r="A821">
        <v>10820</v>
      </c>
      <c r="B821" t="s">
        <v>66</v>
      </c>
      <c r="C821" t="s">
        <v>32</v>
      </c>
      <c r="D821" t="s">
        <v>54</v>
      </c>
      <c r="E821" t="str">
        <f t="shared" si="156"/>
        <v>John Wilson is in Finance Department</v>
      </c>
      <c r="F821" s="6" t="str">
        <f t="shared" si="157"/>
        <v>johnwilson@gmail.com</v>
      </c>
      <c r="G821">
        <v>111455</v>
      </c>
      <c r="H821" t="str">
        <f t="shared" si="158"/>
        <v>High</v>
      </c>
      <c r="I821" s="3">
        <v>38485</v>
      </c>
      <c r="J821">
        <f t="shared" si="159"/>
        <v>2005</v>
      </c>
      <c r="K821">
        <f t="shared" si="160"/>
        <v>5</v>
      </c>
      <c r="L821">
        <f t="shared" si="161"/>
        <v>13</v>
      </c>
      <c r="M821" s="3">
        <f t="shared" ca="1" si="162"/>
        <v>46100</v>
      </c>
      <c r="N821">
        <f t="shared" ca="1" si="163"/>
        <v>7615</v>
      </c>
      <c r="O821">
        <f t="shared" ca="1" si="164"/>
        <v>7615</v>
      </c>
      <c r="P821">
        <f t="shared" ca="1" si="165"/>
        <v>5440</v>
      </c>
      <c r="Q821">
        <v>26</v>
      </c>
      <c r="R821" t="str">
        <f t="shared" si="166"/>
        <v>Young</v>
      </c>
      <c r="S821" t="s">
        <v>24</v>
      </c>
      <c r="T821">
        <v>8</v>
      </c>
      <c r="U821" t="s">
        <v>25</v>
      </c>
      <c r="V821">
        <v>1638.67</v>
      </c>
      <c r="W821" t="s">
        <v>26</v>
      </c>
      <c r="X821" t="s">
        <v>47</v>
      </c>
      <c r="Y821">
        <v>7</v>
      </c>
      <c r="Z821" t="str">
        <f t="shared" si="167"/>
        <v>Bad Employee</v>
      </c>
      <c r="AA821" t="b">
        <f t="shared" si="168"/>
        <v>0</v>
      </c>
      <c r="AB821" t="b">
        <f>OR(Y821&gt;20, T821&gt;6)</f>
        <v>1</v>
      </c>
      <c r="AC821" t="str">
        <f>IF(OR(Y821&gt;20,T821&gt;6), "Good employee", "Bad Employee")</f>
        <v>Good employee</v>
      </c>
      <c r="AD821" t="s">
        <v>56</v>
      </c>
      <c r="AE821" t="s">
        <v>42</v>
      </c>
      <c r="AF821">
        <v>4</v>
      </c>
      <c r="AG821">
        <v>2012</v>
      </c>
      <c r="AH821" t="s">
        <v>30</v>
      </c>
      <c r="AI821">
        <v>112</v>
      </c>
      <c r="AJ821">
        <v>3.7</v>
      </c>
    </row>
    <row r="822" spans="1:36" x14ac:dyDescent="0.25">
      <c r="A822">
        <v>10821</v>
      </c>
      <c r="B822" t="s">
        <v>21</v>
      </c>
      <c r="C822" t="s">
        <v>57</v>
      </c>
      <c r="D822" t="s">
        <v>44</v>
      </c>
      <c r="E822" t="str">
        <f t="shared" si="156"/>
        <v>Michael Davis is in Sales Department</v>
      </c>
      <c r="F822" s="6" t="str">
        <f t="shared" si="157"/>
        <v>michaeldavis@gmail.com</v>
      </c>
      <c r="G822">
        <v>115239</v>
      </c>
      <c r="H822" t="str">
        <f t="shared" si="158"/>
        <v>High</v>
      </c>
      <c r="I822" s="3">
        <v>43636</v>
      </c>
      <c r="J822">
        <f t="shared" si="159"/>
        <v>2019</v>
      </c>
      <c r="K822">
        <f t="shared" si="160"/>
        <v>6</v>
      </c>
      <c r="L822">
        <f t="shared" si="161"/>
        <v>20</v>
      </c>
      <c r="M822" s="3">
        <f t="shared" ca="1" si="162"/>
        <v>46100</v>
      </c>
      <c r="N822">
        <f t="shared" ca="1" si="163"/>
        <v>2464</v>
      </c>
      <c r="O822">
        <f t="shared" ca="1" si="164"/>
        <v>2464</v>
      </c>
      <c r="P822">
        <f t="shared" ca="1" si="165"/>
        <v>1761</v>
      </c>
      <c r="Q822">
        <v>30</v>
      </c>
      <c r="R822" t="str">
        <f t="shared" si="166"/>
        <v>Young</v>
      </c>
      <c r="S822" t="s">
        <v>24</v>
      </c>
      <c r="T822">
        <v>8</v>
      </c>
      <c r="U822" t="s">
        <v>25</v>
      </c>
      <c r="V822">
        <v>4977.7</v>
      </c>
      <c r="W822" t="s">
        <v>46</v>
      </c>
      <c r="X822" t="s">
        <v>36</v>
      </c>
      <c r="Y822">
        <v>24</v>
      </c>
      <c r="Z822" t="str">
        <f t="shared" si="167"/>
        <v>Good Employee</v>
      </c>
      <c r="AA822" t="b">
        <f t="shared" si="168"/>
        <v>1</v>
      </c>
      <c r="AB822" t="b">
        <f>OR(Y822&gt;20, T822&gt;6)</f>
        <v>1</v>
      </c>
      <c r="AC822" t="str">
        <f>IF(OR(Y822&gt;20,T822&gt;6), "Good employee", "Bad Employee")</f>
        <v>Good employee</v>
      </c>
      <c r="AD822" t="s">
        <v>56</v>
      </c>
      <c r="AE822" t="s">
        <v>59</v>
      </c>
      <c r="AF822">
        <v>17</v>
      </c>
      <c r="AG822">
        <v>2015</v>
      </c>
      <c r="AH822" t="s">
        <v>49</v>
      </c>
      <c r="AI822">
        <v>46</v>
      </c>
      <c r="AJ822">
        <v>1.9</v>
      </c>
    </row>
    <row r="823" spans="1:36" x14ac:dyDescent="0.25">
      <c r="A823">
        <v>10822</v>
      </c>
      <c r="B823" t="s">
        <v>31</v>
      </c>
      <c r="C823" t="s">
        <v>32</v>
      </c>
      <c r="D823" t="s">
        <v>44</v>
      </c>
      <c r="E823" t="str">
        <f t="shared" si="156"/>
        <v>Emily Wilson is in Sales Department</v>
      </c>
      <c r="F823" s="6" t="str">
        <f t="shared" si="157"/>
        <v>emilywilson@gmail.com</v>
      </c>
      <c r="G823">
        <v>48704</v>
      </c>
      <c r="H823" t="str">
        <f t="shared" si="158"/>
        <v>low</v>
      </c>
      <c r="I823" s="3">
        <v>37491</v>
      </c>
      <c r="J823">
        <f t="shared" si="159"/>
        <v>2002</v>
      </c>
      <c r="K823">
        <f t="shared" si="160"/>
        <v>8</v>
      </c>
      <c r="L823">
        <f t="shared" si="161"/>
        <v>23</v>
      </c>
      <c r="M823" s="3">
        <f t="shared" ca="1" si="162"/>
        <v>46100</v>
      </c>
      <c r="N823">
        <f t="shared" ca="1" si="163"/>
        <v>8609</v>
      </c>
      <c r="O823">
        <f t="shared" ca="1" si="164"/>
        <v>8609</v>
      </c>
      <c r="P823">
        <f t="shared" ca="1" si="165"/>
        <v>6150</v>
      </c>
      <c r="Q823">
        <v>42</v>
      </c>
      <c r="R823" t="str">
        <f t="shared" si="166"/>
        <v>Old</v>
      </c>
      <c r="S823" t="s">
        <v>34</v>
      </c>
      <c r="T823">
        <v>2</v>
      </c>
      <c r="U823" t="s">
        <v>25</v>
      </c>
      <c r="V823">
        <v>6850.42</v>
      </c>
      <c r="W823" t="s">
        <v>58</v>
      </c>
      <c r="X823" t="s">
        <v>36</v>
      </c>
      <c r="Y823">
        <v>37</v>
      </c>
      <c r="Z823" t="str">
        <f t="shared" si="167"/>
        <v>Bad Employee</v>
      </c>
      <c r="AA823" t="b">
        <f t="shared" si="168"/>
        <v>0</v>
      </c>
      <c r="AB823" t="b">
        <f>OR(Y823&gt;20, T823&gt;6)</f>
        <v>1</v>
      </c>
      <c r="AC823" t="str">
        <f>IF(OR(Y823&gt;20,T823&gt;6), "Good employee", "Bad Employee")</f>
        <v>Good employee</v>
      </c>
      <c r="AD823" t="s">
        <v>28</v>
      </c>
      <c r="AE823" t="s">
        <v>59</v>
      </c>
      <c r="AF823">
        <v>5</v>
      </c>
      <c r="AG823">
        <v>2011</v>
      </c>
      <c r="AH823" t="s">
        <v>30</v>
      </c>
      <c r="AI823">
        <v>126</v>
      </c>
      <c r="AJ823">
        <v>3.2</v>
      </c>
    </row>
    <row r="824" spans="1:36" x14ac:dyDescent="0.25">
      <c r="A824">
        <v>10823</v>
      </c>
      <c r="B824" t="s">
        <v>64</v>
      </c>
      <c r="C824" t="s">
        <v>61</v>
      </c>
      <c r="D824" t="s">
        <v>44</v>
      </c>
      <c r="E824" t="str">
        <f t="shared" si="156"/>
        <v>Katie Smith is in Sales Department</v>
      </c>
      <c r="F824" s="6" t="str">
        <f t="shared" si="157"/>
        <v>katiesmith@gmail.com</v>
      </c>
      <c r="G824">
        <v>48030</v>
      </c>
      <c r="H824" t="str">
        <f t="shared" si="158"/>
        <v>low</v>
      </c>
      <c r="I824" s="3">
        <v>41585</v>
      </c>
      <c r="J824">
        <f t="shared" si="159"/>
        <v>2013</v>
      </c>
      <c r="K824">
        <f t="shared" si="160"/>
        <v>11</v>
      </c>
      <c r="L824">
        <f t="shared" si="161"/>
        <v>7</v>
      </c>
      <c r="M824" s="3">
        <f t="shared" ca="1" si="162"/>
        <v>46100</v>
      </c>
      <c r="N824">
        <f t="shared" ca="1" si="163"/>
        <v>4515</v>
      </c>
      <c r="O824">
        <f t="shared" ca="1" si="164"/>
        <v>4515</v>
      </c>
      <c r="P824">
        <f t="shared" ca="1" si="165"/>
        <v>3226</v>
      </c>
      <c r="Q824">
        <v>49</v>
      </c>
      <c r="R824" t="str">
        <f t="shared" si="166"/>
        <v>Old</v>
      </c>
      <c r="S824" t="s">
        <v>24</v>
      </c>
      <c r="T824">
        <v>1</v>
      </c>
      <c r="U824" t="s">
        <v>45</v>
      </c>
      <c r="V824">
        <v>6592.16</v>
      </c>
      <c r="W824" t="s">
        <v>46</v>
      </c>
      <c r="X824" t="s">
        <v>36</v>
      </c>
      <c r="Y824">
        <v>9</v>
      </c>
      <c r="Z824" t="str">
        <f t="shared" si="167"/>
        <v>Bad Employee</v>
      </c>
      <c r="AA824" t="b">
        <f t="shared" si="168"/>
        <v>0</v>
      </c>
      <c r="AB824" t="b">
        <f>OR(Y824&gt;20, T824&gt;6)</f>
        <v>0</v>
      </c>
      <c r="AC824" t="str">
        <f>IF(OR(Y824&gt;20,T824&gt;6), "Good employee", "Bad Employee")</f>
        <v>Bad Employee</v>
      </c>
      <c r="AD824" t="s">
        <v>56</v>
      </c>
      <c r="AE824" t="s">
        <v>62</v>
      </c>
      <c r="AF824">
        <v>9</v>
      </c>
      <c r="AG824">
        <v>2021</v>
      </c>
      <c r="AH824" t="s">
        <v>30</v>
      </c>
      <c r="AI824">
        <v>38</v>
      </c>
      <c r="AJ824">
        <v>2.4</v>
      </c>
    </row>
    <row r="825" spans="1:36" x14ac:dyDescent="0.25">
      <c r="A825">
        <v>10824</v>
      </c>
      <c r="B825" t="s">
        <v>21</v>
      </c>
      <c r="C825" t="s">
        <v>61</v>
      </c>
      <c r="D825" t="s">
        <v>44</v>
      </c>
      <c r="E825" t="str">
        <f t="shared" si="156"/>
        <v>Michael Smith is in Sales Department</v>
      </c>
      <c r="F825" s="6" t="str">
        <f t="shared" si="157"/>
        <v>michaelsmith@gmail.com</v>
      </c>
      <c r="G825">
        <v>99445</v>
      </c>
      <c r="H825" t="str">
        <f t="shared" si="158"/>
        <v>High</v>
      </c>
      <c r="I825" s="3">
        <v>41518</v>
      </c>
      <c r="J825">
        <f t="shared" si="159"/>
        <v>2013</v>
      </c>
      <c r="K825">
        <f t="shared" si="160"/>
        <v>9</v>
      </c>
      <c r="L825">
        <f t="shared" si="161"/>
        <v>1</v>
      </c>
      <c r="M825" s="3">
        <f t="shared" ca="1" si="162"/>
        <v>46100</v>
      </c>
      <c r="N825">
        <f t="shared" ca="1" si="163"/>
        <v>4582</v>
      </c>
      <c r="O825">
        <f t="shared" ca="1" si="164"/>
        <v>4582</v>
      </c>
      <c r="P825">
        <f t="shared" ca="1" si="165"/>
        <v>3274</v>
      </c>
      <c r="Q825">
        <v>25</v>
      </c>
      <c r="R825" t="str">
        <f t="shared" si="166"/>
        <v>Young</v>
      </c>
      <c r="S825" t="s">
        <v>24</v>
      </c>
      <c r="T825">
        <v>9</v>
      </c>
      <c r="U825" t="s">
        <v>25</v>
      </c>
      <c r="V825">
        <v>1872.02</v>
      </c>
      <c r="W825" t="s">
        <v>58</v>
      </c>
      <c r="X825" t="s">
        <v>27</v>
      </c>
      <c r="Y825">
        <v>38</v>
      </c>
      <c r="Z825" t="str">
        <f t="shared" si="167"/>
        <v>Good Employee</v>
      </c>
      <c r="AA825" t="b">
        <f t="shared" si="168"/>
        <v>1</v>
      </c>
      <c r="AB825" t="b">
        <f>OR(Y825&gt;20, T825&gt;6)</f>
        <v>1</v>
      </c>
      <c r="AC825" t="str">
        <f>IF(OR(Y825&gt;20,T825&gt;6), "Good employee", "Bad Employee")</f>
        <v>Good employee</v>
      </c>
      <c r="AD825" t="s">
        <v>56</v>
      </c>
      <c r="AE825" t="s">
        <v>42</v>
      </c>
      <c r="AF825">
        <v>17</v>
      </c>
      <c r="AG825">
        <v>2019</v>
      </c>
      <c r="AH825" t="s">
        <v>43</v>
      </c>
      <c r="AI825">
        <v>169</v>
      </c>
      <c r="AJ825">
        <v>2</v>
      </c>
    </row>
    <row r="826" spans="1:36" x14ac:dyDescent="0.25">
      <c r="A826">
        <v>10825</v>
      </c>
      <c r="B826" t="s">
        <v>53</v>
      </c>
      <c r="C826" t="s">
        <v>22</v>
      </c>
      <c r="D826" t="s">
        <v>44</v>
      </c>
      <c r="E826" t="str">
        <f t="shared" si="156"/>
        <v>Sarah Williams is in Sales Department</v>
      </c>
      <c r="F826" s="6" t="str">
        <f t="shared" si="157"/>
        <v>sarahwilliams@gmail.com</v>
      </c>
      <c r="G826">
        <v>103551</v>
      </c>
      <c r="H826" t="str">
        <f t="shared" si="158"/>
        <v>High</v>
      </c>
      <c r="I826" s="3">
        <v>41980</v>
      </c>
      <c r="J826">
        <f t="shared" si="159"/>
        <v>2014</v>
      </c>
      <c r="K826">
        <f t="shared" si="160"/>
        <v>12</v>
      </c>
      <c r="L826">
        <f t="shared" si="161"/>
        <v>7</v>
      </c>
      <c r="M826" s="3">
        <f t="shared" ca="1" si="162"/>
        <v>46100</v>
      </c>
      <c r="N826">
        <f t="shared" ca="1" si="163"/>
        <v>4120</v>
      </c>
      <c r="O826">
        <f t="shared" ca="1" si="164"/>
        <v>4120</v>
      </c>
      <c r="P826">
        <f t="shared" ca="1" si="165"/>
        <v>2944</v>
      </c>
      <c r="Q826">
        <v>45</v>
      </c>
      <c r="R826" t="str">
        <f t="shared" si="166"/>
        <v>Old</v>
      </c>
      <c r="S826" t="s">
        <v>34</v>
      </c>
      <c r="T826">
        <v>4</v>
      </c>
      <c r="U826" t="s">
        <v>25</v>
      </c>
      <c r="V826">
        <v>6518.15</v>
      </c>
      <c r="W826" t="s">
        <v>26</v>
      </c>
      <c r="X826" t="s">
        <v>40</v>
      </c>
      <c r="Y826">
        <v>7</v>
      </c>
      <c r="Z826" t="str">
        <f t="shared" si="167"/>
        <v>Bad Employee</v>
      </c>
      <c r="AA826" t="b">
        <f t="shared" si="168"/>
        <v>0</v>
      </c>
      <c r="AB826" t="b">
        <f>OR(Y826&gt;20, T826&gt;6)</f>
        <v>0</v>
      </c>
      <c r="AC826" t="str">
        <f>IF(OR(Y826&gt;20,T826&gt;6), "Good employee", "Bad Employee")</f>
        <v>Bad Employee</v>
      </c>
      <c r="AD826" t="s">
        <v>28</v>
      </c>
      <c r="AE826" t="s">
        <v>42</v>
      </c>
      <c r="AF826">
        <v>10</v>
      </c>
      <c r="AG826">
        <v>2022</v>
      </c>
      <c r="AH826" t="s">
        <v>43</v>
      </c>
      <c r="AI826">
        <v>148</v>
      </c>
      <c r="AJ826">
        <v>4.5999999999999996</v>
      </c>
    </row>
    <row r="827" spans="1:36" x14ac:dyDescent="0.25">
      <c r="A827">
        <v>10826</v>
      </c>
      <c r="B827" t="s">
        <v>31</v>
      </c>
      <c r="C827" t="s">
        <v>65</v>
      </c>
      <c r="D827" t="s">
        <v>54</v>
      </c>
      <c r="E827" t="str">
        <f t="shared" si="156"/>
        <v>Emily Johnson is in Finance Department</v>
      </c>
      <c r="F827" s="6" t="str">
        <f t="shared" si="157"/>
        <v>emilyjohnson@gmail.com</v>
      </c>
      <c r="G827">
        <v>33420</v>
      </c>
      <c r="H827" t="str">
        <f t="shared" si="158"/>
        <v>extremely low</v>
      </c>
      <c r="I827" s="3">
        <v>40204</v>
      </c>
      <c r="J827">
        <f t="shared" si="159"/>
        <v>2010</v>
      </c>
      <c r="K827">
        <f t="shared" si="160"/>
        <v>1</v>
      </c>
      <c r="L827">
        <f t="shared" si="161"/>
        <v>26</v>
      </c>
      <c r="M827" s="3">
        <f t="shared" ca="1" si="162"/>
        <v>46100</v>
      </c>
      <c r="N827">
        <f t="shared" ca="1" si="163"/>
        <v>5896</v>
      </c>
      <c r="O827">
        <f t="shared" ca="1" si="164"/>
        <v>5896</v>
      </c>
      <c r="P827">
        <f t="shared" ca="1" si="165"/>
        <v>4213</v>
      </c>
      <c r="Q827">
        <v>29</v>
      </c>
      <c r="R827" t="str">
        <f t="shared" si="166"/>
        <v>Young</v>
      </c>
      <c r="S827" t="s">
        <v>24</v>
      </c>
      <c r="T827">
        <v>9</v>
      </c>
      <c r="U827" t="s">
        <v>45</v>
      </c>
      <c r="V827">
        <v>4346.22</v>
      </c>
      <c r="W827" t="s">
        <v>58</v>
      </c>
      <c r="X827" t="s">
        <v>47</v>
      </c>
      <c r="Y827">
        <v>23</v>
      </c>
      <c r="Z827" t="str">
        <f t="shared" si="167"/>
        <v>Good Employee</v>
      </c>
      <c r="AA827" t="b">
        <f t="shared" si="168"/>
        <v>1</v>
      </c>
      <c r="AB827" t="b">
        <f>OR(Y827&gt;20, T827&gt;6)</f>
        <v>1</v>
      </c>
      <c r="AC827" t="str">
        <f>IF(OR(Y827&gt;20,T827&gt;6), "Good employee", "Bad Employee")</f>
        <v>Good employee</v>
      </c>
      <c r="AD827" t="s">
        <v>41</v>
      </c>
      <c r="AE827" t="s">
        <v>62</v>
      </c>
      <c r="AF827">
        <v>4</v>
      </c>
      <c r="AG827">
        <v>2013</v>
      </c>
      <c r="AH827" t="s">
        <v>49</v>
      </c>
      <c r="AI827">
        <v>89</v>
      </c>
      <c r="AJ827">
        <v>2.5</v>
      </c>
    </row>
    <row r="828" spans="1:36" x14ac:dyDescent="0.25">
      <c r="A828">
        <v>10827</v>
      </c>
      <c r="B828" t="s">
        <v>50</v>
      </c>
      <c r="C828" t="s">
        <v>32</v>
      </c>
      <c r="D828" t="s">
        <v>33</v>
      </c>
      <c r="E828" t="str">
        <f t="shared" si="156"/>
        <v>Alex Wilson is in Marketing Department</v>
      </c>
      <c r="F828" s="6" t="str">
        <f t="shared" si="157"/>
        <v>alexwilson@gmail.com</v>
      </c>
      <c r="G828">
        <v>89875</v>
      </c>
      <c r="H828" t="str">
        <f t="shared" si="158"/>
        <v>High</v>
      </c>
      <c r="I828" s="3">
        <v>40838</v>
      </c>
      <c r="J828">
        <f t="shared" si="159"/>
        <v>2011</v>
      </c>
      <c r="K828">
        <f t="shared" si="160"/>
        <v>10</v>
      </c>
      <c r="L828">
        <f t="shared" si="161"/>
        <v>22</v>
      </c>
      <c r="M828" s="3">
        <f t="shared" ca="1" si="162"/>
        <v>46100</v>
      </c>
      <c r="N828">
        <f t="shared" ca="1" si="163"/>
        <v>5262</v>
      </c>
      <c r="O828">
        <f t="shared" ca="1" si="164"/>
        <v>5262</v>
      </c>
      <c r="P828">
        <f t="shared" ca="1" si="165"/>
        <v>3759</v>
      </c>
      <c r="Q828">
        <v>38</v>
      </c>
      <c r="R828" t="str">
        <f t="shared" si="166"/>
        <v>Old</v>
      </c>
      <c r="S828" t="s">
        <v>34</v>
      </c>
      <c r="T828">
        <v>7</v>
      </c>
      <c r="U828" t="s">
        <v>45</v>
      </c>
      <c r="V828">
        <v>4915.07</v>
      </c>
      <c r="W828" t="s">
        <v>46</v>
      </c>
      <c r="X828" t="s">
        <v>27</v>
      </c>
      <c r="Y828">
        <v>25</v>
      </c>
      <c r="Z828" t="str">
        <f t="shared" si="167"/>
        <v>Good Employee</v>
      </c>
      <c r="AA828" t="b">
        <f t="shared" si="168"/>
        <v>1</v>
      </c>
      <c r="AB828" t="b">
        <f>OR(Y828&gt;20, T828&gt;6)</f>
        <v>1</v>
      </c>
      <c r="AC828" t="str">
        <f>IF(OR(Y828&gt;20,T828&gt;6), "Good employee", "Bad Employee")</f>
        <v>Good employee</v>
      </c>
      <c r="AD828" t="s">
        <v>41</v>
      </c>
      <c r="AE828" t="s">
        <v>48</v>
      </c>
      <c r="AF828">
        <v>2</v>
      </c>
      <c r="AG828">
        <v>2023</v>
      </c>
      <c r="AH828" t="s">
        <v>43</v>
      </c>
      <c r="AI828">
        <v>145</v>
      </c>
      <c r="AJ828">
        <v>2.1</v>
      </c>
    </row>
    <row r="829" spans="1:36" x14ac:dyDescent="0.25">
      <c r="A829">
        <v>10828</v>
      </c>
      <c r="B829" t="s">
        <v>60</v>
      </c>
      <c r="C829" t="s">
        <v>51</v>
      </c>
      <c r="D829" t="s">
        <v>39</v>
      </c>
      <c r="E829" t="str">
        <f t="shared" si="156"/>
        <v>Jane Brown is in IT Department</v>
      </c>
      <c r="F829" s="6" t="str">
        <f t="shared" si="157"/>
        <v>janebrown@gmail.com</v>
      </c>
      <c r="G829">
        <v>77653</v>
      </c>
      <c r="H829" t="str">
        <f t="shared" si="158"/>
        <v>Medium</v>
      </c>
      <c r="I829" s="3">
        <v>37148</v>
      </c>
      <c r="J829">
        <f t="shared" si="159"/>
        <v>2001</v>
      </c>
      <c r="K829">
        <f t="shared" si="160"/>
        <v>9</v>
      </c>
      <c r="L829">
        <f t="shared" si="161"/>
        <v>14</v>
      </c>
      <c r="M829" s="3">
        <f t="shared" ca="1" si="162"/>
        <v>46100</v>
      </c>
      <c r="N829">
        <f t="shared" ca="1" si="163"/>
        <v>8952</v>
      </c>
      <c r="O829">
        <f t="shared" ca="1" si="164"/>
        <v>8952</v>
      </c>
      <c r="P829">
        <f t="shared" ca="1" si="165"/>
        <v>6395</v>
      </c>
      <c r="Q829">
        <v>55</v>
      </c>
      <c r="R829" t="str">
        <f t="shared" si="166"/>
        <v>Old</v>
      </c>
      <c r="S829" t="s">
        <v>34</v>
      </c>
      <c r="T829">
        <v>6</v>
      </c>
      <c r="U829" t="s">
        <v>45</v>
      </c>
      <c r="V829">
        <v>8113.59</v>
      </c>
      <c r="W829" t="s">
        <v>58</v>
      </c>
      <c r="X829" t="s">
        <v>40</v>
      </c>
      <c r="Y829">
        <v>22</v>
      </c>
      <c r="Z829" t="str">
        <f t="shared" si="167"/>
        <v>Bad Employee</v>
      </c>
      <c r="AA829" t="b">
        <f t="shared" si="168"/>
        <v>0</v>
      </c>
      <c r="AB829" t="b">
        <f>OR(Y829&gt;20, T829&gt;6)</f>
        <v>1</v>
      </c>
      <c r="AC829" t="str">
        <f>IF(OR(Y829&gt;20,T829&gt;6), "Good employee", "Bad Employee")</f>
        <v>Good employee</v>
      </c>
      <c r="AD829" t="s">
        <v>28</v>
      </c>
      <c r="AE829" t="s">
        <v>37</v>
      </c>
      <c r="AF829">
        <v>17</v>
      </c>
      <c r="AG829">
        <v>2019</v>
      </c>
      <c r="AH829" t="s">
        <v>30</v>
      </c>
      <c r="AI829">
        <v>126</v>
      </c>
      <c r="AJ829">
        <v>4.7</v>
      </c>
    </row>
    <row r="830" spans="1:36" x14ac:dyDescent="0.25">
      <c r="A830">
        <v>10829</v>
      </c>
      <c r="B830" t="s">
        <v>21</v>
      </c>
      <c r="C830" t="s">
        <v>51</v>
      </c>
      <c r="D830" t="s">
        <v>44</v>
      </c>
      <c r="E830" t="str">
        <f t="shared" si="156"/>
        <v>Michael Brown is in Sales Department</v>
      </c>
      <c r="F830" s="6" t="str">
        <f t="shared" si="157"/>
        <v>michaelbrown@gmail.com</v>
      </c>
      <c r="G830">
        <v>46740</v>
      </c>
      <c r="H830" t="str">
        <f t="shared" si="158"/>
        <v>low</v>
      </c>
      <c r="I830" s="3">
        <v>40974</v>
      </c>
      <c r="J830">
        <f t="shared" si="159"/>
        <v>2012</v>
      </c>
      <c r="K830">
        <f t="shared" si="160"/>
        <v>3</v>
      </c>
      <c r="L830">
        <f t="shared" si="161"/>
        <v>6</v>
      </c>
      <c r="M830" s="3">
        <f t="shared" ca="1" si="162"/>
        <v>46100</v>
      </c>
      <c r="N830">
        <f t="shared" ca="1" si="163"/>
        <v>5126</v>
      </c>
      <c r="O830">
        <f t="shared" ca="1" si="164"/>
        <v>5126</v>
      </c>
      <c r="P830">
        <f t="shared" ca="1" si="165"/>
        <v>3663</v>
      </c>
      <c r="Q830">
        <v>41</v>
      </c>
      <c r="R830" t="str">
        <f t="shared" si="166"/>
        <v>Old</v>
      </c>
      <c r="S830" t="s">
        <v>24</v>
      </c>
      <c r="T830">
        <v>9</v>
      </c>
      <c r="U830" t="s">
        <v>45</v>
      </c>
      <c r="V830">
        <v>3658.74</v>
      </c>
      <c r="W830" t="s">
        <v>35</v>
      </c>
      <c r="X830" t="s">
        <v>36</v>
      </c>
      <c r="Y830">
        <v>7</v>
      </c>
      <c r="Z830" t="str">
        <f t="shared" si="167"/>
        <v>Bad Employee</v>
      </c>
      <c r="AA830" t="b">
        <f t="shared" si="168"/>
        <v>0</v>
      </c>
      <c r="AB830" t="b">
        <f>OR(Y830&gt;20, T830&gt;6)</f>
        <v>1</v>
      </c>
      <c r="AC830" t="str">
        <f>IF(OR(Y830&gt;20,T830&gt;6), "Good employee", "Bad Employee")</f>
        <v>Good employee</v>
      </c>
      <c r="AD830" t="s">
        <v>56</v>
      </c>
      <c r="AE830" t="s">
        <v>62</v>
      </c>
      <c r="AF830">
        <v>3</v>
      </c>
      <c r="AG830">
        <v>2022</v>
      </c>
      <c r="AH830" t="s">
        <v>43</v>
      </c>
      <c r="AI830">
        <v>124</v>
      </c>
      <c r="AJ830">
        <v>1.8</v>
      </c>
    </row>
    <row r="831" spans="1:36" x14ac:dyDescent="0.25">
      <c r="A831">
        <v>10830</v>
      </c>
      <c r="B831" t="s">
        <v>53</v>
      </c>
      <c r="C831" t="s">
        <v>65</v>
      </c>
      <c r="D831" t="s">
        <v>44</v>
      </c>
      <c r="E831" t="str">
        <f t="shared" si="156"/>
        <v>Sarah Johnson is in Sales Department</v>
      </c>
      <c r="F831" s="6" t="str">
        <f t="shared" si="157"/>
        <v>sarahjohnson@gmail.com</v>
      </c>
      <c r="G831">
        <v>95263</v>
      </c>
      <c r="H831" t="str">
        <f t="shared" si="158"/>
        <v>High</v>
      </c>
      <c r="I831" s="3">
        <v>41313</v>
      </c>
      <c r="J831">
        <f t="shared" si="159"/>
        <v>2013</v>
      </c>
      <c r="K831">
        <f t="shared" si="160"/>
        <v>2</v>
      </c>
      <c r="L831">
        <f t="shared" si="161"/>
        <v>8</v>
      </c>
      <c r="M831" s="3">
        <f t="shared" ca="1" si="162"/>
        <v>46100</v>
      </c>
      <c r="N831">
        <f t="shared" ca="1" si="163"/>
        <v>4787</v>
      </c>
      <c r="O831">
        <f t="shared" ca="1" si="164"/>
        <v>4787</v>
      </c>
      <c r="P831">
        <f t="shared" ca="1" si="165"/>
        <v>3420</v>
      </c>
      <c r="Q831">
        <v>37</v>
      </c>
      <c r="R831" t="str">
        <f t="shared" si="166"/>
        <v>Old</v>
      </c>
      <c r="S831" t="s">
        <v>24</v>
      </c>
      <c r="T831">
        <v>4</v>
      </c>
      <c r="U831" t="s">
        <v>45</v>
      </c>
      <c r="V831">
        <v>1896.49</v>
      </c>
      <c r="W831" t="s">
        <v>35</v>
      </c>
      <c r="X831" t="s">
        <v>36</v>
      </c>
      <c r="Y831">
        <v>6</v>
      </c>
      <c r="Z831" t="str">
        <f t="shared" si="167"/>
        <v>Bad Employee</v>
      </c>
      <c r="AA831" t="b">
        <f t="shared" si="168"/>
        <v>0</v>
      </c>
      <c r="AB831" t="b">
        <f>OR(Y831&gt;20, T831&gt;6)</f>
        <v>0</v>
      </c>
      <c r="AC831" t="str">
        <f>IF(OR(Y831&gt;20,T831&gt;6), "Good employee", "Bad Employee")</f>
        <v>Bad Employee</v>
      </c>
      <c r="AD831" t="s">
        <v>41</v>
      </c>
      <c r="AE831" t="s">
        <v>48</v>
      </c>
      <c r="AF831">
        <v>7</v>
      </c>
      <c r="AG831">
        <v>2018</v>
      </c>
      <c r="AH831" t="s">
        <v>30</v>
      </c>
      <c r="AI831">
        <v>86</v>
      </c>
      <c r="AJ831">
        <v>4</v>
      </c>
    </row>
    <row r="832" spans="1:36" x14ac:dyDescent="0.25">
      <c r="A832">
        <v>10831</v>
      </c>
      <c r="B832" t="s">
        <v>38</v>
      </c>
      <c r="C832" t="s">
        <v>61</v>
      </c>
      <c r="D832" t="s">
        <v>39</v>
      </c>
      <c r="E832" t="str">
        <f t="shared" si="156"/>
        <v>Chris Smith is in IT Department</v>
      </c>
      <c r="F832" s="6" t="str">
        <f t="shared" si="157"/>
        <v>chrissmith@gmail.com</v>
      </c>
      <c r="G832">
        <v>94559</v>
      </c>
      <c r="H832" t="str">
        <f t="shared" si="158"/>
        <v>High</v>
      </c>
      <c r="I832" s="3">
        <v>43344</v>
      </c>
      <c r="J832">
        <f t="shared" si="159"/>
        <v>2018</v>
      </c>
      <c r="K832">
        <f t="shared" si="160"/>
        <v>9</v>
      </c>
      <c r="L832">
        <f t="shared" si="161"/>
        <v>1</v>
      </c>
      <c r="M832" s="3">
        <f t="shared" ca="1" si="162"/>
        <v>46100</v>
      </c>
      <c r="N832">
        <f t="shared" ca="1" si="163"/>
        <v>2756</v>
      </c>
      <c r="O832">
        <f t="shared" ca="1" si="164"/>
        <v>2756</v>
      </c>
      <c r="P832">
        <f t="shared" ca="1" si="165"/>
        <v>1969</v>
      </c>
      <c r="Q832">
        <v>31</v>
      </c>
      <c r="R832" t="str">
        <f t="shared" si="166"/>
        <v>Old</v>
      </c>
      <c r="S832" t="s">
        <v>24</v>
      </c>
      <c r="T832">
        <v>1</v>
      </c>
      <c r="U832" t="s">
        <v>45</v>
      </c>
      <c r="V832">
        <v>8797.7999999999993</v>
      </c>
      <c r="W832" t="s">
        <v>46</v>
      </c>
      <c r="X832" t="s">
        <v>27</v>
      </c>
      <c r="Y832">
        <v>36</v>
      </c>
      <c r="Z832" t="str">
        <f t="shared" si="167"/>
        <v>Bad Employee</v>
      </c>
      <c r="AA832" t="b">
        <f t="shared" si="168"/>
        <v>0</v>
      </c>
      <c r="AB832" t="b">
        <f>OR(Y832&gt;20, T832&gt;6)</f>
        <v>1</v>
      </c>
      <c r="AC832" t="str">
        <f>IF(OR(Y832&gt;20,T832&gt;6), "Good employee", "Bad Employee")</f>
        <v>Good employee</v>
      </c>
      <c r="AD832" t="s">
        <v>41</v>
      </c>
      <c r="AE832" t="s">
        <v>48</v>
      </c>
      <c r="AF832">
        <v>16</v>
      </c>
      <c r="AG832">
        <v>2022</v>
      </c>
      <c r="AH832" t="s">
        <v>43</v>
      </c>
      <c r="AI832">
        <v>198</v>
      </c>
      <c r="AJ832">
        <v>3.6</v>
      </c>
    </row>
    <row r="833" spans="1:36" x14ac:dyDescent="0.25">
      <c r="A833">
        <v>10832</v>
      </c>
      <c r="B833" t="s">
        <v>38</v>
      </c>
      <c r="C833" t="s">
        <v>22</v>
      </c>
      <c r="D833" t="s">
        <v>54</v>
      </c>
      <c r="E833" t="str">
        <f t="shared" si="156"/>
        <v>Chris Williams is in Finance Department</v>
      </c>
      <c r="F833" s="6" t="str">
        <f t="shared" si="157"/>
        <v>chriswilliams@gmail.com</v>
      </c>
      <c r="G833">
        <v>49465</v>
      </c>
      <c r="H833" t="str">
        <f t="shared" si="158"/>
        <v>low</v>
      </c>
      <c r="I833" s="3">
        <v>41252</v>
      </c>
      <c r="J833">
        <f t="shared" si="159"/>
        <v>2012</v>
      </c>
      <c r="K833">
        <f t="shared" si="160"/>
        <v>12</v>
      </c>
      <c r="L833">
        <f t="shared" si="161"/>
        <v>9</v>
      </c>
      <c r="M833" s="3">
        <f t="shared" ca="1" si="162"/>
        <v>46100</v>
      </c>
      <c r="N833">
        <f t="shared" ca="1" si="163"/>
        <v>4848</v>
      </c>
      <c r="O833">
        <f t="shared" ca="1" si="164"/>
        <v>4848</v>
      </c>
      <c r="P833">
        <f t="shared" ca="1" si="165"/>
        <v>3464</v>
      </c>
      <c r="Q833">
        <v>55</v>
      </c>
      <c r="R833" t="str">
        <f t="shared" si="166"/>
        <v>Old</v>
      </c>
      <c r="S833" t="s">
        <v>34</v>
      </c>
      <c r="T833">
        <v>5</v>
      </c>
      <c r="U833" t="s">
        <v>45</v>
      </c>
      <c r="V833">
        <v>2515.2399999999998</v>
      </c>
      <c r="W833" t="s">
        <v>46</v>
      </c>
      <c r="X833" t="s">
        <v>55</v>
      </c>
      <c r="Y833">
        <v>22</v>
      </c>
      <c r="Z833" t="str">
        <f t="shared" si="167"/>
        <v>Bad Employee</v>
      </c>
      <c r="AA833" t="b">
        <f t="shared" si="168"/>
        <v>0</v>
      </c>
      <c r="AB833" t="b">
        <f>OR(Y833&gt;20, T833&gt;6)</f>
        <v>1</v>
      </c>
      <c r="AC833" t="str">
        <f>IF(OR(Y833&gt;20,T833&gt;6), "Good employee", "Bad Employee")</f>
        <v>Good employee</v>
      </c>
      <c r="AD833" t="s">
        <v>41</v>
      </c>
      <c r="AE833" t="s">
        <v>42</v>
      </c>
      <c r="AF833">
        <v>9</v>
      </c>
      <c r="AG833">
        <v>2016</v>
      </c>
      <c r="AH833" t="s">
        <v>49</v>
      </c>
      <c r="AI833">
        <v>124</v>
      </c>
      <c r="AJ833">
        <v>4.7</v>
      </c>
    </row>
    <row r="834" spans="1:36" x14ac:dyDescent="0.25">
      <c r="A834">
        <v>10833</v>
      </c>
      <c r="B834" t="s">
        <v>50</v>
      </c>
      <c r="C834" t="s">
        <v>22</v>
      </c>
      <c r="D834" t="s">
        <v>23</v>
      </c>
      <c r="E834" t="str">
        <f t="shared" si="156"/>
        <v>Alex Williams is in HR Department</v>
      </c>
      <c r="F834" s="6" t="str">
        <f t="shared" si="157"/>
        <v>alexwilliams@gmail.com</v>
      </c>
      <c r="G834">
        <v>81432</v>
      </c>
      <c r="H834" t="str">
        <f t="shared" si="158"/>
        <v>High</v>
      </c>
      <c r="I834" s="3">
        <v>38898</v>
      </c>
      <c r="J834">
        <f t="shared" si="159"/>
        <v>2006</v>
      </c>
      <c r="K834">
        <f t="shared" si="160"/>
        <v>6</v>
      </c>
      <c r="L834">
        <f t="shared" si="161"/>
        <v>30</v>
      </c>
      <c r="M834" s="3">
        <f t="shared" ca="1" si="162"/>
        <v>46100</v>
      </c>
      <c r="N834">
        <f t="shared" ca="1" si="163"/>
        <v>7202</v>
      </c>
      <c r="O834">
        <f t="shared" ca="1" si="164"/>
        <v>7202</v>
      </c>
      <c r="P834">
        <f t="shared" ca="1" si="165"/>
        <v>5145</v>
      </c>
      <c r="Q834">
        <v>64</v>
      </c>
      <c r="R834" t="str">
        <f t="shared" si="166"/>
        <v>Old</v>
      </c>
      <c r="S834" t="s">
        <v>34</v>
      </c>
      <c r="T834">
        <v>6</v>
      </c>
      <c r="U834" t="s">
        <v>25</v>
      </c>
      <c r="V834">
        <v>3293.28</v>
      </c>
      <c r="W834" t="s">
        <v>46</v>
      </c>
      <c r="X834" t="s">
        <v>47</v>
      </c>
      <c r="Y834">
        <v>35</v>
      </c>
      <c r="Z834" t="str">
        <f t="shared" si="167"/>
        <v>Bad Employee</v>
      </c>
      <c r="AA834" t="b">
        <f t="shared" si="168"/>
        <v>0</v>
      </c>
      <c r="AB834" t="b">
        <f>OR(Y834&gt;20, T834&gt;6)</f>
        <v>1</v>
      </c>
      <c r="AC834" t="str">
        <f>IF(OR(Y834&gt;20,T834&gt;6), "Good employee", "Bad Employee")</f>
        <v>Good employee</v>
      </c>
      <c r="AD834" t="s">
        <v>28</v>
      </c>
      <c r="AE834" t="s">
        <v>62</v>
      </c>
      <c r="AF834">
        <v>18</v>
      </c>
      <c r="AG834">
        <v>2011</v>
      </c>
      <c r="AH834" t="s">
        <v>43</v>
      </c>
      <c r="AI834">
        <v>165</v>
      </c>
      <c r="AJ834">
        <v>4.3</v>
      </c>
    </row>
    <row r="835" spans="1:36" x14ac:dyDescent="0.25">
      <c r="A835">
        <v>10834</v>
      </c>
      <c r="B835" t="s">
        <v>31</v>
      </c>
      <c r="C835" t="s">
        <v>51</v>
      </c>
      <c r="D835" t="s">
        <v>52</v>
      </c>
      <c r="E835" t="str">
        <f t="shared" ref="E835:E877" si="169">CONCATENATE(B835, " ", C835, " is in ", D835, " Department")</f>
        <v>Emily Brown is in Operations Department</v>
      </c>
      <c r="F835" s="6" t="str">
        <f t="shared" ref="F835:F877" si="170">LOWER(CONCATENATE(B835, C835, "@gmail.com"))</f>
        <v>emilybrown@gmail.com</v>
      </c>
      <c r="G835">
        <v>34131</v>
      </c>
      <c r="H835" t="str">
        <f t="shared" ref="H835:H877" si="171">IF(G835&gt;80000, "High", IF(G835&gt;50000, "Medium", IF(G835&gt;40000, "low", "extremely low")))</f>
        <v>extremely low</v>
      </c>
      <c r="I835" s="3">
        <v>39474</v>
      </c>
      <c r="J835">
        <f t="shared" ref="J835:J877" si="172">YEAR(I835)</f>
        <v>2008</v>
      </c>
      <c r="K835">
        <f t="shared" ref="K835:K877" si="173">MONTH(I835)</f>
        <v>1</v>
      </c>
      <c r="L835">
        <f t="shared" ref="L835:L877" si="174">DAY(I835)</f>
        <v>27</v>
      </c>
      <c r="M835" s="3">
        <f t="shared" ref="M835:M877" ca="1" si="175">TODAY()</f>
        <v>46100</v>
      </c>
      <c r="N835">
        <f t="shared" ref="N835:N877" ca="1" si="176">M835-I835</f>
        <v>6626</v>
      </c>
      <c r="O835">
        <f t="shared" ref="O835:O877" ca="1" si="177">DATEDIF(I835,M835, "d")</f>
        <v>6626</v>
      </c>
      <c r="P835">
        <f t="shared" ref="P835:P877" ca="1" si="178">NETWORKDAYS(I835, M835)</f>
        <v>4734</v>
      </c>
      <c r="Q835">
        <v>31</v>
      </c>
      <c r="R835" t="str">
        <f t="shared" ref="R835:R877" si="179">IF(Q835&gt;30, "Old", "Young")</f>
        <v>Old</v>
      </c>
      <c r="S835" t="s">
        <v>24</v>
      </c>
      <c r="T835">
        <v>6</v>
      </c>
      <c r="U835" t="s">
        <v>45</v>
      </c>
      <c r="V835">
        <v>7212.61</v>
      </c>
      <c r="W835" t="s">
        <v>26</v>
      </c>
      <c r="X835" t="s">
        <v>40</v>
      </c>
      <c r="Y835">
        <v>33</v>
      </c>
      <c r="Z835" t="str">
        <f t="shared" ref="Z835:Z877" si="180" xml:space="preserve"> IF(AND(Y835&gt;20, T835&gt;6), "Good Employee", "Bad Employee")</f>
        <v>Bad Employee</v>
      </c>
      <c r="AA835" t="b">
        <f t="shared" ref="AA835:AA877" si="181">AND(Y835&gt;20, T835&gt;6)</f>
        <v>0</v>
      </c>
      <c r="AB835" t="b">
        <f>OR(Y835&gt;20, T835&gt;6)</f>
        <v>1</v>
      </c>
      <c r="AC835" t="str">
        <f>IF(OR(Y835&gt;20,T835&gt;6), "Good employee", "Bad Employee")</f>
        <v>Good employee</v>
      </c>
      <c r="AD835" t="s">
        <v>41</v>
      </c>
      <c r="AE835" t="s">
        <v>62</v>
      </c>
      <c r="AF835">
        <v>0</v>
      </c>
      <c r="AG835">
        <v>2015</v>
      </c>
      <c r="AH835" t="s">
        <v>49</v>
      </c>
      <c r="AI835">
        <v>109</v>
      </c>
      <c r="AJ835">
        <v>3.8</v>
      </c>
    </row>
    <row r="836" spans="1:36" x14ac:dyDescent="0.25">
      <c r="A836">
        <v>10835</v>
      </c>
      <c r="B836" t="s">
        <v>66</v>
      </c>
      <c r="C836" t="s">
        <v>22</v>
      </c>
      <c r="D836" t="s">
        <v>52</v>
      </c>
      <c r="E836" t="str">
        <f t="shared" si="169"/>
        <v>John Williams is in Operations Department</v>
      </c>
      <c r="F836" s="6" t="str">
        <f t="shared" si="170"/>
        <v>johnwilliams@gmail.com</v>
      </c>
      <c r="G836">
        <v>40652</v>
      </c>
      <c r="H836" t="str">
        <f t="shared" si="171"/>
        <v>low</v>
      </c>
      <c r="I836" s="3">
        <v>39825</v>
      </c>
      <c r="J836">
        <f t="shared" si="172"/>
        <v>2009</v>
      </c>
      <c r="K836">
        <f t="shared" si="173"/>
        <v>1</v>
      </c>
      <c r="L836">
        <f t="shared" si="174"/>
        <v>12</v>
      </c>
      <c r="M836" s="3">
        <f t="shared" ca="1" si="175"/>
        <v>46100</v>
      </c>
      <c r="N836">
        <f t="shared" ca="1" si="176"/>
        <v>6275</v>
      </c>
      <c r="O836">
        <f t="shared" ca="1" si="177"/>
        <v>6275</v>
      </c>
      <c r="P836">
        <f t="shared" ca="1" si="178"/>
        <v>4484</v>
      </c>
      <c r="Q836">
        <v>51</v>
      </c>
      <c r="R836" t="str">
        <f t="shared" si="179"/>
        <v>Old</v>
      </c>
      <c r="S836" t="s">
        <v>34</v>
      </c>
      <c r="T836">
        <v>1</v>
      </c>
      <c r="U836" t="s">
        <v>45</v>
      </c>
      <c r="V836">
        <v>6993.73</v>
      </c>
      <c r="W836" t="s">
        <v>26</v>
      </c>
      <c r="X836" t="s">
        <v>36</v>
      </c>
      <c r="Y836">
        <v>21</v>
      </c>
      <c r="Z836" t="str">
        <f t="shared" si="180"/>
        <v>Bad Employee</v>
      </c>
      <c r="AA836" t="b">
        <f t="shared" si="181"/>
        <v>0</v>
      </c>
      <c r="AB836" t="b">
        <f>OR(Y836&gt;20, T836&gt;6)</f>
        <v>1</v>
      </c>
      <c r="AC836" t="str">
        <f>IF(OR(Y836&gt;20,T836&gt;6), "Good employee", "Bad Employee")</f>
        <v>Good employee</v>
      </c>
      <c r="AD836" t="s">
        <v>56</v>
      </c>
      <c r="AE836" t="s">
        <v>42</v>
      </c>
      <c r="AF836">
        <v>1</v>
      </c>
      <c r="AG836">
        <v>2023</v>
      </c>
      <c r="AH836" t="s">
        <v>43</v>
      </c>
      <c r="AI836">
        <v>86</v>
      </c>
      <c r="AJ836">
        <v>2.2999999999999998</v>
      </c>
    </row>
    <row r="837" spans="1:36" x14ac:dyDescent="0.25">
      <c r="A837">
        <v>10836</v>
      </c>
      <c r="B837" t="s">
        <v>31</v>
      </c>
      <c r="C837" t="s">
        <v>63</v>
      </c>
      <c r="D837" t="s">
        <v>23</v>
      </c>
      <c r="E837" t="str">
        <f t="shared" si="169"/>
        <v>Emily Miller is in HR Department</v>
      </c>
      <c r="F837" s="6" t="str">
        <f t="shared" si="170"/>
        <v>emilymiller@gmail.com</v>
      </c>
      <c r="G837">
        <v>94973</v>
      </c>
      <c r="H837" t="str">
        <f t="shared" si="171"/>
        <v>High</v>
      </c>
      <c r="I837" s="3">
        <v>37694</v>
      </c>
      <c r="J837">
        <f t="shared" si="172"/>
        <v>2003</v>
      </c>
      <c r="K837">
        <f t="shared" si="173"/>
        <v>3</v>
      </c>
      <c r="L837">
        <f t="shared" si="174"/>
        <v>14</v>
      </c>
      <c r="M837" s="3">
        <f t="shared" ca="1" si="175"/>
        <v>46100</v>
      </c>
      <c r="N837">
        <f t="shared" ca="1" si="176"/>
        <v>8406</v>
      </c>
      <c r="O837">
        <f t="shared" ca="1" si="177"/>
        <v>8406</v>
      </c>
      <c r="P837">
        <f t="shared" ca="1" si="178"/>
        <v>6005</v>
      </c>
      <c r="Q837">
        <v>51</v>
      </c>
      <c r="R837" t="str">
        <f t="shared" si="179"/>
        <v>Old</v>
      </c>
      <c r="S837" t="s">
        <v>24</v>
      </c>
      <c r="T837">
        <v>7</v>
      </c>
      <c r="U837" t="s">
        <v>45</v>
      </c>
      <c r="V837">
        <v>8103.8</v>
      </c>
      <c r="W837" t="s">
        <v>26</v>
      </c>
      <c r="X837" t="s">
        <v>47</v>
      </c>
      <c r="Y837">
        <v>11</v>
      </c>
      <c r="Z837" t="str">
        <f t="shared" si="180"/>
        <v>Bad Employee</v>
      </c>
      <c r="AA837" t="b">
        <f t="shared" si="181"/>
        <v>0</v>
      </c>
      <c r="AB837" t="b">
        <f>OR(Y837&gt;20, T837&gt;6)</f>
        <v>1</v>
      </c>
      <c r="AC837" t="str">
        <f>IF(OR(Y837&gt;20,T837&gt;6), "Good employee", "Bad Employee")</f>
        <v>Good employee</v>
      </c>
      <c r="AD837" t="s">
        <v>28</v>
      </c>
      <c r="AE837" t="s">
        <v>59</v>
      </c>
      <c r="AF837">
        <v>10</v>
      </c>
      <c r="AG837">
        <v>2013</v>
      </c>
      <c r="AH837" t="s">
        <v>30</v>
      </c>
      <c r="AI837">
        <v>96</v>
      </c>
      <c r="AJ837">
        <v>3</v>
      </c>
    </row>
    <row r="838" spans="1:36" x14ac:dyDescent="0.25">
      <c r="A838">
        <v>10837</v>
      </c>
      <c r="B838" t="s">
        <v>50</v>
      </c>
      <c r="C838" t="s">
        <v>65</v>
      </c>
      <c r="D838" t="s">
        <v>54</v>
      </c>
      <c r="E838" t="str">
        <f t="shared" si="169"/>
        <v>Alex Johnson is in Finance Department</v>
      </c>
      <c r="F838" s="6" t="str">
        <f t="shared" si="170"/>
        <v>alexjohnson@gmail.com</v>
      </c>
      <c r="G838">
        <v>117043</v>
      </c>
      <c r="H838" t="str">
        <f t="shared" si="171"/>
        <v>High</v>
      </c>
      <c r="I838" s="3">
        <v>42977</v>
      </c>
      <c r="J838">
        <f t="shared" si="172"/>
        <v>2017</v>
      </c>
      <c r="K838">
        <f t="shared" si="173"/>
        <v>8</v>
      </c>
      <c r="L838">
        <f t="shared" si="174"/>
        <v>30</v>
      </c>
      <c r="M838" s="3">
        <f t="shared" ca="1" si="175"/>
        <v>46100</v>
      </c>
      <c r="N838">
        <f t="shared" ca="1" si="176"/>
        <v>3123</v>
      </c>
      <c r="O838">
        <f t="shared" ca="1" si="177"/>
        <v>3123</v>
      </c>
      <c r="P838">
        <f t="shared" ca="1" si="178"/>
        <v>2232</v>
      </c>
      <c r="Q838">
        <v>46</v>
      </c>
      <c r="R838" t="str">
        <f t="shared" si="179"/>
        <v>Old</v>
      </c>
      <c r="S838" t="s">
        <v>24</v>
      </c>
      <c r="T838">
        <v>8</v>
      </c>
      <c r="U838" t="s">
        <v>25</v>
      </c>
      <c r="V838">
        <v>2246.73</v>
      </c>
      <c r="W838" t="s">
        <v>35</v>
      </c>
      <c r="X838" t="s">
        <v>36</v>
      </c>
      <c r="Y838">
        <v>13</v>
      </c>
      <c r="Z838" t="str">
        <f t="shared" si="180"/>
        <v>Bad Employee</v>
      </c>
      <c r="AA838" t="b">
        <f t="shared" si="181"/>
        <v>0</v>
      </c>
      <c r="AB838" t="b">
        <f>OR(Y838&gt;20, T838&gt;6)</f>
        <v>1</v>
      </c>
      <c r="AC838" t="str">
        <f>IF(OR(Y838&gt;20,T838&gt;6), "Good employee", "Bad Employee")</f>
        <v>Good employee</v>
      </c>
      <c r="AD838" t="s">
        <v>28</v>
      </c>
      <c r="AE838" t="s">
        <v>62</v>
      </c>
      <c r="AF838">
        <v>14</v>
      </c>
      <c r="AG838">
        <v>2017</v>
      </c>
      <c r="AH838" t="s">
        <v>43</v>
      </c>
      <c r="AI838">
        <v>167</v>
      </c>
      <c r="AJ838">
        <v>4.8</v>
      </c>
    </row>
    <row r="839" spans="1:36" x14ac:dyDescent="0.25">
      <c r="A839">
        <v>10838</v>
      </c>
      <c r="B839" t="s">
        <v>38</v>
      </c>
      <c r="C839" t="s">
        <v>61</v>
      </c>
      <c r="D839" t="s">
        <v>52</v>
      </c>
      <c r="E839" t="str">
        <f t="shared" si="169"/>
        <v>Chris Smith is in Operations Department</v>
      </c>
      <c r="F839" s="6" t="str">
        <f t="shared" si="170"/>
        <v>chrissmith@gmail.com</v>
      </c>
      <c r="G839">
        <v>77147</v>
      </c>
      <c r="H839" t="str">
        <f t="shared" si="171"/>
        <v>Medium</v>
      </c>
      <c r="I839" s="3">
        <v>41275</v>
      </c>
      <c r="J839">
        <f t="shared" si="172"/>
        <v>2013</v>
      </c>
      <c r="K839">
        <f t="shared" si="173"/>
        <v>1</v>
      </c>
      <c r="L839">
        <f t="shared" si="174"/>
        <v>1</v>
      </c>
      <c r="M839" s="3">
        <f t="shared" ca="1" si="175"/>
        <v>46100</v>
      </c>
      <c r="N839">
        <f t="shared" ca="1" si="176"/>
        <v>4825</v>
      </c>
      <c r="O839">
        <f t="shared" ca="1" si="177"/>
        <v>4825</v>
      </c>
      <c r="P839">
        <f t="shared" ca="1" si="178"/>
        <v>3448</v>
      </c>
      <c r="Q839">
        <v>64</v>
      </c>
      <c r="R839" t="str">
        <f t="shared" si="179"/>
        <v>Old</v>
      </c>
      <c r="S839" t="s">
        <v>24</v>
      </c>
      <c r="T839">
        <v>5</v>
      </c>
      <c r="U839" t="s">
        <v>25</v>
      </c>
      <c r="V839">
        <v>3846.66</v>
      </c>
      <c r="W839" t="s">
        <v>58</v>
      </c>
      <c r="X839" t="s">
        <v>36</v>
      </c>
      <c r="Y839">
        <v>3</v>
      </c>
      <c r="Z839" t="str">
        <f t="shared" si="180"/>
        <v>Bad Employee</v>
      </c>
      <c r="AA839" t="b">
        <f t="shared" si="181"/>
        <v>0</v>
      </c>
      <c r="AB839" t="b">
        <f>OR(Y839&gt;20, T839&gt;6)</f>
        <v>0</v>
      </c>
      <c r="AC839" t="str">
        <f>IF(OR(Y839&gt;20,T839&gt;6), "Good employee", "Bad Employee")</f>
        <v>Bad Employee</v>
      </c>
      <c r="AD839" t="s">
        <v>41</v>
      </c>
      <c r="AE839" t="s">
        <v>37</v>
      </c>
      <c r="AF839">
        <v>0</v>
      </c>
      <c r="AG839">
        <v>2021</v>
      </c>
      <c r="AH839" t="s">
        <v>43</v>
      </c>
      <c r="AI839">
        <v>169</v>
      </c>
      <c r="AJ839">
        <v>1.1000000000000001</v>
      </c>
    </row>
    <row r="840" spans="1:36" x14ac:dyDescent="0.25">
      <c r="A840">
        <v>10839</v>
      </c>
      <c r="B840" t="s">
        <v>31</v>
      </c>
      <c r="C840" t="s">
        <v>63</v>
      </c>
      <c r="D840" t="s">
        <v>39</v>
      </c>
      <c r="E840" t="str">
        <f t="shared" si="169"/>
        <v>Emily Miller is in IT Department</v>
      </c>
      <c r="F840" s="6" t="str">
        <f t="shared" si="170"/>
        <v>emilymiller@gmail.com</v>
      </c>
      <c r="G840">
        <v>77671</v>
      </c>
      <c r="H840" t="str">
        <f t="shared" si="171"/>
        <v>Medium</v>
      </c>
      <c r="I840" s="3">
        <v>42954</v>
      </c>
      <c r="J840">
        <f t="shared" si="172"/>
        <v>2017</v>
      </c>
      <c r="K840">
        <f t="shared" si="173"/>
        <v>8</v>
      </c>
      <c r="L840">
        <f t="shared" si="174"/>
        <v>7</v>
      </c>
      <c r="M840" s="3">
        <f t="shared" ca="1" si="175"/>
        <v>46100</v>
      </c>
      <c r="N840">
        <f t="shared" ca="1" si="176"/>
        <v>3146</v>
      </c>
      <c r="O840">
        <f t="shared" ca="1" si="177"/>
        <v>3146</v>
      </c>
      <c r="P840">
        <f t="shared" ca="1" si="178"/>
        <v>2249</v>
      </c>
      <c r="Q840">
        <v>62</v>
      </c>
      <c r="R840" t="str">
        <f t="shared" si="179"/>
        <v>Old</v>
      </c>
      <c r="S840" t="s">
        <v>24</v>
      </c>
      <c r="T840">
        <v>2</v>
      </c>
      <c r="U840" t="s">
        <v>45</v>
      </c>
      <c r="V840">
        <v>1695.89</v>
      </c>
      <c r="W840" t="s">
        <v>35</v>
      </c>
      <c r="X840" t="s">
        <v>36</v>
      </c>
      <c r="Y840">
        <v>13</v>
      </c>
      <c r="Z840" t="str">
        <f t="shared" si="180"/>
        <v>Bad Employee</v>
      </c>
      <c r="AA840" t="b">
        <f t="shared" si="181"/>
        <v>0</v>
      </c>
      <c r="AB840" t="b">
        <f>OR(Y840&gt;20, T840&gt;6)</f>
        <v>0</v>
      </c>
      <c r="AC840" t="str">
        <f>IF(OR(Y840&gt;20,T840&gt;6), "Good employee", "Bad Employee")</f>
        <v>Bad Employee</v>
      </c>
      <c r="AD840" t="s">
        <v>56</v>
      </c>
      <c r="AE840" t="s">
        <v>37</v>
      </c>
      <c r="AF840">
        <v>8</v>
      </c>
      <c r="AG840">
        <v>2017</v>
      </c>
      <c r="AH840" t="s">
        <v>30</v>
      </c>
      <c r="AI840">
        <v>44</v>
      </c>
      <c r="AJ840">
        <v>4.2</v>
      </c>
    </row>
    <row r="841" spans="1:36" x14ac:dyDescent="0.25">
      <c r="A841">
        <v>10840</v>
      </c>
      <c r="B841" t="s">
        <v>38</v>
      </c>
      <c r="C841" t="s">
        <v>65</v>
      </c>
      <c r="D841" t="s">
        <v>23</v>
      </c>
      <c r="E841" t="str">
        <f t="shared" si="169"/>
        <v>Chris Johnson is in HR Department</v>
      </c>
      <c r="F841" s="6" t="str">
        <f t="shared" si="170"/>
        <v>chrisjohnson@gmail.com</v>
      </c>
      <c r="G841">
        <v>119342</v>
      </c>
      <c r="H841" t="str">
        <f t="shared" si="171"/>
        <v>High</v>
      </c>
      <c r="I841" s="3">
        <v>36917</v>
      </c>
      <c r="J841">
        <f t="shared" si="172"/>
        <v>2001</v>
      </c>
      <c r="K841">
        <f t="shared" si="173"/>
        <v>1</v>
      </c>
      <c r="L841">
        <f t="shared" si="174"/>
        <v>26</v>
      </c>
      <c r="M841" s="3">
        <f t="shared" ca="1" si="175"/>
        <v>46100</v>
      </c>
      <c r="N841">
        <f t="shared" ca="1" si="176"/>
        <v>9183</v>
      </c>
      <c r="O841">
        <f t="shared" ca="1" si="177"/>
        <v>9183</v>
      </c>
      <c r="P841">
        <f t="shared" ca="1" si="178"/>
        <v>6560</v>
      </c>
      <c r="Q841">
        <v>28</v>
      </c>
      <c r="R841" t="str">
        <f t="shared" si="179"/>
        <v>Young</v>
      </c>
      <c r="S841" t="s">
        <v>34</v>
      </c>
      <c r="T841">
        <v>2</v>
      </c>
      <c r="U841" t="s">
        <v>45</v>
      </c>
      <c r="V841">
        <v>5639.87</v>
      </c>
      <c r="W841" t="s">
        <v>58</v>
      </c>
      <c r="X841" t="s">
        <v>47</v>
      </c>
      <c r="Y841">
        <v>34</v>
      </c>
      <c r="Z841" t="str">
        <f t="shared" si="180"/>
        <v>Bad Employee</v>
      </c>
      <c r="AA841" t="b">
        <f t="shared" si="181"/>
        <v>0</v>
      </c>
      <c r="AB841" t="b">
        <f>OR(Y841&gt;20, T841&gt;6)</f>
        <v>1</v>
      </c>
      <c r="AC841" t="str">
        <f>IF(OR(Y841&gt;20,T841&gt;6), "Good employee", "Bad Employee")</f>
        <v>Good employee</v>
      </c>
      <c r="AD841" t="s">
        <v>28</v>
      </c>
      <c r="AE841" t="s">
        <v>29</v>
      </c>
      <c r="AF841">
        <v>7</v>
      </c>
      <c r="AG841">
        <v>2010</v>
      </c>
      <c r="AH841" t="s">
        <v>30</v>
      </c>
      <c r="AI841">
        <v>140</v>
      </c>
      <c r="AJ841">
        <v>2</v>
      </c>
    </row>
    <row r="842" spans="1:36" x14ac:dyDescent="0.25">
      <c r="A842">
        <v>10841</v>
      </c>
      <c r="B842" t="s">
        <v>21</v>
      </c>
      <c r="C842" t="s">
        <v>57</v>
      </c>
      <c r="D842" t="s">
        <v>33</v>
      </c>
      <c r="E842" t="str">
        <f t="shared" si="169"/>
        <v>Michael Davis is in Marketing Department</v>
      </c>
      <c r="F842" s="6" t="str">
        <f t="shared" si="170"/>
        <v>michaeldavis@gmail.com</v>
      </c>
      <c r="G842">
        <v>49171</v>
      </c>
      <c r="H842" t="str">
        <f t="shared" si="171"/>
        <v>low</v>
      </c>
      <c r="I842" s="3">
        <v>40335</v>
      </c>
      <c r="J842">
        <f t="shared" si="172"/>
        <v>2010</v>
      </c>
      <c r="K842">
        <f t="shared" si="173"/>
        <v>6</v>
      </c>
      <c r="L842">
        <f t="shared" si="174"/>
        <v>6</v>
      </c>
      <c r="M842" s="3">
        <f t="shared" ca="1" si="175"/>
        <v>46100</v>
      </c>
      <c r="N842">
        <f t="shared" ca="1" si="176"/>
        <v>5765</v>
      </c>
      <c r="O842">
        <f t="shared" ca="1" si="177"/>
        <v>5765</v>
      </c>
      <c r="P842">
        <f t="shared" ca="1" si="178"/>
        <v>4119</v>
      </c>
      <c r="Q842">
        <v>41</v>
      </c>
      <c r="R842" t="str">
        <f t="shared" si="179"/>
        <v>Old</v>
      </c>
      <c r="S842" t="s">
        <v>24</v>
      </c>
      <c r="T842">
        <v>5</v>
      </c>
      <c r="U842" t="s">
        <v>45</v>
      </c>
      <c r="V842">
        <v>3279.42</v>
      </c>
      <c r="W842" t="s">
        <v>58</v>
      </c>
      <c r="X842" t="s">
        <v>27</v>
      </c>
      <c r="Y842">
        <v>28</v>
      </c>
      <c r="Z842" t="str">
        <f t="shared" si="180"/>
        <v>Bad Employee</v>
      </c>
      <c r="AA842" t="b">
        <f t="shared" si="181"/>
        <v>0</v>
      </c>
      <c r="AB842" t="b">
        <f>OR(Y842&gt;20, T842&gt;6)</f>
        <v>1</v>
      </c>
      <c r="AC842" t="str">
        <f>IF(OR(Y842&gt;20,T842&gt;6), "Good employee", "Bad Employee")</f>
        <v>Good employee</v>
      </c>
      <c r="AD842" t="s">
        <v>41</v>
      </c>
      <c r="AE842" t="s">
        <v>29</v>
      </c>
      <c r="AF842">
        <v>0</v>
      </c>
      <c r="AG842">
        <v>2017</v>
      </c>
      <c r="AH842" t="s">
        <v>43</v>
      </c>
      <c r="AI842">
        <v>58</v>
      </c>
      <c r="AJ842">
        <v>1.7</v>
      </c>
    </row>
    <row r="843" spans="1:36" x14ac:dyDescent="0.25">
      <c r="A843">
        <v>10842</v>
      </c>
      <c r="B843" t="s">
        <v>53</v>
      </c>
      <c r="C843" t="s">
        <v>32</v>
      </c>
      <c r="D843" t="s">
        <v>54</v>
      </c>
      <c r="E843" t="str">
        <f t="shared" si="169"/>
        <v>Sarah Wilson is in Finance Department</v>
      </c>
      <c r="F843" s="6" t="str">
        <f t="shared" si="170"/>
        <v>sarahwilson@gmail.com</v>
      </c>
      <c r="G843">
        <v>116129</v>
      </c>
      <c r="H843" t="str">
        <f t="shared" si="171"/>
        <v>High</v>
      </c>
      <c r="I843" s="3">
        <v>38933</v>
      </c>
      <c r="J843">
        <f t="shared" si="172"/>
        <v>2006</v>
      </c>
      <c r="K843">
        <f t="shared" si="173"/>
        <v>8</v>
      </c>
      <c r="L843">
        <f t="shared" si="174"/>
        <v>4</v>
      </c>
      <c r="M843" s="3">
        <f t="shared" ca="1" si="175"/>
        <v>46100</v>
      </c>
      <c r="N843">
        <f t="shared" ca="1" si="176"/>
        <v>7167</v>
      </c>
      <c r="O843">
        <f t="shared" ca="1" si="177"/>
        <v>7167</v>
      </c>
      <c r="P843">
        <f t="shared" ca="1" si="178"/>
        <v>5120</v>
      </c>
      <c r="Q843">
        <v>38</v>
      </c>
      <c r="R843" t="str">
        <f t="shared" si="179"/>
        <v>Old</v>
      </c>
      <c r="S843" t="s">
        <v>34</v>
      </c>
      <c r="T843">
        <v>7</v>
      </c>
      <c r="U843" t="s">
        <v>25</v>
      </c>
      <c r="V843">
        <v>7044.89</v>
      </c>
      <c r="W843" t="s">
        <v>46</v>
      </c>
      <c r="X843" t="s">
        <v>47</v>
      </c>
      <c r="Y843">
        <v>34</v>
      </c>
      <c r="Z843" t="str">
        <f t="shared" si="180"/>
        <v>Good Employee</v>
      </c>
      <c r="AA843" t="b">
        <f t="shared" si="181"/>
        <v>1</v>
      </c>
      <c r="AB843" t="b">
        <f>OR(Y843&gt;20, T843&gt;6)</f>
        <v>1</v>
      </c>
      <c r="AC843" t="str">
        <f>IF(OR(Y843&gt;20,T843&gt;6), "Good employee", "Bad Employee")</f>
        <v>Good employee</v>
      </c>
      <c r="AD843" t="s">
        <v>56</v>
      </c>
      <c r="AE843" t="s">
        <v>62</v>
      </c>
      <c r="AF843">
        <v>9</v>
      </c>
      <c r="AG843">
        <v>2019</v>
      </c>
      <c r="AH843" t="s">
        <v>30</v>
      </c>
      <c r="AI843">
        <v>93</v>
      </c>
      <c r="AJ843">
        <v>1.9</v>
      </c>
    </row>
    <row r="844" spans="1:36" x14ac:dyDescent="0.25">
      <c r="A844">
        <v>10843</v>
      </c>
      <c r="B844" t="s">
        <v>66</v>
      </c>
      <c r="C844" t="s">
        <v>51</v>
      </c>
      <c r="D844" t="s">
        <v>23</v>
      </c>
      <c r="E844" t="str">
        <f t="shared" si="169"/>
        <v>John Brown is in HR Department</v>
      </c>
      <c r="F844" s="6" t="str">
        <f t="shared" si="170"/>
        <v>johnbrown@gmail.com</v>
      </c>
      <c r="G844">
        <v>85692</v>
      </c>
      <c r="H844" t="str">
        <f t="shared" si="171"/>
        <v>High</v>
      </c>
      <c r="I844" s="3">
        <v>41390</v>
      </c>
      <c r="J844">
        <f t="shared" si="172"/>
        <v>2013</v>
      </c>
      <c r="K844">
        <f t="shared" si="173"/>
        <v>4</v>
      </c>
      <c r="L844">
        <f t="shared" si="174"/>
        <v>26</v>
      </c>
      <c r="M844" s="3">
        <f t="shared" ca="1" si="175"/>
        <v>46100</v>
      </c>
      <c r="N844">
        <f t="shared" ca="1" si="176"/>
        <v>4710</v>
      </c>
      <c r="O844">
        <f t="shared" ca="1" si="177"/>
        <v>4710</v>
      </c>
      <c r="P844">
        <f t="shared" ca="1" si="178"/>
        <v>3365</v>
      </c>
      <c r="Q844">
        <v>24</v>
      </c>
      <c r="R844" t="str">
        <f t="shared" si="179"/>
        <v>Young</v>
      </c>
      <c r="S844" t="s">
        <v>34</v>
      </c>
      <c r="T844">
        <v>7</v>
      </c>
      <c r="U844" t="s">
        <v>45</v>
      </c>
      <c r="V844">
        <v>503.27</v>
      </c>
      <c r="W844" t="s">
        <v>46</v>
      </c>
      <c r="X844" t="s">
        <v>47</v>
      </c>
      <c r="Y844">
        <v>32</v>
      </c>
      <c r="Z844" t="str">
        <f t="shared" si="180"/>
        <v>Good Employee</v>
      </c>
      <c r="AA844" t="b">
        <f t="shared" si="181"/>
        <v>1</v>
      </c>
      <c r="AB844" t="b">
        <f>OR(Y844&gt;20, T844&gt;6)</f>
        <v>1</v>
      </c>
      <c r="AC844" t="str">
        <f>IF(OR(Y844&gt;20,T844&gt;6), "Good employee", "Bad Employee")</f>
        <v>Good employee</v>
      </c>
      <c r="AD844" t="s">
        <v>56</v>
      </c>
      <c r="AE844" t="s">
        <v>48</v>
      </c>
      <c r="AF844">
        <v>16</v>
      </c>
      <c r="AG844">
        <v>2016</v>
      </c>
      <c r="AH844" t="s">
        <v>30</v>
      </c>
      <c r="AI844">
        <v>139</v>
      </c>
      <c r="AJ844">
        <v>1.2</v>
      </c>
    </row>
    <row r="845" spans="1:36" x14ac:dyDescent="0.25">
      <c r="A845">
        <v>10844</v>
      </c>
      <c r="B845" t="s">
        <v>21</v>
      </c>
      <c r="C845" t="s">
        <v>22</v>
      </c>
      <c r="D845" t="s">
        <v>52</v>
      </c>
      <c r="E845" t="str">
        <f t="shared" si="169"/>
        <v>Michael Williams is in Operations Department</v>
      </c>
      <c r="F845" s="6" t="str">
        <f t="shared" si="170"/>
        <v>michaelwilliams@gmail.com</v>
      </c>
      <c r="G845">
        <v>88541</v>
      </c>
      <c r="H845" t="str">
        <f t="shared" si="171"/>
        <v>High</v>
      </c>
      <c r="I845" s="3">
        <v>41418</v>
      </c>
      <c r="J845">
        <f t="shared" si="172"/>
        <v>2013</v>
      </c>
      <c r="K845">
        <f t="shared" si="173"/>
        <v>5</v>
      </c>
      <c r="L845">
        <f t="shared" si="174"/>
        <v>24</v>
      </c>
      <c r="M845" s="3">
        <f t="shared" ca="1" si="175"/>
        <v>46100</v>
      </c>
      <c r="N845">
        <f t="shared" ca="1" si="176"/>
        <v>4682</v>
      </c>
      <c r="O845">
        <f t="shared" ca="1" si="177"/>
        <v>4682</v>
      </c>
      <c r="P845">
        <f t="shared" ca="1" si="178"/>
        <v>3345</v>
      </c>
      <c r="Q845">
        <v>61</v>
      </c>
      <c r="R845" t="str">
        <f t="shared" si="179"/>
        <v>Old</v>
      </c>
      <c r="S845" t="s">
        <v>34</v>
      </c>
      <c r="T845">
        <v>4</v>
      </c>
      <c r="U845" t="s">
        <v>25</v>
      </c>
      <c r="V845">
        <v>1066.99</v>
      </c>
      <c r="W845" t="s">
        <v>26</v>
      </c>
      <c r="X845" t="s">
        <v>55</v>
      </c>
      <c r="Y845">
        <v>23</v>
      </c>
      <c r="Z845" t="str">
        <f t="shared" si="180"/>
        <v>Bad Employee</v>
      </c>
      <c r="AA845" t="b">
        <f t="shared" si="181"/>
        <v>0</v>
      </c>
      <c r="AB845" t="b">
        <f>OR(Y845&gt;20, T845&gt;6)</f>
        <v>1</v>
      </c>
      <c r="AC845" t="str">
        <f>IF(OR(Y845&gt;20,T845&gt;6), "Good employee", "Bad Employee")</f>
        <v>Good employee</v>
      </c>
      <c r="AD845" t="s">
        <v>28</v>
      </c>
      <c r="AE845" t="s">
        <v>37</v>
      </c>
      <c r="AF845">
        <v>17</v>
      </c>
      <c r="AG845">
        <v>2023</v>
      </c>
      <c r="AH845" t="s">
        <v>43</v>
      </c>
      <c r="AI845">
        <v>6</v>
      </c>
      <c r="AJ845">
        <v>5</v>
      </c>
    </row>
    <row r="846" spans="1:36" x14ac:dyDescent="0.25">
      <c r="A846">
        <v>10845</v>
      </c>
      <c r="B846" t="s">
        <v>38</v>
      </c>
      <c r="C846" t="s">
        <v>57</v>
      </c>
      <c r="D846" t="s">
        <v>54</v>
      </c>
      <c r="E846" t="str">
        <f t="shared" si="169"/>
        <v>Chris Davis is in Finance Department</v>
      </c>
      <c r="F846" s="6" t="str">
        <f t="shared" si="170"/>
        <v>chrisdavis@gmail.com</v>
      </c>
      <c r="G846">
        <v>39470</v>
      </c>
      <c r="H846" t="str">
        <f t="shared" si="171"/>
        <v>extremely low</v>
      </c>
      <c r="I846" s="3">
        <v>41553</v>
      </c>
      <c r="J846">
        <f t="shared" si="172"/>
        <v>2013</v>
      </c>
      <c r="K846">
        <f t="shared" si="173"/>
        <v>10</v>
      </c>
      <c r="L846">
        <f t="shared" si="174"/>
        <v>6</v>
      </c>
      <c r="M846" s="3">
        <f t="shared" ca="1" si="175"/>
        <v>46100</v>
      </c>
      <c r="N846">
        <f t="shared" ca="1" si="176"/>
        <v>4547</v>
      </c>
      <c r="O846">
        <f t="shared" ca="1" si="177"/>
        <v>4547</v>
      </c>
      <c r="P846">
        <f t="shared" ca="1" si="178"/>
        <v>3249</v>
      </c>
      <c r="Q846">
        <v>57</v>
      </c>
      <c r="R846" t="str">
        <f t="shared" si="179"/>
        <v>Old</v>
      </c>
      <c r="S846" t="s">
        <v>34</v>
      </c>
      <c r="T846">
        <v>3</v>
      </c>
      <c r="U846" t="s">
        <v>25</v>
      </c>
      <c r="V846">
        <v>4609.32</v>
      </c>
      <c r="W846" t="s">
        <v>46</v>
      </c>
      <c r="X846" t="s">
        <v>55</v>
      </c>
      <c r="Y846">
        <v>24</v>
      </c>
      <c r="Z846" t="str">
        <f t="shared" si="180"/>
        <v>Bad Employee</v>
      </c>
      <c r="AA846" t="b">
        <f t="shared" si="181"/>
        <v>0</v>
      </c>
      <c r="AB846" t="b">
        <f>OR(Y846&gt;20, T846&gt;6)</f>
        <v>1</v>
      </c>
      <c r="AC846" t="str">
        <f>IF(OR(Y846&gt;20,T846&gt;6), "Good employee", "Bad Employee")</f>
        <v>Good employee</v>
      </c>
      <c r="AD846" t="s">
        <v>41</v>
      </c>
      <c r="AE846" t="s">
        <v>37</v>
      </c>
      <c r="AF846">
        <v>15</v>
      </c>
      <c r="AG846">
        <v>2023</v>
      </c>
      <c r="AH846" t="s">
        <v>49</v>
      </c>
      <c r="AI846">
        <v>101</v>
      </c>
      <c r="AJ846">
        <v>4.5</v>
      </c>
    </row>
    <row r="847" spans="1:36" x14ac:dyDescent="0.25">
      <c r="A847">
        <v>10846</v>
      </c>
      <c r="B847" t="s">
        <v>38</v>
      </c>
      <c r="C847" t="s">
        <v>22</v>
      </c>
      <c r="D847" t="s">
        <v>39</v>
      </c>
      <c r="E847" t="str">
        <f t="shared" si="169"/>
        <v>Chris Williams is in IT Department</v>
      </c>
      <c r="F847" s="6" t="str">
        <f t="shared" si="170"/>
        <v>chriswilliams@gmail.com</v>
      </c>
      <c r="G847">
        <v>91344</v>
      </c>
      <c r="H847" t="str">
        <f t="shared" si="171"/>
        <v>High</v>
      </c>
      <c r="I847" s="3">
        <v>42592</v>
      </c>
      <c r="J847">
        <f t="shared" si="172"/>
        <v>2016</v>
      </c>
      <c r="K847">
        <f t="shared" si="173"/>
        <v>8</v>
      </c>
      <c r="L847">
        <f t="shared" si="174"/>
        <v>10</v>
      </c>
      <c r="M847" s="3">
        <f t="shared" ca="1" si="175"/>
        <v>46100</v>
      </c>
      <c r="N847">
        <f t="shared" ca="1" si="176"/>
        <v>3508</v>
      </c>
      <c r="O847">
        <f t="shared" ca="1" si="177"/>
        <v>3508</v>
      </c>
      <c r="P847">
        <f t="shared" ca="1" si="178"/>
        <v>2507</v>
      </c>
      <c r="Q847">
        <v>47</v>
      </c>
      <c r="R847" t="str">
        <f t="shared" si="179"/>
        <v>Old</v>
      </c>
      <c r="S847" t="s">
        <v>34</v>
      </c>
      <c r="T847">
        <v>9</v>
      </c>
      <c r="U847" t="s">
        <v>45</v>
      </c>
      <c r="V847">
        <v>9602.75</v>
      </c>
      <c r="W847" t="s">
        <v>35</v>
      </c>
      <c r="X847" t="s">
        <v>27</v>
      </c>
      <c r="Y847">
        <v>1</v>
      </c>
      <c r="Z847" t="str">
        <f t="shared" si="180"/>
        <v>Bad Employee</v>
      </c>
      <c r="AA847" t="b">
        <f t="shared" si="181"/>
        <v>0</v>
      </c>
      <c r="AB847" t="b">
        <f>OR(Y847&gt;20, T847&gt;6)</f>
        <v>1</v>
      </c>
      <c r="AC847" t="str">
        <f>IF(OR(Y847&gt;20,T847&gt;6), "Good employee", "Bad Employee")</f>
        <v>Good employee</v>
      </c>
      <c r="AD847" t="s">
        <v>56</v>
      </c>
      <c r="AE847" t="s">
        <v>42</v>
      </c>
      <c r="AF847">
        <v>1</v>
      </c>
      <c r="AG847">
        <v>2010</v>
      </c>
      <c r="AH847" t="s">
        <v>43</v>
      </c>
      <c r="AI847">
        <v>60</v>
      </c>
      <c r="AJ847">
        <v>3.1</v>
      </c>
    </row>
    <row r="848" spans="1:36" x14ac:dyDescent="0.25">
      <c r="A848">
        <v>10847</v>
      </c>
      <c r="B848" t="s">
        <v>60</v>
      </c>
      <c r="C848" t="s">
        <v>63</v>
      </c>
      <c r="D848" t="s">
        <v>54</v>
      </c>
      <c r="E848" t="str">
        <f t="shared" si="169"/>
        <v>Jane Miller is in Finance Department</v>
      </c>
      <c r="F848" s="6" t="str">
        <f t="shared" si="170"/>
        <v>janemiller@gmail.com</v>
      </c>
      <c r="G848">
        <v>74308</v>
      </c>
      <c r="H848" t="str">
        <f t="shared" si="171"/>
        <v>Medium</v>
      </c>
      <c r="I848" s="3">
        <v>40786</v>
      </c>
      <c r="J848">
        <f t="shared" si="172"/>
        <v>2011</v>
      </c>
      <c r="K848">
        <f t="shared" si="173"/>
        <v>8</v>
      </c>
      <c r="L848">
        <f t="shared" si="174"/>
        <v>31</v>
      </c>
      <c r="M848" s="3">
        <f t="shared" ca="1" si="175"/>
        <v>46100</v>
      </c>
      <c r="N848">
        <f t="shared" ca="1" si="176"/>
        <v>5314</v>
      </c>
      <c r="O848">
        <f t="shared" ca="1" si="177"/>
        <v>5314</v>
      </c>
      <c r="P848">
        <f t="shared" ca="1" si="178"/>
        <v>3797</v>
      </c>
      <c r="Q848">
        <v>31</v>
      </c>
      <c r="R848" t="str">
        <f t="shared" si="179"/>
        <v>Old</v>
      </c>
      <c r="S848" t="s">
        <v>34</v>
      </c>
      <c r="T848">
        <v>7</v>
      </c>
      <c r="U848" t="s">
        <v>25</v>
      </c>
      <c r="V848">
        <v>8963.09</v>
      </c>
      <c r="W848" t="s">
        <v>35</v>
      </c>
      <c r="X848" t="s">
        <v>55</v>
      </c>
      <c r="Y848">
        <v>24</v>
      </c>
      <c r="Z848" t="str">
        <f t="shared" si="180"/>
        <v>Good Employee</v>
      </c>
      <c r="AA848" t="b">
        <f t="shared" si="181"/>
        <v>1</v>
      </c>
      <c r="AB848" t="b">
        <f>OR(Y848&gt;20, T848&gt;6)</f>
        <v>1</v>
      </c>
      <c r="AC848" t="str">
        <f>IF(OR(Y848&gt;20,T848&gt;6), "Good employee", "Bad Employee")</f>
        <v>Good employee</v>
      </c>
      <c r="AD848" t="s">
        <v>28</v>
      </c>
      <c r="AE848" t="s">
        <v>37</v>
      </c>
      <c r="AF848">
        <v>16</v>
      </c>
      <c r="AG848">
        <v>2012</v>
      </c>
      <c r="AH848" t="s">
        <v>43</v>
      </c>
      <c r="AI848">
        <v>108</v>
      </c>
      <c r="AJ848">
        <v>3.9</v>
      </c>
    </row>
    <row r="849" spans="1:36" x14ac:dyDescent="0.25">
      <c r="A849">
        <v>10848</v>
      </c>
      <c r="B849" t="s">
        <v>60</v>
      </c>
      <c r="C849" t="s">
        <v>61</v>
      </c>
      <c r="D849" t="s">
        <v>54</v>
      </c>
      <c r="E849" t="str">
        <f t="shared" si="169"/>
        <v>Jane Smith is in Finance Department</v>
      </c>
      <c r="F849" s="6" t="str">
        <f t="shared" si="170"/>
        <v>janesmith@gmail.com</v>
      </c>
      <c r="G849">
        <v>80639</v>
      </c>
      <c r="H849" t="str">
        <f t="shared" si="171"/>
        <v>High</v>
      </c>
      <c r="I849" s="3">
        <v>41354</v>
      </c>
      <c r="J849">
        <f t="shared" si="172"/>
        <v>2013</v>
      </c>
      <c r="K849">
        <f t="shared" si="173"/>
        <v>3</v>
      </c>
      <c r="L849">
        <f t="shared" si="174"/>
        <v>21</v>
      </c>
      <c r="M849" s="3">
        <f t="shared" ca="1" si="175"/>
        <v>46100</v>
      </c>
      <c r="N849">
        <f t="shared" ca="1" si="176"/>
        <v>4746</v>
      </c>
      <c r="O849">
        <f t="shared" ca="1" si="177"/>
        <v>4746</v>
      </c>
      <c r="P849">
        <f t="shared" ca="1" si="178"/>
        <v>3391</v>
      </c>
      <c r="Q849">
        <v>55</v>
      </c>
      <c r="R849" t="str">
        <f t="shared" si="179"/>
        <v>Old</v>
      </c>
      <c r="S849" t="s">
        <v>24</v>
      </c>
      <c r="T849">
        <v>2</v>
      </c>
      <c r="U849" t="s">
        <v>45</v>
      </c>
      <c r="V849">
        <v>9943.09</v>
      </c>
      <c r="W849" t="s">
        <v>35</v>
      </c>
      <c r="X849" t="s">
        <v>27</v>
      </c>
      <c r="Y849">
        <v>3</v>
      </c>
      <c r="Z849" t="str">
        <f t="shared" si="180"/>
        <v>Bad Employee</v>
      </c>
      <c r="AA849" t="b">
        <f t="shared" si="181"/>
        <v>0</v>
      </c>
      <c r="AB849" t="b">
        <f>OR(Y849&gt;20, T849&gt;6)</f>
        <v>0</v>
      </c>
      <c r="AC849" t="str">
        <f>IF(OR(Y849&gt;20,T849&gt;6), "Good employee", "Bad Employee")</f>
        <v>Bad Employee</v>
      </c>
      <c r="AD849" t="s">
        <v>28</v>
      </c>
      <c r="AE849" t="s">
        <v>48</v>
      </c>
      <c r="AF849">
        <v>3</v>
      </c>
      <c r="AG849">
        <v>2023</v>
      </c>
      <c r="AH849" t="s">
        <v>49</v>
      </c>
      <c r="AI849">
        <v>128</v>
      </c>
      <c r="AJ849">
        <v>3.2</v>
      </c>
    </row>
    <row r="850" spans="1:36" x14ac:dyDescent="0.25">
      <c r="A850">
        <v>10849</v>
      </c>
      <c r="B850" t="s">
        <v>21</v>
      </c>
      <c r="C850" t="s">
        <v>61</v>
      </c>
      <c r="D850" t="s">
        <v>39</v>
      </c>
      <c r="E850" t="str">
        <f t="shared" si="169"/>
        <v>Michael Smith is in IT Department</v>
      </c>
      <c r="F850" s="6" t="str">
        <f t="shared" si="170"/>
        <v>michaelsmith@gmail.com</v>
      </c>
      <c r="G850">
        <v>51326</v>
      </c>
      <c r="H850" t="str">
        <f t="shared" si="171"/>
        <v>Medium</v>
      </c>
      <c r="I850" s="3">
        <v>37106</v>
      </c>
      <c r="J850">
        <f t="shared" si="172"/>
        <v>2001</v>
      </c>
      <c r="K850">
        <f t="shared" si="173"/>
        <v>8</v>
      </c>
      <c r="L850">
        <f t="shared" si="174"/>
        <v>3</v>
      </c>
      <c r="M850" s="3">
        <f t="shared" ca="1" si="175"/>
        <v>46100</v>
      </c>
      <c r="N850">
        <f t="shared" ca="1" si="176"/>
        <v>8994</v>
      </c>
      <c r="O850">
        <f t="shared" ca="1" si="177"/>
        <v>8994</v>
      </c>
      <c r="P850">
        <f t="shared" ca="1" si="178"/>
        <v>6425</v>
      </c>
      <c r="Q850">
        <v>35</v>
      </c>
      <c r="R850" t="str">
        <f t="shared" si="179"/>
        <v>Old</v>
      </c>
      <c r="S850" t="s">
        <v>34</v>
      </c>
      <c r="T850">
        <v>1</v>
      </c>
      <c r="U850" t="s">
        <v>25</v>
      </c>
      <c r="V850">
        <v>4459.8900000000003</v>
      </c>
      <c r="W850" t="s">
        <v>46</v>
      </c>
      <c r="X850" t="s">
        <v>36</v>
      </c>
      <c r="Y850">
        <v>17</v>
      </c>
      <c r="Z850" t="str">
        <f t="shared" si="180"/>
        <v>Bad Employee</v>
      </c>
      <c r="AA850" t="b">
        <f t="shared" si="181"/>
        <v>0</v>
      </c>
      <c r="AB850" t="b">
        <f>OR(Y850&gt;20, T850&gt;6)</f>
        <v>0</v>
      </c>
      <c r="AC850" t="str">
        <f>IF(OR(Y850&gt;20,T850&gt;6), "Good employee", "Bad Employee")</f>
        <v>Bad Employee</v>
      </c>
      <c r="AD850" t="s">
        <v>28</v>
      </c>
      <c r="AE850" t="s">
        <v>29</v>
      </c>
      <c r="AF850">
        <v>6</v>
      </c>
      <c r="AG850">
        <v>2014</v>
      </c>
      <c r="AH850" t="s">
        <v>43</v>
      </c>
      <c r="AI850">
        <v>189</v>
      </c>
      <c r="AJ850">
        <v>4.2</v>
      </c>
    </row>
    <row r="851" spans="1:36" x14ac:dyDescent="0.25">
      <c r="A851">
        <v>10850</v>
      </c>
      <c r="B851" t="s">
        <v>64</v>
      </c>
      <c r="C851" t="s">
        <v>61</v>
      </c>
      <c r="D851" t="s">
        <v>44</v>
      </c>
      <c r="E851" t="str">
        <f t="shared" si="169"/>
        <v>Katie Smith is in Sales Department</v>
      </c>
      <c r="F851" s="6" t="str">
        <f t="shared" si="170"/>
        <v>katiesmith@gmail.com</v>
      </c>
      <c r="G851">
        <v>34597</v>
      </c>
      <c r="H851" t="str">
        <f t="shared" si="171"/>
        <v>extremely low</v>
      </c>
      <c r="I851" s="3">
        <v>37346</v>
      </c>
      <c r="J851">
        <f t="shared" si="172"/>
        <v>2002</v>
      </c>
      <c r="K851">
        <f t="shared" si="173"/>
        <v>3</v>
      </c>
      <c r="L851">
        <f t="shared" si="174"/>
        <v>31</v>
      </c>
      <c r="M851" s="3">
        <f t="shared" ca="1" si="175"/>
        <v>46100</v>
      </c>
      <c r="N851">
        <f t="shared" ca="1" si="176"/>
        <v>8754</v>
      </c>
      <c r="O851">
        <f t="shared" ca="1" si="177"/>
        <v>8754</v>
      </c>
      <c r="P851">
        <f t="shared" ca="1" si="178"/>
        <v>6254</v>
      </c>
      <c r="Q851">
        <v>29</v>
      </c>
      <c r="R851" t="str">
        <f t="shared" si="179"/>
        <v>Young</v>
      </c>
      <c r="S851" t="s">
        <v>24</v>
      </c>
      <c r="T851">
        <v>2</v>
      </c>
      <c r="U851" t="s">
        <v>25</v>
      </c>
      <c r="V851">
        <v>942.4</v>
      </c>
      <c r="W851" t="s">
        <v>46</v>
      </c>
      <c r="X851" t="s">
        <v>36</v>
      </c>
      <c r="Y851">
        <v>7</v>
      </c>
      <c r="Z851" t="str">
        <f t="shared" si="180"/>
        <v>Bad Employee</v>
      </c>
      <c r="AA851" t="b">
        <f t="shared" si="181"/>
        <v>0</v>
      </c>
      <c r="AB851" t="b">
        <f>OR(Y851&gt;20, T851&gt;6)</f>
        <v>0</v>
      </c>
      <c r="AC851" t="str">
        <f>IF(OR(Y851&gt;20,T851&gt;6), "Good employee", "Bad Employee")</f>
        <v>Bad Employee</v>
      </c>
      <c r="AD851" t="s">
        <v>28</v>
      </c>
      <c r="AE851" t="s">
        <v>29</v>
      </c>
      <c r="AF851">
        <v>8</v>
      </c>
      <c r="AG851">
        <v>2012</v>
      </c>
      <c r="AH851" t="s">
        <v>43</v>
      </c>
      <c r="AI851">
        <v>181</v>
      </c>
      <c r="AJ851">
        <v>4.4000000000000004</v>
      </c>
    </row>
    <row r="852" spans="1:36" x14ac:dyDescent="0.25">
      <c r="A852">
        <v>10851</v>
      </c>
      <c r="B852" t="s">
        <v>21</v>
      </c>
      <c r="C852" t="s">
        <v>22</v>
      </c>
      <c r="D852" t="s">
        <v>39</v>
      </c>
      <c r="E852" t="str">
        <f t="shared" si="169"/>
        <v>Michael Williams is in IT Department</v>
      </c>
      <c r="F852" s="6" t="str">
        <f t="shared" si="170"/>
        <v>michaelwilliams@gmail.com</v>
      </c>
      <c r="G852">
        <v>60788</v>
      </c>
      <c r="H852" t="str">
        <f t="shared" si="171"/>
        <v>Medium</v>
      </c>
      <c r="I852" s="3">
        <v>37773</v>
      </c>
      <c r="J852">
        <f t="shared" si="172"/>
        <v>2003</v>
      </c>
      <c r="K852">
        <f t="shared" si="173"/>
        <v>6</v>
      </c>
      <c r="L852">
        <f t="shared" si="174"/>
        <v>1</v>
      </c>
      <c r="M852" s="3">
        <f t="shared" ca="1" si="175"/>
        <v>46100</v>
      </c>
      <c r="N852">
        <f t="shared" ca="1" si="176"/>
        <v>8327</v>
      </c>
      <c r="O852">
        <f t="shared" ca="1" si="177"/>
        <v>8327</v>
      </c>
      <c r="P852">
        <f t="shared" ca="1" si="178"/>
        <v>5949</v>
      </c>
      <c r="Q852">
        <v>48</v>
      </c>
      <c r="R852" t="str">
        <f t="shared" si="179"/>
        <v>Old</v>
      </c>
      <c r="S852" t="s">
        <v>34</v>
      </c>
      <c r="T852">
        <v>3</v>
      </c>
      <c r="U852" t="s">
        <v>25</v>
      </c>
      <c r="V852">
        <v>3406.58</v>
      </c>
      <c r="W852" t="s">
        <v>58</v>
      </c>
      <c r="X852" t="s">
        <v>47</v>
      </c>
      <c r="Y852">
        <v>10</v>
      </c>
      <c r="Z852" t="str">
        <f t="shared" si="180"/>
        <v>Bad Employee</v>
      </c>
      <c r="AA852" t="b">
        <f t="shared" si="181"/>
        <v>0</v>
      </c>
      <c r="AB852" t="b">
        <f>OR(Y852&gt;20, T852&gt;6)</f>
        <v>0</v>
      </c>
      <c r="AC852" t="str">
        <f>IF(OR(Y852&gt;20,T852&gt;6), "Good employee", "Bad Employee")</f>
        <v>Bad Employee</v>
      </c>
      <c r="AD852" t="s">
        <v>28</v>
      </c>
      <c r="AE852" t="s">
        <v>42</v>
      </c>
      <c r="AF852">
        <v>2</v>
      </c>
      <c r="AG852">
        <v>2012</v>
      </c>
      <c r="AH852" t="s">
        <v>30</v>
      </c>
      <c r="AI852">
        <v>129</v>
      </c>
      <c r="AJ852">
        <v>1.9</v>
      </c>
    </row>
    <row r="853" spans="1:36" x14ac:dyDescent="0.25">
      <c r="A853">
        <v>10852</v>
      </c>
      <c r="B853" t="s">
        <v>60</v>
      </c>
      <c r="C853" t="s">
        <v>57</v>
      </c>
      <c r="D853" t="s">
        <v>54</v>
      </c>
      <c r="E853" t="str">
        <f t="shared" si="169"/>
        <v>Jane Davis is in Finance Department</v>
      </c>
      <c r="F853" s="6" t="str">
        <f t="shared" si="170"/>
        <v>janedavis@gmail.com</v>
      </c>
      <c r="G853">
        <v>95020</v>
      </c>
      <c r="H853" t="str">
        <f t="shared" si="171"/>
        <v>High</v>
      </c>
      <c r="I853" s="3">
        <v>36649</v>
      </c>
      <c r="J853">
        <f t="shared" si="172"/>
        <v>2000</v>
      </c>
      <c r="K853">
        <f t="shared" si="173"/>
        <v>5</v>
      </c>
      <c r="L853">
        <f t="shared" si="174"/>
        <v>3</v>
      </c>
      <c r="M853" s="3">
        <f t="shared" ca="1" si="175"/>
        <v>46100</v>
      </c>
      <c r="N853">
        <f t="shared" ca="1" si="176"/>
        <v>9451</v>
      </c>
      <c r="O853">
        <f t="shared" ca="1" si="177"/>
        <v>9451</v>
      </c>
      <c r="P853">
        <f t="shared" ca="1" si="178"/>
        <v>6752</v>
      </c>
      <c r="Q853">
        <v>31</v>
      </c>
      <c r="R853" t="str">
        <f t="shared" si="179"/>
        <v>Old</v>
      </c>
      <c r="S853" t="s">
        <v>24</v>
      </c>
      <c r="T853">
        <v>5</v>
      </c>
      <c r="U853" t="s">
        <v>45</v>
      </c>
      <c r="V853">
        <v>6919.82</v>
      </c>
      <c r="W853" t="s">
        <v>58</v>
      </c>
      <c r="X853" t="s">
        <v>36</v>
      </c>
      <c r="Y853">
        <v>19</v>
      </c>
      <c r="Z853" t="str">
        <f t="shared" si="180"/>
        <v>Bad Employee</v>
      </c>
      <c r="AA853" t="b">
        <f t="shared" si="181"/>
        <v>0</v>
      </c>
      <c r="AB853" t="b">
        <f>OR(Y853&gt;20, T853&gt;6)</f>
        <v>0</v>
      </c>
      <c r="AC853" t="str">
        <f>IF(OR(Y853&gt;20,T853&gt;6), "Good employee", "Bad Employee")</f>
        <v>Bad Employee</v>
      </c>
      <c r="AD853" t="s">
        <v>56</v>
      </c>
      <c r="AE853" t="s">
        <v>29</v>
      </c>
      <c r="AF853">
        <v>19</v>
      </c>
      <c r="AG853">
        <v>2010</v>
      </c>
      <c r="AH853" t="s">
        <v>43</v>
      </c>
      <c r="AI853">
        <v>82</v>
      </c>
      <c r="AJ853">
        <v>2.8</v>
      </c>
    </row>
    <row r="854" spans="1:36" x14ac:dyDescent="0.25">
      <c r="A854">
        <v>10853</v>
      </c>
      <c r="B854" t="s">
        <v>38</v>
      </c>
      <c r="C854" t="s">
        <v>61</v>
      </c>
      <c r="D854" t="s">
        <v>39</v>
      </c>
      <c r="E854" t="str">
        <f t="shared" si="169"/>
        <v>Chris Smith is in IT Department</v>
      </c>
      <c r="F854" s="6" t="str">
        <f t="shared" si="170"/>
        <v>chrissmith@gmail.com</v>
      </c>
      <c r="G854">
        <v>79477</v>
      </c>
      <c r="H854" t="str">
        <f t="shared" si="171"/>
        <v>Medium</v>
      </c>
      <c r="I854" s="3">
        <v>42593</v>
      </c>
      <c r="J854">
        <f t="shared" si="172"/>
        <v>2016</v>
      </c>
      <c r="K854">
        <f t="shared" si="173"/>
        <v>8</v>
      </c>
      <c r="L854">
        <f t="shared" si="174"/>
        <v>11</v>
      </c>
      <c r="M854" s="3">
        <f t="shared" ca="1" si="175"/>
        <v>46100</v>
      </c>
      <c r="N854">
        <f t="shared" ca="1" si="176"/>
        <v>3507</v>
      </c>
      <c r="O854">
        <f t="shared" ca="1" si="177"/>
        <v>3507</v>
      </c>
      <c r="P854">
        <f t="shared" ca="1" si="178"/>
        <v>2506</v>
      </c>
      <c r="Q854">
        <v>36</v>
      </c>
      <c r="R854" t="str">
        <f t="shared" si="179"/>
        <v>Old</v>
      </c>
      <c r="S854" t="s">
        <v>24</v>
      </c>
      <c r="T854">
        <v>3</v>
      </c>
      <c r="U854" t="s">
        <v>25</v>
      </c>
      <c r="V854">
        <v>1784.06</v>
      </c>
      <c r="W854" t="s">
        <v>46</v>
      </c>
      <c r="X854" t="s">
        <v>55</v>
      </c>
      <c r="Y854">
        <v>24</v>
      </c>
      <c r="Z854" t="str">
        <f t="shared" si="180"/>
        <v>Bad Employee</v>
      </c>
      <c r="AA854" t="b">
        <f t="shared" si="181"/>
        <v>0</v>
      </c>
      <c r="AB854" t="b">
        <f>OR(Y854&gt;20, T854&gt;6)</f>
        <v>1</v>
      </c>
      <c r="AC854" t="str">
        <f>IF(OR(Y854&gt;20,T854&gt;6), "Good employee", "Bad Employee")</f>
        <v>Good employee</v>
      </c>
      <c r="AD854" t="s">
        <v>28</v>
      </c>
      <c r="AE854" t="s">
        <v>59</v>
      </c>
      <c r="AF854">
        <v>4</v>
      </c>
      <c r="AG854">
        <v>2017</v>
      </c>
      <c r="AH854" t="s">
        <v>49</v>
      </c>
      <c r="AI854">
        <v>12</v>
      </c>
      <c r="AJ854">
        <v>3.5</v>
      </c>
    </row>
    <row r="855" spans="1:36" x14ac:dyDescent="0.25">
      <c r="A855">
        <v>10854</v>
      </c>
      <c r="B855" t="s">
        <v>50</v>
      </c>
      <c r="C855" t="s">
        <v>57</v>
      </c>
      <c r="D855" t="s">
        <v>44</v>
      </c>
      <c r="E855" t="str">
        <f t="shared" si="169"/>
        <v>Alex Davis is in Sales Department</v>
      </c>
      <c r="F855" s="6" t="str">
        <f t="shared" si="170"/>
        <v>alexdavis@gmail.com</v>
      </c>
      <c r="G855">
        <v>63071</v>
      </c>
      <c r="H855" t="str">
        <f t="shared" si="171"/>
        <v>Medium</v>
      </c>
      <c r="I855" s="3">
        <v>40965</v>
      </c>
      <c r="J855">
        <f t="shared" si="172"/>
        <v>2012</v>
      </c>
      <c r="K855">
        <f t="shared" si="173"/>
        <v>2</v>
      </c>
      <c r="L855">
        <f t="shared" si="174"/>
        <v>26</v>
      </c>
      <c r="M855" s="3">
        <f t="shared" ca="1" si="175"/>
        <v>46100</v>
      </c>
      <c r="N855">
        <f t="shared" ca="1" si="176"/>
        <v>5135</v>
      </c>
      <c r="O855">
        <f t="shared" ca="1" si="177"/>
        <v>5135</v>
      </c>
      <c r="P855">
        <f t="shared" ca="1" si="178"/>
        <v>3669</v>
      </c>
      <c r="Q855">
        <v>58</v>
      </c>
      <c r="R855" t="str">
        <f t="shared" si="179"/>
        <v>Old</v>
      </c>
      <c r="S855" t="s">
        <v>34</v>
      </c>
      <c r="T855">
        <v>9</v>
      </c>
      <c r="U855" t="s">
        <v>25</v>
      </c>
      <c r="V855">
        <v>3349.74</v>
      </c>
      <c r="W855" t="s">
        <v>35</v>
      </c>
      <c r="X855" t="s">
        <v>40</v>
      </c>
      <c r="Y855">
        <v>9</v>
      </c>
      <c r="Z855" t="str">
        <f t="shared" si="180"/>
        <v>Bad Employee</v>
      </c>
      <c r="AA855" t="b">
        <f t="shared" si="181"/>
        <v>0</v>
      </c>
      <c r="AB855" t="b">
        <f>OR(Y855&gt;20, T855&gt;6)</f>
        <v>1</v>
      </c>
      <c r="AC855" t="str">
        <f>IF(OR(Y855&gt;20,T855&gt;6), "Good employee", "Bad Employee")</f>
        <v>Good employee</v>
      </c>
      <c r="AD855" t="s">
        <v>41</v>
      </c>
      <c r="AE855" t="s">
        <v>29</v>
      </c>
      <c r="AF855">
        <v>17</v>
      </c>
      <c r="AG855">
        <v>2018</v>
      </c>
      <c r="AH855" t="s">
        <v>49</v>
      </c>
      <c r="AI855">
        <v>88</v>
      </c>
      <c r="AJ855">
        <v>4.9000000000000004</v>
      </c>
    </row>
    <row r="856" spans="1:36" x14ac:dyDescent="0.25">
      <c r="A856">
        <v>10855</v>
      </c>
      <c r="B856" t="s">
        <v>21</v>
      </c>
      <c r="C856" t="s">
        <v>22</v>
      </c>
      <c r="D856" t="s">
        <v>23</v>
      </c>
      <c r="E856" t="str">
        <f t="shared" si="169"/>
        <v>Michael Williams is in HR Department</v>
      </c>
      <c r="F856" s="6" t="str">
        <f t="shared" si="170"/>
        <v>michaelwilliams@gmail.com</v>
      </c>
      <c r="G856">
        <v>100603</v>
      </c>
      <c r="H856" t="str">
        <f t="shared" si="171"/>
        <v>High</v>
      </c>
      <c r="I856" s="3">
        <v>38400</v>
      </c>
      <c r="J856">
        <f t="shared" si="172"/>
        <v>2005</v>
      </c>
      <c r="K856">
        <f t="shared" si="173"/>
        <v>2</v>
      </c>
      <c r="L856">
        <f t="shared" si="174"/>
        <v>17</v>
      </c>
      <c r="M856" s="3">
        <f t="shared" ca="1" si="175"/>
        <v>46100</v>
      </c>
      <c r="N856">
        <f t="shared" ca="1" si="176"/>
        <v>7700</v>
      </c>
      <c r="O856">
        <f t="shared" ca="1" si="177"/>
        <v>7700</v>
      </c>
      <c r="P856">
        <f t="shared" ca="1" si="178"/>
        <v>5501</v>
      </c>
      <c r="Q856">
        <v>43</v>
      </c>
      <c r="R856" t="str">
        <f t="shared" si="179"/>
        <v>Old</v>
      </c>
      <c r="S856" t="s">
        <v>24</v>
      </c>
      <c r="T856">
        <v>4</v>
      </c>
      <c r="U856" t="s">
        <v>45</v>
      </c>
      <c r="V856">
        <v>1033.58</v>
      </c>
      <c r="W856" t="s">
        <v>46</v>
      </c>
      <c r="X856" t="s">
        <v>47</v>
      </c>
      <c r="Y856">
        <v>15</v>
      </c>
      <c r="Z856" t="str">
        <f t="shared" si="180"/>
        <v>Bad Employee</v>
      </c>
      <c r="AA856" t="b">
        <f t="shared" si="181"/>
        <v>0</v>
      </c>
      <c r="AB856" t="b">
        <f>OR(Y856&gt;20, T856&gt;6)</f>
        <v>0</v>
      </c>
      <c r="AC856" t="str">
        <f>IF(OR(Y856&gt;20,T856&gt;6), "Good employee", "Bad Employee")</f>
        <v>Bad Employee</v>
      </c>
      <c r="AD856" t="s">
        <v>41</v>
      </c>
      <c r="AE856" t="s">
        <v>37</v>
      </c>
      <c r="AF856">
        <v>16</v>
      </c>
      <c r="AG856">
        <v>2014</v>
      </c>
      <c r="AH856" t="s">
        <v>30</v>
      </c>
      <c r="AI856">
        <v>195</v>
      </c>
      <c r="AJ856">
        <v>3.7</v>
      </c>
    </row>
    <row r="857" spans="1:36" x14ac:dyDescent="0.25">
      <c r="A857">
        <v>10856</v>
      </c>
      <c r="B857" t="s">
        <v>38</v>
      </c>
      <c r="C857" t="s">
        <v>63</v>
      </c>
      <c r="D857" t="s">
        <v>39</v>
      </c>
      <c r="E857" t="str">
        <f t="shared" si="169"/>
        <v>Chris Miller is in IT Department</v>
      </c>
      <c r="F857" s="6" t="str">
        <f t="shared" si="170"/>
        <v>chrismiller@gmail.com</v>
      </c>
      <c r="G857">
        <v>91923</v>
      </c>
      <c r="H857" t="str">
        <f t="shared" si="171"/>
        <v>High</v>
      </c>
      <c r="I857" s="3">
        <v>37049</v>
      </c>
      <c r="J857">
        <f t="shared" si="172"/>
        <v>2001</v>
      </c>
      <c r="K857">
        <f t="shared" si="173"/>
        <v>6</v>
      </c>
      <c r="L857">
        <f t="shared" si="174"/>
        <v>7</v>
      </c>
      <c r="M857" s="3">
        <f t="shared" ca="1" si="175"/>
        <v>46100</v>
      </c>
      <c r="N857">
        <f t="shared" ca="1" si="176"/>
        <v>9051</v>
      </c>
      <c r="O857">
        <f t="shared" ca="1" si="177"/>
        <v>9051</v>
      </c>
      <c r="P857">
        <f t="shared" ca="1" si="178"/>
        <v>6466</v>
      </c>
      <c r="Q857">
        <v>52</v>
      </c>
      <c r="R857" t="str">
        <f t="shared" si="179"/>
        <v>Old</v>
      </c>
      <c r="S857" t="s">
        <v>24</v>
      </c>
      <c r="T857">
        <v>7</v>
      </c>
      <c r="U857" t="s">
        <v>25</v>
      </c>
      <c r="V857">
        <v>5012.1899999999996</v>
      </c>
      <c r="W857" t="s">
        <v>26</v>
      </c>
      <c r="X857" t="s">
        <v>27</v>
      </c>
      <c r="Y857">
        <v>22</v>
      </c>
      <c r="Z857" t="str">
        <f t="shared" si="180"/>
        <v>Good Employee</v>
      </c>
      <c r="AA857" t="b">
        <f t="shared" si="181"/>
        <v>1</v>
      </c>
      <c r="AB857" t="b">
        <f>OR(Y857&gt;20, T857&gt;6)</f>
        <v>1</v>
      </c>
      <c r="AC857" t="str">
        <f>IF(OR(Y857&gt;20,T857&gt;6), "Good employee", "Bad Employee")</f>
        <v>Good employee</v>
      </c>
      <c r="AD857" t="s">
        <v>56</v>
      </c>
      <c r="AE857" t="s">
        <v>48</v>
      </c>
      <c r="AF857">
        <v>6</v>
      </c>
      <c r="AG857">
        <v>2010</v>
      </c>
      <c r="AH857" t="s">
        <v>43</v>
      </c>
      <c r="AI857">
        <v>86</v>
      </c>
      <c r="AJ857">
        <v>4.5999999999999996</v>
      </c>
    </row>
    <row r="858" spans="1:36" x14ac:dyDescent="0.25">
      <c r="A858">
        <v>10857</v>
      </c>
      <c r="B858" t="s">
        <v>50</v>
      </c>
      <c r="C858" t="s">
        <v>57</v>
      </c>
      <c r="D858" t="s">
        <v>39</v>
      </c>
      <c r="E858" t="str">
        <f t="shared" si="169"/>
        <v>Alex Davis is in IT Department</v>
      </c>
      <c r="F858" s="6" t="str">
        <f t="shared" si="170"/>
        <v>alexdavis@gmail.com</v>
      </c>
      <c r="G858">
        <v>100560</v>
      </c>
      <c r="H858" t="str">
        <f t="shared" si="171"/>
        <v>High</v>
      </c>
      <c r="I858" s="3">
        <v>39649</v>
      </c>
      <c r="J858">
        <f t="shared" si="172"/>
        <v>2008</v>
      </c>
      <c r="K858">
        <f t="shared" si="173"/>
        <v>7</v>
      </c>
      <c r="L858">
        <f t="shared" si="174"/>
        <v>20</v>
      </c>
      <c r="M858" s="3">
        <f t="shared" ca="1" si="175"/>
        <v>46100</v>
      </c>
      <c r="N858">
        <f t="shared" ca="1" si="176"/>
        <v>6451</v>
      </c>
      <c r="O858">
        <f t="shared" ca="1" si="177"/>
        <v>6451</v>
      </c>
      <c r="P858">
        <f t="shared" ca="1" si="178"/>
        <v>4609</v>
      </c>
      <c r="Q858">
        <v>23</v>
      </c>
      <c r="R858" t="str">
        <f t="shared" si="179"/>
        <v>Young</v>
      </c>
      <c r="S858" t="s">
        <v>34</v>
      </c>
      <c r="T858">
        <v>4</v>
      </c>
      <c r="U858" t="s">
        <v>25</v>
      </c>
      <c r="V858">
        <v>2484.75</v>
      </c>
      <c r="W858" t="s">
        <v>26</v>
      </c>
      <c r="X858" t="s">
        <v>36</v>
      </c>
      <c r="Y858">
        <v>17</v>
      </c>
      <c r="Z858" t="str">
        <f t="shared" si="180"/>
        <v>Bad Employee</v>
      </c>
      <c r="AA858" t="b">
        <f t="shared" si="181"/>
        <v>0</v>
      </c>
      <c r="AB858" t="b">
        <f>OR(Y858&gt;20, T858&gt;6)</f>
        <v>0</v>
      </c>
      <c r="AC858" t="str">
        <f>IF(OR(Y858&gt;20,T858&gt;6), "Good employee", "Bad Employee")</f>
        <v>Bad Employee</v>
      </c>
      <c r="AD858" t="s">
        <v>28</v>
      </c>
      <c r="AE858" t="s">
        <v>48</v>
      </c>
      <c r="AF858">
        <v>13</v>
      </c>
      <c r="AG858">
        <v>2010</v>
      </c>
      <c r="AH858" t="s">
        <v>43</v>
      </c>
      <c r="AI858">
        <v>92</v>
      </c>
      <c r="AJ858">
        <v>4.4000000000000004</v>
      </c>
    </row>
    <row r="859" spans="1:36" x14ac:dyDescent="0.25">
      <c r="A859">
        <v>10858</v>
      </c>
      <c r="B859" t="s">
        <v>50</v>
      </c>
      <c r="C859" t="s">
        <v>63</v>
      </c>
      <c r="D859" t="s">
        <v>54</v>
      </c>
      <c r="E859" t="str">
        <f t="shared" si="169"/>
        <v>Alex Miller is in Finance Department</v>
      </c>
      <c r="F859" s="6" t="str">
        <f t="shared" si="170"/>
        <v>alexmiller@gmail.com</v>
      </c>
      <c r="G859">
        <v>103251</v>
      </c>
      <c r="H859" t="str">
        <f t="shared" si="171"/>
        <v>High</v>
      </c>
      <c r="I859" s="3">
        <v>40750</v>
      </c>
      <c r="J859">
        <f t="shared" si="172"/>
        <v>2011</v>
      </c>
      <c r="K859">
        <f t="shared" si="173"/>
        <v>7</v>
      </c>
      <c r="L859">
        <f t="shared" si="174"/>
        <v>26</v>
      </c>
      <c r="M859" s="3">
        <f t="shared" ca="1" si="175"/>
        <v>46100</v>
      </c>
      <c r="N859">
        <f t="shared" ca="1" si="176"/>
        <v>5350</v>
      </c>
      <c r="O859">
        <f t="shared" ca="1" si="177"/>
        <v>5350</v>
      </c>
      <c r="P859">
        <f t="shared" ca="1" si="178"/>
        <v>3823</v>
      </c>
      <c r="Q859">
        <v>52</v>
      </c>
      <c r="R859" t="str">
        <f t="shared" si="179"/>
        <v>Old</v>
      </c>
      <c r="S859" t="s">
        <v>34</v>
      </c>
      <c r="T859">
        <v>3</v>
      </c>
      <c r="U859" t="s">
        <v>45</v>
      </c>
      <c r="V859">
        <v>1366.86</v>
      </c>
      <c r="W859" t="s">
        <v>35</v>
      </c>
      <c r="X859" t="s">
        <v>47</v>
      </c>
      <c r="Y859">
        <v>19</v>
      </c>
      <c r="Z859" t="str">
        <f t="shared" si="180"/>
        <v>Bad Employee</v>
      </c>
      <c r="AA859" t="b">
        <f t="shared" si="181"/>
        <v>0</v>
      </c>
      <c r="AB859" t="b">
        <f>OR(Y859&gt;20, T859&gt;6)</f>
        <v>0</v>
      </c>
      <c r="AC859" t="str">
        <f>IF(OR(Y859&gt;20,T859&gt;6), "Good employee", "Bad Employee")</f>
        <v>Bad Employee</v>
      </c>
      <c r="AD859" t="s">
        <v>28</v>
      </c>
      <c r="AE859" t="s">
        <v>59</v>
      </c>
      <c r="AF859">
        <v>14</v>
      </c>
      <c r="AG859">
        <v>2018</v>
      </c>
      <c r="AH859" t="s">
        <v>43</v>
      </c>
      <c r="AI859">
        <v>178</v>
      </c>
      <c r="AJ859">
        <v>3.3</v>
      </c>
    </row>
    <row r="860" spans="1:36" x14ac:dyDescent="0.25">
      <c r="A860">
        <v>10859</v>
      </c>
      <c r="B860" t="s">
        <v>60</v>
      </c>
      <c r="C860" t="s">
        <v>22</v>
      </c>
      <c r="D860" t="s">
        <v>23</v>
      </c>
      <c r="E860" t="str">
        <f t="shared" si="169"/>
        <v>Jane Williams is in HR Department</v>
      </c>
      <c r="F860" s="6" t="str">
        <f t="shared" si="170"/>
        <v>janewilliams@gmail.com</v>
      </c>
      <c r="G860">
        <v>87492</v>
      </c>
      <c r="H860" t="str">
        <f t="shared" si="171"/>
        <v>High</v>
      </c>
      <c r="I860" s="3">
        <v>41780</v>
      </c>
      <c r="J860">
        <f t="shared" si="172"/>
        <v>2014</v>
      </c>
      <c r="K860">
        <f t="shared" si="173"/>
        <v>5</v>
      </c>
      <c r="L860">
        <f t="shared" si="174"/>
        <v>21</v>
      </c>
      <c r="M860" s="3">
        <f t="shared" ca="1" si="175"/>
        <v>46100</v>
      </c>
      <c r="N860">
        <f t="shared" ca="1" si="176"/>
        <v>4320</v>
      </c>
      <c r="O860">
        <f t="shared" ca="1" si="177"/>
        <v>4320</v>
      </c>
      <c r="P860">
        <f t="shared" ca="1" si="178"/>
        <v>3087</v>
      </c>
      <c r="Q860">
        <v>35</v>
      </c>
      <c r="R860" t="str">
        <f t="shared" si="179"/>
        <v>Old</v>
      </c>
      <c r="S860" t="s">
        <v>34</v>
      </c>
      <c r="T860">
        <v>1</v>
      </c>
      <c r="U860" t="s">
        <v>45</v>
      </c>
      <c r="V860">
        <v>4406.55</v>
      </c>
      <c r="W860" t="s">
        <v>26</v>
      </c>
      <c r="X860" t="s">
        <v>47</v>
      </c>
      <c r="Y860">
        <v>9</v>
      </c>
      <c r="Z860" t="str">
        <f t="shared" si="180"/>
        <v>Bad Employee</v>
      </c>
      <c r="AA860" t="b">
        <f t="shared" si="181"/>
        <v>0</v>
      </c>
      <c r="AB860" t="b">
        <f>OR(Y860&gt;20, T860&gt;6)</f>
        <v>0</v>
      </c>
      <c r="AC860" t="str">
        <f>IF(OR(Y860&gt;20,T860&gt;6), "Good employee", "Bad Employee")</f>
        <v>Bad Employee</v>
      </c>
      <c r="AD860" t="s">
        <v>56</v>
      </c>
      <c r="AE860" t="s">
        <v>48</v>
      </c>
      <c r="AF860">
        <v>13</v>
      </c>
      <c r="AG860">
        <v>2023</v>
      </c>
      <c r="AH860" t="s">
        <v>43</v>
      </c>
      <c r="AI860">
        <v>71</v>
      </c>
      <c r="AJ860">
        <v>4.5999999999999996</v>
      </c>
    </row>
    <row r="861" spans="1:36" x14ac:dyDescent="0.25">
      <c r="A861">
        <v>10860</v>
      </c>
      <c r="B861" t="s">
        <v>21</v>
      </c>
      <c r="C861" t="s">
        <v>22</v>
      </c>
      <c r="D861" t="s">
        <v>33</v>
      </c>
      <c r="E861" t="str">
        <f t="shared" si="169"/>
        <v>Michael Williams is in Marketing Department</v>
      </c>
      <c r="F861" s="6" t="str">
        <f t="shared" si="170"/>
        <v>michaelwilliams@gmail.com</v>
      </c>
      <c r="G861">
        <v>61770</v>
      </c>
      <c r="H861" t="str">
        <f t="shared" si="171"/>
        <v>Medium</v>
      </c>
      <c r="I861" s="3">
        <v>43326</v>
      </c>
      <c r="J861">
        <f t="shared" si="172"/>
        <v>2018</v>
      </c>
      <c r="K861">
        <f t="shared" si="173"/>
        <v>8</v>
      </c>
      <c r="L861">
        <f t="shared" si="174"/>
        <v>14</v>
      </c>
      <c r="M861" s="3">
        <f t="shared" ca="1" si="175"/>
        <v>46100</v>
      </c>
      <c r="N861">
        <f t="shared" ca="1" si="176"/>
        <v>2774</v>
      </c>
      <c r="O861">
        <f t="shared" ca="1" si="177"/>
        <v>2774</v>
      </c>
      <c r="P861">
        <f t="shared" ca="1" si="178"/>
        <v>1983</v>
      </c>
      <c r="Q861">
        <v>31</v>
      </c>
      <c r="R861" t="str">
        <f t="shared" si="179"/>
        <v>Old</v>
      </c>
      <c r="S861" t="s">
        <v>34</v>
      </c>
      <c r="T861">
        <v>9</v>
      </c>
      <c r="U861" t="s">
        <v>45</v>
      </c>
      <c r="V861">
        <v>3836.64</v>
      </c>
      <c r="W861" t="s">
        <v>46</v>
      </c>
      <c r="X861" t="s">
        <v>47</v>
      </c>
      <c r="Y861">
        <v>38</v>
      </c>
      <c r="Z861" t="str">
        <f t="shared" si="180"/>
        <v>Good Employee</v>
      </c>
      <c r="AA861" t="b">
        <f t="shared" si="181"/>
        <v>1</v>
      </c>
      <c r="AB861" t="b">
        <f>OR(Y861&gt;20, T861&gt;6)</f>
        <v>1</v>
      </c>
      <c r="AC861" t="str">
        <f>IF(OR(Y861&gt;20,T861&gt;6), "Good employee", "Bad Employee")</f>
        <v>Good employee</v>
      </c>
      <c r="AD861" t="s">
        <v>28</v>
      </c>
      <c r="AE861" t="s">
        <v>48</v>
      </c>
      <c r="AF861">
        <v>8</v>
      </c>
      <c r="AG861">
        <v>2010</v>
      </c>
      <c r="AH861" t="s">
        <v>49</v>
      </c>
      <c r="AI861">
        <v>121</v>
      </c>
      <c r="AJ861">
        <v>2.5</v>
      </c>
    </row>
    <row r="862" spans="1:36" x14ac:dyDescent="0.25">
      <c r="A862">
        <v>10861</v>
      </c>
      <c r="B862" t="s">
        <v>31</v>
      </c>
      <c r="C862" t="s">
        <v>51</v>
      </c>
      <c r="D862" t="s">
        <v>33</v>
      </c>
      <c r="E862" t="str">
        <f t="shared" si="169"/>
        <v>Emily Brown is in Marketing Department</v>
      </c>
      <c r="F862" s="6" t="str">
        <f t="shared" si="170"/>
        <v>emilybrown@gmail.com</v>
      </c>
      <c r="G862">
        <v>106762</v>
      </c>
      <c r="H862" t="str">
        <f t="shared" si="171"/>
        <v>High</v>
      </c>
      <c r="I862" s="3">
        <v>39724</v>
      </c>
      <c r="J862">
        <f t="shared" si="172"/>
        <v>2008</v>
      </c>
      <c r="K862">
        <f t="shared" si="173"/>
        <v>10</v>
      </c>
      <c r="L862">
        <f t="shared" si="174"/>
        <v>3</v>
      </c>
      <c r="M862" s="3">
        <f t="shared" ca="1" si="175"/>
        <v>46100</v>
      </c>
      <c r="N862">
        <f t="shared" ca="1" si="176"/>
        <v>6376</v>
      </c>
      <c r="O862">
        <f t="shared" ca="1" si="177"/>
        <v>6376</v>
      </c>
      <c r="P862">
        <f t="shared" ca="1" si="178"/>
        <v>4555</v>
      </c>
      <c r="Q862">
        <v>51</v>
      </c>
      <c r="R862" t="str">
        <f t="shared" si="179"/>
        <v>Old</v>
      </c>
      <c r="S862" t="s">
        <v>34</v>
      </c>
      <c r="T862">
        <v>1</v>
      </c>
      <c r="U862" t="s">
        <v>25</v>
      </c>
      <c r="V862">
        <v>5606.42</v>
      </c>
      <c r="W862" t="s">
        <v>46</v>
      </c>
      <c r="X862" t="s">
        <v>36</v>
      </c>
      <c r="Y862">
        <v>19</v>
      </c>
      <c r="Z862" t="str">
        <f t="shared" si="180"/>
        <v>Bad Employee</v>
      </c>
      <c r="AA862" t="b">
        <f t="shared" si="181"/>
        <v>0</v>
      </c>
      <c r="AB862" t="b">
        <f>OR(Y862&gt;20, T862&gt;6)</f>
        <v>0</v>
      </c>
      <c r="AC862" t="str">
        <f>IF(OR(Y862&gt;20,T862&gt;6), "Good employee", "Bad Employee")</f>
        <v>Bad Employee</v>
      </c>
      <c r="AD862" t="s">
        <v>28</v>
      </c>
      <c r="AE862" t="s">
        <v>48</v>
      </c>
      <c r="AF862">
        <v>15</v>
      </c>
      <c r="AG862">
        <v>2018</v>
      </c>
      <c r="AH862" t="s">
        <v>49</v>
      </c>
      <c r="AI862">
        <v>178</v>
      </c>
      <c r="AJ862">
        <v>2.5</v>
      </c>
    </row>
    <row r="863" spans="1:36" x14ac:dyDescent="0.25">
      <c r="A863">
        <v>10862</v>
      </c>
      <c r="B863" t="s">
        <v>66</v>
      </c>
      <c r="C863" t="s">
        <v>22</v>
      </c>
      <c r="D863" t="s">
        <v>52</v>
      </c>
      <c r="E863" t="str">
        <f t="shared" si="169"/>
        <v>John Williams is in Operations Department</v>
      </c>
      <c r="F863" s="6" t="str">
        <f t="shared" si="170"/>
        <v>johnwilliams@gmail.com</v>
      </c>
      <c r="G863">
        <v>65399</v>
      </c>
      <c r="H863" t="str">
        <f t="shared" si="171"/>
        <v>Medium</v>
      </c>
      <c r="I863" s="3">
        <v>39311</v>
      </c>
      <c r="J863">
        <f t="shared" si="172"/>
        <v>2007</v>
      </c>
      <c r="K863">
        <f t="shared" si="173"/>
        <v>8</v>
      </c>
      <c r="L863">
        <f t="shared" si="174"/>
        <v>17</v>
      </c>
      <c r="M863" s="3">
        <f t="shared" ca="1" si="175"/>
        <v>46100</v>
      </c>
      <c r="N863">
        <f t="shared" ca="1" si="176"/>
        <v>6789</v>
      </c>
      <c r="O863">
        <f t="shared" ca="1" si="177"/>
        <v>6789</v>
      </c>
      <c r="P863">
        <f t="shared" ca="1" si="178"/>
        <v>4850</v>
      </c>
      <c r="Q863">
        <v>57</v>
      </c>
      <c r="R863" t="str">
        <f t="shared" si="179"/>
        <v>Old</v>
      </c>
      <c r="S863" t="s">
        <v>34</v>
      </c>
      <c r="T863">
        <v>1</v>
      </c>
      <c r="U863" t="s">
        <v>25</v>
      </c>
      <c r="V863">
        <v>7615.87</v>
      </c>
      <c r="W863" t="s">
        <v>58</v>
      </c>
      <c r="X863" t="s">
        <v>27</v>
      </c>
      <c r="Y863">
        <v>8</v>
      </c>
      <c r="Z863" t="str">
        <f t="shared" si="180"/>
        <v>Bad Employee</v>
      </c>
      <c r="AA863" t="b">
        <f t="shared" si="181"/>
        <v>0</v>
      </c>
      <c r="AB863" t="b">
        <f>OR(Y863&gt;20, T863&gt;6)</f>
        <v>0</v>
      </c>
      <c r="AC863" t="str">
        <f>IF(OR(Y863&gt;20,T863&gt;6), "Good employee", "Bad Employee")</f>
        <v>Bad Employee</v>
      </c>
      <c r="AD863" t="s">
        <v>41</v>
      </c>
      <c r="AE863" t="s">
        <v>62</v>
      </c>
      <c r="AF863">
        <v>18</v>
      </c>
      <c r="AG863">
        <v>2012</v>
      </c>
      <c r="AH863" t="s">
        <v>30</v>
      </c>
      <c r="AI863">
        <v>82</v>
      </c>
      <c r="AJ863">
        <v>4.0999999999999996</v>
      </c>
    </row>
    <row r="864" spans="1:36" x14ac:dyDescent="0.25">
      <c r="A864">
        <v>10863</v>
      </c>
      <c r="B864" t="s">
        <v>60</v>
      </c>
      <c r="C864" t="s">
        <v>22</v>
      </c>
      <c r="D864" t="s">
        <v>39</v>
      </c>
      <c r="E864" t="str">
        <f t="shared" si="169"/>
        <v>Jane Williams is in IT Department</v>
      </c>
      <c r="F864" s="6" t="str">
        <f t="shared" si="170"/>
        <v>janewilliams@gmail.com</v>
      </c>
      <c r="G864">
        <v>108948</v>
      </c>
      <c r="H864" t="str">
        <f t="shared" si="171"/>
        <v>High</v>
      </c>
      <c r="I864" s="3">
        <v>43608</v>
      </c>
      <c r="J864">
        <f t="shared" si="172"/>
        <v>2019</v>
      </c>
      <c r="K864">
        <f t="shared" si="173"/>
        <v>5</v>
      </c>
      <c r="L864">
        <f t="shared" si="174"/>
        <v>23</v>
      </c>
      <c r="M864" s="3">
        <f t="shared" ca="1" si="175"/>
        <v>46100</v>
      </c>
      <c r="N864">
        <f t="shared" ca="1" si="176"/>
        <v>2492</v>
      </c>
      <c r="O864">
        <f t="shared" ca="1" si="177"/>
        <v>2492</v>
      </c>
      <c r="P864">
        <f t="shared" ca="1" si="178"/>
        <v>1781</v>
      </c>
      <c r="Q864">
        <v>61</v>
      </c>
      <c r="R864" t="str">
        <f t="shared" si="179"/>
        <v>Old</v>
      </c>
      <c r="S864" t="s">
        <v>34</v>
      </c>
      <c r="T864">
        <v>1</v>
      </c>
      <c r="U864" t="s">
        <v>25</v>
      </c>
      <c r="V864">
        <v>1569.4</v>
      </c>
      <c r="W864" t="s">
        <v>26</v>
      </c>
      <c r="X864" t="s">
        <v>47</v>
      </c>
      <c r="Y864">
        <v>6</v>
      </c>
      <c r="Z864" t="str">
        <f t="shared" si="180"/>
        <v>Bad Employee</v>
      </c>
      <c r="AA864" t="b">
        <f t="shared" si="181"/>
        <v>0</v>
      </c>
      <c r="AB864" t="b">
        <f>OR(Y864&gt;20, T864&gt;6)</f>
        <v>0</v>
      </c>
      <c r="AC864" t="str">
        <f>IF(OR(Y864&gt;20,T864&gt;6), "Good employee", "Bad Employee")</f>
        <v>Bad Employee</v>
      </c>
      <c r="AD864" t="s">
        <v>28</v>
      </c>
      <c r="AE864" t="s">
        <v>59</v>
      </c>
      <c r="AF864">
        <v>0</v>
      </c>
      <c r="AG864">
        <v>2012</v>
      </c>
      <c r="AH864" t="s">
        <v>43</v>
      </c>
      <c r="AI864">
        <v>71</v>
      </c>
      <c r="AJ864">
        <v>1.5</v>
      </c>
    </row>
    <row r="865" spans="1:36" x14ac:dyDescent="0.25">
      <c r="A865">
        <v>10864</v>
      </c>
      <c r="B865" t="s">
        <v>60</v>
      </c>
      <c r="C865" t="s">
        <v>65</v>
      </c>
      <c r="D865" t="s">
        <v>39</v>
      </c>
      <c r="E865" t="str">
        <f t="shared" si="169"/>
        <v>Jane Johnson is in IT Department</v>
      </c>
      <c r="F865" s="6" t="str">
        <f t="shared" si="170"/>
        <v>janejohnson@gmail.com</v>
      </c>
      <c r="G865">
        <v>87439</v>
      </c>
      <c r="H865" t="str">
        <f t="shared" si="171"/>
        <v>High</v>
      </c>
      <c r="I865" s="3">
        <v>38644</v>
      </c>
      <c r="J865">
        <f t="shared" si="172"/>
        <v>2005</v>
      </c>
      <c r="K865">
        <f t="shared" si="173"/>
        <v>10</v>
      </c>
      <c r="L865">
        <f t="shared" si="174"/>
        <v>19</v>
      </c>
      <c r="M865" s="3">
        <f t="shared" ca="1" si="175"/>
        <v>46100</v>
      </c>
      <c r="N865">
        <f t="shared" ca="1" si="176"/>
        <v>7456</v>
      </c>
      <c r="O865">
        <f t="shared" ca="1" si="177"/>
        <v>7456</v>
      </c>
      <c r="P865">
        <f t="shared" ca="1" si="178"/>
        <v>5327</v>
      </c>
      <c r="Q865">
        <v>36</v>
      </c>
      <c r="R865" t="str">
        <f t="shared" si="179"/>
        <v>Old</v>
      </c>
      <c r="S865" t="s">
        <v>34</v>
      </c>
      <c r="T865">
        <v>5</v>
      </c>
      <c r="U865" t="s">
        <v>25</v>
      </c>
      <c r="V865">
        <v>8015.69</v>
      </c>
      <c r="W865" t="s">
        <v>26</v>
      </c>
      <c r="X865" t="s">
        <v>47</v>
      </c>
      <c r="Y865">
        <v>38</v>
      </c>
      <c r="Z865" t="str">
        <f t="shared" si="180"/>
        <v>Bad Employee</v>
      </c>
      <c r="AA865" t="b">
        <f t="shared" si="181"/>
        <v>0</v>
      </c>
      <c r="AB865" t="b">
        <f>OR(Y865&gt;20, T865&gt;6)</f>
        <v>1</v>
      </c>
      <c r="AC865" t="str">
        <f>IF(OR(Y865&gt;20,T865&gt;6), "Good employee", "Bad Employee")</f>
        <v>Good employee</v>
      </c>
      <c r="AD865" t="s">
        <v>56</v>
      </c>
      <c r="AE865" t="s">
        <v>59</v>
      </c>
      <c r="AF865">
        <v>7</v>
      </c>
      <c r="AG865">
        <v>2022</v>
      </c>
      <c r="AH865" t="s">
        <v>49</v>
      </c>
      <c r="AI865">
        <v>46</v>
      </c>
      <c r="AJ865">
        <v>2.2000000000000002</v>
      </c>
    </row>
    <row r="866" spans="1:36" x14ac:dyDescent="0.25">
      <c r="A866">
        <v>10865</v>
      </c>
      <c r="B866" t="s">
        <v>31</v>
      </c>
      <c r="C866" t="s">
        <v>61</v>
      </c>
      <c r="D866" t="s">
        <v>23</v>
      </c>
      <c r="E866" t="str">
        <f t="shared" si="169"/>
        <v>Emily Smith is in HR Department</v>
      </c>
      <c r="F866" s="6" t="str">
        <f t="shared" si="170"/>
        <v>emilysmith@gmail.com</v>
      </c>
      <c r="G866">
        <v>74415</v>
      </c>
      <c r="H866" t="str">
        <f t="shared" si="171"/>
        <v>Medium</v>
      </c>
      <c r="I866" s="3">
        <v>42942</v>
      </c>
      <c r="J866">
        <f t="shared" si="172"/>
        <v>2017</v>
      </c>
      <c r="K866">
        <f t="shared" si="173"/>
        <v>7</v>
      </c>
      <c r="L866">
        <f t="shared" si="174"/>
        <v>26</v>
      </c>
      <c r="M866" s="3">
        <f t="shared" ca="1" si="175"/>
        <v>46100</v>
      </c>
      <c r="N866">
        <f t="shared" ca="1" si="176"/>
        <v>3158</v>
      </c>
      <c r="O866">
        <f t="shared" ca="1" si="177"/>
        <v>3158</v>
      </c>
      <c r="P866">
        <f t="shared" ca="1" si="178"/>
        <v>2257</v>
      </c>
      <c r="Q866">
        <v>35</v>
      </c>
      <c r="R866" t="str">
        <f t="shared" si="179"/>
        <v>Old</v>
      </c>
      <c r="S866" t="s">
        <v>24</v>
      </c>
      <c r="T866">
        <v>7</v>
      </c>
      <c r="U866" t="s">
        <v>25</v>
      </c>
      <c r="V866">
        <v>749.75</v>
      </c>
      <c r="W866" t="s">
        <v>26</v>
      </c>
      <c r="X866" t="s">
        <v>47</v>
      </c>
      <c r="Y866">
        <v>21</v>
      </c>
      <c r="Z866" t="str">
        <f t="shared" si="180"/>
        <v>Good Employee</v>
      </c>
      <c r="AA866" t="b">
        <f t="shared" si="181"/>
        <v>1</v>
      </c>
      <c r="AB866" t="b">
        <f>OR(Y866&gt;20, T866&gt;6)</f>
        <v>1</v>
      </c>
      <c r="AC866" t="str">
        <f>IF(OR(Y866&gt;20,T866&gt;6), "Good employee", "Bad Employee")</f>
        <v>Good employee</v>
      </c>
      <c r="AD866" t="s">
        <v>41</v>
      </c>
      <c r="AE866" t="s">
        <v>29</v>
      </c>
      <c r="AF866">
        <v>17</v>
      </c>
      <c r="AG866">
        <v>2013</v>
      </c>
      <c r="AH866" t="s">
        <v>43</v>
      </c>
      <c r="AI866">
        <v>68</v>
      </c>
      <c r="AJ866">
        <v>3.4</v>
      </c>
    </row>
    <row r="867" spans="1:36" x14ac:dyDescent="0.25">
      <c r="A867">
        <v>10866</v>
      </c>
      <c r="B867" t="s">
        <v>66</v>
      </c>
      <c r="C867" t="s">
        <v>51</v>
      </c>
      <c r="D867" t="s">
        <v>44</v>
      </c>
      <c r="E867" t="str">
        <f t="shared" si="169"/>
        <v>John Brown is in Sales Department</v>
      </c>
      <c r="F867" s="6" t="str">
        <f t="shared" si="170"/>
        <v>johnbrown@gmail.com</v>
      </c>
      <c r="G867">
        <v>42569</v>
      </c>
      <c r="H867" t="str">
        <f t="shared" si="171"/>
        <v>low</v>
      </c>
      <c r="I867" s="3">
        <v>37736</v>
      </c>
      <c r="J867">
        <f t="shared" si="172"/>
        <v>2003</v>
      </c>
      <c r="K867">
        <f t="shared" si="173"/>
        <v>4</v>
      </c>
      <c r="L867">
        <f t="shared" si="174"/>
        <v>25</v>
      </c>
      <c r="M867" s="3">
        <f t="shared" ca="1" si="175"/>
        <v>46100</v>
      </c>
      <c r="N867">
        <f t="shared" ca="1" si="176"/>
        <v>8364</v>
      </c>
      <c r="O867">
        <f t="shared" ca="1" si="177"/>
        <v>8364</v>
      </c>
      <c r="P867">
        <f t="shared" ca="1" si="178"/>
        <v>5975</v>
      </c>
      <c r="Q867">
        <v>52</v>
      </c>
      <c r="R867" t="str">
        <f t="shared" si="179"/>
        <v>Old</v>
      </c>
      <c r="S867" t="s">
        <v>34</v>
      </c>
      <c r="T867">
        <v>7</v>
      </c>
      <c r="U867" t="s">
        <v>45</v>
      </c>
      <c r="V867">
        <v>4709.47</v>
      </c>
      <c r="W867" t="s">
        <v>26</v>
      </c>
      <c r="X867" t="s">
        <v>36</v>
      </c>
      <c r="Y867">
        <v>29</v>
      </c>
      <c r="Z867" t="str">
        <f t="shared" si="180"/>
        <v>Good Employee</v>
      </c>
      <c r="AA867" t="b">
        <f t="shared" si="181"/>
        <v>1</v>
      </c>
      <c r="AB867" t="b">
        <f>OR(Y867&gt;20, T867&gt;6)</f>
        <v>1</v>
      </c>
      <c r="AC867" t="str">
        <f>IF(OR(Y867&gt;20,T867&gt;6), "Good employee", "Bad Employee")</f>
        <v>Good employee</v>
      </c>
      <c r="AD867" t="s">
        <v>56</v>
      </c>
      <c r="AE867" t="s">
        <v>37</v>
      </c>
      <c r="AF867">
        <v>1</v>
      </c>
      <c r="AG867">
        <v>2014</v>
      </c>
      <c r="AH867" t="s">
        <v>49</v>
      </c>
      <c r="AI867">
        <v>132</v>
      </c>
      <c r="AJ867">
        <v>2.7</v>
      </c>
    </row>
    <row r="868" spans="1:36" x14ac:dyDescent="0.25">
      <c r="A868">
        <v>10867</v>
      </c>
      <c r="B868" t="s">
        <v>38</v>
      </c>
      <c r="C868" t="s">
        <v>32</v>
      </c>
      <c r="D868" t="s">
        <v>33</v>
      </c>
      <c r="E868" t="str">
        <f t="shared" si="169"/>
        <v>Chris Wilson is in Marketing Department</v>
      </c>
      <c r="F868" s="6" t="str">
        <f t="shared" si="170"/>
        <v>chriswilson@gmail.com</v>
      </c>
      <c r="G868">
        <v>32369</v>
      </c>
      <c r="H868" t="str">
        <f t="shared" si="171"/>
        <v>extremely low</v>
      </c>
      <c r="I868" s="3">
        <v>37552</v>
      </c>
      <c r="J868">
        <f t="shared" si="172"/>
        <v>2002</v>
      </c>
      <c r="K868">
        <f t="shared" si="173"/>
        <v>10</v>
      </c>
      <c r="L868">
        <f t="shared" si="174"/>
        <v>23</v>
      </c>
      <c r="M868" s="3">
        <f t="shared" ca="1" si="175"/>
        <v>46100</v>
      </c>
      <c r="N868">
        <f t="shared" ca="1" si="176"/>
        <v>8548</v>
      </c>
      <c r="O868">
        <f t="shared" ca="1" si="177"/>
        <v>8548</v>
      </c>
      <c r="P868">
        <f t="shared" ca="1" si="178"/>
        <v>6107</v>
      </c>
      <c r="Q868">
        <v>50</v>
      </c>
      <c r="R868" t="str">
        <f t="shared" si="179"/>
        <v>Old</v>
      </c>
      <c r="S868" t="s">
        <v>24</v>
      </c>
      <c r="T868">
        <v>1</v>
      </c>
      <c r="U868" t="s">
        <v>25</v>
      </c>
      <c r="V868">
        <v>6080.59</v>
      </c>
      <c r="W868" t="s">
        <v>35</v>
      </c>
      <c r="X868" t="s">
        <v>55</v>
      </c>
      <c r="Y868">
        <v>34</v>
      </c>
      <c r="Z868" t="str">
        <f t="shared" si="180"/>
        <v>Bad Employee</v>
      </c>
      <c r="AA868" t="b">
        <f t="shared" si="181"/>
        <v>0</v>
      </c>
      <c r="AB868" t="b">
        <f>OR(Y868&gt;20, T868&gt;6)</f>
        <v>1</v>
      </c>
      <c r="AC868" t="str">
        <f>IF(OR(Y868&gt;20,T868&gt;6), "Good employee", "Bad Employee")</f>
        <v>Good employee</v>
      </c>
      <c r="AD868" t="s">
        <v>56</v>
      </c>
      <c r="AE868" t="s">
        <v>59</v>
      </c>
      <c r="AF868">
        <v>3</v>
      </c>
      <c r="AG868">
        <v>2015</v>
      </c>
      <c r="AH868" t="s">
        <v>49</v>
      </c>
      <c r="AI868">
        <v>77</v>
      </c>
      <c r="AJ868">
        <v>4.8</v>
      </c>
    </row>
    <row r="869" spans="1:36" x14ac:dyDescent="0.25">
      <c r="A869">
        <v>10868</v>
      </c>
      <c r="B869" t="s">
        <v>64</v>
      </c>
      <c r="C869" t="s">
        <v>51</v>
      </c>
      <c r="D869" t="s">
        <v>52</v>
      </c>
      <c r="E869" t="str">
        <f t="shared" si="169"/>
        <v>Katie Brown is in Operations Department</v>
      </c>
      <c r="F869" s="6" t="str">
        <f t="shared" si="170"/>
        <v>katiebrown@gmail.com</v>
      </c>
      <c r="G869">
        <v>30528</v>
      </c>
      <c r="H869" t="str">
        <f t="shared" si="171"/>
        <v>extremely low</v>
      </c>
      <c r="I869" s="3">
        <v>41930</v>
      </c>
      <c r="J869">
        <f t="shared" si="172"/>
        <v>2014</v>
      </c>
      <c r="K869">
        <f t="shared" si="173"/>
        <v>10</v>
      </c>
      <c r="L869">
        <f t="shared" si="174"/>
        <v>18</v>
      </c>
      <c r="M869" s="3">
        <f t="shared" ca="1" si="175"/>
        <v>46100</v>
      </c>
      <c r="N869">
        <f t="shared" ca="1" si="176"/>
        <v>4170</v>
      </c>
      <c r="O869">
        <f t="shared" ca="1" si="177"/>
        <v>4170</v>
      </c>
      <c r="P869">
        <f t="shared" ca="1" si="178"/>
        <v>2979</v>
      </c>
      <c r="Q869">
        <v>48</v>
      </c>
      <c r="R869" t="str">
        <f t="shared" si="179"/>
        <v>Old</v>
      </c>
      <c r="S869" t="s">
        <v>34</v>
      </c>
      <c r="T869">
        <v>6</v>
      </c>
      <c r="U869" t="s">
        <v>45</v>
      </c>
      <c r="V869">
        <v>9591.49</v>
      </c>
      <c r="W869" t="s">
        <v>35</v>
      </c>
      <c r="X869" t="s">
        <v>27</v>
      </c>
      <c r="Y869">
        <v>12</v>
      </c>
      <c r="Z869" t="str">
        <f t="shared" si="180"/>
        <v>Bad Employee</v>
      </c>
      <c r="AA869" t="b">
        <f t="shared" si="181"/>
        <v>0</v>
      </c>
      <c r="AB869" t="b">
        <f>OR(Y869&gt;20, T869&gt;6)</f>
        <v>0</v>
      </c>
      <c r="AC869" t="str">
        <f>IF(OR(Y869&gt;20,T869&gt;6), "Good employee", "Bad Employee")</f>
        <v>Bad Employee</v>
      </c>
      <c r="AD869" t="s">
        <v>28</v>
      </c>
      <c r="AE869" t="s">
        <v>42</v>
      </c>
      <c r="AF869">
        <v>0</v>
      </c>
      <c r="AG869">
        <v>2023</v>
      </c>
      <c r="AH869" t="s">
        <v>30</v>
      </c>
      <c r="AI869">
        <v>185</v>
      </c>
      <c r="AJ869">
        <v>4.8</v>
      </c>
    </row>
    <row r="870" spans="1:36" x14ac:dyDescent="0.25">
      <c r="A870">
        <v>10869</v>
      </c>
      <c r="B870" t="s">
        <v>50</v>
      </c>
      <c r="C870" t="s">
        <v>51</v>
      </c>
      <c r="D870" t="s">
        <v>23</v>
      </c>
      <c r="E870" t="str">
        <f t="shared" si="169"/>
        <v>Alex Brown is in HR Department</v>
      </c>
      <c r="F870" s="6" t="str">
        <f t="shared" si="170"/>
        <v>alexbrown@gmail.com</v>
      </c>
      <c r="G870">
        <v>60314</v>
      </c>
      <c r="H870" t="str">
        <f t="shared" si="171"/>
        <v>Medium</v>
      </c>
      <c r="I870" s="3">
        <v>40643</v>
      </c>
      <c r="J870">
        <f t="shared" si="172"/>
        <v>2011</v>
      </c>
      <c r="K870">
        <f t="shared" si="173"/>
        <v>4</v>
      </c>
      <c r="L870">
        <f t="shared" si="174"/>
        <v>10</v>
      </c>
      <c r="M870" s="3">
        <f t="shared" ca="1" si="175"/>
        <v>46100</v>
      </c>
      <c r="N870">
        <f t="shared" ca="1" si="176"/>
        <v>5457</v>
      </c>
      <c r="O870">
        <f t="shared" ca="1" si="177"/>
        <v>5457</v>
      </c>
      <c r="P870">
        <f t="shared" ca="1" si="178"/>
        <v>3899</v>
      </c>
      <c r="Q870">
        <v>42</v>
      </c>
      <c r="R870" t="str">
        <f t="shared" si="179"/>
        <v>Old</v>
      </c>
      <c r="S870" t="s">
        <v>34</v>
      </c>
      <c r="T870">
        <v>9</v>
      </c>
      <c r="U870" t="s">
        <v>25</v>
      </c>
      <c r="V870">
        <v>5952.27</v>
      </c>
      <c r="W870" t="s">
        <v>46</v>
      </c>
      <c r="X870" t="s">
        <v>47</v>
      </c>
      <c r="Y870">
        <v>39</v>
      </c>
      <c r="Z870" t="str">
        <f t="shared" si="180"/>
        <v>Good Employee</v>
      </c>
      <c r="AA870" t="b">
        <f t="shared" si="181"/>
        <v>1</v>
      </c>
      <c r="AB870" t="b">
        <f>OR(Y870&gt;20, T870&gt;6)</f>
        <v>1</v>
      </c>
      <c r="AC870" t="str">
        <f>IF(OR(Y870&gt;20,T870&gt;6), "Good employee", "Bad Employee")</f>
        <v>Good employee</v>
      </c>
      <c r="AD870" t="s">
        <v>28</v>
      </c>
      <c r="AE870" t="s">
        <v>59</v>
      </c>
      <c r="AF870">
        <v>18</v>
      </c>
      <c r="AG870">
        <v>2015</v>
      </c>
      <c r="AH870" t="s">
        <v>43</v>
      </c>
      <c r="AI870">
        <v>94</v>
      </c>
      <c r="AJ870">
        <v>3</v>
      </c>
    </row>
    <row r="871" spans="1:36" x14ac:dyDescent="0.25">
      <c r="A871">
        <v>10870</v>
      </c>
      <c r="B871" t="s">
        <v>64</v>
      </c>
      <c r="C871" t="s">
        <v>32</v>
      </c>
      <c r="D871" t="s">
        <v>39</v>
      </c>
      <c r="E871" t="str">
        <f t="shared" si="169"/>
        <v>Katie Wilson is in IT Department</v>
      </c>
      <c r="F871" s="6" t="str">
        <f t="shared" si="170"/>
        <v>katiewilson@gmail.com</v>
      </c>
      <c r="G871">
        <v>48047</v>
      </c>
      <c r="H871" t="str">
        <f t="shared" si="171"/>
        <v>low</v>
      </c>
      <c r="I871" s="3">
        <v>40787</v>
      </c>
      <c r="J871">
        <f t="shared" si="172"/>
        <v>2011</v>
      </c>
      <c r="K871">
        <f t="shared" si="173"/>
        <v>9</v>
      </c>
      <c r="L871">
        <f t="shared" si="174"/>
        <v>1</v>
      </c>
      <c r="M871" s="3">
        <f t="shared" ca="1" si="175"/>
        <v>46100</v>
      </c>
      <c r="N871">
        <f t="shared" ca="1" si="176"/>
        <v>5313</v>
      </c>
      <c r="O871">
        <f t="shared" ca="1" si="177"/>
        <v>5313</v>
      </c>
      <c r="P871">
        <f t="shared" ca="1" si="178"/>
        <v>3796</v>
      </c>
      <c r="Q871">
        <v>30</v>
      </c>
      <c r="R871" t="str">
        <f t="shared" si="179"/>
        <v>Young</v>
      </c>
      <c r="S871" t="s">
        <v>34</v>
      </c>
      <c r="T871">
        <v>6</v>
      </c>
      <c r="U871" t="s">
        <v>25</v>
      </c>
      <c r="V871">
        <v>2008.12</v>
      </c>
      <c r="W871" t="s">
        <v>26</v>
      </c>
      <c r="X871" t="s">
        <v>47</v>
      </c>
      <c r="Y871">
        <v>32</v>
      </c>
      <c r="Z871" t="str">
        <f t="shared" si="180"/>
        <v>Bad Employee</v>
      </c>
      <c r="AA871" t="b">
        <f t="shared" si="181"/>
        <v>0</v>
      </c>
      <c r="AB871" t="b">
        <f>OR(Y871&gt;20, T871&gt;6)</f>
        <v>1</v>
      </c>
      <c r="AC871" t="str">
        <f>IF(OR(Y871&gt;20,T871&gt;6), "Good employee", "Bad Employee")</f>
        <v>Good employee</v>
      </c>
      <c r="AD871" t="s">
        <v>41</v>
      </c>
      <c r="AE871" t="s">
        <v>42</v>
      </c>
      <c r="AF871">
        <v>10</v>
      </c>
      <c r="AG871">
        <v>2019</v>
      </c>
      <c r="AH871" t="s">
        <v>30</v>
      </c>
      <c r="AI871">
        <v>11</v>
      </c>
      <c r="AJ871">
        <v>3.2</v>
      </c>
    </row>
    <row r="872" spans="1:36" x14ac:dyDescent="0.25">
      <c r="A872">
        <v>10871</v>
      </c>
      <c r="B872" t="s">
        <v>38</v>
      </c>
      <c r="C872" t="s">
        <v>65</v>
      </c>
      <c r="D872" t="s">
        <v>33</v>
      </c>
      <c r="E872" t="str">
        <f t="shared" si="169"/>
        <v>Chris Johnson is in Marketing Department</v>
      </c>
      <c r="F872" s="6" t="str">
        <f t="shared" si="170"/>
        <v>chrisjohnson@gmail.com</v>
      </c>
      <c r="G872">
        <v>49748</v>
      </c>
      <c r="H872" t="str">
        <f t="shared" si="171"/>
        <v>low</v>
      </c>
      <c r="I872" s="3">
        <v>41955</v>
      </c>
      <c r="J872">
        <f t="shared" si="172"/>
        <v>2014</v>
      </c>
      <c r="K872">
        <f t="shared" si="173"/>
        <v>11</v>
      </c>
      <c r="L872">
        <f t="shared" si="174"/>
        <v>12</v>
      </c>
      <c r="M872" s="3">
        <f t="shared" ca="1" si="175"/>
        <v>46100</v>
      </c>
      <c r="N872">
        <f t="shared" ca="1" si="176"/>
        <v>4145</v>
      </c>
      <c r="O872">
        <f t="shared" ca="1" si="177"/>
        <v>4145</v>
      </c>
      <c r="P872">
        <f t="shared" ca="1" si="178"/>
        <v>2962</v>
      </c>
      <c r="Q872">
        <v>41</v>
      </c>
      <c r="R872" t="str">
        <f t="shared" si="179"/>
        <v>Old</v>
      </c>
      <c r="S872" t="s">
        <v>34</v>
      </c>
      <c r="T872">
        <v>4</v>
      </c>
      <c r="U872" t="s">
        <v>45</v>
      </c>
      <c r="V872">
        <v>5416.65</v>
      </c>
      <c r="W872" t="s">
        <v>58</v>
      </c>
      <c r="X872" t="s">
        <v>47</v>
      </c>
      <c r="Y872">
        <v>6</v>
      </c>
      <c r="Z872" t="str">
        <f t="shared" si="180"/>
        <v>Bad Employee</v>
      </c>
      <c r="AA872" t="b">
        <f t="shared" si="181"/>
        <v>0</v>
      </c>
      <c r="AB872" t="b">
        <f>OR(Y872&gt;20, T872&gt;6)</f>
        <v>0</v>
      </c>
      <c r="AC872" t="str">
        <f>IF(OR(Y872&gt;20,T872&gt;6), "Good employee", "Bad Employee")</f>
        <v>Bad Employee</v>
      </c>
      <c r="AD872" t="s">
        <v>56</v>
      </c>
      <c r="AE872" t="s">
        <v>48</v>
      </c>
      <c r="AF872">
        <v>5</v>
      </c>
      <c r="AG872">
        <v>2022</v>
      </c>
      <c r="AH872" t="s">
        <v>30</v>
      </c>
      <c r="AI872">
        <v>11</v>
      </c>
      <c r="AJ872">
        <v>3.9</v>
      </c>
    </row>
    <row r="873" spans="1:36" x14ac:dyDescent="0.25">
      <c r="A873">
        <v>10872</v>
      </c>
      <c r="B873" t="s">
        <v>53</v>
      </c>
      <c r="C873" t="s">
        <v>63</v>
      </c>
      <c r="D873" t="s">
        <v>52</v>
      </c>
      <c r="E873" t="str">
        <f t="shared" si="169"/>
        <v>Sarah Miller is in Operations Department</v>
      </c>
      <c r="F873" s="6" t="str">
        <f t="shared" si="170"/>
        <v>sarahmiller@gmail.com</v>
      </c>
      <c r="G873">
        <v>65109</v>
      </c>
      <c r="H873" t="str">
        <f t="shared" si="171"/>
        <v>Medium</v>
      </c>
      <c r="I873" s="3">
        <v>43544</v>
      </c>
      <c r="J873">
        <f t="shared" si="172"/>
        <v>2019</v>
      </c>
      <c r="K873">
        <f t="shared" si="173"/>
        <v>3</v>
      </c>
      <c r="L873">
        <f t="shared" si="174"/>
        <v>20</v>
      </c>
      <c r="M873" s="3">
        <f t="shared" ca="1" si="175"/>
        <v>46100</v>
      </c>
      <c r="N873">
        <f t="shared" ca="1" si="176"/>
        <v>2556</v>
      </c>
      <c r="O873">
        <f t="shared" ca="1" si="177"/>
        <v>2556</v>
      </c>
      <c r="P873">
        <f t="shared" ca="1" si="178"/>
        <v>1827</v>
      </c>
      <c r="Q873">
        <v>56</v>
      </c>
      <c r="R873" t="str">
        <f t="shared" si="179"/>
        <v>Old</v>
      </c>
      <c r="S873" t="s">
        <v>24</v>
      </c>
      <c r="T873">
        <v>9</v>
      </c>
      <c r="U873" t="s">
        <v>25</v>
      </c>
      <c r="V873">
        <v>4259.95</v>
      </c>
      <c r="W873" t="s">
        <v>46</v>
      </c>
      <c r="X873" t="s">
        <v>36</v>
      </c>
      <c r="Y873">
        <v>17</v>
      </c>
      <c r="Z873" t="str">
        <f t="shared" si="180"/>
        <v>Bad Employee</v>
      </c>
      <c r="AA873" t="b">
        <f t="shared" si="181"/>
        <v>0</v>
      </c>
      <c r="AB873" t="b">
        <f>OR(Y873&gt;20, T873&gt;6)</f>
        <v>1</v>
      </c>
      <c r="AC873" t="str">
        <f>IF(OR(Y873&gt;20,T873&gt;6), "Good employee", "Bad Employee")</f>
        <v>Good employee</v>
      </c>
      <c r="AD873" t="s">
        <v>56</v>
      </c>
      <c r="AE873" t="s">
        <v>37</v>
      </c>
      <c r="AF873">
        <v>18</v>
      </c>
      <c r="AG873">
        <v>2022</v>
      </c>
      <c r="AH873" t="s">
        <v>30</v>
      </c>
      <c r="AI873">
        <v>126</v>
      </c>
      <c r="AJ873">
        <v>2.8</v>
      </c>
    </row>
    <row r="874" spans="1:36" x14ac:dyDescent="0.25">
      <c r="A874">
        <v>10873</v>
      </c>
      <c r="B874" t="s">
        <v>60</v>
      </c>
      <c r="C874" t="s">
        <v>22</v>
      </c>
      <c r="D874" t="s">
        <v>54</v>
      </c>
      <c r="E874" t="str">
        <f t="shared" si="169"/>
        <v>Jane Williams is in Finance Department</v>
      </c>
      <c r="F874" s="6" t="str">
        <f t="shared" si="170"/>
        <v>janewilliams@gmail.com</v>
      </c>
      <c r="G874">
        <v>43919</v>
      </c>
      <c r="H874" t="str">
        <f t="shared" si="171"/>
        <v>low</v>
      </c>
      <c r="I874" s="3">
        <v>42122</v>
      </c>
      <c r="J874">
        <f t="shared" si="172"/>
        <v>2015</v>
      </c>
      <c r="K874">
        <f t="shared" si="173"/>
        <v>4</v>
      </c>
      <c r="L874">
        <f t="shared" si="174"/>
        <v>28</v>
      </c>
      <c r="M874" s="3">
        <f t="shared" ca="1" si="175"/>
        <v>46100</v>
      </c>
      <c r="N874">
        <f t="shared" ca="1" si="176"/>
        <v>3978</v>
      </c>
      <c r="O874">
        <f t="shared" ca="1" si="177"/>
        <v>3978</v>
      </c>
      <c r="P874">
        <f t="shared" ca="1" si="178"/>
        <v>2843</v>
      </c>
      <c r="Q874">
        <v>36</v>
      </c>
      <c r="R874" t="str">
        <f t="shared" si="179"/>
        <v>Old</v>
      </c>
      <c r="S874" t="s">
        <v>24</v>
      </c>
      <c r="T874">
        <v>3</v>
      </c>
      <c r="U874" t="s">
        <v>25</v>
      </c>
      <c r="V874">
        <v>5053.88</v>
      </c>
      <c r="W874" t="s">
        <v>46</v>
      </c>
      <c r="X874" t="s">
        <v>55</v>
      </c>
      <c r="Y874">
        <v>32</v>
      </c>
      <c r="Z874" t="str">
        <f t="shared" si="180"/>
        <v>Bad Employee</v>
      </c>
      <c r="AA874" t="b">
        <f t="shared" si="181"/>
        <v>0</v>
      </c>
      <c r="AB874" t="b">
        <f>OR(Y874&gt;20, T874&gt;6)</f>
        <v>1</v>
      </c>
      <c r="AC874" t="str">
        <f>IF(OR(Y874&gt;20,T874&gt;6), "Good employee", "Bad Employee")</f>
        <v>Good employee</v>
      </c>
      <c r="AD874" t="s">
        <v>28</v>
      </c>
      <c r="AE874" t="s">
        <v>42</v>
      </c>
      <c r="AF874">
        <v>13</v>
      </c>
      <c r="AG874">
        <v>2018</v>
      </c>
      <c r="AH874" t="s">
        <v>30</v>
      </c>
      <c r="AI874">
        <v>168</v>
      </c>
      <c r="AJ874">
        <v>1.8</v>
      </c>
    </row>
    <row r="875" spans="1:36" x14ac:dyDescent="0.25">
      <c r="A875">
        <v>10874</v>
      </c>
      <c r="B875" t="s">
        <v>66</v>
      </c>
      <c r="C875" t="s">
        <v>61</v>
      </c>
      <c r="D875" t="s">
        <v>33</v>
      </c>
      <c r="E875" t="str">
        <f t="shared" si="169"/>
        <v>John Smith is in Marketing Department</v>
      </c>
      <c r="F875" s="6" t="str">
        <f t="shared" si="170"/>
        <v>johnsmith@gmail.com</v>
      </c>
      <c r="G875">
        <v>77498</v>
      </c>
      <c r="H875" t="str">
        <f t="shared" si="171"/>
        <v>Medium</v>
      </c>
      <c r="I875" s="3">
        <v>37023</v>
      </c>
      <c r="J875">
        <f t="shared" si="172"/>
        <v>2001</v>
      </c>
      <c r="K875">
        <f t="shared" si="173"/>
        <v>5</v>
      </c>
      <c r="L875">
        <f t="shared" si="174"/>
        <v>12</v>
      </c>
      <c r="M875" s="3">
        <f t="shared" ca="1" si="175"/>
        <v>46100</v>
      </c>
      <c r="N875">
        <f t="shared" ca="1" si="176"/>
        <v>9077</v>
      </c>
      <c r="O875">
        <f t="shared" ca="1" si="177"/>
        <v>9077</v>
      </c>
      <c r="P875">
        <f t="shared" ca="1" si="178"/>
        <v>6484</v>
      </c>
      <c r="Q875">
        <v>45</v>
      </c>
      <c r="R875" t="str">
        <f t="shared" si="179"/>
        <v>Old</v>
      </c>
      <c r="S875" t="s">
        <v>34</v>
      </c>
      <c r="T875">
        <v>4</v>
      </c>
      <c r="U875" t="s">
        <v>45</v>
      </c>
      <c r="V875">
        <v>2372.42</v>
      </c>
      <c r="W875" t="s">
        <v>35</v>
      </c>
      <c r="X875" t="s">
        <v>47</v>
      </c>
      <c r="Y875">
        <v>8</v>
      </c>
      <c r="Z875" t="str">
        <f t="shared" si="180"/>
        <v>Bad Employee</v>
      </c>
      <c r="AA875" t="b">
        <f t="shared" si="181"/>
        <v>0</v>
      </c>
      <c r="AB875" t="b">
        <f>OR(Y875&gt;20, T875&gt;6)</f>
        <v>0</v>
      </c>
      <c r="AC875" t="str">
        <f>IF(OR(Y875&gt;20,T875&gt;6), "Good employee", "Bad Employee")</f>
        <v>Bad Employee</v>
      </c>
      <c r="AD875" t="s">
        <v>56</v>
      </c>
      <c r="AE875" t="s">
        <v>37</v>
      </c>
      <c r="AF875">
        <v>18</v>
      </c>
      <c r="AG875">
        <v>2010</v>
      </c>
      <c r="AH875" t="s">
        <v>30</v>
      </c>
      <c r="AI875">
        <v>120</v>
      </c>
      <c r="AJ875">
        <v>4</v>
      </c>
    </row>
    <row r="876" spans="1:36" x14ac:dyDescent="0.25">
      <c r="A876">
        <v>10875</v>
      </c>
      <c r="B876" t="s">
        <v>60</v>
      </c>
      <c r="C876" t="s">
        <v>57</v>
      </c>
      <c r="D876" t="s">
        <v>52</v>
      </c>
      <c r="E876" t="str">
        <f t="shared" si="169"/>
        <v>Jane Davis is in Operations Department</v>
      </c>
      <c r="F876" s="6" t="str">
        <f t="shared" si="170"/>
        <v>janedavis@gmail.com</v>
      </c>
      <c r="G876">
        <v>85808</v>
      </c>
      <c r="H876" t="str">
        <f t="shared" si="171"/>
        <v>High</v>
      </c>
      <c r="I876" s="3">
        <v>41055</v>
      </c>
      <c r="J876">
        <f t="shared" si="172"/>
        <v>2012</v>
      </c>
      <c r="K876">
        <f t="shared" si="173"/>
        <v>5</v>
      </c>
      <c r="L876">
        <f t="shared" si="174"/>
        <v>26</v>
      </c>
      <c r="M876" s="3">
        <f t="shared" ca="1" si="175"/>
        <v>46100</v>
      </c>
      <c r="N876">
        <f t="shared" ca="1" si="176"/>
        <v>5045</v>
      </c>
      <c r="O876">
        <f t="shared" ca="1" si="177"/>
        <v>5045</v>
      </c>
      <c r="P876">
        <f t="shared" ca="1" si="178"/>
        <v>3604</v>
      </c>
      <c r="Q876">
        <v>37</v>
      </c>
      <c r="R876" t="str">
        <f t="shared" si="179"/>
        <v>Old</v>
      </c>
      <c r="S876" t="s">
        <v>24</v>
      </c>
      <c r="T876">
        <v>4</v>
      </c>
      <c r="U876" t="s">
        <v>45</v>
      </c>
      <c r="V876">
        <v>5257.86</v>
      </c>
      <c r="W876" t="s">
        <v>46</v>
      </c>
      <c r="X876" t="s">
        <v>47</v>
      </c>
      <c r="Y876">
        <v>38</v>
      </c>
      <c r="Z876" t="str">
        <f t="shared" si="180"/>
        <v>Bad Employee</v>
      </c>
      <c r="AA876" t="b">
        <f t="shared" si="181"/>
        <v>0</v>
      </c>
      <c r="AB876" t="b">
        <f>OR(Y876&gt;20, T876&gt;6)</f>
        <v>1</v>
      </c>
      <c r="AC876" t="str">
        <f>IF(OR(Y876&gt;20,T876&gt;6), "Good employee", "Bad Employee")</f>
        <v>Good employee</v>
      </c>
      <c r="AD876" t="s">
        <v>56</v>
      </c>
      <c r="AE876" t="s">
        <v>37</v>
      </c>
      <c r="AF876">
        <v>12</v>
      </c>
      <c r="AG876">
        <v>2018</v>
      </c>
      <c r="AH876" t="s">
        <v>30</v>
      </c>
      <c r="AI876">
        <v>17</v>
      </c>
      <c r="AJ876">
        <v>4</v>
      </c>
    </row>
    <row r="877" spans="1:36" x14ac:dyDescent="0.25">
      <c r="A877">
        <v>10876</v>
      </c>
      <c r="B877" t="s">
        <v>50</v>
      </c>
      <c r="C877" t="s">
        <v>32</v>
      </c>
      <c r="D877" t="s">
        <v>23</v>
      </c>
      <c r="E877" t="str">
        <f t="shared" si="169"/>
        <v>Alex Wilson is in HR Department</v>
      </c>
      <c r="F877" s="6" t="str">
        <f t="shared" si="170"/>
        <v>alexwilson@gmail.com</v>
      </c>
      <c r="G877">
        <v>110792</v>
      </c>
      <c r="H877" t="str">
        <f t="shared" si="171"/>
        <v>High</v>
      </c>
      <c r="I877" s="3">
        <v>39331</v>
      </c>
      <c r="J877">
        <f t="shared" si="172"/>
        <v>2007</v>
      </c>
      <c r="K877">
        <f t="shared" si="173"/>
        <v>9</v>
      </c>
      <c r="L877">
        <f t="shared" si="174"/>
        <v>6</v>
      </c>
      <c r="M877" s="3">
        <f t="shared" ca="1" si="175"/>
        <v>46100</v>
      </c>
      <c r="N877">
        <f t="shared" ca="1" si="176"/>
        <v>6769</v>
      </c>
      <c r="O877">
        <f t="shared" ca="1" si="177"/>
        <v>6769</v>
      </c>
      <c r="P877">
        <f t="shared" ca="1" si="178"/>
        <v>4836</v>
      </c>
      <c r="Q877">
        <v>57</v>
      </c>
      <c r="R877" t="str">
        <f t="shared" si="179"/>
        <v>Old</v>
      </c>
      <c r="S877" t="s">
        <v>34</v>
      </c>
      <c r="T877">
        <v>4</v>
      </c>
      <c r="U877" t="s">
        <v>25</v>
      </c>
      <c r="V877">
        <v>1925.38</v>
      </c>
      <c r="W877" t="s">
        <v>58</v>
      </c>
      <c r="X877" t="s">
        <v>36</v>
      </c>
      <c r="Y877">
        <v>29</v>
      </c>
      <c r="Z877" t="str">
        <f t="shared" si="180"/>
        <v>Bad Employee</v>
      </c>
      <c r="AA877" t="b">
        <f t="shared" si="181"/>
        <v>0</v>
      </c>
      <c r="AB877" t="b">
        <f>OR(Y877&gt;20, T877&gt;6)</f>
        <v>1</v>
      </c>
      <c r="AC877" t="str">
        <f>IF(OR(Y877&gt;20,T877&gt;6), "Good employee", "Bad Employee")</f>
        <v>Good employee</v>
      </c>
      <c r="AD877" t="s">
        <v>56</v>
      </c>
      <c r="AE877" t="s">
        <v>62</v>
      </c>
      <c r="AF877">
        <v>11</v>
      </c>
      <c r="AG877">
        <v>2013</v>
      </c>
      <c r="AH877" t="s">
        <v>30</v>
      </c>
      <c r="AI877">
        <v>199</v>
      </c>
      <c r="AJ877">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74F90-2B95-4D31-ABE7-C8B205753802}">
  <dimension ref="A1:AHA40"/>
  <sheetViews>
    <sheetView workbookViewId="0">
      <selection activeCell="F40" sqref="F40"/>
    </sheetView>
  </sheetViews>
  <sheetFormatPr defaultRowHeight="15" x14ac:dyDescent="0.25"/>
  <cols>
    <col min="4" max="4" width="9.7109375" bestFit="1" customWidth="1"/>
  </cols>
  <sheetData>
    <row r="1" spans="1:885" x14ac:dyDescent="0.25">
      <c r="A1" s="1" t="s">
        <v>0</v>
      </c>
      <c r="B1">
        <v>10001</v>
      </c>
      <c r="C1">
        <v>10002</v>
      </c>
      <c r="D1">
        <v>10003</v>
      </c>
      <c r="E1">
        <v>10004</v>
      </c>
      <c r="F1">
        <v>10005</v>
      </c>
      <c r="G1">
        <v>10006</v>
      </c>
      <c r="H1">
        <v>10007</v>
      </c>
      <c r="I1">
        <v>10008</v>
      </c>
      <c r="J1">
        <v>10009</v>
      </c>
      <c r="K1">
        <v>10010</v>
      </c>
      <c r="L1">
        <v>10011</v>
      </c>
      <c r="M1">
        <v>10012</v>
      </c>
      <c r="N1">
        <v>10013</v>
      </c>
      <c r="O1">
        <v>10014</v>
      </c>
      <c r="P1">
        <v>10015</v>
      </c>
      <c r="Q1">
        <v>10016</v>
      </c>
      <c r="R1">
        <v>10017</v>
      </c>
      <c r="S1">
        <v>10018</v>
      </c>
      <c r="T1">
        <v>10019</v>
      </c>
      <c r="U1">
        <v>10020</v>
      </c>
      <c r="V1">
        <v>10021</v>
      </c>
      <c r="W1">
        <v>10022</v>
      </c>
      <c r="X1">
        <v>10023</v>
      </c>
      <c r="Y1">
        <v>10024</v>
      </c>
      <c r="Z1">
        <v>10025</v>
      </c>
      <c r="AA1">
        <v>10026</v>
      </c>
      <c r="AB1">
        <v>10027</v>
      </c>
      <c r="AC1">
        <v>10028</v>
      </c>
      <c r="AD1">
        <v>10029</v>
      </c>
      <c r="AE1">
        <v>10030</v>
      </c>
      <c r="AF1">
        <v>10031</v>
      </c>
      <c r="AG1">
        <v>10032</v>
      </c>
      <c r="AH1">
        <v>10033</v>
      </c>
      <c r="AI1">
        <v>10034</v>
      </c>
      <c r="AJ1">
        <v>10035</v>
      </c>
      <c r="AK1">
        <v>10036</v>
      </c>
      <c r="AL1">
        <v>10037</v>
      </c>
      <c r="AM1">
        <v>10038</v>
      </c>
      <c r="AN1">
        <v>10039</v>
      </c>
      <c r="AO1">
        <v>10040</v>
      </c>
      <c r="AP1">
        <v>10041</v>
      </c>
      <c r="AQ1">
        <v>10042</v>
      </c>
      <c r="AR1">
        <v>10043</v>
      </c>
      <c r="AS1">
        <v>10044</v>
      </c>
      <c r="AT1">
        <v>10045</v>
      </c>
      <c r="AU1">
        <v>10046</v>
      </c>
      <c r="AV1">
        <v>10047</v>
      </c>
      <c r="AW1">
        <v>10048</v>
      </c>
      <c r="AX1">
        <v>10049</v>
      </c>
      <c r="AY1">
        <v>10050</v>
      </c>
      <c r="AZ1">
        <v>10051</v>
      </c>
      <c r="BA1">
        <v>10052</v>
      </c>
      <c r="BB1">
        <v>10053</v>
      </c>
      <c r="BC1">
        <v>10054</v>
      </c>
      <c r="BD1">
        <v>10055</v>
      </c>
      <c r="BE1">
        <v>10056</v>
      </c>
      <c r="BF1">
        <v>10057</v>
      </c>
      <c r="BG1">
        <v>10058</v>
      </c>
      <c r="BH1">
        <v>10059</v>
      </c>
      <c r="BI1">
        <v>10060</v>
      </c>
      <c r="BJ1">
        <v>10061</v>
      </c>
      <c r="BK1">
        <v>10062</v>
      </c>
      <c r="BL1">
        <v>10063</v>
      </c>
      <c r="BM1">
        <v>10064</v>
      </c>
      <c r="BN1">
        <v>10065</v>
      </c>
      <c r="BO1">
        <v>10066</v>
      </c>
      <c r="BP1">
        <v>10067</v>
      </c>
      <c r="BQ1">
        <v>10068</v>
      </c>
      <c r="BR1">
        <v>10069</v>
      </c>
      <c r="BS1">
        <v>10070</v>
      </c>
      <c r="BT1">
        <v>10071</v>
      </c>
      <c r="BU1">
        <v>10072</v>
      </c>
      <c r="BV1">
        <v>10073</v>
      </c>
      <c r="BW1">
        <v>10074</v>
      </c>
      <c r="BX1">
        <v>10075</v>
      </c>
      <c r="BY1">
        <v>10076</v>
      </c>
      <c r="BZ1">
        <v>10077</v>
      </c>
      <c r="CA1">
        <v>10078</v>
      </c>
      <c r="CB1">
        <v>10079</v>
      </c>
      <c r="CC1">
        <v>10080</v>
      </c>
      <c r="CD1">
        <v>10081</v>
      </c>
      <c r="CE1">
        <v>10082</v>
      </c>
      <c r="CF1">
        <v>10083</v>
      </c>
      <c r="CG1">
        <v>10084</v>
      </c>
      <c r="CH1">
        <v>10085</v>
      </c>
      <c r="CI1">
        <v>10086</v>
      </c>
      <c r="CJ1">
        <v>10087</v>
      </c>
      <c r="CK1">
        <v>10088</v>
      </c>
      <c r="CL1">
        <v>10089</v>
      </c>
      <c r="CM1">
        <v>10090</v>
      </c>
      <c r="CN1">
        <v>10091</v>
      </c>
      <c r="CO1">
        <v>10092</v>
      </c>
      <c r="CP1">
        <v>10093</v>
      </c>
      <c r="CQ1">
        <v>10094</v>
      </c>
      <c r="CR1">
        <v>10095</v>
      </c>
      <c r="CS1">
        <v>10096</v>
      </c>
      <c r="CT1">
        <v>10097</v>
      </c>
      <c r="CU1">
        <v>10098</v>
      </c>
      <c r="CV1">
        <v>10099</v>
      </c>
      <c r="CW1">
        <v>10100</v>
      </c>
      <c r="CX1">
        <v>10101</v>
      </c>
      <c r="CY1">
        <v>10102</v>
      </c>
      <c r="CZ1">
        <v>10103</v>
      </c>
      <c r="DA1">
        <v>10104</v>
      </c>
      <c r="DB1">
        <v>10105</v>
      </c>
      <c r="DC1">
        <v>10106</v>
      </c>
      <c r="DD1">
        <v>10107</v>
      </c>
      <c r="DE1">
        <v>10108</v>
      </c>
      <c r="DF1">
        <v>10109</v>
      </c>
      <c r="DG1">
        <v>10110</v>
      </c>
      <c r="DH1">
        <v>10111</v>
      </c>
      <c r="DI1">
        <v>10112</v>
      </c>
      <c r="DJ1">
        <v>10113</v>
      </c>
      <c r="DK1">
        <v>10114</v>
      </c>
      <c r="DL1">
        <v>10115</v>
      </c>
      <c r="DM1">
        <v>10116</v>
      </c>
      <c r="DN1">
        <v>10117</v>
      </c>
      <c r="DO1">
        <v>10118</v>
      </c>
      <c r="DP1">
        <v>10119</v>
      </c>
      <c r="DQ1">
        <v>10120</v>
      </c>
      <c r="DR1">
        <v>10121</v>
      </c>
      <c r="DS1">
        <v>10122</v>
      </c>
      <c r="DT1">
        <v>10123</v>
      </c>
      <c r="DU1">
        <v>10124</v>
      </c>
      <c r="DV1">
        <v>10125</v>
      </c>
      <c r="DW1">
        <v>10126</v>
      </c>
      <c r="DX1">
        <v>10127</v>
      </c>
      <c r="DY1">
        <v>10128</v>
      </c>
      <c r="DZ1">
        <v>10129</v>
      </c>
      <c r="EA1">
        <v>10130</v>
      </c>
      <c r="EB1">
        <v>10131</v>
      </c>
      <c r="EC1">
        <v>10132</v>
      </c>
      <c r="ED1">
        <v>10133</v>
      </c>
      <c r="EE1">
        <v>10134</v>
      </c>
      <c r="EF1">
        <v>10135</v>
      </c>
      <c r="EG1">
        <v>10136</v>
      </c>
      <c r="EH1">
        <v>10137</v>
      </c>
      <c r="EI1">
        <v>10138</v>
      </c>
      <c r="EJ1">
        <v>10139</v>
      </c>
      <c r="EK1">
        <v>10140</v>
      </c>
      <c r="EL1">
        <v>10141</v>
      </c>
      <c r="EM1">
        <v>10142</v>
      </c>
      <c r="EN1">
        <v>10143</v>
      </c>
      <c r="EO1">
        <v>10144</v>
      </c>
      <c r="EP1">
        <v>10145</v>
      </c>
      <c r="EQ1">
        <v>10146</v>
      </c>
      <c r="ER1">
        <v>10147</v>
      </c>
      <c r="ES1">
        <v>10148</v>
      </c>
      <c r="ET1">
        <v>10149</v>
      </c>
      <c r="EU1">
        <v>10150</v>
      </c>
      <c r="EV1">
        <v>10151</v>
      </c>
      <c r="EW1">
        <v>10152</v>
      </c>
      <c r="EX1">
        <v>10153</v>
      </c>
      <c r="EY1">
        <v>10154</v>
      </c>
      <c r="EZ1">
        <v>10155</v>
      </c>
      <c r="FA1">
        <v>10156</v>
      </c>
      <c r="FB1">
        <v>10157</v>
      </c>
      <c r="FC1">
        <v>10158</v>
      </c>
      <c r="FD1">
        <v>10159</v>
      </c>
      <c r="FE1">
        <v>10160</v>
      </c>
      <c r="FF1">
        <v>10161</v>
      </c>
      <c r="FG1">
        <v>10162</v>
      </c>
      <c r="FH1">
        <v>10163</v>
      </c>
      <c r="FI1">
        <v>10164</v>
      </c>
      <c r="FJ1">
        <v>10165</v>
      </c>
      <c r="FK1">
        <v>10166</v>
      </c>
      <c r="FL1">
        <v>10167</v>
      </c>
      <c r="FM1">
        <v>10168</v>
      </c>
      <c r="FN1">
        <v>10169</v>
      </c>
      <c r="FO1">
        <v>10170</v>
      </c>
      <c r="FP1">
        <v>10171</v>
      </c>
      <c r="FQ1">
        <v>10172</v>
      </c>
      <c r="FR1">
        <v>10173</v>
      </c>
      <c r="FS1">
        <v>10174</v>
      </c>
      <c r="FT1">
        <v>10175</v>
      </c>
      <c r="FU1">
        <v>10176</v>
      </c>
      <c r="FV1">
        <v>10177</v>
      </c>
      <c r="FW1">
        <v>10178</v>
      </c>
      <c r="FX1">
        <v>10179</v>
      </c>
      <c r="FY1">
        <v>10180</v>
      </c>
      <c r="FZ1">
        <v>10181</v>
      </c>
      <c r="GA1">
        <v>10182</v>
      </c>
      <c r="GB1">
        <v>10183</v>
      </c>
      <c r="GC1">
        <v>10184</v>
      </c>
      <c r="GD1">
        <v>10185</v>
      </c>
      <c r="GE1">
        <v>10186</v>
      </c>
      <c r="GF1">
        <v>10187</v>
      </c>
      <c r="GG1">
        <v>10188</v>
      </c>
      <c r="GH1">
        <v>10189</v>
      </c>
      <c r="GI1">
        <v>10190</v>
      </c>
      <c r="GJ1">
        <v>10191</v>
      </c>
      <c r="GK1">
        <v>10192</v>
      </c>
      <c r="GL1">
        <v>10193</v>
      </c>
      <c r="GM1">
        <v>10194</v>
      </c>
      <c r="GN1">
        <v>10195</v>
      </c>
      <c r="GO1">
        <v>10196</v>
      </c>
      <c r="GP1">
        <v>10197</v>
      </c>
      <c r="GQ1">
        <v>10198</v>
      </c>
      <c r="GR1">
        <v>10199</v>
      </c>
      <c r="GS1">
        <v>10200</v>
      </c>
      <c r="GT1">
        <v>10201</v>
      </c>
      <c r="GU1">
        <v>10202</v>
      </c>
      <c r="GV1">
        <v>10203</v>
      </c>
      <c r="GW1">
        <v>10204</v>
      </c>
      <c r="GX1">
        <v>10205</v>
      </c>
      <c r="GY1">
        <v>10206</v>
      </c>
      <c r="GZ1">
        <v>10207</v>
      </c>
      <c r="HA1">
        <v>10208</v>
      </c>
      <c r="HB1">
        <v>10209</v>
      </c>
      <c r="HC1">
        <v>10210</v>
      </c>
      <c r="HD1">
        <v>10211</v>
      </c>
      <c r="HE1">
        <v>10212</v>
      </c>
      <c r="HF1">
        <v>10213</v>
      </c>
      <c r="HG1">
        <v>10214</v>
      </c>
      <c r="HH1">
        <v>10215</v>
      </c>
      <c r="HI1">
        <v>10216</v>
      </c>
      <c r="HJ1">
        <v>10217</v>
      </c>
      <c r="HK1">
        <v>10218</v>
      </c>
      <c r="HL1">
        <v>10219</v>
      </c>
      <c r="HM1">
        <v>10220</v>
      </c>
      <c r="HN1">
        <v>10221</v>
      </c>
      <c r="HO1">
        <v>10222</v>
      </c>
      <c r="HP1">
        <v>10223</v>
      </c>
      <c r="HQ1">
        <v>10224</v>
      </c>
      <c r="HR1">
        <v>10225</v>
      </c>
      <c r="HS1">
        <v>10226</v>
      </c>
      <c r="HT1">
        <v>10227</v>
      </c>
      <c r="HU1">
        <v>10228</v>
      </c>
      <c r="HV1">
        <v>10229</v>
      </c>
      <c r="HW1">
        <v>10230</v>
      </c>
      <c r="HX1">
        <v>10231</v>
      </c>
      <c r="HY1">
        <v>10232</v>
      </c>
      <c r="HZ1">
        <v>10233</v>
      </c>
      <c r="IA1">
        <v>10234</v>
      </c>
      <c r="IB1">
        <v>10235</v>
      </c>
      <c r="IC1">
        <v>10236</v>
      </c>
      <c r="ID1">
        <v>10237</v>
      </c>
      <c r="IE1">
        <v>10238</v>
      </c>
      <c r="IF1">
        <v>10239</v>
      </c>
      <c r="IG1">
        <v>10240</v>
      </c>
      <c r="IH1">
        <v>10241</v>
      </c>
      <c r="II1">
        <v>10242</v>
      </c>
      <c r="IJ1">
        <v>10243</v>
      </c>
      <c r="IK1">
        <v>10244</v>
      </c>
      <c r="IL1">
        <v>10245</v>
      </c>
      <c r="IM1">
        <v>10246</v>
      </c>
      <c r="IN1">
        <v>10247</v>
      </c>
      <c r="IO1">
        <v>10248</v>
      </c>
      <c r="IP1">
        <v>10249</v>
      </c>
      <c r="IQ1">
        <v>10250</v>
      </c>
      <c r="IR1">
        <v>10251</v>
      </c>
      <c r="IS1">
        <v>10252</v>
      </c>
      <c r="IT1">
        <v>10253</v>
      </c>
      <c r="IU1">
        <v>10254</v>
      </c>
      <c r="IV1">
        <v>10255</v>
      </c>
      <c r="IW1">
        <v>10256</v>
      </c>
      <c r="IX1">
        <v>10257</v>
      </c>
      <c r="IY1">
        <v>10258</v>
      </c>
      <c r="IZ1">
        <v>10259</v>
      </c>
      <c r="JA1">
        <v>10260</v>
      </c>
      <c r="JB1">
        <v>10261</v>
      </c>
      <c r="JC1">
        <v>10262</v>
      </c>
      <c r="JD1">
        <v>10263</v>
      </c>
      <c r="JE1">
        <v>10264</v>
      </c>
      <c r="JF1">
        <v>10265</v>
      </c>
      <c r="JG1">
        <v>10266</v>
      </c>
      <c r="JH1">
        <v>10267</v>
      </c>
      <c r="JI1">
        <v>10268</v>
      </c>
      <c r="JJ1">
        <v>10269</v>
      </c>
      <c r="JK1">
        <v>10270</v>
      </c>
      <c r="JL1">
        <v>10271</v>
      </c>
      <c r="JM1">
        <v>10272</v>
      </c>
      <c r="JN1">
        <v>10273</v>
      </c>
      <c r="JO1">
        <v>10274</v>
      </c>
      <c r="JP1">
        <v>10275</v>
      </c>
      <c r="JQ1">
        <v>10276</v>
      </c>
      <c r="JR1">
        <v>10277</v>
      </c>
      <c r="JS1">
        <v>10278</v>
      </c>
      <c r="JT1">
        <v>10279</v>
      </c>
      <c r="JU1">
        <v>10280</v>
      </c>
      <c r="JV1">
        <v>10281</v>
      </c>
      <c r="JW1">
        <v>10282</v>
      </c>
      <c r="JX1">
        <v>10283</v>
      </c>
      <c r="JY1">
        <v>10284</v>
      </c>
      <c r="JZ1">
        <v>10285</v>
      </c>
      <c r="KA1">
        <v>10286</v>
      </c>
      <c r="KB1">
        <v>10287</v>
      </c>
      <c r="KC1">
        <v>10288</v>
      </c>
      <c r="KD1">
        <v>10289</v>
      </c>
      <c r="KE1">
        <v>10290</v>
      </c>
      <c r="KF1">
        <v>10291</v>
      </c>
      <c r="KG1">
        <v>10292</v>
      </c>
      <c r="KH1">
        <v>10293</v>
      </c>
      <c r="KI1">
        <v>10294</v>
      </c>
      <c r="KJ1">
        <v>10295</v>
      </c>
      <c r="KK1">
        <v>10296</v>
      </c>
      <c r="KL1">
        <v>10297</v>
      </c>
      <c r="KM1">
        <v>10298</v>
      </c>
      <c r="KN1">
        <v>10299</v>
      </c>
      <c r="KO1">
        <v>10300</v>
      </c>
      <c r="KP1">
        <v>10301</v>
      </c>
      <c r="KQ1">
        <v>10302</v>
      </c>
      <c r="KR1">
        <v>10303</v>
      </c>
      <c r="KS1">
        <v>10304</v>
      </c>
      <c r="KT1">
        <v>10305</v>
      </c>
      <c r="KU1">
        <v>10306</v>
      </c>
      <c r="KV1">
        <v>10307</v>
      </c>
      <c r="KW1">
        <v>10308</v>
      </c>
      <c r="KX1">
        <v>10309</v>
      </c>
      <c r="KY1">
        <v>10310</v>
      </c>
      <c r="KZ1">
        <v>10311</v>
      </c>
      <c r="LA1">
        <v>10312</v>
      </c>
      <c r="LB1">
        <v>10313</v>
      </c>
      <c r="LC1">
        <v>10314</v>
      </c>
      <c r="LD1">
        <v>10315</v>
      </c>
      <c r="LE1">
        <v>10316</v>
      </c>
      <c r="LF1">
        <v>10317</v>
      </c>
      <c r="LG1">
        <v>10318</v>
      </c>
      <c r="LH1">
        <v>10319</v>
      </c>
      <c r="LI1">
        <v>10320</v>
      </c>
      <c r="LJ1">
        <v>10321</v>
      </c>
      <c r="LK1">
        <v>10322</v>
      </c>
      <c r="LL1">
        <v>10323</v>
      </c>
      <c r="LM1">
        <v>10324</v>
      </c>
      <c r="LN1">
        <v>10325</v>
      </c>
      <c r="LO1">
        <v>10326</v>
      </c>
      <c r="LP1">
        <v>10327</v>
      </c>
      <c r="LQ1">
        <v>10328</v>
      </c>
      <c r="LR1">
        <v>10329</v>
      </c>
      <c r="LS1">
        <v>10330</v>
      </c>
      <c r="LT1">
        <v>10331</v>
      </c>
      <c r="LU1">
        <v>10332</v>
      </c>
      <c r="LV1">
        <v>10333</v>
      </c>
      <c r="LW1">
        <v>10334</v>
      </c>
      <c r="LX1">
        <v>10335</v>
      </c>
      <c r="LY1">
        <v>10336</v>
      </c>
      <c r="LZ1">
        <v>10337</v>
      </c>
      <c r="MA1">
        <v>10338</v>
      </c>
      <c r="MB1">
        <v>10339</v>
      </c>
      <c r="MC1">
        <v>10340</v>
      </c>
      <c r="MD1">
        <v>10341</v>
      </c>
      <c r="ME1">
        <v>10342</v>
      </c>
      <c r="MF1">
        <v>10343</v>
      </c>
      <c r="MG1">
        <v>10344</v>
      </c>
      <c r="MH1">
        <v>10345</v>
      </c>
      <c r="MI1">
        <v>10346</v>
      </c>
      <c r="MJ1">
        <v>10347</v>
      </c>
      <c r="MK1">
        <v>10348</v>
      </c>
      <c r="ML1">
        <v>10349</v>
      </c>
      <c r="MM1">
        <v>10350</v>
      </c>
      <c r="MN1">
        <v>10351</v>
      </c>
      <c r="MO1">
        <v>10352</v>
      </c>
      <c r="MP1">
        <v>10353</v>
      </c>
      <c r="MQ1">
        <v>10354</v>
      </c>
      <c r="MR1">
        <v>10355</v>
      </c>
      <c r="MS1">
        <v>10356</v>
      </c>
      <c r="MT1">
        <v>10357</v>
      </c>
      <c r="MU1">
        <v>10358</v>
      </c>
      <c r="MV1">
        <v>10359</v>
      </c>
      <c r="MW1">
        <v>10360</v>
      </c>
      <c r="MX1">
        <v>10361</v>
      </c>
      <c r="MY1">
        <v>10362</v>
      </c>
      <c r="MZ1">
        <v>10363</v>
      </c>
      <c r="NA1">
        <v>10364</v>
      </c>
      <c r="NB1">
        <v>10365</v>
      </c>
      <c r="NC1">
        <v>10366</v>
      </c>
      <c r="ND1">
        <v>10367</v>
      </c>
      <c r="NE1">
        <v>10368</v>
      </c>
      <c r="NF1">
        <v>10369</v>
      </c>
      <c r="NG1">
        <v>10370</v>
      </c>
      <c r="NH1">
        <v>10371</v>
      </c>
      <c r="NI1">
        <v>10372</v>
      </c>
      <c r="NJ1">
        <v>10373</v>
      </c>
      <c r="NK1">
        <v>10374</v>
      </c>
      <c r="NL1">
        <v>10375</v>
      </c>
      <c r="NM1">
        <v>10376</v>
      </c>
      <c r="NN1">
        <v>10377</v>
      </c>
      <c r="NO1">
        <v>10378</v>
      </c>
      <c r="NP1">
        <v>10379</v>
      </c>
      <c r="NQ1">
        <v>10380</v>
      </c>
      <c r="NR1">
        <v>10381</v>
      </c>
      <c r="NS1">
        <v>10382</v>
      </c>
      <c r="NT1">
        <v>10383</v>
      </c>
      <c r="NU1">
        <v>10384</v>
      </c>
      <c r="NV1">
        <v>10385</v>
      </c>
      <c r="NW1">
        <v>10386</v>
      </c>
      <c r="NX1">
        <v>10387</v>
      </c>
      <c r="NY1">
        <v>10388</v>
      </c>
      <c r="NZ1">
        <v>10389</v>
      </c>
      <c r="OA1">
        <v>10390</v>
      </c>
      <c r="OB1">
        <v>10391</v>
      </c>
      <c r="OC1">
        <v>10392</v>
      </c>
      <c r="OD1">
        <v>10393</v>
      </c>
      <c r="OE1">
        <v>10394</v>
      </c>
      <c r="OF1">
        <v>10395</v>
      </c>
      <c r="OG1">
        <v>10396</v>
      </c>
      <c r="OH1">
        <v>10397</v>
      </c>
      <c r="OI1">
        <v>10398</v>
      </c>
      <c r="OJ1">
        <v>10399</v>
      </c>
      <c r="OK1">
        <v>10400</v>
      </c>
      <c r="OL1">
        <v>10401</v>
      </c>
      <c r="OM1">
        <v>10402</v>
      </c>
      <c r="ON1">
        <v>10403</v>
      </c>
      <c r="OO1">
        <v>10404</v>
      </c>
      <c r="OP1">
        <v>10405</v>
      </c>
      <c r="OQ1">
        <v>10406</v>
      </c>
      <c r="OR1">
        <v>10407</v>
      </c>
      <c r="OS1">
        <v>10408</v>
      </c>
      <c r="OT1">
        <v>10409</v>
      </c>
      <c r="OU1">
        <v>10410</v>
      </c>
      <c r="OV1">
        <v>10411</v>
      </c>
      <c r="OW1">
        <v>10412</v>
      </c>
      <c r="OX1">
        <v>10413</v>
      </c>
      <c r="OY1">
        <v>10414</v>
      </c>
      <c r="OZ1">
        <v>10415</v>
      </c>
      <c r="PA1">
        <v>10416</v>
      </c>
      <c r="PB1">
        <v>10417</v>
      </c>
      <c r="PC1">
        <v>10418</v>
      </c>
      <c r="PD1">
        <v>10419</v>
      </c>
      <c r="PE1">
        <v>10420</v>
      </c>
      <c r="PF1">
        <v>10421</v>
      </c>
      <c r="PG1">
        <v>10422</v>
      </c>
      <c r="PH1">
        <v>10423</v>
      </c>
      <c r="PI1">
        <v>10424</v>
      </c>
      <c r="PJ1">
        <v>10425</v>
      </c>
      <c r="PK1">
        <v>10426</v>
      </c>
      <c r="PL1">
        <v>10427</v>
      </c>
      <c r="PM1">
        <v>10428</v>
      </c>
      <c r="PN1">
        <v>10429</v>
      </c>
      <c r="PO1">
        <v>10430</v>
      </c>
      <c r="PP1">
        <v>10431</v>
      </c>
      <c r="PQ1">
        <v>10432</v>
      </c>
      <c r="PR1">
        <v>10433</v>
      </c>
      <c r="PS1">
        <v>10434</v>
      </c>
      <c r="PT1">
        <v>10435</v>
      </c>
      <c r="PU1">
        <v>10436</v>
      </c>
      <c r="PV1">
        <v>10437</v>
      </c>
      <c r="PW1">
        <v>10438</v>
      </c>
      <c r="PX1">
        <v>10439</v>
      </c>
      <c r="PY1">
        <v>10440</v>
      </c>
      <c r="PZ1">
        <v>10441</v>
      </c>
      <c r="QA1">
        <v>10442</v>
      </c>
      <c r="QB1">
        <v>10443</v>
      </c>
      <c r="QC1">
        <v>10444</v>
      </c>
      <c r="QD1">
        <v>10445</v>
      </c>
      <c r="QE1">
        <v>10446</v>
      </c>
      <c r="QF1">
        <v>10447</v>
      </c>
      <c r="QG1">
        <v>10448</v>
      </c>
      <c r="QH1">
        <v>10449</v>
      </c>
      <c r="QI1">
        <v>10450</v>
      </c>
      <c r="QJ1">
        <v>10451</v>
      </c>
      <c r="QK1">
        <v>10452</v>
      </c>
      <c r="QL1">
        <v>10453</v>
      </c>
      <c r="QM1">
        <v>10454</v>
      </c>
      <c r="QN1">
        <v>10455</v>
      </c>
      <c r="QO1">
        <v>10456</v>
      </c>
      <c r="QP1">
        <v>10457</v>
      </c>
      <c r="QQ1">
        <v>10458</v>
      </c>
      <c r="QR1">
        <v>10459</v>
      </c>
      <c r="QS1">
        <v>10460</v>
      </c>
      <c r="QT1">
        <v>10461</v>
      </c>
      <c r="QU1">
        <v>10462</v>
      </c>
      <c r="QV1">
        <v>10463</v>
      </c>
      <c r="QW1">
        <v>10464</v>
      </c>
      <c r="QX1">
        <v>10465</v>
      </c>
      <c r="QY1">
        <v>10466</v>
      </c>
      <c r="QZ1">
        <v>10467</v>
      </c>
      <c r="RA1">
        <v>10468</v>
      </c>
      <c r="RB1">
        <v>10469</v>
      </c>
      <c r="RC1">
        <v>10470</v>
      </c>
      <c r="RD1">
        <v>10471</v>
      </c>
      <c r="RE1">
        <v>10472</v>
      </c>
      <c r="RF1">
        <v>10473</v>
      </c>
      <c r="RG1">
        <v>10474</v>
      </c>
      <c r="RH1">
        <v>10475</v>
      </c>
      <c r="RI1">
        <v>10476</v>
      </c>
      <c r="RJ1">
        <v>10477</v>
      </c>
      <c r="RK1">
        <v>10478</v>
      </c>
      <c r="RL1">
        <v>10479</v>
      </c>
      <c r="RM1">
        <v>10480</v>
      </c>
      <c r="RN1">
        <v>10481</v>
      </c>
      <c r="RO1">
        <v>10482</v>
      </c>
      <c r="RP1">
        <v>10483</v>
      </c>
      <c r="RQ1">
        <v>10484</v>
      </c>
      <c r="RR1">
        <v>10485</v>
      </c>
      <c r="RS1">
        <v>10486</v>
      </c>
      <c r="RT1">
        <v>10487</v>
      </c>
      <c r="RU1">
        <v>10488</v>
      </c>
      <c r="RV1">
        <v>10489</v>
      </c>
      <c r="RW1">
        <v>10490</v>
      </c>
      <c r="RX1">
        <v>10491</v>
      </c>
      <c r="RY1">
        <v>10492</v>
      </c>
      <c r="RZ1">
        <v>10493</v>
      </c>
      <c r="SA1">
        <v>10494</v>
      </c>
      <c r="SB1">
        <v>10495</v>
      </c>
      <c r="SC1">
        <v>10496</v>
      </c>
      <c r="SD1">
        <v>10497</v>
      </c>
      <c r="SE1">
        <v>10498</v>
      </c>
      <c r="SF1">
        <v>10499</v>
      </c>
      <c r="SG1">
        <v>10500</v>
      </c>
      <c r="SH1">
        <v>10501</v>
      </c>
      <c r="SI1">
        <v>10502</v>
      </c>
      <c r="SJ1">
        <v>10503</v>
      </c>
      <c r="SK1">
        <v>10504</v>
      </c>
      <c r="SL1">
        <v>10505</v>
      </c>
      <c r="SM1">
        <v>10506</v>
      </c>
      <c r="SN1">
        <v>10507</v>
      </c>
      <c r="SO1">
        <v>10508</v>
      </c>
      <c r="SP1">
        <v>10509</v>
      </c>
      <c r="SQ1">
        <v>10510</v>
      </c>
      <c r="SR1">
        <v>10511</v>
      </c>
      <c r="SS1">
        <v>10512</v>
      </c>
      <c r="ST1">
        <v>10513</v>
      </c>
      <c r="SU1">
        <v>10514</v>
      </c>
      <c r="SV1">
        <v>10515</v>
      </c>
      <c r="SW1">
        <v>10516</v>
      </c>
      <c r="SX1">
        <v>10517</v>
      </c>
      <c r="SY1">
        <v>10518</v>
      </c>
      <c r="SZ1">
        <v>10519</v>
      </c>
      <c r="TA1">
        <v>10520</v>
      </c>
      <c r="TB1">
        <v>10521</v>
      </c>
      <c r="TC1">
        <v>10522</v>
      </c>
      <c r="TD1">
        <v>10523</v>
      </c>
      <c r="TE1">
        <v>10524</v>
      </c>
      <c r="TF1">
        <v>10525</v>
      </c>
      <c r="TG1">
        <v>10526</v>
      </c>
      <c r="TH1">
        <v>10527</v>
      </c>
      <c r="TI1">
        <v>10528</v>
      </c>
      <c r="TJ1">
        <v>10529</v>
      </c>
      <c r="TK1">
        <v>10530</v>
      </c>
      <c r="TL1">
        <v>10531</v>
      </c>
      <c r="TM1">
        <v>10532</v>
      </c>
      <c r="TN1">
        <v>10533</v>
      </c>
      <c r="TO1">
        <v>10534</v>
      </c>
      <c r="TP1">
        <v>10535</v>
      </c>
      <c r="TQ1">
        <v>10536</v>
      </c>
      <c r="TR1">
        <v>10537</v>
      </c>
      <c r="TS1">
        <v>10538</v>
      </c>
      <c r="TT1">
        <v>10539</v>
      </c>
      <c r="TU1">
        <v>10540</v>
      </c>
      <c r="TV1">
        <v>10541</v>
      </c>
      <c r="TW1">
        <v>10542</v>
      </c>
      <c r="TX1">
        <v>10543</v>
      </c>
      <c r="TY1">
        <v>10544</v>
      </c>
      <c r="TZ1">
        <v>10545</v>
      </c>
      <c r="UA1">
        <v>10546</v>
      </c>
      <c r="UB1">
        <v>10547</v>
      </c>
      <c r="UC1">
        <v>10548</v>
      </c>
      <c r="UD1">
        <v>10549</v>
      </c>
      <c r="UE1">
        <v>10550</v>
      </c>
      <c r="UF1">
        <v>10551</v>
      </c>
      <c r="UG1">
        <v>10552</v>
      </c>
      <c r="UH1">
        <v>10553</v>
      </c>
      <c r="UI1">
        <v>10554</v>
      </c>
      <c r="UJ1">
        <v>10555</v>
      </c>
      <c r="UK1">
        <v>10556</v>
      </c>
      <c r="UL1">
        <v>10557</v>
      </c>
      <c r="UM1">
        <v>10558</v>
      </c>
      <c r="UN1">
        <v>10559</v>
      </c>
      <c r="UO1">
        <v>10560</v>
      </c>
      <c r="UP1">
        <v>10561</v>
      </c>
      <c r="UQ1">
        <v>10562</v>
      </c>
      <c r="UR1">
        <v>10563</v>
      </c>
      <c r="US1">
        <v>10564</v>
      </c>
      <c r="UT1">
        <v>10565</v>
      </c>
      <c r="UU1">
        <v>10566</v>
      </c>
      <c r="UV1">
        <v>10567</v>
      </c>
      <c r="UW1">
        <v>10568</v>
      </c>
      <c r="UX1">
        <v>10569</v>
      </c>
      <c r="UY1">
        <v>10570</v>
      </c>
      <c r="UZ1">
        <v>10571</v>
      </c>
      <c r="VA1">
        <v>10572</v>
      </c>
      <c r="VB1">
        <v>10573</v>
      </c>
      <c r="VC1">
        <v>10574</v>
      </c>
      <c r="VD1">
        <v>10575</v>
      </c>
      <c r="VE1">
        <v>10576</v>
      </c>
      <c r="VF1">
        <v>10577</v>
      </c>
      <c r="VG1">
        <v>10578</v>
      </c>
      <c r="VH1">
        <v>10579</v>
      </c>
      <c r="VI1">
        <v>10580</v>
      </c>
      <c r="VJ1">
        <v>10581</v>
      </c>
      <c r="VK1">
        <v>10582</v>
      </c>
      <c r="VL1">
        <v>10583</v>
      </c>
      <c r="VM1">
        <v>10584</v>
      </c>
      <c r="VN1">
        <v>10585</v>
      </c>
      <c r="VO1">
        <v>10586</v>
      </c>
      <c r="VP1">
        <v>10587</v>
      </c>
      <c r="VQ1">
        <v>10588</v>
      </c>
      <c r="VR1">
        <v>10589</v>
      </c>
      <c r="VS1">
        <v>10590</v>
      </c>
      <c r="VT1">
        <v>10591</v>
      </c>
      <c r="VU1">
        <v>10592</v>
      </c>
      <c r="VV1">
        <v>10593</v>
      </c>
      <c r="VW1">
        <v>10594</v>
      </c>
      <c r="VX1">
        <v>10595</v>
      </c>
      <c r="VY1">
        <v>10596</v>
      </c>
      <c r="VZ1">
        <v>10597</v>
      </c>
      <c r="WA1">
        <v>10598</v>
      </c>
      <c r="WB1">
        <v>10599</v>
      </c>
      <c r="WC1">
        <v>10600</v>
      </c>
      <c r="WD1">
        <v>10601</v>
      </c>
      <c r="WE1">
        <v>10602</v>
      </c>
      <c r="WF1">
        <v>10603</v>
      </c>
      <c r="WG1">
        <v>10604</v>
      </c>
      <c r="WH1">
        <v>10605</v>
      </c>
      <c r="WI1">
        <v>10606</v>
      </c>
      <c r="WJ1">
        <v>10607</v>
      </c>
      <c r="WK1">
        <v>10608</v>
      </c>
      <c r="WL1">
        <v>10609</v>
      </c>
      <c r="WM1">
        <v>10610</v>
      </c>
      <c r="WN1">
        <v>10611</v>
      </c>
      <c r="WO1">
        <v>10612</v>
      </c>
      <c r="WP1">
        <v>10613</v>
      </c>
      <c r="WQ1">
        <v>10614</v>
      </c>
      <c r="WR1">
        <v>10615</v>
      </c>
      <c r="WS1">
        <v>10616</v>
      </c>
      <c r="WT1">
        <v>10617</v>
      </c>
      <c r="WU1">
        <v>10618</v>
      </c>
      <c r="WV1">
        <v>10619</v>
      </c>
      <c r="WW1">
        <v>10620</v>
      </c>
      <c r="WX1">
        <v>10621</v>
      </c>
      <c r="WY1">
        <v>10622</v>
      </c>
      <c r="WZ1">
        <v>10623</v>
      </c>
      <c r="XA1">
        <v>10624</v>
      </c>
      <c r="XB1">
        <v>10625</v>
      </c>
      <c r="XC1">
        <v>10626</v>
      </c>
      <c r="XD1">
        <v>10627</v>
      </c>
      <c r="XE1">
        <v>10628</v>
      </c>
      <c r="XF1">
        <v>10629</v>
      </c>
      <c r="XG1">
        <v>10630</v>
      </c>
      <c r="XH1">
        <v>10631</v>
      </c>
      <c r="XI1">
        <v>10632</v>
      </c>
      <c r="XJ1">
        <v>10633</v>
      </c>
      <c r="XK1">
        <v>10634</v>
      </c>
      <c r="XL1">
        <v>10635</v>
      </c>
      <c r="XM1">
        <v>10636</v>
      </c>
      <c r="XN1">
        <v>10637</v>
      </c>
      <c r="XO1">
        <v>10638</v>
      </c>
      <c r="XP1">
        <v>10639</v>
      </c>
      <c r="XQ1">
        <v>10640</v>
      </c>
      <c r="XR1">
        <v>10641</v>
      </c>
      <c r="XS1">
        <v>10642</v>
      </c>
      <c r="XT1">
        <v>10643</v>
      </c>
      <c r="XU1">
        <v>10644</v>
      </c>
      <c r="XV1">
        <v>10645</v>
      </c>
      <c r="XW1">
        <v>10646</v>
      </c>
      <c r="XX1">
        <v>10647</v>
      </c>
      <c r="XY1">
        <v>10648</v>
      </c>
      <c r="XZ1">
        <v>10649</v>
      </c>
      <c r="YA1">
        <v>10650</v>
      </c>
      <c r="YB1">
        <v>10651</v>
      </c>
      <c r="YC1">
        <v>10652</v>
      </c>
      <c r="YD1">
        <v>10653</v>
      </c>
      <c r="YE1">
        <v>10654</v>
      </c>
      <c r="YF1">
        <v>10655</v>
      </c>
      <c r="YG1">
        <v>10656</v>
      </c>
      <c r="YH1">
        <v>10657</v>
      </c>
      <c r="YI1">
        <v>10658</v>
      </c>
      <c r="YJ1">
        <v>10659</v>
      </c>
      <c r="YK1">
        <v>10660</v>
      </c>
      <c r="YL1">
        <v>10661</v>
      </c>
      <c r="YM1">
        <v>10662</v>
      </c>
      <c r="YN1">
        <v>10663</v>
      </c>
      <c r="YO1">
        <v>10664</v>
      </c>
      <c r="YP1">
        <v>10665</v>
      </c>
      <c r="YQ1">
        <v>10666</v>
      </c>
      <c r="YR1">
        <v>10667</v>
      </c>
      <c r="YS1">
        <v>10668</v>
      </c>
      <c r="YT1">
        <v>10669</v>
      </c>
      <c r="YU1">
        <v>10670</v>
      </c>
      <c r="YV1">
        <v>10671</v>
      </c>
      <c r="YW1">
        <v>10672</v>
      </c>
      <c r="YX1">
        <v>10673</v>
      </c>
      <c r="YY1">
        <v>10674</v>
      </c>
      <c r="YZ1">
        <v>10675</v>
      </c>
      <c r="ZA1">
        <v>10676</v>
      </c>
      <c r="ZB1">
        <v>10677</v>
      </c>
      <c r="ZC1">
        <v>10678</v>
      </c>
      <c r="ZD1">
        <v>10679</v>
      </c>
      <c r="ZE1">
        <v>10680</v>
      </c>
      <c r="ZF1">
        <v>10681</v>
      </c>
      <c r="ZG1">
        <v>10682</v>
      </c>
      <c r="ZH1">
        <v>10683</v>
      </c>
      <c r="ZI1">
        <v>10684</v>
      </c>
      <c r="ZJ1">
        <v>10685</v>
      </c>
      <c r="ZK1">
        <v>10686</v>
      </c>
      <c r="ZL1">
        <v>10687</v>
      </c>
      <c r="ZM1">
        <v>10688</v>
      </c>
      <c r="ZN1">
        <v>10689</v>
      </c>
      <c r="ZO1">
        <v>10690</v>
      </c>
      <c r="ZP1">
        <v>10691</v>
      </c>
      <c r="ZQ1">
        <v>10692</v>
      </c>
      <c r="ZR1">
        <v>10693</v>
      </c>
      <c r="ZS1">
        <v>10694</v>
      </c>
      <c r="ZT1">
        <v>10695</v>
      </c>
      <c r="ZU1">
        <v>10696</v>
      </c>
      <c r="ZV1">
        <v>10697</v>
      </c>
      <c r="ZW1">
        <v>10698</v>
      </c>
      <c r="ZX1">
        <v>10699</v>
      </c>
      <c r="ZY1">
        <v>10700</v>
      </c>
      <c r="ZZ1">
        <v>10701</v>
      </c>
      <c r="AAA1">
        <v>10702</v>
      </c>
      <c r="AAB1">
        <v>10703</v>
      </c>
      <c r="AAC1">
        <v>10704</v>
      </c>
      <c r="AAD1">
        <v>10705</v>
      </c>
      <c r="AAE1">
        <v>10706</v>
      </c>
      <c r="AAF1">
        <v>10707</v>
      </c>
      <c r="AAG1">
        <v>10708</v>
      </c>
      <c r="AAH1">
        <v>10709</v>
      </c>
      <c r="AAI1">
        <v>10710</v>
      </c>
      <c r="AAJ1">
        <v>10711</v>
      </c>
      <c r="AAK1">
        <v>10712</v>
      </c>
      <c r="AAL1">
        <v>10713</v>
      </c>
      <c r="AAM1">
        <v>10714</v>
      </c>
      <c r="AAN1">
        <v>10715</v>
      </c>
      <c r="AAO1">
        <v>10716</v>
      </c>
      <c r="AAP1">
        <v>10717</v>
      </c>
      <c r="AAQ1">
        <v>10718</v>
      </c>
      <c r="AAR1">
        <v>10719</v>
      </c>
      <c r="AAS1">
        <v>10720</v>
      </c>
      <c r="AAT1">
        <v>10721</v>
      </c>
      <c r="AAU1">
        <v>10722</v>
      </c>
      <c r="AAV1">
        <v>10723</v>
      </c>
      <c r="AAW1">
        <v>10724</v>
      </c>
      <c r="AAX1">
        <v>10725</v>
      </c>
      <c r="AAY1">
        <v>10726</v>
      </c>
      <c r="AAZ1">
        <v>10727</v>
      </c>
      <c r="ABA1">
        <v>10728</v>
      </c>
      <c r="ABB1">
        <v>10729</v>
      </c>
      <c r="ABC1">
        <v>10730</v>
      </c>
      <c r="ABD1">
        <v>10731</v>
      </c>
      <c r="ABE1">
        <v>10732</v>
      </c>
      <c r="ABF1">
        <v>10733</v>
      </c>
      <c r="ABG1">
        <v>10734</v>
      </c>
      <c r="ABH1">
        <v>10735</v>
      </c>
      <c r="ABI1">
        <v>10736</v>
      </c>
      <c r="ABJ1">
        <v>10737</v>
      </c>
      <c r="ABK1">
        <v>10738</v>
      </c>
      <c r="ABL1">
        <v>10739</v>
      </c>
      <c r="ABM1">
        <v>10740</v>
      </c>
      <c r="ABN1">
        <v>10741</v>
      </c>
      <c r="ABO1">
        <v>10742</v>
      </c>
      <c r="ABP1">
        <v>10743</v>
      </c>
      <c r="ABQ1">
        <v>10744</v>
      </c>
      <c r="ABR1">
        <v>10745</v>
      </c>
      <c r="ABS1">
        <v>10746</v>
      </c>
      <c r="ABT1">
        <v>10747</v>
      </c>
      <c r="ABU1">
        <v>10748</v>
      </c>
      <c r="ABV1">
        <v>10749</v>
      </c>
      <c r="ABW1">
        <v>10750</v>
      </c>
      <c r="ABX1">
        <v>10751</v>
      </c>
      <c r="ABY1">
        <v>10752</v>
      </c>
      <c r="ABZ1">
        <v>10753</v>
      </c>
      <c r="ACA1">
        <v>10754</v>
      </c>
      <c r="ACB1">
        <v>10755</v>
      </c>
      <c r="ACC1">
        <v>10756</v>
      </c>
      <c r="ACD1">
        <v>10757</v>
      </c>
      <c r="ACE1">
        <v>10758</v>
      </c>
      <c r="ACF1">
        <v>10759</v>
      </c>
      <c r="ACG1">
        <v>10760</v>
      </c>
      <c r="ACH1">
        <v>10761</v>
      </c>
      <c r="ACI1">
        <v>10762</v>
      </c>
      <c r="ACJ1">
        <v>10763</v>
      </c>
      <c r="ACK1">
        <v>10764</v>
      </c>
      <c r="ACL1">
        <v>10765</v>
      </c>
      <c r="ACM1">
        <v>10766</v>
      </c>
      <c r="ACN1">
        <v>10767</v>
      </c>
      <c r="ACO1">
        <v>10768</v>
      </c>
      <c r="ACP1">
        <v>10769</v>
      </c>
      <c r="ACQ1">
        <v>10770</v>
      </c>
      <c r="ACR1">
        <v>10771</v>
      </c>
      <c r="ACS1">
        <v>10772</v>
      </c>
      <c r="ACT1">
        <v>10773</v>
      </c>
      <c r="ACU1">
        <v>10774</v>
      </c>
      <c r="ACV1">
        <v>10775</v>
      </c>
      <c r="ACW1">
        <v>10776</v>
      </c>
      <c r="ACX1">
        <v>10777</v>
      </c>
      <c r="ACY1">
        <v>10778</v>
      </c>
      <c r="ACZ1">
        <v>10779</v>
      </c>
      <c r="ADA1">
        <v>10780</v>
      </c>
      <c r="ADB1">
        <v>10781</v>
      </c>
      <c r="ADC1">
        <v>10782</v>
      </c>
      <c r="ADD1">
        <v>10783</v>
      </c>
      <c r="ADE1">
        <v>10784</v>
      </c>
      <c r="ADF1">
        <v>10785</v>
      </c>
      <c r="ADG1">
        <v>10786</v>
      </c>
      <c r="ADH1">
        <v>10787</v>
      </c>
      <c r="ADI1">
        <v>10788</v>
      </c>
      <c r="ADJ1">
        <v>10789</v>
      </c>
      <c r="ADK1">
        <v>10790</v>
      </c>
      <c r="ADL1">
        <v>10791</v>
      </c>
      <c r="ADM1">
        <v>10792</v>
      </c>
      <c r="ADN1">
        <v>10793</v>
      </c>
      <c r="ADO1">
        <v>10794</v>
      </c>
      <c r="ADP1">
        <v>10795</v>
      </c>
      <c r="ADQ1">
        <v>10796</v>
      </c>
      <c r="ADR1">
        <v>10797</v>
      </c>
      <c r="ADS1">
        <v>10798</v>
      </c>
      <c r="ADT1">
        <v>10799</v>
      </c>
      <c r="ADU1">
        <v>10800</v>
      </c>
      <c r="ADV1">
        <v>10801</v>
      </c>
      <c r="ADW1">
        <v>10802</v>
      </c>
      <c r="ADX1">
        <v>10803</v>
      </c>
      <c r="ADY1">
        <v>10804</v>
      </c>
      <c r="ADZ1">
        <v>10805</v>
      </c>
      <c r="AEA1">
        <v>10806</v>
      </c>
      <c r="AEB1">
        <v>10807</v>
      </c>
      <c r="AEC1">
        <v>10808</v>
      </c>
      <c r="AED1">
        <v>10809</v>
      </c>
      <c r="AEE1">
        <v>10810</v>
      </c>
      <c r="AEF1">
        <v>10811</v>
      </c>
      <c r="AEG1">
        <v>10812</v>
      </c>
      <c r="AEH1">
        <v>10813</v>
      </c>
      <c r="AEI1">
        <v>10814</v>
      </c>
      <c r="AEJ1">
        <v>10815</v>
      </c>
      <c r="AEK1">
        <v>10816</v>
      </c>
      <c r="AEL1">
        <v>10817</v>
      </c>
      <c r="AEM1">
        <v>10818</v>
      </c>
      <c r="AEN1">
        <v>10819</v>
      </c>
      <c r="AEO1">
        <v>10820</v>
      </c>
      <c r="AEP1">
        <v>10821</v>
      </c>
      <c r="AEQ1">
        <v>10822</v>
      </c>
      <c r="AER1">
        <v>10823</v>
      </c>
      <c r="AES1">
        <v>10824</v>
      </c>
      <c r="AET1">
        <v>10825</v>
      </c>
      <c r="AEU1">
        <v>10826</v>
      </c>
      <c r="AEV1">
        <v>10827</v>
      </c>
      <c r="AEW1">
        <v>10828</v>
      </c>
      <c r="AEX1">
        <v>10829</v>
      </c>
      <c r="AEY1">
        <v>10830</v>
      </c>
      <c r="AEZ1">
        <v>10831</v>
      </c>
      <c r="AFA1">
        <v>10832</v>
      </c>
      <c r="AFB1">
        <v>10833</v>
      </c>
      <c r="AFC1">
        <v>10834</v>
      </c>
      <c r="AFD1">
        <v>10835</v>
      </c>
      <c r="AFE1">
        <v>10836</v>
      </c>
      <c r="AFF1">
        <v>10837</v>
      </c>
      <c r="AFG1">
        <v>10838</v>
      </c>
      <c r="AFH1">
        <v>10839</v>
      </c>
      <c r="AFI1">
        <v>10840</v>
      </c>
      <c r="AFJ1">
        <v>10841</v>
      </c>
      <c r="AFK1">
        <v>10842</v>
      </c>
      <c r="AFL1">
        <v>10843</v>
      </c>
      <c r="AFM1">
        <v>10844</v>
      </c>
      <c r="AFN1">
        <v>10845</v>
      </c>
      <c r="AFO1">
        <v>10846</v>
      </c>
      <c r="AFP1">
        <v>10847</v>
      </c>
      <c r="AFQ1">
        <v>10848</v>
      </c>
      <c r="AFR1">
        <v>10849</v>
      </c>
      <c r="AFS1">
        <v>10850</v>
      </c>
      <c r="AFT1">
        <v>10851</v>
      </c>
      <c r="AFU1">
        <v>10852</v>
      </c>
      <c r="AFV1">
        <v>10853</v>
      </c>
      <c r="AFW1">
        <v>10854</v>
      </c>
      <c r="AFX1">
        <v>10855</v>
      </c>
      <c r="AFY1">
        <v>10856</v>
      </c>
      <c r="AFZ1">
        <v>10857</v>
      </c>
      <c r="AGA1">
        <v>10858</v>
      </c>
      <c r="AGB1">
        <v>10859</v>
      </c>
      <c r="AGC1">
        <v>10860</v>
      </c>
      <c r="AGD1">
        <v>10861</v>
      </c>
      <c r="AGE1">
        <v>10862</v>
      </c>
      <c r="AGF1">
        <v>10863</v>
      </c>
      <c r="AGG1">
        <v>10864</v>
      </c>
      <c r="AGH1">
        <v>10865</v>
      </c>
      <c r="AGI1">
        <v>10866</v>
      </c>
      <c r="AGJ1">
        <v>10867</v>
      </c>
      <c r="AGK1">
        <v>10868</v>
      </c>
      <c r="AGL1">
        <v>10869</v>
      </c>
      <c r="AGM1">
        <v>10870</v>
      </c>
      <c r="AGN1">
        <v>10871</v>
      </c>
      <c r="AGO1">
        <v>10872</v>
      </c>
      <c r="AGP1">
        <v>10873</v>
      </c>
      <c r="AGQ1">
        <v>10874</v>
      </c>
      <c r="AGR1">
        <v>10875</v>
      </c>
      <c r="AGS1">
        <v>10876</v>
      </c>
    </row>
    <row r="2" spans="1:885" x14ac:dyDescent="0.25">
      <c r="A2" s="1" t="s">
        <v>1</v>
      </c>
      <c r="B2" t="s">
        <v>21</v>
      </c>
      <c r="C2" t="s">
        <v>31</v>
      </c>
      <c r="D2" t="s">
        <v>38</v>
      </c>
      <c r="E2" t="s">
        <v>21</v>
      </c>
      <c r="F2" t="s">
        <v>50</v>
      </c>
      <c r="G2" t="s">
        <v>53</v>
      </c>
      <c r="H2" t="s">
        <v>38</v>
      </c>
      <c r="I2" t="s">
        <v>38</v>
      </c>
      <c r="J2" t="s">
        <v>21</v>
      </c>
      <c r="K2" t="s">
        <v>60</v>
      </c>
      <c r="L2" t="s">
        <v>50</v>
      </c>
      <c r="M2" t="s">
        <v>21</v>
      </c>
      <c r="N2" t="s">
        <v>50</v>
      </c>
      <c r="O2" t="s">
        <v>50</v>
      </c>
      <c r="P2" t="s">
        <v>53</v>
      </c>
      <c r="Q2" t="s">
        <v>38</v>
      </c>
      <c r="R2" t="s">
        <v>31</v>
      </c>
      <c r="S2" t="s">
        <v>53</v>
      </c>
      <c r="T2" t="s">
        <v>53</v>
      </c>
      <c r="U2" t="s">
        <v>50</v>
      </c>
      <c r="V2" t="s">
        <v>64</v>
      </c>
      <c r="W2" t="s">
        <v>38</v>
      </c>
      <c r="X2" t="s">
        <v>60</v>
      </c>
      <c r="Y2" t="s">
        <v>53</v>
      </c>
      <c r="Z2" t="s">
        <v>31</v>
      </c>
      <c r="AA2" t="s">
        <v>64</v>
      </c>
      <c r="AB2" t="s">
        <v>64</v>
      </c>
      <c r="AC2" t="s">
        <v>60</v>
      </c>
      <c r="AD2" t="s">
        <v>53</v>
      </c>
      <c r="AE2" t="s">
        <v>31</v>
      </c>
      <c r="AF2" t="s">
        <v>38</v>
      </c>
      <c r="AG2" t="s">
        <v>66</v>
      </c>
      <c r="AH2" t="s">
        <v>31</v>
      </c>
      <c r="AI2" t="s">
        <v>60</v>
      </c>
      <c r="AJ2" t="s">
        <v>64</v>
      </c>
      <c r="AK2" t="s">
        <v>38</v>
      </c>
      <c r="AL2" t="s">
        <v>31</v>
      </c>
      <c r="AM2" t="s">
        <v>66</v>
      </c>
      <c r="AN2" t="s">
        <v>66</v>
      </c>
      <c r="AO2" t="s">
        <v>50</v>
      </c>
      <c r="AP2" t="s">
        <v>50</v>
      </c>
      <c r="AQ2" t="s">
        <v>21</v>
      </c>
      <c r="AR2" t="s">
        <v>60</v>
      </c>
      <c r="AS2" t="s">
        <v>53</v>
      </c>
      <c r="AT2" t="s">
        <v>31</v>
      </c>
      <c r="AU2" t="s">
        <v>31</v>
      </c>
      <c r="AV2" t="s">
        <v>53</v>
      </c>
      <c r="AW2" t="s">
        <v>21</v>
      </c>
      <c r="AX2" t="s">
        <v>64</v>
      </c>
      <c r="AY2" t="s">
        <v>64</v>
      </c>
      <c r="AZ2" t="s">
        <v>21</v>
      </c>
      <c r="BA2" t="s">
        <v>64</v>
      </c>
      <c r="BB2" t="s">
        <v>50</v>
      </c>
      <c r="BC2" t="s">
        <v>31</v>
      </c>
      <c r="BD2" t="s">
        <v>21</v>
      </c>
      <c r="BE2" t="s">
        <v>31</v>
      </c>
      <c r="BF2" t="s">
        <v>53</v>
      </c>
      <c r="BG2" t="s">
        <v>66</v>
      </c>
      <c r="BH2" t="s">
        <v>50</v>
      </c>
      <c r="BI2" t="s">
        <v>38</v>
      </c>
      <c r="BJ2" t="s">
        <v>50</v>
      </c>
      <c r="BK2" t="s">
        <v>21</v>
      </c>
      <c r="BL2" t="s">
        <v>38</v>
      </c>
      <c r="BM2" t="s">
        <v>66</v>
      </c>
      <c r="BN2" t="s">
        <v>21</v>
      </c>
      <c r="BO2" t="s">
        <v>60</v>
      </c>
      <c r="BP2" t="s">
        <v>31</v>
      </c>
      <c r="BQ2" t="s">
        <v>66</v>
      </c>
      <c r="BR2" t="s">
        <v>31</v>
      </c>
      <c r="BS2" t="s">
        <v>64</v>
      </c>
      <c r="BT2" t="s">
        <v>60</v>
      </c>
      <c r="BU2" t="s">
        <v>60</v>
      </c>
      <c r="BV2" t="s">
        <v>66</v>
      </c>
      <c r="BW2" t="s">
        <v>60</v>
      </c>
      <c r="BX2" t="s">
        <v>38</v>
      </c>
      <c r="BY2" t="s">
        <v>60</v>
      </c>
      <c r="BZ2" t="s">
        <v>31</v>
      </c>
      <c r="CA2" t="s">
        <v>31</v>
      </c>
      <c r="CB2" t="s">
        <v>21</v>
      </c>
      <c r="CC2" t="s">
        <v>31</v>
      </c>
      <c r="CD2" t="s">
        <v>21</v>
      </c>
      <c r="CE2" t="s">
        <v>31</v>
      </c>
      <c r="CF2" t="s">
        <v>38</v>
      </c>
      <c r="CG2" t="s">
        <v>53</v>
      </c>
      <c r="CH2" t="s">
        <v>21</v>
      </c>
      <c r="CI2" t="s">
        <v>50</v>
      </c>
      <c r="CJ2" t="s">
        <v>64</v>
      </c>
      <c r="CK2" t="s">
        <v>66</v>
      </c>
      <c r="CL2" t="s">
        <v>31</v>
      </c>
      <c r="CM2" t="s">
        <v>60</v>
      </c>
      <c r="CN2" t="s">
        <v>53</v>
      </c>
      <c r="CO2" t="s">
        <v>31</v>
      </c>
      <c r="CP2" t="s">
        <v>60</v>
      </c>
      <c r="CQ2" t="s">
        <v>64</v>
      </c>
      <c r="CR2" t="s">
        <v>64</v>
      </c>
      <c r="CS2" t="s">
        <v>64</v>
      </c>
      <c r="CT2" t="s">
        <v>60</v>
      </c>
      <c r="CU2" t="s">
        <v>31</v>
      </c>
      <c r="CV2" t="s">
        <v>64</v>
      </c>
      <c r="CW2" t="s">
        <v>38</v>
      </c>
      <c r="CX2" t="s">
        <v>21</v>
      </c>
      <c r="CY2" t="s">
        <v>60</v>
      </c>
      <c r="CZ2" t="s">
        <v>60</v>
      </c>
      <c r="DA2" t="s">
        <v>31</v>
      </c>
      <c r="DB2" t="s">
        <v>60</v>
      </c>
      <c r="DC2" t="s">
        <v>60</v>
      </c>
      <c r="DD2" t="s">
        <v>64</v>
      </c>
      <c r="DE2" t="s">
        <v>31</v>
      </c>
      <c r="DF2" t="s">
        <v>64</v>
      </c>
      <c r="DG2" t="s">
        <v>21</v>
      </c>
      <c r="DH2" t="s">
        <v>53</v>
      </c>
      <c r="DI2" t="s">
        <v>21</v>
      </c>
      <c r="DJ2" t="s">
        <v>53</v>
      </c>
      <c r="DK2" t="s">
        <v>64</v>
      </c>
      <c r="DL2" t="s">
        <v>21</v>
      </c>
      <c r="DM2" t="s">
        <v>31</v>
      </c>
      <c r="DN2" t="s">
        <v>66</v>
      </c>
      <c r="DO2" t="s">
        <v>64</v>
      </c>
      <c r="DP2" t="s">
        <v>53</v>
      </c>
      <c r="DQ2" t="s">
        <v>38</v>
      </c>
      <c r="DR2" t="s">
        <v>53</v>
      </c>
      <c r="DS2" t="s">
        <v>38</v>
      </c>
      <c r="DT2" t="s">
        <v>60</v>
      </c>
      <c r="DU2" t="s">
        <v>21</v>
      </c>
      <c r="DV2" t="s">
        <v>38</v>
      </c>
      <c r="DW2" t="s">
        <v>53</v>
      </c>
      <c r="DX2" t="s">
        <v>60</v>
      </c>
      <c r="DY2" t="s">
        <v>66</v>
      </c>
      <c r="DZ2" t="s">
        <v>31</v>
      </c>
      <c r="EA2" t="s">
        <v>31</v>
      </c>
      <c r="EB2" t="s">
        <v>31</v>
      </c>
      <c r="EC2" t="s">
        <v>38</v>
      </c>
      <c r="ED2" t="s">
        <v>66</v>
      </c>
      <c r="EE2" t="s">
        <v>38</v>
      </c>
      <c r="EF2" t="s">
        <v>21</v>
      </c>
      <c r="EG2" t="s">
        <v>38</v>
      </c>
      <c r="EH2" t="s">
        <v>66</v>
      </c>
      <c r="EI2" t="s">
        <v>66</v>
      </c>
      <c r="EJ2" t="s">
        <v>21</v>
      </c>
      <c r="EK2" t="s">
        <v>66</v>
      </c>
      <c r="EL2" t="s">
        <v>53</v>
      </c>
      <c r="EM2" t="s">
        <v>66</v>
      </c>
      <c r="EN2" t="s">
        <v>31</v>
      </c>
      <c r="EO2" t="s">
        <v>53</v>
      </c>
      <c r="EP2" t="s">
        <v>53</v>
      </c>
      <c r="EQ2" t="s">
        <v>21</v>
      </c>
      <c r="ER2" t="s">
        <v>50</v>
      </c>
      <c r="ES2" t="s">
        <v>50</v>
      </c>
      <c r="ET2" t="s">
        <v>66</v>
      </c>
      <c r="EU2" t="s">
        <v>53</v>
      </c>
      <c r="EV2" t="s">
        <v>50</v>
      </c>
      <c r="EW2" t="s">
        <v>50</v>
      </c>
      <c r="EX2" t="s">
        <v>66</v>
      </c>
      <c r="EY2" t="s">
        <v>50</v>
      </c>
      <c r="EZ2" t="s">
        <v>38</v>
      </c>
      <c r="FA2" t="s">
        <v>60</v>
      </c>
      <c r="FB2" t="s">
        <v>21</v>
      </c>
      <c r="FC2" t="s">
        <v>60</v>
      </c>
      <c r="FD2" t="s">
        <v>66</v>
      </c>
      <c r="FE2" t="s">
        <v>31</v>
      </c>
      <c r="FF2" t="s">
        <v>21</v>
      </c>
      <c r="FG2" t="s">
        <v>66</v>
      </c>
      <c r="FH2" t="s">
        <v>53</v>
      </c>
      <c r="FI2" t="s">
        <v>31</v>
      </c>
      <c r="FJ2" t="s">
        <v>60</v>
      </c>
      <c r="FK2" t="s">
        <v>66</v>
      </c>
      <c r="FL2" t="s">
        <v>53</v>
      </c>
      <c r="FM2" t="s">
        <v>21</v>
      </c>
      <c r="FN2" t="s">
        <v>21</v>
      </c>
      <c r="FO2" t="s">
        <v>64</v>
      </c>
      <c r="FP2" t="s">
        <v>53</v>
      </c>
      <c r="FQ2" t="s">
        <v>38</v>
      </c>
      <c r="FR2" t="s">
        <v>50</v>
      </c>
      <c r="FS2" t="s">
        <v>31</v>
      </c>
      <c r="FT2" t="s">
        <v>53</v>
      </c>
      <c r="FU2" t="s">
        <v>64</v>
      </c>
      <c r="FV2" t="s">
        <v>50</v>
      </c>
      <c r="FW2" t="s">
        <v>50</v>
      </c>
      <c r="FX2" t="s">
        <v>66</v>
      </c>
      <c r="FY2" t="s">
        <v>50</v>
      </c>
      <c r="FZ2" t="s">
        <v>38</v>
      </c>
      <c r="GA2" t="s">
        <v>21</v>
      </c>
      <c r="GB2" t="s">
        <v>64</v>
      </c>
      <c r="GC2" t="s">
        <v>50</v>
      </c>
      <c r="GD2" t="s">
        <v>66</v>
      </c>
      <c r="GE2" t="s">
        <v>38</v>
      </c>
      <c r="GF2" t="s">
        <v>60</v>
      </c>
      <c r="GG2" t="s">
        <v>21</v>
      </c>
      <c r="GH2" t="s">
        <v>21</v>
      </c>
      <c r="GI2" t="s">
        <v>64</v>
      </c>
      <c r="GJ2" t="s">
        <v>21</v>
      </c>
      <c r="GK2" t="s">
        <v>50</v>
      </c>
      <c r="GL2" t="s">
        <v>66</v>
      </c>
      <c r="GM2" t="s">
        <v>21</v>
      </c>
      <c r="GN2" t="s">
        <v>21</v>
      </c>
      <c r="GO2" t="s">
        <v>60</v>
      </c>
      <c r="GP2" t="s">
        <v>60</v>
      </c>
      <c r="GQ2" t="s">
        <v>31</v>
      </c>
      <c r="GR2" t="s">
        <v>38</v>
      </c>
      <c r="GS2" t="s">
        <v>50</v>
      </c>
      <c r="GT2" t="s">
        <v>21</v>
      </c>
      <c r="GU2" t="s">
        <v>53</v>
      </c>
      <c r="GV2" t="s">
        <v>21</v>
      </c>
      <c r="GW2" t="s">
        <v>66</v>
      </c>
      <c r="GX2" t="s">
        <v>31</v>
      </c>
      <c r="GY2" t="s">
        <v>38</v>
      </c>
      <c r="GZ2" t="s">
        <v>53</v>
      </c>
      <c r="HA2" t="s">
        <v>31</v>
      </c>
      <c r="HB2" t="s">
        <v>64</v>
      </c>
      <c r="HC2" t="s">
        <v>38</v>
      </c>
      <c r="HD2" t="s">
        <v>21</v>
      </c>
      <c r="HE2" t="s">
        <v>21</v>
      </c>
      <c r="HF2" t="s">
        <v>38</v>
      </c>
      <c r="HG2" t="s">
        <v>21</v>
      </c>
      <c r="HH2" t="s">
        <v>50</v>
      </c>
      <c r="HI2" t="s">
        <v>38</v>
      </c>
      <c r="HJ2" t="s">
        <v>31</v>
      </c>
      <c r="HK2" t="s">
        <v>38</v>
      </c>
      <c r="HL2" t="s">
        <v>53</v>
      </c>
      <c r="HM2" t="s">
        <v>21</v>
      </c>
      <c r="HN2" t="s">
        <v>50</v>
      </c>
      <c r="HO2" t="s">
        <v>50</v>
      </c>
      <c r="HP2" t="s">
        <v>64</v>
      </c>
      <c r="HQ2" t="s">
        <v>31</v>
      </c>
      <c r="HR2" t="s">
        <v>60</v>
      </c>
      <c r="HS2" t="s">
        <v>60</v>
      </c>
      <c r="HT2" t="s">
        <v>38</v>
      </c>
      <c r="HU2" t="s">
        <v>64</v>
      </c>
      <c r="HV2" t="s">
        <v>66</v>
      </c>
      <c r="HW2" t="s">
        <v>38</v>
      </c>
      <c r="HX2" t="s">
        <v>64</v>
      </c>
      <c r="HY2" t="s">
        <v>31</v>
      </c>
      <c r="HZ2" t="s">
        <v>31</v>
      </c>
      <c r="IA2" t="s">
        <v>31</v>
      </c>
      <c r="IB2" t="s">
        <v>31</v>
      </c>
      <c r="IC2" t="s">
        <v>31</v>
      </c>
      <c r="ID2" t="s">
        <v>64</v>
      </c>
      <c r="IE2" t="s">
        <v>64</v>
      </c>
      <c r="IF2" t="s">
        <v>50</v>
      </c>
      <c r="IG2" t="s">
        <v>53</v>
      </c>
      <c r="IH2" t="s">
        <v>60</v>
      </c>
      <c r="II2" t="s">
        <v>21</v>
      </c>
      <c r="IJ2" t="s">
        <v>31</v>
      </c>
      <c r="IK2" t="s">
        <v>66</v>
      </c>
      <c r="IL2" t="s">
        <v>21</v>
      </c>
      <c r="IM2" t="s">
        <v>64</v>
      </c>
      <c r="IN2" t="s">
        <v>66</v>
      </c>
      <c r="IO2" t="s">
        <v>66</v>
      </c>
      <c r="IP2" t="s">
        <v>66</v>
      </c>
      <c r="IQ2" t="s">
        <v>50</v>
      </c>
      <c r="IR2" t="s">
        <v>64</v>
      </c>
      <c r="IS2" t="s">
        <v>66</v>
      </c>
      <c r="IT2" t="s">
        <v>31</v>
      </c>
      <c r="IU2" t="s">
        <v>38</v>
      </c>
      <c r="IV2" t="s">
        <v>66</v>
      </c>
      <c r="IW2" t="s">
        <v>50</v>
      </c>
      <c r="IX2" t="s">
        <v>21</v>
      </c>
      <c r="IY2" t="s">
        <v>64</v>
      </c>
      <c r="IZ2" t="s">
        <v>53</v>
      </c>
      <c r="JA2" t="s">
        <v>50</v>
      </c>
      <c r="JB2" t="s">
        <v>66</v>
      </c>
      <c r="JC2" t="s">
        <v>64</v>
      </c>
      <c r="JD2" t="s">
        <v>38</v>
      </c>
      <c r="JE2" t="s">
        <v>66</v>
      </c>
      <c r="JF2" t="s">
        <v>50</v>
      </c>
      <c r="JG2" t="s">
        <v>60</v>
      </c>
      <c r="JH2" t="s">
        <v>31</v>
      </c>
      <c r="JI2" t="s">
        <v>53</v>
      </c>
      <c r="JJ2" t="s">
        <v>21</v>
      </c>
      <c r="JK2" t="s">
        <v>50</v>
      </c>
      <c r="JL2" t="s">
        <v>64</v>
      </c>
      <c r="JM2" t="s">
        <v>53</v>
      </c>
      <c r="JN2" t="s">
        <v>53</v>
      </c>
      <c r="JO2" t="s">
        <v>53</v>
      </c>
      <c r="JP2" t="s">
        <v>66</v>
      </c>
      <c r="JQ2" t="s">
        <v>31</v>
      </c>
      <c r="JR2" t="s">
        <v>66</v>
      </c>
      <c r="JS2" t="s">
        <v>64</v>
      </c>
      <c r="JT2" t="s">
        <v>66</v>
      </c>
      <c r="JU2" t="s">
        <v>60</v>
      </c>
      <c r="JV2" t="s">
        <v>31</v>
      </c>
      <c r="JW2" t="s">
        <v>31</v>
      </c>
      <c r="JX2" t="s">
        <v>64</v>
      </c>
      <c r="JY2" t="s">
        <v>21</v>
      </c>
      <c r="JZ2" t="s">
        <v>60</v>
      </c>
      <c r="KA2" t="s">
        <v>50</v>
      </c>
      <c r="KB2" t="s">
        <v>66</v>
      </c>
      <c r="KC2" t="s">
        <v>38</v>
      </c>
      <c r="KD2" t="s">
        <v>66</v>
      </c>
      <c r="KE2" t="s">
        <v>53</v>
      </c>
      <c r="KF2" t="s">
        <v>66</v>
      </c>
      <c r="KG2" t="s">
        <v>50</v>
      </c>
      <c r="KH2" t="s">
        <v>66</v>
      </c>
      <c r="KI2" t="s">
        <v>60</v>
      </c>
      <c r="KJ2" t="s">
        <v>60</v>
      </c>
      <c r="KK2" t="s">
        <v>31</v>
      </c>
      <c r="KL2" t="s">
        <v>64</v>
      </c>
      <c r="KM2" t="s">
        <v>21</v>
      </c>
      <c r="KN2" t="s">
        <v>38</v>
      </c>
      <c r="KO2" t="s">
        <v>53</v>
      </c>
      <c r="KP2" t="s">
        <v>66</v>
      </c>
      <c r="KQ2" t="s">
        <v>66</v>
      </c>
      <c r="KR2" t="s">
        <v>50</v>
      </c>
      <c r="KS2" t="s">
        <v>64</v>
      </c>
      <c r="KT2" t="s">
        <v>60</v>
      </c>
      <c r="KU2" t="s">
        <v>38</v>
      </c>
      <c r="KV2" t="s">
        <v>31</v>
      </c>
      <c r="KW2" t="s">
        <v>60</v>
      </c>
      <c r="KX2" t="s">
        <v>53</v>
      </c>
      <c r="KY2" t="s">
        <v>64</v>
      </c>
      <c r="KZ2" t="s">
        <v>53</v>
      </c>
      <c r="LA2" t="s">
        <v>21</v>
      </c>
      <c r="LB2" t="s">
        <v>31</v>
      </c>
      <c r="LC2" t="s">
        <v>21</v>
      </c>
      <c r="LD2" t="s">
        <v>50</v>
      </c>
      <c r="LE2" t="s">
        <v>53</v>
      </c>
      <c r="LF2" t="s">
        <v>50</v>
      </c>
      <c r="LG2" t="s">
        <v>66</v>
      </c>
      <c r="LH2" t="s">
        <v>21</v>
      </c>
      <c r="LI2" t="s">
        <v>64</v>
      </c>
      <c r="LJ2" t="s">
        <v>53</v>
      </c>
      <c r="LK2" t="s">
        <v>38</v>
      </c>
      <c r="LL2" t="s">
        <v>31</v>
      </c>
      <c r="LM2" t="s">
        <v>60</v>
      </c>
      <c r="LN2" t="s">
        <v>64</v>
      </c>
      <c r="LO2" t="s">
        <v>64</v>
      </c>
      <c r="LP2" t="s">
        <v>50</v>
      </c>
      <c r="LQ2" t="s">
        <v>21</v>
      </c>
      <c r="LR2" t="s">
        <v>53</v>
      </c>
      <c r="LS2" t="s">
        <v>53</v>
      </c>
      <c r="LT2" t="s">
        <v>66</v>
      </c>
      <c r="LU2" t="s">
        <v>66</v>
      </c>
      <c r="LV2" t="s">
        <v>31</v>
      </c>
      <c r="LW2" t="s">
        <v>50</v>
      </c>
      <c r="LX2" t="s">
        <v>64</v>
      </c>
      <c r="LY2" t="s">
        <v>53</v>
      </c>
      <c r="LZ2" t="s">
        <v>38</v>
      </c>
      <c r="MA2" t="s">
        <v>50</v>
      </c>
      <c r="MB2" t="s">
        <v>31</v>
      </c>
      <c r="MC2" t="s">
        <v>31</v>
      </c>
      <c r="MD2" t="s">
        <v>50</v>
      </c>
      <c r="ME2" t="s">
        <v>31</v>
      </c>
      <c r="MF2" t="s">
        <v>50</v>
      </c>
      <c r="MG2" t="s">
        <v>60</v>
      </c>
      <c r="MH2" t="s">
        <v>50</v>
      </c>
      <c r="MI2" t="s">
        <v>21</v>
      </c>
      <c r="MJ2" t="s">
        <v>50</v>
      </c>
      <c r="MK2" t="s">
        <v>31</v>
      </c>
      <c r="ML2" t="s">
        <v>53</v>
      </c>
      <c r="MM2" t="s">
        <v>21</v>
      </c>
      <c r="MN2" t="s">
        <v>31</v>
      </c>
      <c r="MO2" t="s">
        <v>66</v>
      </c>
      <c r="MP2" t="s">
        <v>66</v>
      </c>
      <c r="MQ2" t="s">
        <v>53</v>
      </c>
      <c r="MR2" t="s">
        <v>53</v>
      </c>
      <c r="MS2" t="s">
        <v>21</v>
      </c>
      <c r="MT2" t="s">
        <v>60</v>
      </c>
      <c r="MU2" t="s">
        <v>53</v>
      </c>
      <c r="MV2" t="s">
        <v>66</v>
      </c>
      <c r="MW2" t="s">
        <v>50</v>
      </c>
      <c r="MX2" t="s">
        <v>31</v>
      </c>
      <c r="MY2" t="s">
        <v>66</v>
      </c>
      <c r="MZ2" t="s">
        <v>66</v>
      </c>
      <c r="NA2" t="s">
        <v>60</v>
      </c>
      <c r="NB2" t="s">
        <v>21</v>
      </c>
      <c r="NC2" t="s">
        <v>21</v>
      </c>
      <c r="ND2" t="s">
        <v>64</v>
      </c>
      <c r="NE2" t="s">
        <v>60</v>
      </c>
      <c r="NF2" t="s">
        <v>50</v>
      </c>
      <c r="NG2" t="s">
        <v>21</v>
      </c>
      <c r="NH2" t="s">
        <v>31</v>
      </c>
      <c r="NI2" t="s">
        <v>53</v>
      </c>
      <c r="NJ2" t="s">
        <v>60</v>
      </c>
      <c r="NK2" t="s">
        <v>53</v>
      </c>
      <c r="NL2" t="s">
        <v>66</v>
      </c>
      <c r="NM2" t="s">
        <v>31</v>
      </c>
      <c r="NN2" t="s">
        <v>31</v>
      </c>
      <c r="NO2" t="s">
        <v>66</v>
      </c>
      <c r="NP2" t="s">
        <v>60</v>
      </c>
      <c r="NQ2" t="s">
        <v>66</v>
      </c>
      <c r="NR2" t="s">
        <v>53</v>
      </c>
      <c r="NS2" t="s">
        <v>64</v>
      </c>
      <c r="NT2" t="s">
        <v>31</v>
      </c>
      <c r="NU2" t="s">
        <v>38</v>
      </c>
      <c r="NV2" t="s">
        <v>38</v>
      </c>
      <c r="NW2" t="s">
        <v>53</v>
      </c>
      <c r="NX2" t="s">
        <v>50</v>
      </c>
      <c r="NY2" t="s">
        <v>21</v>
      </c>
      <c r="NZ2" t="s">
        <v>66</v>
      </c>
      <c r="OA2" t="s">
        <v>66</v>
      </c>
      <c r="OB2" t="s">
        <v>50</v>
      </c>
      <c r="OC2" t="s">
        <v>50</v>
      </c>
      <c r="OD2" t="s">
        <v>53</v>
      </c>
      <c r="OE2" t="s">
        <v>53</v>
      </c>
      <c r="OF2" t="s">
        <v>50</v>
      </c>
      <c r="OG2" t="s">
        <v>31</v>
      </c>
      <c r="OH2" t="s">
        <v>53</v>
      </c>
      <c r="OI2" t="s">
        <v>64</v>
      </c>
      <c r="OJ2" t="s">
        <v>53</v>
      </c>
      <c r="OK2" t="s">
        <v>66</v>
      </c>
      <c r="OL2" t="s">
        <v>53</v>
      </c>
      <c r="OM2" t="s">
        <v>31</v>
      </c>
      <c r="ON2" t="s">
        <v>50</v>
      </c>
      <c r="OO2" t="s">
        <v>66</v>
      </c>
      <c r="OP2" t="s">
        <v>53</v>
      </c>
      <c r="OQ2" t="s">
        <v>31</v>
      </c>
      <c r="OR2" t="s">
        <v>64</v>
      </c>
      <c r="OS2" t="s">
        <v>53</v>
      </c>
      <c r="OT2" t="s">
        <v>31</v>
      </c>
      <c r="OU2" t="s">
        <v>64</v>
      </c>
      <c r="OV2" t="s">
        <v>50</v>
      </c>
      <c r="OW2" t="s">
        <v>53</v>
      </c>
      <c r="OX2" t="s">
        <v>64</v>
      </c>
      <c r="OY2" t="s">
        <v>66</v>
      </c>
      <c r="OZ2" t="s">
        <v>50</v>
      </c>
      <c r="PA2" t="s">
        <v>66</v>
      </c>
      <c r="PB2" t="s">
        <v>38</v>
      </c>
      <c r="PC2" t="s">
        <v>60</v>
      </c>
      <c r="PD2" t="s">
        <v>53</v>
      </c>
      <c r="PE2" t="s">
        <v>64</v>
      </c>
      <c r="PF2" t="s">
        <v>60</v>
      </c>
      <c r="PG2" t="s">
        <v>60</v>
      </c>
      <c r="PH2" t="s">
        <v>64</v>
      </c>
      <c r="PI2" t="s">
        <v>50</v>
      </c>
      <c r="PJ2" t="s">
        <v>53</v>
      </c>
      <c r="PK2" t="s">
        <v>38</v>
      </c>
      <c r="PL2" t="s">
        <v>66</v>
      </c>
      <c r="PM2" t="s">
        <v>31</v>
      </c>
      <c r="PN2" t="s">
        <v>66</v>
      </c>
      <c r="PO2" t="s">
        <v>31</v>
      </c>
      <c r="PP2" t="s">
        <v>66</v>
      </c>
      <c r="PQ2" t="s">
        <v>64</v>
      </c>
      <c r="PR2" t="s">
        <v>38</v>
      </c>
      <c r="PS2" t="s">
        <v>53</v>
      </c>
      <c r="PT2" t="s">
        <v>31</v>
      </c>
      <c r="PU2" t="s">
        <v>53</v>
      </c>
      <c r="PV2" t="s">
        <v>53</v>
      </c>
      <c r="PW2" t="s">
        <v>53</v>
      </c>
      <c r="PX2" t="s">
        <v>21</v>
      </c>
      <c r="PY2" t="s">
        <v>50</v>
      </c>
      <c r="PZ2" t="s">
        <v>66</v>
      </c>
      <c r="QA2" t="s">
        <v>53</v>
      </c>
      <c r="QB2" t="s">
        <v>66</v>
      </c>
      <c r="QC2" t="s">
        <v>53</v>
      </c>
      <c r="QD2" t="s">
        <v>31</v>
      </c>
      <c r="QE2" t="s">
        <v>50</v>
      </c>
      <c r="QF2" t="s">
        <v>50</v>
      </c>
      <c r="QG2" t="s">
        <v>64</v>
      </c>
      <c r="QH2" t="s">
        <v>21</v>
      </c>
      <c r="QI2" t="s">
        <v>64</v>
      </c>
      <c r="QJ2" t="s">
        <v>64</v>
      </c>
      <c r="QK2" t="s">
        <v>64</v>
      </c>
      <c r="QL2" t="s">
        <v>64</v>
      </c>
      <c r="QM2" t="s">
        <v>64</v>
      </c>
      <c r="QN2" t="s">
        <v>38</v>
      </c>
      <c r="QO2" t="s">
        <v>50</v>
      </c>
      <c r="QP2" t="s">
        <v>64</v>
      </c>
      <c r="QQ2" t="s">
        <v>53</v>
      </c>
      <c r="QR2" t="s">
        <v>50</v>
      </c>
      <c r="QS2" t="s">
        <v>50</v>
      </c>
      <c r="QT2" t="s">
        <v>60</v>
      </c>
      <c r="QU2" t="s">
        <v>38</v>
      </c>
      <c r="QV2" t="s">
        <v>64</v>
      </c>
      <c r="QW2" t="s">
        <v>66</v>
      </c>
      <c r="QX2" t="s">
        <v>31</v>
      </c>
      <c r="QY2" t="s">
        <v>21</v>
      </c>
      <c r="QZ2" t="s">
        <v>53</v>
      </c>
      <c r="RA2" t="s">
        <v>66</v>
      </c>
      <c r="RB2" t="s">
        <v>38</v>
      </c>
      <c r="RC2" t="s">
        <v>31</v>
      </c>
      <c r="RD2" t="s">
        <v>38</v>
      </c>
      <c r="RE2" t="s">
        <v>53</v>
      </c>
      <c r="RF2" t="s">
        <v>50</v>
      </c>
      <c r="RG2" t="s">
        <v>31</v>
      </c>
      <c r="RH2" t="s">
        <v>50</v>
      </c>
      <c r="RI2" t="s">
        <v>53</v>
      </c>
      <c r="RJ2" t="s">
        <v>66</v>
      </c>
      <c r="RK2" t="s">
        <v>53</v>
      </c>
      <c r="RL2" t="s">
        <v>66</v>
      </c>
      <c r="RM2" t="s">
        <v>31</v>
      </c>
      <c r="RN2" t="s">
        <v>31</v>
      </c>
      <c r="RO2" t="s">
        <v>64</v>
      </c>
      <c r="RP2" t="s">
        <v>38</v>
      </c>
      <c r="RQ2" t="s">
        <v>64</v>
      </c>
      <c r="RR2" t="s">
        <v>38</v>
      </c>
      <c r="RS2" t="s">
        <v>64</v>
      </c>
      <c r="RT2" t="s">
        <v>50</v>
      </c>
      <c r="RU2" t="s">
        <v>31</v>
      </c>
      <c r="RV2" t="s">
        <v>66</v>
      </c>
      <c r="RW2" t="s">
        <v>38</v>
      </c>
      <c r="RX2" t="s">
        <v>53</v>
      </c>
      <c r="RY2" t="s">
        <v>38</v>
      </c>
      <c r="RZ2" t="s">
        <v>66</v>
      </c>
      <c r="SA2" t="s">
        <v>64</v>
      </c>
      <c r="SB2" t="s">
        <v>38</v>
      </c>
      <c r="SC2" t="s">
        <v>21</v>
      </c>
      <c r="SD2" t="s">
        <v>50</v>
      </c>
      <c r="SE2" t="s">
        <v>31</v>
      </c>
      <c r="SF2" t="s">
        <v>66</v>
      </c>
      <c r="SG2" t="s">
        <v>31</v>
      </c>
      <c r="SH2" t="s">
        <v>21</v>
      </c>
      <c r="SI2" t="s">
        <v>38</v>
      </c>
      <c r="SJ2" t="s">
        <v>38</v>
      </c>
      <c r="SK2" t="s">
        <v>53</v>
      </c>
      <c r="SL2" t="s">
        <v>21</v>
      </c>
      <c r="SM2" t="s">
        <v>66</v>
      </c>
      <c r="SN2" t="s">
        <v>53</v>
      </c>
      <c r="SO2" t="s">
        <v>50</v>
      </c>
      <c r="SP2" t="s">
        <v>53</v>
      </c>
      <c r="SQ2" t="s">
        <v>60</v>
      </c>
      <c r="SR2" t="s">
        <v>66</v>
      </c>
      <c r="SS2" t="s">
        <v>60</v>
      </c>
      <c r="ST2" t="s">
        <v>21</v>
      </c>
      <c r="SU2" t="s">
        <v>64</v>
      </c>
      <c r="SV2" t="s">
        <v>60</v>
      </c>
      <c r="SW2" t="s">
        <v>50</v>
      </c>
      <c r="SX2" t="s">
        <v>53</v>
      </c>
      <c r="SY2" t="s">
        <v>64</v>
      </c>
      <c r="SZ2" t="s">
        <v>53</v>
      </c>
      <c r="TA2" t="s">
        <v>60</v>
      </c>
      <c r="TB2" t="s">
        <v>53</v>
      </c>
      <c r="TC2" t="s">
        <v>21</v>
      </c>
      <c r="TD2" t="s">
        <v>64</v>
      </c>
      <c r="TE2" t="s">
        <v>21</v>
      </c>
      <c r="TF2" t="s">
        <v>60</v>
      </c>
      <c r="TG2" t="s">
        <v>21</v>
      </c>
      <c r="TH2" t="s">
        <v>50</v>
      </c>
      <c r="TI2" t="s">
        <v>60</v>
      </c>
      <c r="TJ2" t="s">
        <v>60</v>
      </c>
      <c r="TK2" t="s">
        <v>60</v>
      </c>
      <c r="TL2" t="s">
        <v>66</v>
      </c>
      <c r="TM2" t="s">
        <v>53</v>
      </c>
      <c r="TN2" t="s">
        <v>66</v>
      </c>
      <c r="TO2" t="s">
        <v>66</v>
      </c>
      <c r="TP2" t="s">
        <v>50</v>
      </c>
      <c r="TQ2" t="s">
        <v>64</v>
      </c>
      <c r="TR2" t="s">
        <v>53</v>
      </c>
      <c r="TS2" t="s">
        <v>21</v>
      </c>
      <c r="TT2" t="s">
        <v>38</v>
      </c>
      <c r="TU2" t="s">
        <v>60</v>
      </c>
      <c r="TV2" t="s">
        <v>21</v>
      </c>
      <c r="TW2" t="s">
        <v>60</v>
      </c>
      <c r="TX2" t="s">
        <v>50</v>
      </c>
      <c r="TY2" t="s">
        <v>60</v>
      </c>
      <c r="TZ2" t="s">
        <v>66</v>
      </c>
      <c r="UA2" t="s">
        <v>53</v>
      </c>
      <c r="UB2" t="s">
        <v>38</v>
      </c>
      <c r="UC2" t="s">
        <v>31</v>
      </c>
      <c r="UD2" t="s">
        <v>60</v>
      </c>
      <c r="UE2" t="s">
        <v>21</v>
      </c>
      <c r="UF2" t="s">
        <v>66</v>
      </c>
      <c r="UG2" t="s">
        <v>31</v>
      </c>
      <c r="UH2" t="s">
        <v>38</v>
      </c>
      <c r="UI2" t="s">
        <v>31</v>
      </c>
      <c r="UJ2" t="s">
        <v>66</v>
      </c>
      <c r="UK2" t="s">
        <v>53</v>
      </c>
      <c r="UL2" t="s">
        <v>53</v>
      </c>
      <c r="UM2" t="s">
        <v>64</v>
      </c>
      <c r="UN2" t="s">
        <v>53</v>
      </c>
      <c r="UO2" t="s">
        <v>64</v>
      </c>
      <c r="UP2" t="s">
        <v>31</v>
      </c>
      <c r="UQ2" t="s">
        <v>50</v>
      </c>
      <c r="UR2" t="s">
        <v>21</v>
      </c>
      <c r="US2" t="s">
        <v>21</v>
      </c>
      <c r="UT2" t="s">
        <v>31</v>
      </c>
      <c r="UU2" t="s">
        <v>60</v>
      </c>
      <c r="UV2" t="s">
        <v>60</v>
      </c>
      <c r="UW2" t="s">
        <v>53</v>
      </c>
      <c r="UX2" t="s">
        <v>21</v>
      </c>
      <c r="UY2" t="s">
        <v>21</v>
      </c>
      <c r="UZ2" t="s">
        <v>64</v>
      </c>
      <c r="VA2" t="s">
        <v>50</v>
      </c>
      <c r="VB2" t="s">
        <v>66</v>
      </c>
      <c r="VC2" t="s">
        <v>60</v>
      </c>
      <c r="VD2" t="s">
        <v>21</v>
      </c>
      <c r="VE2" t="s">
        <v>64</v>
      </c>
      <c r="VF2" t="s">
        <v>38</v>
      </c>
      <c r="VG2" t="s">
        <v>64</v>
      </c>
      <c r="VH2" t="s">
        <v>60</v>
      </c>
      <c r="VI2" t="s">
        <v>60</v>
      </c>
      <c r="VJ2" t="s">
        <v>64</v>
      </c>
      <c r="VK2" t="s">
        <v>66</v>
      </c>
      <c r="VL2" t="s">
        <v>31</v>
      </c>
      <c r="VM2" t="s">
        <v>60</v>
      </c>
      <c r="VN2" t="s">
        <v>64</v>
      </c>
      <c r="VO2" t="s">
        <v>21</v>
      </c>
      <c r="VP2" t="s">
        <v>64</v>
      </c>
      <c r="VQ2" t="s">
        <v>50</v>
      </c>
      <c r="VR2" t="s">
        <v>31</v>
      </c>
      <c r="VS2" t="s">
        <v>38</v>
      </c>
      <c r="VT2" t="s">
        <v>66</v>
      </c>
      <c r="VU2" t="s">
        <v>53</v>
      </c>
      <c r="VV2" t="s">
        <v>38</v>
      </c>
      <c r="VW2" t="s">
        <v>31</v>
      </c>
      <c r="VX2" t="s">
        <v>31</v>
      </c>
      <c r="VY2" t="s">
        <v>31</v>
      </c>
      <c r="VZ2" t="s">
        <v>38</v>
      </c>
      <c r="WA2" t="s">
        <v>21</v>
      </c>
      <c r="WB2" t="s">
        <v>31</v>
      </c>
      <c r="WC2" t="s">
        <v>64</v>
      </c>
      <c r="WD2" t="s">
        <v>38</v>
      </c>
      <c r="WE2" t="s">
        <v>53</v>
      </c>
      <c r="WF2" t="s">
        <v>31</v>
      </c>
      <c r="WG2" t="s">
        <v>64</v>
      </c>
      <c r="WH2" t="s">
        <v>21</v>
      </c>
      <c r="WI2" t="s">
        <v>50</v>
      </c>
      <c r="WJ2" t="s">
        <v>21</v>
      </c>
      <c r="WK2" t="s">
        <v>53</v>
      </c>
      <c r="WL2" t="s">
        <v>31</v>
      </c>
      <c r="WM2" t="s">
        <v>53</v>
      </c>
      <c r="WN2" t="s">
        <v>38</v>
      </c>
      <c r="WO2" t="s">
        <v>60</v>
      </c>
      <c r="WP2" t="s">
        <v>31</v>
      </c>
      <c r="WQ2" t="s">
        <v>60</v>
      </c>
      <c r="WR2" t="s">
        <v>64</v>
      </c>
      <c r="WS2" t="s">
        <v>50</v>
      </c>
      <c r="WT2" t="s">
        <v>66</v>
      </c>
      <c r="WU2" t="s">
        <v>53</v>
      </c>
      <c r="WV2" t="s">
        <v>21</v>
      </c>
      <c r="WW2" t="s">
        <v>50</v>
      </c>
      <c r="WX2" t="s">
        <v>31</v>
      </c>
      <c r="WY2" t="s">
        <v>60</v>
      </c>
      <c r="WZ2" t="s">
        <v>21</v>
      </c>
      <c r="XA2" t="s">
        <v>60</v>
      </c>
      <c r="XB2" t="s">
        <v>38</v>
      </c>
      <c r="XC2" t="s">
        <v>60</v>
      </c>
      <c r="XD2" t="s">
        <v>38</v>
      </c>
      <c r="XE2" t="s">
        <v>64</v>
      </c>
      <c r="XF2" t="s">
        <v>21</v>
      </c>
      <c r="XG2" t="s">
        <v>21</v>
      </c>
      <c r="XH2" t="s">
        <v>66</v>
      </c>
      <c r="XI2" t="s">
        <v>31</v>
      </c>
      <c r="XJ2" t="s">
        <v>38</v>
      </c>
      <c r="XK2" t="s">
        <v>66</v>
      </c>
      <c r="XL2" t="s">
        <v>60</v>
      </c>
      <c r="XM2" t="s">
        <v>60</v>
      </c>
      <c r="XN2" t="s">
        <v>66</v>
      </c>
      <c r="XO2" t="s">
        <v>21</v>
      </c>
      <c r="XP2" t="s">
        <v>60</v>
      </c>
      <c r="XQ2" t="s">
        <v>53</v>
      </c>
      <c r="XR2" t="s">
        <v>64</v>
      </c>
      <c r="XS2" t="s">
        <v>64</v>
      </c>
      <c r="XT2" t="s">
        <v>53</v>
      </c>
      <c r="XU2" t="s">
        <v>66</v>
      </c>
      <c r="XV2" t="s">
        <v>53</v>
      </c>
      <c r="XW2" t="s">
        <v>38</v>
      </c>
      <c r="XX2" t="s">
        <v>38</v>
      </c>
      <c r="XY2" t="s">
        <v>66</v>
      </c>
      <c r="XZ2" t="s">
        <v>53</v>
      </c>
      <c r="YA2" t="s">
        <v>38</v>
      </c>
      <c r="YB2" t="s">
        <v>21</v>
      </c>
      <c r="YC2" t="s">
        <v>53</v>
      </c>
      <c r="YD2" t="s">
        <v>21</v>
      </c>
      <c r="YE2" t="s">
        <v>38</v>
      </c>
      <c r="YF2" t="s">
        <v>64</v>
      </c>
      <c r="YG2" t="s">
        <v>38</v>
      </c>
      <c r="YH2" t="s">
        <v>21</v>
      </c>
      <c r="YI2" t="s">
        <v>50</v>
      </c>
      <c r="YJ2" t="s">
        <v>31</v>
      </c>
      <c r="YK2" t="s">
        <v>60</v>
      </c>
      <c r="YL2" t="s">
        <v>53</v>
      </c>
      <c r="YM2" t="s">
        <v>50</v>
      </c>
      <c r="YN2" t="s">
        <v>38</v>
      </c>
      <c r="YO2" t="s">
        <v>64</v>
      </c>
      <c r="YP2" t="s">
        <v>66</v>
      </c>
      <c r="YQ2" t="s">
        <v>38</v>
      </c>
      <c r="YR2" t="s">
        <v>64</v>
      </c>
      <c r="YS2" t="s">
        <v>31</v>
      </c>
      <c r="YT2" t="s">
        <v>38</v>
      </c>
      <c r="YU2" t="s">
        <v>21</v>
      </c>
      <c r="YV2" t="s">
        <v>66</v>
      </c>
      <c r="YW2" t="s">
        <v>64</v>
      </c>
      <c r="YX2" t="s">
        <v>64</v>
      </c>
      <c r="YY2" t="s">
        <v>64</v>
      </c>
      <c r="YZ2" t="s">
        <v>31</v>
      </c>
      <c r="ZA2" t="s">
        <v>38</v>
      </c>
      <c r="ZB2" t="s">
        <v>31</v>
      </c>
      <c r="ZC2" t="s">
        <v>53</v>
      </c>
      <c r="ZD2" t="s">
        <v>60</v>
      </c>
      <c r="ZE2" t="s">
        <v>60</v>
      </c>
      <c r="ZF2" t="s">
        <v>53</v>
      </c>
      <c r="ZG2" t="s">
        <v>38</v>
      </c>
      <c r="ZH2" t="s">
        <v>21</v>
      </c>
      <c r="ZI2" t="s">
        <v>31</v>
      </c>
      <c r="ZJ2" t="s">
        <v>66</v>
      </c>
      <c r="ZK2" t="s">
        <v>64</v>
      </c>
      <c r="ZL2" t="s">
        <v>64</v>
      </c>
      <c r="ZM2" t="s">
        <v>38</v>
      </c>
      <c r="ZN2" t="s">
        <v>21</v>
      </c>
      <c r="ZO2" t="s">
        <v>60</v>
      </c>
      <c r="ZP2" t="s">
        <v>60</v>
      </c>
      <c r="ZQ2" t="s">
        <v>64</v>
      </c>
      <c r="ZR2" t="s">
        <v>38</v>
      </c>
      <c r="ZS2" t="s">
        <v>31</v>
      </c>
      <c r="ZT2" t="s">
        <v>60</v>
      </c>
      <c r="ZU2" t="s">
        <v>31</v>
      </c>
      <c r="ZV2" t="s">
        <v>21</v>
      </c>
      <c r="ZW2" t="s">
        <v>60</v>
      </c>
      <c r="ZX2" t="s">
        <v>60</v>
      </c>
      <c r="ZY2" t="s">
        <v>50</v>
      </c>
      <c r="ZZ2" t="s">
        <v>60</v>
      </c>
      <c r="AAA2" t="s">
        <v>53</v>
      </c>
      <c r="AAB2" t="s">
        <v>66</v>
      </c>
      <c r="AAC2" t="s">
        <v>53</v>
      </c>
      <c r="AAD2" t="s">
        <v>38</v>
      </c>
      <c r="AAE2" t="s">
        <v>38</v>
      </c>
      <c r="AAF2" t="s">
        <v>31</v>
      </c>
      <c r="AAG2" t="s">
        <v>53</v>
      </c>
      <c r="AAH2" t="s">
        <v>53</v>
      </c>
      <c r="AAI2" t="s">
        <v>53</v>
      </c>
      <c r="AAJ2" t="s">
        <v>21</v>
      </c>
      <c r="AAK2" t="s">
        <v>60</v>
      </c>
      <c r="AAL2" t="s">
        <v>66</v>
      </c>
      <c r="AAM2" t="s">
        <v>31</v>
      </c>
      <c r="AAN2" t="s">
        <v>53</v>
      </c>
      <c r="AAO2" t="s">
        <v>53</v>
      </c>
      <c r="AAP2" t="s">
        <v>50</v>
      </c>
      <c r="AAQ2" t="s">
        <v>31</v>
      </c>
      <c r="AAR2" t="s">
        <v>53</v>
      </c>
      <c r="AAS2" t="s">
        <v>31</v>
      </c>
      <c r="AAT2" t="s">
        <v>60</v>
      </c>
      <c r="AAU2" t="s">
        <v>50</v>
      </c>
      <c r="AAV2" t="s">
        <v>31</v>
      </c>
      <c r="AAW2" t="s">
        <v>66</v>
      </c>
      <c r="AAX2" t="s">
        <v>66</v>
      </c>
      <c r="AAY2" t="s">
        <v>38</v>
      </c>
      <c r="AAZ2" t="s">
        <v>50</v>
      </c>
      <c r="ABA2" t="s">
        <v>50</v>
      </c>
      <c r="ABB2" t="s">
        <v>38</v>
      </c>
      <c r="ABC2" t="s">
        <v>31</v>
      </c>
      <c r="ABD2" t="s">
        <v>50</v>
      </c>
      <c r="ABE2" t="s">
        <v>66</v>
      </c>
      <c r="ABF2" t="s">
        <v>66</v>
      </c>
      <c r="ABG2" t="s">
        <v>53</v>
      </c>
      <c r="ABH2" t="s">
        <v>60</v>
      </c>
      <c r="ABI2" t="s">
        <v>50</v>
      </c>
      <c r="ABJ2" t="s">
        <v>31</v>
      </c>
      <c r="ABK2" t="s">
        <v>38</v>
      </c>
      <c r="ABL2" t="s">
        <v>38</v>
      </c>
      <c r="ABM2" t="s">
        <v>31</v>
      </c>
      <c r="ABN2" t="s">
        <v>21</v>
      </c>
      <c r="ABO2" t="s">
        <v>64</v>
      </c>
      <c r="ABP2" t="s">
        <v>60</v>
      </c>
      <c r="ABQ2" t="s">
        <v>38</v>
      </c>
      <c r="ABR2" t="s">
        <v>50</v>
      </c>
      <c r="ABS2" t="s">
        <v>60</v>
      </c>
      <c r="ABT2" t="s">
        <v>50</v>
      </c>
      <c r="ABU2" t="s">
        <v>21</v>
      </c>
      <c r="ABV2" t="s">
        <v>66</v>
      </c>
      <c r="ABW2" t="s">
        <v>60</v>
      </c>
      <c r="ABX2" t="s">
        <v>53</v>
      </c>
      <c r="ABY2" t="s">
        <v>38</v>
      </c>
      <c r="ABZ2" t="s">
        <v>60</v>
      </c>
      <c r="ACA2" t="s">
        <v>60</v>
      </c>
      <c r="ACB2" t="s">
        <v>60</v>
      </c>
      <c r="ACC2" t="s">
        <v>64</v>
      </c>
      <c r="ACD2" t="s">
        <v>60</v>
      </c>
      <c r="ACE2" t="s">
        <v>50</v>
      </c>
      <c r="ACF2" t="s">
        <v>66</v>
      </c>
      <c r="ACG2" t="s">
        <v>21</v>
      </c>
      <c r="ACH2" t="s">
        <v>31</v>
      </c>
      <c r="ACI2" t="s">
        <v>60</v>
      </c>
      <c r="ACJ2" t="s">
        <v>38</v>
      </c>
      <c r="ACK2" t="s">
        <v>60</v>
      </c>
      <c r="ACL2" t="s">
        <v>38</v>
      </c>
      <c r="ACM2" t="s">
        <v>50</v>
      </c>
      <c r="ACN2" t="s">
        <v>38</v>
      </c>
      <c r="ACO2" t="s">
        <v>53</v>
      </c>
      <c r="ACP2" t="s">
        <v>31</v>
      </c>
      <c r="ACQ2" t="s">
        <v>66</v>
      </c>
      <c r="ACR2" t="s">
        <v>38</v>
      </c>
      <c r="ACS2" t="s">
        <v>38</v>
      </c>
      <c r="ACT2" t="s">
        <v>66</v>
      </c>
      <c r="ACU2" t="s">
        <v>31</v>
      </c>
      <c r="ACV2" t="s">
        <v>60</v>
      </c>
      <c r="ACW2" t="s">
        <v>38</v>
      </c>
      <c r="ACX2" t="s">
        <v>66</v>
      </c>
      <c r="ACY2" t="s">
        <v>53</v>
      </c>
      <c r="ACZ2" t="s">
        <v>53</v>
      </c>
      <c r="ADA2" t="s">
        <v>50</v>
      </c>
      <c r="ADB2" t="s">
        <v>66</v>
      </c>
      <c r="ADC2" t="s">
        <v>50</v>
      </c>
      <c r="ADD2" t="s">
        <v>53</v>
      </c>
      <c r="ADE2" t="s">
        <v>31</v>
      </c>
      <c r="ADF2" t="s">
        <v>60</v>
      </c>
      <c r="ADG2" t="s">
        <v>66</v>
      </c>
      <c r="ADH2" t="s">
        <v>21</v>
      </c>
      <c r="ADI2" t="s">
        <v>53</v>
      </c>
      <c r="ADJ2" t="s">
        <v>53</v>
      </c>
      <c r="ADK2" t="s">
        <v>21</v>
      </c>
      <c r="ADL2" t="s">
        <v>64</v>
      </c>
      <c r="ADM2" t="s">
        <v>53</v>
      </c>
      <c r="ADN2" t="s">
        <v>38</v>
      </c>
      <c r="ADO2" t="s">
        <v>31</v>
      </c>
      <c r="ADP2" t="s">
        <v>66</v>
      </c>
      <c r="ADQ2" t="s">
        <v>21</v>
      </c>
      <c r="ADR2" t="s">
        <v>38</v>
      </c>
      <c r="ADS2" t="s">
        <v>21</v>
      </c>
      <c r="ADT2" t="s">
        <v>66</v>
      </c>
      <c r="ADU2" t="s">
        <v>50</v>
      </c>
      <c r="ADV2" t="s">
        <v>66</v>
      </c>
      <c r="ADW2" t="s">
        <v>64</v>
      </c>
      <c r="ADX2" t="s">
        <v>66</v>
      </c>
      <c r="ADY2" t="s">
        <v>66</v>
      </c>
      <c r="ADZ2" t="s">
        <v>64</v>
      </c>
      <c r="AEA2" t="s">
        <v>31</v>
      </c>
      <c r="AEB2" t="s">
        <v>53</v>
      </c>
      <c r="AEC2" t="s">
        <v>66</v>
      </c>
      <c r="AED2" t="s">
        <v>64</v>
      </c>
      <c r="AEE2" t="s">
        <v>38</v>
      </c>
      <c r="AEF2" t="s">
        <v>50</v>
      </c>
      <c r="AEG2" t="s">
        <v>50</v>
      </c>
      <c r="AEH2" t="s">
        <v>66</v>
      </c>
      <c r="AEI2" t="s">
        <v>31</v>
      </c>
      <c r="AEJ2" t="s">
        <v>31</v>
      </c>
      <c r="AEK2" t="s">
        <v>38</v>
      </c>
      <c r="AEL2" t="s">
        <v>66</v>
      </c>
      <c r="AEM2" t="s">
        <v>50</v>
      </c>
      <c r="AEN2" t="s">
        <v>31</v>
      </c>
      <c r="AEO2" t="s">
        <v>66</v>
      </c>
      <c r="AEP2" t="s">
        <v>21</v>
      </c>
      <c r="AEQ2" t="s">
        <v>31</v>
      </c>
      <c r="AER2" t="s">
        <v>64</v>
      </c>
      <c r="AES2" t="s">
        <v>21</v>
      </c>
      <c r="AET2" t="s">
        <v>53</v>
      </c>
      <c r="AEU2" t="s">
        <v>31</v>
      </c>
      <c r="AEV2" t="s">
        <v>50</v>
      </c>
      <c r="AEW2" t="s">
        <v>60</v>
      </c>
      <c r="AEX2" t="s">
        <v>21</v>
      </c>
      <c r="AEY2" t="s">
        <v>53</v>
      </c>
      <c r="AEZ2" t="s">
        <v>38</v>
      </c>
      <c r="AFA2" t="s">
        <v>38</v>
      </c>
      <c r="AFB2" t="s">
        <v>50</v>
      </c>
      <c r="AFC2" t="s">
        <v>31</v>
      </c>
      <c r="AFD2" t="s">
        <v>66</v>
      </c>
      <c r="AFE2" t="s">
        <v>31</v>
      </c>
      <c r="AFF2" t="s">
        <v>50</v>
      </c>
      <c r="AFG2" t="s">
        <v>38</v>
      </c>
      <c r="AFH2" t="s">
        <v>31</v>
      </c>
      <c r="AFI2" t="s">
        <v>38</v>
      </c>
      <c r="AFJ2" t="s">
        <v>21</v>
      </c>
      <c r="AFK2" t="s">
        <v>53</v>
      </c>
      <c r="AFL2" t="s">
        <v>66</v>
      </c>
      <c r="AFM2" t="s">
        <v>21</v>
      </c>
      <c r="AFN2" t="s">
        <v>38</v>
      </c>
      <c r="AFO2" t="s">
        <v>38</v>
      </c>
      <c r="AFP2" t="s">
        <v>60</v>
      </c>
      <c r="AFQ2" t="s">
        <v>60</v>
      </c>
      <c r="AFR2" t="s">
        <v>21</v>
      </c>
      <c r="AFS2" t="s">
        <v>64</v>
      </c>
      <c r="AFT2" t="s">
        <v>21</v>
      </c>
      <c r="AFU2" t="s">
        <v>60</v>
      </c>
      <c r="AFV2" t="s">
        <v>38</v>
      </c>
      <c r="AFW2" t="s">
        <v>50</v>
      </c>
      <c r="AFX2" t="s">
        <v>21</v>
      </c>
      <c r="AFY2" t="s">
        <v>38</v>
      </c>
      <c r="AFZ2" t="s">
        <v>50</v>
      </c>
      <c r="AGA2" t="s">
        <v>50</v>
      </c>
      <c r="AGB2" t="s">
        <v>60</v>
      </c>
      <c r="AGC2" t="s">
        <v>21</v>
      </c>
      <c r="AGD2" t="s">
        <v>31</v>
      </c>
      <c r="AGE2" t="s">
        <v>66</v>
      </c>
      <c r="AGF2" t="s">
        <v>60</v>
      </c>
      <c r="AGG2" t="s">
        <v>60</v>
      </c>
      <c r="AGH2" t="s">
        <v>31</v>
      </c>
      <c r="AGI2" t="s">
        <v>66</v>
      </c>
      <c r="AGJ2" t="s">
        <v>38</v>
      </c>
      <c r="AGK2" t="s">
        <v>64</v>
      </c>
      <c r="AGL2" t="s">
        <v>50</v>
      </c>
      <c r="AGM2" t="s">
        <v>64</v>
      </c>
      <c r="AGN2" t="s">
        <v>38</v>
      </c>
      <c r="AGO2" t="s">
        <v>53</v>
      </c>
      <c r="AGP2" t="s">
        <v>60</v>
      </c>
      <c r="AGQ2" t="s">
        <v>66</v>
      </c>
      <c r="AGR2" t="s">
        <v>60</v>
      </c>
      <c r="AGS2" t="s">
        <v>50</v>
      </c>
    </row>
    <row r="3" spans="1:885" x14ac:dyDescent="0.25">
      <c r="A3" s="1" t="s">
        <v>2</v>
      </c>
      <c r="B3" t="s">
        <v>22</v>
      </c>
      <c r="C3" t="s">
        <v>32</v>
      </c>
      <c r="D3" t="s">
        <v>32</v>
      </c>
      <c r="E3" t="s">
        <v>32</v>
      </c>
      <c r="F3" t="s">
        <v>51</v>
      </c>
      <c r="G3" t="s">
        <v>32</v>
      </c>
      <c r="H3" t="s">
        <v>57</v>
      </c>
      <c r="I3" t="s">
        <v>22</v>
      </c>
      <c r="J3" t="s">
        <v>32</v>
      </c>
      <c r="K3" t="s">
        <v>61</v>
      </c>
      <c r="L3" t="s">
        <v>51</v>
      </c>
      <c r="M3" t="s">
        <v>57</v>
      </c>
      <c r="N3" t="s">
        <v>61</v>
      </c>
      <c r="O3" t="s">
        <v>61</v>
      </c>
      <c r="P3" t="s">
        <v>61</v>
      </c>
      <c r="Q3" t="s">
        <v>61</v>
      </c>
      <c r="R3" t="s">
        <v>22</v>
      </c>
      <c r="S3" t="s">
        <v>32</v>
      </c>
      <c r="T3" t="s">
        <v>63</v>
      </c>
      <c r="U3" t="s">
        <v>22</v>
      </c>
      <c r="V3" t="s">
        <v>22</v>
      </c>
      <c r="W3" t="s">
        <v>57</v>
      </c>
      <c r="X3" t="s">
        <v>57</v>
      </c>
      <c r="Y3" t="s">
        <v>32</v>
      </c>
      <c r="Z3" t="s">
        <v>63</v>
      </c>
      <c r="AA3" t="s">
        <v>57</v>
      </c>
      <c r="AB3" t="s">
        <v>32</v>
      </c>
      <c r="AC3" t="s">
        <v>32</v>
      </c>
      <c r="AD3" t="s">
        <v>65</v>
      </c>
      <c r="AE3" t="s">
        <v>63</v>
      </c>
      <c r="AF3" t="s">
        <v>57</v>
      </c>
      <c r="AG3" t="s">
        <v>63</v>
      </c>
      <c r="AH3" t="s">
        <v>22</v>
      </c>
      <c r="AI3" t="s">
        <v>22</v>
      </c>
      <c r="AJ3" t="s">
        <v>63</v>
      </c>
      <c r="AK3" t="s">
        <v>65</v>
      </c>
      <c r="AL3" t="s">
        <v>65</v>
      </c>
      <c r="AM3" t="s">
        <v>63</v>
      </c>
      <c r="AN3" t="s">
        <v>57</v>
      </c>
      <c r="AO3" t="s">
        <v>51</v>
      </c>
      <c r="AP3" t="s">
        <v>65</v>
      </c>
      <c r="AQ3" t="s">
        <v>61</v>
      </c>
      <c r="AR3" t="s">
        <v>22</v>
      </c>
      <c r="AS3" t="s">
        <v>63</v>
      </c>
      <c r="AT3" t="s">
        <v>61</v>
      </c>
      <c r="AU3" t="s">
        <v>63</v>
      </c>
      <c r="AV3" t="s">
        <v>32</v>
      </c>
      <c r="AW3" t="s">
        <v>22</v>
      </c>
      <c r="AX3" t="s">
        <v>22</v>
      </c>
      <c r="AY3" t="s">
        <v>65</v>
      </c>
      <c r="AZ3" t="s">
        <v>65</v>
      </c>
      <c r="BA3" t="s">
        <v>61</v>
      </c>
      <c r="BB3" t="s">
        <v>32</v>
      </c>
      <c r="BC3" t="s">
        <v>63</v>
      </c>
      <c r="BD3" t="s">
        <v>32</v>
      </c>
      <c r="BE3" t="s">
        <v>22</v>
      </c>
      <c r="BF3" t="s">
        <v>61</v>
      </c>
      <c r="BG3" t="s">
        <v>51</v>
      </c>
      <c r="BH3" t="s">
        <v>61</v>
      </c>
      <c r="BI3" t="s">
        <v>57</v>
      </c>
      <c r="BJ3" t="s">
        <v>61</v>
      </c>
      <c r="BK3" t="s">
        <v>32</v>
      </c>
      <c r="BL3" t="s">
        <v>57</v>
      </c>
      <c r="BM3" t="s">
        <v>57</v>
      </c>
      <c r="BN3" t="s">
        <v>57</v>
      </c>
      <c r="BO3" t="s">
        <v>51</v>
      </c>
      <c r="BP3" t="s">
        <v>61</v>
      </c>
      <c r="BQ3" t="s">
        <v>32</v>
      </c>
      <c r="BR3" t="s">
        <v>61</v>
      </c>
      <c r="BS3" t="s">
        <v>51</v>
      </c>
      <c r="BT3" t="s">
        <v>22</v>
      </c>
      <c r="BU3" t="s">
        <v>65</v>
      </c>
      <c r="BV3" t="s">
        <v>32</v>
      </c>
      <c r="BW3" t="s">
        <v>32</v>
      </c>
      <c r="BX3" t="s">
        <v>61</v>
      </c>
      <c r="BY3" t="s">
        <v>65</v>
      </c>
      <c r="BZ3" t="s">
        <v>63</v>
      </c>
      <c r="CA3" t="s">
        <v>63</v>
      </c>
      <c r="CB3" t="s">
        <v>51</v>
      </c>
      <c r="CC3" t="s">
        <v>63</v>
      </c>
      <c r="CD3" t="s">
        <v>32</v>
      </c>
      <c r="CE3" t="s">
        <v>63</v>
      </c>
      <c r="CF3" t="s">
        <v>22</v>
      </c>
      <c r="CG3" t="s">
        <v>22</v>
      </c>
      <c r="CH3" t="s">
        <v>22</v>
      </c>
      <c r="CI3" t="s">
        <v>63</v>
      </c>
      <c r="CJ3" t="s">
        <v>51</v>
      </c>
      <c r="CK3" t="s">
        <v>57</v>
      </c>
      <c r="CL3" t="s">
        <v>57</v>
      </c>
      <c r="CM3" t="s">
        <v>65</v>
      </c>
      <c r="CN3" t="s">
        <v>57</v>
      </c>
      <c r="CO3" t="s">
        <v>57</v>
      </c>
      <c r="CP3" t="s">
        <v>22</v>
      </c>
      <c r="CQ3" t="s">
        <v>22</v>
      </c>
      <c r="CR3" t="s">
        <v>63</v>
      </c>
      <c r="CS3" t="s">
        <v>65</v>
      </c>
      <c r="CT3" t="s">
        <v>61</v>
      </c>
      <c r="CU3" t="s">
        <v>32</v>
      </c>
      <c r="CV3" t="s">
        <v>65</v>
      </c>
      <c r="CW3" t="s">
        <v>65</v>
      </c>
      <c r="CX3" t="s">
        <v>51</v>
      </c>
      <c r="CY3" t="s">
        <v>63</v>
      </c>
      <c r="CZ3" t="s">
        <v>51</v>
      </c>
      <c r="DA3" t="s">
        <v>65</v>
      </c>
      <c r="DB3" t="s">
        <v>65</v>
      </c>
      <c r="DC3" t="s">
        <v>65</v>
      </c>
      <c r="DD3" t="s">
        <v>57</v>
      </c>
      <c r="DE3" t="s">
        <v>32</v>
      </c>
      <c r="DF3" t="s">
        <v>32</v>
      </c>
      <c r="DG3" t="s">
        <v>51</v>
      </c>
      <c r="DH3" t="s">
        <v>65</v>
      </c>
      <c r="DI3" t="s">
        <v>32</v>
      </c>
      <c r="DJ3" t="s">
        <v>22</v>
      </c>
      <c r="DK3" t="s">
        <v>32</v>
      </c>
      <c r="DL3" t="s">
        <v>63</v>
      </c>
      <c r="DM3" t="s">
        <v>63</v>
      </c>
      <c r="DN3" t="s">
        <v>32</v>
      </c>
      <c r="DO3" t="s">
        <v>22</v>
      </c>
      <c r="DP3" t="s">
        <v>63</v>
      </c>
      <c r="DQ3" t="s">
        <v>57</v>
      </c>
      <c r="DR3" t="s">
        <v>32</v>
      </c>
      <c r="DS3" t="s">
        <v>57</v>
      </c>
      <c r="DT3" t="s">
        <v>32</v>
      </c>
      <c r="DU3" t="s">
        <v>61</v>
      </c>
      <c r="DV3" t="s">
        <v>61</v>
      </c>
      <c r="DW3" t="s">
        <v>61</v>
      </c>
      <c r="DX3" t="s">
        <v>63</v>
      </c>
      <c r="DY3" t="s">
        <v>57</v>
      </c>
      <c r="DZ3" t="s">
        <v>57</v>
      </c>
      <c r="EA3" t="s">
        <v>57</v>
      </c>
      <c r="EB3" t="s">
        <v>22</v>
      </c>
      <c r="EC3" t="s">
        <v>57</v>
      </c>
      <c r="ED3" t="s">
        <v>22</v>
      </c>
      <c r="EE3" t="s">
        <v>61</v>
      </c>
      <c r="EF3" t="s">
        <v>61</v>
      </c>
      <c r="EG3" t="s">
        <v>63</v>
      </c>
      <c r="EH3" t="s">
        <v>32</v>
      </c>
      <c r="EI3" t="s">
        <v>61</v>
      </c>
      <c r="EJ3" t="s">
        <v>32</v>
      </c>
      <c r="EK3" t="s">
        <v>32</v>
      </c>
      <c r="EL3" t="s">
        <v>63</v>
      </c>
      <c r="EM3" t="s">
        <v>65</v>
      </c>
      <c r="EN3" t="s">
        <v>65</v>
      </c>
      <c r="EO3" t="s">
        <v>51</v>
      </c>
      <c r="EP3" t="s">
        <v>63</v>
      </c>
      <c r="EQ3" t="s">
        <v>51</v>
      </c>
      <c r="ER3" t="s">
        <v>51</v>
      </c>
      <c r="ES3" t="s">
        <v>65</v>
      </c>
      <c r="ET3" t="s">
        <v>63</v>
      </c>
      <c r="EU3" t="s">
        <v>65</v>
      </c>
      <c r="EV3" t="s">
        <v>51</v>
      </c>
      <c r="EW3" t="s">
        <v>63</v>
      </c>
      <c r="EX3" t="s">
        <v>51</v>
      </c>
      <c r="EY3" t="s">
        <v>57</v>
      </c>
      <c r="EZ3" t="s">
        <v>32</v>
      </c>
      <c r="FA3" t="s">
        <v>63</v>
      </c>
      <c r="FB3" t="s">
        <v>63</v>
      </c>
      <c r="FC3" t="s">
        <v>32</v>
      </c>
      <c r="FD3" t="s">
        <v>51</v>
      </c>
      <c r="FE3" t="s">
        <v>57</v>
      </c>
      <c r="FF3" t="s">
        <v>22</v>
      </c>
      <c r="FG3" t="s">
        <v>32</v>
      </c>
      <c r="FH3" t="s">
        <v>65</v>
      </c>
      <c r="FI3" t="s">
        <v>51</v>
      </c>
      <c r="FJ3" t="s">
        <v>32</v>
      </c>
      <c r="FK3" t="s">
        <v>32</v>
      </c>
      <c r="FL3" t="s">
        <v>63</v>
      </c>
      <c r="FM3" t="s">
        <v>65</v>
      </c>
      <c r="FN3" t="s">
        <v>65</v>
      </c>
      <c r="FO3" t="s">
        <v>65</v>
      </c>
      <c r="FP3" t="s">
        <v>32</v>
      </c>
      <c r="FQ3" t="s">
        <v>22</v>
      </c>
      <c r="FR3" t="s">
        <v>61</v>
      </c>
      <c r="FS3" t="s">
        <v>51</v>
      </c>
      <c r="FT3" t="s">
        <v>61</v>
      </c>
      <c r="FU3" t="s">
        <v>32</v>
      </c>
      <c r="FV3" t="s">
        <v>61</v>
      </c>
      <c r="FW3" t="s">
        <v>32</v>
      </c>
      <c r="FX3" t="s">
        <v>61</v>
      </c>
      <c r="FY3" t="s">
        <v>65</v>
      </c>
      <c r="FZ3" t="s">
        <v>57</v>
      </c>
      <c r="GA3" t="s">
        <v>65</v>
      </c>
      <c r="GB3" t="s">
        <v>65</v>
      </c>
      <c r="GC3" t="s">
        <v>63</v>
      </c>
      <c r="GD3" t="s">
        <v>63</v>
      </c>
      <c r="GE3" t="s">
        <v>61</v>
      </c>
      <c r="GF3" t="s">
        <v>32</v>
      </c>
      <c r="GG3" t="s">
        <v>65</v>
      </c>
      <c r="GH3" t="s">
        <v>61</v>
      </c>
      <c r="GI3" t="s">
        <v>63</v>
      </c>
      <c r="GJ3" t="s">
        <v>57</v>
      </c>
      <c r="GK3" t="s">
        <v>51</v>
      </c>
      <c r="GL3" t="s">
        <v>61</v>
      </c>
      <c r="GM3" t="s">
        <v>57</v>
      </c>
      <c r="GN3" t="s">
        <v>51</v>
      </c>
      <c r="GO3" t="s">
        <v>22</v>
      </c>
      <c r="GP3" t="s">
        <v>61</v>
      </c>
      <c r="GQ3" t="s">
        <v>61</v>
      </c>
      <c r="GR3" t="s">
        <v>22</v>
      </c>
      <c r="GS3" t="s">
        <v>22</v>
      </c>
      <c r="GT3" t="s">
        <v>61</v>
      </c>
      <c r="GU3" t="s">
        <v>22</v>
      </c>
      <c r="GV3" t="s">
        <v>65</v>
      </c>
      <c r="GW3" t="s">
        <v>51</v>
      </c>
      <c r="GX3" t="s">
        <v>51</v>
      </c>
      <c r="GY3" t="s">
        <v>51</v>
      </c>
      <c r="GZ3" t="s">
        <v>65</v>
      </c>
      <c r="HA3" t="s">
        <v>32</v>
      </c>
      <c r="HB3" t="s">
        <v>22</v>
      </c>
      <c r="HC3" t="s">
        <v>57</v>
      </c>
      <c r="HD3" t="s">
        <v>22</v>
      </c>
      <c r="HE3" t="s">
        <v>61</v>
      </c>
      <c r="HF3" t="s">
        <v>63</v>
      </c>
      <c r="HG3" t="s">
        <v>51</v>
      </c>
      <c r="HH3" t="s">
        <v>22</v>
      </c>
      <c r="HI3" t="s">
        <v>57</v>
      </c>
      <c r="HJ3" t="s">
        <v>61</v>
      </c>
      <c r="HK3" t="s">
        <v>65</v>
      </c>
      <c r="HL3" t="s">
        <v>32</v>
      </c>
      <c r="HM3" t="s">
        <v>65</v>
      </c>
      <c r="HN3" t="s">
        <v>57</v>
      </c>
      <c r="HO3" t="s">
        <v>61</v>
      </c>
      <c r="HP3" t="s">
        <v>51</v>
      </c>
      <c r="HQ3" t="s">
        <v>22</v>
      </c>
      <c r="HR3" t="s">
        <v>61</v>
      </c>
      <c r="HS3" t="s">
        <v>32</v>
      </c>
      <c r="HT3" t="s">
        <v>65</v>
      </c>
      <c r="HU3" t="s">
        <v>32</v>
      </c>
      <c r="HV3" t="s">
        <v>32</v>
      </c>
      <c r="HW3" t="s">
        <v>57</v>
      </c>
      <c r="HX3" t="s">
        <v>57</v>
      </c>
      <c r="HY3" t="s">
        <v>22</v>
      </c>
      <c r="HZ3" t="s">
        <v>57</v>
      </c>
      <c r="IA3" t="s">
        <v>57</v>
      </c>
      <c r="IB3" t="s">
        <v>61</v>
      </c>
      <c r="IC3" t="s">
        <v>51</v>
      </c>
      <c r="ID3" t="s">
        <v>22</v>
      </c>
      <c r="IE3" t="s">
        <v>61</v>
      </c>
      <c r="IF3" t="s">
        <v>51</v>
      </c>
      <c r="IG3" t="s">
        <v>32</v>
      </c>
      <c r="IH3" t="s">
        <v>61</v>
      </c>
      <c r="II3" t="s">
        <v>63</v>
      </c>
      <c r="IJ3" t="s">
        <v>61</v>
      </c>
      <c r="IK3" t="s">
        <v>57</v>
      </c>
      <c r="IL3" t="s">
        <v>51</v>
      </c>
      <c r="IM3" t="s">
        <v>22</v>
      </c>
      <c r="IN3" t="s">
        <v>22</v>
      </c>
      <c r="IO3" t="s">
        <v>51</v>
      </c>
      <c r="IP3" t="s">
        <v>57</v>
      </c>
      <c r="IQ3" t="s">
        <v>65</v>
      </c>
      <c r="IR3" t="s">
        <v>61</v>
      </c>
      <c r="IS3" t="s">
        <v>57</v>
      </c>
      <c r="IT3" t="s">
        <v>63</v>
      </c>
      <c r="IU3" t="s">
        <v>32</v>
      </c>
      <c r="IV3" t="s">
        <v>51</v>
      </c>
      <c r="IW3" t="s">
        <v>61</v>
      </c>
      <c r="IX3" t="s">
        <v>22</v>
      </c>
      <c r="IY3" t="s">
        <v>32</v>
      </c>
      <c r="IZ3" t="s">
        <v>65</v>
      </c>
      <c r="JA3" t="s">
        <v>63</v>
      </c>
      <c r="JB3" t="s">
        <v>22</v>
      </c>
      <c r="JC3" t="s">
        <v>51</v>
      </c>
      <c r="JD3" t="s">
        <v>61</v>
      </c>
      <c r="JE3" t="s">
        <v>51</v>
      </c>
      <c r="JF3" t="s">
        <v>32</v>
      </c>
      <c r="JG3" t="s">
        <v>61</v>
      </c>
      <c r="JH3" t="s">
        <v>57</v>
      </c>
      <c r="JI3" t="s">
        <v>65</v>
      </c>
      <c r="JJ3" t="s">
        <v>57</v>
      </c>
      <c r="JK3" t="s">
        <v>57</v>
      </c>
      <c r="JL3" t="s">
        <v>51</v>
      </c>
      <c r="JM3" t="s">
        <v>32</v>
      </c>
      <c r="JN3" t="s">
        <v>65</v>
      </c>
      <c r="JO3" t="s">
        <v>61</v>
      </c>
      <c r="JP3" t="s">
        <v>61</v>
      </c>
      <c r="JQ3" t="s">
        <v>63</v>
      </c>
      <c r="JR3" t="s">
        <v>22</v>
      </c>
      <c r="JS3" t="s">
        <v>63</v>
      </c>
      <c r="JT3" t="s">
        <v>63</v>
      </c>
      <c r="JU3" t="s">
        <v>61</v>
      </c>
      <c r="JV3" t="s">
        <v>51</v>
      </c>
      <c r="JW3" t="s">
        <v>57</v>
      </c>
      <c r="JX3" t="s">
        <v>32</v>
      </c>
      <c r="JY3" t="s">
        <v>57</v>
      </c>
      <c r="JZ3" t="s">
        <v>57</v>
      </c>
      <c r="KA3" t="s">
        <v>65</v>
      </c>
      <c r="KB3" t="s">
        <v>61</v>
      </c>
      <c r="KC3" t="s">
        <v>32</v>
      </c>
      <c r="KD3" t="s">
        <v>51</v>
      </c>
      <c r="KE3" t="s">
        <v>65</v>
      </c>
      <c r="KF3" t="s">
        <v>22</v>
      </c>
      <c r="KG3" t="s">
        <v>51</v>
      </c>
      <c r="KH3" t="s">
        <v>63</v>
      </c>
      <c r="KI3" t="s">
        <v>51</v>
      </c>
      <c r="KJ3" t="s">
        <v>51</v>
      </c>
      <c r="KK3" t="s">
        <v>57</v>
      </c>
      <c r="KL3" t="s">
        <v>51</v>
      </c>
      <c r="KM3" t="s">
        <v>63</v>
      </c>
      <c r="KN3" t="s">
        <v>63</v>
      </c>
      <c r="KO3" t="s">
        <v>61</v>
      </c>
      <c r="KP3" t="s">
        <v>51</v>
      </c>
      <c r="KQ3" t="s">
        <v>57</v>
      </c>
      <c r="KR3" t="s">
        <v>51</v>
      </c>
      <c r="KS3" t="s">
        <v>22</v>
      </c>
      <c r="KT3" t="s">
        <v>22</v>
      </c>
      <c r="KU3" t="s">
        <v>57</v>
      </c>
      <c r="KV3" t="s">
        <v>61</v>
      </c>
      <c r="KW3" t="s">
        <v>61</v>
      </c>
      <c r="KX3" t="s">
        <v>63</v>
      </c>
      <c r="KY3" t="s">
        <v>63</v>
      </c>
      <c r="KZ3" t="s">
        <v>65</v>
      </c>
      <c r="LA3" t="s">
        <v>57</v>
      </c>
      <c r="LB3" t="s">
        <v>51</v>
      </c>
      <c r="LC3" t="s">
        <v>32</v>
      </c>
      <c r="LD3" t="s">
        <v>57</v>
      </c>
      <c r="LE3" t="s">
        <v>65</v>
      </c>
      <c r="LF3" t="s">
        <v>63</v>
      </c>
      <c r="LG3" t="s">
        <v>57</v>
      </c>
      <c r="LH3" t="s">
        <v>57</v>
      </c>
      <c r="LI3" t="s">
        <v>63</v>
      </c>
      <c r="LJ3" t="s">
        <v>65</v>
      </c>
      <c r="LK3" t="s">
        <v>63</v>
      </c>
      <c r="LL3" t="s">
        <v>61</v>
      </c>
      <c r="LM3" t="s">
        <v>51</v>
      </c>
      <c r="LN3" t="s">
        <v>63</v>
      </c>
      <c r="LO3" t="s">
        <v>65</v>
      </c>
      <c r="LP3" t="s">
        <v>22</v>
      </c>
      <c r="LQ3" t="s">
        <v>61</v>
      </c>
      <c r="LR3" t="s">
        <v>22</v>
      </c>
      <c r="LS3" t="s">
        <v>32</v>
      </c>
      <c r="LT3" t="s">
        <v>63</v>
      </c>
      <c r="LU3" t="s">
        <v>61</v>
      </c>
      <c r="LV3" t="s">
        <v>51</v>
      </c>
      <c r="LW3" t="s">
        <v>63</v>
      </c>
      <c r="LX3" t="s">
        <v>51</v>
      </c>
      <c r="LY3" t="s">
        <v>57</v>
      </c>
      <c r="LZ3" t="s">
        <v>22</v>
      </c>
      <c r="MA3" t="s">
        <v>61</v>
      </c>
      <c r="MB3" t="s">
        <v>51</v>
      </c>
      <c r="MC3" t="s">
        <v>65</v>
      </c>
      <c r="MD3" t="s">
        <v>51</v>
      </c>
      <c r="ME3" t="s">
        <v>65</v>
      </c>
      <c r="MF3" t="s">
        <v>63</v>
      </c>
      <c r="MG3" t="s">
        <v>61</v>
      </c>
      <c r="MH3" t="s">
        <v>51</v>
      </c>
      <c r="MI3" t="s">
        <v>32</v>
      </c>
      <c r="MJ3" t="s">
        <v>51</v>
      </c>
      <c r="MK3" t="s">
        <v>32</v>
      </c>
      <c r="ML3" t="s">
        <v>61</v>
      </c>
      <c r="MM3" t="s">
        <v>51</v>
      </c>
      <c r="MN3" t="s">
        <v>65</v>
      </c>
      <c r="MO3" t="s">
        <v>51</v>
      </c>
      <c r="MP3" t="s">
        <v>22</v>
      </c>
      <c r="MQ3" t="s">
        <v>63</v>
      </c>
      <c r="MR3" t="s">
        <v>57</v>
      </c>
      <c r="MS3" t="s">
        <v>65</v>
      </c>
      <c r="MT3" t="s">
        <v>22</v>
      </c>
      <c r="MU3" t="s">
        <v>32</v>
      </c>
      <c r="MV3" t="s">
        <v>63</v>
      </c>
      <c r="MW3" t="s">
        <v>61</v>
      </c>
      <c r="MX3" t="s">
        <v>65</v>
      </c>
      <c r="MY3" t="s">
        <v>57</v>
      </c>
      <c r="MZ3" t="s">
        <v>63</v>
      </c>
      <c r="NA3" t="s">
        <v>32</v>
      </c>
      <c r="NB3" t="s">
        <v>57</v>
      </c>
      <c r="NC3" t="s">
        <v>61</v>
      </c>
      <c r="ND3" t="s">
        <v>61</v>
      </c>
      <c r="NE3" t="s">
        <v>32</v>
      </c>
      <c r="NF3" t="s">
        <v>65</v>
      </c>
      <c r="NG3" t="s">
        <v>32</v>
      </c>
      <c r="NH3" t="s">
        <v>51</v>
      </c>
      <c r="NI3" t="s">
        <v>61</v>
      </c>
      <c r="NJ3" t="s">
        <v>63</v>
      </c>
      <c r="NK3" t="s">
        <v>51</v>
      </c>
      <c r="NL3" t="s">
        <v>22</v>
      </c>
      <c r="NM3" t="s">
        <v>57</v>
      </c>
      <c r="NN3" t="s">
        <v>51</v>
      </c>
      <c r="NO3" t="s">
        <v>57</v>
      </c>
      <c r="NP3" t="s">
        <v>32</v>
      </c>
      <c r="NQ3" t="s">
        <v>51</v>
      </c>
      <c r="NR3" t="s">
        <v>32</v>
      </c>
      <c r="NS3" t="s">
        <v>22</v>
      </c>
      <c r="NT3" t="s">
        <v>61</v>
      </c>
      <c r="NU3" t="s">
        <v>22</v>
      </c>
      <c r="NV3" t="s">
        <v>61</v>
      </c>
      <c r="NW3" t="s">
        <v>32</v>
      </c>
      <c r="NX3" t="s">
        <v>61</v>
      </c>
      <c r="NY3" t="s">
        <v>57</v>
      </c>
      <c r="NZ3" t="s">
        <v>63</v>
      </c>
      <c r="OA3" t="s">
        <v>22</v>
      </c>
      <c r="OB3" t="s">
        <v>51</v>
      </c>
      <c r="OC3" t="s">
        <v>22</v>
      </c>
      <c r="OD3" t="s">
        <v>57</v>
      </c>
      <c r="OE3" t="s">
        <v>61</v>
      </c>
      <c r="OF3" t="s">
        <v>57</v>
      </c>
      <c r="OG3" t="s">
        <v>65</v>
      </c>
      <c r="OH3" t="s">
        <v>65</v>
      </c>
      <c r="OI3" t="s">
        <v>51</v>
      </c>
      <c r="OJ3" t="s">
        <v>57</v>
      </c>
      <c r="OK3" t="s">
        <v>32</v>
      </c>
      <c r="OL3" t="s">
        <v>51</v>
      </c>
      <c r="OM3" t="s">
        <v>32</v>
      </c>
      <c r="ON3" t="s">
        <v>51</v>
      </c>
      <c r="OO3" t="s">
        <v>65</v>
      </c>
      <c r="OP3" t="s">
        <v>51</v>
      </c>
      <c r="OQ3" t="s">
        <v>65</v>
      </c>
      <c r="OR3" t="s">
        <v>61</v>
      </c>
      <c r="OS3" t="s">
        <v>32</v>
      </c>
      <c r="OT3" t="s">
        <v>57</v>
      </c>
      <c r="OU3" t="s">
        <v>51</v>
      </c>
      <c r="OV3" t="s">
        <v>65</v>
      </c>
      <c r="OW3" t="s">
        <v>22</v>
      </c>
      <c r="OX3" t="s">
        <v>32</v>
      </c>
      <c r="OY3" t="s">
        <v>51</v>
      </c>
      <c r="OZ3" t="s">
        <v>63</v>
      </c>
      <c r="PA3" t="s">
        <v>61</v>
      </c>
      <c r="PB3" t="s">
        <v>61</v>
      </c>
      <c r="PC3" t="s">
        <v>22</v>
      </c>
      <c r="PD3" t="s">
        <v>65</v>
      </c>
      <c r="PE3" t="s">
        <v>51</v>
      </c>
      <c r="PF3" t="s">
        <v>32</v>
      </c>
      <c r="PG3" t="s">
        <v>65</v>
      </c>
      <c r="PH3" t="s">
        <v>61</v>
      </c>
      <c r="PI3" t="s">
        <v>65</v>
      </c>
      <c r="PJ3" t="s">
        <v>61</v>
      </c>
      <c r="PK3" t="s">
        <v>65</v>
      </c>
      <c r="PL3" t="s">
        <v>22</v>
      </c>
      <c r="PM3" t="s">
        <v>57</v>
      </c>
      <c r="PN3" t="s">
        <v>22</v>
      </c>
      <c r="PO3" t="s">
        <v>22</v>
      </c>
      <c r="PP3" t="s">
        <v>57</v>
      </c>
      <c r="PQ3" t="s">
        <v>57</v>
      </c>
      <c r="PR3" t="s">
        <v>51</v>
      </c>
      <c r="PS3" t="s">
        <v>32</v>
      </c>
      <c r="PT3" t="s">
        <v>32</v>
      </c>
      <c r="PU3" t="s">
        <v>51</v>
      </c>
      <c r="PV3" t="s">
        <v>22</v>
      </c>
      <c r="PW3" t="s">
        <v>22</v>
      </c>
      <c r="PX3" t="s">
        <v>61</v>
      </c>
      <c r="PY3" t="s">
        <v>61</v>
      </c>
      <c r="PZ3" t="s">
        <v>32</v>
      </c>
      <c r="QA3" t="s">
        <v>51</v>
      </c>
      <c r="QB3" t="s">
        <v>63</v>
      </c>
      <c r="QC3" t="s">
        <v>63</v>
      </c>
      <c r="QD3" t="s">
        <v>51</v>
      </c>
      <c r="QE3" t="s">
        <v>61</v>
      </c>
      <c r="QF3" t="s">
        <v>32</v>
      </c>
      <c r="QG3" t="s">
        <v>32</v>
      </c>
      <c r="QH3" t="s">
        <v>61</v>
      </c>
      <c r="QI3" t="s">
        <v>63</v>
      </c>
      <c r="QJ3" t="s">
        <v>65</v>
      </c>
      <c r="QK3" t="s">
        <v>65</v>
      </c>
      <c r="QL3" t="s">
        <v>61</v>
      </c>
      <c r="QM3" t="s">
        <v>65</v>
      </c>
      <c r="QN3" t="s">
        <v>57</v>
      </c>
      <c r="QO3" t="s">
        <v>51</v>
      </c>
      <c r="QP3" t="s">
        <v>51</v>
      </c>
      <c r="QQ3" t="s">
        <v>61</v>
      </c>
      <c r="QR3" t="s">
        <v>22</v>
      </c>
      <c r="QS3" t="s">
        <v>63</v>
      </c>
      <c r="QT3" t="s">
        <v>61</v>
      </c>
      <c r="QU3" t="s">
        <v>65</v>
      </c>
      <c r="QV3" t="s">
        <v>63</v>
      </c>
      <c r="QW3" t="s">
        <v>22</v>
      </c>
      <c r="QX3" t="s">
        <v>65</v>
      </c>
      <c r="QY3" t="s">
        <v>32</v>
      </c>
      <c r="QZ3" t="s">
        <v>57</v>
      </c>
      <c r="RA3" t="s">
        <v>65</v>
      </c>
      <c r="RB3" t="s">
        <v>57</v>
      </c>
      <c r="RC3" t="s">
        <v>63</v>
      </c>
      <c r="RD3" t="s">
        <v>57</v>
      </c>
      <c r="RE3" t="s">
        <v>63</v>
      </c>
      <c r="RF3" t="s">
        <v>63</v>
      </c>
      <c r="RG3" t="s">
        <v>63</v>
      </c>
      <c r="RH3" t="s">
        <v>63</v>
      </c>
      <c r="RI3" t="s">
        <v>63</v>
      </c>
      <c r="RJ3" t="s">
        <v>65</v>
      </c>
      <c r="RK3" t="s">
        <v>63</v>
      </c>
      <c r="RL3" t="s">
        <v>65</v>
      </c>
      <c r="RM3" t="s">
        <v>63</v>
      </c>
      <c r="RN3" t="s">
        <v>57</v>
      </c>
      <c r="RO3" t="s">
        <v>32</v>
      </c>
      <c r="RP3" t="s">
        <v>63</v>
      </c>
      <c r="RQ3" t="s">
        <v>22</v>
      </c>
      <c r="RR3" t="s">
        <v>63</v>
      </c>
      <c r="RS3" t="s">
        <v>63</v>
      </c>
      <c r="RT3" t="s">
        <v>57</v>
      </c>
      <c r="RU3" t="s">
        <v>51</v>
      </c>
      <c r="RV3" t="s">
        <v>57</v>
      </c>
      <c r="RW3" t="s">
        <v>22</v>
      </c>
      <c r="RX3" t="s">
        <v>51</v>
      </c>
      <c r="RY3" t="s">
        <v>61</v>
      </c>
      <c r="RZ3" t="s">
        <v>61</v>
      </c>
      <c r="SA3" t="s">
        <v>22</v>
      </c>
      <c r="SB3" t="s">
        <v>57</v>
      </c>
      <c r="SC3" t="s">
        <v>65</v>
      </c>
      <c r="SD3" t="s">
        <v>22</v>
      </c>
      <c r="SE3" t="s">
        <v>32</v>
      </c>
      <c r="SF3" t="s">
        <v>51</v>
      </c>
      <c r="SG3" t="s">
        <v>51</v>
      </c>
      <c r="SH3" t="s">
        <v>63</v>
      </c>
      <c r="SI3" t="s">
        <v>61</v>
      </c>
      <c r="SJ3" t="s">
        <v>51</v>
      </c>
      <c r="SK3" t="s">
        <v>22</v>
      </c>
      <c r="SL3" t="s">
        <v>51</v>
      </c>
      <c r="SM3" t="s">
        <v>22</v>
      </c>
      <c r="SN3" t="s">
        <v>65</v>
      </c>
      <c r="SO3" t="s">
        <v>63</v>
      </c>
      <c r="SP3" t="s">
        <v>61</v>
      </c>
      <c r="SQ3" t="s">
        <v>51</v>
      </c>
      <c r="SR3" t="s">
        <v>22</v>
      </c>
      <c r="SS3" t="s">
        <v>57</v>
      </c>
      <c r="ST3" t="s">
        <v>61</v>
      </c>
      <c r="SU3" t="s">
        <v>65</v>
      </c>
      <c r="SV3" t="s">
        <v>22</v>
      </c>
      <c r="SW3" t="s">
        <v>32</v>
      </c>
      <c r="SX3" t="s">
        <v>32</v>
      </c>
      <c r="SY3" t="s">
        <v>63</v>
      </c>
      <c r="SZ3" t="s">
        <v>63</v>
      </c>
      <c r="TA3" t="s">
        <v>65</v>
      </c>
      <c r="TB3" t="s">
        <v>65</v>
      </c>
      <c r="TC3" t="s">
        <v>63</v>
      </c>
      <c r="TD3" t="s">
        <v>51</v>
      </c>
      <c r="TE3" t="s">
        <v>51</v>
      </c>
      <c r="TF3" t="s">
        <v>22</v>
      </c>
      <c r="TG3" t="s">
        <v>57</v>
      </c>
      <c r="TH3" t="s">
        <v>22</v>
      </c>
      <c r="TI3" t="s">
        <v>57</v>
      </c>
      <c r="TJ3" t="s">
        <v>65</v>
      </c>
      <c r="TK3" t="s">
        <v>61</v>
      </c>
      <c r="TL3" t="s">
        <v>22</v>
      </c>
      <c r="TM3" t="s">
        <v>22</v>
      </c>
      <c r="TN3" t="s">
        <v>57</v>
      </c>
      <c r="TO3" t="s">
        <v>65</v>
      </c>
      <c r="TP3" t="s">
        <v>65</v>
      </c>
      <c r="TQ3" t="s">
        <v>32</v>
      </c>
      <c r="TR3" t="s">
        <v>57</v>
      </c>
      <c r="TS3" t="s">
        <v>65</v>
      </c>
      <c r="TT3" t="s">
        <v>63</v>
      </c>
      <c r="TU3" t="s">
        <v>51</v>
      </c>
      <c r="TV3" t="s">
        <v>32</v>
      </c>
      <c r="TW3" t="s">
        <v>63</v>
      </c>
      <c r="TX3" t="s">
        <v>61</v>
      </c>
      <c r="TY3" t="s">
        <v>22</v>
      </c>
      <c r="TZ3" t="s">
        <v>32</v>
      </c>
      <c r="UA3" t="s">
        <v>61</v>
      </c>
      <c r="UB3" t="s">
        <v>22</v>
      </c>
      <c r="UC3" t="s">
        <v>51</v>
      </c>
      <c r="UD3" t="s">
        <v>65</v>
      </c>
      <c r="UE3" t="s">
        <v>63</v>
      </c>
      <c r="UF3" t="s">
        <v>57</v>
      </c>
      <c r="UG3" t="s">
        <v>63</v>
      </c>
      <c r="UH3" t="s">
        <v>51</v>
      </c>
      <c r="UI3" t="s">
        <v>61</v>
      </c>
      <c r="UJ3" t="s">
        <v>57</v>
      </c>
      <c r="UK3" t="s">
        <v>65</v>
      </c>
      <c r="UL3" t="s">
        <v>51</v>
      </c>
      <c r="UM3" t="s">
        <v>57</v>
      </c>
      <c r="UN3" t="s">
        <v>51</v>
      </c>
      <c r="UO3" t="s">
        <v>51</v>
      </c>
      <c r="UP3" t="s">
        <v>65</v>
      </c>
      <c r="UQ3" t="s">
        <v>32</v>
      </c>
      <c r="UR3" t="s">
        <v>22</v>
      </c>
      <c r="US3" t="s">
        <v>57</v>
      </c>
      <c r="UT3" t="s">
        <v>65</v>
      </c>
      <c r="UU3" t="s">
        <v>51</v>
      </c>
      <c r="UV3" t="s">
        <v>65</v>
      </c>
      <c r="UW3" t="s">
        <v>32</v>
      </c>
      <c r="UX3" t="s">
        <v>22</v>
      </c>
      <c r="UY3" t="s">
        <v>63</v>
      </c>
      <c r="UZ3" t="s">
        <v>57</v>
      </c>
      <c r="VA3" t="s">
        <v>22</v>
      </c>
      <c r="VB3" t="s">
        <v>61</v>
      </c>
      <c r="VC3" t="s">
        <v>57</v>
      </c>
      <c r="VD3" t="s">
        <v>22</v>
      </c>
      <c r="VE3" t="s">
        <v>51</v>
      </c>
      <c r="VF3" t="s">
        <v>57</v>
      </c>
      <c r="VG3" t="s">
        <v>57</v>
      </c>
      <c r="VH3" t="s">
        <v>65</v>
      </c>
      <c r="VI3" t="s">
        <v>51</v>
      </c>
      <c r="VJ3" t="s">
        <v>61</v>
      </c>
      <c r="VK3" t="s">
        <v>63</v>
      </c>
      <c r="VL3" t="s">
        <v>32</v>
      </c>
      <c r="VM3" t="s">
        <v>22</v>
      </c>
      <c r="VN3" t="s">
        <v>65</v>
      </c>
      <c r="VO3" t="s">
        <v>22</v>
      </c>
      <c r="VP3" t="s">
        <v>61</v>
      </c>
      <c r="VQ3" t="s">
        <v>61</v>
      </c>
      <c r="VR3" t="s">
        <v>57</v>
      </c>
      <c r="VS3" t="s">
        <v>32</v>
      </c>
      <c r="VT3" t="s">
        <v>61</v>
      </c>
      <c r="VU3" t="s">
        <v>22</v>
      </c>
      <c r="VV3" t="s">
        <v>51</v>
      </c>
      <c r="VW3" t="s">
        <v>51</v>
      </c>
      <c r="VX3" t="s">
        <v>57</v>
      </c>
      <c r="VY3" t="s">
        <v>63</v>
      </c>
      <c r="VZ3" t="s">
        <v>22</v>
      </c>
      <c r="WA3" t="s">
        <v>22</v>
      </c>
      <c r="WB3" t="s">
        <v>61</v>
      </c>
      <c r="WC3" t="s">
        <v>32</v>
      </c>
      <c r="WD3" t="s">
        <v>22</v>
      </c>
      <c r="WE3" t="s">
        <v>65</v>
      </c>
      <c r="WF3" t="s">
        <v>63</v>
      </c>
      <c r="WG3" t="s">
        <v>61</v>
      </c>
      <c r="WH3" t="s">
        <v>65</v>
      </c>
      <c r="WI3" t="s">
        <v>57</v>
      </c>
      <c r="WJ3" t="s">
        <v>51</v>
      </c>
      <c r="WK3" t="s">
        <v>57</v>
      </c>
      <c r="WL3" t="s">
        <v>51</v>
      </c>
      <c r="WM3" t="s">
        <v>57</v>
      </c>
      <c r="WN3" t="s">
        <v>22</v>
      </c>
      <c r="WO3" t="s">
        <v>65</v>
      </c>
      <c r="WP3" t="s">
        <v>51</v>
      </c>
      <c r="WQ3" t="s">
        <v>61</v>
      </c>
      <c r="WR3" t="s">
        <v>65</v>
      </c>
      <c r="WS3" t="s">
        <v>61</v>
      </c>
      <c r="WT3" t="s">
        <v>65</v>
      </c>
      <c r="WU3" t="s">
        <v>65</v>
      </c>
      <c r="WV3" t="s">
        <v>57</v>
      </c>
      <c r="WW3" t="s">
        <v>51</v>
      </c>
      <c r="WX3" t="s">
        <v>51</v>
      </c>
      <c r="WY3" t="s">
        <v>32</v>
      </c>
      <c r="WZ3" t="s">
        <v>65</v>
      </c>
      <c r="XA3" t="s">
        <v>22</v>
      </c>
      <c r="XB3" t="s">
        <v>22</v>
      </c>
      <c r="XC3" t="s">
        <v>61</v>
      </c>
      <c r="XD3" t="s">
        <v>61</v>
      </c>
      <c r="XE3" t="s">
        <v>57</v>
      </c>
      <c r="XF3" t="s">
        <v>65</v>
      </c>
      <c r="XG3" t="s">
        <v>61</v>
      </c>
      <c r="XH3" t="s">
        <v>61</v>
      </c>
      <c r="XI3" t="s">
        <v>63</v>
      </c>
      <c r="XJ3" t="s">
        <v>65</v>
      </c>
      <c r="XK3" t="s">
        <v>57</v>
      </c>
      <c r="XL3" t="s">
        <v>61</v>
      </c>
      <c r="XM3" t="s">
        <v>57</v>
      </c>
      <c r="XN3" t="s">
        <v>51</v>
      </c>
      <c r="XO3" t="s">
        <v>57</v>
      </c>
      <c r="XP3" t="s">
        <v>22</v>
      </c>
      <c r="XQ3" t="s">
        <v>22</v>
      </c>
      <c r="XR3" t="s">
        <v>57</v>
      </c>
      <c r="XS3" t="s">
        <v>22</v>
      </c>
      <c r="XT3" t="s">
        <v>51</v>
      </c>
      <c r="XU3" t="s">
        <v>65</v>
      </c>
      <c r="XV3" t="s">
        <v>22</v>
      </c>
      <c r="XW3" t="s">
        <v>22</v>
      </c>
      <c r="XX3" t="s">
        <v>57</v>
      </c>
      <c r="XY3" t="s">
        <v>51</v>
      </c>
      <c r="XZ3" t="s">
        <v>32</v>
      </c>
      <c r="YA3" t="s">
        <v>32</v>
      </c>
      <c r="YB3" t="s">
        <v>32</v>
      </c>
      <c r="YC3" t="s">
        <v>32</v>
      </c>
      <c r="YD3" t="s">
        <v>65</v>
      </c>
      <c r="YE3" t="s">
        <v>57</v>
      </c>
      <c r="YF3" t="s">
        <v>57</v>
      </c>
      <c r="YG3" t="s">
        <v>63</v>
      </c>
      <c r="YH3" t="s">
        <v>51</v>
      </c>
      <c r="YI3" t="s">
        <v>32</v>
      </c>
      <c r="YJ3" t="s">
        <v>65</v>
      </c>
      <c r="YK3" t="s">
        <v>51</v>
      </c>
      <c r="YL3" t="s">
        <v>32</v>
      </c>
      <c r="YM3" t="s">
        <v>65</v>
      </c>
      <c r="YN3" t="s">
        <v>51</v>
      </c>
      <c r="YO3" t="s">
        <v>57</v>
      </c>
      <c r="YP3" t="s">
        <v>57</v>
      </c>
      <c r="YQ3" t="s">
        <v>61</v>
      </c>
      <c r="YR3" t="s">
        <v>22</v>
      </c>
      <c r="YS3" t="s">
        <v>32</v>
      </c>
      <c r="YT3" t="s">
        <v>63</v>
      </c>
      <c r="YU3" t="s">
        <v>51</v>
      </c>
      <c r="YV3" t="s">
        <v>63</v>
      </c>
      <c r="YW3" t="s">
        <v>61</v>
      </c>
      <c r="YX3" t="s">
        <v>22</v>
      </c>
      <c r="YY3" t="s">
        <v>51</v>
      </c>
      <c r="YZ3" t="s">
        <v>65</v>
      </c>
      <c r="ZA3" t="s">
        <v>32</v>
      </c>
      <c r="ZB3" t="s">
        <v>22</v>
      </c>
      <c r="ZC3" t="s">
        <v>57</v>
      </c>
      <c r="ZD3" t="s">
        <v>61</v>
      </c>
      <c r="ZE3" t="s">
        <v>22</v>
      </c>
      <c r="ZF3" t="s">
        <v>32</v>
      </c>
      <c r="ZG3" t="s">
        <v>22</v>
      </c>
      <c r="ZH3" t="s">
        <v>32</v>
      </c>
      <c r="ZI3" t="s">
        <v>57</v>
      </c>
      <c r="ZJ3" t="s">
        <v>51</v>
      </c>
      <c r="ZK3" t="s">
        <v>65</v>
      </c>
      <c r="ZL3" t="s">
        <v>57</v>
      </c>
      <c r="ZM3" t="s">
        <v>65</v>
      </c>
      <c r="ZN3" t="s">
        <v>51</v>
      </c>
      <c r="ZO3" t="s">
        <v>22</v>
      </c>
      <c r="ZP3" t="s">
        <v>65</v>
      </c>
      <c r="ZQ3" t="s">
        <v>61</v>
      </c>
      <c r="ZR3" t="s">
        <v>61</v>
      </c>
      <c r="ZS3" t="s">
        <v>32</v>
      </c>
      <c r="ZT3" t="s">
        <v>57</v>
      </c>
      <c r="ZU3" t="s">
        <v>51</v>
      </c>
      <c r="ZV3" t="s">
        <v>32</v>
      </c>
      <c r="ZW3" t="s">
        <v>57</v>
      </c>
      <c r="ZX3" t="s">
        <v>57</v>
      </c>
      <c r="ZY3" t="s">
        <v>32</v>
      </c>
      <c r="ZZ3" t="s">
        <v>63</v>
      </c>
      <c r="AAA3" t="s">
        <v>57</v>
      </c>
      <c r="AAB3" t="s">
        <v>63</v>
      </c>
      <c r="AAC3" t="s">
        <v>61</v>
      </c>
      <c r="AAD3" t="s">
        <v>61</v>
      </c>
      <c r="AAE3" t="s">
        <v>57</v>
      </c>
      <c r="AAF3" t="s">
        <v>61</v>
      </c>
      <c r="AAG3" t="s">
        <v>51</v>
      </c>
      <c r="AAH3" t="s">
        <v>63</v>
      </c>
      <c r="AAI3" t="s">
        <v>63</v>
      </c>
      <c r="AAJ3" t="s">
        <v>57</v>
      </c>
      <c r="AAK3" t="s">
        <v>61</v>
      </c>
      <c r="AAL3" t="s">
        <v>65</v>
      </c>
      <c r="AAM3" t="s">
        <v>32</v>
      </c>
      <c r="AAN3" t="s">
        <v>32</v>
      </c>
      <c r="AAO3" t="s">
        <v>63</v>
      </c>
      <c r="AAP3" t="s">
        <v>57</v>
      </c>
      <c r="AAQ3" t="s">
        <v>57</v>
      </c>
      <c r="AAR3" t="s">
        <v>51</v>
      </c>
      <c r="AAS3" t="s">
        <v>22</v>
      </c>
      <c r="AAT3" t="s">
        <v>22</v>
      </c>
      <c r="AAU3" t="s">
        <v>63</v>
      </c>
      <c r="AAV3" t="s">
        <v>32</v>
      </c>
      <c r="AAW3" t="s">
        <v>51</v>
      </c>
      <c r="AAX3" t="s">
        <v>51</v>
      </c>
      <c r="AAY3" t="s">
        <v>51</v>
      </c>
      <c r="AAZ3" t="s">
        <v>63</v>
      </c>
      <c r="ABA3" t="s">
        <v>22</v>
      </c>
      <c r="ABB3" t="s">
        <v>32</v>
      </c>
      <c r="ABC3" t="s">
        <v>51</v>
      </c>
      <c r="ABD3" t="s">
        <v>32</v>
      </c>
      <c r="ABE3" t="s">
        <v>61</v>
      </c>
      <c r="ABF3" t="s">
        <v>57</v>
      </c>
      <c r="ABG3" t="s">
        <v>57</v>
      </c>
      <c r="ABH3" t="s">
        <v>32</v>
      </c>
      <c r="ABI3" t="s">
        <v>65</v>
      </c>
      <c r="ABJ3" t="s">
        <v>65</v>
      </c>
      <c r="ABK3" t="s">
        <v>63</v>
      </c>
      <c r="ABL3" t="s">
        <v>63</v>
      </c>
      <c r="ABM3" t="s">
        <v>57</v>
      </c>
      <c r="ABN3" t="s">
        <v>61</v>
      </c>
      <c r="ABO3" t="s">
        <v>22</v>
      </c>
      <c r="ABP3" t="s">
        <v>22</v>
      </c>
      <c r="ABQ3" t="s">
        <v>63</v>
      </c>
      <c r="ABR3" t="s">
        <v>61</v>
      </c>
      <c r="ABS3" t="s">
        <v>63</v>
      </c>
      <c r="ABT3" t="s">
        <v>22</v>
      </c>
      <c r="ABU3" t="s">
        <v>32</v>
      </c>
      <c r="ABV3" t="s">
        <v>63</v>
      </c>
      <c r="ABW3" t="s">
        <v>51</v>
      </c>
      <c r="ABX3" t="s">
        <v>32</v>
      </c>
      <c r="ABY3" t="s">
        <v>63</v>
      </c>
      <c r="ABZ3" t="s">
        <v>57</v>
      </c>
      <c r="ACA3" t="s">
        <v>63</v>
      </c>
      <c r="ACB3" t="s">
        <v>57</v>
      </c>
      <c r="ACC3" t="s">
        <v>61</v>
      </c>
      <c r="ACD3" t="s">
        <v>22</v>
      </c>
      <c r="ACE3" t="s">
        <v>32</v>
      </c>
      <c r="ACF3" t="s">
        <v>32</v>
      </c>
      <c r="ACG3" t="s">
        <v>65</v>
      </c>
      <c r="ACH3" t="s">
        <v>65</v>
      </c>
      <c r="ACI3" t="s">
        <v>22</v>
      </c>
      <c r="ACJ3" t="s">
        <v>65</v>
      </c>
      <c r="ACK3" t="s">
        <v>32</v>
      </c>
      <c r="ACL3" t="s">
        <v>63</v>
      </c>
      <c r="ACM3" t="s">
        <v>61</v>
      </c>
      <c r="ACN3" t="s">
        <v>61</v>
      </c>
      <c r="ACO3" t="s">
        <v>22</v>
      </c>
      <c r="ACP3" t="s">
        <v>65</v>
      </c>
      <c r="ACQ3" t="s">
        <v>63</v>
      </c>
      <c r="ACR3" t="s">
        <v>61</v>
      </c>
      <c r="ACS3" t="s">
        <v>61</v>
      </c>
      <c r="ACT3" t="s">
        <v>51</v>
      </c>
      <c r="ACU3" t="s">
        <v>51</v>
      </c>
      <c r="ACV3" t="s">
        <v>32</v>
      </c>
      <c r="ACW3" t="s">
        <v>61</v>
      </c>
      <c r="ACX3" t="s">
        <v>22</v>
      </c>
      <c r="ACY3" t="s">
        <v>57</v>
      </c>
      <c r="ACZ3" t="s">
        <v>57</v>
      </c>
      <c r="ADA3" t="s">
        <v>63</v>
      </c>
      <c r="ADB3" t="s">
        <v>61</v>
      </c>
      <c r="ADC3" t="s">
        <v>61</v>
      </c>
      <c r="ADD3" t="s">
        <v>32</v>
      </c>
      <c r="ADE3" t="s">
        <v>61</v>
      </c>
      <c r="ADF3" t="s">
        <v>22</v>
      </c>
      <c r="ADG3" t="s">
        <v>51</v>
      </c>
      <c r="ADH3" t="s">
        <v>61</v>
      </c>
      <c r="ADI3" t="s">
        <v>61</v>
      </c>
      <c r="ADJ3" t="s">
        <v>32</v>
      </c>
      <c r="ADK3" t="s">
        <v>65</v>
      </c>
      <c r="ADL3" t="s">
        <v>32</v>
      </c>
      <c r="ADM3" t="s">
        <v>32</v>
      </c>
      <c r="ADN3" t="s">
        <v>22</v>
      </c>
      <c r="ADO3" t="s">
        <v>63</v>
      </c>
      <c r="ADP3" t="s">
        <v>61</v>
      </c>
      <c r="ADQ3" t="s">
        <v>32</v>
      </c>
      <c r="ADR3" t="s">
        <v>32</v>
      </c>
      <c r="ADS3" t="s">
        <v>65</v>
      </c>
      <c r="ADT3" t="s">
        <v>32</v>
      </c>
      <c r="ADU3" t="s">
        <v>57</v>
      </c>
      <c r="ADV3" t="s">
        <v>63</v>
      </c>
      <c r="ADW3" t="s">
        <v>61</v>
      </c>
      <c r="ADX3" t="s">
        <v>61</v>
      </c>
      <c r="ADY3" t="s">
        <v>65</v>
      </c>
      <c r="ADZ3" t="s">
        <v>22</v>
      </c>
      <c r="AEA3" t="s">
        <v>61</v>
      </c>
      <c r="AEB3" t="s">
        <v>57</v>
      </c>
      <c r="AEC3" t="s">
        <v>61</v>
      </c>
      <c r="AED3" t="s">
        <v>57</v>
      </c>
      <c r="AEE3" t="s">
        <v>63</v>
      </c>
      <c r="AEF3" t="s">
        <v>63</v>
      </c>
      <c r="AEG3" t="s">
        <v>51</v>
      </c>
      <c r="AEH3" t="s">
        <v>51</v>
      </c>
      <c r="AEI3" t="s">
        <v>57</v>
      </c>
      <c r="AEJ3" t="s">
        <v>22</v>
      </c>
      <c r="AEK3" t="s">
        <v>61</v>
      </c>
      <c r="AEL3" t="s">
        <v>32</v>
      </c>
      <c r="AEM3" t="s">
        <v>61</v>
      </c>
      <c r="AEN3" t="s">
        <v>51</v>
      </c>
      <c r="AEO3" t="s">
        <v>32</v>
      </c>
      <c r="AEP3" t="s">
        <v>57</v>
      </c>
      <c r="AEQ3" t="s">
        <v>32</v>
      </c>
      <c r="AER3" t="s">
        <v>61</v>
      </c>
      <c r="AES3" t="s">
        <v>61</v>
      </c>
      <c r="AET3" t="s">
        <v>22</v>
      </c>
      <c r="AEU3" t="s">
        <v>65</v>
      </c>
      <c r="AEV3" t="s">
        <v>32</v>
      </c>
      <c r="AEW3" t="s">
        <v>51</v>
      </c>
      <c r="AEX3" t="s">
        <v>51</v>
      </c>
      <c r="AEY3" t="s">
        <v>65</v>
      </c>
      <c r="AEZ3" t="s">
        <v>61</v>
      </c>
      <c r="AFA3" t="s">
        <v>22</v>
      </c>
      <c r="AFB3" t="s">
        <v>22</v>
      </c>
      <c r="AFC3" t="s">
        <v>51</v>
      </c>
      <c r="AFD3" t="s">
        <v>22</v>
      </c>
      <c r="AFE3" t="s">
        <v>63</v>
      </c>
      <c r="AFF3" t="s">
        <v>65</v>
      </c>
      <c r="AFG3" t="s">
        <v>61</v>
      </c>
      <c r="AFH3" t="s">
        <v>63</v>
      </c>
      <c r="AFI3" t="s">
        <v>65</v>
      </c>
      <c r="AFJ3" t="s">
        <v>57</v>
      </c>
      <c r="AFK3" t="s">
        <v>32</v>
      </c>
      <c r="AFL3" t="s">
        <v>51</v>
      </c>
      <c r="AFM3" t="s">
        <v>22</v>
      </c>
      <c r="AFN3" t="s">
        <v>57</v>
      </c>
      <c r="AFO3" t="s">
        <v>22</v>
      </c>
      <c r="AFP3" t="s">
        <v>63</v>
      </c>
      <c r="AFQ3" t="s">
        <v>61</v>
      </c>
      <c r="AFR3" t="s">
        <v>61</v>
      </c>
      <c r="AFS3" t="s">
        <v>61</v>
      </c>
      <c r="AFT3" t="s">
        <v>22</v>
      </c>
      <c r="AFU3" t="s">
        <v>57</v>
      </c>
      <c r="AFV3" t="s">
        <v>61</v>
      </c>
      <c r="AFW3" t="s">
        <v>57</v>
      </c>
      <c r="AFX3" t="s">
        <v>22</v>
      </c>
      <c r="AFY3" t="s">
        <v>63</v>
      </c>
      <c r="AFZ3" t="s">
        <v>57</v>
      </c>
      <c r="AGA3" t="s">
        <v>63</v>
      </c>
      <c r="AGB3" t="s">
        <v>22</v>
      </c>
      <c r="AGC3" t="s">
        <v>22</v>
      </c>
      <c r="AGD3" t="s">
        <v>51</v>
      </c>
      <c r="AGE3" t="s">
        <v>22</v>
      </c>
      <c r="AGF3" t="s">
        <v>22</v>
      </c>
      <c r="AGG3" t="s">
        <v>65</v>
      </c>
      <c r="AGH3" t="s">
        <v>61</v>
      </c>
      <c r="AGI3" t="s">
        <v>51</v>
      </c>
      <c r="AGJ3" t="s">
        <v>32</v>
      </c>
      <c r="AGK3" t="s">
        <v>51</v>
      </c>
      <c r="AGL3" t="s">
        <v>51</v>
      </c>
      <c r="AGM3" t="s">
        <v>32</v>
      </c>
      <c r="AGN3" t="s">
        <v>65</v>
      </c>
      <c r="AGO3" t="s">
        <v>63</v>
      </c>
      <c r="AGP3" t="s">
        <v>22</v>
      </c>
      <c r="AGQ3" t="s">
        <v>61</v>
      </c>
      <c r="AGR3" t="s">
        <v>57</v>
      </c>
      <c r="AGS3" t="s">
        <v>32</v>
      </c>
    </row>
    <row r="4" spans="1:885" x14ac:dyDescent="0.25">
      <c r="A4" s="1" t="s">
        <v>3</v>
      </c>
      <c r="B4" t="s">
        <v>23</v>
      </c>
      <c r="C4" t="s">
        <v>33</v>
      </c>
      <c r="D4" t="s">
        <v>39</v>
      </c>
      <c r="E4" t="s">
        <v>44</v>
      </c>
      <c r="F4" t="s">
        <v>52</v>
      </c>
      <c r="G4" t="s">
        <v>54</v>
      </c>
      <c r="H4" t="s">
        <v>54</v>
      </c>
      <c r="I4" t="s">
        <v>23</v>
      </c>
      <c r="J4" t="s">
        <v>39</v>
      </c>
      <c r="K4" t="s">
        <v>33</v>
      </c>
      <c r="L4" t="s">
        <v>54</v>
      </c>
      <c r="M4" t="s">
        <v>23</v>
      </c>
      <c r="N4" t="s">
        <v>44</v>
      </c>
      <c r="O4" t="s">
        <v>39</v>
      </c>
      <c r="P4" t="s">
        <v>39</v>
      </c>
      <c r="Q4" t="s">
        <v>23</v>
      </c>
      <c r="R4" t="s">
        <v>23</v>
      </c>
      <c r="S4" t="s">
        <v>33</v>
      </c>
      <c r="T4" t="s">
        <v>23</v>
      </c>
      <c r="U4" t="s">
        <v>33</v>
      </c>
      <c r="V4" t="s">
        <v>33</v>
      </c>
      <c r="W4" t="s">
        <v>52</v>
      </c>
      <c r="X4" t="s">
        <v>39</v>
      </c>
      <c r="Y4" t="s">
        <v>44</v>
      </c>
      <c r="Z4" t="s">
        <v>39</v>
      </c>
      <c r="AA4" t="s">
        <v>39</v>
      </c>
      <c r="AB4" t="s">
        <v>52</v>
      </c>
      <c r="AC4" t="s">
        <v>33</v>
      </c>
      <c r="AD4" t="s">
        <v>33</v>
      </c>
      <c r="AE4" t="s">
        <v>23</v>
      </c>
      <c r="AF4" t="s">
        <v>52</v>
      </c>
      <c r="AG4" t="s">
        <v>23</v>
      </c>
      <c r="AH4" t="s">
        <v>52</v>
      </c>
      <c r="AI4" t="s">
        <v>23</v>
      </c>
      <c r="AJ4" t="s">
        <v>54</v>
      </c>
      <c r="AK4" t="s">
        <v>39</v>
      </c>
      <c r="AL4" t="s">
        <v>39</v>
      </c>
      <c r="AM4" t="s">
        <v>44</v>
      </c>
      <c r="AN4" t="s">
        <v>33</v>
      </c>
      <c r="AO4" t="s">
        <v>44</v>
      </c>
      <c r="AP4" t="s">
        <v>54</v>
      </c>
      <c r="AQ4" t="s">
        <v>44</v>
      </c>
      <c r="AR4" t="s">
        <v>39</v>
      </c>
      <c r="AS4" t="s">
        <v>33</v>
      </c>
      <c r="AT4" t="s">
        <v>54</v>
      </c>
      <c r="AU4" t="s">
        <v>39</v>
      </c>
      <c r="AV4" t="s">
        <v>23</v>
      </c>
      <c r="AW4" t="s">
        <v>52</v>
      </c>
      <c r="AX4" t="s">
        <v>54</v>
      </c>
      <c r="AY4" t="s">
        <v>33</v>
      </c>
      <c r="AZ4" t="s">
        <v>44</v>
      </c>
      <c r="BA4" t="s">
        <v>44</v>
      </c>
      <c r="BB4" t="s">
        <v>54</v>
      </c>
      <c r="BC4" t="s">
        <v>33</v>
      </c>
      <c r="BD4" t="s">
        <v>54</v>
      </c>
      <c r="BE4" t="s">
        <v>33</v>
      </c>
      <c r="BF4" t="s">
        <v>44</v>
      </c>
      <c r="BG4" t="s">
        <v>39</v>
      </c>
      <c r="BH4" t="s">
        <v>23</v>
      </c>
      <c r="BI4" t="s">
        <v>39</v>
      </c>
      <c r="BJ4" t="s">
        <v>23</v>
      </c>
      <c r="BK4" t="s">
        <v>44</v>
      </c>
      <c r="BL4" t="s">
        <v>39</v>
      </c>
      <c r="BM4" t="s">
        <v>39</v>
      </c>
      <c r="BN4" t="s">
        <v>54</v>
      </c>
      <c r="BO4" t="s">
        <v>52</v>
      </c>
      <c r="BP4" t="s">
        <v>44</v>
      </c>
      <c r="BQ4" t="s">
        <v>33</v>
      </c>
      <c r="BR4" t="s">
        <v>44</v>
      </c>
      <c r="BS4" t="s">
        <v>33</v>
      </c>
      <c r="BT4" t="s">
        <v>33</v>
      </c>
      <c r="BU4" t="s">
        <v>23</v>
      </c>
      <c r="BV4" t="s">
        <v>33</v>
      </c>
      <c r="BW4" t="s">
        <v>33</v>
      </c>
      <c r="BX4" t="s">
        <v>54</v>
      </c>
      <c r="BY4" t="s">
        <v>39</v>
      </c>
      <c r="BZ4" t="s">
        <v>44</v>
      </c>
      <c r="CA4" t="s">
        <v>44</v>
      </c>
      <c r="CB4" t="s">
        <v>33</v>
      </c>
      <c r="CC4" t="s">
        <v>52</v>
      </c>
      <c r="CD4" t="s">
        <v>44</v>
      </c>
      <c r="CE4" t="s">
        <v>33</v>
      </c>
      <c r="CF4" t="s">
        <v>23</v>
      </c>
      <c r="CG4" t="s">
        <v>23</v>
      </c>
      <c r="CH4" t="s">
        <v>23</v>
      </c>
      <c r="CI4" t="s">
        <v>33</v>
      </c>
      <c r="CJ4" t="s">
        <v>54</v>
      </c>
      <c r="CK4" t="s">
        <v>52</v>
      </c>
      <c r="CL4" t="s">
        <v>33</v>
      </c>
      <c r="CM4" t="s">
        <v>54</v>
      </c>
      <c r="CN4" t="s">
        <v>54</v>
      </c>
      <c r="CO4" t="s">
        <v>44</v>
      </c>
      <c r="CP4" t="s">
        <v>33</v>
      </c>
      <c r="CQ4" t="s">
        <v>33</v>
      </c>
      <c r="CR4" t="s">
        <v>54</v>
      </c>
      <c r="CS4" t="s">
        <v>54</v>
      </c>
      <c r="CT4" t="s">
        <v>54</v>
      </c>
      <c r="CU4" t="s">
        <v>44</v>
      </c>
      <c r="CV4" t="s">
        <v>33</v>
      </c>
      <c r="CW4" t="s">
        <v>54</v>
      </c>
      <c r="CX4" t="s">
        <v>23</v>
      </c>
      <c r="CY4" t="s">
        <v>33</v>
      </c>
      <c r="CZ4" t="s">
        <v>44</v>
      </c>
      <c r="DA4" t="s">
        <v>23</v>
      </c>
      <c r="DB4" t="s">
        <v>39</v>
      </c>
      <c r="DC4" t="s">
        <v>33</v>
      </c>
      <c r="DD4" t="s">
        <v>39</v>
      </c>
      <c r="DE4" t="s">
        <v>54</v>
      </c>
      <c r="DF4" t="s">
        <v>44</v>
      </c>
      <c r="DG4" t="s">
        <v>54</v>
      </c>
      <c r="DH4" t="s">
        <v>44</v>
      </c>
      <c r="DI4" t="s">
        <v>52</v>
      </c>
      <c r="DJ4" t="s">
        <v>54</v>
      </c>
      <c r="DK4" t="s">
        <v>39</v>
      </c>
      <c r="DL4" t="s">
        <v>44</v>
      </c>
      <c r="DM4" t="s">
        <v>54</v>
      </c>
      <c r="DN4" t="s">
        <v>33</v>
      </c>
      <c r="DO4" t="s">
        <v>44</v>
      </c>
      <c r="DP4" t="s">
        <v>44</v>
      </c>
      <c r="DQ4" t="s">
        <v>54</v>
      </c>
      <c r="DR4" t="s">
        <v>52</v>
      </c>
      <c r="DS4" t="s">
        <v>54</v>
      </c>
      <c r="DT4" t="s">
        <v>39</v>
      </c>
      <c r="DU4" t="s">
        <v>39</v>
      </c>
      <c r="DV4" t="s">
        <v>44</v>
      </c>
      <c r="DW4" t="s">
        <v>44</v>
      </c>
      <c r="DX4" t="s">
        <v>54</v>
      </c>
      <c r="DY4" t="s">
        <v>39</v>
      </c>
      <c r="DZ4" t="s">
        <v>39</v>
      </c>
      <c r="EA4" t="s">
        <v>52</v>
      </c>
      <c r="EB4" t="s">
        <v>33</v>
      </c>
      <c r="EC4" t="s">
        <v>52</v>
      </c>
      <c r="ED4" t="s">
        <v>23</v>
      </c>
      <c r="EE4" t="s">
        <v>52</v>
      </c>
      <c r="EF4" t="s">
        <v>54</v>
      </c>
      <c r="EG4" t="s">
        <v>33</v>
      </c>
      <c r="EH4" t="s">
        <v>54</v>
      </c>
      <c r="EI4" t="s">
        <v>23</v>
      </c>
      <c r="EJ4" t="s">
        <v>33</v>
      </c>
      <c r="EK4" t="s">
        <v>44</v>
      </c>
      <c r="EL4" t="s">
        <v>39</v>
      </c>
      <c r="EM4" t="s">
        <v>52</v>
      </c>
      <c r="EN4" t="s">
        <v>54</v>
      </c>
      <c r="EO4" t="s">
        <v>23</v>
      </c>
      <c r="EP4" t="s">
        <v>39</v>
      </c>
      <c r="EQ4" t="s">
        <v>52</v>
      </c>
      <c r="ER4" t="s">
        <v>39</v>
      </c>
      <c r="ES4" t="s">
        <v>52</v>
      </c>
      <c r="ET4" t="s">
        <v>44</v>
      </c>
      <c r="EU4" t="s">
        <v>33</v>
      </c>
      <c r="EV4" t="s">
        <v>39</v>
      </c>
      <c r="EW4" t="s">
        <v>39</v>
      </c>
      <c r="EX4" t="s">
        <v>39</v>
      </c>
      <c r="EY4" t="s">
        <v>33</v>
      </c>
      <c r="EZ4" t="s">
        <v>23</v>
      </c>
      <c r="FA4" t="s">
        <v>52</v>
      </c>
      <c r="FB4" t="s">
        <v>44</v>
      </c>
      <c r="FC4" t="s">
        <v>39</v>
      </c>
      <c r="FD4" t="s">
        <v>33</v>
      </c>
      <c r="FE4" t="s">
        <v>23</v>
      </c>
      <c r="FF4" t="s">
        <v>52</v>
      </c>
      <c r="FG4" t="s">
        <v>33</v>
      </c>
      <c r="FH4" t="s">
        <v>44</v>
      </c>
      <c r="FI4" t="s">
        <v>44</v>
      </c>
      <c r="FJ4" t="s">
        <v>52</v>
      </c>
      <c r="FK4" t="s">
        <v>39</v>
      </c>
      <c r="FL4" t="s">
        <v>44</v>
      </c>
      <c r="FM4" t="s">
        <v>23</v>
      </c>
      <c r="FN4" t="s">
        <v>33</v>
      </c>
      <c r="FO4" t="s">
        <v>23</v>
      </c>
      <c r="FP4" t="s">
        <v>39</v>
      </c>
      <c r="FQ4" t="s">
        <v>23</v>
      </c>
      <c r="FR4" t="s">
        <v>23</v>
      </c>
      <c r="FS4" t="s">
        <v>54</v>
      </c>
      <c r="FT4" t="s">
        <v>23</v>
      </c>
      <c r="FU4" t="s">
        <v>52</v>
      </c>
      <c r="FV4" t="s">
        <v>33</v>
      </c>
      <c r="FW4" t="s">
        <v>54</v>
      </c>
      <c r="FX4" t="s">
        <v>33</v>
      </c>
      <c r="FY4" t="s">
        <v>33</v>
      </c>
      <c r="FZ4" t="s">
        <v>39</v>
      </c>
      <c r="GA4" t="s">
        <v>39</v>
      </c>
      <c r="GB4" t="s">
        <v>54</v>
      </c>
      <c r="GC4" t="s">
        <v>44</v>
      </c>
      <c r="GD4" t="s">
        <v>39</v>
      </c>
      <c r="GE4" t="s">
        <v>39</v>
      </c>
      <c r="GF4" t="s">
        <v>39</v>
      </c>
      <c r="GG4" t="s">
        <v>33</v>
      </c>
      <c r="GH4" t="s">
        <v>54</v>
      </c>
      <c r="GI4" t="s">
        <v>33</v>
      </c>
      <c r="GJ4" t="s">
        <v>52</v>
      </c>
      <c r="GK4" t="s">
        <v>33</v>
      </c>
      <c r="GL4" t="s">
        <v>52</v>
      </c>
      <c r="GM4" t="s">
        <v>23</v>
      </c>
      <c r="GN4" t="s">
        <v>23</v>
      </c>
      <c r="GO4" t="s">
        <v>52</v>
      </c>
      <c r="GP4" t="s">
        <v>52</v>
      </c>
      <c r="GQ4" t="s">
        <v>33</v>
      </c>
      <c r="GR4" t="s">
        <v>52</v>
      </c>
      <c r="GS4" t="s">
        <v>54</v>
      </c>
      <c r="GT4" t="s">
        <v>23</v>
      </c>
      <c r="GU4" t="s">
        <v>23</v>
      </c>
      <c r="GV4" t="s">
        <v>44</v>
      </c>
      <c r="GW4" t="s">
        <v>52</v>
      </c>
      <c r="GX4" t="s">
        <v>39</v>
      </c>
      <c r="GY4" t="s">
        <v>39</v>
      </c>
      <c r="GZ4" t="s">
        <v>52</v>
      </c>
      <c r="HA4" t="s">
        <v>54</v>
      </c>
      <c r="HB4" t="s">
        <v>39</v>
      </c>
      <c r="HC4" t="s">
        <v>44</v>
      </c>
      <c r="HD4" t="s">
        <v>52</v>
      </c>
      <c r="HE4" t="s">
        <v>54</v>
      </c>
      <c r="HF4" t="s">
        <v>54</v>
      </c>
      <c r="HG4" t="s">
        <v>33</v>
      </c>
      <c r="HH4" t="s">
        <v>54</v>
      </c>
      <c r="HI4" t="s">
        <v>39</v>
      </c>
      <c r="HJ4" t="s">
        <v>39</v>
      </c>
      <c r="HK4" t="s">
        <v>52</v>
      </c>
      <c r="HL4" t="s">
        <v>52</v>
      </c>
      <c r="HM4" t="s">
        <v>54</v>
      </c>
      <c r="HN4" t="s">
        <v>44</v>
      </c>
      <c r="HO4" t="s">
        <v>23</v>
      </c>
      <c r="HP4" t="s">
        <v>33</v>
      </c>
      <c r="HQ4" t="s">
        <v>23</v>
      </c>
      <c r="HR4" t="s">
        <v>54</v>
      </c>
      <c r="HS4" t="s">
        <v>54</v>
      </c>
      <c r="HT4" t="s">
        <v>23</v>
      </c>
      <c r="HU4" t="s">
        <v>33</v>
      </c>
      <c r="HV4" t="s">
        <v>23</v>
      </c>
      <c r="HW4" t="s">
        <v>52</v>
      </c>
      <c r="HX4" t="s">
        <v>39</v>
      </c>
      <c r="HY4" t="s">
        <v>44</v>
      </c>
      <c r="HZ4" t="s">
        <v>52</v>
      </c>
      <c r="IA4" t="s">
        <v>39</v>
      </c>
      <c r="IB4" t="s">
        <v>44</v>
      </c>
      <c r="IC4" t="s">
        <v>44</v>
      </c>
      <c r="ID4" t="s">
        <v>44</v>
      </c>
      <c r="IE4" t="s">
        <v>54</v>
      </c>
      <c r="IF4" t="s">
        <v>44</v>
      </c>
      <c r="IG4" t="s">
        <v>33</v>
      </c>
      <c r="IH4" t="s">
        <v>23</v>
      </c>
      <c r="II4" t="s">
        <v>33</v>
      </c>
      <c r="IJ4" t="s">
        <v>23</v>
      </c>
      <c r="IK4" t="s">
        <v>52</v>
      </c>
      <c r="IL4" t="s">
        <v>52</v>
      </c>
      <c r="IM4" t="s">
        <v>23</v>
      </c>
      <c r="IN4" t="s">
        <v>33</v>
      </c>
      <c r="IO4" t="s">
        <v>23</v>
      </c>
      <c r="IP4" t="s">
        <v>44</v>
      </c>
      <c r="IQ4" t="s">
        <v>54</v>
      </c>
      <c r="IR4" t="s">
        <v>52</v>
      </c>
      <c r="IS4" t="s">
        <v>54</v>
      </c>
      <c r="IT4" t="s">
        <v>44</v>
      </c>
      <c r="IU4" t="s">
        <v>44</v>
      </c>
      <c r="IV4" t="s">
        <v>52</v>
      </c>
      <c r="IW4" t="s">
        <v>52</v>
      </c>
      <c r="IX4" t="s">
        <v>44</v>
      </c>
      <c r="IY4" t="s">
        <v>39</v>
      </c>
      <c r="IZ4" t="s">
        <v>54</v>
      </c>
      <c r="JA4" t="s">
        <v>54</v>
      </c>
      <c r="JB4" t="s">
        <v>39</v>
      </c>
      <c r="JC4" t="s">
        <v>33</v>
      </c>
      <c r="JD4" t="s">
        <v>54</v>
      </c>
      <c r="JE4" t="s">
        <v>23</v>
      </c>
      <c r="JF4" t="s">
        <v>44</v>
      </c>
      <c r="JG4" t="s">
        <v>44</v>
      </c>
      <c r="JH4" t="s">
        <v>39</v>
      </c>
      <c r="JI4" t="s">
        <v>54</v>
      </c>
      <c r="JJ4" t="s">
        <v>33</v>
      </c>
      <c r="JK4" t="s">
        <v>54</v>
      </c>
      <c r="JL4" t="s">
        <v>44</v>
      </c>
      <c r="JM4" t="s">
        <v>52</v>
      </c>
      <c r="JN4" t="s">
        <v>23</v>
      </c>
      <c r="JO4" t="s">
        <v>39</v>
      </c>
      <c r="JP4" t="s">
        <v>52</v>
      </c>
      <c r="JQ4" t="s">
        <v>33</v>
      </c>
      <c r="JR4" t="s">
        <v>52</v>
      </c>
      <c r="JS4" t="s">
        <v>52</v>
      </c>
      <c r="JT4" t="s">
        <v>33</v>
      </c>
      <c r="JU4" t="s">
        <v>52</v>
      </c>
      <c r="JV4" t="s">
        <v>39</v>
      </c>
      <c r="JW4" t="s">
        <v>44</v>
      </c>
      <c r="JX4" t="s">
        <v>54</v>
      </c>
      <c r="JY4" t="s">
        <v>52</v>
      </c>
      <c r="JZ4" t="s">
        <v>39</v>
      </c>
      <c r="KA4" t="s">
        <v>54</v>
      </c>
      <c r="KB4" t="s">
        <v>54</v>
      </c>
      <c r="KC4" t="s">
        <v>52</v>
      </c>
      <c r="KD4" t="s">
        <v>39</v>
      </c>
      <c r="KE4" t="s">
        <v>44</v>
      </c>
      <c r="KF4" t="s">
        <v>52</v>
      </c>
      <c r="KG4" t="s">
        <v>33</v>
      </c>
      <c r="KH4" t="s">
        <v>54</v>
      </c>
      <c r="KI4" t="s">
        <v>52</v>
      </c>
      <c r="KJ4" t="s">
        <v>54</v>
      </c>
      <c r="KK4" t="s">
        <v>39</v>
      </c>
      <c r="KL4" t="s">
        <v>23</v>
      </c>
      <c r="KM4" t="s">
        <v>52</v>
      </c>
      <c r="KN4" t="s">
        <v>44</v>
      </c>
      <c r="KO4" t="s">
        <v>52</v>
      </c>
      <c r="KP4" t="s">
        <v>54</v>
      </c>
      <c r="KQ4" t="s">
        <v>39</v>
      </c>
      <c r="KR4" t="s">
        <v>33</v>
      </c>
      <c r="KS4" t="s">
        <v>44</v>
      </c>
      <c r="KT4" t="s">
        <v>39</v>
      </c>
      <c r="KU4" t="s">
        <v>52</v>
      </c>
      <c r="KV4" t="s">
        <v>33</v>
      </c>
      <c r="KW4" t="s">
        <v>39</v>
      </c>
      <c r="KX4" t="s">
        <v>23</v>
      </c>
      <c r="KY4" t="s">
        <v>44</v>
      </c>
      <c r="KZ4" t="s">
        <v>54</v>
      </c>
      <c r="LA4" t="s">
        <v>39</v>
      </c>
      <c r="LB4" t="s">
        <v>39</v>
      </c>
      <c r="LC4" t="s">
        <v>23</v>
      </c>
      <c r="LD4" t="s">
        <v>52</v>
      </c>
      <c r="LE4" t="s">
        <v>44</v>
      </c>
      <c r="LF4" t="s">
        <v>44</v>
      </c>
      <c r="LG4" t="s">
        <v>54</v>
      </c>
      <c r="LH4" t="s">
        <v>39</v>
      </c>
      <c r="LI4" t="s">
        <v>33</v>
      </c>
      <c r="LJ4" t="s">
        <v>39</v>
      </c>
      <c r="LK4" t="s">
        <v>54</v>
      </c>
      <c r="LL4" t="s">
        <v>39</v>
      </c>
      <c r="LM4" t="s">
        <v>23</v>
      </c>
      <c r="LN4" t="s">
        <v>39</v>
      </c>
      <c r="LO4" t="s">
        <v>39</v>
      </c>
      <c r="LP4" t="s">
        <v>33</v>
      </c>
      <c r="LQ4" t="s">
        <v>23</v>
      </c>
      <c r="LR4" t="s">
        <v>23</v>
      </c>
      <c r="LS4" t="s">
        <v>39</v>
      </c>
      <c r="LT4" t="s">
        <v>44</v>
      </c>
      <c r="LU4" t="s">
        <v>33</v>
      </c>
      <c r="LV4" t="s">
        <v>39</v>
      </c>
      <c r="LW4" t="s">
        <v>39</v>
      </c>
      <c r="LX4" t="s">
        <v>54</v>
      </c>
      <c r="LY4" t="s">
        <v>54</v>
      </c>
      <c r="LZ4" t="s">
        <v>44</v>
      </c>
      <c r="MA4" t="s">
        <v>33</v>
      </c>
      <c r="MB4" t="s">
        <v>52</v>
      </c>
      <c r="MC4" t="s">
        <v>54</v>
      </c>
      <c r="MD4" t="s">
        <v>52</v>
      </c>
      <c r="ME4" t="s">
        <v>23</v>
      </c>
      <c r="MF4" t="s">
        <v>54</v>
      </c>
      <c r="MG4" t="s">
        <v>54</v>
      </c>
      <c r="MH4" t="s">
        <v>33</v>
      </c>
      <c r="MI4" t="s">
        <v>44</v>
      </c>
      <c r="MJ4" t="s">
        <v>52</v>
      </c>
      <c r="MK4" t="s">
        <v>54</v>
      </c>
      <c r="ML4" t="s">
        <v>54</v>
      </c>
      <c r="MM4" t="s">
        <v>33</v>
      </c>
      <c r="MN4" t="s">
        <v>33</v>
      </c>
      <c r="MO4" t="s">
        <v>44</v>
      </c>
      <c r="MP4" t="s">
        <v>52</v>
      </c>
      <c r="MQ4" t="s">
        <v>23</v>
      </c>
      <c r="MR4" t="s">
        <v>44</v>
      </c>
      <c r="MS4" t="s">
        <v>23</v>
      </c>
      <c r="MT4" t="s">
        <v>39</v>
      </c>
      <c r="MU4" t="s">
        <v>54</v>
      </c>
      <c r="MV4" t="s">
        <v>52</v>
      </c>
      <c r="MW4" t="s">
        <v>44</v>
      </c>
      <c r="MX4" t="s">
        <v>54</v>
      </c>
      <c r="MY4" t="s">
        <v>52</v>
      </c>
      <c r="MZ4" t="s">
        <v>52</v>
      </c>
      <c r="NA4" t="s">
        <v>52</v>
      </c>
      <c r="NB4" t="s">
        <v>54</v>
      </c>
      <c r="NC4" t="s">
        <v>44</v>
      </c>
      <c r="ND4" t="s">
        <v>33</v>
      </c>
      <c r="NE4" t="s">
        <v>54</v>
      </c>
      <c r="NF4" t="s">
        <v>52</v>
      </c>
      <c r="NG4" t="s">
        <v>44</v>
      </c>
      <c r="NH4" t="s">
        <v>39</v>
      </c>
      <c r="NI4" t="s">
        <v>23</v>
      </c>
      <c r="NJ4" t="s">
        <v>52</v>
      </c>
      <c r="NK4" t="s">
        <v>39</v>
      </c>
      <c r="NL4" t="s">
        <v>33</v>
      </c>
      <c r="NM4" t="s">
        <v>52</v>
      </c>
      <c r="NN4" t="s">
        <v>39</v>
      </c>
      <c r="NO4" t="s">
        <v>52</v>
      </c>
      <c r="NP4" t="s">
        <v>54</v>
      </c>
      <c r="NQ4" t="s">
        <v>44</v>
      </c>
      <c r="NR4" t="s">
        <v>39</v>
      </c>
      <c r="NS4" t="s">
        <v>44</v>
      </c>
      <c r="NT4" t="s">
        <v>54</v>
      </c>
      <c r="NU4" t="s">
        <v>54</v>
      </c>
      <c r="NV4" t="s">
        <v>44</v>
      </c>
      <c r="NW4" t="s">
        <v>39</v>
      </c>
      <c r="NX4" t="s">
        <v>44</v>
      </c>
      <c r="NY4" t="s">
        <v>44</v>
      </c>
      <c r="NZ4" t="s">
        <v>23</v>
      </c>
      <c r="OA4" t="s">
        <v>39</v>
      </c>
      <c r="OB4" t="s">
        <v>23</v>
      </c>
      <c r="OC4" t="s">
        <v>52</v>
      </c>
      <c r="OD4" t="s">
        <v>44</v>
      </c>
      <c r="OE4" t="s">
        <v>52</v>
      </c>
      <c r="OF4" t="s">
        <v>39</v>
      </c>
      <c r="OG4" t="s">
        <v>44</v>
      </c>
      <c r="OH4" t="s">
        <v>52</v>
      </c>
      <c r="OI4" t="s">
        <v>33</v>
      </c>
      <c r="OJ4" t="s">
        <v>54</v>
      </c>
      <c r="OK4" t="s">
        <v>44</v>
      </c>
      <c r="OL4" t="s">
        <v>54</v>
      </c>
      <c r="OM4" t="s">
        <v>23</v>
      </c>
      <c r="ON4" t="s">
        <v>52</v>
      </c>
      <c r="OO4" t="s">
        <v>23</v>
      </c>
      <c r="OP4" t="s">
        <v>44</v>
      </c>
      <c r="OQ4" t="s">
        <v>54</v>
      </c>
      <c r="OR4" t="s">
        <v>54</v>
      </c>
      <c r="OS4" t="s">
        <v>52</v>
      </c>
      <c r="OT4" t="s">
        <v>44</v>
      </c>
      <c r="OU4" t="s">
        <v>33</v>
      </c>
      <c r="OV4" t="s">
        <v>33</v>
      </c>
      <c r="OW4" t="s">
        <v>52</v>
      </c>
      <c r="OX4" t="s">
        <v>44</v>
      </c>
      <c r="OY4" t="s">
        <v>52</v>
      </c>
      <c r="OZ4" t="s">
        <v>44</v>
      </c>
      <c r="PA4" t="s">
        <v>23</v>
      </c>
      <c r="PB4" t="s">
        <v>52</v>
      </c>
      <c r="PC4" t="s">
        <v>44</v>
      </c>
      <c r="PD4" t="s">
        <v>33</v>
      </c>
      <c r="PE4" t="s">
        <v>44</v>
      </c>
      <c r="PF4" t="s">
        <v>44</v>
      </c>
      <c r="PG4" t="s">
        <v>52</v>
      </c>
      <c r="PH4" t="s">
        <v>23</v>
      </c>
      <c r="PI4" t="s">
        <v>23</v>
      </c>
      <c r="PJ4" t="s">
        <v>23</v>
      </c>
      <c r="PK4" t="s">
        <v>23</v>
      </c>
      <c r="PL4" t="s">
        <v>39</v>
      </c>
      <c r="PM4" t="s">
        <v>52</v>
      </c>
      <c r="PN4" t="s">
        <v>54</v>
      </c>
      <c r="PO4" t="s">
        <v>52</v>
      </c>
      <c r="PP4" t="s">
        <v>39</v>
      </c>
      <c r="PQ4" t="s">
        <v>23</v>
      </c>
      <c r="PR4" t="s">
        <v>39</v>
      </c>
      <c r="PS4" t="s">
        <v>33</v>
      </c>
      <c r="PT4" t="s">
        <v>33</v>
      </c>
      <c r="PU4" t="s">
        <v>52</v>
      </c>
      <c r="PV4" t="s">
        <v>52</v>
      </c>
      <c r="PW4" t="s">
        <v>54</v>
      </c>
      <c r="PX4" t="s">
        <v>54</v>
      </c>
      <c r="PY4" t="s">
        <v>33</v>
      </c>
      <c r="PZ4" t="s">
        <v>23</v>
      </c>
      <c r="QA4" t="s">
        <v>39</v>
      </c>
      <c r="QB4" t="s">
        <v>54</v>
      </c>
      <c r="QC4" t="s">
        <v>44</v>
      </c>
      <c r="QD4" t="s">
        <v>54</v>
      </c>
      <c r="QE4" t="s">
        <v>23</v>
      </c>
      <c r="QF4" t="s">
        <v>23</v>
      </c>
      <c r="QG4" t="s">
        <v>52</v>
      </c>
      <c r="QH4" t="s">
        <v>39</v>
      </c>
      <c r="QI4" t="s">
        <v>23</v>
      </c>
      <c r="QJ4" t="s">
        <v>54</v>
      </c>
      <c r="QK4" t="s">
        <v>54</v>
      </c>
      <c r="QL4" t="s">
        <v>33</v>
      </c>
      <c r="QM4" t="s">
        <v>23</v>
      </c>
      <c r="QN4" t="s">
        <v>44</v>
      </c>
      <c r="QO4" t="s">
        <v>52</v>
      </c>
      <c r="QP4" t="s">
        <v>39</v>
      </c>
      <c r="QQ4" t="s">
        <v>44</v>
      </c>
      <c r="QR4" t="s">
        <v>52</v>
      </c>
      <c r="QS4" t="s">
        <v>54</v>
      </c>
      <c r="QT4" t="s">
        <v>44</v>
      </c>
      <c r="QU4" t="s">
        <v>52</v>
      </c>
      <c r="QV4" t="s">
        <v>54</v>
      </c>
      <c r="QW4" t="s">
        <v>54</v>
      </c>
      <c r="QX4" t="s">
        <v>54</v>
      </c>
      <c r="QY4" t="s">
        <v>54</v>
      </c>
      <c r="QZ4" t="s">
        <v>54</v>
      </c>
      <c r="RA4" t="s">
        <v>33</v>
      </c>
      <c r="RB4" t="s">
        <v>44</v>
      </c>
      <c r="RC4" t="s">
        <v>52</v>
      </c>
      <c r="RD4" t="s">
        <v>33</v>
      </c>
      <c r="RE4" t="s">
        <v>33</v>
      </c>
      <c r="RF4" t="s">
        <v>23</v>
      </c>
      <c r="RG4" t="s">
        <v>23</v>
      </c>
      <c r="RH4" t="s">
        <v>23</v>
      </c>
      <c r="RI4" t="s">
        <v>39</v>
      </c>
      <c r="RJ4" t="s">
        <v>23</v>
      </c>
      <c r="RK4" t="s">
        <v>52</v>
      </c>
      <c r="RL4" t="s">
        <v>33</v>
      </c>
      <c r="RM4" t="s">
        <v>52</v>
      </c>
      <c r="RN4" t="s">
        <v>44</v>
      </c>
      <c r="RO4" t="s">
        <v>23</v>
      </c>
      <c r="RP4" t="s">
        <v>39</v>
      </c>
      <c r="RQ4" t="s">
        <v>44</v>
      </c>
      <c r="RR4" t="s">
        <v>39</v>
      </c>
      <c r="RS4" t="s">
        <v>44</v>
      </c>
      <c r="RT4" t="s">
        <v>33</v>
      </c>
      <c r="RU4" t="s">
        <v>52</v>
      </c>
      <c r="RV4" t="s">
        <v>54</v>
      </c>
      <c r="RW4" t="s">
        <v>52</v>
      </c>
      <c r="RX4" t="s">
        <v>23</v>
      </c>
      <c r="RY4" t="s">
        <v>54</v>
      </c>
      <c r="RZ4" t="s">
        <v>39</v>
      </c>
      <c r="SA4" t="s">
        <v>33</v>
      </c>
      <c r="SB4" t="s">
        <v>33</v>
      </c>
      <c r="SC4" t="s">
        <v>39</v>
      </c>
      <c r="SD4" t="s">
        <v>23</v>
      </c>
      <c r="SE4" t="s">
        <v>39</v>
      </c>
      <c r="SF4" t="s">
        <v>44</v>
      </c>
      <c r="SG4" t="s">
        <v>23</v>
      </c>
      <c r="SH4" t="s">
        <v>54</v>
      </c>
      <c r="SI4" t="s">
        <v>39</v>
      </c>
      <c r="SJ4" t="s">
        <v>23</v>
      </c>
      <c r="SK4" t="s">
        <v>54</v>
      </c>
      <c r="SL4" t="s">
        <v>39</v>
      </c>
      <c r="SM4" t="s">
        <v>33</v>
      </c>
      <c r="SN4" t="s">
        <v>39</v>
      </c>
      <c r="SO4" t="s">
        <v>52</v>
      </c>
      <c r="SP4" t="s">
        <v>39</v>
      </c>
      <c r="SQ4" t="s">
        <v>52</v>
      </c>
      <c r="SR4" t="s">
        <v>54</v>
      </c>
      <c r="SS4" t="s">
        <v>39</v>
      </c>
      <c r="ST4" t="s">
        <v>54</v>
      </c>
      <c r="SU4" t="s">
        <v>54</v>
      </c>
      <c r="SV4" t="s">
        <v>23</v>
      </c>
      <c r="SW4" t="s">
        <v>54</v>
      </c>
      <c r="SX4" t="s">
        <v>54</v>
      </c>
      <c r="SY4" t="s">
        <v>39</v>
      </c>
      <c r="SZ4" t="s">
        <v>39</v>
      </c>
      <c r="TA4" t="s">
        <v>33</v>
      </c>
      <c r="TB4" t="s">
        <v>23</v>
      </c>
      <c r="TC4" t="s">
        <v>54</v>
      </c>
      <c r="TD4" t="s">
        <v>23</v>
      </c>
      <c r="TE4" t="s">
        <v>52</v>
      </c>
      <c r="TF4" t="s">
        <v>54</v>
      </c>
      <c r="TG4" t="s">
        <v>23</v>
      </c>
      <c r="TH4" t="s">
        <v>33</v>
      </c>
      <c r="TI4" t="s">
        <v>33</v>
      </c>
      <c r="TJ4" t="s">
        <v>54</v>
      </c>
      <c r="TK4" t="s">
        <v>52</v>
      </c>
      <c r="TL4" t="s">
        <v>33</v>
      </c>
      <c r="TM4" t="s">
        <v>33</v>
      </c>
      <c r="TN4" t="s">
        <v>52</v>
      </c>
      <c r="TO4" t="s">
        <v>23</v>
      </c>
      <c r="TP4" t="s">
        <v>33</v>
      </c>
      <c r="TQ4" t="s">
        <v>39</v>
      </c>
      <c r="TR4" t="s">
        <v>44</v>
      </c>
      <c r="TS4" t="s">
        <v>44</v>
      </c>
      <c r="TT4" t="s">
        <v>33</v>
      </c>
      <c r="TU4" t="s">
        <v>23</v>
      </c>
      <c r="TV4" t="s">
        <v>23</v>
      </c>
      <c r="TW4" t="s">
        <v>54</v>
      </c>
      <c r="TX4" t="s">
        <v>39</v>
      </c>
      <c r="TY4" t="s">
        <v>23</v>
      </c>
      <c r="TZ4" t="s">
        <v>52</v>
      </c>
      <c r="UA4" t="s">
        <v>39</v>
      </c>
      <c r="UB4" t="s">
        <v>44</v>
      </c>
      <c r="UC4" t="s">
        <v>39</v>
      </c>
      <c r="UD4" t="s">
        <v>52</v>
      </c>
      <c r="UE4" t="s">
        <v>33</v>
      </c>
      <c r="UF4" t="s">
        <v>52</v>
      </c>
      <c r="UG4" t="s">
        <v>52</v>
      </c>
      <c r="UH4" t="s">
        <v>33</v>
      </c>
      <c r="UI4" t="s">
        <v>33</v>
      </c>
      <c r="UJ4" t="s">
        <v>33</v>
      </c>
      <c r="UK4" t="s">
        <v>33</v>
      </c>
      <c r="UL4" t="s">
        <v>33</v>
      </c>
      <c r="UM4" t="s">
        <v>52</v>
      </c>
      <c r="UN4" t="s">
        <v>54</v>
      </c>
      <c r="UO4" t="s">
        <v>54</v>
      </c>
      <c r="UP4" t="s">
        <v>23</v>
      </c>
      <c r="UQ4" t="s">
        <v>54</v>
      </c>
      <c r="UR4" t="s">
        <v>44</v>
      </c>
      <c r="US4" t="s">
        <v>54</v>
      </c>
      <c r="UT4" t="s">
        <v>52</v>
      </c>
      <c r="UU4" t="s">
        <v>33</v>
      </c>
      <c r="UV4" t="s">
        <v>33</v>
      </c>
      <c r="UW4" t="s">
        <v>52</v>
      </c>
      <c r="UX4" t="s">
        <v>44</v>
      </c>
      <c r="UY4" t="s">
        <v>54</v>
      </c>
      <c r="UZ4" t="s">
        <v>52</v>
      </c>
      <c r="VA4" t="s">
        <v>23</v>
      </c>
      <c r="VB4" t="s">
        <v>33</v>
      </c>
      <c r="VC4" t="s">
        <v>39</v>
      </c>
      <c r="VD4" t="s">
        <v>23</v>
      </c>
      <c r="VE4" t="s">
        <v>44</v>
      </c>
      <c r="VF4" t="s">
        <v>23</v>
      </c>
      <c r="VG4" t="s">
        <v>52</v>
      </c>
      <c r="VH4" t="s">
        <v>54</v>
      </c>
      <c r="VI4" t="s">
        <v>33</v>
      </c>
      <c r="VJ4" t="s">
        <v>44</v>
      </c>
      <c r="VK4" t="s">
        <v>44</v>
      </c>
      <c r="VL4" t="s">
        <v>39</v>
      </c>
      <c r="VM4" t="s">
        <v>23</v>
      </c>
      <c r="VN4" t="s">
        <v>39</v>
      </c>
      <c r="VO4" t="s">
        <v>54</v>
      </c>
      <c r="VP4" t="s">
        <v>54</v>
      </c>
      <c r="VQ4" t="s">
        <v>39</v>
      </c>
      <c r="VR4" t="s">
        <v>33</v>
      </c>
      <c r="VS4" t="s">
        <v>54</v>
      </c>
      <c r="VT4" t="s">
        <v>39</v>
      </c>
      <c r="VU4" t="s">
        <v>23</v>
      </c>
      <c r="VV4" t="s">
        <v>39</v>
      </c>
      <c r="VW4" t="s">
        <v>39</v>
      </c>
      <c r="VX4" t="s">
        <v>52</v>
      </c>
      <c r="VY4" t="s">
        <v>54</v>
      </c>
      <c r="VZ4" t="s">
        <v>33</v>
      </c>
      <c r="WA4" t="s">
        <v>33</v>
      </c>
      <c r="WB4" t="s">
        <v>52</v>
      </c>
      <c r="WC4" t="s">
        <v>44</v>
      </c>
      <c r="WD4" t="s">
        <v>33</v>
      </c>
      <c r="WE4" t="s">
        <v>39</v>
      </c>
      <c r="WF4" t="s">
        <v>52</v>
      </c>
      <c r="WG4" t="s">
        <v>23</v>
      </c>
      <c r="WH4" t="s">
        <v>54</v>
      </c>
      <c r="WI4" t="s">
        <v>54</v>
      </c>
      <c r="WJ4" t="s">
        <v>54</v>
      </c>
      <c r="WK4" t="s">
        <v>39</v>
      </c>
      <c r="WL4" t="s">
        <v>23</v>
      </c>
      <c r="WM4" t="s">
        <v>52</v>
      </c>
      <c r="WN4" t="s">
        <v>52</v>
      </c>
      <c r="WO4" t="s">
        <v>54</v>
      </c>
      <c r="WP4" t="s">
        <v>23</v>
      </c>
      <c r="WQ4" t="s">
        <v>23</v>
      </c>
      <c r="WR4" t="s">
        <v>23</v>
      </c>
      <c r="WS4" t="s">
        <v>33</v>
      </c>
      <c r="WT4" t="s">
        <v>33</v>
      </c>
      <c r="WU4" t="s">
        <v>54</v>
      </c>
      <c r="WV4" t="s">
        <v>23</v>
      </c>
      <c r="WW4" t="s">
        <v>44</v>
      </c>
      <c r="WX4" t="s">
        <v>23</v>
      </c>
      <c r="WY4" t="s">
        <v>52</v>
      </c>
      <c r="WZ4" t="s">
        <v>52</v>
      </c>
      <c r="XA4" t="s">
        <v>54</v>
      </c>
      <c r="XB4" t="s">
        <v>44</v>
      </c>
      <c r="XC4" t="s">
        <v>23</v>
      </c>
      <c r="XD4" t="s">
        <v>44</v>
      </c>
      <c r="XE4" t="s">
        <v>54</v>
      </c>
      <c r="XF4" t="s">
        <v>52</v>
      </c>
      <c r="XG4" t="s">
        <v>52</v>
      </c>
      <c r="XH4" t="s">
        <v>33</v>
      </c>
      <c r="XI4" t="s">
        <v>54</v>
      </c>
      <c r="XJ4" t="s">
        <v>54</v>
      </c>
      <c r="XK4" t="s">
        <v>23</v>
      </c>
      <c r="XL4" t="s">
        <v>23</v>
      </c>
      <c r="XM4" t="s">
        <v>33</v>
      </c>
      <c r="XN4" t="s">
        <v>39</v>
      </c>
      <c r="XO4" t="s">
        <v>44</v>
      </c>
      <c r="XP4" t="s">
        <v>39</v>
      </c>
      <c r="XQ4" t="s">
        <v>39</v>
      </c>
      <c r="XR4" t="s">
        <v>54</v>
      </c>
      <c r="XS4" t="s">
        <v>44</v>
      </c>
      <c r="XT4" t="s">
        <v>54</v>
      </c>
      <c r="XU4" t="s">
        <v>44</v>
      </c>
      <c r="XV4" t="s">
        <v>52</v>
      </c>
      <c r="XW4" t="s">
        <v>54</v>
      </c>
      <c r="XX4" t="s">
        <v>54</v>
      </c>
      <c r="XY4" t="s">
        <v>54</v>
      </c>
      <c r="XZ4" t="s">
        <v>33</v>
      </c>
      <c r="YA4" t="s">
        <v>54</v>
      </c>
      <c r="YB4" t="s">
        <v>23</v>
      </c>
      <c r="YC4" t="s">
        <v>23</v>
      </c>
      <c r="YD4" t="s">
        <v>44</v>
      </c>
      <c r="YE4" t="s">
        <v>52</v>
      </c>
      <c r="YF4" t="s">
        <v>33</v>
      </c>
      <c r="YG4" t="s">
        <v>44</v>
      </c>
      <c r="YH4" t="s">
        <v>23</v>
      </c>
      <c r="YI4" t="s">
        <v>33</v>
      </c>
      <c r="YJ4" t="s">
        <v>33</v>
      </c>
      <c r="YK4" t="s">
        <v>52</v>
      </c>
      <c r="YL4" t="s">
        <v>33</v>
      </c>
      <c r="YM4" t="s">
        <v>54</v>
      </c>
      <c r="YN4" t="s">
        <v>33</v>
      </c>
      <c r="YO4" t="s">
        <v>52</v>
      </c>
      <c r="YP4" t="s">
        <v>44</v>
      </c>
      <c r="YQ4" t="s">
        <v>52</v>
      </c>
      <c r="YR4" t="s">
        <v>52</v>
      </c>
      <c r="YS4" t="s">
        <v>23</v>
      </c>
      <c r="YT4" t="s">
        <v>54</v>
      </c>
      <c r="YU4" t="s">
        <v>23</v>
      </c>
      <c r="YV4" t="s">
        <v>44</v>
      </c>
      <c r="YW4" t="s">
        <v>39</v>
      </c>
      <c r="YX4" t="s">
        <v>44</v>
      </c>
      <c r="YY4" t="s">
        <v>54</v>
      </c>
      <c r="YZ4" t="s">
        <v>33</v>
      </c>
      <c r="ZA4" t="s">
        <v>52</v>
      </c>
      <c r="ZB4" t="s">
        <v>39</v>
      </c>
      <c r="ZC4" t="s">
        <v>54</v>
      </c>
      <c r="ZD4" t="s">
        <v>23</v>
      </c>
      <c r="ZE4" t="s">
        <v>52</v>
      </c>
      <c r="ZF4" t="s">
        <v>44</v>
      </c>
      <c r="ZG4" t="s">
        <v>23</v>
      </c>
      <c r="ZH4" t="s">
        <v>54</v>
      </c>
      <c r="ZI4" t="s">
        <v>54</v>
      </c>
      <c r="ZJ4" t="s">
        <v>44</v>
      </c>
      <c r="ZK4" t="s">
        <v>39</v>
      </c>
      <c r="ZL4" t="s">
        <v>44</v>
      </c>
      <c r="ZM4" t="s">
        <v>33</v>
      </c>
      <c r="ZN4" t="s">
        <v>23</v>
      </c>
      <c r="ZO4" t="s">
        <v>39</v>
      </c>
      <c r="ZP4" t="s">
        <v>52</v>
      </c>
      <c r="ZQ4" t="s">
        <v>33</v>
      </c>
      <c r="ZR4" t="s">
        <v>39</v>
      </c>
      <c r="ZS4" t="s">
        <v>23</v>
      </c>
      <c r="ZT4" t="s">
        <v>54</v>
      </c>
      <c r="ZU4" t="s">
        <v>52</v>
      </c>
      <c r="ZV4" t="s">
        <v>44</v>
      </c>
      <c r="ZW4" t="s">
        <v>23</v>
      </c>
      <c r="ZX4" t="s">
        <v>33</v>
      </c>
      <c r="ZY4" t="s">
        <v>33</v>
      </c>
      <c r="ZZ4" t="s">
        <v>54</v>
      </c>
      <c r="AAA4" t="s">
        <v>54</v>
      </c>
      <c r="AAB4" t="s">
        <v>52</v>
      </c>
      <c r="AAC4" t="s">
        <v>44</v>
      </c>
      <c r="AAD4" t="s">
        <v>52</v>
      </c>
      <c r="AAE4" t="s">
        <v>54</v>
      </c>
      <c r="AAF4" t="s">
        <v>54</v>
      </c>
      <c r="AAG4" t="s">
        <v>33</v>
      </c>
      <c r="AAH4" t="s">
        <v>54</v>
      </c>
      <c r="AAI4" t="s">
        <v>39</v>
      </c>
      <c r="AAJ4" t="s">
        <v>23</v>
      </c>
      <c r="AAK4" t="s">
        <v>54</v>
      </c>
      <c r="AAL4" t="s">
        <v>52</v>
      </c>
      <c r="AAM4" t="s">
        <v>44</v>
      </c>
      <c r="AAN4" t="s">
        <v>44</v>
      </c>
      <c r="AAO4" t="s">
        <v>44</v>
      </c>
      <c r="AAP4" t="s">
        <v>39</v>
      </c>
      <c r="AAQ4" t="s">
        <v>52</v>
      </c>
      <c r="AAR4" t="s">
        <v>39</v>
      </c>
      <c r="AAS4" t="s">
        <v>54</v>
      </c>
      <c r="AAT4" t="s">
        <v>23</v>
      </c>
      <c r="AAU4" t="s">
        <v>44</v>
      </c>
      <c r="AAV4" t="s">
        <v>52</v>
      </c>
      <c r="AAW4" t="s">
        <v>44</v>
      </c>
      <c r="AAX4" t="s">
        <v>39</v>
      </c>
      <c r="AAY4" t="s">
        <v>33</v>
      </c>
      <c r="AAZ4" t="s">
        <v>54</v>
      </c>
      <c r="ABA4" t="s">
        <v>23</v>
      </c>
      <c r="ABB4" t="s">
        <v>54</v>
      </c>
      <c r="ABC4" t="s">
        <v>33</v>
      </c>
      <c r="ABD4" t="s">
        <v>23</v>
      </c>
      <c r="ABE4" t="s">
        <v>33</v>
      </c>
      <c r="ABF4" t="s">
        <v>54</v>
      </c>
      <c r="ABG4" t="s">
        <v>39</v>
      </c>
      <c r="ABH4" t="s">
        <v>54</v>
      </c>
      <c r="ABI4" t="s">
        <v>54</v>
      </c>
      <c r="ABJ4" t="s">
        <v>54</v>
      </c>
      <c r="ABK4" t="s">
        <v>52</v>
      </c>
      <c r="ABL4" t="s">
        <v>33</v>
      </c>
      <c r="ABM4" t="s">
        <v>33</v>
      </c>
      <c r="ABN4" t="s">
        <v>44</v>
      </c>
      <c r="ABO4" t="s">
        <v>33</v>
      </c>
      <c r="ABP4" t="s">
        <v>44</v>
      </c>
      <c r="ABQ4" t="s">
        <v>52</v>
      </c>
      <c r="ABR4" t="s">
        <v>39</v>
      </c>
      <c r="ABS4" t="s">
        <v>44</v>
      </c>
      <c r="ABT4" t="s">
        <v>54</v>
      </c>
      <c r="ABU4" t="s">
        <v>39</v>
      </c>
      <c r="ABV4" t="s">
        <v>52</v>
      </c>
      <c r="ABW4" t="s">
        <v>33</v>
      </c>
      <c r="ABX4" t="s">
        <v>44</v>
      </c>
      <c r="ABY4" t="s">
        <v>54</v>
      </c>
      <c r="ABZ4" t="s">
        <v>23</v>
      </c>
      <c r="ACA4" t="s">
        <v>23</v>
      </c>
      <c r="ACB4" t="s">
        <v>39</v>
      </c>
      <c r="ACC4" t="s">
        <v>33</v>
      </c>
      <c r="ACD4" t="s">
        <v>23</v>
      </c>
      <c r="ACE4" t="s">
        <v>39</v>
      </c>
      <c r="ACF4" t="s">
        <v>52</v>
      </c>
      <c r="ACG4" t="s">
        <v>39</v>
      </c>
      <c r="ACH4" t="s">
        <v>39</v>
      </c>
      <c r="ACI4" t="s">
        <v>39</v>
      </c>
      <c r="ACJ4" t="s">
        <v>54</v>
      </c>
      <c r="ACK4" t="s">
        <v>39</v>
      </c>
      <c r="ACL4" t="s">
        <v>44</v>
      </c>
      <c r="ACM4" t="s">
        <v>39</v>
      </c>
      <c r="ACN4" t="s">
        <v>54</v>
      </c>
      <c r="ACO4" t="s">
        <v>54</v>
      </c>
      <c r="ACP4" t="s">
        <v>52</v>
      </c>
      <c r="ACQ4" t="s">
        <v>33</v>
      </c>
      <c r="ACR4" t="s">
        <v>23</v>
      </c>
      <c r="ACS4" t="s">
        <v>23</v>
      </c>
      <c r="ACT4" t="s">
        <v>39</v>
      </c>
      <c r="ACU4" t="s">
        <v>52</v>
      </c>
      <c r="ACV4" t="s">
        <v>39</v>
      </c>
      <c r="ACW4" t="s">
        <v>23</v>
      </c>
      <c r="ACX4" t="s">
        <v>54</v>
      </c>
      <c r="ACY4" t="s">
        <v>33</v>
      </c>
      <c r="ACZ4" t="s">
        <v>52</v>
      </c>
      <c r="ADA4" t="s">
        <v>54</v>
      </c>
      <c r="ADB4" t="s">
        <v>33</v>
      </c>
      <c r="ADC4" t="s">
        <v>52</v>
      </c>
      <c r="ADD4" t="s">
        <v>52</v>
      </c>
      <c r="ADE4" t="s">
        <v>23</v>
      </c>
      <c r="ADF4" t="s">
        <v>54</v>
      </c>
      <c r="ADG4" t="s">
        <v>52</v>
      </c>
      <c r="ADH4" t="s">
        <v>44</v>
      </c>
      <c r="ADI4" t="s">
        <v>52</v>
      </c>
      <c r="ADJ4" t="s">
        <v>33</v>
      </c>
      <c r="ADK4" t="s">
        <v>23</v>
      </c>
      <c r="ADL4" t="s">
        <v>39</v>
      </c>
      <c r="ADM4" t="s">
        <v>23</v>
      </c>
      <c r="ADN4" t="s">
        <v>39</v>
      </c>
      <c r="ADO4" t="s">
        <v>54</v>
      </c>
      <c r="ADP4" t="s">
        <v>54</v>
      </c>
      <c r="ADQ4" t="s">
        <v>52</v>
      </c>
      <c r="ADR4" t="s">
        <v>44</v>
      </c>
      <c r="ADS4" t="s">
        <v>54</v>
      </c>
      <c r="ADT4" t="s">
        <v>52</v>
      </c>
      <c r="ADU4" t="s">
        <v>23</v>
      </c>
      <c r="ADV4" t="s">
        <v>54</v>
      </c>
      <c r="ADW4" t="s">
        <v>23</v>
      </c>
      <c r="ADX4" t="s">
        <v>23</v>
      </c>
      <c r="ADY4" t="s">
        <v>44</v>
      </c>
      <c r="ADZ4" t="s">
        <v>54</v>
      </c>
      <c r="AEA4" t="s">
        <v>23</v>
      </c>
      <c r="AEB4" t="s">
        <v>44</v>
      </c>
      <c r="AEC4" t="s">
        <v>44</v>
      </c>
      <c r="AED4" t="s">
        <v>54</v>
      </c>
      <c r="AEE4" t="s">
        <v>44</v>
      </c>
      <c r="AEF4" t="s">
        <v>54</v>
      </c>
      <c r="AEG4" t="s">
        <v>54</v>
      </c>
      <c r="AEH4" t="s">
        <v>39</v>
      </c>
      <c r="AEI4" t="s">
        <v>23</v>
      </c>
      <c r="AEJ4" t="s">
        <v>33</v>
      </c>
      <c r="AEK4" t="s">
        <v>54</v>
      </c>
      <c r="AEL4" t="s">
        <v>23</v>
      </c>
      <c r="AEM4" t="s">
        <v>44</v>
      </c>
      <c r="AEN4" t="s">
        <v>52</v>
      </c>
      <c r="AEO4" t="s">
        <v>54</v>
      </c>
      <c r="AEP4" t="s">
        <v>44</v>
      </c>
      <c r="AEQ4" t="s">
        <v>44</v>
      </c>
      <c r="AER4" t="s">
        <v>44</v>
      </c>
      <c r="AES4" t="s">
        <v>44</v>
      </c>
      <c r="AET4" t="s">
        <v>44</v>
      </c>
      <c r="AEU4" t="s">
        <v>54</v>
      </c>
      <c r="AEV4" t="s">
        <v>33</v>
      </c>
      <c r="AEW4" t="s">
        <v>39</v>
      </c>
      <c r="AEX4" t="s">
        <v>44</v>
      </c>
      <c r="AEY4" t="s">
        <v>44</v>
      </c>
      <c r="AEZ4" t="s">
        <v>39</v>
      </c>
      <c r="AFA4" t="s">
        <v>54</v>
      </c>
      <c r="AFB4" t="s">
        <v>23</v>
      </c>
      <c r="AFC4" t="s">
        <v>52</v>
      </c>
      <c r="AFD4" t="s">
        <v>52</v>
      </c>
      <c r="AFE4" t="s">
        <v>23</v>
      </c>
      <c r="AFF4" t="s">
        <v>54</v>
      </c>
      <c r="AFG4" t="s">
        <v>52</v>
      </c>
      <c r="AFH4" t="s">
        <v>39</v>
      </c>
      <c r="AFI4" t="s">
        <v>23</v>
      </c>
      <c r="AFJ4" t="s">
        <v>33</v>
      </c>
      <c r="AFK4" t="s">
        <v>54</v>
      </c>
      <c r="AFL4" t="s">
        <v>23</v>
      </c>
      <c r="AFM4" t="s">
        <v>52</v>
      </c>
      <c r="AFN4" t="s">
        <v>54</v>
      </c>
      <c r="AFO4" t="s">
        <v>39</v>
      </c>
      <c r="AFP4" t="s">
        <v>54</v>
      </c>
      <c r="AFQ4" t="s">
        <v>54</v>
      </c>
      <c r="AFR4" t="s">
        <v>39</v>
      </c>
      <c r="AFS4" t="s">
        <v>44</v>
      </c>
      <c r="AFT4" t="s">
        <v>39</v>
      </c>
      <c r="AFU4" t="s">
        <v>54</v>
      </c>
      <c r="AFV4" t="s">
        <v>39</v>
      </c>
      <c r="AFW4" t="s">
        <v>44</v>
      </c>
      <c r="AFX4" t="s">
        <v>23</v>
      </c>
      <c r="AFY4" t="s">
        <v>39</v>
      </c>
      <c r="AFZ4" t="s">
        <v>39</v>
      </c>
      <c r="AGA4" t="s">
        <v>54</v>
      </c>
      <c r="AGB4" t="s">
        <v>23</v>
      </c>
      <c r="AGC4" t="s">
        <v>33</v>
      </c>
      <c r="AGD4" t="s">
        <v>33</v>
      </c>
      <c r="AGE4" t="s">
        <v>52</v>
      </c>
      <c r="AGF4" t="s">
        <v>39</v>
      </c>
      <c r="AGG4" t="s">
        <v>39</v>
      </c>
      <c r="AGH4" t="s">
        <v>23</v>
      </c>
      <c r="AGI4" t="s">
        <v>44</v>
      </c>
      <c r="AGJ4" t="s">
        <v>33</v>
      </c>
      <c r="AGK4" t="s">
        <v>52</v>
      </c>
      <c r="AGL4" t="s">
        <v>23</v>
      </c>
      <c r="AGM4" t="s">
        <v>39</v>
      </c>
      <c r="AGN4" t="s">
        <v>33</v>
      </c>
      <c r="AGO4" t="s">
        <v>52</v>
      </c>
      <c r="AGP4" t="s">
        <v>54</v>
      </c>
      <c r="AGQ4" t="s">
        <v>33</v>
      </c>
      <c r="AGR4" t="s">
        <v>52</v>
      </c>
      <c r="AGS4" t="s">
        <v>23</v>
      </c>
      <c r="AGU4">
        <f>COUNTIF(B4:AGS4, "HR")</f>
        <v>138</v>
      </c>
      <c r="AGV4">
        <f>COUNTIF(B4:AGS4, "Operations")</f>
        <v>145</v>
      </c>
      <c r="AGX4">
        <f>SUMIF(B4:AGS4, "HR", B7:AGS7)</f>
        <v>10381213</v>
      </c>
      <c r="AGZ4" t="s">
        <v>104</v>
      </c>
    </row>
    <row r="5" spans="1:885" x14ac:dyDescent="0.25">
      <c r="A5" s="1" t="s">
        <v>77</v>
      </c>
      <c r="B5" t="str">
        <f>CONCATENATE(B2, " ", B3, " is in ", B4, " Department")</f>
        <v>Michael Williams is in HR Department</v>
      </c>
      <c r="C5" t="str">
        <f>CONCATENATE(C2, " ", C3, " is in ", C4, " Department")</f>
        <v>Emily Wilson is in Marketing Department</v>
      </c>
      <c r="D5" t="str">
        <f>CONCATENATE(D2, " ", D3, " is in ", D4, " Department")</f>
        <v>Chris Wilson is in IT Department</v>
      </c>
      <c r="E5" t="str">
        <f>CONCATENATE(E2, " ", E3, " is in ", E4, " Department")</f>
        <v>Michael Wilson is in Sales Department</v>
      </c>
      <c r="F5" t="str">
        <f>CONCATENATE(F2, " ", F3, " is in ", F4, " Department")</f>
        <v>Alex Brown is in Operations Department</v>
      </c>
      <c r="G5" t="str">
        <f>CONCATENATE(G2, " ", G3, " is in ", G4, " Department")</f>
        <v>Sarah Wilson is in Finance Department</v>
      </c>
      <c r="H5" t="str">
        <f>CONCATENATE(H2, " ", H3, " is in ", H4, " Department")</f>
        <v>Chris Davis is in Finance Department</v>
      </c>
      <c r="I5" t="str">
        <f>CONCATENATE(I2, " ", I3, " is in ", I4, " Department")</f>
        <v>Chris Williams is in HR Department</v>
      </c>
      <c r="J5" t="str">
        <f>CONCATENATE(J2, " ", J3, " is in ", J4, " Department")</f>
        <v>Michael Wilson is in IT Department</v>
      </c>
      <c r="K5" t="str">
        <f>CONCATENATE(K2, " ", K3, " is in ", K4, " Department")</f>
        <v>Jane Smith is in Marketing Department</v>
      </c>
      <c r="L5" t="str">
        <f>CONCATENATE(L2, " ", L3, " is in ", L4, " Department")</f>
        <v>Alex Brown is in Finance Department</v>
      </c>
      <c r="M5" t="str">
        <f>CONCATENATE(M2, " ", M3, " is in ", M4, " Department")</f>
        <v>Michael Davis is in HR Department</v>
      </c>
      <c r="N5" t="str">
        <f>CONCATENATE(N2, " ", N3, " is in ", N4, " Department")</f>
        <v>Alex Smith is in Sales Department</v>
      </c>
      <c r="O5" t="str">
        <f>CONCATENATE(O2, " ", O3, " is in ", O4, " Department")</f>
        <v>Alex Smith is in IT Department</v>
      </c>
      <c r="P5" t="str">
        <f>CONCATENATE(P2, " ", P3, " is in ", P4, " Department")</f>
        <v>Sarah Smith is in IT Department</v>
      </c>
      <c r="Q5" t="str">
        <f>CONCATENATE(Q2, " ", Q3, " is in ", Q4, " Department")</f>
        <v>Chris Smith is in HR Department</v>
      </c>
      <c r="R5" t="str">
        <f>CONCATENATE(R2, " ", R3, " is in ", R4, " Department")</f>
        <v>Emily Williams is in HR Department</v>
      </c>
      <c r="S5" t="str">
        <f>CONCATENATE(S2, " ", S3, " is in ", S4, " Department")</f>
        <v>Sarah Wilson is in Marketing Department</v>
      </c>
      <c r="T5" t="str">
        <f>CONCATENATE(T2, " ", T3, " is in ", T4, " Department")</f>
        <v>Sarah Miller is in HR Department</v>
      </c>
      <c r="U5" t="str">
        <f>CONCATENATE(U2, " ", U3, " is in ", U4, " Department")</f>
        <v>Alex Williams is in Marketing Department</v>
      </c>
      <c r="V5" t="str">
        <f>CONCATENATE(V2, " ", V3, " is in ", V4, " Department")</f>
        <v>Katie Williams is in Marketing Department</v>
      </c>
      <c r="W5" t="str">
        <f>CONCATENATE(W2, " ", W3, " is in ", W4, " Department")</f>
        <v>Chris Davis is in Operations Department</v>
      </c>
      <c r="X5" t="str">
        <f>CONCATENATE(X2, " ", X3, " is in ", X4, " Department")</f>
        <v>Jane Davis is in IT Department</v>
      </c>
      <c r="Y5" t="str">
        <f>CONCATENATE(Y2, " ", Y3, " is in ", Y4, " Department")</f>
        <v>Sarah Wilson is in Sales Department</v>
      </c>
      <c r="Z5" t="str">
        <f>CONCATENATE(Z2, " ", Z3, " is in ", Z4, " Department")</f>
        <v>Emily Miller is in IT Department</v>
      </c>
      <c r="AA5" t="str">
        <f>CONCATENATE(AA2, " ", AA3, " is in ", AA4, " Department")</f>
        <v>Katie Davis is in IT Department</v>
      </c>
      <c r="AB5" t="str">
        <f>CONCATENATE(AB2, " ", AB3, " is in ", AB4, " Department")</f>
        <v>Katie Wilson is in Operations Department</v>
      </c>
      <c r="AC5" t="str">
        <f>CONCATENATE(AC2, " ", AC3, " is in ", AC4, " Department")</f>
        <v>Jane Wilson is in Marketing Department</v>
      </c>
      <c r="AD5" t="str">
        <f>CONCATENATE(AD2, " ", AD3, " is in ", AD4, " Department")</f>
        <v>Sarah Johnson is in Marketing Department</v>
      </c>
      <c r="AE5" t="str">
        <f>CONCATENATE(AE2, " ", AE3, " is in ", AE4, " Department")</f>
        <v>Emily Miller is in HR Department</v>
      </c>
      <c r="AF5" t="str">
        <f>CONCATENATE(AF2, " ", AF3, " is in ", AF4, " Department")</f>
        <v>Chris Davis is in Operations Department</v>
      </c>
      <c r="AG5" t="str">
        <f>CONCATENATE(AG2, " ", AG3, " is in ", AG4, " Department")</f>
        <v>John Miller is in HR Department</v>
      </c>
      <c r="AH5" t="str">
        <f>CONCATENATE(AH2, " ", AH3, " is in ", AH4, " Department")</f>
        <v>Emily Williams is in Operations Department</v>
      </c>
      <c r="AI5" t="str">
        <f>CONCATENATE(AI2, " ", AI3, " is in ", AI4, " Department")</f>
        <v>Jane Williams is in HR Department</v>
      </c>
      <c r="AJ5" t="str">
        <f>CONCATENATE(AJ2, " ", AJ3, " is in ", AJ4, " Department")</f>
        <v>Katie Miller is in Finance Department</v>
      </c>
      <c r="AK5" t="str">
        <f>CONCATENATE(AK2, " ", AK3, " is in ", AK4, " Department")</f>
        <v>Chris Johnson is in IT Department</v>
      </c>
      <c r="AL5" t="str">
        <f>CONCATENATE(AL2, " ", AL3, " is in ", AL4, " Department")</f>
        <v>Emily Johnson is in IT Department</v>
      </c>
      <c r="AM5" t="str">
        <f>CONCATENATE(AM2, " ", AM3, " is in ", AM4, " Department")</f>
        <v>John Miller is in Sales Department</v>
      </c>
      <c r="AN5" t="str">
        <f>CONCATENATE(AN2, " ", AN3, " is in ", AN4, " Department")</f>
        <v>John Davis is in Marketing Department</v>
      </c>
      <c r="AO5" t="str">
        <f>CONCATENATE(AO2, " ", AO3, " is in ", AO4, " Department")</f>
        <v>Alex Brown is in Sales Department</v>
      </c>
      <c r="AP5" t="str">
        <f>CONCATENATE(AP2, " ", AP3, " is in ", AP4, " Department")</f>
        <v>Alex Johnson is in Finance Department</v>
      </c>
      <c r="AQ5" t="str">
        <f>CONCATENATE(AQ2, " ", AQ3, " is in ", AQ4, " Department")</f>
        <v>Michael Smith is in Sales Department</v>
      </c>
      <c r="AR5" t="str">
        <f>CONCATENATE(AR2, " ", AR3, " is in ", AR4, " Department")</f>
        <v>Jane Williams is in IT Department</v>
      </c>
      <c r="AS5" t="str">
        <f>CONCATENATE(AS2, " ", AS3, " is in ", AS4, " Department")</f>
        <v>Sarah Miller is in Marketing Department</v>
      </c>
      <c r="AT5" t="str">
        <f>CONCATENATE(AT2, " ", AT3, " is in ", AT4, " Department")</f>
        <v>Emily Smith is in Finance Department</v>
      </c>
      <c r="AU5" t="str">
        <f>CONCATENATE(AU2, " ", AU3, " is in ", AU4, " Department")</f>
        <v>Emily Miller is in IT Department</v>
      </c>
      <c r="AV5" t="str">
        <f>CONCATENATE(AV2, " ", AV3, " is in ", AV4, " Department")</f>
        <v>Sarah Wilson is in HR Department</v>
      </c>
      <c r="AW5" t="str">
        <f>CONCATENATE(AW2, " ", AW3, " is in ", AW4, " Department")</f>
        <v>Michael Williams is in Operations Department</v>
      </c>
      <c r="AX5" t="str">
        <f>CONCATENATE(AX2, " ", AX3, " is in ", AX4, " Department")</f>
        <v>Katie Williams is in Finance Department</v>
      </c>
      <c r="AY5" t="str">
        <f>CONCATENATE(AY2, " ", AY3, " is in ", AY4, " Department")</f>
        <v>Katie Johnson is in Marketing Department</v>
      </c>
      <c r="AZ5" t="str">
        <f>CONCATENATE(AZ2, " ", AZ3, " is in ", AZ4, " Department")</f>
        <v>Michael Johnson is in Sales Department</v>
      </c>
      <c r="BA5" t="str">
        <f>CONCATENATE(BA2, " ", BA3, " is in ", BA4, " Department")</f>
        <v>Katie Smith is in Sales Department</v>
      </c>
      <c r="BB5" t="str">
        <f>CONCATENATE(BB2, " ", BB3, " is in ", BB4, " Department")</f>
        <v>Alex Wilson is in Finance Department</v>
      </c>
      <c r="BC5" t="str">
        <f>CONCATENATE(BC2, " ", BC3, " is in ", BC4, " Department")</f>
        <v>Emily Miller is in Marketing Department</v>
      </c>
      <c r="BD5" t="str">
        <f>CONCATENATE(BD2, " ", BD3, " is in ", BD4, " Department")</f>
        <v>Michael Wilson is in Finance Department</v>
      </c>
      <c r="BE5" t="str">
        <f>CONCATENATE(BE2, " ", BE3, " is in ", BE4, " Department")</f>
        <v>Emily Williams is in Marketing Department</v>
      </c>
      <c r="BF5" t="str">
        <f>CONCATENATE(BF2, " ", BF3, " is in ", BF4, " Department")</f>
        <v>Sarah Smith is in Sales Department</v>
      </c>
      <c r="BG5" t="str">
        <f>CONCATENATE(BG2, " ", BG3, " is in ", BG4, " Department")</f>
        <v>John Brown is in IT Department</v>
      </c>
      <c r="BH5" t="str">
        <f>CONCATENATE(BH2, " ", BH3, " is in ", BH4, " Department")</f>
        <v>Alex Smith is in HR Department</v>
      </c>
      <c r="BI5" t="str">
        <f>CONCATENATE(BI2, " ", BI3, " is in ", BI4, " Department")</f>
        <v>Chris Davis is in IT Department</v>
      </c>
      <c r="BJ5" t="str">
        <f>CONCATENATE(BJ2, " ", BJ3, " is in ", BJ4, " Department")</f>
        <v>Alex Smith is in HR Department</v>
      </c>
      <c r="BK5" t="str">
        <f>CONCATENATE(BK2, " ", BK3, " is in ", BK4, " Department")</f>
        <v>Michael Wilson is in Sales Department</v>
      </c>
      <c r="BL5" t="str">
        <f>CONCATENATE(BL2, " ", BL3, " is in ", BL4, " Department")</f>
        <v>Chris Davis is in IT Department</v>
      </c>
      <c r="BM5" t="str">
        <f>CONCATENATE(BM2, " ", BM3, " is in ", BM4, " Department")</f>
        <v>John Davis is in IT Department</v>
      </c>
      <c r="BN5" t="str">
        <f>CONCATENATE(BN2, " ", BN3, " is in ", BN4, " Department")</f>
        <v>Michael Davis is in Finance Department</v>
      </c>
      <c r="BO5" t="str">
        <f>CONCATENATE(BO2, " ", BO3, " is in ", BO4, " Department")</f>
        <v>Jane Brown is in Operations Department</v>
      </c>
      <c r="BP5" t="str">
        <f>CONCATENATE(BP2, " ", BP3, " is in ", BP4, " Department")</f>
        <v>Emily Smith is in Sales Department</v>
      </c>
      <c r="BQ5" t="str">
        <f>CONCATENATE(BQ2, " ", BQ3, " is in ", BQ4, " Department")</f>
        <v>John Wilson is in Marketing Department</v>
      </c>
      <c r="BR5" t="str">
        <f>CONCATENATE(BR2, " ", BR3, " is in ", BR4, " Department")</f>
        <v>Emily Smith is in Sales Department</v>
      </c>
      <c r="BS5" t="str">
        <f>CONCATENATE(BS2, " ", BS3, " is in ", BS4, " Department")</f>
        <v>Katie Brown is in Marketing Department</v>
      </c>
      <c r="BT5" t="str">
        <f>CONCATENATE(BT2, " ", BT3, " is in ", BT4, " Department")</f>
        <v>Jane Williams is in Marketing Department</v>
      </c>
      <c r="BU5" t="str">
        <f>CONCATENATE(BU2, " ", BU3, " is in ", BU4, " Department")</f>
        <v>Jane Johnson is in HR Department</v>
      </c>
      <c r="BV5" t="str">
        <f>CONCATENATE(BV2, " ", BV3, " is in ", BV4, " Department")</f>
        <v>John Wilson is in Marketing Department</v>
      </c>
      <c r="BW5" t="str">
        <f>CONCATENATE(BW2, " ", BW3, " is in ", BW4, " Department")</f>
        <v>Jane Wilson is in Marketing Department</v>
      </c>
      <c r="BX5" t="str">
        <f>CONCATENATE(BX2, " ", BX3, " is in ", BX4, " Department")</f>
        <v>Chris Smith is in Finance Department</v>
      </c>
      <c r="BY5" t="str">
        <f>CONCATENATE(BY2, " ", BY3, " is in ", BY4, " Department")</f>
        <v>Jane Johnson is in IT Department</v>
      </c>
      <c r="BZ5" t="str">
        <f>CONCATENATE(BZ2, " ", BZ3, " is in ", BZ4, " Department")</f>
        <v>Emily Miller is in Sales Department</v>
      </c>
      <c r="CA5" t="str">
        <f>CONCATENATE(CA2, " ", CA3, " is in ", CA4, " Department")</f>
        <v>Emily Miller is in Sales Department</v>
      </c>
      <c r="CB5" t="str">
        <f>CONCATENATE(CB2, " ", CB3, " is in ", CB4, " Department")</f>
        <v>Michael Brown is in Marketing Department</v>
      </c>
      <c r="CC5" t="str">
        <f>CONCATENATE(CC2, " ", CC3, " is in ", CC4, " Department")</f>
        <v>Emily Miller is in Operations Department</v>
      </c>
      <c r="CD5" t="str">
        <f>CONCATENATE(CD2, " ", CD3, " is in ", CD4, " Department")</f>
        <v>Michael Wilson is in Sales Department</v>
      </c>
      <c r="CE5" t="str">
        <f>CONCATENATE(CE2, " ", CE3, " is in ", CE4, " Department")</f>
        <v>Emily Miller is in Marketing Department</v>
      </c>
      <c r="CF5" t="str">
        <f>CONCATENATE(CF2, " ", CF3, " is in ", CF4, " Department")</f>
        <v>Chris Williams is in HR Department</v>
      </c>
      <c r="CG5" t="str">
        <f>CONCATENATE(CG2, " ", CG3, " is in ", CG4, " Department")</f>
        <v>Sarah Williams is in HR Department</v>
      </c>
      <c r="CH5" t="str">
        <f>CONCATENATE(CH2, " ", CH3, " is in ", CH4, " Department")</f>
        <v>Michael Williams is in HR Department</v>
      </c>
      <c r="CI5" t="str">
        <f>CONCATENATE(CI2, " ", CI3, " is in ", CI4, " Department")</f>
        <v>Alex Miller is in Marketing Department</v>
      </c>
      <c r="CJ5" t="str">
        <f>CONCATENATE(CJ2, " ", CJ3, " is in ", CJ4, " Department")</f>
        <v>Katie Brown is in Finance Department</v>
      </c>
      <c r="CK5" t="str">
        <f>CONCATENATE(CK2, " ", CK3, " is in ", CK4, " Department")</f>
        <v>John Davis is in Operations Department</v>
      </c>
      <c r="CL5" t="str">
        <f>CONCATENATE(CL2, " ", CL3, " is in ", CL4, " Department")</f>
        <v>Emily Davis is in Marketing Department</v>
      </c>
      <c r="CM5" t="str">
        <f>CONCATENATE(CM2, " ", CM3, " is in ", CM4, " Department")</f>
        <v>Jane Johnson is in Finance Department</v>
      </c>
      <c r="CN5" t="str">
        <f>CONCATENATE(CN2, " ", CN3, " is in ", CN4, " Department")</f>
        <v>Sarah Davis is in Finance Department</v>
      </c>
      <c r="CO5" t="str">
        <f>CONCATENATE(CO2, " ", CO3, " is in ", CO4, " Department")</f>
        <v>Emily Davis is in Sales Department</v>
      </c>
      <c r="CP5" t="str">
        <f>CONCATENATE(CP2, " ", CP3, " is in ", CP4, " Department")</f>
        <v>Jane Williams is in Marketing Department</v>
      </c>
      <c r="CQ5" t="str">
        <f>CONCATENATE(CQ2, " ", CQ3, " is in ", CQ4, " Department")</f>
        <v>Katie Williams is in Marketing Department</v>
      </c>
      <c r="CR5" t="str">
        <f>CONCATENATE(CR2, " ", CR3, " is in ", CR4, " Department")</f>
        <v>Katie Miller is in Finance Department</v>
      </c>
      <c r="CS5" t="str">
        <f>CONCATENATE(CS2, " ", CS3, " is in ", CS4, " Department")</f>
        <v>Katie Johnson is in Finance Department</v>
      </c>
      <c r="CT5" t="str">
        <f>CONCATENATE(CT2, " ", CT3, " is in ", CT4, " Department")</f>
        <v>Jane Smith is in Finance Department</v>
      </c>
      <c r="CU5" t="str">
        <f>CONCATENATE(CU2, " ", CU3, " is in ", CU4, " Department")</f>
        <v>Emily Wilson is in Sales Department</v>
      </c>
      <c r="CV5" t="str">
        <f>CONCATENATE(CV2, " ", CV3, " is in ", CV4, " Department")</f>
        <v>Katie Johnson is in Marketing Department</v>
      </c>
      <c r="CW5" t="str">
        <f>CONCATENATE(CW2, " ", CW3, " is in ", CW4, " Department")</f>
        <v>Chris Johnson is in Finance Department</v>
      </c>
      <c r="CX5" t="str">
        <f>CONCATENATE(CX2, " ", CX3, " is in ", CX4, " Department")</f>
        <v>Michael Brown is in HR Department</v>
      </c>
      <c r="CY5" t="str">
        <f>CONCATENATE(CY2, " ", CY3, " is in ", CY4, " Department")</f>
        <v>Jane Miller is in Marketing Department</v>
      </c>
      <c r="CZ5" t="str">
        <f>CONCATENATE(CZ2, " ", CZ3, " is in ", CZ4, " Department")</f>
        <v>Jane Brown is in Sales Department</v>
      </c>
      <c r="DA5" t="str">
        <f>CONCATENATE(DA2, " ", DA3, " is in ", DA4, " Department")</f>
        <v>Emily Johnson is in HR Department</v>
      </c>
      <c r="DB5" t="str">
        <f>CONCATENATE(DB2, " ", DB3, " is in ", DB4, " Department")</f>
        <v>Jane Johnson is in IT Department</v>
      </c>
      <c r="DC5" t="str">
        <f>CONCATENATE(DC2, " ", DC3, " is in ", DC4, " Department")</f>
        <v>Jane Johnson is in Marketing Department</v>
      </c>
      <c r="DD5" t="str">
        <f>CONCATENATE(DD2, " ", DD3, " is in ", DD4, " Department")</f>
        <v>Katie Davis is in IT Department</v>
      </c>
      <c r="DE5" t="str">
        <f>CONCATENATE(DE2, " ", DE3, " is in ", DE4, " Department")</f>
        <v>Emily Wilson is in Finance Department</v>
      </c>
      <c r="DF5" t="str">
        <f>CONCATENATE(DF2, " ", DF3, " is in ", DF4, " Department")</f>
        <v>Katie Wilson is in Sales Department</v>
      </c>
      <c r="DG5" t="str">
        <f>CONCATENATE(DG2, " ", DG3, " is in ", DG4, " Department")</f>
        <v>Michael Brown is in Finance Department</v>
      </c>
      <c r="DH5" t="str">
        <f>CONCATENATE(DH2, " ", DH3, " is in ", DH4, " Department")</f>
        <v>Sarah Johnson is in Sales Department</v>
      </c>
      <c r="DI5" t="str">
        <f>CONCATENATE(DI2, " ", DI3, " is in ", DI4, " Department")</f>
        <v>Michael Wilson is in Operations Department</v>
      </c>
      <c r="DJ5" t="str">
        <f>CONCATENATE(DJ2, " ", DJ3, " is in ", DJ4, " Department")</f>
        <v>Sarah Williams is in Finance Department</v>
      </c>
      <c r="DK5" t="str">
        <f>CONCATENATE(DK2, " ", DK3, " is in ", DK4, " Department")</f>
        <v>Katie Wilson is in IT Department</v>
      </c>
      <c r="DL5" t="str">
        <f>CONCATENATE(DL2, " ", DL3, " is in ", DL4, " Department")</f>
        <v>Michael Miller is in Sales Department</v>
      </c>
      <c r="DM5" t="str">
        <f>CONCATENATE(DM2, " ", DM3, " is in ", DM4, " Department")</f>
        <v>Emily Miller is in Finance Department</v>
      </c>
      <c r="DN5" t="str">
        <f>CONCATENATE(DN2, " ", DN3, " is in ", DN4, " Department")</f>
        <v>John Wilson is in Marketing Department</v>
      </c>
      <c r="DO5" t="str">
        <f>CONCATENATE(DO2, " ", DO3, " is in ", DO4, " Department")</f>
        <v>Katie Williams is in Sales Department</v>
      </c>
      <c r="DP5" t="str">
        <f>CONCATENATE(DP2, " ", DP3, " is in ", DP4, " Department")</f>
        <v>Sarah Miller is in Sales Department</v>
      </c>
      <c r="DQ5" t="str">
        <f>CONCATENATE(DQ2, " ", DQ3, " is in ", DQ4, " Department")</f>
        <v>Chris Davis is in Finance Department</v>
      </c>
      <c r="DR5" t="str">
        <f>CONCATENATE(DR2, " ", DR3, " is in ", DR4, " Department")</f>
        <v>Sarah Wilson is in Operations Department</v>
      </c>
      <c r="DS5" t="str">
        <f>CONCATENATE(DS2, " ", DS3, " is in ", DS4, " Department")</f>
        <v>Chris Davis is in Finance Department</v>
      </c>
      <c r="DT5" t="str">
        <f>CONCATENATE(DT2, " ", DT3, " is in ", DT4, " Department")</f>
        <v>Jane Wilson is in IT Department</v>
      </c>
      <c r="DU5" t="str">
        <f>CONCATENATE(DU2, " ", DU3, " is in ", DU4, " Department")</f>
        <v>Michael Smith is in IT Department</v>
      </c>
      <c r="DV5" t="str">
        <f>CONCATENATE(DV2, " ", DV3, " is in ", DV4, " Department")</f>
        <v>Chris Smith is in Sales Department</v>
      </c>
      <c r="DW5" t="str">
        <f>CONCATENATE(DW2, " ", DW3, " is in ", DW4, " Department")</f>
        <v>Sarah Smith is in Sales Department</v>
      </c>
      <c r="DX5" t="str">
        <f>CONCATENATE(DX2, " ", DX3, " is in ", DX4, " Department")</f>
        <v>Jane Miller is in Finance Department</v>
      </c>
      <c r="DY5" t="str">
        <f>CONCATENATE(DY2, " ", DY3, " is in ", DY4, " Department")</f>
        <v>John Davis is in IT Department</v>
      </c>
      <c r="DZ5" t="str">
        <f>CONCATENATE(DZ2, " ", DZ3, " is in ", DZ4, " Department")</f>
        <v>Emily Davis is in IT Department</v>
      </c>
      <c r="EA5" t="str">
        <f>CONCATENATE(EA2, " ", EA3, " is in ", EA4, " Department")</f>
        <v>Emily Davis is in Operations Department</v>
      </c>
      <c r="EB5" t="str">
        <f>CONCATENATE(EB2, " ", EB3, " is in ", EB4, " Department")</f>
        <v>Emily Williams is in Marketing Department</v>
      </c>
      <c r="EC5" t="str">
        <f>CONCATENATE(EC2, " ", EC3, " is in ", EC4, " Department")</f>
        <v>Chris Davis is in Operations Department</v>
      </c>
      <c r="ED5" t="str">
        <f>CONCATENATE(ED2, " ", ED3, " is in ", ED4, " Department")</f>
        <v>John Williams is in HR Department</v>
      </c>
      <c r="EE5" t="str">
        <f>CONCATENATE(EE2, " ", EE3, " is in ", EE4, " Department")</f>
        <v>Chris Smith is in Operations Department</v>
      </c>
      <c r="EF5" t="str">
        <f>CONCATENATE(EF2, " ", EF3, " is in ", EF4, " Department")</f>
        <v>Michael Smith is in Finance Department</v>
      </c>
      <c r="EG5" t="str">
        <f>CONCATENATE(EG2, " ", EG3, " is in ", EG4, " Department")</f>
        <v>Chris Miller is in Marketing Department</v>
      </c>
      <c r="EH5" t="str">
        <f>CONCATENATE(EH2, " ", EH3, " is in ", EH4, " Department")</f>
        <v>John Wilson is in Finance Department</v>
      </c>
      <c r="EI5" t="str">
        <f>CONCATENATE(EI2, " ", EI3, " is in ", EI4, " Department")</f>
        <v>John Smith is in HR Department</v>
      </c>
      <c r="EJ5" t="str">
        <f>CONCATENATE(EJ2, " ", EJ3, " is in ", EJ4, " Department")</f>
        <v>Michael Wilson is in Marketing Department</v>
      </c>
      <c r="EK5" t="str">
        <f>CONCATENATE(EK2, " ", EK3, " is in ", EK4, " Department")</f>
        <v>John Wilson is in Sales Department</v>
      </c>
      <c r="EL5" t="str">
        <f>CONCATENATE(EL2, " ", EL3, " is in ", EL4, " Department")</f>
        <v>Sarah Miller is in IT Department</v>
      </c>
      <c r="EM5" t="str">
        <f>CONCATENATE(EM2, " ", EM3, " is in ", EM4, " Department")</f>
        <v>John Johnson is in Operations Department</v>
      </c>
      <c r="EN5" t="str">
        <f>CONCATENATE(EN2, " ", EN3, " is in ", EN4, " Department")</f>
        <v>Emily Johnson is in Finance Department</v>
      </c>
      <c r="EO5" t="str">
        <f>CONCATENATE(EO2, " ", EO3, " is in ", EO4, " Department")</f>
        <v>Sarah Brown is in HR Department</v>
      </c>
      <c r="EP5" t="str">
        <f>CONCATENATE(EP2, " ", EP3, " is in ", EP4, " Department")</f>
        <v>Sarah Miller is in IT Department</v>
      </c>
      <c r="EQ5" t="str">
        <f>CONCATENATE(EQ2, " ", EQ3, " is in ", EQ4, " Department")</f>
        <v>Michael Brown is in Operations Department</v>
      </c>
      <c r="ER5" t="str">
        <f>CONCATENATE(ER2, " ", ER3, " is in ", ER4, " Department")</f>
        <v>Alex Brown is in IT Department</v>
      </c>
      <c r="ES5" t="str">
        <f>CONCATENATE(ES2, " ", ES3, " is in ", ES4, " Department")</f>
        <v>Alex Johnson is in Operations Department</v>
      </c>
      <c r="ET5" t="str">
        <f>CONCATENATE(ET2, " ", ET3, " is in ", ET4, " Department")</f>
        <v>John Miller is in Sales Department</v>
      </c>
      <c r="EU5" t="str">
        <f>CONCATENATE(EU2, " ", EU3, " is in ", EU4, " Department")</f>
        <v>Sarah Johnson is in Marketing Department</v>
      </c>
      <c r="EV5" t="str">
        <f>CONCATENATE(EV2, " ", EV3, " is in ", EV4, " Department")</f>
        <v>Alex Brown is in IT Department</v>
      </c>
      <c r="EW5" t="str">
        <f>CONCATENATE(EW2, " ", EW3, " is in ", EW4, " Department")</f>
        <v>Alex Miller is in IT Department</v>
      </c>
      <c r="EX5" t="str">
        <f>CONCATENATE(EX2, " ", EX3, " is in ", EX4, " Department")</f>
        <v>John Brown is in IT Department</v>
      </c>
      <c r="EY5" t="str">
        <f>CONCATENATE(EY2, " ", EY3, " is in ", EY4, " Department")</f>
        <v>Alex Davis is in Marketing Department</v>
      </c>
      <c r="EZ5" t="str">
        <f>CONCATENATE(EZ2, " ", EZ3, " is in ", EZ4, " Department")</f>
        <v>Chris Wilson is in HR Department</v>
      </c>
      <c r="FA5" t="str">
        <f>CONCATENATE(FA2, " ", FA3, " is in ", FA4, " Department")</f>
        <v>Jane Miller is in Operations Department</v>
      </c>
      <c r="FB5" t="str">
        <f>CONCATENATE(FB2, " ", FB3, " is in ", FB4, " Department")</f>
        <v>Michael Miller is in Sales Department</v>
      </c>
      <c r="FC5" t="str">
        <f>CONCATENATE(FC2, " ", FC3, " is in ", FC4, " Department")</f>
        <v>Jane Wilson is in IT Department</v>
      </c>
      <c r="FD5" t="str">
        <f>CONCATENATE(FD2, " ", FD3, " is in ", FD4, " Department")</f>
        <v>John Brown is in Marketing Department</v>
      </c>
      <c r="FE5" t="str">
        <f>CONCATENATE(FE2, " ", FE3, " is in ", FE4, " Department")</f>
        <v>Emily Davis is in HR Department</v>
      </c>
      <c r="FF5" t="str">
        <f>CONCATENATE(FF2, " ", FF3, " is in ", FF4, " Department")</f>
        <v>Michael Williams is in Operations Department</v>
      </c>
      <c r="FG5" t="str">
        <f>CONCATENATE(FG2, " ", FG3, " is in ", FG4, " Department")</f>
        <v>John Wilson is in Marketing Department</v>
      </c>
      <c r="FH5" t="str">
        <f>CONCATENATE(FH2, " ", FH3, " is in ", FH4, " Department")</f>
        <v>Sarah Johnson is in Sales Department</v>
      </c>
      <c r="FI5" t="str">
        <f>CONCATENATE(FI2, " ", FI3, " is in ", FI4, " Department")</f>
        <v>Emily Brown is in Sales Department</v>
      </c>
      <c r="FJ5" t="str">
        <f>CONCATENATE(FJ2, " ", FJ3, " is in ", FJ4, " Department")</f>
        <v>Jane Wilson is in Operations Department</v>
      </c>
      <c r="FK5" t="str">
        <f>CONCATENATE(FK2, " ", FK3, " is in ", FK4, " Department")</f>
        <v>John Wilson is in IT Department</v>
      </c>
      <c r="FL5" t="str">
        <f>CONCATENATE(FL2, " ", FL3, " is in ", FL4, " Department")</f>
        <v>Sarah Miller is in Sales Department</v>
      </c>
      <c r="FM5" t="str">
        <f>CONCATENATE(FM2, " ", FM3, " is in ", FM4, " Department")</f>
        <v>Michael Johnson is in HR Department</v>
      </c>
      <c r="FN5" t="str">
        <f>CONCATENATE(FN2, " ", FN3, " is in ", FN4, " Department")</f>
        <v>Michael Johnson is in Marketing Department</v>
      </c>
      <c r="FO5" t="str">
        <f>CONCATENATE(FO2, " ", FO3, " is in ", FO4, " Department")</f>
        <v>Katie Johnson is in HR Department</v>
      </c>
      <c r="FP5" t="str">
        <f>CONCATENATE(FP2, " ", FP3, " is in ", FP4, " Department")</f>
        <v>Sarah Wilson is in IT Department</v>
      </c>
      <c r="FQ5" t="str">
        <f>CONCATENATE(FQ2, " ", FQ3, " is in ", FQ4, " Department")</f>
        <v>Chris Williams is in HR Department</v>
      </c>
      <c r="FR5" t="str">
        <f>CONCATENATE(FR2, " ", FR3, " is in ", FR4, " Department")</f>
        <v>Alex Smith is in HR Department</v>
      </c>
      <c r="FS5" t="str">
        <f>CONCATENATE(FS2, " ", FS3, " is in ", FS4, " Department")</f>
        <v>Emily Brown is in Finance Department</v>
      </c>
      <c r="FT5" t="str">
        <f>CONCATENATE(FT2, " ", FT3, " is in ", FT4, " Department")</f>
        <v>Sarah Smith is in HR Department</v>
      </c>
      <c r="FU5" t="str">
        <f>CONCATENATE(FU2, " ", FU3, " is in ", FU4, " Department")</f>
        <v>Katie Wilson is in Operations Department</v>
      </c>
      <c r="FV5" t="str">
        <f>CONCATENATE(FV2, " ", FV3, " is in ", FV4, " Department")</f>
        <v>Alex Smith is in Marketing Department</v>
      </c>
      <c r="FW5" t="str">
        <f>CONCATENATE(FW2, " ", FW3, " is in ", FW4, " Department")</f>
        <v>Alex Wilson is in Finance Department</v>
      </c>
      <c r="FX5" t="str">
        <f>CONCATENATE(FX2, " ", FX3, " is in ", FX4, " Department")</f>
        <v>John Smith is in Marketing Department</v>
      </c>
      <c r="FY5" t="str">
        <f>CONCATENATE(FY2, " ", FY3, " is in ", FY4, " Department")</f>
        <v>Alex Johnson is in Marketing Department</v>
      </c>
      <c r="FZ5" t="str">
        <f>CONCATENATE(FZ2, " ", FZ3, " is in ", FZ4, " Department")</f>
        <v>Chris Davis is in IT Department</v>
      </c>
      <c r="GA5" t="str">
        <f>CONCATENATE(GA2, " ", GA3, " is in ", GA4, " Department")</f>
        <v>Michael Johnson is in IT Department</v>
      </c>
      <c r="GB5" t="str">
        <f>CONCATENATE(GB2, " ", GB3, " is in ", GB4, " Department")</f>
        <v>Katie Johnson is in Finance Department</v>
      </c>
      <c r="GC5" t="str">
        <f>CONCATENATE(GC2, " ", GC3, " is in ", GC4, " Department")</f>
        <v>Alex Miller is in Sales Department</v>
      </c>
      <c r="GD5" t="str">
        <f>CONCATENATE(GD2, " ", GD3, " is in ", GD4, " Department")</f>
        <v>John Miller is in IT Department</v>
      </c>
      <c r="GE5" t="str">
        <f>CONCATENATE(GE2, " ", GE3, " is in ", GE4, " Department")</f>
        <v>Chris Smith is in IT Department</v>
      </c>
      <c r="GF5" t="str">
        <f>CONCATENATE(GF2, " ", GF3, " is in ", GF4, " Department")</f>
        <v>Jane Wilson is in IT Department</v>
      </c>
      <c r="GG5" t="str">
        <f>CONCATENATE(GG2, " ", GG3, " is in ", GG4, " Department")</f>
        <v>Michael Johnson is in Marketing Department</v>
      </c>
      <c r="GH5" t="str">
        <f>CONCATENATE(GH2, " ", GH3, " is in ", GH4, " Department")</f>
        <v>Michael Smith is in Finance Department</v>
      </c>
      <c r="GI5" t="str">
        <f>CONCATENATE(GI2, " ", GI3, " is in ", GI4, " Department")</f>
        <v>Katie Miller is in Marketing Department</v>
      </c>
      <c r="GJ5" t="str">
        <f>CONCATENATE(GJ2, " ", GJ3, " is in ", GJ4, " Department")</f>
        <v>Michael Davis is in Operations Department</v>
      </c>
      <c r="GK5" t="str">
        <f>CONCATENATE(GK2, " ", GK3, " is in ", GK4, " Department")</f>
        <v>Alex Brown is in Marketing Department</v>
      </c>
      <c r="GL5" t="str">
        <f>CONCATENATE(GL2, " ", GL3, " is in ", GL4, " Department")</f>
        <v>John Smith is in Operations Department</v>
      </c>
      <c r="GM5" t="str">
        <f>CONCATENATE(GM2, " ", GM3, " is in ", GM4, " Department")</f>
        <v>Michael Davis is in HR Department</v>
      </c>
      <c r="GN5" t="str">
        <f>CONCATENATE(GN2, " ", GN3, " is in ", GN4, " Department")</f>
        <v>Michael Brown is in HR Department</v>
      </c>
      <c r="GO5" t="str">
        <f>CONCATENATE(GO2, " ", GO3, " is in ", GO4, " Department")</f>
        <v>Jane Williams is in Operations Department</v>
      </c>
      <c r="GP5" t="str">
        <f>CONCATENATE(GP2, " ", GP3, " is in ", GP4, " Department")</f>
        <v>Jane Smith is in Operations Department</v>
      </c>
      <c r="GQ5" t="str">
        <f>CONCATENATE(GQ2, " ", GQ3, " is in ", GQ4, " Department")</f>
        <v>Emily Smith is in Marketing Department</v>
      </c>
      <c r="GR5" t="str">
        <f>CONCATENATE(GR2, " ", GR3, " is in ", GR4, " Department")</f>
        <v>Chris Williams is in Operations Department</v>
      </c>
      <c r="GS5" t="str">
        <f>CONCATENATE(GS2, " ", GS3, " is in ", GS4, " Department")</f>
        <v>Alex Williams is in Finance Department</v>
      </c>
      <c r="GT5" t="str">
        <f>CONCATENATE(GT2, " ", GT3, " is in ", GT4, " Department")</f>
        <v>Michael Smith is in HR Department</v>
      </c>
      <c r="GU5" t="str">
        <f>CONCATENATE(GU2, " ", GU3, " is in ", GU4, " Department")</f>
        <v>Sarah Williams is in HR Department</v>
      </c>
      <c r="GV5" t="str">
        <f>CONCATENATE(GV2, " ", GV3, " is in ", GV4, " Department")</f>
        <v>Michael Johnson is in Sales Department</v>
      </c>
      <c r="GW5" t="str">
        <f>CONCATENATE(GW2, " ", GW3, " is in ", GW4, " Department")</f>
        <v>John Brown is in Operations Department</v>
      </c>
      <c r="GX5" t="str">
        <f>CONCATENATE(GX2, " ", GX3, " is in ", GX4, " Department")</f>
        <v>Emily Brown is in IT Department</v>
      </c>
      <c r="GY5" t="str">
        <f>CONCATENATE(GY2, " ", GY3, " is in ", GY4, " Department")</f>
        <v>Chris Brown is in IT Department</v>
      </c>
      <c r="GZ5" t="str">
        <f>CONCATENATE(GZ2, " ", GZ3, " is in ", GZ4, " Department")</f>
        <v>Sarah Johnson is in Operations Department</v>
      </c>
      <c r="HA5" t="str">
        <f>CONCATENATE(HA2, " ", HA3, " is in ", HA4, " Department")</f>
        <v>Emily Wilson is in Finance Department</v>
      </c>
      <c r="HB5" t="str">
        <f>CONCATENATE(HB2, " ", HB3, " is in ", HB4, " Department")</f>
        <v>Katie Williams is in IT Department</v>
      </c>
      <c r="HC5" t="str">
        <f>CONCATENATE(HC2, " ", HC3, " is in ", HC4, " Department")</f>
        <v>Chris Davis is in Sales Department</v>
      </c>
      <c r="HD5" t="str">
        <f>CONCATENATE(HD2, " ", HD3, " is in ", HD4, " Department")</f>
        <v>Michael Williams is in Operations Department</v>
      </c>
      <c r="HE5" t="str">
        <f>CONCATENATE(HE2, " ", HE3, " is in ", HE4, " Department")</f>
        <v>Michael Smith is in Finance Department</v>
      </c>
      <c r="HF5" t="str">
        <f>CONCATENATE(HF2, " ", HF3, " is in ", HF4, " Department")</f>
        <v>Chris Miller is in Finance Department</v>
      </c>
      <c r="HG5" t="str">
        <f>CONCATENATE(HG2, " ", HG3, " is in ", HG4, " Department")</f>
        <v>Michael Brown is in Marketing Department</v>
      </c>
      <c r="HH5" t="str">
        <f>CONCATENATE(HH2, " ", HH3, " is in ", HH4, " Department")</f>
        <v>Alex Williams is in Finance Department</v>
      </c>
      <c r="HI5" t="str">
        <f>CONCATENATE(HI2, " ", HI3, " is in ", HI4, " Department")</f>
        <v>Chris Davis is in IT Department</v>
      </c>
      <c r="HJ5" t="str">
        <f>CONCATENATE(HJ2, " ", HJ3, " is in ", HJ4, " Department")</f>
        <v>Emily Smith is in IT Department</v>
      </c>
      <c r="HK5" t="str">
        <f>CONCATENATE(HK2, " ", HK3, " is in ", HK4, " Department")</f>
        <v>Chris Johnson is in Operations Department</v>
      </c>
      <c r="HL5" t="str">
        <f>CONCATENATE(HL2, " ", HL3, " is in ", HL4, " Department")</f>
        <v>Sarah Wilson is in Operations Department</v>
      </c>
      <c r="HM5" t="str">
        <f>CONCATENATE(HM2, " ", HM3, " is in ", HM4, " Department")</f>
        <v>Michael Johnson is in Finance Department</v>
      </c>
      <c r="HN5" t="str">
        <f>CONCATENATE(HN2, " ", HN3, " is in ", HN4, " Department")</f>
        <v>Alex Davis is in Sales Department</v>
      </c>
      <c r="HO5" t="str">
        <f>CONCATENATE(HO2, " ", HO3, " is in ", HO4, " Department")</f>
        <v>Alex Smith is in HR Department</v>
      </c>
      <c r="HP5" t="str">
        <f>CONCATENATE(HP2, " ", HP3, " is in ", HP4, " Department")</f>
        <v>Katie Brown is in Marketing Department</v>
      </c>
      <c r="HQ5" t="str">
        <f>CONCATENATE(HQ2, " ", HQ3, " is in ", HQ4, " Department")</f>
        <v>Emily Williams is in HR Department</v>
      </c>
      <c r="HR5" t="str">
        <f>CONCATENATE(HR2, " ", HR3, " is in ", HR4, " Department")</f>
        <v>Jane Smith is in Finance Department</v>
      </c>
      <c r="HS5" t="str">
        <f>CONCATENATE(HS2, " ", HS3, " is in ", HS4, " Department")</f>
        <v>Jane Wilson is in Finance Department</v>
      </c>
      <c r="HT5" t="str">
        <f>CONCATENATE(HT2, " ", HT3, " is in ", HT4, " Department")</f>
        <v>Chris Johnson is in HR Department</v>
      </c>
      <c r="HU5" t="str">
        <f>CONCATENATE(HU2, " ", HU3, " is in ", HU4, " Department")</f>
        <v>Katie Wilson is in Marketing Department</v>
      </c>
      <c r="HV5" t="str">
        <f>CONCATENATE(HV2, " ", HV3, " is in ", HV4, " Department")</f>
        <v>John Wilson is in HR Department</v>
      </c>
      <c r="HW5" t="str">
        <f>CONCATENATE(HW2, " ", HW3, " is in ", HW4, " Department")</f>
        <v>Chris Davis is in Operations Department</v>
      </c>
      <c r="HX5" t="str">
        <f>CONCATENATE(HX2, " ", HX3, " is in ", HX4, " Department")</f>
        <v>Katie Davis is in IT Department</v>
      </c>
      <c r="HY5" t="str">
        <f>CONCATENATE(HY2, " ", HY3, " is in ", HY4, " Department")</f>
        <v>Emily Williams is in Sales Department</v>
      </c>
      <c r="HZ5" t="str">
        <f>CONCATENATE(HZ2, " ", HZ3, " is in ", HZ4, " Department")</f>
        <v>Emily Davis is in Operations Department</v>
      </c>
      <c r="IA5" t="str">
        <f>CONCATENATE(IA2, " ", IA3, " is in ", IA4, " Department")</f>
        <v>Emily Davis is in IT Department</v>
      </c>
      <c r="IB5" t="str">
        <f>CONCATENATE(IB2, " ", IB3, " is in ", IB4, " Department")</f>
        <v>Emily Smith is in Sales Department</v>
      </c>
      <c r="IC5" t="str">
        <f>CONCATENATE(IC2, " ", IC3, " is in ", IC4, " Department")</f>
        <v>Emily Brown is in Sales Department</v>
      </c>
      <c r="ID5" t="str">
        <f>CONCATENATE(ID2, " ", ID3, " is in ", ID4, " Department")</f>
        <v>Katie Williams is in Sales Department</v>
      </c>
      <c r="IE5" t="str">
        <f>CONCATENATE(IE2, " ", IE3, " is in ", IE4, " Department")</f>
        <v>Katie Smith is in Finance Department</v>
      </c>
      <c r="IF5" t="str">
        <f>CONCATENATE(IF2, " ", IF3, " is in ", IF4, " Department")</f>
        <v>Alex Brown is in Sales Department</v>
      </c>
      <c r="IG5" t="str">
        <f>CONCATENATE(IG2, " ", IG3, " is in ", IG4, " Department")</f>
        <v>Sarah Wilson is in Marketing Department</v>
      </c>
      <c r="IH5" t="str">
        <f>CONCATENATE(IH2, " ", IH3, " is in ", IH4, " Department")</f>
        <v>Jane Smith is in HR Department</v>
      </c>
      <c r="II5" t="str">
        <f>CONCATENATE(II2, " ", II3, " is in ", II4, " Department")</f>
        <v>Michael Miller is in Marketing Department</v>
      </c>
      <c r="IJ5" t="str">
        <f>CONCATENATE(IJ2, " ", IJ3, " is in ", IJ4, " Department")</f>
        <v>Emily Smith is in HR Department</v>
      </c>
      <c r="IK5" t="str">
        <f>CONCATENATE(IK2, " ", IK3, " is in ", IK4, " Department")</f>
        <v>John Davis is in Operations Department</v>
      </c>
      <c r="IL5" t="str">
        <f>CONCATENATE(IL2, " ", IL3, " is in ", IL4, " Department")</f>
        <v>Michael Brown is in Operations Department</v>
      </c>
      <c r="IM5" t="str">
        <f>CONCATENATE(IM2, " ", IM3, " is in ", IM4, " Department")</f>
        <v>Katie Williams is in HR Department</v>
      </c>
      <c r="IN5" t="str">
        <f>CONCATENATE(IN2, " ", IN3, " is in ", IN4, " Department")</f>
        <v>John Williams is in Marketing Department</v>
      </c>
      <c r="IO5" t="str">
        <f>CONCATENATE(IO2, " ", IO3, " is in ", IO4, " Department")</f>
        <v>John Brown is in HR Department</v>
      </c>
      <c r="IP5" t="str">
        <f>CONCATENATE(IP2, " ", IP3, " is in ", IP4, " Department")</f>
        <v>John Davis is in Sales Department</v>
      </c>
      <c r="IQ5" t="str">
        <f>CONCATENATE(IQ2, " ", IQ3, " is in ", IQ4, " Department")</f>
        <v>Alex Johnson is in Finance Department</v>
      </c>
      <c r="IR5" t="str">
        <f>CONCATENATE(IR2, " ", IR3, " is in ", IR4, " Department")</f>
        <v>Katie Smith is in Operations Department</v>
      </c>
      <c r="IS5" t="str">
        <f>CONCATENATE(IS2, " ", IS3, " is in ", IS4, " Department")</f>
        <v>John Davis is in Finance Department</v>
      </c>
      <c r="IT5" t="str">
        <f>CONCATENATE(IT2, " ", IT3, " is in ", IT4, " Department")</f>
        <v>Emily Miller is in Sales Department</v>
      </c>
      <c r="IU5" t="str">
        <f>CONCATENATE(IU2, " ", IU3, " is in ", IU4, " Department")</f>
        <v>Chris Wilson is in Sales Department</v>
      </c>
      <c r="IV5" t="str">
        <f>CONCATENATE(IV2, " ", IV3, " is in ", IV4, " Department")</f>
        <v>John Brown is in Operations Department</v>
      </c>
      <c r="IW5" t="str">
        <f>CONCATENATE(IW2, " ", IW3, " is in ", IW4, " Department")</f>
        <v>Alex Smith is in Operations Department</v>
      </c>
      <c r="IX5" t="str">
        <f>CONCATENATE(IX2, " ", IX3, " is in ", IX4, " Department")</f>
        <v>Michael Williams is in Sales Department</v>
      </c>
      <c r="IY5" t="str">
        <f>CONCATENATE(IY2, " ", IY3, " is in ", IY4, " Department")</f>
        <v>Katie Wilson is in IT Department</v>
      </c>
      <c r="IZ5" t="str">
        <f>CONCATENATE(IZ2, " ", IZ3, " is in ", IZ4, " Department")</f>
        <v>Sarah Johnson is in Finance Department</v>
      </c>
      <c r="JA5" t="str">
        <f>CONCATENATE(JA2, " ", JA3, " is in ", JA4, " Department")</f>
        <v>Alex Miller is in Finance Department</v>
      </c>
      <c r="JB5" t="str">
        <f>CONCATENATE(JB2, " ", JB3, " is in ", JB4, " Department")</f>
        <v>John Williams is in IT Department</v>
      </c>
      <c r="JC5" t="str">
        <f>CONCATENATE(JC2, " ", JC3, " is in ", JC4, " Department")</f>
        <v>Katie Brown is in Marketing Department</v>
      </c>
      <c r="JD5" t="str">
        <f>CONCATENATE(JD2, " ", JD3, " is in ", JD4, " Department")</f>
        <v>Chris Smith is in Finance Department</v>
      </c>
      <c r="JE5" t="str">
        <f>CONCATENATE(JE2, " ", JE3, " is in ", JE4, " Department")</f>
        <v>John Brown is in HR Department</v>
      </c>
      <c r="JF5" t="str">
        <f>CONCATENATE(JF2, " ", JF3, " is in ", JF4, " Department")</f>
        <v>Alex Wilson is in Sales Department</v>
      </c>
      <c r="JG5" t="str">
        <f>CONCATENATE(JG2, " ", JG3, " is in ", JG4, " Department")</f>
        <v>Jane Smith is in Sales Department</v>
      </c>
      <c r="JH5" t="str">
        <f>CONCATENATE(JH2, " ", JH3, " is in ", JH4, " Department")</f>
        <v>Emily Davis is in IT Department</v>
      </c>
      <c r="JI5" t="str">
        <f>CONCATENATE(JI2, " ", JI3, " is in ", JI4, " Department")</f>
        <v>Sarah Johnson is in Finance Department</v>
      </c>
      <c r="JJ5" t="str">
        <f>CONCATENATE(JJ2, " ", JJ3, " is in ", JJ4, " Department")</f>
        <v>Michael Davis is in Marketing Department</v>
      </c>
      <c r="JK5" t="str">
        <f>CONCATENATE(JK2, " ", JK3, " is in ", JK4, " Department")</f>
        <v>Alex Davis is in Finance Department</v>
      </c>
      <c r="JL5" t="str">
        <f>CONCATENATE(JL2, " ", JL3, " is in ", JL4, " Department")</f>
        <v>Katie Brown is in Sales Department</v>
      </c>
      <c r="JM5" t="str">
        <f>CONCATENATE(JM2, " ", JM3, " is in ", JM4, " Department")</f>
        <v>Sarah Wilson is in Operations Department</v>
      </c>
      <c r="JN5" t="str">
        <f>CONCATENATE(JN2, " ", JN3, " is in ", JN4, " Department")</f>
        <v>Sarah Johnson is in HR Department</v>
      </c>
      <c r="JO5" t="str">
        <f>CONCATENATE(JO2, " ", JO3, " is in ", JO4, " Department")</f>
        <v>Sarah Smith is in IT Department</v>
      </c>
      <c r="JP5" t="str">
        <f>CONCATENATE(JP2, " ", JP3, " is in ", JP4, " Department")</f>
        <v>John Smith is in Operations Department</v>
      </c>
      <c r="JQ5" t="str">
        <f>CONCATENATE(JQ2, " ", JQ3, " is in ", JQ4, " Department")</f>
        <v>Emily Miller is in Marketing Department</v>
      </c>
      <c r="JR5" t="str">
        <f>CONCATENATE(JR2, " ", JR3, " is in ", JR4, " Department")</f>
        <v>John Williams is in Operations Department</v>
      </c>
      <c r="JS5" t="str">
        <f>CONCATENATE(JS2, " ", JS3, " is in ", JS4, " Department")</f>
        <v>Katie Miller is in Operations Department</v>
      </c>
      <c r="JT5" t="str">
        <f>CONCATENATE(JT2, " ", JT3, " is in ", JT4, " Department")</f>
        <v>John Miller is in Marketing Department</v>
      </c>
      <c r="JU5" t="str">
        <f>CONCATENATE(JU2, " ", JU3, " is in ", JU4, " Department")</f>
        <v>Jane Smith is in Operations Department</v>
      </c>
      <c r="JV5" t="str">
        <f>CONCATENATE(JV2, " ", JV3, " is in ", JV4, " Department")</f>
        <v>Emily Brown is in IT Department</v>
      </c>
      <c r="JW5" t="str">
        <f>CONCATENATE(JW2, " ", JW3, " is in ", JW4, " Department")</f>
        <v>Emily Davis is in Sales Department</v>
      </c>
      <c r="JX5" t="str">
        <f>CONCATENATE(JX2, " ", JX3, " is in ", JX4, " Department")</f>
        <v>Katie Wilson is in Finance Department</v>
      </c>
      <c r="JY5" t="str">
        <f>CONCATENATE(JY2, " ", JY3, " is in ", JY4, " Department")</f>
        <v>Michael Davis is in Operations Department</v>
      </c>
      <c r="JZ5" t="str">
        <f>CONCATENATE(JZ2, " ", JZ3, " is in ", JZ4, " Department")</f>
        <v>Jane Davis is in IT Department</v>
      </c>
      <c r="KA5" t="str">
        <f>CONCATENATE(KA2, " ", KA3, " is in ", KA4, " Department")</f>
        <v>Alex Johnson is in Finance Department</v>
      </c>
      <c r="KB5" t="str">
        <f>CONCATENATE(KB2, " ", KB3, " is in ", KB4, " Department")</f>
        <v>John Smith is in Finance Department</v>
      </c>
      <c r="KC5" t="str">
        <f>CONCATENATE(KC2, " ", KC3, " is in ", KC4, " Department")</f>
        <v>Chris Wilson is in Operations Department</v>
      </c>
      <c r="KD5" t="str">
        <f>CONCATENATE(KD2, " ", KD3, " is in ", KD4, " Department")</f>
        <v>John Brown is in IT Department</v>
      </c>
      <c r="KE5" t="str">
        <f>CONCATENATE(KE2, " ", KE3, " is in ", KE4, " Department")</f>
        <v>Sarah Johnson is in Sales Department</v>
      </c>
      <c r="KF5" t="str">
        <f>CONCATENATE(KF2, " ", KF3, " is in ", KF4, " Department")</f>
        <v>John Williams is in Operations Department</v>
      </c>
      <c r="KG5" t="str">
        <f>CONCATENATE(KG2, " ", KG3, " is in ", KG4, " Department")</f>
        <v>Alex Brown is in Marketing Department</v>
      </c>
      <c r="KH5" t="str">
        <f>CONCATENATE(KH2, " ", KH3, " is in ", KH4, " Department")</f>
        <v>John Miller is in Finance Department</v>
      </c>
      <c r="KI5" t="str">
        <f>CONCATENATE(KI2, " ", KI3, " is in ", KI4, " Department")</f>
        <v>Jane Brown is in Operations Department</v>
      </c>
      <c r="KJ5" t="str">
        <f>CONCATENATE(KJ2, " ", KJ3, " is in ", KJ4, " Department")</f>
        <v>Jane Brown is in Finance Department</v>
      </c>
      <c r="KK5" t="str">
        <f>CONCATENATE(KK2, " ", KK3, " is in ", KK4, " Department")</f>
        <v>Emily Davis is in IT Department</v>
      </c>
      <c r="KL5" t="str">
        <f>CONCATENATE(KL2, " ", KL3, " is in ", KL4, " Department")</f>
        <v>Katie Brown is in HR Department</v>
      </c>
      <c r="KM5" t="str">
        <f>CONCATENATE(KM2, " ", KM3, " is in ", KM4, " Department")</f>
        <v>Michael Miller is in Operations Department</v>
      </c>
      <c r="KN5" t="str">
        <f>CONCATENATE(KN2, " ", KN3, " is in ", KN4, " Department")</f>
        <v>Chris Miller is in Sales Department</v>
      </c>
      <c r="KO5" t="str">
        <f>CONCATENATE(KO2, " ", KO3, " is in ", KO4, " Department")</f>
        <v>Sarah Smith is in Operations Department</v>
      </c>
      <c r="KP5" t="str">
        <f>CONCATENATE(KP2, " ", KP3, " is in ", KP4, " Department")</f>
        <v>John Brown is in Finance Department</v>
      </c>
      <c r="KQ5" t="str">
        <f>CONCATENATE(KQ2, " ", KQ3, " is in ", KQ4, " Department")</f>
        <v>John Davis is in IT Department</v>
      </c>
      <c r="KR5" t="str">
        <f>CONCATENATE(KR2, " ", KR3, " is in ", KR4, " Department")</f>
        <v>Alex Brown is in Marketing Department</v>
      </c>
      <c r="KS5" t="str">
        <f>CONCATENATE(KS2, " ", KS3, " is in ", KS4, " Department")</f>
        <v>Katie Williams is in Sales Department</v>
      </c>
      <c r="KT5" t="str">
        <f>CONCATENATE(KT2, " ", KT3, " is in ", KT4, " Department")</f>
        <v>Jane Williams is in IT Department</v>
      </c>
      <c r="KU5" t="str">
        <f>CONCATENATE(KU2, " ", KU3, " is in ", KU4, " Department")</f>
        <v>Chris Davis is in Operations Department</v>
      </c>
      <c r="KV5" t="str">
        <f>CONCATENATE(KV2, " ", KV3, " is in ", KV4, " Department")</f>
        <v>Emily Smith is in Marketing Department</v>
      </c>
      <c r="KW5" t="str">
        <f>CONCATENATE(KW2, " ", KW3, " is in ", KW4, " Department")</f>
        <v>Jane Smith is in IT Department</v>
      </c>
      <c r="KX5" t="str">
        <f>CONCATENATE(KX2, " ", KX3, " is in ", KX4, " Department")</f>
        <v>Sarah Miller is in HR Department</v>
      </c>
      <c r="KY5" t="str">
        <f>CONCATENATE(KY2, " ", KY3, " is in ", KY4, " Department")</f>
        <v>Katie Miller is in Sales Department</v>
      </c>
      <c r="KZ5" t="str">
        <f>CONCATENATE(KZ2, " ", KZ3, " is in ", KZ4, " Department")</f>
        <v>Sarah Johnson is in Finance Department</v>
      </c>
      <c r="LA5" t="str">
        <f>CONCATENATE(LA2, " ", LA3, " is in ", LA4, " Department")</f>
        <v>Michael Davis is in IT Department</v>
      </c>
      <c r="LB5" t="str">
        <f>CONCATENATE(LB2, " ", LB3, " is in ", LB4, " Department")</f>
        <v>Emily Brown is in IT Department</v>
      </c>
      <c r="LC5" t="str">
        <f>CONCATENATE(LC2, " ", LC3, " is in ", LC4, " Department")</f>
        <v>Michael Wilson is in HR Department</v>
      </c>
      <c r="LD5" t="str">
        <f>CONCATENATE(LD2, " ", LD3, " is in ", LD4, " Department")</f>
        <v>Alex Davis is in Operations Department</v>
      </c>
      <c r="LE5" t="str">
        <f>CONCATENATE(LE2, " ", LE3, " is in ", LE4, " Department")</f>
        <v>Sarah Johnson is in Sales Department</v>
      </c>
      <c r="LF5" t="str">
        <f>CONCATENATE(LF2, " ", LF3, " is in ", LF4, " Department")</f>
        <v>Alex Miller is in Sales Department</v>
      </c>
      <c r="LG5" t="str">
        <f>CONCATENATE(LG2, " ", LG3, " is in ", LG4, " Department")</f>
        <v>John Davis is in Finance Department</v>
      </c>
      <c r="LH5" t="str">
        <f>CONCATENATE(LH2, " ", LH3, " is in ", LH4, " Department")</f>
        <v>Michael Davis is in IT Department</v>
      </c>
      <c r="LI5" t="str">
        <f>CONCATENATE(LI2, " ", LI3, " is in ", LI4, " Department")</f>
        <v>Katie Miller is in Marketing Department</v>
      </c>
      <c r="LJ5" t="str">
        <f>CONCATENATE(LJ2, " ", LJ3, " is in ", LJ4, " Department")</f>
        <v>Sarah Johnson is in IT Department</v>
      </c>
      <c r="LK5" t="str">
        <f>CONCATENATE(LK2, " ", LK3, " is in ", LK4, " Department")</f>
        <v>Chris Miller is in Finance Department</v>
      </c>
      <c r="LL5" t="str">
        <f>CONCATENATE(LL2, " ", LL3, " is in ", LL4, " Department")</f>
        <v>Emily Smith is in IT Department</v>
      </c>
      <c r="LM5" t="str">
        <f>CONCATENATE(LM2, " ", LM3, " is in ", LM4, " Department")</f>
        <v>Jane Brown is in HR Department</v>
      </c>
      <c r="LN5" t="str">
        <f>CONCATENATE(LN2, " ", LN3, " is in ", LN4, " Department")</f>
        <v>Katie Miller is in IT Department</v>
      </c>
      <c r="LO5" t="str">
        <f>CONCATENATE(LO2, " ", LO3, " is in ", LO4, " Department")</f>
        <v>Katie Johnson is in IT Department</v>
      </c>
      <c r="LP5" t="str">
        <f>CONCATENATE(LP2, " ", LP3, " is in ", LP4, " Department")</f>
        <v>Alex Williams is in Marketing Department</v>
      </c>
      <c r="LQ5" t="str">
        <f>CONCATENATE(LQ2, " ", LQ3, " is in ", LQ4, " Department")</f>
        <v>Michael Smith is in HR Department</v>
      </c>
      <c r="LR5" t="str">
        <f>CONCATENATE(LR2, " ", LR3, " is in ", LR4, " Department")</f>
        <v>Sarah Williams is in HR Department</v>
      </c>
      <c r="LS5" t="str">
        <f>CONCATENATE(LS2, " ", LS3, " is in ", LS4, " Department")</f>
        <v>Sarah Wilson is in IT Department</v>
      </c>
      <c r="LT5" t="str">
        <f>CONCATENATE(LT2, " ", LT3, " is in ", LT4, " Department")</f>
        <v>John Miller is in Sales Department</v>
      </c>
      <c r="LU5" t="str">
        <f>CONCATENATE(LU2, " ", LU3, " is in ", LU4, " Department")</f>
        <v>John Smith is in Marketing Department</v>
      </c>
      <c r="LV5" t="str">
        <f>CONCATENATE(LV2, " ", LV3, " is in ", LV4, " Department")</f>
        <v>Emily Brown is in IT Department</v>
      </c>
      <c r="LW5" t="str">
        <f>CONCATENATE(LW2, " ", LW3, " is in ", LW4, " Department")</f>
        <v>Alex Miller is in IT Department</v>
      </c>
      <c r="LX5" t="str">
        <f>CONCATENATE(LX2, " ", LX3, " is in ", LX4, " Department")</f>
        <v>Katie Brown is in Finance Department</v>
      </c>
      <c r="LY5" t="str">
        <f>CONCATENATE(LY2, " ", LY3, " is in ", LY4, " Department")</f>
        <v>Sarah Davis is in Finance Department</v>
      </c>
      <c r="LZ5" t="str">
        <f>CONCATENATE(LZ2, " ", LZ3, " is in ", LZ4, " Department")</f>
        <v>Chris Williams is in Sales Department</v>
      </c>
      <c r="MA5" t="str">
        <f>CONCATENATE(MA2, " ", MA3, " is in ", MA4, " Department")</f>
        <v>Alex Smith is in Marketing Department</v>
      </c>
      <c r="MB5" t="str">
        <f>CONCATENATE(MB2, " ", MB3, " is in ", MB4, " Department")</f>
        <v>Emily Brown is in Operations Department</v>
      </c>
      <c r="MC5" t="str">
        <f>CONCATENATE(MC2, " ", MC3, " is in ", MC4, " Department")</f>
        <v>Emily Johnson is in Finance Department</v>
      </c>
      <c r="MD5" t="str">
        <f>CONCATENATE(MD2, " ", MD3, " is in ", MD4, " Department")</f>
        <v>Alex Brown is in Operations Department</v>
      </c>
      <c r="ME5" t="str">
        <f>CONCATENATE(ME2, " ", ME3, " is in ", ME4, " Department")</f>
        <v>Emily Johnson is in HR Department</v>
      </c>
      <c r="MF5" t="str">
        <f>CONCATENATE(MF2, " ", MF3, " is in ", MF4, " Department")</f>
        <v>Alex Miller is in Finance Department</v>
      </c>
      <c r="MG5" t="str">
        <f>CONCATENATE(MG2, " ", MG3, " is in ", MG4, " Department")</f>
        <v>Jane Smith is in Finance Department</v>
      </c>
      <c r="MH5" t="str">
        <f>CONCATENATE(MH2, " ", MH3, " is in ", MH4, " Department")</f>
        <v>Alex Brown is in Marketing Department</v>
      </c>
      <c r="MI5" t="str">
        <f>CONCATENATE(MI2, " ", MI3, " is in ", MI4, " Department")</f>
        <v>Michael Wilson is in Sales Department</v>
      </c>
      <c r="MJ5" t="str">
        <f>CONCATENATE(MJ2, " ", MJ3, " is in ", MJ4, " Department")</f>
        <v>Alex Brown is in Operations Department</v>
      </c>
      <c r="MK5" t="str">
        <f>CONCATENATE(MK2, " ", MK3, " is in ", MK4, " Department")</f>
        <v>Emily Wilson is in Finance Department</v>
      </c>
      <c r="ML5" t="str">
        <f>CONCATENATE(ML2, " ", ML3, " is in ", ML4, " Department")</f>
        <v>Sarah Smith is in Finance Department</v>
      </c>
      <c r="MM5" t="str">
        <f>CONCATENATE(MM2, " ", MM3, " is in ", MM4, " Department")</f>
        <v>Michael Brown is in Marketing Department</v>
      </c>
      <c r="MN5" t="str">
        <f>CONCATENATE(MN2, " ", MN3, " is in ", MN4, " Department")</f>
        <v>Emily Johnson is in Marketing Department</v>
      </c>
      <c r="MO5" t="str">
        <f>CONCATENATE(MO2, " ", MO3, " is in ", MO4, " Department")</f>
        <v>John Brown is in Sales Department</v>
      </c>
      <c r="MP5" t="str">
        <f>CONCATENATE(MP2, " ", MP3, " is in ", MP4, " Department")</f>
        <v>John Williams is in Operations Department</v>
      </c>
      <c r="MQ5" t="str">
        <f>CONCATENATE(MQ2, " ", MQ3, " is in ", MQ4, " Department")</f>
        <v>Sarah Miller is in HR Department</v>
      </c>
      <c r="MR5" t="str">
        <f>CONCATENATE(MR2, " ", MR3, " is in ", MR4, " Department")</f>
        <v>Sarah Davis is in Sales Department</v>
      </c>
      <c r="MS5" t="str">
        <f>CONCATENATE(MS2, " ", MS3, " is in ", MS4, " Department")</f>
        <v>Michael Johnson is in HR Department</v>
      </c>
      <c r="MT5" t="str">
        <f>CONCATENATE(MT2, " ", MT3, " is in ", MT4, " Department")</f>
        <v>Jane Williams is in IT Department</v>
      </c>
      <c r="MU5" t="str">
        <f>CONCATENATE(MU2, " ", MU3, " is in ", MU4, " Department")</f>
        <v>Sarah Wilson is in Finance Department</v>
      </c>
      <c r="MV5" t="str">
        <f>CONCATENATE(MV2, " ", MV3, " is in ", MV4, " Department")</f>
        <v>John Miller is in Operations Department</v>
      </c>
      <c r="MW5" t="str">
        <f>CONCATENATE(MW2, " ", MW3, " is in ", MW4, " Department")</f>
        <v>Alex Smith is in Sales Department</v>
      </c>
      <c r="MX5" t="str">
        <f>CONCATENATE(MX2, " ", MX3, " is in ", MX4, " Department")</f>
        <v>Emily Johnson is in Finance Department</v>
      </c>
      <c r="MY5" t="str">
        <f>CONCATENATE(MY2, " ", MY3, " is in ", MY4, " Department")</f>
        <v>John Davis is in Operations Department</v>
      </c>
      <c r="MZ5" t="str">
        <f>CONCATENATE(MZ2, " ", MZ3, " is in ", MZ4, " Department")</f>
        <v>John Miller is in Operations Department</v>
      </c>
      <c r="NA5" t="str">
        <f>CONCATENATE(NA2, " ", NA3, " is in ", NA4, " Department")</f>
        <v>Jane Wilson is in Operations Department</v>
      </c>
      <c r="NB5" t="str">
        <f>CONCATENATE(NB2, " ", NB3, " is in ", NB4, " Department")</f>
        <v>Michael Davis is in Finance Department</v>
      </c>
      <c r="NC5" t="str">
        <f>CONCATENATE(NC2, " ", NC3, " is in ", NC4, " Department")</f>
        <v>Michael Smith is in Sales Department</v>
      </c>
      <c r="ND5" t="str">
        <f>CONCATENATE(ND2, " ", ND3, " is in ", ND4, " Department")</f>
        <v>Katie Smith is in Marketing Department</v>
      </c>
      <c r="NE5" t="str">
        <f>CONCATENATE(NE2, " ", NE3, " is in ", NE4, " Department")</f>
        <v>Jane Wilson is in Finance Department</v>
      </c>
      <c r="NF5" t="str">
        <f>CONCATENATE(NF2, " ", NF3, " is in ", NF4, " Department")</f>
        <v>Alex Johnson is in Operations Department</v>
      </c>
      <c r="NG5" t="str">
        <f>CONCATENATE(NG2, " ", NG3, " is in ", NG4, " Department")</f>
        <v>Michael Wilson is in Sales Department</v>
      </c>
      <c r="NH5" t="str">
        <f>CONCATENATE(NH2, " ", NH3, " is in ", NH4, " Department")</f>
        <v>Emily Brown is in IT Department</v>
      </c>
      <c r="NI5" t="str">
        <f>CONCATENATE(NI2, " ", NI3, " is in ", NI4, " Department")</f>
        <v>Sarah Smith is in HR Department</v>
      </c>
      <c r="NJ5" t="str">
        <f>CONCATENATE(NJ2, " ", NJ3, " is in ", NJ4, " Department")</f>
        <v>Jane Miller is in Operations Department</v>
      </c>
      <c r="NK5" t="str">
        <f>CONCATENATE(NK2, " ", NK3, " is in ", NK4, " Department")</f>
        <v>Sarah Brown is in IT Department</v>
      </c>
      <c r="NL5" t="str">
        <f>CONCATENATE(NL2, " ", NL3, " is in ", NL4, " Department")</f>
        <v>John Williams is in Marketing Department</v>
      </c>
      <c r="NM5" t="str">
        <f>CONCATENATE(NM2, " ", NM3, " is in ", NM4, " Department")</f>
        <v>Emily Davis is in Operations Department</v>
      </c>
      <c r="NN5" t="str">
        <f>CONCATENATE(NN2, " ", NN3, " is in ", NN4, " Department")</f>
        <v>Emily Brown is in IT Department</v>
      </c>
      <c r="NO5" t="str">
        <f>CONCATENATE(NO2, " ", NO3, " is in ", NO4, " Department")</f>
        <v>John Davis is in Operations Department</v>
      </c>
      <c r="NP5" t="str">
        <f>CONCATENATE(NP2, " ", NP3, " is in ", NP4, " Department")</f>
        <v>Jane Wilson is in Finance Department</v>
      </c>
      <c r="NQ5" t="str">
        <f>CONCATENATE(NQ2, " ", NQ3, " is in ", NQ4, " Department")</f>
        <v>John Brown is in Sales Department</v>
      </c>
      <c r="NR5" t="str">
        <f>CONCATENATE(NR2, " ", NR3, " is in ", NR4, " Department")</f>
        <v>Sarah Wilson is in IT Department</v>
      </c>
      <c r="NS5" t="str">
        <f>CONCATENATE(NS2, " ", NS3, " is in ", NS4, " Department")</f>
        <v>Katie Williams is in Sales Department</v>
      </c>
      <c r="NT5" t="str">
        <f>CONCATENATE(NT2, " ", NT3, " is in ", NT4, " Department")</f>
        <v>Emily Smith is in Finance Department</v>
      </c>
      <c r="NU5" t="str">
        <f>CONCATENATE(NU2, " ", NU3, " is in ", NU4, " Department")</f>
        <v>Chris Williams is in Finance Department</v>
      </c>
      <c r="NV5" t="str">
        <f>CONCATENATE(NV2, " ", NV3, " is in ", NV4, " Department")</f>
        <v>Chris Smith is in Sales Department</v>
      </c>
      <c r="NW5" t="str">
        <f>CONCATENATE(NW2, " ", NW3, " is in ", NW4, " Department")</f>
        <v>Sarah Wilson is in IT Department</v>
      </c>
      <c r="NX5" t="str">
        <f>CONCATENATE(NX2, " ", NX3, " is in ", NX4, " Department")</f>
        <v>Alex Smith is in Sales Department</v>
      </c>
      <c r="NY5" t="str">
        <f>CONCATENATE(NY2, " ", NY3, " is in ", NY4, " Department")</f>
        <v>Michael Davis is in Sales Department</v>
      </c>
      <c r="NZ5" t="str">
        <f>CONCATENATE(NZ2, " ", NZ3, " is in ", NZ4, " Department")</f>
        <v>John Miller is in HR Department</v>
      </c>
      <c r="OA5" t="str">
        <f>CONCATENATE(OA2, " ", OA3, " is in ", OA4, " Department")</f>
        <v>John Williams is in IT Department</v>
      </c>
      <c r="OB5" t="str">
        <f>CONCATENATE(OB2, " ", OB3, " is in ", OB4, " Department")</f>
        <v>Alex Brown is in HR Department</v>
      </c>
      <c r="OC5" t="str">
        <f>CONCATENATE(OC2, " ", OC3, " is in ", OC4, " Department")</f>
        <v>Alex Williams is in Operations Department</v>
      </c>
      <c r="OD5" t="str">
        <f>CONCATENATE(OD2, " ", OD3, " is in ", OD4, " Department")</f>
        <v>Sarah Davis is in Sales Department</v>
      </c>
      <c r="OE5" t="str">
        <f>CONCATENATE(OE2, " ", OE3, " is in ", OE4, " Department")</f>
        <v>Sarah Smith is in Operations Department</v>
      </c>
      <c r="OF5" t="str">
        <f>CONCATENATE(OF2, " ", OF3, " is in ", OF4, " Department")</f>
        <v>Alex Davis is in IT Department</v>
      </c>
      <c r="OG5" t="str">
        <f>CONCATENATE(OG2, " ", OG3, " is in ", OG4, " Department")</f>
        <v>Emily Johnson is in Sales Department</v>
      </c>
      <c r="OH5" t="str">
        <f>CONCATENATE(OH2, " ", OH3, " is in ", OH4, " Department")</f>
        <v>Sarah Johnson is in Operations Department</v>
      </c>
      <c r="OI5" t="str">
        <f>CONCATENATE(OI2, " ", OI3, " is in ", OI4, " Department")</f>
        <v>Katie Brown is in Marketing Department</v>
      </c>
      <c r="OJ5" t="str">
        <f>CONCATENATE(OJ2, " ", OJ3, " is in ", OJ4, " Department")</f>
        <v>Sarah Davis is in Finance Department</v>
      </c>
      <c r="OK5" t="str">
        <f>CONCATENATE(OK2, " ", OK3, " is in ", OK4, " Department")</f>
        <v>John Wilson is in Sales Department</v>
      </c>
      <c r="OL5" t="str">
        <f>CONCATENATE(OL2, " ", OL3, " is in ", OL4, " Department")</f>
        <v>Sarah Brown is in Finance Department</v>
      </c>
      <c r="OM5" t="str">
        <f>CONCATENATE(OM2, " ", OM3, " is in ", OM4, " Department")</f>
        <v>Emily Wilson is in HR Department</v>
      </c>
      <c r="ON5" t="str">
        <f>CONCATENATE(ON2, " ", ON3, " is in ", ON4, " Department")</f>
        <v>Alex Brown is in Operations Department</v>
      </c>
      <c r="OO5" t="str">
        <f>CONCATENATE(OO2, " ", OO3, " is in ", OO4, " Department")</f>
        <v>John Johnson is in HR Department</v>
      </c>
      <c r="OP5" t="str">
        <f>CONCATENATE(OP2, " ", OP3, " is in ", OP4, " Department")</f>
        <v>Sarah Brown is in Sales Department</v>
      </c>
      <c r="OQ5" t="str">
        <f>CONCATENATE(OQ2, " ", OQ3, " is in ", OQ4, " Department")</f>
        <v>Emily Johnson is in Finance Department</v>
      </c>
      <c r="OR5" t="str">
        <f>CONCATENATE(OR2, " ", OR3, " is in ", OR4, " Department")</f>
        <v>Katie Smith is in Finance Department</v>
      </c>
      <c r="OS5" t="str">
        <f>CONCATENATE(OS2, " ", OS3, " is in ", OS4, " Department")</f>
        <v>Sarah Wilson is in Operations Department</v>
      </c>
      <c r="OT5" t="str">
        <f>CONCATENATE(OT2, " ", OT3, " is in ", OT4, " Department")</f>
        <v>Emily Davis is in Sales Department</v>
      </c>
      <c r="OU5" t="str">
        <f>CONCATENATE(OU2, " ", OU3, " is in ", OU4, " Department")</f>
        <v>Katie Brown is in Marketing Department</v>
      </c>
      <c r="OV5" t="str">
        <f>CONCATENATE(OV2, " ", OV3, " is in ", OV4, " Department")</f>
        <v>Alex Johnson is in Marketing Department</v>
      </c>
      <c r="OW5" t="str">
        <f>CONCATENATE(OW2, " ", OW3, " is in ", OW4, " Department")</f>
        <v>Sarah Williams is in Operations Department</v>
      </c>
      <c r="OX5" t="str">
        <f>CONCATENATE(OX2, " ", OX3, " is in ", OX4, " Department")</f>
        <v>Katie Wilson is in Sales Department</v>
      </c>
      <c r="OY5" t="str">
        <f>CONCATENATE(OY2, " ", OY3, " is in ", OY4, " Department")</f>
        <v>John Brown is in Operations Department</v>
      </c>
      <c r="OZ5" t="str">
        <f>CONCATENATE(OZ2, " ", OZ3, " is in ", OZ4, " Department")</f>
        <v>Alex Miller is in Sales Department</v>
      </c>
      <c r="PA5" t="str">
        <f>CONCATENATE(PA2, " ", PA3, " is in ", PA4, " Department")</f>
        <v>John Smith is in HR Department</v>
      </c>
      <c r="PB5" t="str">
        <f>CONCATENATE(PB2, " ", PB3, " is in ", PB4, " Department")</f>
        <v>Chris Smith is in Operations Department</v>
      </c>
      <c r="PC5" t="str">
        <f>CONCATENATE(PC2, " ", PC3, " is in ", PC4, " Department")</f>
        <v>Jane Williams is in Sales Department</v>
      </c>
      <c r="PD5" t="str">
        <f>CONCATENATE(PD2, " ", PD3, " is in ", PD4, " Department")</f>
        <v>Sarah Johnson is in Marketing Department</v>
      </c>
      <c r="PE5" t="str">
        <f>CONCATENATE(PE2, " ", PE3, " is in ", PE4, " Department")</f>
        <v>Katie Brown is in Sales Department</v>
      </c>
      <c r="PF5" t="str">
        <f>CONCATENATE(PF2, " ", PF3, " is in ", PF4, " Department")</f>
        <v>Jane Wilson is in Sales Department</v>
      </c>
      <c r="PG5" t="str">
        <f>CONCATENATE(PG2, " ", PG3, " is in ", PG4, " Department")</f>
        <v>Jane Johnson is in Operations Department</v>
      </c>
      <c r="PH5" t="str">
        <f>CONCATENATE(PH2, " ", PH3, " is in ", PH4, " Department")</f>
        <v>Katie Smith is in HR Department</v>
      </c>
      <c r="PI5" t="str">
        <f>CONCATENATE(PI2, " ", PI3, " is in ", PI4, " Department")</f>
        <v>Alex Johnson is in HR Department</v>
      </c>
      <c r="PJ5" t="str">
        <f>CONCATENATE(PJ2, " ", PJ3, " is in ", PJ4, " Department")</f>
        <v>Sarah Smith is in HR Department</v>
      </c>
      <c r="PK5" t="str">
        <f>CONCATENATE(PK2, " ", PK3, " is in ", PK4, " Department")</f>
        <v>Chris Johnson is in HR Department</v>
      </c>
      <c r="PL5" t="str">
        <f>CONCATENATE(PL2, " ", PL3, " is in ", PL4, " Department")</f>
        <v>John Williams is in IT Department</v>
      </c>
      <c r="PM5" t="str">
        <f>CONCATENATE(PM2, " ", PM3, " is in ", PM4, " Department")</f>
        <v>Emily Davis is in Operations Department</v>
      </c>
      <c r="PN5" t="str">
        <f>CONCATENATE(PN2, " ", PN3, " is in ", PN4, " Department")</f>
        <v>John Williams is in Finance Department</v>
      </c>
      <c r="PO5" t="str">
        <f>CONCATENATE(PO2, " ", PO3, " is in ", PO4, " Department")</f>
        <v>Emily Williams is in Operations Department</v>
      </c>
      <c r="PP5" t="str">
        <f>CONCATENATE(PP2, " ", PP3, " is in ", PP4, " Department")</f>
        <v>John Davis is in IT Department</v>
      </c>
      <c r="PQ5" t="str">
        <f>CONCATENATE(PQ2, " ", PQ3, " is in ", PQ4, " Department")</f>
        <v>Katie Davis is in HR Department</v>
      </c>
      <c r="PR5" t="str">
        <f>CONCATENATE(PR2, " ", PR3, " is in ", PR4, " Department")</f>
        <v>Chris Brown is in IT Department</v>
      </c>
      <c r="PS5" t="str">
        <f>CONCATENATE(PS2, " ", PS3, " is in ", PS4, " Department")</f>
        <v>Sarah Wilson is in Marketing Department</v>
      </c>
      <c r="PT5" t="str">
        <f>CONCATENATE(PT2, " ", PT3, " is in ", PT4, " Department")</f>
        <v>Emily Wilson is in Marketing Department</v>
      </c>
      <c r="PU5" t="str">
        <f>CONCATENATE(PU2, " ", PU3, " is in ", PU4, " Department")</f>
        <v>Sarah Brown is in Operations Department</v>
      </c>
      <c r="PV5" t="str">
        <f>CONCATENATE(PV2, " ", PV3, " is in ", PV4, " Department")</f>
        <v>Sarah Williams is in Operations Department</v>
      </c>
      <c r="PW5" t="str">
        <f>CONCATENATE(PW2, " ", PW3, " is in ", PW4, " Department")</f>
        <v>Sarah Williams is in Finance Department</v>
      </c>
      <c r="PX5" t="str">
        <f>CONCATENATE(PX2, " ", PX3, " is in ", PX4, " Department")</f>
        <v>Michael Smith is in Finance Department</v>
      </c>
      <c r="PY5" t="str">
        <f>CONCATENATE(PY2, " ", PY3, " is in ", PY4, " Department")</f>
        <v>Alex Smith is in Marketing Department</v>
      </c>
      <c r="PZ5" t="str">
        <f>CONCATENATE(PZ2, " ", PZ3, " is in ", PZ4, " Department")</f>
        <v>John Wilson is in HR Department</v>
      </c>
      <c r="QA5" t="str">
        <f>CONCATENATE(QA2, " ", QA3, " is in ", QA4, " Department")</f>
        <v>Sarah Brown is in IT Department</v>
      </c>
      <c r="QB5" t="str">
        <f>CONCATENATE(QB2, " ", QB3, " is in ", QB4, " Department")</f>
        <v>John Miller is in Finance Department</v>
      </c>
      <c r="QC5" t="str">
        <f>CONCATENATE(QC2, " ", QC3, " is in ", QC4, " Department")</f>
        <v>Sarah Miller is in Sales Department</v>
      </c>
      <c r="QD5" t="str">
        <f>CONCATENATE(QD2, " ", QD3, " is in ", QD4, " Department")</f>
        <v>Emily Brown is in Finance Department</v>
      </c>
      <c r="QE5" t="str">
        <f>CONCATENATE(QE2, " ", QE3, " is in ", QE4, " Department")</f>
        <v>Alex Smith is in HR Department</v>
      </c>
      <c r="QF5" t="str">
        <f>CONCATENATE(QF2, " ", QF3, " is in ", QF4, " Department")</f>
        <v>Alex Wilson is in HR Department</v>
      </c>
      <c r="QG5" t="str">
        <f>CONCATENATE(QG2, " ", QG3, " is in ", QG4, " Department")</f>
        <v>Katie Wilson is in Operations Department</v>
      </c>
      <c r="QH5" t="str">
        <f>CONCATENATE(QH2, " ", QH3, " is in ", QH4, " Department")</f>
        <v>Michael Smith is in IT Department</v>
      </c>
      <c r="QI5" t="str">
        <f>CONCATENATE(QI2, " ", QI3, " is in ", QI4, " Department")</f>
        <v>Katie Miller is in HR Department</v>
      </c>
      <c r="QJ5" t="str">
        <f>CONCATENATE(QJ2, " ", QJ3, " is in ", QJ4, " Department")</f>
        <v>Katie Johnson is in Finance Department</v>
      </c>
      <c r="QK5" t="str">
        <f>CONCATENATE(QK2, " ", QK3, " is in ", QK4, " Department")</f>
        <v>Katie Johnson is in Finance Department</v>
      </c>
      <c r="QL5" t="str">
        <f>CONCATENATE(QL2, " ", QL3, " is in ", QL4, " Department")</f>
        <v>Katie Smith is in Marketing Department</v>
      </c>
      <c r="QM5" t="str">
        <f>CONCATENATE(QM2, " ", QM3, " is in ", QM4, " Department")</f>
        <v>Katie Johnson is in HR Department</v>
      </c>
      <c r="QN5" t="str">
        <f>CONCATENATE(QN2, " ", QN3, " is in ", QN4, " Department")</f>
        <v>Chris Davis is in Sales Department</v>
      </c>
      <c r="QO5" t="str">
        <f>CONCATENATE(QO2, " ", QO3, " is in ", QO4, " Department")</f>
        <v>Alex Brown is in Operations Department</v>
      </c>
      <c r="QP5" t="str">
        <f>CONCATENATE(QP2, " ", QP3, " is in ", QP4, " Department")</f>
        <v>Katie Brown is in IT Department</v>
      </c>
      <c r="QQ5" t="str">
        <f>CONCATENATE(QQ2, " ", QQ3, " is in ", QQ4, " Department")</f>
        <v>Sarah Smith is in Sales Department</v>
      </c>
      <c r="QR5" t="str">
        <f>CONCATENATE(QR2, " ", QR3, " is in ", QR4, " Department")</f>
        <v>Alex Williams is in Operations Department</v>
      </c>
      <c r="QS5" t="str">
        <f>CONCATENATE(QS2, " ", QS3, " is in ", QS4, " Department")</f>
        <v>Alex Miller is in Finance Department</v>
      </c>
      <c r="QT5" t="str">
        <f>CONCATENATE(QT2, " ", QT3, " is in ", QT4, " Department")</f>
        <v>Jane Smith is in Sales Department</v>
      </c>
      <c r="QU5" t="str">
        <f>CONCATENATE(QU2, " ", QU3, " is in ", QU4, " Department")</f>
        <v>Chris Johnson is in Operations Department</v>
      </c>
      <c r="QV5" t="str">
        <f>CONCATENATE(QV2, " ", QV3, " is in ", QV4, " Department")</f>
        <v>Katie Miller is in Finance Department</v>
      </c>
      <c r="QW5" t="str">
        <f>CONCATENATE(QW2, " ", QW3, " is in ", QW4, " Department")</f>
        <v>John Williams is in Finance Department</v>
      </c>
      <c r="QX5" t="str">
        <f>CONCATENATE(QX2, " ", QX3, " is in ", QX4, " Department")</f>
        <v>Emily Johnson is in Finance Department</v>
      </c>
      <c r="QY5" t="str">
        <f>CONCATENATE(QY2, " ", QY3, " is in ", QY4, " Department")</f>
        <v>Michael Wilson is in Finance Department</v>
      </c>
      <c r="QZ5" t="str">
        <f>CONCATENATE(QZ2, " ", QZ3, " is in ", QZ4, " Department")</f>
        <v>Sarah Davis is in Finance Department</v>
      </c>
      <c r="RA5" t="str">
        <f>CONCATENATE(RA2, " ", RA3, " is in ", RA4, " Department")</f>
        <v>John Johnson is in Marketing Department</v>
      </c>
      <c r="RB5" t="str">
        <f>CONCATENATE(RB2, " ", RB3, " is in ", RB4, " Department")</f>
        <v>Chris Davis is in Sales Department</v>
      </c>
      <c r="RC5" t="str">
        <f>CONCATENATE(RC2, " ", RC3, " is in ", RC4, " Department")</f>
        <v>Emily Miller is in Operations Department</v>
      </c>
      <c r="RD5" t="str">
        <f>CONCATENATE(RD2, " ", RD3, " is in ", RD4, " Department")</f>
        <v>Chris Davis is in Marketing Department</v>
      </c>
      <c r="RE5" t="str">
        <f>CONCATENATE(RE2, " ", RE3, " is in ", RE4, " Department")</f>
        <v>Sarah Miller is in Marketing Department</v>
      </c>
      <c r="RF5" t="str">
        <f>CONCATENATE(RF2, " ", RF3, " is in ", RF4, " Department")</f>
        <v>Alex Miller is in HR Department</v>
      </c>
      <c r="RG5" t="str">
        <f>CONCATENATE(RG2, " ", RG3, " is in ", RG4, " Department")</f>
        <v>Emily Miller is in HR Department</v>
      </c>
      <c r="RH5" t="str">
        <f>CONCATENATE(RH2, " ", RH3, " is in ", RH4, " Department")</f>
        <v>Alex Miller is in HR Department</v>
      </c>
      <c r="RI5" t="str">
        <f>CONCATENATE(RI2, " ", RI3, " is in ", RI4, " Department")</f>
        <v>Sarah Miller is in IT Department</v>
      </c>
      <c r="RJ5" t="str">
        <f>CONCATENATE(RJ2, " ", RJ3, " is in ", RJ4, " Department")</f>
        <v>John Johnson is in HR Department</v>
      </c>
      <c r="RK5" t="str">
        <f>CONCATENATE(RK2, " ", RK3, " is in ", RK4, " Department")</f>
        <v>Sarah Miller is in Operations Department</v>
      </c>
      <c r="RL5" t="str">
        <f>CONCATENATE(RL2, " ", RL3, " is in ", RL4, " Department")</f>
        <v>John Johnson is in Marketing Department</v>
      </c>
      <c r="RM5" t="str">
        <f>CONCATENATE(RM2, " ", RM3, " is in ", RM4, " Department")</f>
        <v>Emily Miller is in Operations Department</v>
      </c>
      <c r="RN5" t="str">
        <f>CONCATENATE(RN2, " ", RN3, " is in ", RN4, " Department")</f>
        <v>Emily Davis is in Sales Department</v>
      </c>
      <c r="RO5" t="str">
        <f>CONCATENATE(RO2, " ", RO3, " is in ", RO4, " Department")</f>
        <v>Katie Wilson is in HR Department</v>
      </c>
      <c r="RP5" t="str">
        <f>CONCATENATE(RP2, " ", RP3, " is in ", RP4, " Department")</f>
        <v>Chris Miller is in IT Department</v>
      </c>
      <c r="RQ5" t="str">
        <f>CONCATENATE(RQ2, " ", RQ3, " is in ", RQ4, " Department")</f>
        <v>Katie Williams is in Sales Department</v>
      </c>
      <c r="RR5" t="str">
        <f>CONCATENATE(RR2, " ", RR3, " is in ", RR4, " Department")</f>
        <v>Chris Miller is in IT Department</v>
      </c>
      <c r="RS5" t="str">
        <f>CONCATENATE(RS2, " ", RS3, " is in ", RS4, " Department")</f>
        <v>Katie Miller is in Sales Department</v>
      </c>
      <c r="RT5" t="str">
        <f>CONCATENATE(RT2, " ", RT3, " is in ", RT4, " Department")</f>
        <v>Alex Davis is in Marketing Department</v>
      </c>
      <c r="RU5" t="str">
        <f>CONCATENATE(RU2, " ", RU3, " is in ", RU4, " Department")</f>
        <v>Emily Brown is in Operations Department</v>
      </c>
      <c r="RV5" t="str">
        <f>CONCATENATE(RV2, " ", RV3, " is in ", RV4, " Department")</f>
        <v>John Davis is in Finance Department</v>
      </c>
      <c r="RW5" t="str">
        <f>CONCATENATE(RW2, " ", RW3, " is in ", RW4, " Department")</f>
        <v>Chris Williams is in Operations Department</v>
      </c>
      <c r="RX5" t="str">
        <f>CONCATENATE(RX2, " ", RX3, " is in ", RX4, " Department")</f>
        <v>Sarah Brown is in HR Department</v>
      </c>
      <c r="RY5" t="str">
        <f>CONCATENATE(RY2, " ", RY3, " is in ", RY4, " Department")</f>
        <v>Chris Smith is in Finance Department</v>
      </c>
      <c r="RZ5" t="str">
        <f>CONCATENATE(RZ2, " ", RZ3, " is in ", RZ4, " Department")</f>
        <v>John Smith is in IT Department</v>
      </c>
      <c r="SA5" t="str">
        <f>CONCATENATE(SA2, " ", SA3, " is in ", SA4, " Department")</f>
        <v>Katie Williams is in Marketing Department</v>
      </c>
      <c r="SB5" t="str">
        <f>CONCATENATE(SB2, " ", SB3, " is in ", SB4, " Department")</f>
        <v>Chris Davis is in Marketing Department</v>
      </c>
      <c r="SC5" t="str">
        <f>CONCATENATE(SC2, " ", SC3, " is in ", SC4, " Department")</f>
        <v>Michael Johnson is in IT Department</v>
      </c>
      <c r="SD5" t="str">
        <f>CONCATENATE(SD2, " ", SD3, " is in ", SD4, " Department")</f>
        <v>Alex Williams is in HR Department</v>
      </c>
      <c r="SE5" t="str">
        <f>CONCATENATE(SE2, " ", SE3, " is in ", SE4, " Department")</f>
        <v>Emily Wilson is in IT Department</v>
      </c>
      <c r="SF5" t="str">
        <f>CONCATENATE(SF2, " ", SF3, " is in ", SF4, " Department")</f>
        <v>John Brown is in Sales Department</v>
      </c>
      <c r="SG5" t="str">
        <f>CONCATENATE(SG2, " ", SG3, " is in ", SG4, " Department")</f>
        <v>Emily Brown is in HR Department</v>
      </c>
      <c r="SH5" t="str">
        <f>CONCATENATE(SH2, " ", SH3, " is in ", SH4, " Department")</f>
        <v>Michael Miller is in Finance Department</v>
      </c>
      <c r="SI5" t="str">
        <f>CONCATENATE(SI2, " ", SI3, " is in ", SI4, " Department")</f>
        <v>Chris Smith is in IT Department</v>
      </c>
      <c r="SJ5" t="str">
        <f>CONCATENATE(SJ2, " ", SJ3, " is in ", SJ4, " Department")</f>
        <v>Chris Brown is in HR Department</v>
      </c>
      <c r="SK5" t="str">
        <f>CONCATENATE(SK2, " ", SK3, " is in ", SK4, " Department")</f>
        <v>Sarah Williams is in Finance Department</v>
      </c>
      <c r="SL5" t="str">
        <f>CONCATENATE(SL2, " ", SL3, " is in ", SL4, " Department")</f>
        <v>Michael Brown is in IT Department</v>
      </c>
      <c r="SM5" t="str">
        <f>CONCATENATE(SM2, " ", SM3, " is in ", SM4, " Department")</f>
        <v>John Williams is in Marketing Department</v>
      </c>
      <c r="SN5" t="str">
        <f>CONCATENATE(SN2, " ", SN3, " is in ", SN4, " Department")</f>
        <v>Sarah Johnson is in IT Department</v>
      </c>
      <c r="SO5" t="str">
        <f>CONCATENATE(SO2, " ", SO3, " is in ", SO4, " Department")</f>
        <v>Alex Miller is in Operations Department</v>
      </c>
      <c r="SP5" t="str">
        <f>CONCATENATE(SP2, " ", SP3, " is in ", SP4, " Department")</f>
        <v>Sarah Smith is in IT Department</v>
      </c>
      <c r="SQ5" t="str">
        <f>CONCATENATE(SQ2, " ", SQ3, " is in ", SQ4, " Department")</f>
        <v>Jane Brown is in Operations Department</v>
      </c>
      <c r="SR5" t="str">
        <f>CONCATENATE(SR2, " ", SR3, " is in ", SR4, " Department")</f>
        <v>John Williams is in Finance Department</v>
      </c>
      <c r="SS5" t="str">
        <f>CONCATENATE(SS2, " ", SS3, " is in ", SS4, " Department")</f>
        <v>Jane Davis is in IT Department</v>
      </c>
      <c r="ST5" t="str">
        <f>CONCATENATE(ST2, " ", ST3, " is in ", ST4, " Department")</f>
        <v>Michael Smith is in Finance Department</v>
      </c>
      <c r="SU5" t="str">
        <f>CONCATENATE(SU2, " ", SU3, " is in ", SU4, " Department")</f>
        <v>Katie Johnson is in Finance Department</v>
      </c>
      <c r="SV5" t="str">
        <f>CONCATENATE(SV2, " ", SV3, " is in ", SV4, " Department")</f>
        <v>Jane Williams is in HR Department</v>
      </c>
      <c r="SW5" t="str">
        <f>CONCATENATE(SW2, " ", SW3, " is in ", SW4, " Department")</f>
        <v>Alex Wilson is in Finance Department</v>
      </c>
      <c r="SX5" t="str">
        <f>CONCATENATE(SX2, " ", SX3, " is in ", SX4, " Department")</f>
        <v>Sarah Wilson is in Finance Department</v>
      </c>
      <c r="SY5" t="str">
        <f>CONCATENATE(SY2, " ", SY3, " is in ", SY4, " Department")</f>
        <v>Katie Miller is in IT Department</v>
      </c>
      <c r="SZ5" t="str">
        <f>CONCATENATE(SZ2, " ", SZ3, " is in ", SZ4, " Department")</f>
        <v>Sarah Miller is in IT Department</v>
      </c>
      <c r="TA5" t="str">
        <f>CONCATENATE(TA2, " ", TA3, " is in ", TA4, " Department")</f>
        <v>Jane Johnson is in Marketing Department</v>
      </c>
      <c r="TB5" t="str">
        <f>CONCATENATE(TB2, " ", TB3, " is in ", TB4, " Department")</f>
        <v>Sarah Johnson is in HR Department</v>
      </c>
      <c r="TC5" t="str">
        <f>CONCATENATE(TC2, " ", TC3, " is in ", TC4, " Department")</f>
        <v>Michael Miller is in Finance Department</v>
      </c>
      <c r="TD5" t="str">
        <f>CONCATENATE(TD2, " ", TD3, " is in ", TD4, " Department")</f>
        <v>Katie Brown is in HR Department</v>
      </c>
      <c r="TE5" t="str">
        <f>CONCATENATE(TE2, " ", TE3, " is in ", TE4, " Department")</f>
        <v>Michael Brown is in Operations Department</v>
      </c>
      <c r="TF5" t="str">
        <f>CONCATENATE(TF2, " ", TF3, " is in ", TF4, " Department")</f>
        <v>Jane Williams is in Finance Department</v>
      </c>
      <c r="TG5" t="str">
        <f>CONCATENATE(TG2, " ", TG3, " is in ", TG4, " Department")</f>
        <v>Michael Davis is in HR Department</v>
      </c>
      <c r="TH5" t="str">
        <f>CONCATENATE(TH2, " ", TH3, " is in ", TH4, " Department")</f>
        <v>Alex Williams is in Marketing Department</v>
      </c>
      <c r="TI5" t="str">
        <f>CONCATENATE(TI2, " ", TI3, " is in ", TI4, " Department")</f>
        <v>Jane Davis is in Marketing Department</v>
      </c>
      <c r="TJ5" t="str">
        <f>CONCATENATE(TJ2, " ", TJ3, " is in ", TJ4, " Department")</f>
        <v>Jane Johnson is in Finance Department</v>
      </c>
      <c r="TK5" t="str">
        <f>CONCATENATE(TK2, " ", TK3, " is in ", TK4, " Department")</f>
        <v>Jane Smith is in Operations Department</v>
      </c>
      <c r="TL5" t="str">
        <f>CONCATENATE(TL2, " ", TL3, " is in ", TL4, " Department")</f>
        <v>John Williams is in Marketing Department</v>
      </c>
      <c r="TM5" t="str">
        <f>CONCATENATE(TM2, " ", TM3, " is in ", TM4, " Department")</f>
        <v>Sarah Williams is in Marketing Department</v>
      </c>
      <c r="TN5" t="str">
        <f>CONCATENATE(TN2, " ", TN3, " is in ", TN4, " Department")</f>
        <v>John Davis is in Operations Department</v>
      </c>
      <c r="TO5" t="str">
        <f>CONCATENATE(TO2, " ", TO3, " is in ", TO4, " Department")</f>
        <v>John Johnson is in HR Department</v>
      </c>
      <c r="TP5" t="str">
        <f>CONCATENATE(TP2, " ", TP3, " is in ", TP4, " Department")</f>
        <v>Alex Johnson is in Marketing Department</v>
      </c>
      <c r="TQ5" t="str">
        <f>CONCATENATE(TQ2, " ", TQ3, " is in ", TQ4, " Department")</f>
        <v>Katie Wilson is in IT Department</v>
      </c>
      <c r="TR5" t="str">
        <f>CONCATENATE(TR2, " ", TR3, " is in ", TR4, " Department")</f>
        <v>Sarah Davis is in Sales Department</v>
      </c>
      <c r="TS5" t="str">
        <f>CONCATENATE(TS2, " ", TS3, " is in ", TS4, " Department")</f>
        <v>Michael Johnson is in Sales Department</v>
      </c>
      <c r="TT5" t="str">
        <f>CONCATENATE(TT2, " ", TT3, " is in ", TT4, " Department")</f>
        <v>Chris Miller is in Marketing Department</v>
      </c>
      <c r="TU5" t="str">
        <f>CONCATENATE(TU2, " ", TU3, " is in ", TU4, " Department")</f>
        <v>Jane Brown is in HR Department</v>
      </c>
      <c r="TV5" t="str">
        <f>CONCATENATE(TV2, " ", TV3, " is in ", TV4, " Department")</f>
        <v>Michael Wilson is in HR Department</v>
      </c>
      <c r="TW5" t="str">
        <f>CONCATENATE(TW2, " ", TW3, " is in ", TW4, " Department")</f>
        <v>Jane Miller is in Finance Department</v>
      </c>
      <c r="TX5" t="str">
        <f>CONCATENATE(TX2, " ", TX3, " is in ", TX4, " Department")</f>
        <v>Alex Smith is in IT Department</v>
      </c>
      <c r="TY5" t="str">
        <f>CONCATENATE(TY2, " ", TY3, " is in ", TY4, " Department")</f>
        <v>Jane Williams is in HR Department</v>
      </c>
      <c r="TZ5" t="str">
        <f>CONCATENATE(TZ2, " ", TZ3, " is in ", TZ4, " Department")</f>
        <v>John Wilson is in Operations Department</v>
      </c>
      <c r="UA5" t="str">
        <f>CONCATENATE(UA2, " ", UA3, " is in ", UA4, " Department")</f>
        <v>Sarah Smith is in IT Department</v>
      </c>
      <c r="UB5" t="str">
        <f>CONCATENATE(UB2, " ", UB3, " is in ", UB4, " Department")</f>
        <v>Chris Williams is in Sales Department</v>
      </c>
      <c r="UC5" t="str">
        <f>CONCATENATE(UC2, " ", UC3, " is in ", UC4, " Department")</f>
        <v>Emily Brown is in IT Department</v>
      </c>
      <c r="UD5" t="str">
        <f>CONCATENATE(UD2, " ", UD3, " is in ", UD4, " Department")</f>
        <v>Jane Johnson is in Operations Department</v>
      </c>
      <c r="UE5" t="str">
        <f>CONCATENATE(UE2, " ", UE3, " is in ", UE4, " Department")</f>
        <v>Michael Miller is in Marketing Department</v>
      </c>
      <c r="UF5" t="str">
        <f>CONCATENATE(UF2, " ", UF3, " is in ", UF4, " Department")</f>
        <v>John Davis is in Operations Department</v>
      </c>
      <c r="UG5" t="str">
        <f>CONCATENATE(UG2, " ", UG3, " is in ", UG4, " Department")</f>
        <v>Emily Miller is in Operations Department</v>
      </c>
      <c r="UH5" t="str">
        <f>CONCATENATE(UH2, " ", UH3, " is in ", UH4, " Department")</f>
        <v>Chris Brown is in Marketing Department</v>
      </c>
      <c r="UI5" t="str">
        <f>CONCATENATE(UI2, " ", UI3, " is in ", UI4, " Department")</f>
        <v>Emily Smith is in Marketing Department</v>
      </c>
      <c r="UJ5" t="str">
        <f>CONCATENATE(UJ2, " ", UJ3, " is in ", UJ4, " Department")</f>
        <v>John Davis is in Marketing Department</v>
      </c>
      <c r="UK5" t="str">
        <f>CONCATENATE(UK2, " ", UK3, " is in ", UK4, " Department")</f>
        <v>Sarah Johnson is in Marketing Department</v>
      </c>
      <c r="UL5" t="str">
        <f>CONCATENATE(UL2, " ", UL3, " is in ", UL4, " Department")</f>
        <v>Sarah Brown is in Marketing Department</v>
      </c>
      <c r="UM5" t="str">
        <f>CONCATENATE(UM2, " ", UM3, " is in ", UM4, " Department")</f>
        <v>Katie Davis is in Operations Department</v>
      </c>
      <c r="UN5" t="str">
        <f>CONCATENATE(UN2, " ", UN3, " is in ", UN4, " Department")</f>
        <v>Sarah Brown is in Finance Department</v>
      </c>
      <c r="UO5" t="str">
        <f>CONCATENATE(UO2, " ", UO3, " is in ", UO4, " Department")</f>
        <v>Katie Brown is in Finance Department</v>
      </c>
      <c r="UP5" t="str">
        <f>CONCATENATE(UP2, " ", UP3, " is in ", UP4, " Department")</f>
        <v>Emily Johnson is in HR Department</v>
      </c>
      <c r="UQ5" t="str">
        <f>CONCATENATE(UQ2, " ", UQ3, " is in ", UQ4, " Department")</f>
        <v>Alex Wilson is in Finance Department</v>
      </c>
      <c r="UR5" t="str">
        <f>CONCATENATE(UR2, " ", UR3, " is in ", UR4, " Department")</f>
        <v>Michael Williams is in Sales Department</v>
      </c>
      <c r="US5" t="str">
        <f>CONCATENATE(US2, " ", US3, " is in ", US4, " Department")</f>
        <v>Michael Davis is in Finance Department</v>
      </c>
      <c r="UT5" t="str">
        <f>CONCATENATE(UT2, " ", UT3, " is in ", UT4, " Department")</f>
        <v>Emily Johnson is in Operations Department</v>
      </c>
      <c r="UU5" t="str">
        <f>CONCATENATE(UU2, " ", UU3, " is in ", UU4, " Department")</f>
        <v>Jane Brown is in Marketing Department</v>
      </c>
      <c r="UV5" t="str">
        <f>CONCATENATE(UV2, " ", UV3, " is in ", UV4, " Department")</f>
        <v>Jane Johnson is in Marketing Department</v>
      </c>
      <c r="UW5" t="str">
        <f>CONCATENATE(UW2, " ", UW3, " is in ", UW4, " Department")</f>
        <v>Sarah Wilson is in Operations Department</v>
      </c>
      <c r="UX5" t="str">
        <f>CONCATENATE(UX2, " ", UX3, " is in ", UX4, " Department")</f>
        <v>Michael Williams is in Sales Department</v>
      </c>
      <c r="UY5" t="str">
        <f>CONCATENATE(UY2, " ", UY3, " is in ", UY4, " Department")</f>
        <v>Michael Miller is in Finance Department</v>
      </c>
      <c r="UZ5" t="str">
        <f>CONCATENATE(UZ2, " ", UZ3, " is in ", UZ4, " Department")</f>
        <v>Katie Davis is in Operations Department</v>
      </c>
      <c r="VA5" t="str">
        <f>CONCATENATE(VA2, " ", VA3, " is in ", VA4, " Department")</f>
        <v>Alex Williams is in HR Department</v>
      </c>
      <c r="VB5" t="str">
        <f>CONCATENATE(VB2, " ", VB3, " is in ", VB4, " Department")</f>
        <v>John Smith is in Marketing Department</v>
      </c>
      <c r="VC5" t="str">
        <f>CONCATENATE(VC2, " ", VC3, " is in ", VC4, " Department")</f>
        <v>Jane Davis is in IT Department</v>
      </c>
      <c r="VD5" t="str">
        <f>CONCATENATE(VD2, " ", VD3, " is in ", VD4, " Department")</f>
        <v>Michael Williams is in HR Department</v>
      </c>
      <c r="VE5" t="str">
        <f>CONCATENATE(VE2, " ", VE3, " is in ", VE4, " Department")</f>
        <v>Katie Brown is in Sales Department</v>
      </c>
      <c r="VF5" t="str">
        <f>CONCATENATE(VF2, " ", VF3, " is in ", VF4, " Department")</f>
        <v>Chris Davis is in HR Department</v>
      </c>
      <c r="VG5" t="str">
        <f>CONCATENATE(VG2, " ", VG3, " is in ", VG4, " Department")</f>
        <v>Katie Davis is in Operations Department</v>
      </c>
      <c r="VH5" t="str">
        <f>CONCATENATE(VH2, " ", VH3, " is in ", VH4, " Department")</f>
        <v>Jane Johnson is in Finance Department</v>
      </c>
      <c r="VI5" t="str">
        <f>CONCATENATE(VI2, " ", VI3, " is in ", VI4, " Department")</f>
        <v>Jane Brown is in Marketing Department</v>
      </c>
      <c r="VJ5" t="str">
        <f>CONCATENATE(VJ2, " ", VJ3, " is in ", VJ4, " Department")</f>
        <v>Katie Smith is in Sales Department</v>
      </c>
      <c r="VK5" t="str">
        <f>CONCATENATE(VK2, " ", VK3, " is in ", VK4, " Department")</f>
        <v>John Miller is in Sales Department</v>
      </c>
      <c r="VL5" t="str">
        <f>CONCATENATE(VL2, " ", VL3, " is in ", VL4, " Department")</f>
        <v>Emily Wilson is in IT Department</v>
      </c>
      <c r="VM5" t="str">
        <f>CONCATENATE(VM2, " ", VM3, " is in ", VM4, " Department")</f>
        <v>Jane Williams is in HR Department</v>
      </c>
      <c r="VN5" t="str">
        <f>CONCATENATE(VN2, " ", VN3, " is in ", VN4, " Department")</f>
        <v>Katie Johnson is in IT Department</v>
      </c>
      <c r="VO5" t="str">
        <f>CONCATENATE(VO2, " ", VO3, " is in ", VO4, " Department")</f>
        <v>Michael Williams is in Finance Department</v>
      </c>
      <c r="VP5" t="str">
        <f>CONCATENATE(VP2, " ", VP3, " is in ", VP4, " Department")</f>
        <v>Katie Smith is in Finance Department</v>
      </c>
      <c r="VQ5" t="str">
        <f>CONCATENATE(VQ2, " ", VQ3, " is in ", VQ4, " Department")</f>
        <v>Alex Smith is in IT Department</v>
      </c>
      <c r="VR5" t="str">
        <f>CONCATENATE(VR2, " ", VR3, " is in ", VR4, " Department")</f>
        <v>Emily Davis is in Marketing Department</v>
      </c>
      <c r="VS5" t="str">
        <f>CONCATENATE(VS2, " ", VS3, " is in ", VS4, " Department")</f>
        <v>Chris Wilson is in Finance Department</v>
      </c>
      <c r="VT5" t="str">
        <f>CONCATENATE(VT2, " ", VT3, " is in ", VT4, " Department")</f>
        <v>John Smith is in IT Department</v>
      </c>
      <c r="VU5" t="str">
        <f>CONCATENATE(VU2, " ", VU3, " is in ", VU4, " Department")</f>
        <v>Sarah Williams is in HR Department</v>
      </c>
      <c r="VV5" t="str">
        <f>CONCATENATE(VV2, " ", VV3, " is in ", VV4, " Department")</f>
        <v>Chris Brown is in IT Department</v>
      </c>
      <c r="VW5" t="str">
        <f>CONCATENATE(VW2, " ", VW3, " is in ", VW4, " Department")</f>
        <v>Emily Brown is in IT Department</v>
      </c>
      <c r="VX5" t="str">
        <f>CONCATENATE(VX2, " ", VX3, " is in ", VX4, " Department")</f>
        <v>Emily Davis is in Operations Department</v>
      </c>
      <c r="VY5" t="str">
        <f>CONCATENATE(VY2, " ", VY3, " is in ", VY4, " Department")</f>
        <v>Emily Miller is in Finance Department</v>
      </c>
      <c r="VZ5" t="str">
        <f>CONCATENATE(VZ2, " ", VZ3, " is in ", VZ4, " Department")</f>
        <v>Chris Williams is in Marketing Department</v>
      </c>
      <c r="WA5" t="str">
        <f>CONCATENATE(WA2, " ", WA3, " is in ", WA4, " Department")</f>
        <v>Michael Williams is in Marketing Department</v>
      </c>
      <c r="WB5" t="str">
        <f>CONCATENATE(WB2, " ", WB3, " is in ", WB4, " Department")</f>
        <v>Emily Smith is in Operations Department</v>
      </c>
      <c r="WC5" t="str">
        <f>CONCATENATE(WC2, " ", WC3, " is in ", WC4, " Department")</f>
        <v>Katie Wilson is in Sales Department</v>
      </c>
      <c r="WD5" t="str">
        <f>CONCATENATE(WD2, " ", WD3, " is in ", WD4, " Department")</f>
        <v>Chris Williams is in Marketing Department</v>
      </c>
      <c r="WE5" t="str">
        <f>CONCATENATE(WE2, " ", WE3, " is in ", WE4, " Department")</f>
        <v>Sarah Johnson is in IT Department</v>
      </c>
      <c r="WF5" t="str">
        <f>CONCATENATE(WF2, " ", WF3, " is in ", WF4, " Department")</f>
        <v>Emily Miller is in Operations Department</v>
      </c>
      <c r="WG5" t="str">
        <f>CONCATENATE(WG2, " ", WG3, " is in ", WG4, " Department")</f>
        <v>Katie Smith is in HR Department</v>
      </c>
      <c r="WH5" t="str">
        <f>CONCATENATE(WH2, " ", WH3, " is in ", WH4, " Department")</f>
        <v>Michael Johnson is in Finance Department</v>
      </c>
      <c r="WI5" t="str">
        <f>CONCATENATE(WI2, " ", WI3, " is in ", WI4, " Department")</f>
        <v>Alex Davis is in Finance Department</v>
      </c>
      <c r="WJ5" t="str">
        <f>CONCATENATE(WJ2, " ", WJ3, " is in ", WJ4, " Department")</f>
        <v>Michael Brown is in Finance Department</v>
      </c>
      <c r="WK5" t="str">
        <f>CONCATENATE(WK2, " ", WK3, " is in ", WK4, " Department")</f>
        <v>Sarah Davis is in IT Department</v>
      </c>
      <c r="WL5" t="str">
        <f>CONCATENATE(WL2, " ", WL3, " is in ", WL4, " Department")</f>
        <v>Emily Brown is in HR Department</v>
      </c>
      <c r="WM5" t="str">
        <f>CONCATENATE(WM2, " ", WM3, " is in ", WM4, " Department")</f>
        <v>Sarah Davis is in Operations Department</v>
      </c>
      <c r="WN5" t="str">
        <f>CONCATENATE(WN2, " ", WN3, " is in ", WN4, " Department")</f>
        <v>Chris Williams is in Operations Department</v>
      </c>
      <c r="WO5" t="str">
        <f>CONCATENATE(WO2, " ", WO3, " is in ", WO4, " Department")</f>
        <v>Jane Johnson is in Finance Department</v>
      </c>
      <c r="WP5" t="str">
        <f>CONCATENATE(WP2, " ", WP3, " is in ", WP4, " Department")</f>
        <v>Emily Brown is in HR Department</v>
      </c>
      <c r="WQ5" t="str">
        <f>CONCATENATE(WQ2, " ", WQ3, " is in ", WQ4, " Department")</f>
        <v>Jane Smith is in HR Department</v>
      </c>
      <c r="WR5" t="str">
        <f>CONCATENATE(WR2, " ", WR3, " is in ", WR4, " Department")</f>
        <v>Katie Johnson is in HR Department</v>
      </c>
      <c r="WS5" t="str">
        <f>CONCATENATE(WS2, " ", WS3, " is in ", WS4, " Department")</f>
        <v>Alex Smith is in Marketing Department</v>
      </c>
      <c r="WT5" t="str">
        <f>CONCATENATE(WT2, " ", WT3, " is in ", WT4, " Department")</f>
        <v>John Johnson is in Marketing Department</v>
      </c>
      <c r="WU5" t="str">
        <f>CONCATENATE(WU2, " ", WU3, " is in ", WU4, " Department")</f>
        <v>Sarah Johnson is in Finance Department</v>
      </c>
      <c r="WV5" t="str">
        <f>CONCATENATE(WV2, " ", WV3, " is in ", WV4, " Department")</f>
        <v>Michael Davis is in HR Department</v>
      </c>
      <c r="WW5" t="str">
        <f>CONCATENATE(WW2, " ", WW3, " is in ", WW4, " Department")</f>
        <v>Alex Brown is in Sales Department</v>
      </c>
      <c r="WX5" t="str">
        <f>CONCATENATE(WX2, " ", WX3, " is in ", WX4, " Department")</f>
        <v>Emily Brown is in HR Department</v>
      </c>
      <c r="WY5" t="str">
        <f>CONCATENATE(WY2, " ", WY3, " is in ", WY4, " Department")</f>
        <v>Jane Wilson is in Operations Department</v>
      </c>
      <c r="WZ5" t="str">
        <f>CONCATENATE(WZ2, " ", WZ3, " is in ", WZ4, " Department")</f>
        <v>Michael Johnson is in Operations Department</v>
      </c>
      <c r="XA5" t="str">
        <f>CONCATENATE(XA2, " ", XA3, " is in ", XA4, " Department")</f>
        <v>Jane Williams is in Finance Department</v>
      </c>
      <c r="XB5" t="str">
        <f>CONCATENATE(XB2, " ", XB3, " is in ", XB4, " Department")</f>
        <v>Chris Williams is in Sales Department</v>
      </c>
      <c r="XC5" t="str">
        <f>CONCATENATE(XC2, " ", XC3, " is in ", XC4, " Department")</f>
        <v>Jane Smith is in HR Department</v>
      </c>
      <c r="XD5" t="str">
        <f>CONCATENATE(XD2, " ", XD3, " is in ", XD4, " Department")</f>
        <v>Chris Smith is in Sales Department</v>
      </c>
      <c r="XE5" t="str">
        <f>CONCATENATE(XE2, " ", XE3, " is in ", XE4, " Department")</f>
        <v>Katie Davis is in Finance Department</v>
      </c>
      <c r="XF5" t="str">
        <f>CONCATENATE(XF2, " ", XF3, " is in ", XF4, " Department")</f>
        <v>Michael Johnson is in Operations Department</v>
      </c>
      <c r="XG5" t="str">
        <f>CONCATENATE(XG2, " ", XG3, " is in ", XG4, " Department")</f>
        <v>Michael Smith is in Operations Department</v>
      </c>
      <c r="XH5" t="str">
        <f>CONCATENATE(XH2, " ", XH3, " is in ", XH4, " Department")</f>
        <v>John Smith is in Marketing Department</v>
      </c>
      <c r="XI5" t="str">
        <f>CONCATENATE(XI2, " ", XI3, " is in ", XI4, " Department")</f>
        <v>Emily Miller is in Finance Department</v>
      </c>
      <c r="XJ5" t="str">
        <f>CONCATENATE(XJ2, " ", XJ3, " is in ", XJ4, " Department")</f>
        <v>Chris Johnson is in Finance Department</v>
      </c>
      <c r="XK5" t="str">
        <f>CONCATENATE(XK2, " ", XK3, " is in ", XK4, " Department")</f>
        <v>John Davis is in HR Department</v>
      </c>
      <c r="XL5" t="str">
        <f>CONCATENATE(XL2, " ", XL3, " is in ", XL4, " Department")</f>
        <v>Jane Smith is in HR Department</v>
      </c>
      <c r="XM5" t="str">
        <f>CONCATENATE(XM2, " ", XM3, " is in ", XM4, " Department")</f>
        <v>Jane Davis is in Marketing Department</v>
      </c>
      <c r="XN5" t="str">
        <f>CONCATENATE(XN2, " ", XN3, " is in ", XN4, " Department")</f>
        <v>John Brown is in IT Department</v>
      </c>
      <c r="XO5" t="str">
        <f>CONCATENATE(XO2, " ", XO3, " is in ", XO4, " Department")</f>
        <v>Michael Davis is in Sales Department</v>
      </c>
      <c r="XP5" t="str">
        <f>CONCATENATE(XP2, " ", XP3, " is in ", XP4, " Department")</f>
        <v>Jane Williams is in IT Department</v>
      </c>
      <c r="XQ5" t="str">
        <f>CONCATENATE(XQ2, " ", XQ3, " is in ", XQ4, " Department")</f>
        <v>Sarah Williams is in IT Department</v>
      </c>
      <c r="XR5" t="str">
        <f>CONCATENATE(XR2, " ", XR3, " is in ", XR4, " Department")</f>
        <v>Katie Davis is in Finance Department</v>
      </c>
      <c r="XS5" t="str">
        <f>CONCATENATE(XS2, " ", XS3, " is in ", XS4, " Department")</f>
        <v>Katie Williams is in Sales Department</v>
      </c>
      <c r="XT5" t="str">
        <f>CONCATENATE(XT2, " ", XT3, " is in ", XT4, " Department")</f>
        <v>Sarah Brown is in Finance Department</v>
      </c>
      <c r="XU5" t="str">
        <f>CONCATENATE(XU2, " ", XU3, " is in ", XU4, " Department")</f>
        <v>John Johnson is in Sales Department</v>
      </c>
      <c r="XV5" t="str">
        <f>CONCATENATE(XV2, " ", XV3, " is in ", XV4, " Department")</f>
        <v>Sarah Williams is in Operations Department</v>
      </c>
      <c r="XW5" t="str">
        <f>CONCATENATE(XW2, " ", XW3, " is in ", XW4, " Department")</f>
        <v>Chris Williams is in Finance Department</v>
      </c>
      <c r="XX5" t="str">
        <f>CONCATENATE(XX2, " ", XX3, " is in ", XX4, " Department")</f>
        <v>Chris Davis is in Finance Department</v>
      </c>
      <c r="XY5" t="str">
        <f>CONCATENATE(XY2, " ", XY3, " is in ", XY4, " Department")</f>
        <v>John Brown is in Finance Department</v>
      </c>
      <c r="XZ5" t="str">
        <f>CONCATENATE(XZ2, " ", XZ3, " is in ", XZ4, " Department")</f>
        <v>Sarah Wilson is in Marketing Department</v>
      </c>
      <c r="YA5" t="str">
        <f>CONCATENATE(YA2, " ", YA3, " is in ", YA4, " Department")</f>
        <v>Chris Wilson is in Finance Department</v>
      </c>
      <c r="YB5" t="str">
        <f>CONCATENATE(YB2, " ", YB3, " is in ", YB4, " Department")</f>
        <v>Michael Wilson is in HR Department</v>
      </c>
      <c r="YC5" t="str">
        <f>CONCATENATE(YC2, " ", YC3, " is in ", YC4, " Department")</f>
        <v>Sarah Wilson is in HR Department</v>
      </c>
      <c r="YD5" t="str">
        <f>CONCATENATE(YD2, " ", YD3, " is in ", YD4, " Department")</f>
        <v>Michael Johnson is in Sales Department</v>
      </c>
      <c r="YE5" t="str">
        <f>CONCATENATE(YE2, " ", YE3, " is in ", YE4, " Department")</f>
        <v>Chris Davis is in Operations Department</v>
      </c>
      <c r="YF5" t="str">
        <f>CONCATENATE(YF2, " ", YF3, " is in ", YF4, " Department")</f>
        <v>Katie Davis is in Marketing Department</v>
      </c>
      <c r="YG5" t="str">
        <f>CONCATENATE(YG2, " ", YG3, " is in ", YG4, " Department")</f>
        <v>Chris Miller is in Sales Department</v>
      </c>
      <c r="YH5" t="str">
        <f>CONCATENATE(YH2, " ", YH3, " is in ", YH4, " Department")</f>
        <v>Michael Brown is in HR Department</v>
      </c>
      <c r="YI5" t="str">
        <f>CONCATENATE(YI2, " ", YI3, " is in ", YI4, " Department")</f>
        <v>Alex Wilson is in Marketing Department</v>
      </c>
      <c r="YJ5" t="str">
        <f>CONCATENATE(YJ2, " ", YJ3, " is in ", YJ4, " Department")</f>
        <v>Emily Johnson is in Marketing Department</v>
      </c>
      <c r="YK5" t="str">
        <f>CONCATENATE(YK2, " ", YK3, " is in ", YK4, " Department")</f>
        <v>Jane Brown is in Operations Department</v>
      </c>
      <c r="YL5" t="str">
        <f>CONCATENATE(YL2, " ", YL3, " is in ", YL4, " Department")</f>
        <v>Sarah Wilson is in Marketing Department</v>
      </c>
      <c r="YM5" t="str">
        <f>CONCATENATE(YM2, " ", YM3, " is in ", YM4, " Department")</f>
        <v>Alex Johnson is in Finance Department</v>
      </c>
      <c r="YN5" t="str">
        <f>CONCATENATE(YN2, " ", YN3, " is in ", YN4, " Department")</f>
        <v>Chris Brown is in Marketing Department</v>
      </c>
      <c r="YO5" t="str">
        <f>CONCATENATE(YO2, " ", YO3, " is in ", YO4, " Department")</f>
        <v>Katie Davis is in Operations Department</v>
      </c>
      <c r="YP5" t="str">
        <f>CONCATENATE(YP2, " ", YP3, " is in ", YP4, " Department")</f>
        <v>John Davis is in Sales Department</v>
      </c>
      <c r="YQ5" t="str">
        <f>CONCATENATE(YQ2, " ", YQ3, " is in ", YQ4, " Department")</f>
        <v>Chris Smith is in Operations Department</v>
      </c>
      <c r="YR5" t="str">
        <f>CONCATENATE(YR2, " ", YR3, " is in ", YR4, " Department")</f>
        <v>Katie Williams is in Operations Department</v>
      </c>
      <c r="YS5" t="str">
        <f>CONCATENATE(YS2, " ", YS3, " is in ", YS4, " Department")</f>
        <v>Emily Wilson is in HR Department</v>
      </c>
      <c r="YT5" t="str">
        <f>CONCATENATE(YT2, " ", YT3, " is in ", YT4, " Department")</f>
        <v>Chris Miller is in Finance Department</v>
      </c>
      <c r="YU5" t="str">
        <f>CONCATENATE(YU2, " ", YU3, " is in ", YU4, " Department")</f>
        <v>Michael Brown is in HR Department</v>
      </c>
      <c r="YV5" t="str">
        <f>CONCATENATE(YV2, " ", YV3, " is in ", YV4, " Department")</f>
        <v>John Miller is in Sales Department</v>
      </c>
      <c r="YW5" t="str">
        <f>CONCATENATE(YW2, " ", YW3, " is in ", YW4, " Department")</f>
        <v>Katie Smith is in IT Department</v>
      </c>
      <c r="YX5" t="str">
        <f>CONCATENATE(YX2, " ", YX3, " is in ", YX4, " Department")</f>
        <v>Katie Williams is in Sales Department</v>
      </c>
      <c r="YY5" t="str">
        <f>CONCATENATE(YY2, " ", YY3, " is in ", YY4, " Department")</f>
        <v>Katie Brown is in Finance Department</v>
      </c>
      <c r="YZ5" t="str">
        <f>CONCATENATE(YZ2, " ", YZ3, " is in ", YZ4, " Department")</f>
        <v>Emily Johnson is in Marketing Department</v>
      </c>
      <c r="ZA5" t="str">
        <f>CONCATENATE(ZA2, " ", ZA3, " is in ", ZA4, " Department")</f>
        <v>Chris Wilson is in Operations Department</v>
      </c>
      <c r="ZB5" t="str">
        <f>CONCATENATE(ZB2, " ", ZB3, " is in ", ZB4, " Department")</f>
        <v>Emily Williams is in IT Department</v>
      </c>
      <c r="ZC5" t="str">
        <f>CONCATENATE(ZC2, " ", ZC3, " is in ", ZC4, " Department")</f>
        <v>Sarah Davis is in Finance Department</v>
      </c>
      <c r="ZD5" t="str">
        <f>CONCATENATE(ZD2, " ", ZD3, " is in ", ZD4, " Department")</f>
        <v>Jane Smith is in HR Department</v>
      </c>
      <c r="ZE5" t="str">
        <f>CONCATENATE(ZE2, " ", ZE3, " is in ", ZE4, " Department")</f>
        <v>Jane Williams is in Operations Department</v>
      </c>
      <c r="ZF5" t="str">
        <f>CONCATENATE(ZF2, " ", ZF3, " is in ", ZF4, " Department")</f>
        <v>Sarah Wilson is in Sales Department</v>
      </c>
      <c r="ZG5" t="str">
        <f>CONCATENATE(ZG2, " ", ZG3, " is in ", ZG4, " Department")</f>
        <v>Chris Williams is in HR Department</v>
      </c>
      <c r="ZH5" t="str">
        <f>CONCATENATE(ZH2, " ", ZH3, " is in ", ZH4, " Department")</f>
        <v>Michael Wilson is in Finance Department</v>
      </c>
      <c r="ZI5" t="str">
        <f>CONCATENATE(ZI2, " ", ZI3, " is in ", ZI4, " Department")</f>
        <v>Emily Davis is in Finance Department</v>
      </c>
      <c r="ZJ5" t="str">
        <f>CONCATENATE(ZJ2, " ", ZJ3, " is in ", ZJ4, " Department")</f>
        <v>John Brown is in Sales Department</v>
      </c>
      <c r="ZK5" t="str">
        <f>CONCATENATE(ZK2, " ", ZK3, " is in ", ZK4, " Department")</f>
        <v>Katie Johnson is in IT Department</v>
      </c>
      <c r="ZL5" t="str">
        <f>CONCATENATE(ZL2, " ", ZL3, " is in ", ZL4, " Department")</f>
        <v>Katie Davis is in Sales Department</v>
      </c>
      <c r="ZM5" t="str">
        <f>CONCATENATE(ZM2, " ", ZM3, " is in ", ZM4, " Department")</f>
        <v>Chris Johnson is in Marketing Department</v>
      </c>
      <c r="ZN5" t="str">
        <f>CONCATENATE(ZN2, " ", ZN3, " is in ", ZN4, " Department")</f>
        <v>Michael Brown is in HR Department</v>
      </c>
      <c r="ZO5" t="str">
        <f>CONCATENATE(ZO2, " ", ZO3, " is in ", ZO4, " Department")</f>
        <v>Jane Williams is in IT Department</v>
      </c>
      <c r="ZP5" t="str">
        <f>CONCATENATE(ZP2, " ", ZP3, " is in ", ZP4, " Department")</f>
        <v>Jane Johnson is in Operations Department</v>
      </c>
      <c r="ZQ5" t="str">
        <f>CONCATENATE(ZQ2, " ", ZQ3, " is in ", ZQ4, " Department")</f>
        <v>Katie Smith is in Marketing Department</v>
      </c>
      <c r="ZR5" t="str">
        <f>CONCATENATE(ZR2, " ", ZR3, " is in ", ZR4, " Department")</f>
        <v>Chris Smith is in IT Department</v>
      </c>
      <c r="ZS5" t="str">
        <f>CONCATENATE(ZS2, " ", ZS3, " is in ", ZS4, " Department")</f>
        <v>Emily Wilson is in HR Department</v>
      </c>
      <c r="ZT5" t="str">
        <f>CONCATENATE(ZT2, " ", ZT3, " is in ", ZT4, " Department")</f>
        <v>Jane Davis is in Finance Department</v>
      </c>
      <c r="ZU5" t="str">
        <f>CONCATENATE(ZU2, " ", ZU3, " is in ", ZU4, " Department")</f>
        <v>Emily Brown is in Operations Department</v>
      </c>
      <c r="ZV5" t="str">
        <f>CONCATENATE(ZV2, " ", ZV3, " is in ", ZV4, " Department")</f>
        <v>Michael Wilson is in Sales Department</v>
      </c>
      <c r="ZW5" t="str">
        <f>CONCATENATE(ZW2, " ", ZW3, " is in ", ZW4, " Department")</f>
        <v>Jane Davis is in HR Department</v>
      </c>
      <c r="ZX5" t="str">
        <f>CONCATENATE(ZX2, " ", ZX3, " is in ", ZX4, " Department")</f>
        <v>Jane Davis is in Marketing Department</v>
      </c>
      <c r="ZY5" t="str">
        <f>CONCATENATE(ZY2, " ", ZY3, " is in ", ZY4, " Department")</f>
        <v>Alex Wilson is in Marketing Department</v>
      </c>
      <c r="ZZ5" t="str">
        <f>CONCATENATE(ZZ2, " ", ZZ3, " is in ", ZZ4, " Department")</f>
        <v>Jane Miller is in Finance Department</v>
      </c>
      <c r="AAA5" t="str">
        <f>CONCATENATE(AAA2, " ", AAA3, " is in ", AAA4, " Department")</f>
        <v>Sarah Davis is in Finance Department</v>
      </c>
      <c r="AAB5" t="str">
        <f>CONCATENATE(AAB2, " ", AAB3, " is in ", AAB4, " Department")</f>
        <v>John Miller is in Operations Department</v>
      </c>
      <c r="AAC5" t="str">
        <f>CONCATENATE(AAC2, " ", AAC3, " is in ", AAC4, " Department")</f>
        <v>Sarah Smith is in Sales Department</v>
      </c>
      <c r="AAD5" t="str">
        <f>CONCATENATE(AAD2, " ", AAD3, " is in ", AAD4, " Department")</f>
        <v>Chris Smith is in Operations Department</v>
      </c>
      <c r="AAE5" t="str">
        <f>CONCATENATE(AAE2, " ", AAE3, " is in ", AAE4, " Department")</f>
        <v>Chris Davis is in Finance Department</v>
      </c>
      <c r="AAF5" t="str">
        <f>CONCATENATE(AAF2, " ", AAF3, " is in ", AAF4, " Department")</f>
        <v>Emily Smith is in Finance Department</v>
      </c>
      <c r="AAG5" t="str">
        <f>CONCATENATE(AAG2, " ", AAG3, " is in ", AAG4, " Department")</f>
        <v>Sarah Brown is in Marketing Department</v>
      </c>
      <c r="AAH5" t="str">
        <f>CONCATENATE(AAH2, " ", AAH3, " is in ", AAH4, " Department")</f>
        <v>Sarah Miller is in Finance Department</v>
      </c>
      <c r="AAI5" t="str">
        <f>CONCATENATE(AAI2, " ", AAI3, " is in ", AAI4, " Department")</f>
        <v>Sarah Miller is in IT Department</v>
      </c>
      <c r="AAJ5" t="str">
        <f>CONCATENATE(AAJ2, " ", AAJ3, " is in ", AAJ4, " Department")</f>
        <v>Michael Davis is in HR Department</v>
      </c>
      <c r="AAK5" t="str">
        <f>CONCATENATE(AAK2, " ", AAK3, " is in ", AAK4, " Department")</f>
        <v>Jane Smith is in Finance Department</v>
      </c>
      <c r="AAL5" t="str">
        <f>CONCATENATE(AAL2, " ", AAL3, " is in ", AAL4, " Department")</f>
        <v>John Johnson is in Operations Department</v>
      </c>
      <c r="AAM5" t="str">
        <f>CONCATENATE(AAM2, " ", AAM3, " is in ", AAM4, " Department")</f>
        <v>Emily Wilson is in Sales Department</v>
      </c>
      <c r="AAN5" t="str">
        <f>CONCATENATE(AAN2, " ", AAN3, " is in ", AAN4, " Department")</f>
        <v>Sarah Wilson is in Sales Department</v>
      </c>
      <c r="AAO5" t="str">
        <f>CONCATENATE(AAO2, " ", AAO3, " is in ", AAO4, " Department")</f>
        <v>Sarah Miller is in Sales Department</v>
      </c>
      <c r="AAP5" t="str">
        <f>CONCATENATE(AAP2, " ", AAP3, " is in ", AAP4, " Department")</f>
        <v>Alex Davis is in IT Department</v>
      </c>
      <c r="AAQ5" t="str">
        <f>CONCATENATE(AAQ2, " ", AAQ3, " is in ", AAQ4, " Department")</f>
        <v>Emily Davis is in Operations Department</v>
      </c>
      <c r="AAR5" t="str">
        <f>CONCATENATE(AAR2, " ", AAR3, " is in ", AAR4, " Department")</f>
        <v>Sarah Brown is in IT Department</v>
      </c>
      <c r="AAS5" t="str">
        <f>CONCATENATE(AAS2, " ", AAS3, " is in ", AAS4, " Department")</f>
        <v>Emily Williams is in Finance Department</v>
      </c>
      <c r="AAT5" t="str">
        <f>CONCATENATE(AAT2, " ", AAT3, " is in ", AAT4, " Department")</f>
        <v>Jane Williams is in HR Department</v>
      </c>
      <c r="AAU5" t="str">
        <f>CONCATENATE(AAU2, " ", AAU3, " is in ", AAU4, " Department")</f>
        <v>Alex Miller is in Sales Department</v>
      </c>
      <c r="AAV5" t="str">
        <f>CONCATENATE(AAV2, " ", AAV3, " is in ", AAV4, " Department")</f>
        <v>Emily Wilson is in Operations Department</v>
      </c>
      <c r="AAW5" t="str">
        <f>CONCATENATE(AAW2, " ", AAW3, " is in ", AAW4, " Department")</f>
        <v>John Brown is in Sales Department</v>
      </c>
      <c r="AAX5" t="str">
        <f>CONCATENATE(AAX2, " ", AAX3, " is in ", AAX4, " Department")</f>
        <v>John Brown is in IT Department</v>
      </c>
      <c r="AAY5" t="str">
        <f>CONCATENATE(AAY2, " ", AAY3, " is in ", AAY4, " Department")</f>
        <v>Chris Brown is in Marketing Department</v>
      </c>
      <c r="AAZ5" t="str">
        <f>CONCATENATE(AAZ2, " ", AAZ3, " is in ", AAZ4, " Department")</f>
        <v>Alex Miller is in Finance Department</v>
      </c>
      <c r="ABA5" t="str">
        <f>CONCATENATE(ABA2, " ", ABA3, " is in ", ABA4, " Department")</f>
        <v>Alex Williams is in HR Department</v>
      </c>
      <c r="ABB5" t="str">
        <f>CONCATENATE(ABB2, " ", ABB3, " is in ", ABB4, " Department")</f>
        <v>Chris Wilson is in Finance Department</v>
      </c>
      <c r="ABC5" t="str">
        <f>CONCATENATE(ABC2, " ", ABC3, " is in ", ABC4, " Department")</f>
        <v>Emily Brown is in Marketing Department</v>
      </c>
      <c r="ABD5" t="str">
        <f>CONCATENATE(ABD2, " ", ABD3, " is in ", ABD4, " Department")</f>
        <v>Alex Wilson is in HR Department</v>
      </c>
      <c r="ABE5" t="str">
        <f>CONCATENATE(ABE2, " ", ABE3, " is in ", ABE4, " Department")</f>
        <v>John Smith is in Marketing Department</v>
      </c>
      <c r="ABF5" t="str">
        <f>CONCATENATE(ABF2, " ", ABF3, " is in ", ABF4, " Department")</f>
        <v>John Davis is in Finance Department</v>
      </c>
      <c r="ABG5" t="str">
        <f>CONCATENATE(ABG2, " ", ABG3, " is in ", ABG4, " Department")</f>
        <v>Sarah Davis is in IT Department</v>
      </c>
      <c r="ABH5" t="str">
        <f>CONCATENATE(ABH2, " ", ABH3, " is in ", ABH4, " Department")</f>
        <v>Jane Wilson is in Finance Department</v>
      </c>
      <c r="ABI5" t="str">
        <f>CONCATENATE(ABI2, " ", ABI3, " is in ", ABI4, " Department")</f>
        <v>Alex Johnson is in Finance Department</v>
      </c>
      <c r="ABJ5" t="str">
        <f>CONCATENATE(ABJ2, " ", ABJ3, " is in ", ABJ4, " Department")</f>
        <v>Emily Johnson is in Finance Department</v>
      </c>
      <c r="ABK5" t="str">
        <f>CONCATENATE(ABK2, " ", ABK3, " is in ", ABK4, " Department")</f>
        <v>Chris Miller is in Operations Department</v>
      </c>
      <c r="ABL5" t="str">
        <f>CONCATENATE(ABL2, " ", ABL3, " is in ", ABL4, " Department")</f>
        <v>Chris Miller is in Marketing Department</v>
      </c>
      <c r="ABM5" t="str">
        <f>CONCATENATE(ABM2, " ", ABM3, " is in ", ABM4, " Department")</f>
        <v>Emily Davis is in Marketing Department</v>
      </c>
      <c r="ABN5" t="str">
        <f>CONCATENATE(ABN2, " ", ABN3, " is in ", ABN4, " Department")</f>
        <v>Michael Smith is in Sales Department</v>
      </c>
      <c r="ABO5" t="str">
        <f>CONCATENATE(ABO2, " ", ABO3, " is in ", ABO4, " Department")</f>
        <v>Katie Williams is in Marketing Department</v>
      </c>
      <c r="ABP5" t="str">
        <f>CONCATENATE(ABP2, " ", ABP3, " is in ", ABP4, " Department")</f>
        <v>Jane Williams is in Sales Department</v>
      </c>
      <c r="ABQ5" t="str">
        <f>CONCATENATE(ABQ2, " ", ABQ3, " is in ", ABQ4, " Department")</f>
        <v>Chris Miller is in Operations Department</v>
      </c>
      <c r="ABR5" t="str">
        <f>CONCATENATE(ABR2, " ", ABR3, " is in ", ABR4, " Department")</f>
        <v>Alex Smith is in IT Department</v>
      </c>
      <c r="ABS5" t="str">
        <f>CONCATENATE(ABS2, " ", ABS3, " is in ", ABS4, " Department")</f>
        <v>Jane Miller is in Sales Department</v>
      </c>
      <c r="ABT5" t="str">
        <f>CONCATENATE(ABT2, " ", ABT3, " is in ", ABT4, " Department")</f>
        <v>Alex Williams is in Finance Department</v>
      </c>
      <c r="ABU5" t="str">
        <f>CONCATENATE(ABU2, " ", ABU3, " is in ", ABU4, " Department")</f>
        <v>Michael Wilson is in IT Department</v>
      </c>
      <c r="ABV5" t="str">
        <f>CONCATENATE(ABV2, " ", ABV3, " is in ", ABV4, " Department")</f>
        <v>John Miller is in Operations Department</v>
      </c>
      <c r="ABW5" t="str">
        <f>CONCATENATE(ABW2, " ", ABW3, " is in ", ABW4, " Department")</f>
        <v>Jane Brown is in Marketing Department</v>
      </c>
      <c r="ABX5" t="str">
        <f>CONCATENATE(ABX2, " ", ABX3, " is in ", ABX4, " Department")</f>
        <v>Sarah Wilson is in Sales Department</v>
      </c>
      <c r="ABY5" t="str">
        <f>CONCATENATE(ABY2, " ", ABY3, " is in ", ABY4, " Department")</f>
        <v>Chris Miller is in Finance Department</v>
      </c>
      <c r="ABZ5" t="str">
        <f>CONCATENATE(ABZ2, " ", ABZ3, " is in ", ABZ4, " Department")</f>
        <v>Jane Davis is in HR Department</v>
      </c>
      <c r="ACA5" t="str">
        <f>CONCATENATE(ACA2, " ", ACA3, " is in ", ACA4, " Department")</f>
        <v>Jane Miller is in HR Department</v>
      </c>
      <c r="ACB5" t="str">
        <f>CONCATENATE(ACB2, " ", ACB3, " is in ", ACB4, " Department")</f>
        <v>Jane Davis is in IT Department</v>
      </c>
      <c r="ACC5" t="str">
        <f>CONCATENATE(ACC2, " ", ACC3, " is in ", ACC4, " Department")</f>
        <v>Katie Smith is in Marketing Department</v>
      </c>
      <c r="ACD5" t="str">
        <f>CONCATENATE(ACD2, " ", ACD3, " is in ", ACD4, " Department")</f>
        <v>Jane Williams is in HR Department</v>
      </c>
      <c r="ACE5" t="str">
        <f>CONCATENATE(ACE2, " ", ACE3, " is in ", ACE4, " Department")</f>
        <v>Alex Wilson is in IT Department</v>
      </c>
      <c r="ACF5" t="str">
        <f>CONCATENATE(ACF2, " ", ACF3, " is in ", ACF4, " Department")</f>
        <v>John Wilson is in Operations Department</v>
      </c>
      <c r="ACG5" t="str">
        <f>CONCATENATE(ACG2, " ", ACG3, " is in ", ACG4, " Department")</f>
        <v>Michael Johnson is in IT Department</v>
      </c>
      <c r="ACH5" t="str">
        <f>CONCATENATE(ACH2, " ", ACH3, " is in ", ACH4, " Department")</f>
        <v>Emily Johnson is in IT Department</v>
      </c>
      <c r="ACI5" t="str">
        <f>CONCATENATE(ACI2, " ", ACI3, " is in ", ACI4, " Department")</f>
        <v>Jane Williams is in IT Department</v>
      </c>
      <c r="ACJ5" t="str">
        <f>CONCATENATE(ACJ2, " ", ACJ3, " is in ", ACJ4, " Department")</f>
        <v>Chris Johnson is in Finance Department</v>
      </c>
      <c r="ACK5" t="str">
        <f>CONCATENATE(ACK2, " ", ACK3, " is in ", ACK4, " Department")</f>
        <v>Jane Wilson is in IT Department</v>
      </c>
      <c r="ACL5" t="str">
        <f>CONCATENATE(ACL2, " ", ACL3, " is in ", ACL4, " Department")</f>
        <v>Chris Miller is in Sales Department</v>
      </c>
      <c r="ACM5" t="str">
        <f>CONCATENATE(ACM2, " ", ACM3, " is in ", ACM4, " Department")</f>
        <v>Alex Smith is in IT Department</v>
      </c>
      <c r="ACN5" t="str">
        <f>CONCATENATE(ACN2, " ", ACN3, " is in ", ACN4, " Department")</f>
        <v>Chris Smith is in Finance Department</v>
      </c>
      <c r="ACO5" t="str">
        <f>CONCATENATE(ACO2, " ", ACO3, " is in ", ACO4, " Department")</f>
        <v>Sarah Williams is in Finance Department</v>
      </c>
      <c r="ACP5" t="str">
        <f>CONCATENATE(ACP2, " ", ACP3, " is in ", ACP4, " Department")</f>
        <v>Emily Johnson is in Operations Department</v>
      </c>
      <c r="ACQ5" t="str">
        <f>CONCATENATE(ACQ2, " ", ACQ3, " is in ", ACQ4, " Department")</f>
        <v>John Miller is in Marketing Department</v>
      </c>
      <c r="ACR5" t="str">
        <f>CONCATENATE(ACR2, " ", ACR3, " is in ", ACR4, " Department")</f>
        <v>Chris Smith is in HR Department</v>
      </c>
      <c r="ACS5" t="str">
        <f>CONCATENATE(ACS2, " ", ACS3, " is in ", ACS4, " Department")</f>
        <v>Chris Smith is in HR Department</v>
      </c>
      <c r="ACT5" t="str">
        <f>CONCATENATE(ACT2, " ", ACT3, " is in ", ACT4, " Department")</f>
        <v>John Brown is in IT Department</v>
      </c>
      <c r="ACU5" t="str">
        <f>CONCATENATE(ACU2, " ", ACU3, " is in ", ACU4, " Department")</f>
        <v>Emily Brown is in Operations Department</v>
      </c>
      <c r="ACV5" t="str">
        <f>CONCATENATE(ACV2, " ", ACV3, " is in ", ACV4, " Department")</f>
        <v>Jane Wilson is in IT Department</v>
      </c>
      <c r="ACW5" t="str">
        <f>CONCATENATE(ACW2, " ", ACW3, " is in ", ACW4, " Department")</f>
        <v>Chris Smith is in HR Department</v>
      </c>
      <c r="ACX5" t="str">
        <f>CONCATENATE(ACX2, " ", ACX3, " is in ", ACX4, " Department")</f>
        <v>John Williams is in Finance Department</v>
      </c>
      <c r="ACY5" t="str">
        <f>CONCATENATE(ACY2, " ", ACY3, " is in ", ACY4, " Department")</f>
        <v>Sarah Davis is in Marketing Department</v>
      </c>
      <c r="ACZ5" t="str">
        <f>CONCATENATE(ACZ2, " ", ACZ3, " is in ", ACZ4, " Department")</f>
        <v>Sarah Davis is in Operations Department</v>
      </c>
      <c r="ADA5" t="str">
        <f>CONCATENATE(ADA2, " ", ADA3, " is in ", ADA4, " Department")</f>
        <v>Alex Miller is in Finance Department</v>
      </c>
      <c r="ADB5" t="str">
        <f>CONCATENATE(ADB2, " ", ADB3, " is in ", ADB4, " Department")</f>
        <v>John Smith is in Marketing Department</v>
      </c>
      <c r="ADC5" t="str">
        <f>CONCATENATE(ADC2, " ", ADC3, " is in ", ADC4, " Department")</f>
        <v>Alex Smith is in Operations Department</v>
      </c>
      <c r="ADD5" t="str">
        <f>CONCATENATE(ADD2, " ", ADD3, " is in ", ADD4, " Department")</f>
        <v>Sarah Wilson is in Operations Department</v>
      </c>
      <c r="ADE5" t="str">
        <f>CONCATENATE(ADE2, " ", ADE3, " is in ", ADE4, " Department")</f>
        <v>Emily Smith is in HR Department</v>
      </c>
      <c r="ADF5" t="str">
        <f>CONCATENATE(ADF2, " ", ADF3, " is in ", ADF4, " Department")</f>
        <v>Jane Williams is in Finance Department</v>
      </c>
      <c r="ADG5" t="str">
        <f>CONCATENATE(ADG2, " ", ADG3, " is in ", ADG4, " Department")</f>
        <v>John Brown is in Operations Department</v>
      </c>
      <c r="ADH5" t="str">
        <f>CONCATENATE(ADH2, " ", ADH3, " is in ", ADH4, " Department")</f>
        <v>Michael Smith is in Sales Department</v>
      </c>
      <c r="ADI5" t="str">
        <f>CONCATENATE(ADI2, " ", ADI3, " is in ", ADI4, " Department")</f>
        <v>Sarah Smith is in Operations Department</v>
      </c>
      <c r="ADJ5" t="str">
        <f>CONCATENATE(ADJ2, " ", ADJ3, " is in ", ADJ4, " Department")</f>
        <v>Sarah Wilson is in Marketing Department</v>
      </c>
      <c r="ADK5" t="str">
        <f>CONCATENATE(ADK2, " ", ADK3, " is in ", ADK4, " Department")</f>
        <v>Michael Johnson is in HR Department</v>
      </c>
      <c r="ADL5" t="str">
        <f>CONCATENATE(ADL2, " ", ADL3, " is in ", ADL4, " Department")</f>
        <v>Katie Wilson is in IT Department</v>
      </c>
      <c r="ADM5" t="str">
        <f>CONCATENATE(ADM2, " ", ADM3, " is in ", ADM4, " Department")</f>
        <v>Sarah Wilson is in HR Department</v>
      </c>
      <c r="ADN5" t="str">
        <f>CONCATENATE(ADN2, " ", ADN3, " is in ", ADN4, " Department")</f>
        <v>Chris Williams is in IT Department</v>
      </c>
      <c r="ADO5" t="str">
        <f>CONCATENATE(ADO2, " ", ADO3, " is in ", ADO4, " Department")</f>
        <v>Emily Miller is in Finance Department</v>
      </c>
      <c r="ADP5" t="str">
        <f>CONCATENATE(ADP2, " ", ADP3, " is in ", ADP4, " Department")</f>
        <v>John Smith is in Finance Department</v>
      </c>
      <c r="ADQ5" t="str">
        <f>CONCATENATE(ADQ2, " ", ADQ3, " is in ", ADQ4, " Department")</f>
        <v>Michael Wilson is in Operations Department</v>
      </c>
      <c r="ADR5" t="str">
        <f>CONCATENATE(ADR2, " ", ADR3, " is in ", ADR4, " Department")</f>
        <v>Chris Wilson is in Sales Department</v>
      </c>
      <c r="ADS5" t="str">
        <f>CONCATENATE(ADS2, " ", ADS3, " is in ", ADS4, " Department")</f>
        <v>Michael Johnson is in Finance Department</v>
      </c>
      <c r="ADT5" t="str">
        <f>CONCATENATE(ADT2, " ", ADT3, " is in ", ADT4, " Department")</f>
        <v>John Wilson is in Operations Department</v>
      </c>
      <c r="ADU5" t="str">
        <f>CONCATENATE(ADU2, " ", ADU3, " is in ", ADU4, " Department")</f>
        <v>Alex Davis is in HR Department</v>
      </c>
      <c r="ADV5" t="str">
        <f>CONCATENATE(ADV2, " ", ADV3, " is in ", ADV4, " Department")</f>
        <v>John Miller is in Finance Department</v>
      </c>
      <c r="ADW5" t="str">
        <f>CONCATENATE(ADW2, " ", ADW3, " is in ", ADW4, " Department")</f>
        <v>Katie Smith is in HR Department</v>
      </c>
      <c r="ADX5" t="str">
        <f>CONCATENATE(ADX2, " ", ADX3, " is in ", ADX4, " Department")</f>
        <v>John Smith is in HR Department</v>
      </c>
      <c r="ADY5" t="str">
        <f>CONCATENATE(ADY2, " ", ADY3, " is in ", ADY4, " Department")</f>
        <v>John Johnson is in Sales Department</v>
      </c>
      <c r="ADZ5" t="str">
        <f>CONCATENATE(ADZ2, " ", ADZ3, " is in ", ADZ4, " Department")</f>
        <v>Katie Williams is in Finance Department</v>
      </c>
      <c r="AEA5" t="str">
        <f>CONCATENATE(AEA2, " ", AEA3, " is in ", AEA4, " Department")</f>
        <v>Emily Smith is in HR Department</v>
      </c>
      <c r="AEB5" t="str">
        <f>CONCATENATE(AEB2, " ", AEB3, " is in ", AEB4, " Department")</f>
        <v>Sarah Davis is in Sales Department</v>
      </c>
      <c r="AEC5" t="str">
        <f>CONCATENATE(AEC2, " ", AEC3, " is in ", AEC4, " Department")</f>
        <v>John Smith is in Sales Department</v>
      </c>
      <c r="AED5" t="str">
        <f>CONCATENATE(AED2, " ", AED3, " is in ", AED4, " Department")</f>
        <v>Katie Davis is in Finance Department</v>
      </c>
      <c r="AEE5" t="str">
        <f>CONCATENATE(AEE2, " ", AEE3, " is in ", AEE4, " Department")</f>
        <v>Chris Miller is in Sales Department</v>
      </c>
      <c r="AEF5" t="str">
        <f>CONCATENATE(AEF2, " ", AEF3, " is in ", AEF4, " Department")</f>
        <v>Alex Miller is in Finance Department</v>
      </c>
      <c r="AEG5" t="str">
        <f>CONCATENATE(AEG2, " ", AEG3, " is in ", AEG4, " Department")</f>
        <v>Alex Brown is in Finance Department</v>
      </c>
      <c r="AEH5" t="str">
        <f>CONCATENATE(AEH2, " ", AEH3, " is in ", AEH4, " Department")</f>
        <v>John Brown is in IT Department</v>
      </c>
      <c r="AEI5" t="str">
        <f>CONCATENATE(AEI2, " ", AEI3, " is in ", AEI4, " Department")</f>
        <v>Emily Davis is in HR Department</v>
      </c>
      <c r="AEJ5" t="str">
        <f>CONCATENATE(AEJ2, " ", AEJ3, " is in ", AEJ4, " Department")</f>
        <v>Emily Williams is in Marketing Department</v>
      </c>
      <c r="AEK5" t="str">
        <f>CONCATENATE(AEK2, " ", AEK3, " is in ", AEK4, " Department")</f>
        <v>Chris Smith is in Finance Department</v>
      </c>
      <c r="AEL5" t="str">
        <f>CONCATENATE(AEL2, " ", AEL3, " is in ", AEL4, " Department")</f>
        <v>John Wilson is in HR Department</v>
      </c>
      <c r="AEM5" t="str">
        <f>CONCATENATE(AEM2, " ", AEM3, " is in ", AEM4, " Department")</f>
        <v>Alex Smith is in Sales Department</v>
      </c>
      <c r="AEN5" t="str">
        <f>CONCATENATE(AEN2, " ", AEN3, " is in ", AEN4, " Department")</f>
        <v>Emily Brown is in Operations Department</v>
      </c>
      <c r="AEO5" t="str">
        <f>CONCATENATE(AEO2, " ", AEO3, " is in ", AEO4, " Department")</f>
        <v>John Wilson is in Finance Department</v>
      </c>
      <c r="AEP5" t="str">
        <f>CONCATENATE(AEP2, " ", AEP3, " is in ", AEP4, " Department")</f>
        <v>Michael Davis is in Sales Department</v>
      </c>
      <c r="AEQ5" t="str">
        <f>CONCATENATE(AEQ2, " ", AEQ3, " is in ", AEQ4, " Department")</f>
        <v>Emily Wilson is in Sales Department</v>
      </c>
      <c r="AER5" t="str">
        <f>CONCATENATE(AER2, " ", AER3, " is in ", AER4, " Department")</f>
        <v>Katie Smith is in Sales Department</v>
      </c>
      <c r="AES5" t="str">
        <f>CONCATENATE(AES2, " ", AES3, " is in ", AES4, " Department")</f>
        <v>Michael Smith is in Sales Department</v>
      </c>
      <c r="AET5" t="str">
        <f>CONCATENATE(AET2, " ", AET3, " is in ", AET4, " Department")</f>
        <v>Sarah Williams is in Sales Department</v>
      </c>
      <c r="AEU5" t="str">
        <f>CONCATENATE(AEU2, " ", AEU3, " is in ", AEU4, " Department")</f>
        <v>Emily Johnson is in Finance Department</v>
      </c>
      <c r="AEV5" t="str">
        <f>CONCATENATE(AEV2, " ", AEV3, " is in ", AEV4, " Department")</f>
        <v>Alex Wilson is in Marketing Department</v>
      </c>
      <c r="AEW5" t="str">
        <f>CONCATENATE(AEW2, " ", AEW3, " is in ", AEW4, " Department")</f>
        <v>Jane Brown is in IT Department</v>
      </c>
      <c r="AEX5" t="str">
        <f>CONCATENATE(AEX2, " ", AEX3, " is in ", AEX4, " Department")</f>
        <v>Michael Brown is in Sales Department</v>
      </c>
      <c r="AEY5" t="str">
        <f>CONCATENATE(AEY2, " ", AEY3, " is in ", AEY4, " Department")</f>
        <v>Sarah Johnson is in Sales Department</v>
      </c>
      <c r="AEZ5" t="str">
        <f>CONCATENATE(AEZ2, " ", AEZ3, " is in ", AEZ4, " Department")</f>
        <v>Chris Smith is in IT Department</v>
      </c>
      <c r="AFA5" t="str">
        <f>CONCATENATE(AFA2, " ", AFA3, " is in ", AFA4, " Department")</f>
        <v>Chris Williams is in Finance Department</v>
      </c>
      <c r="AFB5" t="str">
        <f>CONCATENATE(AFB2, " ", AFB3, " is in ", AFB4, " Department")</f>
        <v>Alex Williams is in HR Department</v>
      </c>
      <c r="AFC5" t="str">
        <f>CONCATENATE(AFC2, " ", AFC3, " is in ", AFC4, " Department")</f>
        <v>Emily Brown is in Operations Department</v>
      </c>
      <c r="AFD5" t="str">
        <f>CONCATENATE(AFD2, " ", AFD3, " is in ", AFD4, " Department")</f>
        <v>John Williams is in Operations Department</v>
      </c>
      <c r="AFE5" t="str">
        <f>CONCATENATE(AFE2, " ", AFE3, " is in ", AFE4, " Department")</f>
        <v>Emily Miller is in HR Department</v>
      </c>
      <c r="AFF5" t="str">
        <f>CONCATENATE(AFF2, " ", AFF3, " is in ", AFF4, " Department")</f>
        <v>Alex Johnson is in Finance Department</v>
      </c>
      <c r="AFG5" t="str">
        <f>CONCATENATE(AFG2, " ", AFG3, " is in ", AFG4, " Department")</f>
        <v>Chris Smith is in Operations Department</v>
      </c>
      <c r="AFH5" t="str">
        <f>CONCATENATE(AFH2, " ", AFH3, " is in ", AFH4, " Department")</f>
        <v>Emily Miller is in IT Department</v>
      </c>
      <c r="AFI5" t="str">
        <f>CONCATENATE(AFI2, " ", AFI3, " is in ", AFI4, " Department")</f>
        <v>Chris Johnson is in HR Department</v>
      </c>
      <c r="AFJ5" t="str">
        <f>CONCATENATE(AFJ2, " ", AFJ3, " is in ", AFJ4, " Department")</f>
        <v>Michael Davis is in Marketing Department</v>
      </c>
      <c r="AFK5" t="str">
        <f>CONCATENATE(AFK2, " ", AFK3, " is in ", AFK4, " Department")</f>
        <v>Sarah Wilson is in Finance Department</v>
      </c>
      <c r="AFL5" t="str">
        <f>CONCATENATE(AFL2, " ", AFL3, " is in ", AFL4, " Department")</f>
        <v>John Brown is in HR Department</v>
      </c>
      <c r="AFM5" t="str">
        <f>CONCATENATE(AFM2, " ", AFM3, " is in ", AFM4, " Department")</f>
        <v>Michael Williams is in Operations Department</v>
      </c>
      <c r="AFN5" t="str">
        <f>CONCATENATE(AFN2, " ", AFN3, " is in ", AFN4, " Department")</f>
        <v>Chris Davis is in Finance Department</v>
      </c>
      <c r="AFO5" t="str">
        <f>CONCATENATE(AFO2, " ", AFO3, " is in ", AFO4, " Department")</f>
        <v>Chris Williams is in IT Department</v>
      </c>
      <c r="AFP5" t="str">
        <f>CONCATENATE(AFP2, " ", AFP3, " is in ", AFP4, " Department")</f>
        <v>Jane Miller is in Finance Department</v>
      </c>
      <c r="AFQ5" t="str">
        <f>CONCATENATE(AFQ2, " ", AFQ3, " is in ", AFQ4, " Department")</f>
        <v>Jane Smith is in Finance Department</v>
      </c>
      <c r="AFR5" t="str">
        <f>CONCATENATE(AFR2, " ", AFR3, " is in ", AFR4, " Department")</f>
        <v>Michael Smith is in IT Department</v>
      </c>
      <c r="AFS5" t="str">
        <f>CONCATENATE(AFS2, " ", AFS3, " is in ", AFS4, " Department")</f>
        <v>Katie Smith is in Sales Department</v>
      </c>
      <c r="AFT5" t="str">
        <f>CONCATENATE(AFT2, " ", AFT3, " is in ", AFT4, " Department")</f>
        <v>Michael Williams is in IT Department</v>
      </c>
      <c r="AFU5" t="str">
        <f>CONCATENATE(AFU2, " ", AFU3, " is in ", AFU4, " Department")</f>
        <v>Jane Davis is in Finance Department</v>
      </c>
      <c r="AFV5" t="str">
        <f>CONCATENATE(AFV2, " ", AFV3, " is in ", AFV4, " Department")</f>
        <v>Chris Smith is in IT Department</v>
      </c>
      <c r="AFW5" t="str">
        <f>CONCATENATE(AFW2, " ", AFW3, " is in ", AFW4, " Department")</f>
        <v>Alex Davis is in Sales Department</v>
      </c>
      <c r="AFX5" t="str">
        <f>CONCATENATE(AFX2, " ", AFX3, " is in ", AFX4, " Department")</f>
        <v>Michael Williams is in HR Department</v>
      </c>
      <c r="AFY5" t="str">
        <f>CONCATENATE(AFY2, " ", AFY3, " is in ", AFY4, " Department")</f>
        <v>Chris Miller is in IT Department</v>
      </c>
      <c r="AFZ5" t="str">
        <f>CONCATENATE(AFZ2, " ", AFZ3, " is in ", AFZ4, " Department")</f>
        <v>Alex Davis is in IT Department</v>
      </c>
      <c r="AGA5" t="str">
        <f>CONCATENATE(AGA2, " ", AGA3, " is in ", AGA4, " Department")</f>
        <v>Alex Miller is in Finance Department</v>
      </c>
      <c r="AGB5" t="str">
        <f>CONCATENATE(AGB2, " ", AGB3, " is in ", AGB4, " Department")</f>
        <v>Jane Williams is in HR Department</v>
      </c>
      <c r="AGC5" t="str">
        <f>CONCATENATE(AGC2, " ", AGC3, " is in ", AGC4, " Department")</f>
        <v>Michael Williams is in Marketing Department</v>
      </c>
      <c r="AGD5" t="str">
        <f>CONCATENATE(AGD2, " ", AGD3, " is in ", AGD4, " Department")</f>
        <v>Emily Brown is in Marketing Department</v>
      </c>
      <c r="AGE5" t="str">
        <f>CONCATENATE(AGE2, " ", AGE3, " is in ", AGE4, " Department")</f>
        <v>John Williams is in Operations Department</v>
      </c>
      <c r="AGF5" t="str">
        <f>CONCATENATE(AGF2, " ", AGF3, " is in ", AGF4, " Department")</f>
        <v>Jane Williams is in IT Department</v>
      </c>
      <c r="AGG5" t="str">
        <f>CONCATENATE(AGG2, " ", AGG3, " is in ", AGG4, " Department")</f>
        <v>Jane Johnson is in IT Department</v>
      </c>
      <c r="AGH5" t="str">
        <f>CONCATENATE(AGH2, " ", AGH3, " is in ", AGH4, " Department")</f>
        <v>Emily Smith is in HR Department</v>
      </c>
      <c r="AGI5" t="str">
        <f>CONCATENATE(AGI2, " ", AGI3, " is in ", AGI4, " Department")</f>
        <v>John Brown is in Sales Department</v>
      </c>
      <c r="AGJ5" t="str">
        <f>CONCATENATE(AGJ2, " ", AGJ3, " is in ", AGJ4, " Department")</f>
        <v>Chris Wilson is in Marketing Department</v>
      </c>
      <c r="AGK5" t="str">
        <f>CONCATENATE(AGK2, " ", AGK3, " is in ", AGK4, " Department")</f>
        <v>Katie Brown is in Operations Department</v>
      </c>
      <c r="AGL5" t="str">
        <f>CONCATENATE(AGL2, " ", AGL3, " is in ", AGL4, " Department")</f>
        <v>Alex Brown is in HR Department</v>
      </c>
      <c r="AGM5" t="str">
        <f>CONCATENATE(AGM2, " ", AGM3, " is in ", AGM4, " Department")</f>
        <v>Katie Wilson is in IT Department</v>
      </c>
      <c r="AGN5" t="str">
        <f>CONCATENATE(AGN2, " ", AGN3, " is in ", AGN4, " Department")</f>
        <v>Chris Johnson is in Marketing Department</v>
      </c>
      <c r="AGO5" t="str">
        <f>CONCATENATE(AGO2, " ", AGO3, " is in ", AGO4, " Department")</f>
        <v>Sarah Miller is in Operations Department</v>
      </c>
      <c r="AGP5" t="str">
        <f>CONCATENATE(AGP2, " ", AGP3, " is in ", AGP4, " Department")</f>
        <v>Jane Williams is in Finance Department</v>
      </c>
      <c r="AGQ5" t="str">
        <f>CONCATENATE(AGQ2, " ", AGQ3, " is in ", AGQ4, " Department")</f>
        <v>John Smith is in Marketing Department</v>
      </c>
      <c r="AGR5" t="str">
        <f>CONCATENATE(AGR2, " ", AGR3, " is in ", AGR4, " Department")</f>
        <v>Jane Davis is in Operations Department</v>
      </c>
      <c r="AGS5" t="str">
        <f>CONCATENATE(AGS2, " ", AGS3, " is in ", AGS4, " Department")</f>
        <v>Alex Wilson is in HR Department</v>
      </c>
      <c r="AGV5">
        <f>SUMIFS(B7:AGS7, B4:AGS4, "HR", B17:AGS17, "&gt;30")</f>
        <v>8205435</v>
      </c>
    </row>
    <row r="6" spans="1:885" x14ac:dyDescent="0.25">
      <c r="A6" s="1" t="s">
        <v>76</v>
      </c>
      <c r="B6" s="6" t="str">
        <f>LOWER(CONCATENATE(B2, B3, "@gmail.com"))</f>
        <v>michaelwilliams@gmail.com</v>
      </c>
      <c r="C6" s="6" t="str">
        <f>LOWER(CONCATENATE(C2, C3, "@gmail.com"))</f>
        <v>emilywilson@gmail.com</v>
      </c>
      <c r="D6" s="6" t="str">
        <f>LOWER(CONCATENATE(D2, D3, "@gmail.com"))</f>
        <v>chriswilson@gmail.com</v>
      </c>
      <c r="E6" s="6" t="str">
        <f>LOWER(CONCATENATE(E2, E3, "@gmail.com"))</f>
        <v>michaelwilson@gmail.com</v>
      </c>
      <c r="F6" s="6" t="str">
        <f>LOWER(CONCATENATE(F2, F3, "@gmail.com"))</f>
        <v>alexbrown@gmail.com</v>
      </c>
      <c r="G6" s="6" t="str">
        <f>LOWER(CONCATENATE(G2, G3, "@gmail.com"))</f>
        <v>sarahwilson@gmail.com</v>
      </c>
      <c r="H6" s="6" t="str">
        <f>LOWER(CONCATENATE(H2, H3, "@gmail.com"))</f>
        <v>chrisdavis@gmail.com</v>
      </c>
      <c r="I6" s="6" t="str">
        <f>LOWER(CONCATENATE(I2, I3, "@gmail.com"))</f>
        <v>chriswilliams@gmail.com</v>
      </c>
      <c r="J6" s="6" t="str">
        <f>LOWER(CONCATENATE(J2, J3, "@gmail.com"))</f>
        <v>michaelwilson@gmail.com</v>
      </c>
      <c r="K6" s="6" t="str">
        <f>LOWER(CONCATENATE(K2, K3, "@gmail.com"))</f>
        <v>janesmith@gmail.com</v>
      </c>
      <c r="L6" s="6" t="str">
        <f>LOWER(CONCATENATE(L2, L3, "@gmail.com"))</f>
        <v>alexbrown@gmail.com</v>
      </c>
      <c r="M6" s="6" t="str">
        <f>LOWER(CONCATENATE(M2, M3, "@gmail.com"))</f>
        <v>michaeldavis@gmail.com</v>
      </c>
      <c r="N6" s="6" t="str">
        <f>LOWER(CONCATENATE(N2, N3, "@gmail.com"))</f>
        <v>alexsmith@gmail.com</v>
      </c>
      <c r="O6" s="6" t="str">
        <f>LOWER(CONCATENATE(O2, O3, "@gmail.com"))</f>
        <v>alexsmith@gmail.com</v>
      </c>
      <c r="P6" s="6" t="str">
        <f>LOWER(CONCATENATE(P2, P3, "@gmail.com"))</f>
        <v>sarahsmith@gmail.com</v>
      </c>
      <c r="Q6" s="6" t="str">
        <f>LOWER(CONCATENATE(Q2, Q3, "@gmail.com"))</f>
        <v>chrissmith@gmail.com</v>
      </c>
      <c r="R6" s="6" t="str">
        <f>LOWER(CONCATENATE(R2, R3, "@gmail.com"))</f>
        <v>emilywilliams@gmail.com</v>
      </c>
      <c r="S6" s="6" t="str">
        <f>LOWER(CONCATENATE(S2, S3, "@gmail.com"))</f>
        <v>sarahwilson@gmail.com</v>
      </c>
      <c r="T6" s="6" t="str">
        <f>LOWER(CONCATENATE(T2, T3, "@gmail.com"))</f>
        <v>sarahmiller@gmail.com</v>
      </c>
      <c r="U6" s="6" t="str">
        <f>LOWER(CONCATENATE(U2, U3, "@gmail.com"))</f>
        <v>alexwilliams@gmail.com</v>
      </c>
      <c r="V6" s="6" t="str">
        <f>LOWER(CONCATENATE(V2, V3, "@gmail.com"))</f>
        <v>katiewilliams@gmail.com</v>
      </c>
      <c r="W6" s="6" t="str">
        <f>LOWER(CONCATENATE(W2, W3, "@gmail.com"))</f>
        <v>chrisdavis@gmail.com</v>
      </c>
      <c r="X6" s="6" t="str">
        <f>LOWER(CONCATENATE(X2, X3, "@gmail.com"))</f>
        <v>janedavis@gmail.com</v>
      </c>
      <c r="Y6" s="6" t="str">
        <f>LOWER(CONCATENATE(Y2, Y3, "@gmail.com"))</f>
        <v>sarahwilson@gmail.com</v>
      </c>
      <c r="Z6" s="6" t="str">
        <f>LOWER(CONCATENATE(Z2, Z3, "@gmail.com"))</f>
        <v>emilymiller@gmail.com</v>
      </c>
      <c r="AA6" s="6" t="str">
        <f>LOWER(CONCATENATE(AA2, AA3, "@gmail.com"))</f>
        <v>katiedavis@gmail.com</v>
      </c>
      <c r="AB6" s="6" t="str">
        <f>LOWER(CONCATENATE(AB2, AB3, "@gmail.com"))</f>
        <v>katiewilson@gmail.com</v>
      </c>
      <c r="AC6" s="6" t="str">
        <f>LOWER(CONCATENATE(AC2, AC3, "@gmail.com"))</f>
        <v>janewilson@gmail.com</v>
      </c>
      <c r="AD6" s="6" t="str">
        <f>LOWER(CONCATENATE(AD2, AD3, "@gmail.com"))</f>
        <v>sarahjohnson@gmail.com</v>
      </c>
      <c r="AE6" s="6" t="str">
        <f>LOWER(CONCATENATE(AE2, AE3, "@gmail.com"))</f>
        <v>emilymiller@gmail.com</v>
      </c>
      <c r="AF6" s="6" t="str">
        <f>LOWER(CONCATENATE(AF2, AF3, "@gmail.com"))</f>
        <v>chrisdavis@gmail.com</v>
      </c>
      <c r="AG6" s="6" t="str">
        <f>LOWER(CONCATENATE(AG2, AG3, "@gmail.com"))</f>
        <v>johnmiller@gmail.com</v>
      </c>
      <c r="AH6" s="6" t="str">
        <f>LOWER(CONCATENATE(AH2, AH3, "@gmail.com"))</f>
        <v>emilywilliams@gmail.com</v>
      </c>
      <c r="AI6" s="6" t="str">
        <f>LOWER(CONCATENATE(AI2, AI3, "@gmail.com"))</f>
        <v>janewilliams@gmail.com</v>
      </c>
      <c r="AJ6" s="6" t="str">
        <f>LOWER(CONCATENATE(AJ2, AJ3, "@gmail.com"))</f>
        <v>katiemiller@gmail.com</v>
      </c>
      <c r="AK6" s="6" t="str">
        <f>LOWER(CONCATENATE(AK2, AK3, "@gmail.com"))</f>
        <v>chrisjohnson@gmail.com</v>
      </c>
      <c r="AL6" s="6" t="str">
        <f>LOWER(CONCATENATE(AL2, AL3, "@gmail.com"))</f>
        <v>emilyjohnson@gmail.com</v>
      </c>
      <c r="AM6" s="6" t="str">
        <f>LOWER(CONCATENATE(AM2, AM3, "@gmail.com"))</f>
        <v>johnmiller@gmail.com</v>
      </c>
      <c r="AN6" s="6" t="str">
        <f>LOWER(CONCATENATE(AN2, AN3, "@gmail.com"))</f>
        <v>johndavis@gmail.com</v>
      </c>
      <c r="AO6" s="6" t="str">
        <f>LOWER(CONCATENATE(AO2, AO3, "@gmail.com"))</f>
        <v>alexbrown@gmail.com</v>
      </c>
      <c r="AP6" s="6" t="str">
        <f>LOWER(CONCATENATE(AP2, AP3, "@gmail.com"))</f>
        <v>alexjohnson@gmail.com</v>
      </c>
      <c r="AQ6" s="6" t="str">
        <f>LOWER(CONCATENATE(AQ2, AQ3, "@gmail.com"))</f>
        <v>michaelsmith@gmail.com</v>
      </c>
      <c r="AR6" s="6" t="str">
        <f>LOWER(CONCATENATE(AR2, AR3, "@gmail.com"))</f>
        <v>janewilliams@gmail.com</v>
      </c>
      <c r="AS6" s="6" t="str">
        <f>LOWER(CONCATENATE(AS2, AS3, "@gmail.com"))</f>
        <v>sarahmiller@gmail.com</v>
      </c>
      <c r="AT6" s="6" t="str">
        <f>LOWER(CONCATENATE(AT2, AT3, "@gmail.com"))</f>
        <v>emilysmith@gmail.com</v>
      </c>
      <c r="AU6" s="6" t="str">
        <f>LOWER(CONCATENATE(AU2, AU3, "@gmail.com"))</f>
        <v>emilymiller@gmail.com</v>
      </c>
      <c r="AV6" s="6" t="str">
        <f>LOWER(CONCATENATE(AV2, AV3, "@gmail.com"))</f>
        <v>sarahwilson@gmail.com</v>
      </c>
      <c r="AW6" s="6" t="str">
        <f>LOWER(CONCATENATE(AW2, AW3, "@gmail.com"))</f>
        <v>michaelwilliams@gmail.com</v>
      </c>
      <c r="AX6" s="6" t="str">
        <f>LOWER(CONCATENATE(AX2, AX3, "@gmail.com"))</f>
        <v>katiewilliams@gmail.com</v>
      </c>
      <c r="AY6" s="6" t="str">
        <f>LOWER(CONCATENATE(AY2, AY3, "@gmail.com"))</f>
        <v>katiejohnson@gmail.com</v>
      </c>
      <c r="AZ6" s="6" t="str">
        <f>LOWER(CONCATENATE(AZ2, AZ3, "@gmail.com"))</f>
        <v>michaeljohnson@gmail.com</v>
      </c>
      <c r="BA6" s="6" t="str">
        <f>LOWER(CONCATENATE(BA2, BA3, "@gmail.com"))</f>
        <v>katiesmith@gmail.com</v>
      </c>
      <c r="BB6" s="6" t="str">
        <f>LOWER(CONCATENATE(BB2, BB3, "@gmail.com"))</f>
        <v>alexwilson@gmail.com</v>
      </c>
      <c r="BC6" s="6" t="str">
        <f>LOWER(CONCATENATE(BC2, BC3, "@gmail.com"))</f>
        <v>emilymiller@gmail.com</v>
      </c>
      <c r="BD6" s="6" t="str">
        <f>LOWER(CONCATENATE(BD2, BD3, "@gmail.com"))</f>
        <v>michaelwilson@gmail.com</v>
      </c>
      <c r="BE6" s="6" t="str">
        <f>LOWER(CONCATENATE(BE2, BE3, "@gmail.com"))</f>
        <v>emilywilliams@gmail.com</v>
      </c>
      <c r="BF6" s="6" t="str">
        <f>LOWER(CONCATENATE(BF2, BF3, "@gmail.com"))</f>
        <v>sarahsmith@gmail.com</v>
      </c>
      <c r="BG6" s="6" t="str">
        <f>LOWER(CONCATENATE(BG2, BG3, "@gmail.com"))</f>
        <v>johnbrown@gmail.com</v>
      </c>
      <c r="BH6" s="6" t="str">
        <f>LOWER(CONCATENATE(BH2, BH3, "@gmail.com"))</f>
        <v>alexsmith@gmail.com</v>
      </c>
      <c r="BI6" s="6" t="str">
        <f>LOWER(CONCATENATE(BI2, BI3, "@gmail.com"))</f>
        <v>chrisdavis@gmail.com</v>
      </c>
      <c r="BJ6" s="6" t="str">
        <f>LOWER(CONCATENATE(BJ2, BJ3, "@gmail.com"))</f>
        <v>alexsmith@gmail.com</v>
      </c>
      <c r="BK6" s="6" t="str">
        <f>LOWER(CONCATENATE(BK2, BK3, "@gmail.com"))</f>
        <v>michaelwilson@gmail.com</v>
      </c>
      <c r="BL6" s="6" t="str">
        <f>LOWER(CONCATENATE(BL2, BL3, "@gmail.com"))</f>
        <v>chrisdavis@gmail.com</v>
      </c>
      <c r="BM6" s="6" t="str">
        <f>LOWER(CONCATENATE(BM2, BM3, "@gmail.com"))</f>
        <v>johndavis@gmail.com</v>
      </c>
      <c r="BN6" s="6" t="str">
        <f>LOWER(CONCATENATE(BN2, BN3, "@gmail.com"))</f>
        <v>michaeldavis@gmail.com</v>
      </c>
      <c r="BO6" s="6" t="str">
        <f>LOWER(CONCATENATE(BO2, BO3, "@gmail.com"))</f>
        <v>janebrown@gmail.com</v>
      </c>
      <c r="BP6" s="6" t="str">
        <f>LOWER(CONCATENATE(BP2, BP3, "@gmail.com"))</f>
        <v>emilysmith@gmail.com</v>
      </c>
      <c r="BQ6" s="6" t="str">
        <f>LOWER(CONCATENATE(BQ2, BQ3, "@gmail.com"))</f>
        <v>johnwilson@gmail.com</v>
      </c>
      <c r="BR6" s="6" t="str">
        <f>LOWER(CONCATENATE(BR2, BR3, "@gmail.com"))</f>
        <v>emilysmith@gmail.com</v>
      </c>
      <c r="BS6" s="6" t="str">
        <f>LOWER(CONCATENATE(BS2, BS3, "@gmail.com"))</f>
        <v>katiebrown@gmail.com</v>
      </c>
      <c r="BT6" s="6" t="str">
        <f>LOWER(CONCATENATE(BT2, BT3, "@gmail.com"))</f>
        <v>janewilliams@gmail.com</v>
      </c>
      <c r="BU6" s="6" t="str">
        <f>LOWER(CONCATENATE(BU2, BU3, "@gmail.com"))</f>
        <v>janejohnson@gmail.com</v>
      </c>
      <c r="BV6" s="6" t="str">
        <f>LOWER(CONCATENATE(BV2, BV3, "@gmail.com"))</f>
        <v>johnwilson@gmail.com</v>
      </c>
      <c r="BW6" s="6" t="str">
        <f>LOWER(CONCATENATE(BW2, BW3, "@gmail.com"))</f>
        <v>janewilson@gmail.com</v>
      </c>
      <c r="BX6" s="6" t="str">
        <f>LOWER(CONCATENATE(BX2, BX3, "@gmail.com"))</f>
        <v>chrissmith@gmail.com</v>
      </c>
      <c r="BY6" s="6" t="str">
        <f>LOWER(CONCATENATE(BY2, BY3, "@gmail.com"))</f>
        <v>janejohnson@gmail.com</v>
      </c>
      <c r="BZ6" s="6" t="str">
        <f>LOWER(CONCATENATE(BZ2, BZ3, "@gmail.com"))</f>
        <v>emilymiller@gmail.com</v>
      </c>
      <c r="CA6" s="6" t="str">
        <f>LOWER(CONCATENATE(CA2, CA3, "@gmail.com"))</f>
        <v>emilymiller@gmail.com</v>
      </c>
      <c r="CB6" s="6" t="str">
        <f>LOWER(CONCATENATE(CB2, CB3, "@gmail.com"))</f>
        <v>michaelbrown@gmail.com</v>
      </c>
      <c r="CC6" s="6" t="str">
        <f>LOWER(CONCATENATE(CC2, CC3, "@gmail.com"))</f>
        <v>emilymiller@gmail.com</v>
      </c>
      <c r="CD6" s="6" t="str">
        <f>LOWER(CONCATENATE(CD2, CD3, "@gmail.com"))</f>
        <v>michaelwilson@gmail.com</v>
      </c>
      <c r="CE6" s="6" t="str">
        <f>LOWER(CONCATENATE(CE2, CE3, "@gmail.com"))</f>
        <v>emilymiller@gmail.com</v>
      </c>
      <c r="CF6" s="6" t="str">
        <f>LOWER(CONCATENATE(CF2, CF3, "@gmail.com"))</f>
        <v>chriswilliams@gmail.com</v>
      </c>
      <c r="CG6" s="6" t="str">
        <f>LOWER(CONCATENATE(CG2, CG3, "@gmail.com"))</f>
        <v>sarahwilliams@gmail.com</v>
      </c>
      <c r="CH6" s="6" t="str">
        <f>LOWER(CONCATENATE(CH2, CH3, "@gmail.com"))</f>
        <v>michaelwilliams@gmail.com</v>
      </c>
      <c r="CI6" s="6" t="str">
        <f>LOWER(CONCATENATE(CI2, CI3, "@gmail.com"))</f>
        <v>alexmiller@gmail.com</v>
      </c>
      <c r="CJ6" s="6" t="str">
        <f>LOWER(CONCATENATE(CJ2, CJ3, "@gmail.com"))</f>
        <v>katiebrown@gmail.com</v>
      </c>
      <c r="CK6" s="6" t="str">
        <f>LOWER(CONCATENATE(CK2, CK3, "@gmail.com"))</f>
        <v>johndavis@gmail.com</v>
      </c>
      <c r="CL6" s="6" t="str">
        <f>LOWER(CONCATENATE(CL2, CL3, "@gmail.com"))</f>
        <v>emilydavis@gmail.com</v>
      </c>
      <c r="CM6" s="6" t="str">
        <f>LOWER(CONCATENATE(CM2, CM3, "@gmail.com"))</f>
        <v>janejohnson@gmail.com</v>
      </c>
      <c r="CN6" s="6" t="str">
        <f>LOWER(CONCATENATE(CN2, CN3, "@gmail.com"))</f>
        <v>sarahdavis@gmail.com</v>
      </c>
      <c r="CO6" s="6" t="str">
        <f>LOWER(CONCATENATE(CO2, CO3, "@gmail.com"))</f>
        <v>emilydavis@gmail.com</v>
      </c>
      <c r="CP6" s="6" t="str">
        <f>LOWER(CONCATENATE(CP2, CP3, "@gmail.com"))</f>
        <v>janewilliams@gmail.com</v>
      </c>
      <c r="CQ6" s="6" t="str">
        <f>LOWER(CONCATENATE(CQ2, CQ3, "@gmail.com"))</f>
        <v>katiewilliams@gmail.com</v>
      </c>
      <c r="CR6" s="6" t="str">
        <f>LOWER(CONCATENATE(CR2, CR3, "@gmail.com"))</f>
        <v>katiemiller@gmail.com</v>
      </c>
      <c r="CS6" s="6" t="str">
        <f>LOWER(CONCATENATE(CS2, CS3, "@gmail.com"))</f>
        <v>katiejohnson@gmail.com</v>
      </c>
      <c r="CT6" s="6" t="str">
        <f>LOWER(CONCATENATE(CT2, CT3, "@gmail.com"))</f>
        <v>janesmith@gmail.com</v>
      </c>
      <c r="CU6" s="6" t="str">
        <f>LOWER(CONCATENATE(CU2, CU3, "@gmail.com"))</f>
        <v>emilywilson@gmail.com</v>
      </c>
      <c r="CV6" s="6" t="str">
        <f>LOWER(CONCATENATE(CV2, CV3, "@gmail.com"))</f>
        <v>katiejohnson@gmail.com</v>
      </c>
      <c r="CW6" s="6" t="str">
        <f>LOWER(CONCATENATE(CW2, CW3, "@gmail.com"))</f>
        <v>chrisjohnson@gmail.com</v>
      </c>
      <c r="CX6" s="6" t="str">
        <f>LOWER(CONCATENATE(CX2, CX3, "@gmail.com"))</f>
        <v>michaelbrown@gmail.com</v>
      </c>
      <c r="CY6" s="6" t="str">
        <f>LOWER(CONCATENATE(CY2, CY3, "@gmail.com"))</f>
        <v>janemiller@gmail.com</v>
      </c>
      <c r="CZ6" s="6" t="str">
        <f>LOWER(CONCATENATE(CZ2, CZ3, "@gmail.com"))</f>
        <v>janebrown@gmail.com</v>
      </c>
      <c r="DA6" s="6" t="str">
        <f>LOWER(CONCATENATE(DA2, DA3, "@gmail.com"))</f>
        <v>emilyjohnson@gmail.com</v>
      </c>
      <c r="DB6" s="6" t="str">
        <f>LOWER(CONCATENATE(DB2, DB3, "@gmail.com"))</f>
        <v>janejohnson@gmail.com</v>
      </c>
      <c r="DC6" s="6" t="str">
        <f>LOWER(CONCATENATE(DC2, DC3, "@gmail.com"))</f>
        <v>janejohnson@gmail.com</v>
      </c>
      <c r="DD6" s="6" t="str">
        <f>LOWER(CONCATENATE(DD2, DD3, "@gmail.com"))</f>
        <v>katiedavis@gmail.com</v>
      </c>
      <c r="DE6" s="6" t="str">
        <f>LOWER(CONCATENATE(DE2, DE3, "@gmail.com"))</f>
        <v>emilywilson@gmail.com</v>
      </c>
      <c r="DF6" s="6" t="str">
        <f>LOWER(CONCATENATE(DF2, DF3, "@gmail.com"))</f>
        <v>katiewilson@gmail.com</v>
      </c>
      <c r="DG6" s="6" t="str">
        <f>LOWER(CONCATENATE(DG2, DG3, "@gmail.com"))</f>
        <v>michaelbrown@gmail.com</v>
      </c>
      <c r="DH6" s="6" t="str">
        <f>LOWER(CONCATENATE(DH2, DH3, "@gmail.com"))</f>
        <v>sarahjohnson@gmail.com</v>
      </c>
      <c r="DI6" s="6" t="str">
        <f>LOWER(CONCATENATE(DI2, DI3, "@gmail.com"))</f>
        <v>michaelwilson@gmail.com</v>
      </c>
      <c r="DJ6" s="6" t="str">
        <f>LOWER(CONCATENATE(DJ2, DJ3, "@gmail.com"))</f>
        <v>sarahwilliams@gmail.com</v>
      </c>
      <c r="DK6" s="6" t="str">
        <f>LOWER(CONCATENATE(DK2, DK3, "@gmail.com"))</f>
        <v>katiewilson@gmail.com</v>
      </c>
      <c r="DL6" s="6" t="str">
        <f>LOWER(CONCATENATE(DL2, DL3, "@gmail.com"))</f>
        <v>michaelmiller@gmail.com</v>
      </c>
      <c r="DM6" s="6" t="str">
        <f>LOWER(CONCATENATE(DM2, DM3, "@gmail.com"))</f>
        <v>emilymiller@gmail.com</v>
      </c>
      <c r="DN6" s="6" t="str">
        <f>LOWER(CONCATENATE(DN2, DN3, "@gmail.com"))</f>
        <v>johnwilson@gmail.com</v>
      </c>
      <c r="DO6" s="6" t="str">
        <f>LOWER(CONCATENATE(DO2, DO3, "@gmail.com"))</f>
        <v>katiewilliams@gmail.com</v>
      </c>
      <c r="DP6" s="6" t="str">
        <f>LOWER(CONCATENATE(DP2, DP3, "@gmail.com"))</f>
        <v>sarahmiller@gmail.com</v>
      </c>
      <c r="DQ6" s="6" t="str">
        <f>LOWER(CONCATENATE(DQ2, DQ3, "@gmail.com"))</f>
        <v>chrisdavis@gmail.com</v>
      </c>
      <c r="DR6" s="6" t="str">
        <f>LOWER(CONCATENATE(DR2, DR3, "@gmail.com"))</f>
        <v>sarahwilson@gmail.com</v>
      </c>
      <c r="DS6" s="6" t="str">
        <f>LOWER(CONCATENATE(DS2, DS3, "@gmail.com"))</f>
        <v>chrisdavis@gmail.com</v>
      </c>
      <c r="DT6" s="6" t="str">
        <f>LOWER(CONCATENATE(DT2, DT3, "@gmail.com"))</f>
        <v>janewilson@gmail.com</v>
      </c>
      <c r="DU6" s="6" t="str">
        <f>LOWER(CONCATENATE(DU2, DU3, "@gmail.com"))</f>
        <v>michaelsmith@gmail.com</v>
      </c>
      <c r="DV6" s="6" t="str">
        <f>LOWER(CONCATENATE(DV2, DV3, "@gmail.com"))</f>
        <v>chrissmith@gmail.com</v>
      </c>
      <c r="DW6" s="6" t="str">
        <f>LOWER(CONCATENATE(DW2, DW3, "@gmail.com"))</f>
        <v>sarahsmith@gmail.com</v>
      </c>
      <c r="DX6" s="6" t="str">
        <f>LOWER(CONCATENATE(DX2, DX3, "@gmail.com"))</f>
        <v>janemiller@gmail.com</v>
      </c>
      <c r="DY6" s="6" t="str">
        <f>LOWER(CONCATENATE(DY2, DY3, "@gmail.com"))</f>
        <v>johndavis@gmail.com</v>
      </c>
      <c r="DZ6" s="6" t="str">
        <f>LOWER(CONCATENATE(DZ2, DZ3, "@gmail.com"))</f>
        <v>emilydavis@gmail.com</v>
      </c>
      <c r="EA6" s="6" t="str">
        <f>LOWER(CONCATENATE(EA2, EA3, "@gmail.com"))</f>
        <v>emilydavis@gmail.com</v>
      </c>
      <c r="EB6" s="6" t="str">
        <f>LOWER(CONCATENATE(EB2, EB3, "@gmail.com"))</f>
        <v>emilywilliams@gmail.com</v>
      </c>
      <c r="EC6" s="6" t="str">
        <f>LOWER(CONCATENATE(EC2, EC3, "@gmail.com"))</f>
        <v>chrisdavis@gmail.com</v>
      </c>
      <c r="ED6" s="6" t="str">
        <f>LOWER(CONCATENATE(ED2, ED3, "@gmail.com"))</f>
        <v>johnwilliams@gmail.com</v>
      </c>
      <c r="EE6" s="6" t="str">
        <f>LOWER(CONCATENATE(EE2, EE3, "@gmail.com"))</f>
        <v>chrissmith@gmail.com</v>
      </c>
      <c r="EF6" s="6" t="str">
        <f>LOWER(CONCATENATE(EF2, EF3, "@gmail.com"))</f>
        <v>michaelsmith@gmail.com</v>
      </c>
      <c r="EG6" s="6" t="str">
        <f>LOWER(CONCATENATE(EG2, EG3, "@gmail.com"))</f>
        <v>chrismiller@gmail.com</v>
      </c>
      <c r="EH6" s="6" t="str">
        <f>LOWER(CONCATENATE(EH2, EH3, "@gmail.com"))</f>
        <v>johnwilson@gmail.com</v>
      </c>
      <c r="EI6" s="6" t="str">
        <f>LOWER(CONCATENATE(EI2, EI3, "@gmail.com"))</f>
        <v>johnsmith@gmail.com</v>
      </c>
      <c r="EJ6" s="6" t="str">
        <f>LOWER(CONCATENATE(EJ2, EJ3, "@gmail.com"))</f>
        <v>michaelwilson@gmail.com</v>
      </c>
      <c r="EK6" s="6" t="str">
        <f>LOWER(CONCATENATE(EK2, EK3, "@gmail.com"))</f>
        <v>johnwilson@gmail.com</v>
      </c>
      <c r="EL6" s="6" t="str">
        <f>LOWER(CONCATENATE(EL2, EL3, "@gmail.com"))</f>
        <v>sarahmiller@gmail.com</v>
      </c>
      <c r="EM6" s="6" t="str">
        <f>LOWER(CONCATENATE(EM2, EM3, "@gmail.com"))</f>
        <v>johnjohnson@gmail.com</v>
      </c>
      <c r="EN6" s="6" t="str">
        <f>LOWER(CONCATENATE(EN2, EN3, "@gmail.com"))</f>
        <v>emilyjohnson@gmail.com</v>
      </c>
      <c r="EO6" s="6" t="str">
        <f>LOWER(CONCATENATE(EO2, EO3, "@gmail.com"))</f>
        <v>sarahbrown@gmail.com</v>
      </c>
      <c r="EP6" s="6" t="str">
        <f>LOWER(CONCATENATE(EP2, EP3, "@gmail.com"))</f>
        <v>sarahmiller@gmail.com</v>
      </c>
      <c r="EQ6" s="6" t="str">
        <f>LOWER(CONCATENATE(EQ2, EQ3, "@gmail.com"))</f>
        <v>michaelbrown@gmail.com</v>
      </c>
      <c r="ER6" s="6" t="str">
        <f>LOWER(CONCATENATE(ER2, ER3, "@gmail.com"))</f>
        <v>alexbrown@gmail.com</v>
      </c>
      <c r="ES6" s="6" t="str">
        <f>LOWER(CONCATENATE(ES2, ES3, "@gmail.com"))</f>
        <v>alexjohnson@gmail.com</v>
      </c>
      <c r="ET6" s="6" t="str">
        <f>LOWER(CONCATENATE(ET2, ET3, "@gmail.com"))</f>
        <v>johnmiller@gmail.com</v>
      </c>
      <c r="EU6" s="6" t="str">
        <f>LOWER(CONCATENATE(EU2, EU3, "@gmail.com"))</f>
        <v>sarahjohnson@gmail.com</v>
      </c>
      <c r="EV6" s="6" t="str">
        <f>LOWER(CONCATENATE(EV2, EV3, "@gmail.com"))</f>
        <v>alexbrown@gmail.com</v>
      </c>
      <c r="EW6" s="6" t="str">
        <f>LOWER(CONCATENATE(EW2, EW3, "@gmail.com"))</f>
        <v>alexmiller@gmail.com</v>
      </c>
      <c r="EX6" s="6" t="str">
        <f>LOWER(CONCATENATE(EX2, EX3, "@gmail.com"))</f>
        <v>johnbrown@gmail.com</v>
      </c>
      <c r="EY6" s="6" t="str">
        <f>LOWER(CONCATENATE(EY2, EY3, "@gmail.com"))</f>
        <v>alexdavis@gmail.com</v>
      </c>
      <c r="EZ6" s="6" t="str">
        <f>LOWER(CONCATENATE(EZ2, EZ3, "@gmail.com"))</f>
        <v>chriswilson@gmail.com</v>
      </c>
      <c r="FA6" s="6" t="str">
        <f>LOWER(CONCATENATE(FA2, FA3, "@gmail.com"))</f>
        <v>janemiller@gmail.com</v>
      </c>
      <c r="FB6" s="6" t="str">
        <f>LOWER(CONCATENATE(FB2, FB3, "@gmail.com"))</f>
        <v>michaelmiller@gmail.com</v>
      </c>
      <c r="FC6" s="6" t="str">
        <f>LOWER(CONCATENATE(FC2, FC3, "@gmail.com"))</f>
        <v>janewilson@gmail.com</v>
      </c>
      <c r="FD6" s="6" t="str">
        <f>LOWER(CONCATENATE(FD2, FD3, "@gmail.com"))</f>
        <v>johnbrown@gmail.com</v>
      </c>
      <c r="FE6" s="6" t="str">
        <f>LOWER(CONCATENATE(FE2, FE3, "@gmail.com"))</f>
        <v>emilydavis@gmail.com</v>
      </c>
      <c r="FF6" s="6" t="str">
        <f>LOWER(CONCATENATE(FF2, FF3, "@gmail.com"))</f>
        <v>michaelwilliams@gmail.com</v>
      </c>
      <c r="FG6" s="6" t="str">
        <f>LOWER(CONCATENATE(FG2, FG3, "@gmail.com"))</f>
        <v>johnwilson@gmail.com</v>
      </c>
      <c r="FH6" s="6" t="str">
        <f>LOWER(CONCATENATE(FH2, FH3, "@gmail.com"))</f>
        <v>sarahjohnson@gmail.com</v>
      </c>
      <c r="FI6" s="6" t="str">
        <f>LOWER(CONCATENATE(FI2, FI3, "@gmail.com"))</f>
        <v>emilybrown@gmail.com</v>
      </c>
      <c r="FJ6" s="6" t="str">
        <f>LOWER(CONCATENATE(FJ2, FJ3, "@gmail.com"))</f>
        <v>janewilson@gmail.com</v>
      </c>
      <c r="FK6" s="6" t="str">
        <f>LOWER(CONCATENATE(FK2, FK3, "@gmail.com"))</f>
        <v>johnwilson@gmail.com</v>
      </c>
      <c r="FL6" s="6" t="str">
        <f>LOWER(CONCATENATE(FL2, FL3, "@gmail.com"))</f>
        <v>sarahmiller@gmail.com</v>
      </c>
      <c r="FM6" s="6" t="str">
        <f>LOWER(CONCATENATE(FM2, FM3, "@gmail.com"))</f>
        <v>michaeljohnson@gmail.com</v>
      </c>
      <c r="FN6" s="6" t="str">
        <f>LOWER(CONCATENATE(FN2, FN3, "@gmail.com"))</f>
        <v>michaeljohnson@gmail.com</v>
      </c>
      <c r="FO6" s="6" t="str">
        <f>LOWER(CONCATENATE(FO2, FO3, "@gmail.com"))</f>
        <v>katiejohnson@gmail.com</v>
      </c>
      <c r="FP6" s="6" t="str">
        <f>LOWER(CONCATENATE(FP2, FP3, "@gmail.com"))</f>
        <v>sarahwilson@gmail.com</v>
      </c>
      <c r="FQ6" s="6" t="str">
        <f>LOWER(CONCATENATE(FQ2, FQ3, "@gmail.com"))</f>
        <v>chriswilliams@gmail.com</v>
      </c>
      <c r="FR6" s="6" t="str">
        <f>LOWER(CONCATENATE(FR2, FR3, "@gmail.com"))</f>
        <v>alexsmith@gmail.com</v>
      </c>
      <c r="FS6" s="6" t="str">
        <f>LOWER(CONCATENATE(FS2, FS3, "@gmail.com"))</f>
        <v>emilybrown@gmail.com</v>
      </c>
      <c r="FT6" s="6" t="str">
        <f>LOWER(CONCATENATE(FT2, FT3, "@gmail.com"))</f>
        <v>sarahsmith@gmail.com</v>
      </c>
      <c r="FU6" s="6" t="str">
        <f>LOWER(CONCATENATE(FU2, FU3, "@gmail.com"))</f>
        <v>katiewilson@gmail.com</v>
      </c>
      <c r="FV6" s="6" t="str">
        <f>LOWER(CONCATENATE(FV2, FV3, "@gmail.com"))</f>
        <v>alexsmith@gmail.com</v>
      </c>
      <c r="FW6" s="6" t="str">
        <f>LOWER(CONCATENATE(FW2, FW3, "@gmail.com"))</f>
        <v>alexwilson@gmail.com</v>
      </c>
      <c r="FX6" s="6" t="str">
        <f>LOWER(CONCATENATE(FX2, FX3, "@gmail.com"))</f>
        <v>johnsmith@gmail.com</v>
      </c>
      <c r="FY6" s="6" t="str">
        <f>LOWER(CONCATENATE(FY2, FY3, "@gmail.com"))</f>
        <v>alexjohnson@gmail.com</v>
      </c>
      <c r="FZ6" s="6" t="str">
        <f>LOWER(CONCATENATE(FZ2, FZ3, "@gmail.com"))</f>
        <v>chrisdavis@gmail.com</v>
      </c>
      <c r="GA6" s="6" t="str">
        <f>LOWER(CONCATENATE(GA2, GA3, "@gmail.com"))</f>
        <v>michaeljohnson@gmail.com</v>
      </c>
      <c r="GB6" s="6" t="str">
        <f>LOWER(CONCATENATE(GB2, GB3, "@gmail.com"))</f>
        <v>katiejohnson@gmail.com</v>
      </c>
      <c r="GC6" s="6" t="str">
        <f>LOWER(CONCATENATE(GC2, GC3, "@gmail.com"))</f>
        <v>alexmiller@gmail.com</v>
      </c>
      <c r="GD6" s="6" t="str">
        <f>LOWER(CONCATENATE(GD2, GD3, "@gmail.com"))</f>
        <v>johnmiller@gmail.com</v>
      </c>
      <c r="GE6" s="6" t="str">
        <f>LOWER(CONCATENATE(GE2, GE3, "@gmail.com"))</f>
        <v>chrissmith@gmail.com</v>
      </c>
      <c r="GF6" s="6" t="str">
        <f>LOWER(CONCATENATE(GF2, GF3, "@gmail.com"))</f>
        <v>janewilson@gmail.com</v>
      </c>
      <c r="GG6" s="6" t="str">
        <f>LOWER(CONCATENATE(GG2, GG3, "@gmail.com"))</f>
        <v>michaeljohnson@gmail.com</v>
      </c>
      <c r="GH6" s="6" t="str">
        <f>LOWER(CONCATENATE(GH2, GH3, "@gmail.com"))</f>
        <v>michaelsmith@gmail.com</v>
      </c>
      <c r="GI6" s="6" t="str">
        <f>LOWER(CONCATENATE(GI2, GI3, "@gmail.com"))</f>
        <v>katiemiller@gmail.com</v>
      </c>
      <c r="GJ6" s="6" t="str">
        <f>LOWER(CONCATENATE(GJ2, GJ3, "@gmail.com"))</f>
        <v>michaeldavis@gmail.com</v>
      </c>
      <c r="GK6" s="6" t="str">
        <f>LOWER(CONCATENATE(GK2, GK3, "@gmail.com"))</f>
        <v>alexbrown@gmail.com</v>
      </c>
      <c r="GL6" s="6" t="str">
        <f>LOWER(CONCATENATE(GL2, GL3, "@gmail.com"))</f>
        <v>johnsmith@gmail.com</v>
      </c>
      <c r="GM6" s="6" t="str">
        <f>LOWER(CONCATENATE(GM2, GM3, "@gmail.com"))</f>
        <v>michaeldavis@gmail.com</v>
      </c>
      <c r="GN6" s="6" t="str">
        <f>LOWER(CONCATENATE(GN2, GN3, "@gmail.com"))</f>
        <v>michaelbrown@gmail.com</v>
      </c>
      <c r="GO6" s="6" t="str">
        <f>LOWER(CONCATENATE(GO2, GO3, "@gmail.com"))</f>
        <v>janewilliams@gmail.com</v>
      </c>
      <c r="GP6" s="6" t="str">
        <f>LOWER(CONCATENATE(GP2, GP3, "@gmail.com"))</f>
        <v>janesmith@gmail.com</v>
      </c>
      <c r="GQ6" s="6" t="str">
        <f>LOWER(CONCATENATE(GQ2, GQ3, "@gmail.com"))</f>
        <v>emilysmith@gmail.com</v>
      </c>
      <c r="GR6" s="6" t="str">
        <f>LOWER(CONCATENATE(GR2, GR3, "@gmail.com"))</f>
        <v>chriswilliams@gmail.com</v>
      </c>
      <c r="GS6" s="6" t="str">
        <f>LOWER(CONCATENATE(GS2, GS3, "@gmail.com"))</f>
        <v>alexwilliams@gmail.com</v>
      </c>
      <c r="GT6" s="6" t="str">
        <f>LOWER(CONCATENATE(GT2, GT3, "@gmail.com"))</f>
        <v>michaelsmith@gmail.com</v>
      </c>
      <c r="GU6" s="6" t="str">
        <f>LOWER(CONCATENATE(GU2, GU3, "@gmail.com"))</f>
        <v>sarahwilliams@gmail.com</v>
      </c>
      <c r="GV6" s="6" t="str">
        <f>LOWER(CONCATENATE(GV2, GV3, "@gmail.com"))</f>
        <v>michaeljohnson@gmail.com</v>
      </c>
      <c r="GW6" s="6" t="str">
        <f>LOWER(CONCATENATE(GW2, GW3, "@gmail.com"))</f>
        <v>johnbrown@gmail.com</v>
      </c>
      <c r="GX6" s="6" t="str">
        <f>LOWER(CONCATENATE(GX2, GX3, "@gmail.com"))</f>
        <v>emilybrown@gmail.com</v>
      </c>
      <c r="GY6" s="6" t="str">
        <f>LOWER(CONCATENATE(GY2, GY3, "@gmail.com"))</f>
        <v>chrisbrown@gmail.com</v>
      </c>
      <c r="GZ6" s="6" t="str">
        <f>LOWER(CONCATENATE(GZ2, GZ3, "@gmail.com"))</f>
        <v>sarahjohnson@gmail.com</v>
      </c>
      <c r="HA6" s="6" t="str">
        <f>LOWER(CONCATENATE(HA2, HA3, "@gmail.com"))</f>
        <v>emilywilson@gmail.com</v>
      </c>
      <c r="HB6" s="6" t="str">
        <f>LOWER(CONCATENATE(HB2, HB3, "@gmail.com"))</f>
        <v>katiewilliams@gmail.com</v>
      </c>
      <c r="HC6" s="6" t="str">
        <f>LOWER(CONCATENATE(HC2, HC3, "@gmail.com"))</f>
        <v>chrisdavis@gmail.com</v>
      </c>
      <c r="HD6" s="6" t="str">
        <f>LOWER(CONCATENATE(HD2, HD3, "@gmail.com"))</f>
        <v>michaelwilliams@gmail.com</v>
      </c>
      <c r="HE6" s="6" t="str">
        <f>LOWER(CONCATENATE(HE2, HE3, "@gmail.com"))</f>
        <v>michaelsmith@gmail.com</v>
      </c>
      <c r="HF6" s="6" t="str">
        <f>LOWER(CONCATENATE(HF2, HF3, "@gmail.com"))</f>
        <v>chrismiller@gmail.com</v>
      </c>
      <c r="HG6" s="6" t="str">
        <f>LOWER(CONCATENATE(HG2, HG3, "@gmail.com"))</f>
        <v>michaelbrown@gmail.com</v>
      </c>
      <c r="HH6" s="6" t="str">
        <f>LOWER(CONCATENATE(HH2, HH3, "@gmail.com"))</f>
        <v>alexwilliams@gmail.com</v>
      </c>
      <c r="HI6" s="6" t="str">
        <f>LOWER(CONCATENATE(HI2, HI3, "@gmail.com"))</f>
        <v>chrisdavis@gmail.com</v>
      </c>
      <c r="HJ6" s="6" t="str">
        <f>LOWER(CONCATENATE(HJ2, HJ3, "@gmail.com"))</f>
        <v>emilysmith@gmail.com</v>
      </c>
      <c r="HK6" s="6" t="str">
        <f>LOWER(CONCATENATE(HK2, HK3, "@gmail.com"))</f>
        <v>chrisjohnson@gmail.com</v>
      </c>
      <c r="HL6" s="6" t="str">
        <f>LOWER(CONCATENATE(HL2, HL3, "@gmail.com"))</f>
        <v>sarahwilson@gmail.com</v>
      </c>
      <c r="HM6" s="6" t="str">
        <f>LOWER(CONCATENATE(HM2, HM3, "@gmail.com"))</f>
        <v>michaeljohnson@gmail.com</v>
      </c>
      <c r="HN6" s="6" t="str">
        <f>LOWER(CONCATENATE(HN2, HN3, "@gmail.com"))</f>
        <v>alexdavis@gmail.com</v>
      </c>
      <c r="HO6" s="6" t="str">
        <f>LOWER(CONCATENATE(HO2, HO3, "@gmail.com"))</f>
        <v>alexsmith@gmail.com</v>
      </c>
      <c r="HP6" s="6" t="str">
        <f>LOWER(CONCATENATE(HP2, HP3, "@gmail.com"))</f>
        <v>katiebrown@gmail.com</v>
      </c>
      <c r="HQ6" s="6" t="str">
        <f>LOWER(CONCATENATE(HQ2, HQ3, "@gmail.com"))</f>
        <v>emilywilliams@gmail.com</v>
      </c>
      <c r="HR6" s="6" t="str">
        <f>LOWER(CONCATENATE(HR2, HR3, "@gmail.com"))</f>
        <v>janesmith@gmail.com</v>
      </c>
      <c r="HS6" s="6" t="str">
        <f>LOWER(CONCATENATE(HS2, HS3, "@gmail.com"))</f>
        <v>janewilson@gmail.com</v>
      </c>
      <c r="HT6" s="6" t="str">
        <f>LOWER(CONCATENATE(HT2, HT3, "@gmail.com"))</f>
        <v>chrisjohnson@gmail.com</v>
      </c>
      <c r="HU6" s="6" t="str">
        <f>LOWER(CONCATENATE(HU2, HU3, "@gmail.com"))</f>
        <v>katiewilson@gmail.com</v>
      </c>
      <c r="HV6" s="6" t="str">
        <f>LOWER(CONCATENATE(HV2, HV3, "@gmail.com"))</f>
        <v>johnwilson@gmail.com</v>
      </c>
      <c r="HW6" s="6" t="str">
        <f>LOWER(CONCATENATE(HW2, HW3, "@gmail.com"))</f>
        <v>chrisdavis@gmail.com</v>
      </c>
      <c r="HX6" s="6" t="str">
        <f>LOWER(CONCATENATE(HX2, HX3, "@gmail.com"))</f>
        <v>katiedavis@gmail.com</v>
      </c>
      <c r="HY6" s="6" t="str">
        <f>LOWER(CONCATENATE(HY2, HY3, "@gmail.com"))</f>
        <v>emilywilliams@gmail.com</v>
      </c>
      <c r="HZ6" s="6" t="str">
        <f>LOWER(CONCATENATE(HZ2, HZ3, "@gmail.com"))</f>
        <v>emilydavis@gmail.com</v>
      </c>
      <c r="IA6" s="6" t="str">
        <f>LOWER(CONCATENATE(IA2, IA3, "@gmail.com"))</f>
        <v>emilydavis@gmail.com</v>
      </c>
      <c r="IB6" s="6" t="str">
        <f>LOWER(CONCATENATE(IB2, IB3, "@gmail.com"))</f>
        <v>emilysmith@gmail.com</v>
      </c>
      <c r="IC6" s="6" t="str">
        <f>LOWER(CONCATENATE(IC2, IC3, "@gmail.com"))</f>
        <v>emilybrown@gmail.com</v>
      </c>
      <c r="ID6" s="6" t="str">
        <f>LOWER(CONCATENATE(ID2, ID3, "@gmail.com"))</f>
        <v>katiewilliams@gmail.com</v>
      </c>
      <c r="IE6" s="6" t="str">
        <f>LOWER(CONCATENATE(IE2, IE3, "@gmail.com"))</f>
        <v>katiesmith@gmail.com</v>
      </c>
      <c r="IF6" s="6" t="str">
        <f>LOWER(CONCATENATE(IF2, IF3, "@gmail.com"))</f>
        <v>alexbrown@gmail.com</v>
      </c>
      <c r="IG6" s="6" t="str">
        <f>LOWER(CONCATENATE(IG2, IG3, "@gmail.com"))</f>
        <v>sarahwilson@gmail.com</v>
      </c>
      <c r="IH6" s="6" t="str">
        <f>LOWER(CONCATENATE(IH2, IH3, "@gmail.com"))</f>
        <v>janesmith@gmail.com</v>
      </c>
      <c r="II6" s="6" t="str">
        <f>LOWER(CONCATENATE(II2, II3, "@gmail.com"))</f>
        <v>michaelmiller@gmail.com</v>
      </c>
      <c r="IJ6" s="6" t="str">
        <f>LOWER(CONCATENATE(IJ2, IJ3, "@gmail.com"))</f>
        <v>emilysmith@gmail.com</v>
      </c>
      <c r="IK6" s="6" t="str">
        <f>LOWER(CONCATENATE(IK2, IK3, "@gmail.com"))</f>
        <v>johndavis@gmail.com</v>
      </c>
      <c r="IL6" s="6" t="str">
        <f>LOWER(CONCATENATE(IL2, IL3, "@gmail.com"))</f>
        <v>michaelbrown@gmail.com</v>
      </c>
      <c r="IM6" s="6" t="str">
        <f>LOWER(CONCATENATE(IM2, IM3, "@gmail.com"))</f>
        <v>katiewilliams@gmail.com</v>
      </c>
      <c r="IN6" s="6" t="str">
        <f>LOWER(CONCATENATE(IN2, IN3, "@gmail.com"))</f>
        <v>johnwilliams@gmail.com</v>
      </c>
      <c r="IO6" s="6" t="str">
        <f>LOWER(CONCATENATE(IO2, IO3, "@gmail.com"))</f>
        <v>johnbrown@gmail.com</v>
      </c>
      <c r="IP6" s="6" t="str">
        <f>LOWER(CONCATENATE(IP2, IP3, "@gmail.com"))</f>
        <v>johndavis@gmail.com</v>
      </c>
      <c r="IQ6" s="6" t="str">
        <f>LOWER(CONCATENATE(IQ2, IQ3, "@gmail.com"))</f>
        <v>alexjohnson@gmail.com</v>
      </c>
      <c r="IR6" s="6" t="str">
        <f>LOWER(CONCATENATE(IR2, IR3, "@gmail.com"))</f>
        <v>katiesmith@gmail.com</v>
      </c>
      <c r="IS6" s="6" t="str">
        <f>LOWER(CONCATENATE(IS2, IS3, "@gmail.com"))</f>
        <v>johndavis@gmail.com</v>
      </c>
      <c r="IT6" s="6" t="str">
        <f>LOWER(CONCATENATE(IT2, IT3, "@gmail.com"))</f>
        <v>emilymiller@gmail.com</v>
      </c>
      <c r="IU6" s="6" t="str">
        <f>LOWER(CONCATENATE(IU2, IU3, "@gmail.com"))</f>
        <v>chriswilson@gmail.com</v>
      </c>
      <c r="IV6" s="6" t="str">
        <f>LOWER(CONCATENATE(IV2, IV3, "@gmail.com"))</f>
        <v>johnbrown@gmail.com</v>
      </c>
      <c r="IW6" s="6" t="str">
        <f>LOWER(CONCATENATE(IW2, IW3, "@gmail.com"))</f>
        <v>alexsmith@gmail.com</v>
      </c>
      <c r="IX6" s="6" t="str">
        <f>LOWER(CONCATENATE(IX2, IX3, "@gmail.com"))</f>
        <v>michaelwilliams@gmail.com</v>
      </c>
      <c r="IY6" s="6" t="str">
        <f>LOWER(CONCATENATE(IY2, IY3, "@gmail.com"))</f>
        <v>katiewilson@gmail.com</v>
      </c>
      <c r="IZ6" s="6" t="str">
        <f>LOWER(CONCATENATE(IZ2, IZ3, "@gmail.com"))</f>
        <v>sarahjohnson@gmail.com</v>
      </c>
      <c r="JA6" s="6" t="str">
        <f>LOWER(CONCATENATE(JA2, JA3, "@gmail.com"))</f>
        <v>alexmiller@gmail.com</v>
      </c>
      <c r="JB6" s="6" t="str">
        <f>LOWER(CONCATENATE(JB2, JB3, "@gmail.com"))</f>
        <v>johnwilliams@gmail.com</v>
      </c>
      <c r="JC6" s="6" t="str">
        <f>LOWER(CONCATENATE(JC2, JC3, "@gmail.com"))</f>
        <v>katiebrown@gmail.com</v>
      </c>
      <c r="JD6" s="6" t="str">
        <f>LOWER(CONCATENATE(JD2, JD3, "@gmail.com"))</f>
        <v>chrissmith@gmail.com</v>
      </c>
      <c r="JE6" s="6" t="str">
        <f>LOWER(CONCATENATE(JE2, JE3, "@gmail.com"))</f>
        <v>johnbrown@gmail.com</v>
      </c>
      <c r="JF6" s="6" t="str">
        <f>LOWER(CONCATENATE(JF2, JF3, "@gmail.com"))</f>
        <v>alexwilson@gmail.com</v>
      </c>
      <c r="JG6" s="6" t="str">
        <f>LOWER(CONCATENATE(JG2, JG3, "@gmail.com"))</f>
        <v>janesmith@gmail.com</v>
      </c>
      <c r="JH6" s="6" t="str">
        <f>LOWER(CONCATENATE(JH2, JH3, "@gmail.com"))</f>
        <v>emilydavis@gmail.com</v>
      </c>
      <c r="JI6" s="6" t="str">
        <f>LOWER(CONCATENATE(JI2, JI3, "@gmail.com"))</f>
        <v>sarahjohnson@gmail.com</v>
      </c>
      <c r="JJ6" s="6" t="str">
        <f>LOWER(CONCATENATE(JJ2, JJ3, "@gmail.com"))</f>
        <v>michaeldavis@gmail.com</v>
      </c>
      <c r="JK6" s="6" t="str">
        <f>LOWER(CONCATENATE(JK2, JK3, "@gmail.com"))</f>
        <v>alexdavis@gmail.com</v>
      </c>
      <c r="JL6" s="6" t="str">
        <f>LOWER(CONCATENATE(JL2, JL3, "@gmail.com"))</f>
        <v>katiebrown@gmail.com</v>
      </c>
      <c r="JM6" s="6" t="str">
        <f>LOWER(CONCATENATE(JM2, JM3, "@gmail.com"))</f>
        <v>sarahwilson@gmail.com</v>
      </c>
      <c r="JN6" s="6" t="str">
        <f>LOWER(CONCATENATE(JN2, JN3, "@gmail.com"))</f>
        <v>sarahjohnson@gmail.com</v>
      </c>
      <c r="JO6" s="6" t="str">
        <f>LOWER(CONCATENATE(JO2, JO3, "@gmail.com"))</f>
        <v>sarahsmith@gmail.com</v>
      </c>
      <c r="JP6" s="6" t="str">
        <f>LOWER(CONCATENATE(JP2, JP3, "@gmail.com"))</f>
        <v>johnsmith@gmail.com</v>
      </c>
      <c r="JQ6" s="6" t="str">
        <f>LOWER(CONCATENATE(JQ2, JQ3, "@gmail.com"))</f>
        <v>emilymiller@gmail.com</v>
      </c>
      <c r="JR6" s="6" t="str">
        <f>LOWER(CONCATENATE(JR2, JR3, "@gmail.com"))</f>
        <v>johnwilliams@gmail.com</v>
      </c>
      <c r="JS6" s="6" t="str">
        <f>LOWER(CONCATENATE(JS2, JS3, "@gmail.com"))</f>
        <v>katiemiller@gmail.com</v>
      </c>
      <c r="JT6" s="6" t="str">
        <f>LOWER(CONCATENATE(JT2, JT3, "@gmail.com"))</f>
        <v>johnmiller@gmail.com</v>
      </c>
      <c r="JU6" s="6" t="str">
        <f>LOWER(CONCATENATE(JU2, JU3, "@gmail.com"))</f>
        <v>janesmith@gmail.com</v>
      </c>
      <c r="JV6" s="6" t="str">
        <f>LOWER(CONCATENATE(JV2, JV3, "@gmail.com"))</f>
        <v>emilybrown@gmail.com</v>
      </c>
      <c r="JW6" s="6" t="str">
        <f>LOWER(CONCATENATE(JW2, JW3, "@gmail.com"))</f>
        <v>emilydavis@gmail.com</v>
      </c>
      <c r="JX6" s="6" t="str">
        <f>LOWER(CONCATENATE(JX2, JX3, "@gmail.com"))</f>
        <v>katiewilson@gmail.com</v>
      </c>
      <c r="JY6" s="6" t="str">
        <f>LOWER(CONCATENATE(JY2, JY3, "@gmail.com"))</f>
        <v>michaeldavis@gmail.com</v>
      </c>
      <c r="JZ6" s="6" t="str">
        <f>LOWER(CONCATENATE(JZ2, JZ3, "@gmail.com"))</f>
        <v>janedavis@gmail.com</v>
      </c>
      <c r="KA6" s="6" t="str">
        <f>LOWER(CONCATENATE(KA2, KA3, "@gmail.com"))</f>
        <v>alexjohnson@gmail.com</v>
      </c>
      <c r="KB6" s="6" t="str">
        <f>LOWER(CONCATENATE(KB2, KB3, "@gmail.com"))</f>
        <v>johnsmith@gmail.com</v>
      </c>
      <c r="KC6" s="6" t="str">
        <f>LOWER(CONCATENATE(KC2, KC3, "@gmail.com"))</f>
        <v>chriswilson@gmail.com</v>
      </c>
      <c r="KD6" s="6" t="str">
        <f>LOWER(CONCATENATE(KD2, KD3, "@gmail.com"))</f>
        <v>johnbrown@gmail.com</v>
      </c>
      <c r="KE6" s="6" t="str">
        <f>LOWER(CONCATENATE(KE2, KE3, "@gmail.com"))</f>
        <v>sarahjohnson@gmail.com</v>
      </c>
      <c r="KF6" s="6" t="str">
        <f>LOWER(CONCATENATE(KF2, KF3, "@gmail.com"))</f>
        <v>johnwilliams@gmail.com</v>
      </c>
      <c r="KG6" s="6" t="str">
        <f>LOWER(CONCATENATE(KG2, KG3, "@gmail.com"))</f>
        <v>alexbrown@gmail.com</v>
      </c>
      <c r="KH6" s="6" t="str">
        <f>LOWER(CONCATENATE(KH2, KH3, "@gmail.com"))</f>
        <v>johnmiller@gmail.com</v>
      </c>
      <c r="KI6" s="6" t="str">
        <f>LOWER(CONCATENATE(KI2, KI3, "@gmail.com"))</f>
        <v>janebrown@gmail.com</v>
      </c>
      <c r="KJ6" s="6" t="str">
        <f>LOWER(CONCATENATE(KJ2, KJ3, "@gmail.com"))</f>
        <v>janebrown@gmail.com</v>
      </c>
      <c r="KK6" s="6" t="str">
        <f>LOWER(CONCATENATE(KK2, KK3, "@gmail.com"))</f>
        <v>emilydavis@gmail.com</v>
      </c>
      <c r="KL6" s="6" t="str">
        <f>LOWER(CONCATENATE(KL2, KL3, "@gmail.com"))</f>
        <v>katiebrown@gmail.com</v>
      </c>
      <c r="KM6" s="6" t="str">
        <f>LOWER(CONCATENATE(KM2, KM3, "@gmail.com"))</f>
        <v>michaelmiller@gmail.com</v>
      </c>
      <c r="KN6" s="6" t="str">
        <f>LOWER(CONCATENATE(KN2, KN3, "@gmail.com"))</f>
        <v>chrismiller@gmail.com</v>
      </c>
      <c r="KO6" s="6" t="str">
        <f>LOWER(CONCATENATE(KO2, KO3, "@gmail.com"))</f>
        <v>sarahsmith@gmail.com</v>
      </c>
      <c r="KP6" s="6" t="str">
        <f>LOWER(CONCATENATE(KP2, KP3, "@gmail.com"))</f>
        <v>johnbrown@gmail.com</v>
      </c>
      <c r="KQ6" s="6" t="str">
        <f>LOWER(CONCATENATE(KQ2, KQ3, "@gmail.com"))</f>
        <v>johndavis@gmail.com</v>
      </c>
      <c r="KR6" s="6" t="str">
        <f>LOWER(CONCATENATE(KR2, KR3, "@gmail.com"))</f>
        <v>alexbrown@gmail.com</v>
      </c>
      <c r="KS6" s="6" t="str">
        <f>LOWER(CONCATENATE(KS2, KS3, "@gmail.com"))</f>
        <v>katiewilliams@gmail.com</v>
      </c>
      <c r="KT6" s="6" t="str">
        <f>LOWER(CONCATENATE(KT2, KT3, "@gmail.com"))</f>
        <v>janewilliams@gmail.com</v>
      </c>
      <c r="KU6" s="6" t="str">
        <f>LOWER(CONCATENATE(KU2, KU3, "@gmail.com"))</f>
        <v>chrisdavis@gmail.com</v>
      </c>
      <c r="KV6" s="6" t="str">
        <f>LOWER(CONCATENATE(KV2, KV3, "@gmail.com"))</f>
        <v>emilysmith@gmail.com</v>
      </c>
      <c r="KW6" s="6" t="str">
        <f>LOWER(CONCATENATE(KW2, KW3, "@gmail.com"))</f>
        <v>janesmith@gmail.com</v>
      </c>
      <c r="KX6" s="6" t="str">
        <f>LOWER(CONCATENATE(KX2, KX3, "@gmail.com"))</f>
        <v>sarahmiller@gmail.com</v>
      </c>
      <c r="KY6" s="6" t="str">
        <f>LOWER(CONCATENATE(KY2, KY3, "@gmail.com"))</f>
        <v>katiemiller@gmail.com</v>
      </c>
      <c r="KZ6" s="6" t="str">
        <f>LOWER(CONCATENATE(KZ2, KZ3, "@gmail.com"))</f>
        <v>sarahjohnson@gmail.com</v>
      </c>
      <c r="LA6" s="6" t="str">
        <f>LOWER(CONCATENATE(LA2, LA3, "@gmail.com"))</f>
        <v>michaeldavis@gmail.com</v>
      </c>
      <c r="LB6" s="6" t="str">
        <f>LOWER(CONCATENATE(LB2, LB3, "@gmail.com"))</f>
        <v>emilybrown@gmail.com</v>
      </c>
      <c r="LC6" s="6" t="str">
        <f>LOWER(CONCATENATE(LC2, LC3, "@gmail.com"))</f>
        <v>michaelwilson@gmail.com</v>
      </c>
      <c r="LD6" s="6" t="str">
        <f>LOWER(CONCATENATE(LD2, LD3, "@gmail.com"))</f>
        <v>alexdavis@gmail.com</v>
      </c>
      <c r="LE6" s="6" t="str">
        <f>LOWER(CONCATENATE(LE2, LE3, "@gmail.com"))</f>
        <v>sarahjohnson@gmail.com</v>
      </c>
      <c r="LF6" s="6" t="str">
        <f>LOWER(CONCATENATE(LF2, LF3, "@gmail.com"))</f>
        <v>alexmiller@gmail.com</v>
      </c>
      <c r="LG6" s="6" t="str">
        <f>LOWER(CONCATENATE(LG2, LG3, "@gmail.com"))</f>
        <v>johndavis@gmail.com</v>
      </c>
      <c r="LH6" s="6" t="str">
        <f>LOWER(CONCATENATE(LH2, LH3, "@gmail.com"))</f>
        <v>michaeldavis@gmail.com</v>
      </c>
      <c r="LI6" s="6" t="str">
        <f>LOWER(CONCATENATE(LI2, LI3, "@gmail.com"))</f>
        <v>katiemiller@gmail.com</v>
      </c>
      <c r="LJ6" s="6" t="str">
        <f>LOWER(CONCATENATE(LJ2, LJ3, "@gmail.com"))</f>
        <v>sarahjohnson@gmail.com</v>
      </c>
      <c r="LK6" s="6" t="str">
        <f>LOWER(CONCATENATE(LK2, LK3, "@gmail.com"))</f>
        <v>chrismiller@gmail.com</v>
      </c>
      <c r="LL6" s="6" t="str">
        <f>LOWER(CONCATENATE(LL2, LL3, "@gmail.com"))</f>
        <v>emilysmith@gmail.com</v>
      </c>
      <c r="LM6" s="6" t="str">
        <f>LOWER(CONCATENATE(LM2, LM3, "@gmail.com"))</f>
        <v>janebrown@gmail.com</v>
      </c>
      <c r="LN6" s="6" t="str">
        <f>LOWER(CONCATENATE(LN2, LN3, "@gmail.com"))</f>
        <v>katiemiller@gmail.com</v>
      </c>
      <c r="LO6" s="6" t="str">
        <f>LOWER(CONCATENATE(LO2, LO3, "@gmail.com"))</f>
        <v>katiejohnson@gmail.com</v>
      </c>
      <c r="LP6" s="6" t="str">
        <f>LOWER(CONCATENATE(LP2, LP3, "@gmail.com"))</f>
        <v>alexwilliams@gmail.com</v>
      </c>
      <c r="LQ6" s="6" t="str">
        <f>LOWER(CONCATENATE(LQ2, LQ3, "@gmail.com"))</f>
        <v>michaelsmith@gmail.com</v>
      </c>
      <c r="LR6" s="6" t="str">
        <f>LOWER(CONCATENATE(LR2, LR3, "@gmail.com"))</f>
        <v>sarahwilliams@gmail.com</v>
      </c>
      <c r="LS6" s="6" t="str">
        <f>LOWER(CONCATENATE(LS2, LS3, "@gmail.com"))</f>
        <v>sarahwilson@gmail.com</v>
      </c>
      <c r="LT6" s="6" t="str">
        <f>LOWER(CONCATENATE(LT2, LT3, "@gmail.com"))</f>
        <v>johnmiller@gmail.com</v>
      </c>
      <c r="LU6" s="6" t="str">
        <f>LOWER(CONCATENATE(LU2, LU3, "@gmail.com"))</f>
        <v>johnsmith@gmail.com</v>
      </c>
      <c r="LV6" s="6" t="str">
        <f>LOWER(CONCATENATE(LV2, LV3, "@gmail.com"))</f>
        <v>emilybrown@gmail.com</v>
      </c>
      <c r="LW6" s="6" t="str">
        <f>LOWER(CONCATENATE(LW2, LW3, "@gmail.com"))</f>
        <v>alexmiller@gmail.com</v>
      </c>
      <c r="LX6" s="6" t="str">
        <f>LOWER(CONCATENATE(LX2, LX3, "@gmail.com"))</f>
        <v>katiebrown@gmail.com</v>
      </c>
      <c r="LY6" s="6" t="str">
        <f>LOWER(CONCATENATE(LY2, LY3, "@gmail.com"))</f>
        <v>sarahdavis@gmail.com</v>
      </c>
      <c r="LZ6" s="6" t="str">
        <f>LOWER(CONCATENATE(LZ2, LZ3, "@gmail.com"))</f>
        <v>chriswilliams@gmail.com</v>
      </c>
      <c r="MA6" s="6" t="str">
        <f>LOWER(CONCATENATE(MA2, MA3, "@gmail.com"))</f>
        <v>alexsmith@gmail.com</v>
      </c>
      <c r="MB6" s="6" t="str">
        <f>LOWER(CONCATENATE(MB2, MB3, "@gmail.com"))</f>
        <v>emilybrown@gmail.com</v>
      </c>
      <c r="MC6" s="6" t="str">
        <f>LOWER(CONCATENATE(MC2, MC3, "@gmail.com"))</f>
        <v>emilyjohnson@gmail.com</v>
      </c>
      <c r="MD6" s="6" t="str">
        <f>LOWER(CONCATENATE(MD2, MD3, "@gmail.com"))</f>
        <v>alexbrown@gmail.com</v>
      </c>
      <c r="ME6" s="6" t="str">
        <f>LOWER(CONCATENATE(ME2, ME3, "@gmail.com"))</f>
        <v>emilyjohnson@gmail.com</v>
      </c>
      <c r="MF6" s="6" t="str">
        <f>LOWER(CONCATENATE(MF2, MF3, "@gmail.com"))</f>
        <v>alexmiller@gmail.com</v>
      </c>
      <c r="MG6" s="6" t="str">
        <f>LOWER(CONCATENATE(MG2, MG3, "@gmail.com"))</f>
        <v>janesmith@gmail.com</v>
      </c>
      <c r="MH6" s="6" t="str">
        <f>LOWER(CONCATENATE(MH2, MH3, "@gmail.com"))</f>
        <v>alexbrown@gmail.com</v>
      </c>
      <c r="MI6" s="6" t="str">
        <f>LOWER(CONCATENATE(MI2, MI3, "@gmail.com"))</f>
        <v>michaelwilson@gmail.com</v>
      </c>
      <c r="MJ6" s="6" t="str">
        <f>LOWER(CONCATENATE(MJ2, MJ3, "@gmail.com"))</f>
        <v>alexbrown@gmail.com</v>
      </c>
      <c r="MK6" s="6" t="str">
        <f>LOWER(CONCATENATE(MK2, MK3, "@gmail.com"))</f>
        <v>emilywilson@gmail.com</v>
      </c>
      <c r="ML6" s="6" t="str">
        <f>LOWER(CONCATENATE(ML2, ML3, "@gmail.com"))</f>
        <v>sarahsmith@gmail.com</v>
      </c>
      <c r="MM6" s="6" t="str">
        <f>LOWER(CONCATENATE(MM2, MM3, "@gmail.com"))</f>
        <v>michaelbrown@gmail.com</v>
      </c>
      <c r="MN6" s="6" t="str">
        <f>LOWER(CONCATENATE(MN2, MN3, "@gmail.com"))</f>
        <v>emilyjohnson@gmail.com</v>
      </c>
      <c r="MO6" s="6" t="str">
        <f>LOWER(CONCATENATE(MO2, MO3, "@gmail.com"))</f>
        <v>johnbrown@gmail.com</v>
      </c>
      <c r="MP6" s="6" t="str">
        <f>LOWER(CONCATENATE(MP2, MP3, "@gmail.com"))</f>
        <v>johnwilliams@gmail.com</v>
      </c>
      <c r="MQ6" s="6" t="str">
        <f>LOWER(CONCATENATE(MQ2, MQ3, "@gmail.com"))</f>
        <v>sarahmiller@gmail.com</v>
      </c>
      <c r="MR6" s="6" t="str">
        <f>LOWER(CONCATENATE(MR2, MR3, "@gmail.com"))</f>
        <v>sarahdavis@gmail.com</v>
      </c>
      <c r="MS6" s="6" t="str">
        <f>LOWER(CONCATENATE(MS2, MS3, "@gmail.com"))</f>
        <v>michaeljohnson@gmail.com</v>
      </c>
      <c r="MT6" s="6" t="str">
        <f>LOWER(CONCATENATE(MT2, MT3, "@gmail.com"))</f>
        <v>janewilliams@gmail.com</v>
      </c>
      <c r="MU6" s="6" t="str">
        <f>LOWER(CONCATENATE(MU2, MU3, "@gmail.com"))</f>
        <v>sarahwilson@gmail.com</v>
      </c>
      <c r="MV6" s="6" t="str">
        <f>LOWER(CONCATENATE(MV2, MV3, "@gmail.com"))</f>
        <v>johnmiller@gmail.com</v>
      </c>
      <c r="MW6" s="6" t="str">
        <f>LOWER(CONCATENATE(MW2, MW3, "@gmail.com"))</f>
        <v>alexsmith@gmail.com</v>
      </c>
      <c r="MX6" s="6" t="str">
        <f>LOWER(CONCATENATE(MX2, MX3, "@gmail.com"))</f>
        <v>emilyjohnson@gmail.com</v>
      </c>
      <c r="MY6" s="6" t="str">
        <f>LOWER(CONCATENATE(MY2, MY3, "@gmail.com"))</f>
        <v>johndavis@gmail.com</v>
      </c>
      <c r="MZ6" s="6" t="str">
        <f>LOWER(CONCATENATE(MZ2, MZ3, "@gmail.com"))</f>
        <v>johnmiller@gmail.com</v>
      </c>
      <c r="NA6" s="6" t="str">
        <f>LOWER(CONCATENATE(NA2, NA3, "@gmail.com"))</f>
        <v>janewilson@gmail.com</v>
      </c>
      <c r="NB6" s="6" t="str">
        <f>LOWER(CONCATENATE(NB2, NB3, "@gmail.com"))</f>
        <v>michaeldavis@gmail.com</v>
      </c>
      <c r="NC6" s="6" t="str">
        <f>LOWER(CONCATENATE(NC2, NC3, "@gmail.com"))</f>
        <v>michaelsmith@gmail.com</v>
      </c>
      <c r="ND6" s="6" t="str">
        <f>LOWER(CONCATENATE(ND2, ND3, "@gmail.com"))</f>
        <v>katiesmith@gmail.com</v>
      </c>
      <c r="NE6" s="6" t="str">
        <f>LOWER(CONCATENATE(NE2, NE3, "@gmail.com"))</f>
        <v>janewilson@gmail.com</v>
      </c>
      <c r="NF6" s="6" t="str">
        <f>LOWER(CONCATENATE(NF2, NF3, "@gmail.com"))</f>
        <v>alexjohnson@gmail.com</v>
      </c>
      <c r="NG6" s="6" t="str">
        <f>LOWER(CONCATENATE(NG2, NG3, "@gmail.com"))</f>
        <v>michaelwilson@gmail.com</v>
      </c>
      <c r="NH6" s="6" t="str">
        <f>LOWER(CONCATENATE(NH2, NH3, "@gmail.com"))</f>
        <v>emilybrown@gmail.com</v>
      </c>
      <c r="NI6" s="6" t="str">
        <f>LOWER(CONCATENATE(NI2, NI3, "@gmail.com"))</f>
        <v>sarahsmith@gmail.com</v>
      </c>
      <c r="NJ6" s="6" t="str">
        <f>LOWER(CONCATENATE(NJ2, NJ3, "@gmail.com"))</f>
        <v>janemiller@gmail.com</v>
      </c>
      <c r="NK6" s="6" t="str">
        <f>LOWER(CONCATENATE(NK2, NK3, "@gmail.com"))</f>
        <v>sarahbrown@gmail.com</v>
      </c>
      <c r="NL6" s="6" t="str">
        <f>LOWER(CONCATENATE(NL2, NL3, "@gmail.com"))</f>
        <v>johnwilliams@gmail.com</v>
      </c>
      <c r="NM6" s="6" t="str">
        <f>LOWER(CONCATENATE(NM2, NM3, "@gmail.com"))</f>
        <v>emilydavis@gmail.com</v>
      </c>
      <c r="NN6" s="6" t="str">
        <f>LOWER(CONCATENATE(NN2, NN3, "@gmail.com"))</f>
        <v>emilybrown@gmail.com</v>
      </c>
      <c r="NO6" s="6" t="str">
        <f>LOWER(CONCATENATE(NO2, NO3, "@gmail.com"))</f>
        <v>johndavis@gmail.com</v>
      </c>
      <c r="NP6" s="6" t="str">
        <f>LOWER(CONCATENATE(NP2, NP3, "@gmail.com"))</f>
        <v>janewilson@gmail.com</v>
      </c>
      <c r="NQ6" s="6" t="str">
        <f>LOWER(CONCATENATE(NQ2, NQ3, "@gmail.com"))</f>
        <v>johnbrown@gmail.com</v>
      </c>
      <c r="NR6" s="6" t="str">
        <f>LOWER(CONCATENATE(NR2, NR3, "@gmail.com"))</f>
        <v>sarahwilson@gmail.com</v>
      </c>
      <c r="NS6" s="6" t="str">
        <f>LOWER(CONCATENATE(NS2, NS3, "@gmail.com"))</f>
        <v>katiewilliams@gmail.com</v>
      </c>
      <c r="NT6" s="6" t="str">
        <f>LOWER(CONCATENATE(NT2, NT3, "@gmail.com"))</f>
        <v>emilysmith@gmail.com</v>
      </c>
      <c r="NU6" s="6" t="str">
        <f>LOWER(CONCATENATE(NU2, NU3, "@gmail.com"))</f>
        <v>chriswilliams@gmail.com</v>
      </c>
      <c r="NV6" s="6" t="str">
        <f>LOWER(CONCATENATE(NV2, NV3, "@gmail.com"))</f>
        <v>chrissmith@gmail.com</v>
      </c>
      <c r="NW6" s="6" t="str">
        <f>LOWER(CONCATENATE(NW2, NW3, "@gmail.com"))</f>
        <v>sarahwilson@gmail.com</v>
      </c>
      <c r="NX6" s="6" t="str">
        <f>LOWER(CONCATENATE(NX2, NX3, "@gmail.com"))</f>
        <v>alexsmith@gmail.com</v>
      </c>
      <c r="NY6" s="6" t="str">
        <f>LOWER(CONCATENATE(NY2, NY3, "@gmail.com"))</f>
        <v>michaeldavis@gmail.com</v>
      </c>
      <c r="NZ6" s="6" t="str">
        <f>LOWER(CONCATENATE(NZ2, NZ3, "@gmail.com"))</f>
        <v>johnmiller@gmail.com</v>
      </c>
      <c r="OA6" s="6" t="str">
        <f>LOWER(CONCATENATE(OA2, OA3, "@gmail.com"))</f>
        <v>johnwilliams@gmail.com</v>
      </c>
      <c r="OB6" s="6" t="str">
        <f>LOWER(CONCATENATE(OB2, OB3, "@gmail.com"))</f>
        <v>alexbrown@gmail.com</v>
      </c>
      <c r="OC6" s="6" t="str">
        <f>LOWER(CONCATENATE(OC2, OC3, "@gmail.com"))</f>
        <v>alexwilliams@gmail.com</v>
      </c>
      <c r="OD6" s="6" t="str">
        <f>LOWER(CONCATENATE(OD2, OD3, "@gmail.com"))</f>
        <v>sarahdavis@gmail.com</v>
      </c>
      <c r="OE6" s="6" t="str">
        <f>LOWER(CONCATENATE(OE2, OE3, "@gmail.com"))</f>
        <v>sarahsmith@gmail.com</v>
      </c>
      <c r="OF6" s="6" t="str">
        <f>LOWER(CONCATENATE(OF2, OF3, "@gmail.com"))</f>
        <v>alexdavis@gmail.com</v>
      </c>
      <c r="OG6" s="6" t="str">
        <f>LOWER(CONCATENATE(OG2, OG3, "@gmail.com"))</f>
        <v>emilyjohnson@gmail.com</v>
      </c>
      <c r="OH6" s="6" t="str">
        <f>LOWER(CONCATENATE(OH2, OH3, "@gmail.com"))</f>
        <v>sarahjohnson@gmail.com</v>
      </c>
      <c r="OI6" s="6" t="str">
        <f>LOWER(CONCATENATE(OI2, OI3, "@gmail.com"))</f>
        <v>katiebrown@gmail.com</v>
      </c>
      <c r="OJ6" s="6" t="str">
        <f>LOWER(CONCATENATE(OJ2, OJ3, "@gmail.com"))</f>
        <v>sarahdavis@gmail.com</v>
      </c>
      <c r="OK6" s="6" t="str">
        <f>LOWER(CONCATENATE(OK2, OK3, "@gmail.com"))</f>
        <v>johnwilson@gmail.com</v>
      </c>
      <c r="OL6" s="6" t="str">
        <f>LOWER(CONCATENATE(OL2, OL3, "@gmail.com"))</f>
        <v>sarahbrown@gmail.com</v>
      </c>
      <c r="OM6" s="6" t="str">
        <f>LOWER(CONCATENATE(OM2, OM3, "@gmail.com"))</f>
        <v>emilywilson@gmail.com</v>
      </c>
      <c r="ON6" s="6" t="str">
        <f>LOWER(CONCATENATE(ON2, ON3, "@gmail.com"))</f>
        <v>alexbrown@gmail.com</v>
      </c>
      <c r="OO6" s="6" t="str">
        <f>LOWER(CONCATENATE(OO2, OO3, "@gmail.com"))</f>
        <v>johnjohnson@gmail.com</v>
      </c>
      <c r="OP6" s="6" t="str">
        <f>LOWER(CONCATENATE(OP2, OP3, "@gmail.com"))</f>
        <v>sarahbrown@gmail.com</v>
      </c>
      <c r="OQ6" s="6" t="str">
        <f>LOWER(CONCATENATE(OQ2, OQ3, "@gmail.com"))</f>
        <v>emilyjohnson@gmail.com</v>
      </c>
      <c r="OR6" s="6" t="str">
        <f>LOWER(CONCATENATE(OR2, OR3, "@gmail.com"))</f>
        <v>katiesmith@gmail.com</v>
      </c>
      <c r="OS6" s="6" t="str">
        <f>LOWER(CONCATENATE(OS2, OS3, "@gmail.com"))</f>
        <v>sarahwilson@gmail.com</v>
      </c>
      <c r="OT6" s="6" t="str">
        <f>LOWER(CONCATENATE(OT2, OT3, "@gmail.com"))</f>
        <v>emilydavis@gmail.com</v>
      </c>
      <c r="OU6" s="6" t="str">
        <f>LOWER(CONCATENATE(OU2, OU3, "@gmail.com"))</f>
        <v>katiebrown@gmail.com</v>
      </c>
      <c r="OV6" s="6" t="str">
        <f>LOWER(CONCATENATE(OV2, OV3, "@gmail.com"))</f>
        <v>alexjohnson@gmail.com</v>
      </c>
      <c r="OW6" s="6" t="str">
        <f>LOWER(CONCATENATE(OW2, OW3, "@gmail.com"))</f>
        <v>sarahwilliams@gmail.com</v>
      </c>
      <c r="OX6" s="6" t="str">
        <f>LOWER(CONCATENATE(OX2, OX3, "@gmail.com"))</f>
        <v>katiewilson@gmail.com</v>
      </c>
      <c r="OY6" s="6" t="str">
        <f>LOWER(CONCATENATE(OY2, OY3, "@gmail.com"))</f>
        <v>johnbrown@gmail.com</v>
      </c>
      <c r="OZ6" s="6" t="str">
        <f>LOWER(CONCATENATE(OZ2, OZ3, "@gmail.com"))</f>
        <v>alexmiller@gmail.com</v>
      </c>
      <c r="PA6" s="6" t="str">
        <f>LOWER(CONCATENATE(PA2, PA3, "@gmail.com"))</f>
        <v>johnsmith@gmail.com</v>
      </c>
      <c r="PB6" s="6" t="str">
        <f>LOWER(CONCATENATE(PB2, PB3, "@gmail.com"))</f>
        <v>chrissmith@gmail.com</v>
      </c>
      <c r="PC6" s="6" t="str">
        <f>LOWER(CONCATENATE(PC2, PC3, "@gmail.com"))</f>
        <v>janewilliams@gmail.com</v>
      </c>
      <c r="PD6" s="6" t="str">
        <f>LOWER(CONCATENATE(PD2, PD3, "@gmail.com"))</f>
        <v>sarahjohnson@gmail.com</v>
      </c>
      <c r="PE6" s="6" t="str">
        <f>LOWER(CONCATENATE(PE2, PE3, "@gmail.com"))</f>
        <v>katiebrown@gmail.com</v>
      </c>
      <c r="PF6" s="6" t="str">
        <f>LOWER(CONCATENATE(PF2, PF3, "@gmail.com"))</f>
        <v>janewilson@gmail.com</v>
      </c>
      <c r="PG6" s="6" t="str">
        <f>LOWER(CONCATENATE(PG2, PG3, "@gmail.com"))</f>
        <v>janejohnson@gmail.com</v>
      </c>
      <c r="PH6" s="6" t="str">
        <f>LOWER(CONCATENATE(PH2, PH3, "@gmail.com"))</f>
        <v>katiesmith@gmail.com</v>
      </c>
      <c r="PI6" s="6" t="str">
        <f>LOWER(CONCATENATE(PI2, PI3, "@gmail.com"))</f>
        <v>alexjohnson@gmail.com</v>
      </c>
      <c r="PJ6" s="6" t="str">
        <f>LOWER(CONCATENATE(PJ2, PJ3, "@gmail.com"))</f>
        <v>sarahsmith@gmail.com</v>
      </c>
      <c r="PK6" s="6" t="str">
        <f>LOWER(CONCATENATE(PK2, PK3, "@gmail.com"))</f>
        <v>chrisjohnson@gmail.com</v>
      </c>
      <c r="PL6" s="6" t="str">
        <f>LOWER(CONCATENATE(PL2, PL3, "@gmail.com"))</f>
        <v>johnwilliams@gmail.com</v>
      </c>
      <c r="PM6" s="6" t="str">
        <f>LOWER(CONCATENATE(PM2, PM3, "@gmail.com"))</f>
        <v>emilydavis@gmail.com</v>
      </c>
      <c r="PN6" s="6" t="str">
        <f>LOWER(CONCATENATE(PN2, PN3, "@gmail.com"))</f>
        <v>johnwilliams@gmail.com</v>
      </c>
      <c r="PO6" s="6" t="str">
        <f>LOWER(CONCATENATE(PO2, PO3, "@gmail.com"))</f>
        <v>emilywilliams@gmail.com</v>
      </c>
      <c r="PP6" s="6" t="str">
        <f>LOWER(CONCATENATE(PP2, PP3, "@gmail.com"))</f>
        <v>johndavis@gmail.com</v>
      </c>
      <c r="PQ6" s="6" t="str">
        <f>LOWER(CONCATENATE(PQ2, PQ3, "@gmail.com"))</f>
        <v>katiedavis@gmail.com</v>
      </c>
      <c r="PR6" s="6" t="str">
        <f>LOWER(CONCATENATE(PR2, PR3, "@gmail.com"))</f>
        <v>chrisbrown@gmail.com</v>
      </c>
      <c r="PS6" s="6" t="str">
        <f>LOWER(CONCATENATE(PS2, PS3, "@gmail.com"))</f>
        <v>sarahwilson@gmail.com</v>
      </c>
      <c r="PT6" s="6" t="str">
        <f>LOWER(CONCATENATE(PT2, PT3, "@gmail.com"))</f>
        <v>emilywilson@gmail.com</v>
      </c>
      <c r="PU6" s="6" t="str">
        <f>LOWER(CONCATENATE(PU2, PU3, "@gmail.com"))</f>
        <v>sarahbrown@gmail.com</v>
      </c>
      <c r="PV6" s="6" t="str">
        <f>LOWER(CONCATENATE(PV2, PV3, "@gmail.com"))</f>
        <v>sarahwilliams@gmail.com</v>
      </c>
      <c r="PW6" s="6" t="str">
        <f>LOWER(CONCATENATE(PW2, PW3, "@gmail.com"))</f>
        <v>sarahwilliams@gmail.com</v>
      </c>
      <c r="PX6" s="6" t="str">
        <f>LOWER(CONCATENATE(PX2, PX3, "@gmail.com"))</f>
        <v>michaelsmith@gmail.com</v>
      </c>
      <c r="PY6" s="6" t="str">
        <f>LOWER(CONCATENATE(PY2, PY3, "@gmail.com"))</f>
        <v>alexsmith@gmail.com</v>
      </c>
      <c r="PZ6" s="6" t="str">
        <f>LOWER(CONCATENATE(PZ2, PZ3, "@gmail.com"))</f>
        <v>johnwilson@gmail.com</v>
      </c>
      <c r="QA6" s="6" t="str">
        <f>LOWER(CONCATENATE(QA2, QA3, "@gmail.com"))</f>
        <v>sarahbrown@gmail.com</v>
      </c>
      <c r="QB6" s="6" t="str">
        <f>LOWER(CONCATENATE(QB2, QB3, "@gmail.com"))</f>
        <v>johnmiller@gmail.com</v>
      </c>
      <c r="QC6" s="6" t="str">
        <f>LOWER(CONCATENATE(QC2, QC3, "@gmail.com"))</f>
        <v>sarahmiller@gmail.com</v>
      </c>
      <c r="QD6" s="6" t="str">
        <f>LOWER(CONCATENATE(QD2, QD3, "@gmail.com"))</f>
        <v>emilybrown@gmail.com</v>
      </c>
      <c r="QE6" s="6" t="str">
        <f>LOWER(CONCATENATE(QE2, QE3, "@gmail.com"))</f>
        <v>alexsmith@gmail.com</v>
      </c>
      <c r="QF6" s="6" t="str">
        <f>LOWER(CONCATENATE(QF2, QF3, "@gmail.com"))</f>
        <v>alexwilson@gmail.com</v>
      </c>
      <c r="QG6" s="6" t="str">
        <f>LOWER(CONCATENATE(QG2, QG3, "@gmail.com"))</f>
        <v>katiewilson@gmail.com</v>
      </c>
      <c r="QH6" s="6" t="str">
        <f>LOWER(CONCATENATE(QH2, QH3, "@gmail.com"))</f>
        <v>michaelsmith@gmail.com</v>
      </c>
      <c r="QI6" s="6" t="str">
        <f>LOWER(CONCATENATE(QI2, QI3, "@gmail.com"))</f>
        <v>katiemiller@gmail.com</v>
      </c>
      <c r="QJ6" s="6" t="str">
        <f>LOWER(CONCATENATE(QJ2, QJ3, "@gmail.com"))</f>
        <v>katiejohnson@gmail.com</v>
      </c>
      <c r="QK6" s="6" t="str">
        <f>LOWER(CONCATENATE(QK2, QK3, "@gmail.com"))</f>
        <v>katiejohnson@gmail.com</v>
      </c>
      <c r="QL6" s="6" t="str">
        <f>LOWER(CONCATENATE(QL2, QL3, "@gmail.com"))</f>
        <v>katiesmith@gmail.com</v>
      </c>
      <c r="QM6" s="6" t="str">
        <f>LOWER(CONCATENATE(QM2, QM3, "@gmail.com"))</f>
        <v>katiejohnson@gmail.com</v>
      </c>
      <c r="QN6" s="6" t="str">
        <f>LOWER(CONCATENATE(QN2, QN3, "@gmail.com"))</f>
        <v>chrisdavis@gmail.com</v>
      </c>
      <c r="QO6" s="6" t="str">
        <f>LOWER(CONCATENATE(QO2, QO3, "@gmail.com"))</f>
        <v>alexbrown@gmail.com</v>
      </c>
      <c r="QP6" s="6" t="str">
        <f>LOWER(CONCATENATE(QP2, QP3, "@gmail.com"))</f>
        <v>katiebrown@gmail.com</v>
      </c>
      <c r="QQ6" s="6" t="str">
        <f>LOWER(CONCATENATE(QQ2, QQ3, "@gmail.com"))</f>
        <v>sarahsmith@gmail.com</v>
      </c>
      <c r="QR6" s="6" t="str">
        <f>LOWER(CONCATENATE(QR2, QR3, "@gmail.com"))</f>
        <v>alexwilliams@gmail.com</v>
      </c>
      <c r="QS6" s="6" t="str">
        <f>LOWER(CONCATENATE(QS2, QS3, "@gmail.com"))</f>
        <v>alexmiller@gmail.com</v>
      </c>
      <c r="QT6" s="6" t="str">
        <f>LOWER(CONCATENATE(QT2, QT3, "@gmail.com"))</f>
        <v>janesmith@gmail.com</v>
      </c>
      <c r="QU6" s="6" t="str">
        <f>LOWER(CONCATENATE(QU2, QU3, "@gmail.com"))</f>
        <v>chrisjohnson@gmail.com</v>
      </c>
      <c r="QV6" s="6" t="str">
        <f>LOWER(CONCATENATE(QV2, QV3, "@gmail.com"))</f>
        <v>katiemiller@gmail.com</v>
      </c>
      <c r="QW6" s="6" t="str">
        <f>LOWER(CONCATENATE(QW2, QW3, "@gmail.com"))</f>
        <v>johnwilliams@gmail.com</v>
      </c>
      <c r="QX6" s="6" t="str">
        <f>LOWER(CONCATENATE(QX2, QX3, "@gmail.com"))</f>
        <v>emilyjohnson@gmail.com</v>
      </c>
      <c r="QY6" s="6" t="str">
        <f>LOWER(CONCATENATE(QY2, QY3, "@gmail.com"))</f>
        <v>michaelwilson@gmail.com</v>
      </c>
      <c r="QZ6" s="6" t="str">
        <f>LOWER(CONCATENATE(QZ2, QZ3, "@gmail.com"))</f>
        <v>sarahdavis@gmail.com</v>
      </c>
      <c r="RA6" s="6" t="str">
        <f>LOWER(CONCATENATE(RA2, RA3, "@gmail.com"))</f>
        <v>johnjohnson@gmail.com</v>
      </c>
      <c r="RB6" s="6" t="str">
        <f>LOWER(CONCATENATE(RB2, RB3, "@gmail.com"))</f>
        <v>chrisdavis@gmail.com</v>
      </c>
      <c r="RC6" s="6" t="str">
        <f>LOWER(CONCATENATE(RC2, RC3, "@gmail.com"))</f>
        <v>emilymiller@gmail.com</v>
      </c>
      <c r="RD6" s="6" t="str">
        <f>LOWER(CONCATENATE(RD2, RD3, "@gmail.com"))</f>
        <v>chrisdavis@gmail.com</v>
      </c>
      <c r="RE6" s="6" t="str">
        <f>LOWER(CONCATENATE(RE2, RE3, "@gmail.com"))</f>
        <v>sarahmiller@gmail.com</v>
      </c>
      <c r="RF6" s="6" t="str">
        <f>LOWER(CONCATENATE(RF2, RF3, "@gmail.com"))</f>
        <v>alexmiller@gmail.com</v>
      </c>
      <c r="RG6" s="6" t="str">
        <f>LOWER(CONCATENATE(RG2, RG3, "@gmail.com"))</f>
        <v>emilymiller@gmail.com</v>
      </c>
      <c r="RH6" s="6" t="str">
        <f>LOWER(CONCATENATE(RH2, RH3, "@gmail.com"))</f>
        <v>alexmiller@gmail.com</v>
      </c>
      <c r="RI6" s="6" t="str">
        <f>LOWER(CONCATENATE(RI2, RI3, "@gmail.com"))</f>
        <v>sarahmiller@gmail.com</v>
      </c>
      <c r="RJ6" s="6" t="str">
        <f>LOWER(CONCATENATE(RJ2, RJ3, "@gmail.com"))</f>
        <v>johnjohnson@gmail.com</v>
      </c>
      <c r="RK6" s="6" t="str">
        <f>LOWER(CONCATENATE(RK2, RK3, "@gmail.com"))</f>
        <v>sarahmiller@gmail.com</v>
      </c>
      <c r="RL6" s="6" t="str">
        <f>LOWER(CONCATENATE(RL2, RL3, "@gmail.com"))</f>
        <v>johnjohnson@gmail.com</v>
      </c>
      <c r="RM6" s="6" t="str">
        <f>LOWER(CONCATENATE(RM2, RM3, "@gmail.com"))</f>
        <v>emilymiller@gmail.com</v>
      </c>
      <c r="RN6" s="6" t="str">
        <f>LOWER(CONCATENATE(RN2, RN3, "@gmail.com"))</f>
        <v>emilydavis@gmail.com</v>
      </c>
      <c r="RO6" s="6" t="str">
        <f>LOWER(CONCATENATE(RO2, RO3, "@gmail.com"))</f>
        <v>katiewilson@gmail.com</v>
      </c>
      <c r="RP6" s="6" t="str">
        <f>LOWER(CONCATENATE(RP2, RP3, "@gmail.com"))</f>
        <v>chrismiller@gmail.com</v>
      </c>
      <c r="RQ6" s="6" t="str">
        <f>LOWER(CONCATENATE(RQ2, RQ3, "@gmail.com"))</f>
        <v>katiewilliams@gmail.com</v>
      </c>
      <c r="RR6" s="6" t="str">
        <f>LOWER(CONCATENATE(RR2, RR3, "@gmail.com"))</f>
        <v>chrismiller@gmail.com</v>
      </c>
      <c r="RS6" s="6" t="str">
        <f>LOWER(CONCATENATE(RS2, RS3, "@gmail.com"))</f>
        <v>katiemiller@gmail.com</v>
      </c>
      <c r="RT6" s="6" t="str">
        <f>LOWER(CONCATENATE(RT2, RT3, "@gmail.com"))</f>
        <v>alexdavis@gmail.com</v>
      </c>
      <c r="RU6" s="6" t="str">
        <f>LOWER(CONCATENATE(RU2, RU3, "@gmail.com"))</f>
        <v>emilybrown@gmail.com</v>
      </c>
      <c r="RV6" s="6" t="str">
        <f>LOWER(CONCATENATE(RV2, RV3, "@gmail.com"))</f>
        <v>johndavis@gmail.com</v>
      </c>
      <c r="RW6" s="6" t="str">
        <f>LOWER(CONCATENATE(RW2, RW3, "@gmail.com"))</f>
        <v>chriswilliams@gmail.com</v>
      </c>
      <c r="RX6" s="6" t="str">
        <f>LOWER(CONCATENATE(RX2, RX3, "@gmail.com"))</f>
        <v>sarahbrown@gmail.com</v>
      </c>
      <c r="RY6" s="6" t="str">
        <f>LOWER(CONCATENATE(RY2, RY3, "@gmail.com"))</f>
        <v>chrissmith@gmail.com</v>
      </c>
      <c r="RZ6" s="6" t="str">
        <f>LOWER(CONCATENATE(RZ2, RZ3, "@gmail.com"))</f>
        <v>johnsmith@gmail.com</v>
      </c>
      <c r="SA6" s="6" t="str">
        <f>LOWER(CONCATENATE(SA2, SA3, "@gmail.com"))</f>
        <v>katiewilliams@gmail.com</v>
      </c>
      <c r="SB6" s="6" t="str">
        <f>LOWER(CONCATENATE(SB2, SB3, "@gmail.com"))</f>
        <v>chrisdavis@gmail.com</v>
      </c>
      <c r="SC6" s="6" t="str">
        <f>LOWER(CONCATENATE(SC2, SC3, "@gmail.com"))</f>
        <v>michaeljohnson@gmail.com</v>
      </c>
      <c r="SD6" s="6" t="str">
        <f>LOWER(CONCATENATE(SD2, SD3, "@gmail.com"))</f>
        <v>alexwilliams@gmail.com</v>
      </c>
      <c r="SE6" s="6" t="str">
        <f>LOWER(CONCATENATE(SE2, SE3, "@gmail.com"))</f>
        <v>emilywilson@gmail.com</v>
      </c>
      <c r="SF6" s="6" t="str">
        <f>LOWER(CONCATENATE(SF2, SF3, "@gmail.com"))</f>
        <v>johnbrown@gmail.com</v>
      </c>
      <c r="SG6" s="6" t="str">
        <f>LOWER(CONCATENATE(SG2, SG3, "@gmail.com"))</f>
        <v>emilybrown@gmail.com</v>
      </c>
      <c r="SH6" s="6" t="str">
        <f>LOWER(CONCATENATE(SH2, SH3, "@gmail.com"))</f>
        <v>michaelmiller@gmail.com</v>
      </c>
      <c r="SI6" s="6" t="str">
        <f>LOWER(CONCATENATE(SI2, SI3, "@gmail.com"))</f>
        <v>chrissmith@gmail.com</v>
      </c>
      <c r="SJ6" s="6" t="str">
        <f>LOWER(CONCATENATE(SJ2, SJ3, "@gmail.com"))</f>
        <v>chrisbrown@gmail.com</v>
      </c>
      <c r="SK6" s="6" t="str">
        <f>LOWER(CONCATENATE(SK2, SK3, "@gmail.com"))</f>
        <v>sarahwilliams@gmail.com</v>
      </c>
      <c r="SL6" s="6" t="str">
        <f>LOWER(CONCATENATE(SL2, SL3, "@gmail.com"))</f>
        <v>michaelbrown@gmail.com</v>
      </c>
      <c r="SM6" s="6" t="str">
        <f>LOWER(CONCATENATE(SM2, SM3, "@gmail.com"))</f>
        <v>johnwilliams@gmail.com</v>
      </c>
      <c r="SN6" s="6" t="str">
        <f>LOWER(CONCATENATE(SN2, SN3, "@gmail.com"))</f>
        <v>sarahjohnson@gmail.com</v>
      </c>
      <c r="SO6" s="6" t="str">
        <f>LOWER(CONCATENATE(SO2, SO3, "@gmail.com"))</f>
        <v>alexmiller@gmail.com</v>
      </c>
      <c r="SP6" s="6" t="str">
        <f>LOWER(CONCATENATE(SP2, SP3, "@gmail.com"))</f>
        <v>sarahsmith@gmail.com</v>
      </c>
      <c r="SQ6" s="6" t="str">
        <f>LOWER(CONCATENATE(SQ2, SQ3, "@gmail.com"))</f>
        <v>janebrown@gmail.com</v>
      </c>
      <c r="SR6" s="6" t="str">
        <f>LOWER(CONCATENATE(SR2, SR3, "@gmail.com"))</f>
        <v>johnwilliams@gmail.com</v>
      </c>
      <c r="SS6" s="6" t="str">
        <f>LOWER(CONCATENATE(SS2, SS3, "@gmail.com"))</f>
        <v>janedavis@gmail.com</v>
      </c>
      <c r="ST6" s="6" t="str">
        <f>LOWER(CONCATENATE(ST2, ST3, "@gmail.com"))</f>
        <v>michaelsmith@gmail.com</v>
      </c>
      <c r="SU6" s="6" t="str">
        <f>LOWER(CONCATENATE(SU2, SU3, "@gmail.com"))</f>
        <v>katiejohnson@gmail.com</v>
      </c>
      <c r="SV6" s="6" t="str">
        <f>LOWER(CONCATENATE(SV2, SV3, "@gmail.com"))</f>
        <v>janewilliams@gmail.com</v>
      </c>
      <c r="SW6" s="6" t="str">
        <f>LOWER(CONCATENATE(SW2, SW3, "@gmail.com"))</f>
        <v>alexwilson@gmail.com</v>
      </c>
      <c r="SX6" s="6" t="str">
        <f>LOWER(CONCATENATE(SX2, SX3, "@gmail.com"))</f>
        <v>sarahwilson@gmail.com</v>
      </c>
      <c r="SY6" s="6" t="str">
        <f>LOWER(CONCATENATE(SY2, SY3, "@gmail.com"))</f>
        <v>katiemiller@gmail.com</v>
      </c>
      <c r="SZ6" s="6" t="str">
        <f>LOWER(CONCATENATE(SZ2, SZ3, "@gmail.com"))</f>
        <v>sarahmiller@gmail.com</v>
      </c>
      <c r="TA6" s="6" t="str">
        <f>LOWER(CONCATENATE(TA2, TA3, "@gmail.com"))</f>
        <v>janejohnson@gmail.com</v>
      </c>
      <c r="TB6" s="6" t="str">
        <f>LOWER(CONCATENATE(TB2, TB3, "@gmail.com"))</f>
        <v>sarahjohnson@gmail.com</v>
      </c>
      <c r="TC6" s="6" t="str">
        <f>LOWER(CONCATENATE(TC2, TC3, "@gmail.com"))</f>
        <v>michaelmiller@gmail.com</v>
      </c>
      <c r="TD6" s="6" t="str">
        <f>LOWER(CONCATENATE(TD2, TD3, "@gmail.com"))</f>
        <v>katiebrown@gmail.com</v>
      </c>
      <c r="TE6" s="6" t="str">
        <f>LOWER(CONCATENATE(TE2, TE3, "@gmail.com"))</f>
        <v>michaelbrown@gmail.com</v>
      </c>
      <c r="TF6" s="6" t="str">
        <f>LOWER(CONCATENATE(TF2, TF3, "@gmail.com"))</f>
        <v>janewilliams@gmail.com</v>
      </c>
      <c r="TG6" s="6" t="str">
        <f>LOWER(CONCATENATE(TG2, TG3, "@gmail.com"))</f>
        <v>michaeldavis@gmail.com</v>
      </c>
      <c r="TH6" s="6" t="str">
        <f>LOWER(CONCATENATE(TH2, TH3, "@gmail.com"))</f>
        <v>alexwilliams@gmail.com</v>
      </c>
      <c r="TI6" s="6" t="str">
        <f>LOWER(CONCATENATE(TI2, TI3, "@gmail.com"))</f>
        <v>janedavis@gmail.com</v>
      </c>
      <c r="TJ6" s="6" t="str">
        <f>LOWER(CONCATENATE(TJ2, TJ3, "@gmail.com"))</f>
        <v>janejohnson@gmail.com</v>
      </c>
      <c r="TK6" s="6" t="str">
        <f>LOWER(CONCATENATE(TK2, TK3, "@gmail.com"))</f>
        <v>janesmith@gmail.com</v>
      </c>
      <c r="TL6" s="6" t="str">
        <f>LOWER(CONCATENATE(TL2, TL3, "@gmail.com"))</f>
        <v>johnwilliams@gmail.com</v>
      </c>
      <c r="TM6" s="6" t="str">
        <f>LOWER(CONCATENATE(TM2, TM3, "@gmail.com"))</f>
        <v>sarahwilliams@gmail.com</v>
      </c>
      <c r="TN6" s="6" t="str">
        <f>LOWER(CONCATENATE(TN2, TN3, "@gmail.com"))</f>
        <v>johndavis@gmail.com</v>
      </c>
      <c r="TO6" s="6" t="str">
        <f>LOWER(CONCATENATE(TO2, TO3, "@gmail.com"))</f>
        <v>johnjohnson@gmail.com</v>
      </c>
      <c r="TP6" s="6" t="str">
        <f>LOWER(CONCATENATE(TP2, TP3, "@gmail.com"))</f>
        <v>alexjohnson@gmail.com</v>
      </c>
      <c r="TQ6" s="6" t="str">
        <f>LOWER(CONCATENATE(TQ2, TQ3, "@gmail.com"))</f>
        <v>katiewilson@gmail.com</v>
      </c>
      <c r="TR6" s="6" t="str">
        <f>LOWER(CONCATENATE(TR2, TR3, "@gmail.com"))</f>
        <v>sarahdavis@gmail.com</v>
      </c>
      <c r="TS6" s="6" t="str">
        <f>LOWER(CONCATENATE(TS2, TS3, "@gmail.com"))</f>
        <v>michaeljohnson@gmail.com</v>
      </c>
      <c r="TT6" s="6" t="str">
        <f>LOWER(CONCATENATE(TT2, TT3, "@gmail.com"))</f>
        <v>chrismiller@gmail.com</v>
      </c>
      <c r="TU6" s="6" t="str">
        <f>LOWER(CONCATENATE(TU2, TU3, "@gmail.com"))</f>
        <v>janebrown@gmail.com</v>
      </c>
      <c r="TV6" s="6" t="str">
        <f>LOWER(CONCATENATE(TV2, TV3, "@gmail.com"))</f>
        <v>michaelwilson@gmail.com</v>
      </c>
      <c r="TW6" s="6" t="str">
        <f>LOWER(CONCATENATE(TW2, TW3, "@gmail.com"))</f>
        <v>janemiller@gmail.com</v>
      </c>
      <c r="TX6" s="6" t="str">
        <f>LOWER(CONCATENATE(TX2, TX3, "@gmail.com"))</f>
        <v>alexsmith@gmail.com</v>
      </c>
      <c r="TY6" s="6" t="str">
        <f>LOWER(CONCATENATE(TY2, TY3, "@gmail.com"))</f>
        <v>janewilliams@gmail.com</v>
      </c>
      <c r="TZ6" s="6" t="str">
        <f>LOWER(CONCATENATE(TZ2, TZ3, "@gmail.com"))</f>
        <v>johnwilson@gmail.com</v>
      </c>
      <c r="UA6" s="6" t="str">
        <f>LOWER(CONCATENATE(UA2, UA3, "@gmail.com"))</f>
        <v>sarahsmith@gmail.com</v>
      </c>
      <c r="UB6" s="6" t="str">
        <f>LOWER(CONCATENATE(UB2, UB3, "@gmail.com"))</f>
        <v>chriswilliams@gmail.com</v>
      </c>
      <c r="UC6" s="6" t="str">
        <f>LOWER(CONCATENATE(UC2, UC3, "@gmail.com"))</f>
        <v>emilybrown@gmail.com</v>
      </c>
      <c r="UD6" s="6" t="str">
        <f>LOWER(CONCATENATE(UD2, UD3, "@gmail.com"))</f>
        <v>janejohnson@gmail.com</v>
      </c>
      <c r="UE6" s="6" t="str">
        <f>LOWER(CONCATENATE(UE2, UE3, "@gmail.com"))</f>
        <v>michaelmiller@gmail.com</v>
      </c>
      <c r="UF6" s="6" t="str">
        <f>LOWER(CONCATENATE(UF2, UF3, "@gmail.com"))</f>
        <v>johndavis@gmail.com</v>
      </c>
      <c r="UG6" s="6" t="str">
        <f>LOWER(CONCATENATE(UG2, UG3, "@gmail.com"))</f>
        <v>emilymiller@gmail.com</v>
      </c>
      <c r="UH6" s="6" t="str">
        <f>LOWER(CONCATENATE(UH2, UH3, "@gmail.com"))</f>
        <v>chrisbrown@gmail.com</v>
      </c>
      <c r="UI6" s="6" t="str">
        <f>LOWER(CONCATENATE(UI2, UI3, "@gmail.com"))</f>
        <v>emilysmith@gmail.com</v>
      </c>
      <c r="UJ6" s="6" t="str">
        <f>LOWER(CONCATENATE(UJ2, UJ3, "@gmail.com"))</f>
        <v>johndavis@gmail.com</v>
      </c>
      <c r="UK6" s="6" t="str">
        <f>LOWER(CONCATENATE(UK2, UK3, "@gmail.com"))</f>
        <v>sarahjohnson@gmail.com</v>
      </c>
      <c r="UL6" s="6" t="str">
        <f>LOWER(CONCATENATE(UL2, UL3, "@gmail.com"))</f>
        <v>sarahbrown@gmail.com</v>
      </c>
      <c r="UM6" s="6" t="str">
        <f>LOWER(CONCATENATE(UM2, UM3, "@gmail.com"))</f>
        <v>katiedavis@gmail.com</v>
      </c>
      <c r="UN6" s="6" t="str">
        <f>LOWER(CONCATENATE(UN2, UN3, "@gmail.com"))</f>
        <v>sarahbrown@gmail.com</v>
      </c>
      <c r="UO6" s="6" t="str">
        <f>LOWER(CONCATENATE(UO2, UO3, "@gmail.com"))</f>
        <v>katiebrown@gmail.com</v>
      </c>
      <c r="UP6" s="6" t="str">
        <f>LOWER(CONCATENATE(UP2, UP3, "@gmail.com"))</f>
        <v>emilyjohnson@gmail.com</v>
      </c>
      <c r="UQ6" s="6" t="str">
        <f>LOWER(CONCATENATE(UQ2, UQ3, "@gmail.com"))</f>
        <v>alexwilson@gmail.com</v>
      </c>
      <c r="UR6" s="6" t="str">
        <f>LOWER(CONCATENATE(UR2, UR3, "@gmail.com"))</f>
        <v>michaelwilliams@gmail.com</v>
      </c>
      <c r="US6" s="6" t="str">
        <f>LOWER(CONCATENATE(US2, US3, "@gmail.com"))</f>
        <v>michaeldavis@gmail.com</v>
      </c>
      <c r="UT6" s="6" t="str">
        <f>LOWER(CONCATENATE(UT2, UT3, "@gmail.com"))</f>
        <v>emilyjohnson@gmail.com</v>
      </c>
      <c r="UU6" s="6" t="str">
        <f>LOWER(CONCATENATE(UU2, UU3, "@gmail.com"))</f>
        <v>janebrown@gmail.com</v>
      </c>
      <c r="UV6" s="6" t="str">
        <f>LOWER(CONCATENATE(UV2, UV3, "@gmail.com"))</f>
        <v>janejohnson@gmail.com</v>
      </c>
      <c r="UW6" s="6" t="str">
        <f>LOWER(CONCATENATE(UW2, UW3, "@gmail.com"))</f>
        <v>sarahwilson@gmail.com</v>
      </c>
      <c r="UX6" s="6" t="str">
        <f>LOWER(CONCATENATE(UX2, UX3, "@gmail.com"))</f>
        <v>michaelwilliams@gmail.com</v>
      </c>
      <c r="UY6" s="6" t="str">
        <f>LOWER(CONCATENATE(UY2, UY3, "@gmail.com"))</f>
        <v>michaelmiller@gmail.com</v>
      </c>
      <c r="UZ6" s="6" t="str">
        <f>LOWER(CONCATENATE(UZ2, UZ3, "@gmail.com"))</f>
        <v>katiedavis@gmail.com</v>
      </c>
      <c r="VA6" s="6" t="str">
        <f>LOWER(CONCATENATE(VA2, VA3, "@gmail.com"))</f>
        <v>alexwilliams@gmail.com</v>
      </c>
      <c r="VB6" s="6" t="str">
        <f>LOWER(CONCATENATE(VB2, VB3, "@gmail.com"))</f>
        <v>johnsmith@gmail.com</v>
      </c>
      <c r="VC6" s="6" t="str">
        <f>LOWER(CONCATENATE(VC2, VC3, "@gmail.com"))</f>
        <v>janedavis@gmail.com</v>
      </c>
      <c r="VD6" s="6" t="str">
        <f>LOWER(CONCATENATE(VD2, VD3, "@gmail.com"))</f>
        <v>michaelwilliams@gmail.com</v>
      </c>
      <c r="VE6" s="6" t="str">
        <f>LOWER(CONCATENATE(VE2, VE3, "@gmail.com"))</f>
        <v>katiebrown@gmail.com</v>
      </c>
      <c r="VF6" s="6" t="str">
        <f>LOWER(CONCATENATE(VF2, VF3, "@gmail.com"))</f>
        <v>chrisdavis@gmail.com</v>
      </c>
      <c r="VG6" s="6" t="str">
        <f>LOWER(CONCATENATE(VG2, VG3, "@gmail.com"))</f>
        <v>katiedavis@gmail.com</v>
      </c>
      <c r="VH6" s="6" t="str">
        <f>LOWER(CONCATENATE(VH2, VH3, "@gmail.com"))</f>
        <v>janejohnson@gmail.com</v>
      </c>
      <c r="VI6" s="6" t="str">
        <f>LOWER(CONCATENATE(VI2, VI3, "@gmail.com"))</f>
        <v>janebrown@gmail.com</v>
      </c>
      <c r="VJ6" s="6" t="str">
        <f>LOWER(CONCATENATE(VJ2, VJ3, "@gmail.com"))</f>
        <v>katiesmith@gmail.com</v>
      </c>
      <c r="VK6" s="6" t="str">
        <f>LOWER(CONCATENATE(VK2, VK3, "@gmail.com"))</f>
        <v>johnmiller@gmail.com</v>
      </c>
      <c r="VL6" s="6" t="str">
        <f>LOWER(CONCATENATE(VL2, VL3, "@gmail.com"))</f>
        <v>emilywilson@gmail.com</v>
      </c>
      <c r="VM6" s="6" t="str">
        <f>LOWER(CONCATENATE(VM2, VM3, "@gmail.com"))</f>
        <v>janewilliams@gmail.com</v>
      </c>
      <c r="VN6" s="6" t="str">
        <f>LOWER(CONCATENATE(VN2, VN3, "@gmail.com"))</f>
        <v>katiejohnson@gmail.com</v>
      </c>
      <c r="VO6" s="6" t="str">
        <f>LOWER(CONCATENATE(VO2, VO3, "@gmail.com"))</f>
        <v>michaelwilliams@gmail.com</v>
      </c>
      <c r="VP6" s="6" t="str">
        <f>LOWER(CONCATENATE(VP2, VP3, "@gmail.com"))</f>
        <v>katiesmith@gmail.com</v>
      </c>
      <c r="VQ6" s="6" t="str">
        <f>LOWER(CONCATENATE(VQ2, VQ3, "@gmail.com"))</f>
        <v>alexsmith@gmail.com</v>
      </c>
      <c r="VR6" s="6" t="str">
        <f>LOWER(CONCATENATE(VR2, VR3, "@gmail.com"))</f>
        <v>emilydavis@gmail.com</v>
      </c>
      <c r="VS6" s="6" t="str">
        <f>LOWER(CONCATENATE(VS2, VS3, "@gmail.com"))</f>
        <v>chriswilson@gmail.com</v>
      </c>
      <c r="VT6" s="6" t="str">
        <f>LOWER(CONCATENATE(VT2, VT3, "@gmail.com"))</f>
        <v>johnsmith@gmail.com</v>
      </c>
      <c r="VU6" s="6" t="str">
        <f>LOWER(CONCATENATE(VU2, VU3, "@gmail.com"))</f>
        <v>sarahwilliams@gmail.com</v>
      </c>
      <c r="VV6" s="6" t="str">
        <f>LOWER(CONCATENATE(VV2, VV3, "@gmail.com"))</f>
        <v>chrisbrown@gmail.com</v>
      </c>
      <c r="VW6" s="6" t="str">
        <f>LOWER(CONCATENATE(VW2, VW3, "@gmail.com"))</f>
        <v>emilybrown@gmail.com</v>
      </c>
      <c r="VX6" s="6" t="str">
        <f>LOWER(CONCATENATE(VX2, VX3, "@gmail.com"))</f>
        <v>emilydavis@gmail.com</v>
      </c>
      <c r="VY6" s="6" t="str">
        <f>LOWER(CONCATENATE(VY2, VY3, "@gmail.com"))</f>
        <v>emilymiller@gmail.com</v>
      </c>
      <c r="VZ6" s="6" t="str">
        <f>LOWER(CONCATENATE(VZ2, VZ3, "@gmail.com"))</f>
        <v>chriswilliams@gmail.com</v>
      </c>
      <c r="WA6" s="6" t="str">
        <f>LOWER(CONCATENATE(WA2, WA3, "@gmail.com"))</f>
        <v>michaelwilliams@gmail.com</v>
      </c>
      <c r="WB6" s="6" t="str">
        <f>LOWER(CONCATENATE(WB2, WB3, "@gmail.com"))</f>
        <v>emilysmith@gmail.com</v>
      </c>
      <c r="WC6" s="6" t="str">
        <f>LOWER(CONCATENATE(WC2, WC3, "@gmail.com"))</f>
        <v>katiewilson@gmail.com</v>
      </c>
      <c r="WD6" s="6" t="str">
        <f>LOWER(CONCATENATE(WD2, WD3, "@gmail.com"))</f>
        <v>chriswilliams@gmail.com</v>
      </c>
      <c r="WE6" s="6" t="str">
        <f>LOWER(CONCATENATE(WE2, WE3, "@gmail.com"))</f>
        <v>sarahjohnson@gmail.com</v>
      </c>
      <c r="WF6" s="6" t="str">
        <f>LOWER(CONCATENATE(WF2, WF3, "@gmail.com"))</f>
        <v>emilymiller@gmail.com</v>
      </c>
      <c r="WG6" s="6" t="str">
        <f>LOWER(CONCATENATE(WG2, WG3, "@gmail.com"))</f>
        <v>katiesmith@gmail.com</v>
      </c>
      <c r="WH6" s="6" t="str">
        <f>LOWER(CONCATENATE(WH2, WH3, "@gmail.com"))</f>
        <v>michaeljohnson@gmail.com</v>
      </c>
      <c r="WI6" s="6" t="str">
        <f>LOWER(CONCATENATE(WI2, WI3, "@gmail.com"))</f>
        <v>alexdavis@gmail.com</v>
      </c>
      <c r="WJ6" s="6" t="str">
        <f>LOWER(CONCATENATE(WJ2, WJ3, "@gmail.com"))</f>
        <v>michaelbrown@gmail.com</v>
      </c>
      <c r="WK6" s="6" t="str">
        <f>LOWER(CONCATENATE(WK2, WK3, "@gmail.com"))</f>
        <v>sarahdavis@gmail.com</v>
      </c>
      <c r="WL6" s="6" t="str">
        <f>LOWER(CONCATENATE(WL2, WL3, "@gmail.com"))</f>
        <v>emilybrown@gmail.com</v>
      </c>
      <c r="WM6" s="6" t="str">
        <f>LOWER(CONCATENATE(WM2, WM3, "@gmail.com"))</f>
        <v>sarahdavis@gmail.com</v>
      </c>
      <c r="WN6" s="6" t="str">
        <f>LOWER(CONCATENATE(WN2, WN3, "@gmail.com"))</f>
        <v>chriswilliams@gmail.com</v>
      </c>
      <c r="WO6" s="6" t="str">
        <f>LOWER(CONCATENATE(WO2, WO3, "@gmail.com"))</f>
        <v>janejohnson@gmail.com</v>
      </c>
      <c r="WP6" s="6" t="str">
        <f>LOWER(CONCATENATE(WP2, WP3, "@gmail.com"))</f>
        <v>emilybrown@gmail.com</v>
      </c>
      <c r="WQ6" s="6" t="str">
        <f>LOWER(CONCATENATE(WQ2, WQ3, "@gmail.com"))</f>
        <v>janesmith@gmail.com</v>
      </c>
      <c r="WR6" s="6" t="str">
        <f>LOWER(CONCATENATE(WR2, WR3, "@gmail.com"))</f>
        <v>katiejohnson@gmail.com</v>
      </c>
      <c r="WS6" s="6" t="str">
        <f>LOWER(CONCATENATE(WS2, WS3, "@gmail.com"))</f>
        <v>alexsmith@gmail.com</v>
      </c>
      <c r="WT6" s="6" t="str">
        <f>LOWER(CONCATENATE(WT2, WT3, "@gmail.com"))</f>
        <v>johnjohnson@gmail.com</v>
      </c>
      <c r="WU6" s="6" t="str">
        <f>LOWER(CONCATENATE(WU2, WU3, "@gmail.com"))</f>
        <v>sarahjohnson@gmail.com</v>
      </c>
      <c r="WV6" s="6" t="str">
        <f>LOWER(CONCATENATE(WV2, WV3, "@gmail.com"))</f>
        <v>michaeldavis@gmail.com</v>
      </c>
      <c r="WW6" s="6" t="str">
        <f>LOWER(CONCATENATE(WW2, WW3, "@gmail.com"))</f>
        <v>alexbrown@gmail.com</v>
      </c>
      <c r="WX6" s="6" t="str">
        <f>LOWER(CONCATENATE(WX2, WX3, "@gmail.com"))</f>
        <v>emilybrown@gmail.com</v>
      </c>
      <c r="WY6" s="6" t="str">
        <f>LOWER(CONCATENATE(WY2, WY3, "@gmail.com"))</f>
        <v>janewilson@gmail.com</v>
      </c>
      <c r="WZ6" s="6" t="str">
        <f>LOWER(CONCATENATE(WZ2, WZ3, "@gmail.com"))</f>
        <v>michaeljohnson@gmail.com</v>
      </c>
      <c r="XA6" s="6" t="str">
        <f>LOWER(CONCATENATE(XA2, XA3, "@gmail.com"))</f>
        <v>janewilliams@gmail.com</v>
      </c>
      <c r="XB6" s="6" t="str">
        <f>LOWER(CONCATENATE(XB2, XB3, "@gmail.com"))</f>
        <v>chriswilliams@gmail.com</v>
      </c>
      <c r="XC6" s="6" t="str">
        <f>LOWER(CONCATENATE(XC2, XC3, "@gmail.com"))</f>
        <v>janesmith@gmail.com</v>
      </c>
      <c r="XD6" s="6" t="str">
        <f>LOWER(CONCATENATE(XD2, XD3, "@gmail.com"))</f>
        <v>chrissmith@gmail.com</v>
      </c>
      <c r="XE6" s="6" t="str">
        <f>LOWER(CONCATENATE(XE2, XE3, "@gmail.com"))</f>
        <v>katiedavis@gmail.com</v>
      </c>
      <c r="XF6" s="6" t="str">
        <f>LOWER(CONCATENATE(XF2, XF3, "@gmail.com"))</f>
        <v>michaeljohnson@gmail.com</v>
      </c>
      <c r="XG6" s="6" t="str">
        <f>LOWER(CONCATENATE(XG2, XG3, "@gmail.com"))</f>
        <v>michaelsmith@gmail.com</v>
      </c>
      <c r="XH6" s="6" t="str">
        <f>LOWER(CONCATENATE(XH2, XH3, "@gmail.com"))</f>
        <v>johnsmith@gmail.com</v>
      </c>
      <c r="XI6" s="6" t="str">
        <f>LOWER(CONCATENATE(XI2, XI3, "@gmail.com"))</f>
        <v>emilymiller@gmail.com</v>
      </c>
      <c r="XJ6" s="6" t="str">
        <f>LOWER(CONCATENATE(XJ2, XJ3, "@gmail.com"))</f>
        <v>chrisjohnson@gmail.com</v>
      </c>
      <c r="XK6" s="6" t="str">
        <f>LOWER(CONCATENATE(XK2, XK3, "@gmail.com"))</f>
        <v>johndavis@gmail.com</v>
      </c>
      <c r="XL6" s="6" t="str">
        <f>LOWER(CONCATENATE(XL2, XL3, "@gmail.com"))</f>
        <v>janesmith@gmail.com</v>
      </c>
      <c r="XM6" s="6" t="str">
        <f>LOWER(CONCATENATE(XM2, XM3, "@gmail.com"))</f>
        <v>janedavis@gmail.com</v>
      </c>
      <c r="XN6" s="6" t="str">
        <f>LOWER(CONCATENATE(XN2, XN3, "@gmail.com"))</f>
        <v>johnbrown@gmail.com</v>
      </c>
      <c r="XO6" s="6" t="str">
        <f>LOWER(CONCATENATE(XO2, XO3, "@gmail.com"))</f>
        <v>michaeldavis@gmail.com</v>
      </c>
      <c r="XP6" s="6" t="str">
        <f>LOWER(CONCATENATE(XP2, XP3, "@gmail.com"))</f>
        <v>janewilliams@gmail.com</v>
      </c>
      <c r="XQ6" s="6" t="str">
        <f>LOWER(CONCATENATE(XQ2, XQ3, "@gmail.com"))</f>
        <v>sarahwilliams@gmail.com</v>
      </c>
      <c r="XR6" s="6" t="str">
        <f>LOWER(CONCATENATE(XR2, XR3, "@gmail.com"))</f>
        <v>katiedavis@gmail.com</v>
      </c>
      <c r="XS6" s="6" t="str">
        <f>LOWER(CONCATENATE(XS2, XS3, "@gmail.com"))</f>
        <v>katiewilliams@gmail.com</v>
      </c>
      <c r="XT6" s="6" t="str">
        <f>LOWER(CONCATENATE(XT2, XT3, "@gmail.com"))</f>
        <v>sarahbrown@gmail.com</v>
      </c>
      <c r="XU6" s="6" t="str">
        <f>LOWER(CONCATENATE(XU2, XU3, "@gmail.com"))</f>
        <v>johnjohnson@gmail.com</v>
      </c>
      <c r="XV6" s="6" t="str">
        <f>LOWER(CONCATENATE(XV2, XV3, "@gmail.com"))</f>
        <v>sarahwilliams@gmail.com</v>
      </c>
      <c r="XW6" s="6" t="str">
        <f>LOWER(CONCATENATE(XW2, XW3, "@gmail.com"))</f>
        <v>chriswilliams@gmail.com</v>
      </c>
      <c r="XX6" s="6" t="str">
        <f>LOWER(CONCATENATE(XX2, XX3, "@gmail.com"))</f>
        <v>chrisdavis@gmail.com</v>
      </c>
      <c r="XY6" s="6" t="str">
        <f>LOWER(CONCATENATE(XY2, XY3, "@gmail.com"))</f>
        <v>johnbrown@gmail.com</v>
      </c>
      <c r="XZ6" s="6" t="str">
        <f>LOWER(CONCATENATE(XZ2, XZ3, "@gmail.com"))</f>
        <v>sarahwilson@gmail.com</v>
      </c>
      <c r="YA6" s="6" t="str">
        <f>LOWER(CONCATENATE(YA2, YA3, "@gmail.com"))</f>
        <v>chriswilson@gmail.com</v>
      </c>
      <c r="YB6" s="6" t="str">
        <f>LOWER(CONCATENATE(YB2, YB3, "@gmail.com"))</f>
        <v>michaelwilson@gmail.com</v>
      </c>
      <c r="YC6" s="6" t="str">
        <f>LOWER(CONCATENATE(YC2, YC3, "@gmail.com"))</f>
        <v>sarahwilson@gmail.com</v>
      </c>
      <c r="YD6" s="6" t="str">
        <f>LOWER(CONCATENATE(YD2, YD3, "@gmail.com"))</f>
        <v>michaeljohnson@gmail.com</v>
      </c>
      <c r="YE6" s="6" t="str">
        <f>LOWER(CONCATENATE(YE2, YE3, "@gmail.com"))</f>
        <v>chrisdavis@gmail.com</v>
      </c>
      <c r="YF6" s="6" t="str">
        <f>LOWER(CONCATENATE(YF2, YF3, "@gmail.com"))</f>
        <v>katiedavis@gmail.com</v>
      </c>
      <c r="YG6" s="6" t="str">
        <f>LOWER(CONCATENATE(YG2, YG3, "@gmail.com"))</f>
        <v>chrismiller@gmail.com</v>
      </c>
      <c r="YH6" s="6" t="str">
        <f>LOWER(CONCATENATE(YH2, YH3, "@gmail.com"))</f>
        <v>michaelbrown@gmail.com</v>
      </c>
      <c r="YI6" s="6" t="str">
        <f>LOWER(CONCATENATE(YI2, YI3, "@gmail.com"))</f>
        <v>alexwilson@gmail.com</v>
      </c>
      <c r="YJ6" s="6" t="str">
        <f>LOWER(CONCATENATE(YJ2, YJ3, "@gmail.com"))</f>
        <v>emilyjohnson@gmail.com</v>
      </c>
      <c r="YK6" s="6" t="str">
        <f>LOWER(CONCATENATE(YK2, YK3, "@gmail.com"))</f>
        <v>janebrown@gmail.com</v>
      </c>
      <c r="YL6" s="6" t="str">
        <f>LOWER(CONCATENATE(YL2, YL3, "@gmail.com"))</f>
        <v>sarahwilson@gmail.com</v>
      </c>
      <c r="YM6" s="6" t="str">
        <f>LOWER(CONCATENATE(YM2, YM3, "@gmail.com"))</f>
        <v>alexjohnson@gmail.com</v>
      </c>
      <c r="YN6" s="6" t="str">
        <f>LOWER(CONCATENATE(YN2, YN3, "@gmail.com"))</f>
        <v>chrisbrown@gmail.com</v>
      </c>
      <c r="YO6" s="6" t="str">
        <f>LOWER(CONCATENATE(YO2, YO3, "@gmail.com"))</f>
        <v>katiedavis@gmail.com</v>
      </c>
      <c r="YP6" s="6" t="str">
        <f>LOWER(CONCATENATE(YP2, YP3, "@gmail.com"))</f>
        <v>johndavis@gmail.com</v>
      </c>
      <c r="YQ6" s="6" t="str">
        <f>LOWER(CONCATENATE(YQ2, YQ3, "@gmail.com"))</f>
        <v>chrissmith@gmail.com</v>
      </c>
      <c r="YR6" s="6" t="str">
        <f>LOWER(CONCATENATE(YR2, YR3, "@gmail.com"))</f>
        <v>katiewilliams@gmail.com</v>
      </c>
      <c r="YS6" s="6" t="str">
        <f>LOWER(CONCATENATE(YS2, YS3, "@gmail.com"))</f>
        <v>emilywilson@gmail.com</v>
      </c>
      <c r="YT6" s="6" t="str">
        <f>LOWER(CONCATENATE(YT2, YT3, "@gmail.com"))</f>
        <v>chrismiller@gmail.com</v>
      </c>
      <c r="YU6" s="6" t="str">
        <f>LOWER(CONCATENATE(YU2, YU3, "@gmail.com"))</f>
        <v>michaelbrown@gmail.com</v>
      </c>
      <c r="YV6" s="6" t="str">
        <f>LOWER(CONCATENATE(YV2, YV3, "@gmail.com"))</f>
        <v>johnmiller@gmail.com</v>
      </c>
      <c r="YW6" s="6" t="str">
        <f>LOWER(CONCATENATE(YW2, YW3, "@gmail.com"))</f>
        <v>katiesmith@gmail.com</v>
      </c>
      <c r="YX6" s="6" t="str">
        <f>LOWER(CONCATENATE(YX2, YX3, "@gmail.com"))</f>
        <v>katiewilliams@gmail.com</v>
      </c>
      <c r="YY6" s="6" t="str">
        <f>LOWER(CONCATENATE(YY2, YY3, "@gmail.com"))</f>
        <v>katiebrown@gmail.com</v>
      </c>
      <c r="YZ6" s="6" t="str">
        <f>LOWER(CONCATENATE(YZ2, YZ3, "@gmail.com"))</f>
        <v>emilyjohnson@gmail.com</v>
      </c>
      <c r="ZA6" s="6" t="str">
        <f>LOWER(CONCATENATE(ZA2, ZA3, "@gmail.com"))</f>
        <v>chriswilson@gmail.com</v>
      </c>
      <c r="ZB6" s="6" t="str">
        <f>LOWER(CONCATENATE(ZB2, ZB3, "@gmail.com"))</f>
        <v>emilywilliams@gmail.com</v>
      </c>
      <c r="ZC6" s="6" t="str">
        <f>LOWER(CONCATENATE(ZC2, ZC3, "@gmail.com"))</f>
        <v>sarahdavis@gmail.com</v>
      </c>
      <c r="ZD6" s="6" t="str">
        <f>LOWER(CONCATENATE(ZD2, ZD3, "@gmail.com"))</f>
        <v>janesmith@gmail.com</v>
      </c>
      <c r="ZE6" s="6" t="str">
        <f>LOWER(CONCATENATE(ZE2, ZE3, "@gmail.com"))</f>
        <v>janewilliams@gmail.com</v>
      </c>
      <c r="ZF6" s="6" t="str">
        <f>LOWER(CONCATENATE(ZF2, ZF3, "@gmail.com"))</f>
        <v>sarahwilson@gmail.com</v>
      </c>
      <c r="ZG6" s="6" t="str">
        <f>LOWER(CONCATENATE(ZG2, ZG3, "@gmail.com"))</f>
        <v>chriswilliams@gmail.com</v>
      </c>
      <c r="ZH6" s="6" t="str">
        <f>LOWER(CONCATENATE(ZH2, ZH3, "@gmail.com"))</f>
        <v>michaelwilson@gmail.com</v>
      </c>
      <c r="ZI6" s="6" t="str">
        <f>LOWER(CONCATENATE(ZI2, ZI3, "@gmail.com"))</f>
        <v>emilydavis@gmail.com</v>
      </c>
      <c r="ZJ6" s="6" t="str">
        <f>LOWER(CONCATENATE(ZJ2, ZJ3, "@gmail.com"))</f>
        <v>johnbrown@gmail.com</v>
      </c>
      <c r="ZK6" s="6" t="str">
        <f>LOWER(CONCATENATE(ZK2, ZK3, "@gmail.com"))</f>
        <v>katiejohnson@gmail.com</v>
      </c>
      <c r="ZL6" s="6" t="str">
        <f>LOWER(CONCATENATE(ZL2, ZL3, "@gmail.com"))</f>
        <v>katiedavis@gmail.com</v>
      </c>
      <c r="ZM6" s="6" t="str">
        <f>LOWER(CONCATENATE(ZM2, ZM3, "@gmail.com"))</f>
        <v>chrisjohnson@gmail.com</v>
      </c>
      <c r="ZN6" s="6" t="str">
        <f>LOWER(CONCATENATE(ZN2, ZN3, "@gmail.com"))</f>
        <v>michaelbrown@gmail.com</v>
      </c>
      <c r="ZO6" s="6" t="str">
        <f>LOWER(CONCATENATE(ZO2, ZO3, "@gmail.com"))</f>
        <v>janewilliams@gmail.com</v>
      </c>
      <c r="ZP6" s="6" t="str">
        <f>LOWER(CONCATENATE(ZP2, ZP3, "@gmail.com"))</f>
        <v>janejohnson@gmail.com</v>
      </c>
      <c r="ZQ6" s="6" t="str">
        <f>LOWER(CONCATENATE(ZQ2, ZQ3, "@gmail.com"))</f>
        <v>katiesmith@gmail.com</v>
      </c>
      <c r="ZR6" s="6" t="str">
        <f>LOWER(CONCATENATE(ZR2, ZR3, "@gmail.com"))</f>
        <v>chrissmith@gmail.com</v>
      </c>
      <c r="ZS6" s="6" t="str">
        <f>LOWER(CONCATENATE(ZS2, ZS3, "@gmail.com"))</f>
        <v>emilywilson@gmail.com</v>
      </c>
      <c r="ZT6" s="6" t="str">
        <f>LOWER(CONCATENATE(ZT2, ZT3, "@gmail.com"))</f>
        <v>janedavis@gmail.com</v>
      </c>
      <c r="ZU6" s="6" t="str">
        <f>LOWER(CONCATENATE(ZU2, ZU3, "@gmail.com"))</f>
        <v>emilybrown@gmail.com</v>
      </c>
      <c r="ZV6" s="6" t="str">
        <f>LOWER(CONCATENATE(ZV2, ZV3, "@gmail.com"))</f>
        <v>michaelwilson@gmail.com</v>
      </c>
      <c r="ZW6" s="6" t="str">
        <f>LOWER(CONCATENATE(ZW2, ZW3, "@gmail.com"))</f>
        <v>janedavis@gmail.com</v>
      </c>
      <c r="ZX6" s="6" t="str">
        <f>LOWER(CONCATENATE(ZX2, ZX3, "@gmail.com"))</f>
        <v>janedavis@gmail.com</v>
      </c>
      <c r="ZY6" s="6" t="str">
        <f>LOWER(CONCATENATE(ZY2, ZY3, "@gmail.com"))</f>
        <v>alexwilson@gmail.com</v>
      </c>
      <c r="ZZ6" s="6" t="str">
        <f>LOWER(CONCATENATE(ZZ2, ZZ3, "@gmail.com"))</f>
        <v>janemiller@gmail.com</v>
      </c>
      <c r="AAA6" s="6" t="str">
        <f>LOWER(CONCATENATE(AAA2, AAA3, "@gmail.com"))</f>
        <v>sarahdavis@gmail.com</v>
      </c>
      <c r="AAB6" s="6" t="str">
        <f>LOWER(CONCATENATE(AAB2, AAB3, "@gmail.com"))</f>
        <v>johnmiller@gmail.com</v>
      </c>
      <c r="AAC6" s="6" t="str">
        <f>LOWER(CONCATENATE(AAC2, AAC3, "@gmail.com"))</f>
        <v>sarahsmith@gmail.com</v>
      </c>
      <c r="AAD6" s="6" t="str">
        <f>LOWER(CONCATENATE(AAD2, AAD3, "@gmail.com"))</f>
        <v>chrissmith@gmail.com</v>
      </c>
      <c r="AAE6" s="6" t="str">
        <f>LOWER(CONCATENATE(AAE2, AAE3, "@gmail.com"))</f>
        <v>chrisdavis@gmail.com</v>
      </c>
      <c r="AAF6" s="6" t="str">
        <f>LOWER(CONCATENATE(AAF2, AAF3, "@gmail.com"))</f>
        <v>emilysmith@gmail.com</v>
      </c>
      <c r="AAG6" s="6" t="str">
        <f>LOWER(CONCATENATE(AAG2, AAG3, "@gmail.com"))</f>
        <v>sarahbrown@gmail.com</v>
      </c>
      <c r="AAH6" s="6" t="str">
        <f>LOWER(CONCATENATE(AAH2, AAH3, "@gmail.com"))</f>
        <v>sarahmiller@gmail.com</v>
      </c>
      <c r="AAI6" s="6" t="str">
        <f>LOWER(CONCATENATE(AAI2, AAI3, "@gmail.com"))</f>
        <v>sarahmiller@gmail.com</v>
      </c>
      <c r="AAJ6" s="6" t="str">
        <f>LOWER(CONCATENATE(AAJ2, AAJ3, "@gmail.com"))</f>
        <v>michaeldavis@gmail.com</v>
      </c>
      <c r="AAK6" s="6" t="str">
        <f>LOWER(CONCATENATE(AAK2, AAK3, "@gmail.com"))</f>
        <v>janesmith@gmail.com</v>
      </c>
      <c r="AAL6" s="6" t="str">
        <f>LOWER(CONCATENATE(AAL2, AAL3, "@gmail.com"))</f>
        <v>johnjohnson@gmail.com</v>
      </c>
      <c r="AAM6" s="6" t="str">
        <f>LOWER(CONCATENATE(AAM2, AAM3, "@gmail.com"))</f>
        <v>emilywilson@gmail.com</v>
      </c>
      <c r="AAN6" s="6" t="str">
        <f>LOWER(CONCATENATE(AAN2, AAN3, "@gmail.com"))</f>
        <v>sarahwilson@gmail.com</v>
      </c>
      <c r="AAO6" s="6" t="str">
        <f>LOWER(CONCATENATE(AAO2, AAO3, "@gmail.com"))</f>
        <v>sarahmiller@gmail.com</v>
      </c>
      <c r="AAP6" s="6" t="str">
        <f>LOWER(CONCATENATE(AAP2, AAP3, "@gmail.com"))</f>
        <v>alexdavis@gmail.com</v>
      </c>
      <c r="AAQ6" s="6" t="str">
        <f>LOWER(CONCATENATE(AAQ2, AAQ3, "@gmail.com"))</f>
        <v>emilydavis@gmail.com</v>
      </c>
      <c r="AAR6" s="6" t="str">
        <f>LOWER(CONCATENATE(AAR2, AAR3, "@gmail.com"))</f>
        <v>sarahbrown@gmail.com</v>
      </c>
      <c r="AAS6" s="6" t="str">
        <f>LOWER(CONCATENATE(AAS2, AAS3, "@gmail.com"))</f>
        <v>emilywilliams@gmail.com</v>
      </c>
      <c r="AAT6" s="6" t="str">
        <f>LOWER(CONCATENATE(AAT2, AAT3, "@gmail.com"))</f>
        <v>janewilliams@gmail.com</v>
      </c>
      <c r="AAU6" s="6" t="str">
        <f>LOWER(CONCATENATE(AAU2, AAU3, "@gmail.com"))</f>
        <v>alexmiller@gmail.com</v>
      </c>
      <c r="AAV6" s="6" t="str">
        <f>LOWER(CONCATENATE(AAV2, AAV3, "@gmail.com"))</f>
        <v>emilywilson@gmail.com</v>
      </c>
      <c r="AAW6" s="6" t="str">
        <f>LOWER(CONCATENATE(AAW2, AAW3, "@gmail.com"))</f>
        <v>johnbrown@gmail.com</v>
      </c>
      <c r="AAX6" s="6" t="str">
        <f>LOWER(CONCATENATE(AAX2, AAX3, "@gmail.com"))</f>
        <v>johnbrown@gmail.com</v>
      </c>
      <c r="AAY6" s="6" t="str">
        <f>LOWER(CONCATENATE(AAY2, AAY3, "@gmail.com"))</f>
        <v>chrisbrown@gmail.com</v>
      </c>
      <c r="AAZ6" s="6" t="str">
        <f>LOWER(CONCATENATE(AAZ2, AAZ3, "@gmail.com"))</f>
        <v>alexmiller@gmail.com</v>
      </c>
      <c r="ABA6" s="6" t="str">
        <f>LOWER(CONCATENATE(ABA2, ABA3, "@gmail.com"))</f>
        <v>alexwilliams@gmail.com</v>
      </c>
      <c r="ABB6" s="6" t="str">
        <f>LOWER(CONCATENATE(ABB2, ABB3, "@gmail.com"))</f>
        <v>chriswilson@gmail.com</v>
      </c>
      <c r="ABC6" s="6" t="str">
        <f>LOWER(CONCATENATE(ABC2, ABC3, "@gmail.com"))</f>
        <v>emilybrown@gmail.com</v>
      </c>
      <c r="ABD6" s="6" t="str">
        <f>LOWER(CONCATENATE(ABD2, ABD3, "@gmail.com"))</f>
        <v>alexwilson@gmail.com</v>
      </c>
      <c r="ABE6" s="6" t="str">
        <f>LOWER(CONCATENATE(ABE2, ABE3, "@gmail.com"))</f>
        <v>johnsmith@gmail.com</v>
      </c>
      <c r="ABF6" s="6" t="str">
        <f>LOWER(CONCATENATE(ABF2, ABF3, "@gmail.com"))</f>
        <v>johndavis@gmail.com</v>
      </c>
      <c r="ABG6" s="6" t="str">
        <f>LOWER(CONCATENATE(ABG2, ABG3, "@gmail.com"))</f>
        <v>sarahdavis@gmail.com</v>
      </c>
      <c r="ABH6" s="6" t="str">
        <f>LOWER(CONCATENATE(ABH2, ABH3, "@gmail.com"))</f>
        <v>janewilson@gmail.com</v>
      </c>
      <c r="ABI6" s="6" t="str">
        <f>LOWER(CONCATENATE(ABI2, ABI3, "@gmail.com"))</f>
        <v>alexjohnson@gmail.com</v>
      </c>
      <c r="ABJ6" s="6" t="str">
        <f>LOWER(CONCATENATE(ABJ2, ABJ3, "@gmail.com"))</f>
        <v>emilyjohnson@gmail.com</v>
      </c>
      <c r="ABK6" s="6" t="str">
        <f>LOWER(CONCATENATE(ABK2, ABK3, "@gmail.com"))</f>
        <v>chrismiller@gmail.com</v>
      </c>
      <c r="ABL6" s="6" t="str">
        <f>LOWER(CONCATENATE(ABL2, ABL3, "@gmail.com"))</f>
        <v>chrismiller@gmail.com</v>
      </c>
      <c r="ABM6" s="6" t="str">
        <f>LOWER(CONCATENATE(ABM2, ABM3, "@gmail.com"))</f>
        <v>emilydavis@gmail.com</v>
      </c>
      <c r="ABN6" s="6" t="str">
        <f>LOWER(CONCATENATE(ABN2, ABN3, "@gmail.com"))</f>
        <v>michaelsmith@gmail.com</v>
      </c>
      <c r="ABO6" s="6" t="str">
        <f>LOWER(CONCATENATE(ABO2, ABO3, "@gmail.com"))</f>
        <v>katiewilliams@gmail.com</v>
      </c>
      <c r="ABP6" s="6" t="str">
        <f>LOWER(CONCATENATE(ABP2, ABP3, "@gmail.com"))</f>
        <v>janewilliams@gmail.com</v>
      </c>
      <c r="ABQ6" s="6" t="str">
        <f>LOWER(CONCATENATE(ABQ2, ABQ3, "@gmail.com"))</f>
        <v>chrismiller@gmail.com</v>
      </c>
      <c r="ABR6" s="6" t="str">
        <f>LOWER(CONCATENATE(ABR2, ABR3, "@gmail.com"))</f>
        <v>alexsmith@gmail.com</v>
      </c>
      <c r="ABS6" s="6" t="str">
        <f>LOWER(CONCATENATE(ABS2, ABS3, "@gmail.com"))</f>
        <v>janemiller@gmail.com</v>
      </c>
      <c r="ABT6" s="6" t="str">
        <f>LOWER(CONCATENATE(ABT2, ABT3, "@gmail.com"))</f>
        <v>alexwilliams@gmail.com</v>
      </c>
      <c r="ABU6" s="6" t="str">
        <f>LOWER(CONCATENATE(ABU2, ABU3, "@gmail.com"))</f>
        <v>michaelwilson@gmail.com</v>
      </c>
      <c r="ABV6" s="6" t="str">
        <f>LOWER(CONCATENATE(ABV2, ABV3, "@gmail.com"))</f>
        <v>johnmiller@gmail.com</v>
      </c>
      <c r="ABW6" s="6" t="str">
        <f>LOWER(CONCATENATE(ABW2, ABW3, "@gmail.com"))</f>
        <v>janebrown@gmail.com</v>
      </c>
      <c r="ABX6" s="6" t="str">
        <f>LOWER(CONCATENATE(ABX2, ABX3, "@gmail.com"))</f>
        <v>sarahwilson@gmail.com</v>
      </c>
      <c r="ABY6" s="6" t="str">
        <f>LOWER(CONCATENATE(ABY2, ABY3, "@gmail.com"))</f>
        <v>chrismiller@gmail.com</v>
      </c>
      <c r="ABZ6" s="6" t="str">
        <f>LOWER(CONCATENATE(ABZ2, ABZ3, "@gmail.com"))</f>
        <v>janedavis@gmail.com</v>
      </c>
      <c r="ACA6" s="6" t="str">
        <f>LOWER(CONCATENATE(ACA2, ACA3, "@gmail.com"))</f>
        <v>janemiller@gmail.com</v>
      </c>
      <c r="ACB6" s="6" t="str">
        <f>LOWER(CONCATENATE(ACB2, ACB3, "@gmail.com"))</f>
        <v>janedavis@gmail.com</v>
      </c>
      <c r="ACC6" s="6" t="str">
        <f>LOWER(CONCATENATE(ACC2, ACC3, "@gmail.com"))</f>
        <v>katiesmith@gmail.com</v>
      </c>
      <c r="ACD6" s="6" t="str">
        <f>LOWER(CONCATENATE(ACD2, ACD3, "@gmail.com"))</f>
        <v>janewilliams@gmail.com</v>
      </c>
      <c r="ACE6" s="6" t="str">
        <f>LOWER(CONCATENATE(ACE2, ACE3, "@gmail.com"))</f>
        <v>alexwilson@gmail.com</v>
      </c>
      <c r="ACF6" s="6" t="str">
        <f>LOWER(CONCATENATE(ACF2, ACF3, "@gmail.com"))</f>
        <v>johnwilson@gmail.com</v>
      </c>
      <c r="ACG6" s="6" t="str">
        <f>LOWER(CONCATENATE(ACG2, ACG3, "@gmail.com"))</f>
        <v>michaeljohnson@gmail.com</v>
      </c>
      <c r="ACH6" s="6" t="str">
        <f>LOWER(CONCATENATE(ACH2, ACH3, "@gmail.com"))</f>
        <v>emilyjohnson@gmail.com</v>
      </c>
      <c r="ACI6" s="6" t="str">
        <f>LOWER(CONCATENATE(ACI2, ACI3, "@gmail.com"))</f>
        <v>janewilliams@gmail.com</v>
      </c>
      <c r="ACJ6" s="6" t="str">
        <f>LOWER(CONCATENATE(ACJ2, ACJ3, "@gmail.com"))</f>
        <v>chrisjohnson@gmail.com</v>
      </c>
      <c r="ACK6" s="6" t="str">
        <f>LOWER(CONCATENATE(ACK2, ACK3, "@gmail.com"))</f>
        <v>janewilson@gmail.com</v>
      </c>
      <c r="ACL6" s="6" t="str">
        <f>LOWER(CONCATENATE(ACL2, ACL3, "@gmail.com"))</f>
        <v>chrismiller@gmail.com</v>
      </c>
      <c r="ACM6" s="6" t="str">
        <f>LOWER(CONCATENATE(ACM2, ACM3, "@gmail.com"))</f>
        <v>alexsmith@gmail.com</v>
      </c>
      <c r="ACN6" s="6" t="str">
        <f>LOWER(CONCATENATE(ACN2, ACN3, "@gmail.com"))</f>
        <v>chrissmith@gmail.com</v>
      </c>
      <c r="ACO6" s="6" t="str">
        <f>LOWER(CONCATENATE(ACO2, ACO3, "@gmail.com"))</f>
        <v>sarahwilliams@gmail.com</v>
      </c>
      <c r="ACP6" s="6" t="str">
        <f>LOWER(CONCATENATE(ACP2, ACP3, "@gmail.com"))</f>
        <v>emilyjohnson@gmail.com</v>
      </c>
      <c r="ACQ6" s="6" t="str">
        <f>LOWER(CONCATENATE(ACQ2, ACQ3, "@gmail.com"))</f>
        <v>johnmiller@gmail.com</v>
      </c>
      <c r="ACR6" s="6" t="str">
        <f>LOWER(CONCATENATE(ACR2, ACR3, "@gmail.com"))</f>
        <v>chrissmith@gmail.com</v>
      </c>
      <c r="ACS6" s="6" t="str">
        <f>LOWER(CONCATENATE(ACS2, ACS3, "@gmail.com"))</f>
        <v>chrissmith@gmail.com</v>
      </c>
      <c r="ACT6" s="6" t="str">
        <f>LOWER(CONCATENATE(ACT2, ACT3, "@gmail.com"))</f>
        <v>johnbrown@gmail.com</v>
      </c>
      <c r="ACU6" s="6" t="str">
        <f>LOWER(CONCATENATE(ACU2, ACU3, "@gmail.com"))</f>
        <v>emilybrown@gmail.com</v>
      </c>
      <c r="ACV6" s="6" t="str">
        <f>LOWER(CONCATENATE(ACV2, ACV3, "@gmail.com"))</f>
        <v>janewilson@gmail.com</v>
      </c>
      <c r="ACW6" s="6" t="str">
        <f>LOWER(CONCATENATE(ACW2, ACW3, "@gmail.com"))</f>
        <v>chrissmith@gmail.com</v>
      </c>
      <c r="ACX6" s="6" t="str">
        <f>LOWER(CONCATENATE(ACX2, ACX3, "@gmail.com"))</f>
        <v>johnwilliams@gmail.com</v>
      </c>
      <c r="ACY6" s="6" t="str">
        <f>LOWER(CONCATENATE(ACY2, ACY3, "@gmail.com"))</f>
        <v>sarahdavis@gmail.com</v>
      </c>
      <c r="ACZ6" s="6" t="str">
        <f>LOWER(CONCATENATE(ACZ2, ACZ3, "@gmail.com"))</f>
        <v>sarahdavis@gmail.com</v>
      </c>
      <c r="ADA6" s="6" t="str">
        <f>LOWER(CONCATENATE(ADA2, ADA3, "@gmail.com"))</f>
        <v>alexmiller@gmail.com</v>
      </c>
      <c r="ADB6" s="6" t="str">
        <f>LOWER(CONCATENATE(ADB2, ADB3, "@gmail.com"))</f>
        <v>johnsmith@gmail.com</v>
      </c>
      <c r="ADC6" s="6" t="str">
        <f>LOWER(CONCATENATE(ADC2, ADC3, "@gmail.com"))</f>
        <v>alexsmith@gmail.com</v>
      </c>
      <c r="ADD6" s="6" t="str">
        <f>LOWER(CONCATENATE(ADD2, ADD3, "@gmail.com"))</f>
        <v>sarahwilson@gmail.com</v>
      </c>
      <c r="ADE6" s="6" t="str">
        <f>LOWER(CONCATENATE(ADE2, ADE3, "@gmail.com"))</f>
        <v>emilysmith@gmail.com</v>
      </c>
      <c r="ADF6" s="6" t="str">
        <f>LOWER(CONCATENATE(ADF2, ADF3, "@gmail.com"))</f>
        <v>janewilliams@gmail.com</v>
      </c>
      <c r="ADG6" s="6" t="str">
        <f>LOWER(CONCATENATE(ADG2, ADG3, "@gmail.com"))</f>
        <v>johnbrown@gmail.com</v>
      </c>
      <c r="ADH6" s="6" t="str">
        <f>LOWER(CONCATENATE(ADH2, ADH3, "@gmail.com"))</f>
        <v>michaelsmith@gmail.com</v>
      </c>
      <c r="ADI6" s="6" t="str">
        <f>LOWER(CONCATENATE(ADI2, ADI3, "@gmail.com"))</f>
        <v>sarahsmith@gmail.com</v>
      </c>
      <c r="ADJ6" s="6" t="str">
        <f>LOWER(CONCATENATE(ADJ2, ADJ3, "@gmail.com"))</f>
        <v>sarahwilson@gmail.com</v>
      </c>
      <c r="ADK6" s="6" t="str">
        <f>LOWER(CONCATENATE(ADK2, ADK3, "@gmail.com"))</f>
        <v>michaeljohnson@gmail.com</v>
      </c>
      <c r="ADL6" s="6" t="str">
        <f>LOWER(CONCATENATE(ADL2, ADL3, "@gmail.com"))</f>
        <v>katiewilson@gmail.com</v>
      </c>
      <c r="ADM6" s="6" t="str">
        <f>LOWER(CONCATENATE(ADM2, ADM3, "@gmail.com"))</f>
        <v>sarahwilson@gmail.com</v>
      </c>
      <c r="ADN6" s="6" t="str">
        <f>LOWER(CONCATENATE(ADN2, ADN3, "@gmail.com"))</f>
        <v>chriswilliams@gmail.com</v>
      </c>
      <c r="ADO6" s="6" t="str">
        <f>LOWER(CONCATENATE(ADO2, ADO3, "@gmail.com"))</f>
        <v>emilymiller@gmail.com</v>
      </c>
      <c r="ADP6" s="6" t="str">
        <f>LOWER(CONCATENATE(ADP2, ADP3, "@gmail.com"))</f>
        <v>johnsmith@gmail.com</v>
      </c>
      <c r="ADQ6" s="6" t="str">
        <f>LOWER(CONCATENATE(ADQ2, ADQ3, "@gmail.com"))</f>
        <v>michaelwilson@gmail.com</v>
      </c>
      <c r="ADR6" s="6" t="str">
        <f>LOWER(CONCATENATE(ADR2, ADR3, "@gmail.com"))</f>
        <v>chriswilson@gmail.com</v>
      </c>
      <c r="ADS6" s="6" t="str">
        <f>LOWER(CONCATENATE(ADS2, ADS3, "@gmail.com"))</f>
        <v>michaeljohnson@gmail.com</v>
      </c>
      <c r="ADT6" s="6" t="str">
        <f>LOWER(CONCATENATE(ADT2, ADT3, "@gmail.com"))</f>
        <v>johnwilson@gmail.com</v>
      </c>
      <c r="ADU6" s="6" t="str">
        <f>LOWER(CONCATENATE(ADU2, ADU3, "@gmail.com"))</f>
        <v>alexdavis@gmail.com</v>
      </c>
      <c r="ADV6" s="6" t="str">
        <f>LOWER(CONCATENATE(ADV2, ADV3, "@gmail.com"))</f>
        <v>johnmiller@gmail.com</v>
      </c>
      <c r="ADW6" s="6" t="str">
        <f>LOWER(CONCATENATE(ADW2, ADW3, "@gmail.com"))</f>
        <v>katiesmith@gmail.com</v>
      </c>
      <c r="ADX6" s="6" t="str">
        <f>LOWER(CONCATENATE(ADX2, ADX3, "@gmail.com"))</f>
        <v>johnsmith@gmail.com</v>
      </c>
      <c r="ADY6" s="6" t="str">
        <f>LOWER(CONCATENATE(ADY2, ADY3, "@gmail.com"))</f>
        <v>johnjohnson@gmail.com</v>
      </c>
      <c r="ADZ6" s="6" t="str">
        <f>LOWER(CONCATENATE(ADZ2, ADZ3, "@gmail.com"))</f>
        <v>katiewilliams@gmail.com</v>
      </c>
      <c r="AEA6" s="6" t="str">
        <f>LOWER(CONCATENATE(AEA2, AEA3, "@gmail.com"))</f>
        <v>emilysmith@gmail.com</v>
      </c>
      <c r="AEB6" s="6" t="str">
        <f>LOWER(CONCATENATE(AEB2, AEB3, "@gmail.com"))</f>
        <v>sarahdavis@gmail.com</v>
      </c>
      <c r="AEC6" s="6" t="str">
        <f>LOWER(CONCATENATE(AEC2, AEC3, "@gmail.com"))</f>
        <v>johnsmith@gmail.com</v>
      </c>
      <c r="AED6" s="6" t="str">
        <f>LOWER(CONCATENATE(AED2, AED3, "@gmail.com"))</f>
        <v>katiedavis@gmail.com</v>
      </c>
      <c r="AEE6" s="6" t="str">
        <f>LOWER(CONCATENATE(AEE2, AEE3, "@gmail.com"))</f>
        <v>chrismiller@gmail.com</v>
      </c>
      <c r="AEF6" s="6" t="str">
        <f>LOWER(CONCATENATE(AEF2, AEF3, "@gmail.com"))</f>
        <v>alexmiller@gmail.com</v>
      </c>
      <c r="AEG6" s="6" t="str">
        <f>LOWER(CONCATENATE(AEG2, AEG3, "@gmail.com"))</f>
        <v>alexbrown@gmail.com</v>
      </c>
      <c r="AEH6" s="6" t="str">
        <f>LOWER(CONCATENATE(AEH2, AEH3, "@gmail.com"))</f>
        <v>johnbrown@gmail.com</v>
      </c>
      <c r="AEI6" s="6" t="str">
        <f>LOWER(CONCATENATE(AEI2, AEI3, "@gmail.com"))</f>
        <v>emilydavis@gmail.com</v>
      </c>
      <c r="AEJ6" s="6" t="str">
        <f>LOWER(CONCATENATE(AEJ2, AEJ3, "@gmail.com"))</f>
        <v>emilywilliams@gmail.com</v>
      </c>
      <c r="AEK6" s="6" t="str">
        <f>LOWER(CONCATENATE(AEK2, AEK3, "@gmail.com"))</f>
        <v>chrissmith@gmail.com</v>
      </c>
      <c r="AEL6" s="6" t="str">
        <f>LOWER(CONCATENATE(AEL2, AEL3, "@gmail.com"))</f>
        <v>johnwilson@gmail.com</v>
      </c>
      <c r="AEM6" s="6" t="str">
        <f>LOWER(CONCATENATE(AEM2, AEM3, "@gmail.com"))</f>
        <v>alexsmith@gmail.com</v>
      </c>
      <c r="AEN6" s="6" t="str">
        <f>LOWER(CONCATENATE(AEN2, AEN3, "@gmail.com"))</f>
        <v>emilybrown@gmail.com</v>
      </c>
      <c r="AEO6" s="6" t="str">
        <f>LOWER(CONCATENATE(AEO2, AEO3, "@gmail.com"))</f>
        <v>johnwilson@gmail.com</v>
      </c>
      <c r="AEP6" s="6" t="str">
        <f>LOWER(CONCATENATE(AEP2, AEP3, "@gmail.com"))</f>
        <v>michaeldavis@gmail.com</v>
      </c>
      <c r="AEQ6" s="6" t="str">
        <f>LOWER(CONCATENATE(AEQ2, AEQ3, "@gmail.com"))</f>
        <v>emilywilson@gmail.com</v>
      </c>
      <c r="AER6" s="6" t="str">
        <f>LOWER(CONCATENATE(AER2, AER3, "@gmail.com"))</f>
        <v>katiesmith@gmail.com</v>
      </c>
      <c r="AES6" s="6" t="str">
        <f>LOWER(CONCATENATE(AES2, AES3, "@gmail.com"))</f>
        <v>michaelsmith@gmail.com</v>
      </c>
      <c r="AET6" s="6" t="str">
        <f>LOWER(CONCATENATE(AET2, AET3, "@gmail.com"))</f>
        <v>sarahwilliams@gmail.com</v>
      </c>
      <c r="AEU6" s="6" t="str">
        <f>LOWER(CONCATENATE(AEU2, AEU3, "@gmail.com"))</f>
        <v>emilyjohnson@gmail.com</v>
      </c>
      <c r="AEV6" s="6" t="str">
        <f>LOWER(CONCATENATE(AEV2, AEV3, "@gmail.com"))</f>
        <v>alexwilson@gmail.com</v>
      </c>
      <c r="AEW6" s="6" t="str">
        <f>LOWER(CONCATENATE(AEW2, AEW3, "@gmail.com"))</f>
        <v>janebrown@gmail.com</v>
      </c>
      <c r="AEX6" s="6" t="str">
        <f>LOWER(CONCATENATE(AEX2, AEX3, "@gmail.com"))</f>
        <v>michaelbrown@gmail.com</v>
      </c>
      <c r="AEY6" s="6" t="str">
        <f>LOWER(CONCATENATE(AEY2, AEY3, "@gmail.com"))</f>
        <v>sarahjohnson@gmail.com</v>
      </c>
      <c r="AEZ6" s="6" t="str">
        <f>LOWER(CONCATENATE(AEZ2, AEZ3, "@gmail.com"))</f>
        <v>chrissmith@gmail.com</v>
      </c>
      <c r="AFA6" s="6" t="str">
        <f>LOWER(CONCATENATE(AFA2, AFA3, "@gmail.com"))</f>
        <v>chriswilliams@gmail.com</v>
      </c>
      <c r="AFB6" s="6" t="str">
        <f>LOWER(CONCATENATE(AFB2, AFB3, "@gmail.com"))</f>
        <v>alexwilliams@gmail.com</v>
      </c>
      <c r="AFC6" s="6" t="str">
        <f>LOWER(CONCATENATE(AFC2, AFC3, "@gmail.com"))</f>
        <v>emilybrown@gmail.com</v>
      </c>
      <c r="AFD6" s="6" t="str">
        <f>LOWER(CONCATENATE(AFD2, AFD3, "@gmail.com"))</f>
        <v>johnwilliams@gmail.com</v>
      </c>
      <c r="AFE6" s="6" t="str">
        <f>LOWER(CONCATENATE(AFE2, AFE3, "@gmail.com"))</f>
        <v>emilymiller@gmail.com</v>
      </c>
      <c r="AFF6" s="6" t="str">
        <f>LOWER(CONCATENATE(AFF2, AFF3, "@gmail.com"))</f>
        <v>alexjohnson@gmail.com</v>
      </c>
      <c r="AFG6" s="6" t="str">
        <f>LOWER(CONCATENATE(AFG2, AFG3, "@gmail.com"))</f>
        <v>chrissmith@gmail.com</v>
      </c>
      <c r="AFH6" s="6" t="str">
        <f>LOWER(CONCATENATE(AFH2, AFH3, "@gmail.com"))</f>
        <v>emilymiller@gmail.com</v>
      </c>
      <c r="AFI6" s="6" t="str">
        <f>LOWER(CONCATENATE(AFI2, AFI3, "@gmail.com"))</f>
        <v>chrisjohnson@gmail.com</v>
      </c>
      <c r="AFJ6" s="6" t="str">
        <f>LOWER(CONCATENATE(AFJ2, AFJ3, "@gmail.com"))</f>
        <v>michaeldavis@gmail.com</v>
      </c>
      <c r="AFK6" s="6" t="str">
        <f>LOWER(CONCATENATE(AFK2, AFK3, "@gmail.com"))</f>
        <v>sarahwilson@gmail.com</v>
      </c>
      <c r="AFL6" s="6" t="str">
        <f>LOWER(CONCATENATE(AFL2, AFL3, "@gmail.com"))</f>
        <v>johnbrown@gmail.com</v>
      </c>
      <c r="AFM6" s="6" t="str">
        <f>LOWER(CONCATENATE(AFM2, AFM3, "@gmail.com"))</f>
        <v>michaelwilliams@gmail.com</v>
      </c>
      <c r="AFN6" s="6" t="str">
        <f>LOWER(CONCATENATE(AFN2, AFN3, "@gmail.com"))</f>
        <v>chrisdavis@gmail.com</v>
      </c>
      <c r="AFO6" s="6" t="str">
        <f>LOWER(CONCATENATE(AFO2, AFO3, "@gmail.com"))</f>
        <v>chriswilliams@gmail.com</v>
      </c>
      <c r="AFP6" s="6" t="str">
        <f>LOWER(CONCATENATE(AFP2, AFP3, "@gmail.com"))</f>
        <v>janemiller@gmail.com</v>
      </c>
      <c r="AFQ6" s="6" t="str">
        <f>LOWER(CONCATENATE(AFQ2, AFQ3, "@gmail.com"))</f>
        <v>janesmith@gmail.com</v>
      </c>
      <c r="AFR6" s="6" t="str">
        <f>LOWER(CONCATENATE(AFR2, AFR3, "@gmail.com"))</f>
        <v>michaelsmith@gmail.com</v>
      </c>
      <c r="AFS6" s="6" t="str">
        <f>LOWER(CONCATENATE(AFS2, AFS3, "@gmail.com"))</f>
        <v>katiesmith@gmail.com</v>
      </c>
      <c r="AFT6" s="6" t="str">
        <f>LOWER(CONCATENATE(AFT2, AFT3, "@gmail.com"))</f>
        <v>michaelwilliams@gmail.com</v>
      </c>
      <c r="AFU6" s="6" t="str">
        <f>LOWER(CONCATENATE(AFU2, AFU3, "@gmail.com"))</f>
        <v>janedavis@gmail.com</v>
      </c>
      <c r="AFV6" s="6" t="str">
        <f>LOWER(CONCATENATE(AFV2, AFV3, "@gmail.com"))</f>
        <v>chrissmith@gmail.com</v>
      </c>
      <c r="AFW6" s="6" t="str">
        <f>LOWER(CONCATENATE(AFW2, AFW3, "@gmail.com"))</f>
        <v>alexdavis@gmail.com</v>
      </c>
      <c r="AFX6" s="6" t="str">
        <f>LOWER(CONCATENATE(AFX2, AFX3, "@gmail.com"))</f>
        <v>michaelwilliams@gmail.com</v>
      </c>
      <c r="AFY6" s="6" t="str">
        <f>LOWER(CONCATENATE(AFY2, AFY3, "@gmail.com"))</f>
        <v>chrismiller@gmail.com</v>
      </c>
      <c r="AFZ6" s="6" t="str">
        <f>LOWER(CONCATENATE(AFZ2, AFZ3, "@gmail.com"))</f>
        <v>alexdavis@gmail.com</v>
      </c>
      <c r="AGA6" s="6" t="str">
        <f>LOWER(CONCATENATE(AGA2, AGA3, "@gmail.com"))</f>
        <v>alexmiller@gmail.com</v>
      </c>
      <c r="AGB6" s="6" t="str">
        <f>LOWER(CONCATENATE(AGB2, AGB3, "@gmail.com"))</f>
        <v>janewilliams@gmail.com</v>
      </c>
      <c r="AGC6" s="6" t="str">
        <f>LOWER(CONCATENATE(AGC2, AGC3, "@gmail.com"))</f>
        <v>michaelwilliams@gmail.com</v>
      </c>
      <c r="AGD6" s="6" t="str">
        <f>LOWER(CONCATENATE(AGD2, AGD3, "@gmail.com"))</f>
        <v>emilybrown@gmail.com</v>
      </c>
      <c r="AGE6" s="6" t="str">
        <f>LOWER(CONCATENATE(AGE2, AGE3, "@gmail.com"))</f>
        <v>johnwilliams@gmail.com</v>
      </c>
      <c r="AGF6" s="6" t="str">
        <f>LOWER(CONCATENATE(AGF2, AGF3, "@gmail.com"))</f>
        <v>janewilliams@gmail.com</v>
      </c>
      <c r="AGG6" s="6" t="str">
        <f>LOWER(CONCATENATE(AGG2, AGG3, "@gmail.com"))</f>
        <v>janejohnson@gmail.com</v>
      </c>
      <c r="AGH6" s="6" t="str">
        <f>LOWER(CONCATENATE(AGH2, AGH3, "@gmail.com"))</f>
        <v>emilysmith@gmail.com</v>
      </c>
      <c r="AGI6" s="6" t="str">
        <f>LOWER(CONCATENATE(AGI2, AGI3, "@gmail.com"))</f>
        <v>johnbrown@gmail.com</v>
      </c>
      <c r="AGJ6" s="6" t="str">
        <f>LOWER(CONCATENATE(AGJ2, AGJ3, "@gmail.com"))</f>
        <v>chriswilson@gmail.com</v>
      </c>
      <c r="AGK6" s="6" t="str">
        <f>LOWER(CONCATENATE(AGK2, AGK3, "@gmail.com"))</f>
        <v>katiebrown@gmail.com</v>
      </c>
      <c r="AGL6" s="6" t="str">
        <f>LOWER(CONCATENATE(AGL2, AGL3, "@gmail.com"))</f>
        <v>alexbrown@gmail.com</v>
      </c>
      <c r="AGM6" s="6" t="str">
        <f>LOWER(CONCATENATE(AGM2, AGM3, "@gmail.com"))</f>
        <v>katiewilson@gmail.com</v>
      </c>
      <c r="AGN6" s="6" t="str">
        <f>LOWER(CONCATENATE(AGN2, AGN3, "@gmail.com"))</f>
        <v>chrisjohnson@gmail.com</v>
      </c>
      <c r="AGO6" s="6" t="str">
        <f>LOWER(CONCATENATE(AGO2, AGO3, "@gmail.com"))</f>
        <v>sarahmiller@gmail.com</v>
      </c>
      <c r="AGP6" s="6" t="str">
        <f>LOWER(CONCATENATE(AGP2, AGP3, "@gmail.com"))</f>
        <v>janewilliams@gmail.com</v>
      </c>
      <c r="AGQ6" s="6" t="str">
        <f>LOWER(CONCATENATE(AGQ2, AGQ3, "@gmail.com"))</f>
        <v>johnsmith@gmail.com</v>
      </c>
      <c r="AGR6" s="6" t="str">
        <f>LOWER(CONCATENATE(AGR2, AGR3, "@gmail.com"))</f>
        <v>janedavis@gmail.com</v>
      </c>
      <c r="AGS6" s="6" t="str">
        <f>LOWER(CONCATENATE(AGS2, AGS3, "@gmail.com"))</f>
        <v>alexwilson@gmail.com</v>
      </c>
    </row>
    <row r="7" spans="1:885" x14ac:dyDescent="0.25">
      <c r="A7" s="1" t="s">
        <v>4</v>
      </c>
      <c r="B7">
        <v>74291</v>
      </c>
      <c r="C7">
        <v>93350</v>
      </c>
      <c r="D7">
        <v>112020</v>
      </c>
      <c r="E7">
        <v>34646</v>
      </c>
      <c r="F7">
        <v>69713</v>
      </c>
      <c r="G7">
        <v>97936</v>
      </c>
      <c r="H7">
        <v>74331</v>
      </c>
      <c r="I7">
        <v>52185</v>
      </c>
      <c r="J7">
        <v>114263</v>
      </c>
      <c r="K7">
        <v>82107</v>
      </c>
      <c r="L7">
        <v>96554</v>
      </c>
      <c r="M7">
        <v>47563</v>
      </c>
      <c r="N7">
        <v>100729</v>
      </c>
      <c r="O7">
        <v>45701</v>
      </c>
      <c r="P7">
        <v>99072</v>
      </c>
      <c r="Q7">
        <v>78217</v>
      </c>
      <c r="R7">
        <v>74610</v>
      </c>
      <c r="S7">
        <v>114422</v>
      </c>
      <c r="T7">
        <v>80131</v>
      </c>
      <c r="U7">
        <v>59410</v>
      </c>
      <c r="V7">
        <v>88715</v>
      </c>
      <c r="W7">
        <v>68665</v>
      </c>
      <c r="X7">
        <v>45957</v>
      </c>
      <c r="Y7">
        <v>78127</v>
      </c>
      <c r="Z7">
        <v>93589</v>
      </c>
      <c r="AA7">
        <v>76008</v>
      </c>
      <c r="AB7">
        <v>91920</v>
      </c>
      <c r="AC7">
        <v>62875</v>
      </c>
      <c r="AD7">
        <v>31626</v>
      </c>
      <c r="AE7">
        <v>93822</v>
      </c>
      <c r="AF7">
        <v>101765</v>
      </c>
      <c r="AG7">
        <v>102413</v>
      </c>
      <c r="AH7">
        <v>63642</v>
      </c>
      <c r="AI7">
        <v>68311</v>
      </c>
      <c r="AJ7">
        <v>62356</v>
      </c>
      <c r="AK7">
        <v>33809</v>
      </c>
      <c r="AL7">
        <v>73371</v>
      </c>
      <c r="AM7">
        <v>64875</v>
      </c>
      <c r="AN7">
        <v>39465</v>
      </c>
      <c r="AO7">
        <v>96095</v>
      </c>
      <c r="AP7">
        <v>103844</v>
      </c>
      <c r="AQ7">
        <v>95250</v>
      </c>
      <c r="AR7">
        <v>116889</v>
      </c>
      <c r="AS7">
        <v>45250</v>
      </c>
      <c r="AT7">
        <v>76023</v>
      </c>
      <c r="AU7">
        <v>76624</v>
      </c>
      <c r="AV7">
        <v>46427</v>
      </c>
      <c r="AW7">
        <v>63276</v>
      </c>
      <c r="AX7">
        <v>101643</v>
      </c>
      <c r="AY7">
        <v>109012</v>
      </c>
      <c r="AZ7">
        <v>33439</v>
      </c>
      <c r="BA7">
        <v>115848</v>
      </c>
      <c r="BB7">
        <v>117331</v>
      </c>
      <c r="BC7">
        <v>108672</v>
      </c>
      <c r="BD7">
        <v>109703</v>
      </c>
      <c r="BE7">
        <v>47300</v>
      </c>
      <c r="BF7">
        <v>90289</v>
      </c>
      <c r="BG7">
        <v>47182</v>
      </c>
      <c r="BH7">
        <v>100507</v>
      </c>
      <c r="BI7">
        <v>80912</v>
      </c>
      <c r="BJ7">
        <v>56909</v>
      </c>
      <c r="BK7">
        <v>49659</v>
      </c>
      <c r="BL7">
        <v>61403</v>
      </c>
      <c r="BM7">
        <v>63586</v>
      </c>
      <c r="BN7">
        <v>40360</v>
      </c>
      <c r="BO7">
        <v>51424</v>
      </c>
      <c r="BP7">
        <v>78791</v>
      </c>
      <c r="BQ7">
        <v>33065</v>
      </c>
      <c r="BR7">
        <v>98795</v>
      </c>
      <c r="BS7">
        <v>42300</v>
      </c>
      <c r="BT7">
        <v>63370</v>
      </c>
      <c r="BU7">
        <v>99831</v>
      </c>
      <c r="BV7">
        <v>57209</v>
      </c>
      <c r="BW7">
        <v>50927</v>
      </c>
      <c r="BX7">
        <v>64579</v>
      </c>
      <c r="BY7">
        <v>39032</v>
      </c>
      <c r="BZ7">
        <v>108413</v>
      </c>
      <c r="CA7">
        <v>70731</v>
      </c>
      <c r="CB7">
        <v>83767</v>
      </c>
      <c r="CC7">
        <v>102302</v>
      </c>
      <c r="CD7">
        <v>79954</v>
      </c>
      <c r="CE7">
        <v>118365</v>
      </c>
      <c r="CF7">
        <v>115757</v>
      </c>
      <c r="CG7">
        <v>55102</v>
      </c>
      <c r="CH7">
        <v>64433</v>
      </c>
      <c r="CI7">
        <v>45932</v>
      </c>
      <c r="CJ7">
        <v>55714</v>
      </c>
      <c r="CK7">
        <v>87803</v>
      </c>
      <c r="CL7">
        <v>69743</v>
      </c>
      <c r="CM7">
        <v>32552</v>
      </c>
      <c r="CN7">
        <v>86627</v>
      </c>
      <c r="CO7">
        <v>75987</v>
      </c>
      <c r="CP7">
        <v>109810</v>
      </c>
      <c r="CQ7">
        <v>75380</v>
      </c>
      <c r="CR7">
        <v>59250</v>
      </c>
      <c r="CS7">
        <v>98344</v>
      </c>
      <c r="CT7">
        <v>94686</v>
      </c>
      <c r="CU7">
        <v>75028</v>
      </c>
      <c r="CV7">
        <v>45295</v>
      </c>
      <c r="CW7">
        <v>85248</v>
      </c>
      <c r="CX7">
        <v>110205</v>
      </c>
      <c r="CY7">
        <v>40523</v>
      </c>
      <c r="CZ7">
        <v>75530</v>
      </c>
      <c r="DA7">
        <v>43769</v>
      </c>
      <c r="DB7">
        <v>93042</v>
      </c>
      <c r="DC7">
        <v>74645</v>
      </c>
      <c r="DD7">
        <v>92142</v>
      </c>
      <c r="DE7">
        <v>55557</v>
      </c>
      <c r="DF7">
        <v>109782</v>
      </c>
      <c r="DG7">
        <v>108382</v>
      </c>
      <c r="DH7">
        <v>67085</v>
      </c>
      <c r="DI7">
        <v>80708</v>
      </c>
      <c r="DJ7">
        <v>81357</v>
      </c>
      <c r="DK7">
        <v>43470</v>
      </c>
      <c r="DL7">
        <v>108712</v>
      </c>
      <c r="DM7">
        <v>109082</v>
      </c>
      <c r="DN7">
        <v>36805</v>
      </c>
      <c r="DO7">
        <v>112324</v>
      </c>
      <c r="DP7">
        <v>92028</v>
      </c>
      <c r="DQ7">
        <v>80772</v>
      </c>
      <c r="DR7">
        <v>82104</v>
      </c>
      <c r="DS7">
        <v>103616</v>
      </c>
      <c r="DT7">
        <v>119300</v>
      </c>
      <c r="DU7">
        <v>36630</v>
      </c>
      <c r="DV7">
        <v>45701</v>
      </c>
      <c r="DW7">
        <v>44859</v>
      </c>
      <c r="DX7">
        <v>51183</v>
      </c>
      <c r="DY7">
        <v>70438</v>
      </c>
      <c r="DZ7">
        <v>72244</v>
      </c>
      <c r="EA7">
        <v>104312</v>
      </c>
      <c r="EB7">
        <v>45021</v>
      </c>
      <c r="EC7">
        <v>99863</v>
      </c>
      <c r="ED7">
        <v>85565</v>
      </c>
      <c r="EE7">
        <v>78043</v>
      </c>
      <c r="EF7">
        <v>103150</v>
      </c>
      <c r="EG7">
        <v>94361</v>
      </c>
      <c r="EH7">
        <v>31245</v>
      </c>
      <c r="EI7">
        <v>71011</v>
      </c>
      <c r="EJ7">
        <v>40355</v>
      </c>
      <c r="EK7">
        <v>78692</v>
      </c>
      <c r="EL7">
        <v>79004</v>
      </c>
      <c r="EM7">
        <v>59714</v>
      </c>
      <c r="EN7">
        <v>47198</v>
      </c>
      <c r="EO7">
        <v>96951</v>
      </c>
      <c r="EP7">
        <v>31652</v>
      </c>
      <c r="EQ7">
        <v>73625</v>
      </c>
      <c r="ER7">
        <v>115982</v>
      </c>
      <c r="ES7">
        <v>48740</v>
      </c>
      <c r="ET7">
        <v>33810</v>
      </c>
      <c r="EU7">
        <v>46569</v>
      </c>
      <c r="EV7">
        <v>109120</v>
      </c>
      <c r="EW7">
        <v>56783</v>
      </c>
      <c r="EX7">
        <v>108047</v>
      </c>
      <c r="EY7">
        <v>39471</v>
      </c>
      <c r="EZ7">
        <v>36163</v>
      </c>
      <c r="FA7">
        <v>93087</v>
      </c>
      <c r="FB7">
        <v>92071</v>
      </c>
      <c r="FC7">
        <v>46065</v>
      </c>
      <c r="FD7">
        <v>113456</v>
      </c>
      <c r="FE7">
        <v>78348</v>
      </c>
      <c r="FF7">
        <v>49154</v>
      </c>
      <c r="FG7">
        <v>50229</v>
      </c>
      <c r="FH7">
        <v>82587</v>
      </c>
      <c r="FI7">
        <v>79713</v>
      </c>
      <c r="FJ7">
        <v>56997</v>
      </c>
      <c r="FK7">
        <v>51101</v>
      </c>
      <c r="FL7">
        <v>70391</v>
      </c>
      <c r="FM7">
        <v>105863</v>
      </c>
      <c r="FN7">
        <v>102723</v>
      </c>
      <c r="FO7">
        <v>89405</v>
      </c>
      <c r="FP7">
        <v>64948</v>
      </c>
      <c r="FQ7">
        <v>83031</v>
      </c>
      <c r="FR7">
        <v>67921</v>
      </c>
      <c r="FS7">
        <v>102571</v>
      </c>
      <c r="FT7">
        <v>107007</v>
      </c>
      <c r="FU7">
        <v>58460</v>
      </c>
      <c r="FV7">
        <v>51071</v>
      </c>
      <c r="FW7">
        <v>96118</v>
      </c>
      <c r="FX7">
        <v>78282</v>
      </c>
      <c r="FY7">
        <v>88445</v>
      </c>
      <c r="FZ7">
        <v>111067</v>
      </c>
      <c r="GA7">
        <v>112208</v>
      </c>
      <c r="GB7">
        <v>84816</v>
      </c>
      <c r="GC7">
        <v>115779</v>
      </c>
      <c r="GD7">
        <v>33060</v>
      </c>
      <c r="GE7">
        <v>43731</v>
      </c>
      <c r="GF7">
        <v>107830</v>
      </c>
      <c r="GG7">
        <v>50719</v>
      </c>
      <c r="GH7">
        <v>77042</v>
      </c>
      <c r="GI7">
        <v>79116</v>
      </c>
      <c r="GJ7">
        <v>56325</v>
      </c>
      <c r="GK7">
        <v>52597</v>
      </c>
      <c r="GL7">
        <v>97439</v>
      </c>
      <c r="GM7">
        <v>44551</v>
      </c>
      <c r="GN7">
        <v>54278</v>
      </c>
      <c r="GO7">
        <v>45141</v>
      </c>
      <c r="GP7">
        <v>97913</v>
      </c>
      <c r="GQ7">
        <v>63615</v>
      </c>
      <c r="GR7">
        <v>92751</v>
      </c>
      <c r="GS7">
        <v>57452</v>
      </c>
      <c r="GT7">
        <v>52725</v>
      </c>
      <c r="GU7">
        <v>80391</v>
      </c>
      <c r="GV7">
        <v>105060</v>
      </c>
      <c r="GW7">
        <v>41698</v>
      </c>
      <c r="GX7">
        <v>116711</v>
      </c>
      <c r="GY7">
        <v>107850</v>
      </c>
      <c r="GZ7">
        <v>32365</v>
      </c>
      <c r="HA7">
        <v>73372</v>
      </c>
      <c r="HB7">
        <v>74134</v>
      </c>
      <c r="HC7">
        <v>67823</v>
      </c>
      <c r="HD7">
        <v>101158</v>
      </c>
      <c r="HE7">
        <v>31949</v>
      </c>
      <c r="HF7">
        <v>79396</v>
      </c>
      <c r="HG7">
        <v>61912</v>
      </c>
      <c r="HH7">
        <v>86947</v>
      </c>
      <c r="HI7">
        <v>74387</v>
      </c>
      <c r="HJ7">
        <v>93965</v>
      </c>
      <c r="HK7">
        <v>46508</v>
      </c>
      <c r="HL7">
        <v>75592</v>
      </c>
      <c r="HM7">
        <v>31919</v>
      </c>
      <c r="HN7">
        <v>72595</v>
      </c>
      <c r="HO7">
        <v>39617</v>
      </c>
      <c r="HP7">
        <v>105268</v>
      </c>
      <c r="HQ7">
        <v>63298</v>
      </c>
      <c r="HR7">
        <v>36929</v>
      </c>
      <c r="HS7">
        <v>44456</v>
      </c>
      <c r="HT7">
        <v>116676</v>
      </c>
      <c r="HU7">
        <v>113721</v>
      </c>
      <c r="HV7">
        <v>67924</v>
      </c>
      <c r="HW7">
        <v>54240</v>
      </c>
      <c r="HX7">
        <v>117381</v>
      </c>
      <c r="HY7">
        <v>39228</v>
      </c>
      <c r="HZ7">
        <v>51686</v>
      </c>
      <c r="IA7">
        <v>41920</v>
      </c>
      <c r="IB7">
        <v>37432</v>
      </c>
      <c r="IC7">
        <v>93575</v>
      </c>
      <c r="ID7">
        <v>101725</v>
      </c>
      <c r="IE7">
        <v>63910</v>
      </c>
      <c r="IF7">
        <v>60226</v>
      </c>
      <c r="IG7">
        <v>103150</v>
      </c>
      <c r="IH7">
        <v>89099</v>
      </c>
      <c r="II7">
        <v>116760</v>
      </c>
      <c r="IJ7">
        <v>48013</v>
      </c>
      <c r="IK7">
        <v>51446</v>
      </c>
      <c r="IL7">
        <v>100375</v>
      </c>
      <c r="IM7">
        <v>92509</v>
      </c>
      <c r="IN7">
        <v>30557</v>
      </c>
      <c r="IO7">
        <v>60666</v>
      </c>
      <c r="IP7">
        <v>67389</v>
      </c>
      <c r="IQ7">
        <v>77700</v>
      </c>
      <c r="IR7">
        <v>54578</v>
      </c>
      <c r="IS7">
        <v>104779</v>
      </c>
      <c r="IT7">
        <v>39596</v>
      </c>
      <c r="IU7">
        <v>87500</v>
      </c>
      <c r="IV7">
        <v>102534</v>
      </c>
      <c r="IW7">
        <v>40129</v>
      </c>
      <c r="IX7">
        <v>93394</v>
      </c>
      <c r="IY7">
        <v>96046</v>
      </c>
      <c r="IZ7">
        <v>41596</v>
      </c>
      <c r="JA7">
        <v>95355</v>
      </c>
      <c r="JB7">
        <v>42974</v>
      </c>
      <c r="JC7">
        <v>96673</v>
      </c>
      <c r="JD7">
        <v>100202</v>
      </c>
      <c r="JE7">
        <v>104442</v>
      </c>
      <c r="JF7">
        <v>51818</v>
      </c>
      <c r="JG7">
        <v>73246</v>
      </c>
      <c r="JH7">
        <v>85598</v>
      </c>
      <c r="JI7">
        <v>32654</v>
      </c>
      <c r="JJ7">
        <v>63758</v>
      </c>
      <c r="JK7">
        <v>54204</v>
      </c>
      <c r="JL7">
        <v>64928</v>
      </c>
      <c r="JM7">
        <v>83609</v>
      </c>
      <c r="JN7">
        <v>60552</v>
      </c>
      <c r="JO7">
        <v>40336</v>
      </c>
      <c r="JP7">
        <v>77037</v>
      </c>
      <c r="JQ7">
        <v>46206</v>
      </c>
      <c r="JR7">
        <v>64831</v>
      </c>
      <c r="JS7">
        <v>73563</v>
      </c>
      <c r="JT7">
        <v>48361</v>
      </c>
      <c r="JU7">
        <v>71335</v>
      </c>
      <c r="JV7">
        <v>104469</v>
      </c>
      <c r="JW7">
        <v>55816</v>
      </c>
      <c r="JX7">
        <v>45619</v>
      </c>
      <c r="JY7">
        <v>56819</v>
      </c>
      <c r="JZ7">
        <v>41741</v>
      </c>
      <c r="KA7">
        <v>38798</v>
      </c>
      <c r="KB7">
        <v>55143</v>
      </c>
      <c r="KC7">
        <v>79695</v>
      </c>
      <c r="KD7">
        <v>62747</v>
      </c>
      <c r="KE7">
        <v>51182</v>
      </c>
      <c r="KF7">
        <v>39415</v>
      </c>
      <c r="KG7">
        <v>41085</v>
      </c>
      <c r="KH7">
        <v>45008</v>
      </c>
      <c r="KI7">
        <v>117638</v>
      </c>
      <c r="KJ7">
        <v>48452</v>
      </c>
      <c r="KK7">
        <v>94075</v>
      </c>
      <c r="KL7">
        <v>38120</v>
      </c>
      <c r="KM7">
        <v>94385</v>
      </c>
      <c r="KN7">
        <v>103356</v>
      </c>
      <c r="KO7">
        <v>48170</v>
      </c>
      <c r="KP7">
        <v>46259</v>
      </c>
      <c r="KQ7">
        <v>52099</v>
      </c>
      <c r="KR7">
        <v>39649</v>
      </c>
      <c r="KS7">
        <v>89258</v>
      </c>
      <c r="KT7">
        <v>71037</v>
      </c>
      <c r="KU7">
        <v>41805</v>
      </c>
      <c r="KV7">
        <v>73147</v>
      </c>
      <c r="KW7">
        <v>104280</v>
      </c>
      <c r="KX7">
        <v>76053</v>
      </c>
      <c r="KY7">
        <v>106215</v>
      </c>
      <c r="KZ7">
        <v>40985</v>
      </c>
      <c r="LA7">
        <v>42391</v>
      </c>
      <c r="LB7">
        <v>34861</v>
      </c>
      <c r="LC7">
        <v>93582</v>
      </c>
      <c r="LD7">
        <v>81928</v>
      </c>
      <c r="LE7">
        <v>64364</v>
      </c>
      <c r="LF7">
        <v>112399</v>
      </c>
      <c r="LG7">
        <v>72923</v>
      </c>
      <c r="LH7">
        <v>37919</v>
      </c>
      <c r="LI7">
        <v>85896</v>
      </c>
      <c r="LJ7">
        <v>115818</v>
      </c>
      <c r="LK7">
        <v>77396</v>
      </c>
      <c r="LL7">
        <v>64840</v>
      </c>
      <c r="LM7">
        <v>72255</v>
      </c>
      <c r="LN7">
        <v>101160</v>
      </c>
      <c r="LO7">
        <v>38176</v>
      </c>
      <c r="LP7">
        <v>63529</v>
      </c>
      <c r="LQ7">
        <v>86406</v>
      </c>
      <c r="LR7">
        <v>42941</v>
      </c>
      <c r="LS7">
        <v>31669</v>
      </c>
      <c r="LT7">
        <v>115782</v>
      </c>
      <c r="LU7">
        <v>74859</v>
      </c>
      <c r="LV7">
        <v>85786</v>
      </c>
      <c r="LW7">
        <v>81083</v>
      </c>
      <c r="LX7">
        <v>70076</v>
      </c>
      <c r="LY7">
        <v>50323</v>
      </c>
      <c r="LZ7">
        <v>36021</v>
      </c>
      <c r="MA7">
        <v>69807</v>
      </c>
      <c r="MB7">
        <v>80355</v>
      </c>
      <c r="MC7">
        <v>74732</v>
      </c>
      <c r="MD7">
        <v>38711</v>
      </c>
      <c r="ME7">
        <v>93079</v>
      </c>
      <c r="MF7">
        <v>37904</v>
      </c>
      <c r="MG7">
        <v>94033</v>
      </c>
      <c r="MH7">
        <v>116478</v>
      </c>
      <c r="MI7">
        <v>119787</v>
      </c>
      <c r="MJ7">
        <v>85096</v>
      </c>
      <c r="MK7">
        <v>33093</v>
      </c>
      <c r="ML7">
        <v>54918</v>
      </c>
      <c r="MM7">
        <v>102743</v>
      </c>
      <c r="MN7">
        <v>92636</v>
      </c>
      <c r="MO7">
        <v>88806</v>
      </c>
      <c r="MP7">
        <v>39394</v>
      </c>
      <c r="MQ7">
        <v>43280</v>
      </c>
      <c r="MR7">
        <v>66303</v>
      </c>
      <c r="MS7">
        <v>57453</v>
      </c>
      <c r="MT7">
        <v>90695</v>
      </c>
      <c r="MU7">
        <v>98449</v>
      </c>
      <c r="MV7">
        <v>55765</v>
      </c>
      <c r="MW7">
        <v>32340</v>
      </c>
      <c r="MX7">
        <v>68057</v>
      </c>
      <c r="MY7">
        <v>30597</v>
      </c>
      <c r="MZ7">
        <v>87988</v>
      </c>
      <c r="NA7">
        <v>45025</v>
      </c>
      <c r="NB7">
        <v>37145</v>
      </c>
      <c r="NC7">
        <v>85797</v>
      </c>
      <c r="ND7">
        <v>71723</v>
      </c>
      <c r="NE7">
        <v>103230</v>
      </c>
      <c r="NF7">
        <v>34830</v>
      </c>
      <c r="NG7">
        <v>53930</v>
      </c>
      <c r="NH7">
        <v>53752</v>
      </c>
      <c r="NI7">
        <v>106025</v>
      </c>
      <c r="NJ7">
        <v>111304</v>
      </c>
      <c r="NK7">
        <v>92040</v>
      </c>
      <c r="NL7">
        <v>97696</v>
      </c>
      <c r="NM7">
        <v>94648</v>
      </c>
      <c r="NN7">
        <v>85030</v>
      </c>
      <c r="NO7">
        <v>86815</v>
      </c>
      <c r="NP7">
        <v>115669</v>
      </c>
      <c r="NQ7">
        <v>65690</v>
      </c>
      <c r="NR7">
        <v>118406</v>
      </c>
      <c r="NS7">
        <v>87923</v>
      </c>
      <c r="NT7">
        <v>66572</v>
      </c>
      <c r="NU7">
        <v>84030</v>
      </c>
      <c r="NV7">
        <v>97904</v>
      </c>
      <c r="NW7">
        <v>59203</v>
      </c>
      <c r="NX7">
        <v>107088</v>
      </c>
      <c r="NY7">
        <v>35608</v>
      </c>
      <c r="NZ7">
        <v>75667</v>
      </c>
      <c r="OA7">
        <v>85547</v>
      </c>
      <c r="OB7">
        <v>52485</v>
      </c>
      <c r="OC7">
        <v>39862</v>
      </c>
      <c r="OD7">
        <v>105948</v>
      </c>
      <c r="OE7">
        <v>116890</v>
      </c>
      <c r="OF7">
        <v>101880</v>
      </c>
      <c r="OG7">
        <v>87560</v>
      </c>
      <c r="OH7">
        <v>113529</v>
      </c>
      <c r="OI7">
        <v>58415</v>
      </c>
      <c r="OJ7">
        <v>94523</v>
      </c>
      <c r="OK7">
        <v>49323</v>
      </c>
      <c r="OL7">
        <v>83214</v>
      </c>
      <c r="OM7">
        <v>47997</v>
      </c>
      <c r="ON7">
        <v>87003</v>
      </c>
      <c r="OO7">
        <v>33679</v>
      </c>
      <c r="OP7">
        <v>70308</v>
      </c>
      <c r="OQ7">
        <v>105024</v>
      </c>
      <c r="OR7">
        <v>69842</v>
      </c>
      <c r="OS7">
        <v>95408</v>
      </c>
      <c r="OT7">
        <v>99532</v>
      </c>
      <c r="OU7">
        <v>83938</v>
      </c>
      <c r="OV7">
        <v>35695</v>
      </c>
      <c r="OW7">
        <v>88499</v>
      </c>
      <c r="OX7">
        <v>53382</v>
      </c>
      <c r="OY7">
        <v>44235</v>
      </c>
      <c r="OZ7">
        <v>92223</v>
      </c>
      <c r="PA7">
        <v>32366</v>
      </c>
      <c r="PB7">
        <v>57467</v>
      </c>
      <c r="PC7">
        <v>89316</v>
      </c>
      <c r="PD7">
        <v>36764</v>
      </c>
      <c r="PE7">
        <v>91836</v>
      </c>
      <c r="PF7">
        <v>61923</v>
      </c>
      <c r="PG7">
        <v>46292</v>
      </c>
      <c r="PH7">
        <v>31614</v>
      </c>
      <c r="PI7">
        <v>50939</v>
      </c>
      <c r="PJ7">
        <v>48800</v>
      </c>
      <c r="PK7">
        <v>86440</v>
      </c>
      <c r="PL7">
        <v>53246</v>
      </c>
      <c r="PM7">
        <v>82805</v>
      </c>
      <c r="PN7">
        <v>79648</v>
      </c>
      <c r="PO7">
        <v>86851</v>
      </c>
      <c r="PP7">
        <v>61688</v>
      </c>
      <c r="PQ7">
        <v>59764</v>
      </c>
      <c r="PR7">
        <v>62470</v>
      </c>
      <c r="PS7">
        <v>68501</v>
      </c>
      <c r="PT7">
        <v>87207</v>
      </c>
      <c r="PU7">
        <v>92157</v>
      </c>
      <c r="PV7">
        <v>33216</v>
      </c>
      <c r="PW7">
        <v>52072</v>
      </c>
      <c r="PX7">
        <v>67132</v>
      </c>
      <c r="PY7">
        <v>47861</v>
      </c>
      <c r="PZ7">
        <v>94186</v>
      </c>
      <c r="QA7">
        <v>34960</v>
      </c>
      <c r="QB7">
        <v>48781</v>
      </c>
      <c r="QC7">
        <v>61126</v>
      </c>
      <c r="QD7">
        <v>52578</v>
      </c>
      <c r="QE7">
        <v>47883</v>
      </c>
      <c r="QF7">
        <v>59782</v>
      </c>
      <c r="QG7">
        <v>86387</v>
      </c>
      <c r="QH7">
        <v>46979</v>
      </c>
      <c r="QI7">
        <v>63746</v>
      </c>
      <c r="QJ7">
        <v>96266</v>
      </c>
      <c r="QK7">
        <v>30056</v>
      </c>
      <c r="QL7">
        <v>61457</v>
      </c>
      <c r="QM7">
        <v>32243</v>
      </c>
      <c r="QN7">
        <v>85031</v>
      </c>
      <c r="QO7">
        <v>31701</v>
      </c>
      <c r="QP7">
        <v>86381</v>
      </c>
      <c r="QQ7">
        <v>80438</v>
      </c>
      <c r="QR7">
        <v>103839</v>
      </c>
      <c r="QS7">
        <v>110636</v>
      </c>
      <c r="QT7">
        <v>96483</v>
      </c>
      <c r="QU7">
        <v>50505</v>
      </c>
      <c r="QV7">
        <v>36553</v>
      </c>
      <c r="QW7">
        <v>63525</v>
      </c>
      <c r="QX7">
        <v>110402</v>
      </c>
      <c r="QY7">
        <v>74348</v>
      </c>
      <c r="QZ7">
        <v>101187</v>
      </c>
      <c r="RA7">
        <v>37273</v>
      </c>
      <c r="RB7">
        <v>94236</v>
      </c>
      <c r="RC7">
        <v>105569</v>
      </c>
      <c r="RD7">
        <v>33535</v>
      </c>
      <c r="RE7">
        <v>48677</v>
      </c>
      <c r="RF7">
        <v>113024</v>
      </c>
      <c r="RG7">
        <v>30908</v>
      </c>
      <c r="RH7">
        <v>100153</v>
      </c>
      <c r="RI7">
        <v>118989</v>
      </c>
      <c r="RJ7">
        <v>65079</v>
      </c>
      <c r="RK7">
        <v>111556</v>
      </c>
      <c r="RL7">
        <v>79323</v>
      </c>
      <c r="RM7">
        <v>75320</v>
      </c>
      <c r="RN7">
        <v>119909</v>
      </c>
      <c r="RO7">
        <v>76105</v>
      </c>
      <c r="RP7">
        <v>60164</v>
      </c>
      <c r="RQ7">
        <v>31885</v>
      </c>
      <c r="RR7">
        <v>87819</v>
      </c>
      <c r="RS7">
        <v>31049</v>
      </c>
      <c r="RT7">
        <v>83281</v>
      </c>
      <c r="RU7">
        <v>73271</v>
      </c>
      <c r="RV7">
        <v>96697</v>
      </c>
      <c r="RW7">
        <v>96351</v>
      </c>
      <c r="RX7">
        <v>66534</v>
      </c>
      <c r="RY7">
        <v>88097</v>
      </c>
      <c r="RZ7">
        <v>83813</v>
      </c>
      <c r="SA7">
        <v>55037</v>
      </c>
      <c r="SB7">
        <v>66007</v>
      </c>
      <c r="SC7">
        <v>109478</v>
      </c>
      <c r="SD7">
        <v>57278</v>
      </c>
      <c r="SE7">
        <v>38272</v>
      </c>
      <c r="SF7">
        <v>87183</v>
      </c>
      <c r="SG7">
        <v>68294</v>
      </c>
      <c r="SH7">
        <v>103277</v>
      </c>
      <c r="SI7">
        <v>92509</v>
      </c>
      <c r="SJ7">
        <v>34694</v>
      </c>
      <c r="SK7">
        <v>88150</v>
      </c>
      <c r="SL7">
        <v>97470</v>
      </c>
      <c r="SM7">
        <v>51556</v>
      </c>
      <c r="SN7">
        <v>94471</v>
      </c>
      <c r="SO7">
        <v>79855</v>
      </c>
      <c r="SP7">
        <v>79086</v>
      </c>
      <c r="SQ7">
        <v>48907</v>
      </c>
      <c r="SR7">
        <v>101695</v>
      </c>
      <c r="SS7">
        <v>78487</v>
      </c>
      <c r="ST7">
        <v>59158</v>
      </c>
      <c r="SU7">
        <v>50293</v>
      </c>
      <c r="SV7">
        <v>75761</v>
      </c>
      <c r="SW7">
        <v>63387</v>
      </c>
      <c r="SX7">
        <v>70750</v>
      </c>
      <c r="SY7">
        <v>98602</v>
      </c>
      <c r="SZ7">
        <v>51256</v>
      </c>
      <c r="TA7">
        <v>35594</v>
      </c>
      <c r="TB7">
        <v>32460</v>
      </c>
      <c r="TC7">
        <v>102356</v>
      </c>
      <c r="TD7">
        <v>84698</v>
      </c>
      <c r="TE7">
        <v>46191</v>
      </c>
      <c r="TF7">
        <v>114631</v>
      </c>
      <c r="TG7">
        <v>40529</v>
      </c>
      <c r="TH7">
        <v>62175</v>
      </c>
      <c r="TI7">
        <v>47675</v>
      </c>
      <c r="TJ7">
        <v>73158</v>
      </c>
      <c r="TK7">
        <v>76798</v>
      </c>
      <c r="TL7">
        <v>100910</v>
      </c>
      <c r="TM7">
        <v>55976</v>
      </c>
      <c r="TN7">
        <v>93116</v>
      </c>
      <c r="TO7">
        <v>108678</v>
      </c>
      <c r="TP7">
        <v>92821</v>
      </c>
      <c r="TQ7">
        <v>42204</v>
      </c>
      <c r="TR7">
        <v>85665</v>
      </c>
      <c r="TS7">
        <v>37394</v>
      </c>
      <c r="TT7">
        <v>94814</v>
      </c>
      <c r="TU7">
        <v>63593</v>
      </c>
      <c r="TV7">
        <v>71964</v>
      </c>
      <c r="TW7">
        <v>107188</v>
      </c>
      <c r="TX7">
        <v>83365</v>
      </c>
      <c r="TY7">
        <v>30443</v>
      </c>
      <c r="TZ7">
        <v>119439</v>
      </c>
      <c r="UA7">
        <v>58180</v>
      </c>
      <c r="UB7">
        <v>78791</v>
      </c>
      <c r="UC7">
        <v>116655</v>
      </c>
      <c r="UD7">
        <v>105899</v>
      </c>
      <c r="UE7">
        <v>73665</v>
      </c>
      <c r="UF7">
        <v>33465</v>
      </c>
      <c r="UG7">
        <v>98247</v>
      </c>
      <c r="UH7">
        <v>81559</v>
      </c>
      <c r="UI7">
        <v>55198</v>
      </c>
      <c r="UJ7">
        <v>84740</v>
      </c>
      <c r="UK7">
        <v>52488</v>
      </c>
      <c r="UL7">
        <v>68515</v>
      </c>
      <c r="UM7">
        <v>119144</v>
      </c>
      <c r="UN7">
        <v>57898</v>
      </c>
      <c r="UO7">
        <v>31919</v>
      </c>
      <c r="UP7">
        <v>80070</v>
      </c>
      <c r="UQ7">
        <v>92613</v>
      </c>
      <c r="UR7">
        <v>116135</v>
      </c>
      <c r="US7">
        <v>112501</v>
      </c>
      <c r="UT7">
        <v>77003</v>
      </c>
      <c r="UU7">
        <v>78478</v>
      </c>
      <c r="UV7">
        <v>44434</v>
      </c>
      <c r="UW7">
        <v>76246</v>
      </c>
      <c r="UX7">
        <v>66649</v>
      </c>
      <c r="UY7">
        <v>89030</v>
      </c>
      <c r="UZ7">
        <v>83061</v>
      </c>
      <c r="VA7">
        <v>31999</v>
      </c>
      <c r="VB7">
        <v>44849</v>
      </c>
      <c r="VC7">
        <v>106439</v>
      </c>
      <c r="VD7">
        <v>82800</v>
      </c>
      <c r="VE7">
        <v>35445</v>
      </c>
      <c r="VF7">
        <v>48040</v>
      </c>
      <c r="VG7">
        <v>94315</v>
      </c>
      <c r="VH7">
        <v>30246</v>
      </c>
      <c r="VI7">
        <v>61153</v>
      </c>
      <c r="VJ7">
        <v>35212</v>
      </c>
      <c r="VK7">
        <v>33339</v>
      </c>
      <c r="VL7">
        <v>118678</v>
      </c>
      <c r="VM7">
        <v>86238</v>
      </c>
      <c r="VN7">
        <v>49394</v>
      </c>
      <c r="VO7">
        <v>83871</v>
      </c>
      <c r="VP7">
        <v>107722</v>
      </c>
      <c r="VQ7">
        <v>64607</v>
      </c>
      <c r="VR7">
        <v>82055</v>
      </c>
      <c r="VS7">
        <v>34395</v>
      </c>
      <c r="VT7">
        <v>45290</v>
      </c>
      <c r="VU7">
        <v>117687</v>
      </c>
      <c r="VV7">
        <v>95078</v>
      </c>
      <c r="VW7">
        <v>33691</v>
      </c>
      <c r="VX7">
        <v>37470</v>
      </c>
      <c r="VY7">
        <v>33841</v>
      </c>
      <c r="VZ7">
        <v>93197</v>
      </c>
      <c r="WA7">
        <v>85773</v>
      </c>
      <c r="WB7">
        <v>47776</v>
      </c>
      <c r="WC7">
        <v>101596</v>
      </c>
      <c r="WD7">
        <v>57584</v>
      </c>
      <c r="WE7">
        <v>34300</v>
      </c>
      <c r="WF7">
        <v>33338</v>
      </c>
      <c r="WG7">
        <v>92601</v>
      </c>
      <c r="WH7">
        <v>35487</v>
      </c>
      <c r="WI7">
        <v>66282</v>
      </c>
      <c r="WJ7">
        <v>106816</v>
      </c>
      <c r="WK7">
        <v>58804</v>
      </c>
      <c r="WL7">
        <v>39915</v>
      </c>
      <c r="WM7">
        <v>41158</v>
      </c>
      <c r="WN7">
        <v>104157</v>
      </c>
      <c r="WO7">
        <v>40547</v>
      </c>
      <c r="WP7">
        <v>118713</v>
      </c>
      <c r="WQ7">
        <v>32459</v>
      </c>
      <c r="WR7">
        <v>58768</v>
      </c>
      <c r="WS7">
        <v>93146</v>
      </c>
      <c r="WT7">
        <v>80870</v>
      </c>
      <c r="WU7">
        <v>80460</v>
      </c>
      <c r="WV7">
        <v>112970</v>
      </c>
      <c r="WW7">
        <v>90817</v>
      </c>
      <c r="WX7">
        <v>68247</v>
      </c>
      <c r="WY7">
        <v>45419</v>
      </c>
      <c r="WZ7">
        <v>65577</v>
      </c>
      <c r="XA7">
        <v>32921</v>
      </c>
      <c r="XB7">
        <v>34676</v>
      </c>
      <c r="XC7">
        <v>115961</v>
      </c>
      <c r="XD7">
        <v>79684</v>
      </c>
      <c r="XE7">
        <v>43463</v>
      </c>
      <c r="XF7">
        <v>55474</v>
      </c>
      <c r="XG7">
        <v>70935</v>
      </c>
      <c r="XH7">
        <v>97005</v>
      </c>
      <c r="XI7">
        <v>88596</v>
      </c>
      <c r="XJ7">
        <v>102828</v>
      </c>
      <c r="XK7">
        <v>119062</v>
      </c>
      <c r="XL7">
        <v>85152</v>
      </c>
      <c r="XM7">
        <v>119001</v>
      </c>
      <c r="XN7">
        <v>116569</v>
      </c>
      <c r="XO7">
        <v>102467</v>
      </c>
      <c r="XP7">
        <v>82576</v>
      </c>
      <c r="XQ7">
        <v>96627</v>
      </c>
      <c r="XR7">
        <v>55772</v>
      </c>
      <c r="XS7">
        <v>46363</v>
      </c>
      <c r="XT7">
        <v>58490</v>
      </c>
      <c r="XU7">
        <v>89004</v>
      </c>
      <c r="XV7">
        <v>83806</v>
      </c>
      <c r="XW7">
        <v>30260</v>
      </c>
      <c r="XX7">
        <v>105992</v>
      </c>
      <c r="XY7">
        <v>52320</v>
      </c>
      <c r="XZ7">
        <v>108971</v>
      </c>
      <c r="YA7">
        <v>72145</v>
      </c>
      <c r="YB7">
        <v>93688</v>
      </c>
      <c r="YC7">
        <v>78581</v>
      </c>
      <c r="YD7">
        <v>50754</v>
      </c>
      <c r="YE7">
        <v>99837</v>
      </c>
      <c r="YF7">
        <v>37207</v>
      </c>
      <c r="YG7">
        <v>57920</v>
      </c>
      <c r="YH7">
        <v>117739</v>
      </c>
      <c r="YI7">
        <v>117081</v>
      </c>
      <c r="YJ7">
        <v>54016</v>
      </c>
      <c r="YK7">
        <v>90522</v>
      </c>
      <c r="YL7">
        <v>104092</v>
      </c>
      <c r="YM7">
        <v>84068</v>
      </c>
      <c r="YN7">
        <v>50102</v>
      </c>
      <c r="YO7">
        <v>31924</v>
      </c>
      <c r="YP7">
        <v>115015</v>
      </c>
      <c r="YQ7">
        <v>84333</v>
      </c>
      <c r="YR7">
        <v>114458</v>
      </c>
      <c r="YS7">
        <v>114196</v>
      </c>
      <c r="YT7">
        <v>76099</v>
      </c>
      <c r="YU7">
        <v>87346</v>
      </c>
      <c r="YV7">
        <v>105481</v>
      </c>
      <c r="YW7">
        <v>80062</v>
      </c>
      <c r="YX7">
        <v>30306</v>
      </c>
      <c r="YY7">
        <v>118495</v>
      </c>
      <c r="YZ7">
        <v>99767</v>
      </c>
      <c r="ZA7">
        <v>42207</v>
      </c>
      <c r="ZB7">
        <v>69426</v>
      </c>
      <c r="ZC7">
        <v>36336</v>
      </c>
      <c r="ZD7">
        <v>105166</v>
      </c>
      <c r="ZE7">
        <v>47256</v>
      </c>
      <c r="ZF7">
        <v>79817</v>
      </c>
      <c r="ZG7">
        <v>63719</v>
      </c>
      <c r="ZH7">
        <v>72017</v>
      </c>
      <c r="ZI7">
        <v>75704</v>
      </c>
      <c r="ZJ7">
        <v>60013</v>
      </c>
      <c r="ZK7">
        <v>109991</v>
      </c>
      <c r="ZL7">
        <v>100258</v>
      </c>
      <c r="ZM7">
        <v>108348</v>
      </c>
      <c r="ZN7">
        <v>66776</v>
      </c>
      <c r="ZO7">
        <v>40060</v>
      </c>
      <c r="ZP7">
        <v>108592</v>
      </c>
      <c r="ZQ7">
        <v>36655</v>
      </c>
      <c r="ZR7">
        <v>118110</v>
      </c>
      <c r="ZS7">
        <v>79923</v>
      </c>
      <c r="ZT7">
        <v>108563</v>
      </c>
      <c r="ZU7">
        <v>34030</v>
      </c>
      <c r="ZV7">
        <v>119779</v>
      </c>
      <c r="ZW7">
        <v>63289</v>
      </c>
      <c r="ZX7">
        <v>49739</v>
      </c>
      <c r="ZY7">
        <v>91687</v>
      </c>
      <c r="ZZ7">
        <v>66491</v>
      </c>
      <c r="AAA7">
        <v>102115</v>
      </c>
      <c r="AAB7">
        <v>113778</v>
      </c>
      <c r="AAC7">
        <v>34781</v>
      </c>
      <c r="AAD7">
        <v>50448</v>
      </c>
      <c r="AAE7">
        <v>81550</v>
      </c>
      <c r="AAF7">
        <v>79294</v>
      </c>
      <c r="AAG7">
        <v>51446</v>
      </c>
      <c r="AAH7">
        <v>106579</v>
      </c>
      <c r="AAI7">
        <v>115389</v>
      </c>
      <c r="AAJ7">
        <v>115615</v>
      </c>
      <c r="AAK7">
        <v>47101</v>
      </c>
      <c r="AAL7">
        <v>96178</v>
      </c>
      <c r="AAM7">
        <v>58016</v>
      </c>
      <c r="AAN7">
        <v>48932</v>
      </c>
      <c r="AAO7">
        <v>74653</v>
      </c>
      <c r="AAP7">
        <v>82802</v>
      </c>
      <c r="AAQ7">
        <v>37549</v>
      </c>
      <c r="AAR7">
        <v>108933</v>
      </c>
      <c r="AAS7">
        <v>55362</v>
      </c>
      <c r="AAT7">
        <v>77842</v>
      </c>
      <c r="AAU7">
        <v>76539</v>
      </c>
      <c r="AAV7">
        <v>63717</v>
      </c>
      <c r="AAW7">
        <v>84596</v>
      </c>
      <c r="AAX7">
        <v>53016</v>
      </c>
      <c r="AAY7">
        <v>85200</v>
      </c>
      <c r="AAZ7">
        <v>110268</v>
      </c>
      <c r="ABA7">
        <v>90287</v>
      </c>
      <c r="ABB7">
        <v>113402</v>
      </c>
      <c r="ABC7">
        <v>72607</v>
      </c>
      <c r="ABD7">
        <v>57621</v>
      </c>
      <c r="ABE7">
        <v>42823</v>
      </c>
      <c r="ABF7">
        <v>59986</v>
      </c>
      <c r="ABG7">
        <v>94325</v>
      </c>
      <c r="ABH7">
        <v>87771</v>
      </c>
      <c r="ABI7">
        <v>84973</v>
      </c>
      <c r="ABJ7">
        <v>44690</v>
      </c>
      <c r="ABK7">
        <v>69107</v>
      </c>
      <c r="ABL7">
        <v>87888</v>
      </c>
      <c r="ABM7">
        <v>40956</v>
      </c>
      <c r="ABN7">
        <v>116839</v>
      </c>
      <c r="ABO7">
        <v>86227</v>
      </c>
      <c r="ABP7">
        <v>66533</v>
      </c>
      <c r="ABQ7">
        <v>86234</v>
      </c>
      <c r="ABR7">
        <v>97594</v>
      </c>
      <c r="ABS7">
        <v>86901</v>
      </c>
      <c r="ABT7">
        <v>41519</v>
      </c>
      <c r="ABU7">
        <v>61115</v>
      </c>
      <c r="ABV7">
        <v>96266</v>
      </c>
      <c r="ABW7">
        <v>31832</v>
      </c>
      <c r="ABX7">
        <v>71368</v>
      </c>
      <c r="ABY7">
        <v>118425</v>
      </c>
      <c r="ABZ7">
        <v>99715</v>
      </c>
      <c r="ACA7">
        <v>101835</v>
      </c>
      <c r="ACB7">
        <v>103366</v>
      </c>
      <c r="ACC7">
        <v>67570</v>
      </c>
      <c r="ACD7">
        <v>117977</v>
      </c>
      <c r="ACE7">
        <v>36615</v>
      </c>
      <c r="ACF7">
        <v>102298</v>
      </c>
      <c r="ACG7">
        <v>68311</v>
      </c>
      <c r="ACH7">
        <v>53434</v>
      </c>
      <c r="ACI7">
        <v>116879</v>
      </c>
      <c r="ACJ7">
        <v>45739</v>
      </c>
      <c r="ACK7">
        <v>96202</v>
      </c>
      <c r="ACL7">
        <v>109599</v>
      </c>
      <c r="ACM7">
        <v>63649</v>
      </c>
      <c r="ACN7">
        <v>77445</v>
      </c>
      <c r="ACO7">
        <v>69470</v>
      </c>
      <c r="ACP7">
        <v>104965</v>
      </c>
      <c r="ACQ7">
        <v>78621</v>
      </c>
      <c r="ACR7">
        <v>62926</v>
      </c>
      <c r="ACS7">
        <v>67997</v>
      </c>
      <c r="ACT7">
        <v>89940</v>
      </c>
      <c r="ACU7">
        <v>70724</v>
      </c>
      <c r="ACV7">
        <v>61704</v>
      </c>
      <c r="ACW7">
        <v>58391</v>
      </c>
      <c r="ACX7">
        <v>93291</v>
      </c>
      <c r="ACY7">
        <v>119723</v>
      </c>
      <c r="ACZ7">
        <v>32526</v>
      </c>
      <c r="ADA7">
        <v>54686</v>
      </c>
      <c r="ADB7">
        <v>103339</v>
      </c>
      <c r="ADC7">
        <v>36574</v>
      </c>
      <c r="ADD7">
        <v>38733</v>
      </c>
      <c r="ADE7">
        <v>80290</v>
      </c>
      <c r="ADF7">
        <v>102793</v>
      </c>
      <c r="ADG7">
        <v>66051</v>
      </c>
      <c r="ADH7">
        <v>45909</v>
      </c>
      <c r="ADI7">
        <v>119682</v>
      </c>
      <c r="ADJ7">
        <v>107338</v>
      </c>
      <c r="ADK7">
        <v>103432</v>
      </c>
      <c r="ADL7">
        <v>58133</v>
      </c>
      <c r="ADM7">
        <v>81571</v>
      </c>
      <c r="ADN7">
        <v>109062</v>
      </c>
      <c r="ADO7">
        <v>80908</v>
      </c>
      <c r="ADP7">
        <v>41278</v>
      </c>
      <c r="ADQ7">
        <v>81458</v>
      </c>
      <c r="ADR7">
        <v>94265</v>
      </c>
      <c r="ADS7">
        <v>86782</v>
      </c>
      <c r="ADT7">
        <v>85415</v>
      </c>
      <c r="ADU7">
        <v>84160</v>
      </c>
      <c r="ADV7">
        <v>84399</v>
      </c>
      <c r="ADW7">
        <v>55298</v>
      </c>
      <c r="ADX7">
        <v>52191</v>
      </c>
      <c r="ADY7">
        <v>86964</v>
      </c>
      <c r="ADZ7">
        <v>63092</v>
      </c>
      <c r="AEA7">
        <v>119407</v>
      </c>
      <c r="AEB7">
        <v>105257</v>
      </c>
      <c r="AEC7">
        <v>92513</v>
      </c>
      <c r="AED7">
        <v>81097</v>
      </c>
      <c r="AEE7">
        <v>60279</v>
      </c>
      <c r="AEF7">
        <v>44404</v>
      </c>
      <c r="AEG7">
        <v>100022</v>
      </c>
      <c r="AEH7">
        <v>65198</v>
      </c>
      <c r="AEI7">
        <v>79997</v>
      </c>
      <c r="AEJ7">
        <v>108692</v>
      </c>
      <c r="AEK7">
        <v>30567</v>
      </c>
      <c r="AEL7">
        <v>91032</v>
      </c>
      <c r="AEM7">
        <v>32179</v>
      </c>
      <c r="AEN7">
        <v>32019</v>
      </c>
      <c r="AEO7">
        <v>111455</v>
      </c>
      <c r="AEP7">
        <v>115239</v>
      </c>
      <c r="AEQ7">
        <v>48704</v>
      </c>
      <c r="AER7">
        <v>48030</v>
      </c>
      <c r="AES7">
        <v>99445</v>
      </c>
      <c r="AET7">
        <v>103551</v>
      </c>
      <c r="AEU7">
        <v>33420</v>
      </c>
      <c r="AEV7">
        <v>89875</v>
      </c>
      <c r="AEW7">
        <v>77653</v>
      </c>
      <c r="AEX7">
        <v>46740</v>
      </c>
      <c r="AEY7">
        <v>95263</v>
      </c>
      <c r="AEZ7">
        <v>94559</v>
      </c>
      <c r="AFA7">
        <v>49465</v>
      </c>
      <c r="AFB7">
        <v>81432</v>
      </c>
      <c r="AFC7">
        <v>34131</v>
      </c>
      <c r="AFD7">
        <v>40652</v>
      </c>
      <c r="AFE7">
        <v>94973</v>
      </c>
      <c r="AFF7">
        <v>117043</v>
      </c>
      <c r="AFG7">
        <v>77147</v>
      </c>
      <c r="AFH7">
        <v>77671</v>
      </c>
      <c r="AFI7">
        <v>119342</v>
      </c>
      <c r="AFJ7">
        <v>49171</v>
      </c>
      <c r="AFK7">
        <v>116129</v>
      </c>
      <c r="AFL7">
        <v>85692</v>
      </c>
      <c r="AFM7">
        <v>88541</v>
      </c>
      <c r="AFN7">
        <v>39470</v>
      </c>
      <c r="AFO7">
        <v>91344</v>
      </c>
      <c r="AFP7">
        <v>74308</v>
      </c>
      <c r="AFQ7">
        <v>80639</v>
      </c>
      <c r="AFR7">
        <v>51326</v>
      </c>
      <c r="AFS7">
        <v>34597</v>
      </c>
      <c r="AFT7">
        <v>60788</v>
      </c>
      <c r="AFU7">
        <v>95020</v>
      </c>
      <c r="AFV7">
        <v>79477</v>
      </c>
      <c r="AFW7">
        <v>63071</v>
      </c>
      <c r="AFX7">
        <v>100603</v>
      </c>
      <c r="AFY7">
        <v>91923</v>
      </c>
      <c r="AFZ7">
        <v>100560</v>
      </c>
      <c r="AGA7">
        <v>103251</v>
      </c>
      <c r="AGB7">
        <v>87492</v>
      </c>
      <c r="AGC7">
        <v>61770</v>
      </c>
      <c r="AGD7">
        <v>106762</v>
      </c>
      <c r="AGE7">
        <v>65399</v>
      </c>
      <c r="AGF7">
        <v>108948</v>
      </c>
      <c r="AGG7">
        <v>87439</v>
      </c>
      <c r="AGH7">
        <v>74415</v>
      </c>
      <c r="AGI7">
        <v>42569</v>
      </c>
      <c r="AGJ7">
        <v>32369</v>
      </c>
      <c r="AGK7">
        <v>30528</v>
      </c>
      <c r="AGL7">
        <v>60314</v>
      </c>
      <c r="AGM7">
        <v>48047</v>
      </c>
      <c r="AGN7">
        <v>49748</v>
      </c>
      <c r="AGO7">
        <v>65109</v>
      </c>
      <c r="AGP7">
        <v>43919</v>
      </c>
      <c r="AGQ7">
        <v>77498</v>
      </c>
      <c r="AGR7">
        <v>85808</v>
      </c>
      <c r="AGS7">
        <v>110792</v>
      </c>
      <c r="AGT7">
        <f>AVERAGE(B7:AGS7)</f>
        <v>74066.533105022827</v>
      </c>
    </row>
    <row r="8" spans="1:885" x14ac:dyDescent="0.25">
      <c r="A8" s="1" t="s">
        <v>101</v>
      </c>
      <c r="B8" t="str">
        <f>IF(B7&gt;80000, "High", IF(B7&gt;50000, "Medium", IF(B7&gt;40000, "low", "extremely low")))</f>
        <v>Medium</v>
      </c>
      <c r="C8" t="str">
        <f>IF(C7&gt;80000, "High", IF(C7&gt;50000, "Medium", IF(C7&gt;40000, "low", "extremely low")))</f>
        <v>High</v>
      </c>
      <c r="D8" t="str">
        <f>IF(D7&gt;80000, "High", IF(D7&gt;50000, "Medium", IF(D7&gt;40000, "low", "extremely low")))</f>
        <v>High</v>
      </c>
      <c r="E8" t="str">
        <f>IF(E7&gt;80000, "High", IF(E7&gt;50000, "Medium", IF(E7&gt;40000, "low", "extremely low")))</f>
        <v>extremely low</v>
      </c>
      <c r="F8" t="str">
        <f>IF(F7&gt;80000, "High", IF(F7&gt;50000, "Medium", IF(F7&gt;40000, "low", "extremely low")))</f>
        <v>Medium</v>
      </c>
      <c r="G8" t="str">
        <f>IF(G7&gt;80000, "High", IF(G7&gt;50000, "Medium", IF(G7&gt;40000, "low", "extremely low")))</f>
        <v>High</v>
      </c>
      <c r="H8" t="str">
        <f>IF(H7&gt;80000, "High", IF(H7&gt;50000, "Medium", IF(H7&gt;40000, "low", "extremely low")))</f>
        <v>Medium</v>
      </c>
      <c r="I8" t="str">
        <f>IF(I7&gt;80000, "High", IF(I7&gt;50000, "Medium", IF(I7&gt;40000, "low", "extremely low")))</f>
        <v>Medium</v>
      </c>
      <c r="J8" t="str">
        <f>IF(J7&gt;80000, "High", IF(J7&gt;50000, "Medium", IF(J7&gt;40000, "low", "extremely low")))</f>
        <v>High</v>
      </c>
      <c r="K8" t="str">
        <f>IF(K7&gt;80000, "High", IF(K7&gt;50000, "Medium", IF(K7&gt;40000, "low", "extremely low")))</f>
        <v>High</v>
      </c>
      <c r="L8" t="str">
        <f>IF(L7&gt;80000, "High", IF(L7&gt;50000, "Medium", IF(L7&gt;40000, "low", "extremely low")))</f>
        <v>High</v>
      </c>
      <c r="M8" t="str">
        <f>IF(M7&gt;80000, "High", IF(M7&gt;50000, "Medium", IF(M7&gt;40000, "low", "extremely low")))</f>
        <v>low</v>
      </c>
      <c r="N8" t="str">
        <f>IF(N7&gt;80000, "High", IF(N7&gt;50000, "Medium", IF(N7&gt;40000, "low", "extremely low")))</f>
        <v>High</v>
      </c>
      <c r="O8" t="str">
        <f>IF(O7&gt;80000, "High", IF(O7&gt;50000, "Medium", IF(O7&gt;40000, "low", "extremely low")))</f>
        <v>low</v>
      </c>
      <c r="P8" t="str">
        <f>IF(P7&gt;80000, "High", IF(P7&gt;50000, "Medium", IF(P7&gt;40000, "low", "extremely low")))</f>
        <v>High</v>
      </c>
      <c r="Q8" t="str">
        <f>IF(Q7&gt;80000, "High", IF(Q7&gt;50000, "Medium", IF(Q7&gt;40000, "low", "extremely low")))</f>
        <v>Medium</v>
      </c>
      <c r="R8" t="str">
        <f>IF(R7&gt;80000, "High", IF(R7&gt;50000, "Medium", IF(R7&gt;40000, "low", "extremely low")))</f>
        <v>Medium</v>
      </c>
      <c r="S8" t="str">
        <f>IF(S7&gt;80000, "High", IF(S7&gt;50000, "Medium", IF(S7&gt;40000, "low", "extremely low")))</f>
        <v>High</v>
      </c>
      <c r="T8" t="str">
        <f>IF(T7&gt;80000, "High", IF(T7&gt;50000, "Medium", IF(T7&gt;40000, "low", "extremely low")))</f>
        <v>High</v>
      </c>
      <c r="U8" t="str">
        <f>IF(U7&gt;80000, "High", IF(U7&gt;50000, "Medium", IF(U7&gt;40000, "low", "extremely low")))</f>
        <v>Medium</v>
      </c>
      <c r="V8" t="str">
        <f>IF(V7&gt;80000, "High", IF(V7&gt;50000, "Medium", IF(V7&gt;40000, "low", "extremely low")))</f>
        <v>High</v>
      </c>
      <c r="W8" t="str">
        <f>IF(W7&gt;80000, "High", IF(W7&gt;50000, "Medium", IF(W7&gt;40000, "low", "extremely low")))</f>
        <v>Medium</v>
      </c>
      <c r="X8" t="str">
        <f>IF(X7&gt;80000, "High", IF(X7&gt;50000, "Medium", IF(X7&gt;40000, "low", "extremely low")))</f>
        <v>low</v>
      </c>
      <c r="Y8" t="str">
        <f>IF(Y7&gt;80000, "High", IF(Y7&gt;50000, "Medium", IF(Y7&gt;40000, "low", "extremely low")))</f>
        <v>Medium</v>
      </c>
      <c r="Z8" t="str">
        <f>IF(Z7&gt;80000, "High", IF(Z7&gt;50000, "Medium", IF(Z7&gt;40000, "low", "extremely low")))</f>
        <v>High</v>
      </c>
      <c r="AA8" t="str">
        <f>IF(AA7&gt;80000, "High", IF(AA7&gt;50000, "Medium", IF(AA7&gt;40000, "low", "extremely low")))</f>
        <v>Medium</v>
      </c>
      <c r="AB8" t="str">
        <f>IF(AB7&gt;80000, "High", IF(AB7&gt;50000, "Medium", IF(AB7&gt;40000, "low", "extremely low")))</f>
        <v>High</v>
      </c>
      <c r="AC8" t="str">
        <f>IF(AC7&gt;80000, "High", IF(AC7&gt;50000, "Medium", IF(AC7&gt;40000, "low", "extremely low")))</f>
        <v>Medium</v>
      </c>
      <c r="AD8" t="str">
        <f>IF(AD7&gt;80000, "High", IF(AD7&gt;50000, "Medium", IF(AD7&gt;40000, "low", "extremely low")))</f>
        <v>extremely low</v>
      </c>
      <c r="AE8" t="str">
        <f>IF(AE7&gt;80000, "High", IF(AE7&gt;50000, "Medium", IF(AE7&gt;40000, "low", "extremely low")))</f>
        <v>High</v>
      </c>
      <c r="AF8" t="str">
        <f>IF(AF7&gt;80000, "High", IF(AF7&gt;50000, "Medium", IF(AF7&gt;40000, "low", "extremely low")))</f>
        <v>High</v>
      </c>
      <c r="AG8" t="str">
        <f>IF(AG7&gt;80000, "High", IF(AG7&gt;50000, "Medium", IF(AG7&gt;40000, "low", "extremely low")))</f>
        <v>High</v>
      </c>
      <c r="AH8" t="str">
        <f>IF(AH7&gt;80000, "High", IF(AH7&gt;50000, "Medium", IF(AH7&gt;40000, "low", "extremely low")))</f>
        <v>Medium</v>
      </c>
      <c r="AI8" t="str">
        <f>IF(AI7&gt;80000, "High", IF(AI7&gt;50000, "Medium", IF(AI7&gt;40000, "low", "extremely low")))</f>
        <v>Medium</v>
      </c>
      <c r="AJ8" t="str">
        <f>IF(AJ7&gt;80000, "High", IF(AJ7&gt;50000, "Medium", IF(AJ7&gt;40000, "low", "extremely low")))</f>
        <v>Medium</v>
      </c>
      <c r="AK8" t="str">
        <f>IF(AK7&gt;80000, "High", IF(AK7&gt;50000, "Medium", IF(AK7&gt;40000, "low", "extremely low")))</f>
        <v>extremely low</v>
      </c>
      <c r="AL8" t="str">
        <f>IF(AL7&gt;80000, "High", IF(AL7&gt;50000, "Medium", IF(AL7&gt;40000, "low", "extremely low")))</f>
        <v>Medium</v>
      </c>
      <c r="AM8" t="str">
        <f>IF(AM7&gt;80000, "High", IF(AM7&gt;50000, "Medium", IF(AM7&gt;40000, "low", "extremely low")))</f>
        <v>Medium</v>
      </c>
      <c r="AN8" t="str">
        <f>IF(AN7&gt;80000, "High", IF(AN7&gt;50000, "Medium", IF(AN7&gt;40000, "low", "extremely low")))</f>
        <v>extremely low</v>
      </c>
      <c r="AO8" t="str">
        <f>IF(AO7&gt;80000, "High", IF(AO7&gt;50000, "Medium", IF(AO7&gt;40000, "low", "extremely low")))</f>
        <v>High</v>
      </c>
      <c r="AP8" t="str">
        <f>IF(AP7&gt;80000, "High", IF(AP7&gt;50000, "Medium", IF(AP7&gt;40000, "low", "extremely low")))</f>
        <v>High</v>
      </c>
      <c r="AQ8" t="str">
        <f>IF(AQ7&gt;80000, "High", IF(AQ7&gt;50000, "Medium", IF(AQ7&gt;40000, "low", "extremely low")))</f>
        <v>High</v>
      </c>
      <c r="AR8" t="str">
        <f>IF(AR7&gt;80000, "High", IF(AR7&gt;50000, "Medium", IF(AR7&gt;40000, "low", "extremely low")))</f>
        <v>High</v>
      </c>
      <c r="AS8" t="str">
        <f>IF(AS7&gt;80000, "High", IF(AS7&gt;50000, "Medium", IF(AS7&gt;40000, "low", "extremely low")))</f>
        <v>low</v>
      </c>
      <c r="AT8" t="str">
        <f>IF(AT7&gt;80000, "High", IF(AT7&gt;50000, "Medium", IF(AT7&gt;40000, "low", "extremely low")))</f>
        <v>Medium</v>
      </c>
      <c r="AU8" t="str">
        <f>IF(AU7&gt;80000, "High", IF(AU7&gt;50000, "Medium", IF(AU7&gt;40000, "low", "extremely low")))</f>
        <v>Medium</v>
      </c>
      <c r="AV8" t="str">
        <f>IF(AV7&gt;80000, "High", IF(AV7&gt;50000, "Medium", IF(AV7&gt;40000, "low", "extremely low")))</f>
        <v>low</v>
      </c>
      <c r="AW8" t="str">
        <f>IF(AW7&gt;80000, "High", IF(AW7&gt;50000, "Medium", IF(AW7&gt;40000, "low", "extremely low")))</f>
        <v>Medium</v>
      </c>
      <c r="AX8" t="str">
        <f>IF(AX7&gt;80000, "High", IF(AX7&gt;50000, "Medium", IF(AX7&gt;40000, "low", "extremely low")))</f>
        <v>High</v>
      </c>
      <c r="AY8" t="str">
        <f>IF(AY7&gt;80000, "High", IF(AY7&gt;50000, "Medium", IF(AY7&gt;40000, "low", "extremely low")))</f>
        <v>High</v>
      </c>
      <c r="AZ8" t="str">
        <f>IF(AZ7&gt;80000, "High", IF(AZ7&gt;50000, "Medium", IF(AZ7&gt;40000, "low", "extremely low")))</f>
        <v>extremely low</v>
      </c>
      <c r="BA8" t="str">
        <f>IF(BA7&gt;80000, "High", IF(BA7&gt;50000, "Medium", IF(BA7&gt;40000, "low", "extremely low")))</f>
        <v>High</v>
      </c>
      <c r="BB8" t="str">
        <f>IF(BB7&gt;80000, "High", IF(BB7&gt;50000, "Medium", IF(BB7&gt;40000, "low", "extremely low")))</f>
        <v>High</v>
      </c>
      <c r="BC8" t="str">
        <f>IF(BC7&gt;80000, "High", IF(BC7&gt;50000, "Medium", IF(BC7&gt;40000, "low", "extremely low")))</f>
        <v>High</v>
      </c>
      <c r="BD8" t="str">
        <f>IF(BD7&gt;80000, "High", IF(BD7&gt;50000, "Medium", IF(BD7&gt;40000, "low", "extremely low")))</f>
        <v>High</v>
      </c>
      <c r="BE8" t="str">
        <f>IF(BE7&gt;80000, "High", IF(BE7&gt;50000, "Medium", IF(BE7&gt;40000, "low", "extremely low")))</f>
        <v>low</v>
      </c>
      <c r="BF8" t="str">
        <f>IF(BF7&gt;80000, "High", IF(BF7&gt;50000, "Medium", IF(BF7&gt;40000, "low", "extremely low")))</f>
        <v>High</v>
      </c>
      <c r="BG8" t="str">
        <f>IF(BG7&gt;80000, "High", IF(BG7&gt;50000, "Medium", IF(BG7&gt;40000, "low", "extremely low")))</f>
        <v>low</v>
      </c>
      <c r="BH8" t="str">
        <f>IF(BH7&gt;80000, "High", IF(BH7&gt;50000, "Medium", IF(BH7&gt;40000, "low", "extremely low")))</f>
        <v>High</v>
      </c>
      <c r="BI8" t="str">
        <f>IF(BI7&gt;80000, "High", IF(BI7&gt;50000, "Medium", IF(BI7&gt;40000, "low", "extremely low")))</f>
        <v>High</v>
      </c>
      <c r="BJ8" t="str">
        <f>IF(BJ7&gt;80000, "High", IF(BJ7&gt;50000, "Medium", IF(BJ7&gt;40000, "low", "extremely low")))</f>
        <v>Medium</v>
      </c>
      <c r="BK8" t="str">
        <f>IF(BK7&gt;80000, "High", IF(BK7&gt;50000, "Medium", IF(BK7&gt;40000, "low", "extremely low")))</f>
        <v>low</v>
      </c>
      <c r="BL8" t="str">
        <f>IF(BL7&gt;80000, "High", IF(BL7&gt;50000, "Medium", IF(BL7&gt;40000, "low", "extremely low")))</f>
        <v>Medium</v>
      </c>
      <c r="BM8" t="str">
        <f>IF(BM7&gt;80000, "High", IF(BM7&gt;50000, "Medium", IF(BM7&gt;40000, "low", "extremely low")))</f>
        <v>Medium</v>
      </c>
      <c r="BN8" t="str">
        <f>IF(BN7&gt;80000, "High", IF(BN7&gt;50000, "Medium", IF(BN7&gt;40000, "low", "extremely low")))</f>
        <v>low</v>
      </c>
      <c r="BO8" t="str">
        <f>IF(BO7&gt;80000, "High", IF(BO7&gt;50000, "Medium", IF(BO7&gt;40000, "low", "extremely low")))</f>
        <v>Medium</v>
      </c>
      <c r="BP8" t="str">
        <f>IF(BP7&gt;80000, "High", IF(BP7&gt;50000, "Medium", IF(BP7&gt;40000, "low", "extremely low")))</f>
        <v>Medium</v>
      </c>
      <c r="BQ8" t="str">
        <f>IF(BQ7&gt;80000, "High", IF(BQ7&gt;50000, "Medium", IF(BQ7&gt;40000, "low", "extremely low")))</f>
        <v>extremely low</v>
      </c>
      <c r="BR8" t="str">
        <f>IF(BR7&gt;80000, "High", IF(BR7&gt;50000, "Medium", IF(BR7&gt;40000, "low", "extremely low")))</f>
        <v>High</v>
      </c>
      <c r="BS8" t="str">
        <f>IF(BS7&gt;80000, "High", IF(BS7&gt;50000, "Medium", IF(BS7&gt;40000, "low", "extremely low")))</f>
        <v>low</v>
      </c>
      <c r="BT8" t="str">
        <f>IF(BT7&gt;80000, "High", IF(BT7&gt;50000, "Medium", IF(BT7&gt;40000, "low", "extremely low")))</f>
        <v>Medium</v>
      </c>
      <c r="BU8" t="str">
        <f>IF(BU7&gt;80000, "High", IF(BU7&gt;50000, "Medium", IF(BU7&gt;40000, "low", "extremely low")))</f>
        <v>High</v>
      </c>
      <c r="BV8" t="str">
        <f>IF(BV7&gt;80000, "High", IF(BV7&gt;50000, "Medium", IF(BV7&gt;40000, "low", "extremely low")))</f>
        <v>Medium</v>
      </c>
      <c r="BW8" t="str">
        <f>IF(BW7&gt;80000, "High", IF(BW7&gt;50000, "Medium", IF(BW7&gt;40000, "low", "extremely low")))</f>
        <v>Medium</v>
      </c>
      <c r="BX8" t="str">
        <f>IF(BX7&gt;80000, "High", IF(BX7&gt;50000, "Medium", IF(BX7&gt;40000, "low", "extremely low")))</f>
        <v>Medium</v>
      </c>
      <c r="BY8" t="str">
        <f>IF(BY7&gt;80000, "High", IF(BY7&gt;50000, "Medium", IF(BY7&gt;40000, "low", "extremely low")))</f>
        <v>extremely low</v>
      </c>
      <c r="BZ8" t="str">
        <f>IF(BZ7&gt;80000, "High", IF(BZ7&gt;50000, "Medium", IF(BZ7&gt;40000, "low", "extremely low")))</f>
        <v>High</v>
      </c>
      <c r="CA8" t="str">
        <f>IF(CA7&gt;80000, "High", IF(CA7&gt;50000, "Medium", IF(CA7&gt;40000, "low", "extremely low")))</f>
        <v>Medium</v>
      </c>
      <c r="CB8" t="str">
        <f>IF(CB7&gt;80000, "High", IF(CB7&gt;50000, "Medium", IF(CB7&gt;40000, "low", "extremely low")))</f>
        <v>High</v>
      </c>
      <c r="CC8" t="str">
        <f>IF(CC7&gt;80000, "High", IF(CC7&gt;50000, "Medium", IF(CC7&gt;40000, "low", "extremely low")))</f>
        <v>High</v>
      </c>
      <c r="CD8" t="str">
        <f>IF(CD7&gt;80000, "High", IF(CD7&gt;50000, "Medium", IF(CD7&gt;40000, "low", "extremely low")))</f>
        <v>Medium</v>
      </c>
      <c r="CE8" t="str">
        <f>IF(CE7&gt;80000, "High", IF(CE7&gt;50000, "Medium", IF(CE7&gt;40000, "low", "extremely low")))</f>
        <v>High</v>
      </c>
      <c r="CF8" t="str">
        <f>IF(CF7&gt;80000, "High", IF(CF7&gt;50000, "Medium", IF(CF7&gt;40000, "low", "extremely low")))</f>
        <v>High</v>
      </c>
      <c r="CG8" t="str">
        <f>IF(CG7&gt;80000, "High", IF(CG7&gt;50000, "Medium", IF(CG7&gt;40000, "low", "extremely low")))</f>
        <v>Medium</v>
      </c>
      <c r="CH8" t="str">
        <f>IF(CH7&gt;80000, "High", IF(CH7&gt;50000, "Medium", IF(CH7&gt;40000, "low", "extremely low")))</f>
        <v>Medium</v>
      </c>
      <c r="CI8" t="str">
        <f>IF(CI7&gt;80000, "High", IF(CI7&gt;50000, "Medium", IF(CI7&gt;40000, "low", "extremely low")))</f>
        <v>low</v>
      </c>
      <c r="CJ8" t="str">
        <f>IF(CJ7&gt;80000, "High", IF(CJ7&gt;50000, "Medium", IF(CJ7&gt;40000, "low", "extremely low")))</f>
        <v>Medium</v>
      </c>
      <c r="CK8" t="str">
        <f>IF(CK7&gt;80000, "High", IF(CK7&gt;50000, "Medium", IF(CK7&gt;40000, "low", "extremely low")))</f>
        <v>High</v>
      </c>
      <c r="CL8" t="str">
        <f>IF(CL7&gt;80000, "High", IF(CL7&gt;50000, "Medium", IF(CL7&gt;40000, "low", "extremely low")))</f>
        <v>Medium</v>
      </c>
      <c r="CM8" t="str">
        <f>IF(CM7&gt;80000, "High", IF(CM7&gt;50000, "Medium", IF(CM7&gt;40000, "low", "extremely low")))</f>
        <v>extremely low</v>
      </c>
      <c r="CN8" t="str">
        <f>IF(CN7&gt;80000, "High", IF(CN7&gt;50000, "Medium", IF(CN7&gt;40000, "low", "extremely low")))</f>
        <v>High</v>
      </c>
      <c r="CO8" t="str">
        <f>IF(CO7&gt;80000, "High", IF(CO7&gt;50000, "Medium", IF(CO7&gt;40000, "low", "extremely low")))</f>
        <v>Medium</v>
      </c>
      <c r="CP8" t="str">
        <f>IF(CP7&gt;80000, "High", IF(CP7&gt;50000, "Medium", IF(CP7&gt;40000, "low", "extremely low")))</f>
        <v>High</v>
      </c>
      <c r="CQ8" t="str">
        <f>IF(CQ7&gt;80000, "High", IF(CQ7&gt;50000, "Medium", IF(CQ7&gt;40000, "low", "extremely low")))</f>
        <v>Medium</v>
      </c>
      <c r="CR8" t="str">
        <f>IF(CR7&gt;80000, "High", IF(CR7&gt;50000, "Medium", IF(CR7&gt;40000, "low", "extremely low")))</f>
        <v>Medium</v>
      </c>
      <c r="CS8" t="str">
        <f>IF(CS7&gt;80000, "High", IF(CS7&gt;50000, "Medium", IF(CS7&gt;40000, "low", "extremely low")))</f>
        <v>High</v>
      </c>
      <c r="CT8" t="str">
        <f>IF(CT7&gt;80000, "High", IF(CT7&gt;50000, "Medium", IF(CT7&gt;40000, "low", "extremely low")))</f>
        <v>High</v>
      </c>
      <c r="CU8" t="str">
        <f>IF(CU7&gt;80000, "High", IF(CU7&gt;50000, "Medium", IF(CU7&gt;40000, "low", "extremely low")))</f>
        <v>Medium</v>
      </c>
      <c r="CV8" t="str">
        <f>IF(CV7&gt;80000, "High", IF(CV7&gt;50000, "Medium", IF(CV7&gt;40000, "low", "extremely low")))</f>
        <v>low</v>
      </c>
      <c r="CW8" t="str">
        <f>IF(CW7&gt;80000, "High", IF(CW7&gt;50000, "Medium", IF(CW7&gt;40000, "low", "extremely low")))</f>
        <v>High</v>
      </c>
      <c r="CX8" t="str">
        <f>IF(CX7&gt;80000, "High", IF(CX7&gt;50000, "Medium", IF(CX7&gt;40000, "low", "extremely low")))</f>
        <v>High</v>
      </c>
      <c r="CY8" t="str">
        <f>IF(CY7&gt;80000, "High", IF(CY7&gt;50000, "Medium", IF(CY7&gt;40000, "low", "extremely low")))</f>
        <v>low</v>
      </c>
      <c r="CZ8" t="str">
        <f>IF(CZ7&gt;80000, "High", IF(CZ7&gt;50000, "Medium", IF(CZ7&gt;40000, "low", "extremely low")))</f>
        <v>Medium</v>
      </c>
      <c r="DA8" t="str">
        <f>IF(DA7&gt;80000, "High", IF(DA7&gt;50000, "Medium", IF(DA7&gt;40000, "low", "extremely low")))</f>
        <v>low</v>
      </c>
      <c r="DB8" t="str">
        <f>IF(DB7&gt;80000, "High", IF(DB7&gt;50000, "Medium", IF(DB7&gt;40000, "low", "extremely low")))</f>
        <v>High</v>
      </c>
      <c r="DC8" t="str">
        <f>IF(DC7&gt;80000, "High", IF(DC7&gt;50000, "Medium", IF(DC7&gt;40000, "low", "extremely low")))</f>
        <v>Medium</v>
      </c>
      <c r="DD8" t="str">
        <f>IF(DD7&gt;80000, "High", IF(DD7&gt;50000, "Medium", IF(DD7&gt;40000, "low", "extremely low")))</f>
        <v>High</v>
      </c>
      <c r="DE8" t="str">
        <f>IF(DE7&gt;80000, "High", IF(DE7&gt;50000, "Medium", IF(DE7&gt;40000, "low", "extremely low")))</f>
        <v>Medium</v>
      </c>
      <c r="DF8" t="str">
        <f>IF(DF7&gt;80000, "High", IF(DF7&gt;50000, "Medium", IF(DF7&gt;40000, "low", "extremely low")))</f>
        <v>High</v>
      </c>
      <c r="DG8" t="str">
        <f>IF(DG7&gt;80000, "High", IF(DG7&gt;50000, "Medium", IF(DG7&gt;40000, "low", "extremely low")))</f>
        <v>High</v>
      </c>
      <c r="DH8" t="str">
        <f>IF(DH7&gt;80000, "High", IF(DH7&gt;50000, "Medium", IF(DH7&gt;40000, "low", "extremely low")))</f>
        <v>Medium</v>
      </c>
      <c r="DI8" t="str">
        <f>IF(DI7&gt;80000, "High", IF(DI7&gt;50000, "Medium", IF(DI7&gt;40000, "low", "extremely low")))</f>
        <v>High</v>
      </c>
      <c r="DJ8" t="str">
        <f>IF(DJ7&gt;80000, "High", IF(DJ7&gt;50000, "Medium", IF(DJ7&gt;40000, "low", "extremely low")))</f>
        <v>High</v>
      </c>
      <c r="DK8" t="str">
        <f>IF(DK7&gt;80000, "High", IF(DK7&gt;50000, "Medium", IF(DK7&gt;40000, "low", "extremely low")))</f>
        <v>low</v>
      </c>
      <c r="DL8" t="str">
        <f>IF(DL7&gt;80000, "High", IF(DL7&gt;50000, "Medium", IF(DL7&gt;40000, "low", "extremely low")))</f>
        <v>High</v>
      </c>
      <c r="DM8" t="str">
        <f>IF(DM7&gt;80000, "High", IF(DM7&gt;50000, "Medium", IF(DM7&gt;40000, "low", "extremely low")))</f>
        <v>High</v>
      </c>
      <c r="DN8" t="str">
        <f>IF(DN7&gt;80000, "High", IF(DN7&gt;50000, "Medium", IF(DN7&gt;40000, "low", "extremely low")))</f>
        <v>extremely low</v>
      </c>
      <c r="DO8" t="str">
        <f>IF(DO7&gt;80000, "High", IF(DO7&gt;50000, "Medium", IF(DO7&gt;40000, "low", "extremely low")))</f>
        <v>High</v>
      </c>
      <c r="DP8" t="str">
        <f>IF(DP7&gt;80000, "High", IF(DP7&gt;50000, "Medium", IF(DP7&gt;40000, "low", "extremely low")))</f>
        <v>High</v>
      </c>
      <c r="DQ8" t="str">
        <f>IF(DQ7&gt;80000, "High", IF(DQ7&gt;50000, "Medium", IF(DQ7&gt;40000, "low", "extremely low")))</f>
        <v>High</v>
      </c>
      <c r="DR8" t="str">
        <f>IF(DR7&gt;80000, "High", IF(DR7&gt;50000, "Medium", IF(DR7&gt;40000, "low", "extremely low")))</f>
        <v>High</v>
      </c>
      <c r="DS8" t="str">
        <f>IF(DS7&gt;80000, "High", IF(DS7&gt;50000, "Medium", IF(DS7&gt;40000, "low", "extremely low")))</f>
        <v>High</v>
      </c>
      <c r="DT8" t="str">
        <f>IF(DT7&gt;80000, "High", IF(DT7&gt;50000, "Medium", IF(DT7&gt;40000, "low", "extremely low")))</f>
        <v>High</v>
      </c>
      <c r="DU8" t="str">
        <f>IF(DU7&gt;80000, "High", IF(DU7&gt;50000, "Medium", IF(DU7&gt;40000, "low", "extremely low")))</f>
        <v>extremely low</v>
      </c>
      <c r="DV8" t="str">
        <f>IF(DV7&gt;80000, "High", IF(DV7&gt;50000, "Medium", IF(DV7&gt;40000, "low", "extremely low")))</f>
        <v>low</v>
      </c>
      <c r="DW8" t="str">
        <f>IF(DW7&gt;80000, "High", IF(DW7&gt;50000, "Medium", IF(DW7&gt;40000, "low", "extremely low")))</f>
        <v>low</v>
      </c>
      <c r="DX8" t="str">
        <f>IF(DX7&gt;80000, "High", IF(DX7&gt;50000, "Medium", IF(DX7&gt;40000, "low", "extremely low")))</f>
        <v>Medium</v>
      </c>
      <c r="DY8" t="str">
        <f>IF(DY7&gt;80000, "High", IF(DY7&gt;50000, "Medium", IF(DY7&gt;40000, "low", "extremely low")))</f>
        <v>Medium</v>
      </c>
      <c r="DZ8" t="str">
        <f>IF(DZ7&gt;80000, "High", IF(DZ7&gt;50000, "Medium", IF(DZ7&gt;40000, "low", "extremely low")))</f>
        <v>Medium</v>
      </c>
      <c r="EA8" t="str">
        <f>IF(EA7&gt;80000, "High", IF(EA7&gt;50000, "Medium", IF(EA7&gt;40000, "low", "extremely low")))</f>
        <v>High</v>
      </c>
      <c r="EB8" t="str">
        <f>IF(EB7&gt;80000, "High", IF(EB7&gt;50000, "Medium", IF(EB7&gt;40000, "low", "extremely low")))</f>
        <v>low</v>
      </c>
      <c r="EC8" t="str">
        <f>IF(EC7&gt;80000, "High", IF(EC7&gt;50000, "Medium", IF(EC7&gt;40000, "low", "extremely low")))</f>
        <v>High</v>
      </c>
      <c r="ED8" t="str">
        <f>IF(ED7&gt;80000, "High", IF(ED7&gt;50000, "Medium", IF(ED7&gt;40000, "low", "extremely low")))</f>
        <v>High</v>
      </c>
      <c r="EE8" t="str">
        <f>IF(EE7&gt;80000, "High", IF(EE7&gt;50000, "Medium", IF(EE7&gt;40000, "low", "extremely low")))</f>
        <v>Medium</v>
      </c>
      <c r="EF8" t="str">
        <f>IF(EF7&gt;80000, "High", IF(EF7&gt;50000, "Medium", IF(EF7&gt;40000, "low", "extremely low")))</f>
        <v>High</v>
      </c>
      <c r="EG8" t="str">
        <f>IF(EG7&gt;80000, "High", IF(EG7&gt;50000, "Medium", IF(EG7&gt;40000, "low", "extremely low")))</f>
        <v>High</v>
      </c>
      <c r="EH8" t="str">
        <f>IF(EH7&gt;80000, "High", IF(EH7&gt;50000, "Medium", IF(EH7&gt;40000, "low", "extremely low")))</f>
        <v>extremely low</v>
      </c>
      <c r="EI8" t="str">
        <f>IF(EI7&gt;80000, "High", IF(EI7&gt;50000, "Medium", IF(EI7&gt;40000, "low", "extremely low")))</f>
        <v>Medium</v>
      </c>
      <c r="EJ8" t="str">
        <f>IF(EJ7&gt;80000, "High", IF(EJ7&gt;50000, "Medium", IF(EJ7&gt;40000, "low", "extremely low")))</f>
        <v>low</v>
      </c>
      <c r="EK8" t="str">
        <f>IF(EK7&gt;80000, "High", IF(EK7&gt;50000, "Medium", IF(EK7&gt;40000, "low", "extremely low")))</f>
        <v>Medium</v>
      </c>
      <c r="EL8" t="str">
        <f>IF(EL7&gt;80000, "High", IF(EL7&gt;50000, "Medium", IF(EL7&gt;40000, "low", "extremely low")))</f>
        <v>Medium</v>
      </c>
      <c r="EM8" t="str">
        <f>IF(EM7&gt;80000, "High", IF(EM7&gt;50000, "Medium", IF(EM7&gt;40000, "low", "extremely low")))</f>
        <v>Medium</v>
      </c>
      <c r="EN8" t="str">
        <f>IF(EN7&gt;80000, "High", IF(EN7&gt;50000, "Medium", IF(EN7&gt;40000, "low", "extremely low")))</f>
        <v>low</v>
      </c>
      <c r="EO8" t="str">
        <f>IF(EO7&gt;80000, "High", IF(EO7&gt;50000, "Medium", IF(EO7&gt;40000, "low", "extremely low")))</f>
        <v>High</v>
      </c>
      <c r="EP8" t="str">
        <f>IF(EP7&gt;80000, "High", IF(EP7&gt;50000, "Medium", IF(EP7&gt;40000, "low", "extremely low")))</f>
        <v>extremely low</v>
      </c>
      <c r="EQ8" t="str">
        <f>IF(EQ7&gt;80000, "High", IF(EQ7&gt;50000, "Medium", IF(EQ7&gt;40000, "low", "extremely low")))</f>
        <v>Medium</v>
      </c>
      <c r="ER8" t="str">
        <f>IF(ER7&gt;80000, "High", IF(ER7&gt;50000, "Medium", IF(ER7&gt;40000, "low", "extremely low")))</f>
        <v>High</v>
      </c>
      <c r="ES8" t="str">
        <f>IF(ES7&gt;80000, "High", IF(ES7&gt;50000, "Medium", IF(ES7&gt;40000, "low", "extremely low")))</f>
        <v>low</v>
      </c>
      <c r="ET8" t="str">
        <f>IF(ET7&gt;80000, "High", IF(ET7&gt;50000, "Medium", IF(ET7&gt;40000, "low", "extremely low")))</f>
        <v>extremely low</v>
      </c>
      <c r="EU8" t="str">
        <f>IF(EU7&gt;80000, "High", IF(EU7&gt;50000, "Medium", IF(EU7&gt;40000, "low", "extremely low")))</f>
        <v>low</v>
      </c>
      <c r="EV8" t="str">
        <f>IF(EV7&gt;80000, "High", IF(EV7&gt;50000, "Medium", IF(EV7&gt;40000, "low", "extremely low")))</f>
        <v>High</v>
      </c>
      <c r="EW8" t="str">
        <f>IF(EW7&gt;80000, "High", IF(EW7&gt;50000, "Medium", IF(EW7&gt;40000, "low", "extremely low")))</f>
        <v>Medium</v>
      </c>
      <c r="EX8" t="str">
        <f>IF(EX7&gt;80000, "High", IF(EX7&gt;50000, "Medium", IF(EX7&gt;40000, "low", "extremely low")))</f>
        <v>High</v>
      </c>
      <c r="EY8" t="str">
        <f>IF(EY7&gt;80000, "High", IF(EY7&gt;50000, "Medium", IF(EY7&gt;40000, "low", "extremely low")))</f>
        <v>extremely low</v>
      </c>
      <c r="EZ8" t="str">
        <f>IF(EZ7&gt;80000, "High", IF(EZ7&gt;50000, "Medium", IF(EZ7&gt;40000, "low", "extremely low")))</f>
        <v>extremely low</v>
      </c>
      <c r="FA8" t="str">
        <f>IF(FA7&gt;80000, "High", IF(FA7&gt;50000, "Medium", IF(FA7&gt;40000, "low", "extremely low")))</f>
        <v>High</v>
      </c>
      <c r="FB8" t="str">
        <f>IF(FB7&gt;80000, "High", IF(FB7&gt;50000, "Medium", IF(FB7&gt;40000, "low", "extremely low")))</f>
        <v>High</v>
      </c>
      <c r="FC8" t="str">
        <f>IF(FC7&gt;80000, "High", IF(FC7&gt;50000, "Medium", IF(FC7&gt;40000, "low", "extremely low")))</f>
        <v>low</v>
      </c>
      <c r="FD8" t="str">
        <f>IF(FD7&gt;80000, "High", IF(FD7&gt;50000, "Medium", IF(FD7&gt;40000, "low", "extremely low")))</f>
        <v>High</v>
      </c>
      <c r="FE8" t="str">
        <f>IF(FE7&gt;80000, "High", IF(FE7&gt;50000, "Medium", IF(FE7&gt;40000, "low", "extremely low")))</f>
        <v>Medium</v>
      </c>
      <c r="FF8" t="str">
        <f>IF(FF7&gt;80000, "High", IF(FF7&gt;50000, "Medium", IF(FF7&gt;40000, "low", "extremely low")))</f>
        <v>low</v>
      </c>
      <c r="FG8" t="str">
        <f>IF(FG7&gt;80000, "High", IF(FG7&gt;50000, "Medium", IF(FG7&gt;40000, "low", "extremely low")))</f>
        <v>Medium</v>
      </c>
      <c r="FH8" t="str">
        <f>IF(FH7&gt;80000, "High", IF(FH7&gt;50000, "Medium", IF(FH7&gt;40000, "low", "extremely low")))</f>
        <v>High</v>
      </c>
      <c r="FI8" t="str">
        <f>IF(FI7&gt;80000, "High", IF(FI7&gt;50000, "Medium", IF(FI7&gt;40000, "low", "extremely low")))</f>
        <v>Medium</v>
      </c>
      <c r="FJ8" t="str">
        <f>IF(FJ7&gt;80000, "High", IF(FJ7&gt;50000, "Medium", IF(FJ7&gt;40000, "low", "extremely low")))</f>
        <v>Medium</v>
      </c>
      <c r="FK8" t="str">
        <f>IF(FK7&gt;80000, "High", IF(FK7&gt;50000, "Medium", IF(FK7&gt;40000, "low", "extremely low")))</f>
        <v>Medium</v>
      </c>
      <c r="FL8" t="str">
        <f>IF(FL7&gt;80000, "High", IF(FL7&gt;50000, "Medium", IF(FL7&gt;40000, "low", "extremely low")))</f>
        <v>Medium</v>
      </c>
      <c r="FM8" t="str">
        <f>IF(FM7&gt;80000, "High", IF(FM7&gt;50000, "Medium", IF(FM7&gt;40000, "low", "extremely low")))</f>
        <v>High</v>
      </c>
      <c r="FN8" t="str">
        <f>IF(FN7&gt;80000, "High", IF(FN7&gt;50000, "Medium", IF(FN7&gt;40000, "low", "extremely low")))</f>
        <v>High</v>
      </c>
      <c r="FO8" t="str">
        <f>IF(FO7&gt;80000, "High", IF(FO7&gt;50000, "Medium", IF(FO7&gt;40000, "low", "extremely low")))</f>
        <v>High</v>
      </c>
      <c r="FP8" t="str">
        <f>IF(FP7&gt;80000, "High", IF(FP7&gt;50000, "Medium", IF(FP7&gt;40000, "low", "extremely low")))</f>
        <v>Medium</v>
      </c>
      <c r="FQ8" t="str">
        <f>IF(FQ7&gt;80000, "High", IF(FQ7&gt;50000, "Medium", IF(FQ7&gt;40000, "low", "extremely low")))</f>
        <v>High</v>
      </c>
      <c r="FR8" t="str">
        <f>IF(FR7&gt;80000, "High", IF(FR7&gt;50000, "Medium", IF(FR7&gt;40000, "low", "extremely low")))</f>
        <v>Medium</v>
      </c>
      <c r="FS8" t="str">
        <f>IF(FS7&gt;80000, "High", IF(FS7&gt;50000, "Medium", IF(FS7&gt;40000, "low", "extremely low")))</f>
        <v>High</v>
      </c>
      <c r="FT8" t="str">
        <f>IF(FT7&gt;80000, "High", IF(FT7&gt;50000, "Medium", IF(FT7&gt;40000, "low", "extremely low")))</f>
        <v>High</v>
      </c>
      <c r="FU8" t="str">
        <f>IF(FU7&gt;80000, "High", IF(FU7&gt;50000, "Medium", IF(FU7&gt;40000, "low", "extremely low")))</f>
        <v>Medium</v>
      </c>
      <c r="FV8" t="str">
        <f>IF(FV7&gt;80000, "High", IF(FV7&gt;50000, "Medium", IF(FV7&gt;40000, "low", "extremely low")))</f>
        <v>Medium</v>
      </c>
      <c r="FW8" t="str">
        <f>IF(FW7&gt;80000, "High", IF(FW7&gt;50000, "Medium", IF(FW7&gt;40000, "low", "extremely low")))</f>
        <v>High</v>
      </c>
      <c r="FX8" t="str">
        <f>IF(FX7&gt;80000, "High", IF(FX7&gt;50000, "Medium", IF(FX7&gt;40000, "low", "extremely low")))</f>
        <v>Medium</v>
      </c>
      <c r="FY8" t="str">
        <f>IF(FY7&gt;80000, "High", IF(FY7&gt;50000, "Medium", IF(FY7&gt;40000, "low", "extremely low")))</f>
        <v>High</v>
      </c>
      <c r="FZ8" t="str">
        <f>IF(FZ7&gt;80000, "High", IF(FZ7&gt;50000, "Medium", IF(FZ7&gt;40000, "low", "extremely low")))</f>
        <v>High</v>
      </c>
      <c r="GA8" t="str">
        <f>IF(GA7&gt;80000, "High", IF(GA7&gt;50000, "Medium", IF(GA7&gt;40000, "low", "extremely low")))</f>
        <v>High</v>
      </c>
      <c r="GB8" t="str">
        <f>IF(GB7&gt;80000, "High", IF(GB7&gt;50000, "Medium", IF(GB7&gt;40000, "low", "extremely low")))</f>
        <v>High</v>
      </c>
      <c r="GC8" t="str">
        <f>IF(GC7&gt;80000, "High", IF(GC7&gt;50000, "Medium", IF(GC7&gt;40000, "low", "extremely low")))</f>
        <v>High</v>
      </c>
      <c r="GD8" t="str">
        <f>IF(GD7&gt;80000, "High", IF(GD7&gt;50000, "Medium", IF(GD7&gt;40000, "low", "extremely low")))</f>
        <v>extremely low</v>
      </c>
      <c r="GE8" t="str">
        <f>IF(GE7&gt;80000, "High", IF(GE7&gt;50000, "Medium", IF(GE7&gt;40000, "low", "extremely low")))</f>
        <v>low</v>
      </c>
      <c r="GF8" t="str">
        <f>IF(GF7&gt;80000, "High", IF(GF7&gt;50000, "Medium", IF(GF7&gt;40000, "low", "extremely low")))</f>
        <v>High</v>
      </c>
      <c r="GG8" t="str">
        <f>IF(GG7&gt;80000, "High", IF(GG7&gt;50000, "Medium", IF(GG7&gt;40000, "low", "extremely low")))</f>
        <v>Medium</v>
      </c>
      <c r="GH8" t="str">
        <f>IF(GH7&gt;80000, "High", IF(GH7&gt;50000, "Medium", IF(GH7&gt;40000, "low", "extremely low")))</f>
        <v>Medium</v>
      </c>
      <c r="GI8" t="str">
        <f>IF(GI7&gt;80000, "High", IF(GI7&gt;50000, "Medium", IF(GI7&gt;40000, "low", "extremely low")))</f>
        <v>Medium</v>
      </c>
      <c r="GJ8" t="str">
        <f>IF(GJ7&gt;80000, "High", IF(GJ7&gt;50000, "Medium", IF(GJ7&gt;40000, "low", "extremely low")))</f>
        <v>Medium</v>
      </c>
      <c r="GK8" t="str">
        <f>IF(GK7&gt;80000, "High", IF(GK7&gt;50000, "Medium", IF(GK7&gt;40000, "low", "extremely low")))</f>
        <v>Medium</v>
      </c>
      <c r="GL8" t="str">
        <f>IF(GL7&gt;80000, "High", IF(GL7&gt;50000, "Medium", IF(GL7&gt;40000, "low", "extremely low")))</f>
        <v>High</v>
      </c>
      <c r="GM8" t="str">
        <f>IF(GM7&gt;80000, "High", IF(GM7&gt;50000, "Medium", IF(GM7&gt;40000, "low", "extremely low")))</f>
        <v>low</v>
      </c>
      <c r="GN8" t="str">
        <f>IF(GN7&gt;80000, "High", IF(GN7&gt;50000, "Medium", IF(GN7&gt;40000, "low", "extremely low")))</f>
        <v>Medium</v>
      </c>
      <c r="GO8" t="str">
        <f>IF(GO7&gt;80000, "High", IF(GO7&gt;50000, "Medium", IF(GO7&gt;40000, "low", "extremely low")))</f>
        <v>low</v>
      </c>
      <c r="GP8" t="str">
        <f>IF(GP7&gt;80000, "High", IF(GP7&gt;50000, "Medium", IF(GP7&gt;40000, "low", "extremely low")))</f>
        <v>High</v>
      </c>
      <c r="GQ8" t="str">
        <f>IF(GQ7&gt;80000, "High", IF(GQ7&gt;50000, "Medium", IF(GQ7&gt;40000, "low", "extremely low")))</f>
        <v>Medium</v>
      </c>
      <c r="GR8" t="str">
        <f>IF(GR7&gt;80000, "High", IF(GR7&gt;50000, "Medium", IF(GR7&gt;40000, "low", "extremely low")))</f>
        <v>High</v>
      </c>
      <c r="GS8" t="str">
        <f>IF(GS7&gt;80000, "High", IF(GS7&gt;50000, "Medium", IF(GS7&gt;40000, "low", "extremely low")))</f>
        <v>Medium</v>
      </c>
      <c r="GT8" t="str">
        <f>IF(GT7&gt;80000, "High", IF(GT7&gt;50000, "Medium", IF(GT7&gt;40000, "low", "extremely low")))</f>
        <v>Medium</v>
      </c>
      <c r="GU8" t="str">
        <f>IF(GU7&gt;80000, "High", IF(GU7&gt;50000, "Medium", IF(GU7&gt;40000, "low", "extremely low")))</f>
        <v>High</v>
      </c>
      <c r="GV8" t="str">
        <f>IF(GV7&gt;80000, "High", IF(GV7&gt;50000, "Medium", IF(GV7&gt;40000, "low", "extremely low")))</f>
        <v>High</v>
      </c>
      <c r="GW8" t="str">
        <f>IF(GW7&gt;80000, "High", IF(GW7&gt;50000, "Medium", IF(GW7&gt;40000, "low", "extremely low")))</f>
        <v>low</v>
      </c>
      <c r="GX8" t="str">
        <f>IF(GX7&gt;80000, "High", IF(GX7&gt;50000, "Medium", IF(GX7&gt;40000, "low", "extremely low")))</f>
        <v>High</v>
      </c>
      <c r="GY8" t="str">
        <f>IF(GY7&gt;80000, "High", IF(GY7&gt;50000, "Medium", IF(GY7&gt;40000, "low", "extremely low")))</f>
        <v>High</v>
      </c>
      <c r="GZ8" t="str">
        <f>IF(GZ7&gt;80000, "High", IF(GZ7&gt;50000, "Medium", IF(GZ7&gt;40000, "low", "extremely low")))</f>
        <v>extremely low</v>
      </c>
      <c r="HA8" t="str">
        <f>IF(HA7&gt;80000, "High", IF(HA7&gt;50000, "Medium", IF(HA7&gt;40000, "low", "extremely low")))</f>
        <v>Medium</v>
      </c>
      <c r="HB8" t="str">
        <f>IF(HB7&gt;80000, "High", IF(HB7&gt;50000, "Medium", IF(HB7&gt;40000, "low", "extremely low")))</f>
        <v>Medium</v>
      </c>
      <c r="HC8" t="str">
        <f>IF(HC7&gt;80000, "High", IF(HC7&gt;50000, "Medium", IF(HC7&gt;40000, "low", "extremely low")))</f>
        <v>Medium</v>
      </c>
      <c r="HD8" t="str">
        <f>IF(HD7&gt;80000, "High", IF(HD7&gt;50000, "Medium", IF(HD7&gt;40000, "low", "extremely low")))</f>
        <v>High</v>
      </c>
      <c r="HE8" t="str">
        <f>IF(HE7&gt;80000, "High", IF(HE7&gt;50000, "Medium", IF(HE7&gt;40000, "low", "extremely low")))</f>
        <v>extremely low</v>
      </c>
      <c r="HF8" t="str">
        <f>IF(HF7&gt;80000, "High", IF(HF7&gt;50000, "Medium", IF(HF7&gt;40000, "low", "extremely low")))</f>
        <v>Medium</v>
      </c>
      <c r="HG8" t="str">
        <f>IF(HG7&gt;80000, "High", IF(HG7&gt;50000, "Medium", IF(HG7&gt;40000, "low", "extremely low")))</f>
        <v>Medium</v>
      </c>
      <c r="HH8" t="str">
        <f>IF(HH7&gt;80000, "High", IF(HH7&gt;50000, "Medium", IF(HH7&gt;40000, "low", "extremely low")))</f>
        <v>High</v>
      </c>
      <c r="HI8" t="str">
        <f>IF(HI7&gt;80000, "High", IF(HI7&gt;50000, "Medium", IF(HI7&gt;40000, "low", "extremely low")))</f>
        <v>Medium</v>
      </c>
      <c r="HJ8" t="str">
        <f>IF(HJ7&gt;80000, "High", IF(HJ7&gt;50000, "Medium", IF(HJ7&gt;40000, "low", "extremely low")))</f>
        <v>High</v>
      </c>
      <c r="HK8" t="str">
        <f>IF(HK7&gt;80000, "High", IF(HK7&gt;50000, "Medium", IF(HK7&gt;40000, "low", "extremely low")))</f>
        <v>low</v>
      </c>
      <c r="HL8" t="str">
        <f>IF(HL7&gt;80000, "High", IF(HL7&gt;50000, "Medium", IF(HL7&gt;40000, "low", "extremely low")))</f>
        <v>Medium</v>
      </c>
      <c r="HM8" t="str">
        <f>IF(HM7&gt;80000, "High", IF(HM7&gt;50000, "Medium", IF(HM7&gt;40000, "low", "extremely low")))</f>
        <v>extremely low</v>
      </c>
      <c r="HN8" t="str">
        <f>IF(HN7&gt;80000, "High", IF(HN7&gt;50000, "Medium", IF(HN7&gt;40000, "low", "extremely low")))</f>
        <v>Medium</v>
      </c>
      <c r="HO8" t="str">
        <f>IF(HO7&gt;80000, "High", IF(HO7&gt;50000, "Medium", IF(HO7&gt;40000, "low", "extremely low")))</f>
        <v>extremely low</v>
      </c>
      <c r="HP8" t="str">
        <f>IF(HP7&gt;80000, "High", IF(HP7&gt;50000, "Medium", IF(HP7&gt;40000, "low", "extremely low")))</f>
        <v>High</v>
      </c>
      <c r="HQ8" t="str">
        <f>IF(HQ7&gt;80000, "High", IF(HQ7&gt;50000, "Medium", IF(HQ7&gt;40000, "low", "extremely low")))</f>
        <v>Medium</v>
      </c>
      <c r="HR8" t="str">
        <f>IF(HR7&gt;80000, "High", IF(HR7&gt;50000, "Medium", IF(HR7&gt;40000, "low", "extremely low")))</f>
        <v>extremely low</v>
      </c>
      <c r="HS8" t="str">
        <f>IF(HS7&gt;80000, "High", IF(HS7&gt;50000, "Medium", IF(HS7&gt;40000, "low", "extremely low")))</f>
        <v>low</v>
      </c>
      <c r="HT8" t="str">
        <f>IF(HT7&gt;80000, "High", IF(HT7&gt;50000, "Medium", IF(HT7&gt;40000, "low", "extremely low")))</f>
        <v>High</v>
      </c>
      <c r="HU8" t="str">
        <f>IF(HU7&gt;80000, "High", IF(HU7&gt;50000, "Medium", IF(HU7&gt;40000, "low", "extremely low")))</f>
        <v>High</v>
      </c>
      <c r="HV8" t="str">
        <f>IF(HV7&gt;80000, "High", IF(HV7&gt;50000, "Medium", IF(HV7&gt;40000, "low", "extremely low")))</f>
        <v>Medium</v>
      </c>
      <c r="HW8" t="str">
        <f>IF(HW7&gt;80000, "High", IF(HW7&gt;50000, "Medium", IF(HW7&gt;40000, "low", "extremely low")))</f>
        <v>Medium</v>
      </c>
      <c r="HX8" t="str">
        <f>IF(HX7&gt;80000, "High", IF(HX7&gt;50000, "Medium", IF(HX7&gt;40000, "low", "extremely low")))</f>
        <v>High</v>
      </c>
      <c r="HY8" t="str">
        <f>IF(HY7&gt;80000, "High", IF(HY7&gt;50000, "Medium", IF(HY7&gt;40000, "low", "extremely low")))</f>
        <v>extremely low</v>
      </c>
      <c r="HZ8" t="str">
        <f>IF(HZ7&gt;80000, "High", IF(HZ7&gt;50000, "Medium", IF(HZ7&gt;40000, "low", "extremely low")))</f>
        <v>Medium</v>
      </c>
      <c r="IA8" t="str">
        <f>IF(IA7&gt;80000, "High", IF(IA7&gt;50000, "Medium", IF(IA7&gt;40000, "low", "extremely low")))</f>
        <v>low</v>
      </c>
      <c r="IB8" t="str">
        <f>IF(IB7&gt;80000, "High", IF(IB7&gt;50000, "Medium", IF(IB7&gt;40000, "low", "extremely low")))</f>
        <v>extremely low</v>
      </c>
      <c r="IC8" t="str">
        <f>IF(IC7&gt;80000, "High", IF(IC7&gt;50000, "Medium", IF(IC7&gt;40000, "low", "extremely low")))</f>
        <v>High</v>
      </c>
      <c r="ID8" t="str">
        <f>IF(ID7&gt;80000, "High", IF(ID7&gt;50000, "Medium", IF(ID7&gt;40000, "low", "extremely low")))</f>
        <v>High</v>
      </c>
      <c r="IE8" t="str">
        <f>IF(IE7&gt;80000, "High", IF(IE7&gt;50000, "Medium", IF(IE7&gt;40000, "low", "extremely low")))</f>
        <v>Medium</v>
      </c>
      <c r="IF8" t="str">
        <f>IF(IF7&gt;80000, "High", IF(IF7&gt;50000, "Medium", IF(IF7&gt;40000, "low", "extremely low")))</f>
        <v>Medium</v>
      </c>
      <c r="IG8" t="str">
        <f>IF(IG7&gt;80000, "High", IF(IG7&gt;50000, "Medium", IF(IG7&gt;40000, "low", "extremely low")))</f>
        <v>High</v>
      </c>
      <c r="IH8" t="str">
        <f>IF(IH7&gt;80000, "High", IF(IH7&gt;50000, "Medium", IF(IH7&gt;40000, "low", "extremely low")))</f>
        <v>High</v>
      </c>
      <c r="II8" t="str">
        <f>IF(II7&gt;80000, "High", IF(II7&gt;50000, "Medium", IF(II7&gt;40000, "low", "extremely low")))</f>
        <v>High</v>
      </c>
      <c r="IJ8" t="str">
        <f>IF(IJ7&gt;80000, "High", IF(IJ7&gt;50000, "Medium", IF(IJ7&gt;40000, "low", "extremely low")))</f>
        <v>low</v>
      </c>
      <c r="IK8" t="str">
        <f>IF(IK7&gt;80000, "High", IF(IK7&gt;50000, "Medium", IF(IK7&gt;40000, "low", "extremely low")))</f>
        <v>Medium</v>
      </c>
      <c r="IL8" t="str">
        <f>IF(IL7&gt;80000, "High", IF(IL7&gt;50000, "Medium", IF(IL7&gt;40000, "low", "extremely low")))</f>
        <v>High</v>
      </c>
      <c r="IM8" t="str">
        <f>IF(IM7&gt;80000, "High", IF(IM7&gt;50000, "Medium", IF(IM7&gt;40000, "low", "extremely low")))</f>
        <v>High</v>
      </c>
      <c r="IN8" t="str">
        <f>IF(IN7&gt;80000, "High", IF(IN7&gt;50000, "Medium", IF(IN7&gt;40000, "low", "extremely low")))</f>
        <v>extremely low</v>
      </c>
      <c r="IO8" t="str">
        <f>IF(IO7&gt;80000, "High", IF(IO7&gt;50000, "Medium", IF(IO7&gt;40000, "low", "extremely low")))</f>
        <v>Medium</v>
      </c>
      <c r="IP8" t="str">
        <f>IF(IP7&gt;80000, "High", IF(IP7&gt;50000, "Medium", IF(IP7&gt;40000, "low", "extremely low")))</f>
        <v>Medium</v>
      </c>
      <c r="IQ8" t="str">
        <f>IF(IQ7&gt;80000, "High", IF(IQ7&gt;50000, "Medium", IF(IQ7&gt;40000, "low", "extremely low")))</f>
        <v>Medium</v>
      </c>
      <c r="IR8" t="str">
        <f>IF(IR7&gt;80000, "High", IF(IR7&gt;50000, "Medium", IF(IR7&gt;40000, "low", "extremely low")))</f>
        <v>Medium</v>
      </c>
      <c r="IS8" t="str">
        <f>IF(IS7&gt;80000, "High", IF(IS7&gt;50000, "Medium", IF(IS7&gt;40000, "low", "extremely low")))</f>
        <v>High</v>
      </c>
      <c r="IT8" t="str">
        <f>IF(IT7&gt;80000, "High", IF(IT7&gt;50000, "Medium", IF(IT7&gt;40000, "low", "extremely low")))</f>
        <v>extremely low</v>
      </c>
      <c r="IU8" t="str">
        <f>IF(IU7&gt;80000, "High", IF(IU7&gt;50000, "Medium", IF(IU7&gt;40000, "low", "extremely low")))</f>
        <v>High</v>
      </c>
      <c r="IV8" t="str">
        <f>IF(IV7&gt;80000, "High", IF(IV7&gt;50000, "Medium", IF(IV7&gt;40000, "low", "extremely low")))</f>
        <v>High</v>
      </c>
      <c r="IW8" t="str">
        <f>IF(IW7&gt;80000, "High", IF(IW7&gt;50000, "Medium", IF(IW7&gt;40000, "low", "extremely low")))</f>
        <v>low</v>
      </c>
      <c r="IX8" t="str">
        <f>IF(IX7&gt;80000, "High", IF(IX7&gt;50000, "Medium", IF(IX7&gt;40000, "low", "extremely low")))</f>
        <v>High</v>
      </c>
      <c r="IY8" t="str">
        <f>IF(IY7&gt;80000, "High", IF(IY7&gt;50000, "Medium", IF(IY7&gt;40000, "low", "extremely low")))</f>
        <v>High</v>
      </c>
      <c r="IZ8" t="str">
        <f>IF(IZ7&gt;80000, "High", IF(IZ7&gt;50000, "Medium", IF(IZ7&gt;40000, "low", "extremely low")))</f>
        <v>low</v>
      </c>
      <c r="JA8" t="str">
        <f>IF(JA7&gt;80000, "High", IF(JA7&gt;50000, "Medium", IF(JA7&gt;40000, "low", "extremely low")))</f>
        <v>High</v>
      </c>
      <c r="JB8" t="str">
        <f>IF(JB7&gt;80000, "High", IF(JB7&gt;50000, "Medium", IF(JB7&gt;40000, "low", "extremely low")))</f>
        <v>low</v>
      </c>
      <c r="JC8" t="str">
        <f>IF(JC7&gt;80000, "High", IF(JC7&gt;50000, "Medium", IF(JC7&gt;40000, "low", "extremely low")))</f>
        <v>High</v>
      </c>
      <c r="JD8" t="str">
        <f>IF(JD7&gt;80000, "High", IF(JD7&gt;50000, "Medium", IF(JD7&gt;40000, "low", "extremely low")))</f>
        <v>High</v>
      </c>
      <c r="JE8" t="str">
        <f>IF(JE7&gt;80000, "High", IF(JE7&gt;50000, "Medium", IF(JE7&gt;40000, "low", "extremely low")))</f>
        <v>High</v>
      </c>
      <c r="JF8" t="str">
        <f>IF(JF7&gt;80000, "High", IF(JF7&gt;50000, "Medium", IF(JF7&gt;40000, "low", "extremely low")))</f>
        <v>Medium</v>
      </c>
      <c r="JG8" t="str">
        <f>IF(JG7&gt;80000, "High", IF(JG7&gt;50000, "Medium", IF(JG7&gt;40000, "low", "extremely low")))</f>
        <v>Medium</v>
      </c>
      <c r="JH8" t="str">
        <f>IF(JH7&gt;80000, "High", IF(JH7&gt;50000, "Medium", IF(JH7&gt;40000, "low", "extremely low")))</f>
        <v>High</v>
      </c>
      <c r="JI8" t="str">
        <f>IF(JI7&gt;80000, "High", IF(JI7&gt;50000, "Medium", IF(JI7&gt;40000, "low", "extremely low")))</f>
        <v>extremely low</v>
      </c>
      <c r="JJ8" t="str">
        <f>IF(JJ7&gt;80000, "High", IF(JJ7&gt;50000, "Medium", IF(JJ7&gt;40000, "low", "extremely low")))</f>
        <v>Medium</v>
      </c>
      <c r="JK8" t="str">
        <f>IF(JK7&gt;80000, "High", IF(JK7&gt;50000, "Medium", IF(JK7&gt;40000, "low", "extremely low")))</f>
        <v>Medium</v>
      </c>
      <c r="JL8" t="str">
        <f>IF(JL7&gt;80000, "High", IF(JL7&gt;50000, "Medium", IF(JL7&gt;40000, "low", "extremely low")))</f>
        <v>Medium</v>
      </c>
      <c r="JM8" t="str">
        <f>IF(JM7&gt;80000, "High", IF(JM7&gt;50000, "Medium", IF(JM7&gt;40000, "low", "extremely low")))</f>
        <v>High</v>
      </c>
      <c r="JN8" t="str">
        <f>IF(JN7&gt;80000, "High", IF(JN7&gt;50000, "Medium", IF(JN7&gt;40000, "low", "extremely low")))</f>
        <v>Medium</v>
      </c>
      <c r="JO8" t="str">
        <f>IF(JO7&gt;80000, "High", IF(JO7&gt;50000, "Medium", IF(JO7&gt;40000, "low", "extremely low")))</f>
        <v>low</v>
      </c>
      <c r="JP8" t="str">
        <f>IF(JP7&gt;80000, "High", IF(JP7&gt;50000, "Medium", IF(JP7&gt;40000, "low", "extremely low")))</f>
        <v>Medium</v>
      </c>
      <c r="JQ8" t="str">
        <f>IF(JQ7&gt;80000, "High", IF(JQ7&gt;50000, "Medium", IF(JQ7&gt;40000, "low", "extremely low")))</f>
        <v>low</v>
      </c>
      <c r="JR8" t="str">
        <f>IF(JR7&gt;80000, "High", IF(JR7&gt;50000, "Medium", IF(JR7&gt;40000, "low", "extremely low")))</f>
        <v>Medium</v>
      </c>
      <c r="JS8" t="str">
        <f>IF(JS7&gt;80000, "High", IF(JS7&gt;50000, "Medium", IF(JS7&gt;40000, "low", "extremely low")))</f>
        <v>Medium</v>
      </c>
      <c r="JT8" t="str">
        <f>IF(JT7&gt;80000, "High", IF(JT7&gt;50000, "Medium", IF(JT7&gt;40000, "low", "extremely low")))</f>
        <v>low</v>
      </c>
      <c r="JU8" t="str">
        <f>IF(JU7&gt;80000, "High", IF(JU7&gt;50000, "Medium", IF(JU7&gt;40000, "low", "extremely low")))</f>
        <v>Medium</v>
      </c>
      <c r="JV8" t="str">
        <f>IF(JV7&gt;80000, "High", IF(JV7&gt;50000, "Medium", IF(JV7&gt;40000, "low", "extremely low")))</f>
        <v>High</v>
      </c>
      <c r="JW8" t="str">
        <f>IF(JW7&gt;80000, "High", IF(JW7&gt;50000, "Medium", IF(JW7&gt;40000, "low", "extremely low")))</f>
        <v>Medium</v>
      </c>
      <c r="JX8" t="str">
        <f>IF(JX7&gt;80000, "High", IF(JX7&gt;50000, "Medium", IF(JX7&gt;40000, "low", "extremely low")))</f>
        <v>low</v>
      </c>
      <c r="JY8" t="str">
        <f>IF(JY7&gt;80000, "High", IF(JY7&gt;50000, "Medium", IF(JY7&gt;40000, "low", "extremely low")))</f>
        <v>Medium</v>
      </c>
      <c r="JZ8" t="str">
        <f>IF(JZ7&gt;80000, "High", IF(JZ7&gt;50000, "Medium", IF(JZ7&gt;40000, "low", "extremely low")))</f>
        <v>low</v>
      </c>
      <c r="KA8" t="str">
        <f>IF(KA7&gt;80000, "High", IF(KA7&gt;50000, "Medium", IF(KA7&gt;40000, "low", "extremely low")))</f>
        <v>extremely low</v>
      </c>
      <c r="KB8" t="str">
        <f>IF(KB7&gt;80000, "High", IF(KB7&gt;50000, "Medium", IF(KB7&gt;40000, "low", "extremely low")))</f>
        <v>Medium</v>
      </c>
      <c r="KC8" t="str">
        <f>IF(KC7&gt;80000, "High", IF(KC7&gt;50000, "Medium", IF(KC7&gt;40000, "low", "extremely low")))</f>
        <v>Medium</v>
      </c>
      <c r="KD8" t="str">
        <f>IF(KD7&gt;80000, "High", IF(KD7&gt;50000, "Medium", IF(KD7&gt;40000, "low", "extremely low")))</f>
        <v>Medium</v>
      </c>
      <c r="KE8" t="str">
        <f>IF(KE7&gt;80000, "High", IF(KE7&gt;50000, "Medium", IF(KE7&gt;40000, "low", "extremely low")))</f>
        <v>Medium</v>
      </c>
      <c r="KF8" t="str">
        <f>IF(KF7&gt;80000, "High", IF(KF7&gt;50000, "Medium", IF(KF7&gt;40000, "low", "extremely low")))</f>
        <v>extremely low</v>
      </c>
      <c r="KG8" t="str">
        <f>IF(KG7&gt;80000, "High", IF(KG7&gt;50000, "Medium", IF(KG7&gt;40000, "low", "extremely low")))</f>
        <v>low</v>
      </c>
      <c r="KH8" t="str">
        <f>IF(KH7&gt;80000, "High", IF(KH7&gt;50000, "Medium", IF(KH7&gt;40000, "low", "extremely low")))</f>
        <v>low</v>
      </c>
      <c r="KI8" t="str">
        <f>IF(KI7&gt;80000, "High", IF(KI7&gt;50000, "Medium", IF(KI7&gt;40000, "low", "extremely low")))</f>
        <v>High</v>
      </c>
      <c r="KJ8" t="str">
        <f>IF(KJ7&gt;80000, "High", IF(KJ7&gt;50000, "Medium", IF(KJ7&gt;40000, "low", "extremely low")))</f>
        <v>low</v>
      </c>
      <c r="KK8" t="str">
        <f>IF(KK7&gt;80000, "High", IF(KK7&gt;50000, "Medium", IF(KK7&gt;40000, "low", "extremely low")))</f>
        <v>High</v>
      </c>
      <c r="KL8" t="str">
        <f>IF(KL7&gt;80000, "High", IF(KL7&gt;50000, "Medium", IF(KL7&gt;40000, "low", "extremely low")))</f>
        <v>extremely low</v>
      </c>
      <c r="KM8" t="str">
        <f>IF(KM7&gt;80000, "High", IF(KM7&gt;50000, "Medium", IF(KM7&gt;40000, "low", "extremely low")))</f>
        <v>High</v>
      </c>
      <c r="KN8" t="str">
        <f>IF(KN7&gt;80000, "High", IF(KN7&gt;50000, "Medium", IF(KN7&gt;40000, "low", "extremely low")))</f>
        <v>High</v>
      </c>
      <c r="KO8" t="str">
        <f>IF(KO7&gt;80000, "High", IF(KO7&gt;50000, "Medium", IF(KO7&gt;40000, "low", "extremely low")))</f>
        <v>low</v>
      </c>
      <c r="KP8" t="str">
        <f>IF(KP7&gt;80000, "High", IF(KP7&gt;50000, "Medium", IF(KP7&gt;40000, "low", "extremely low")))</f>
        <v>low</v>
      </c>
      <c r="KQ8" t="str">
        <f>IF(KQ7&gt;80000, "High", IF(KQ7&gt;50000, "Medium", IF(KQ7&gt;40000, "low", "extremely low")))</f>
        <v>Medium</v>
      </c>
      <c r="KR8" t="str">
        <f>IF(KR7&gt;80000, "High", IF(KR7&gt;50000, "Medium", IF(KR7&gt;40000, "low", "extremely low")))</f>
        <v>extremely low</v>
      </c>
      <c r="KS8" t="str">
        <f>IF(KS7&gt;80000, "High", IF(KS7&gt;50000, "Medium", IF(KS7&gt;40000, "low", "extremely low")))</f>
        <v>High</v>
      </c>
      <c r="KT8" t="str">
        <f>IF(KT7&gt;80000, "High", IF(KT7&gt;50000, "Medium", IF(KT7&gt;40000, "low", "extremely low")))</f>
        <v>Medium</v>
      </c>
      <c r="KU8" t="str">
        <f>IF(KU7&gt;80000, "High", IF(KU7&gt;50000, "Medium", IF(KU7&gt;40000, "low", "extremely low")))</f>
        <v>low</v>
      </c>
      <c r="KV8" t="str">
        <f>IF(KV7&gt;80000, "High", IF(KV7&gt;50000, "Medium", IF(KV7&gt;40000, "low", "extremely low")))</f>
        <v>Medium</v>
      </c>
      <c r="KW8" t="str">
        <f>IF(KW7&gt;80000, "High", IF(KW7&gt;50000, "Medium", IF(KW7&gt;40000, "low", "extremely low")))</f>
        <v>High</v>
      </c>
      <c r="KX8" t="str">
        <f>IF(KX7&gt;80000, "High", IF(KX7&gt;50000, "Medium", IF(KX7&gt;40000, "low", "extremely low")))</f>
        <v>Medium</v>
      </c>
      <c r="KY8" t="str">
        <f>IF(KY7&gt;80000, "High", IF(KY7&gt;50000, "Medium", IF(KY7&gt;40000, "low", "extremely low")))</f>
        <v>High</v>
      </c>
      <c r="KZ8" t="str">
        <f>IF(KZ7&gt;80000, "High", IF(KZ7&gt;50000, "Medium", IF(KZ7&gt;40000, "low", "extremely low")))</f>
        <v>low</v>
      </c>
      <c r="LA8" t="str">
        <f>IF(LA7&gt;80000, "High", IF(LA7&gt;50000, "Medium", IF(LA7&gt;40000, "low", "extremely low")))</f>
        <v>low</v>
      </c>
      <c r="LB8" t="str">
        <f>IF(LB7&gt;80000, "High", IF(LB7&gt;50000, "Medium", IF(LB7&gt;40000, "low", "extremely low")))</f>
        <v>extremely low</v>
      </c>
      <c r="LC8" t="str">
        <f>IF(LC7&gt;80000, "High", IF(LC7&gt;50000, "Medium", IF(LC7&gt;40000, "low", "extremely low")))</f>
        <v>High</v>
      </c>
      <c r="LD8" t="str">
        <f>IF(LD7&gt;80000, "High", IF(LD7&gt;50000, "Medium", IF(LD7&gt;40000, "low", "extremely low")))</f>
        <v>High</v>
      </c>
      <c r="LE8" t="str">
        <f>IF(LE7&gt;80000, "High", IF(LE7&gt;50000, "Medium", IF(LE7&gt;40000, "low", "extremely low")))</f>
        <v>Medium</v>
      </c>
      <c r="LF8" t="str">
        <f>IF(LF7&gt;80000, "High", IF(LF7&gt;50000, "Medium", IF(LF7&gt;40000, "low", "extremely low")))</f>
        <v>High</v>
      </c>
      <c r="LG8" t="str">
        <f>IF(LG7&gt;80000, "High", IF(LG7&gt;50000, "Medium", IF(LG7&gt;40000, "low", "extremely low")))</f>
        <v>Medium</v>
      </c>
      <c r="LH8" t="str">
        <f>IF(LH7&gt;80000, "High", IF(LH7&gt;50000, "Medium", IF(LH7&gt;40000, "low", "extremely low")))</f>
        <v>extremely low</v>
      </c>
      <c r="LI8" t="str">
        <f>IF(LI7&gt;80000, "High", IF(LI7&gt;50000, "Medium", IF(LI7&gt;40000, "low", "extremely low")))</f>
        <v>High</v>
      </c>
      <c r="LJ8" t="str">
        <f>IF(LJ7&gt;80000, "High", IF(LJ7&gt;50000, "Medium", IF(LJ7&gt;40000, "low", "extremely low")))</f>
        <v>High</v>
      </c>
      <c r="LK8" t="str">
        <f>IF(LK7&gt;80000, "High", IF(LK7&gt;50000, "Medium", IF(LK7&gt;40000, "low", "extremely low")))</f>
        <v>Medium</v>
      </c>
      <c r="LL8" t="str">
        <f>IF(LL7&gt;80000, "High", IF(LL7&gt;50000, "Medium", IF(LL7&gt;40000, "low", "extremely low")))</f>
        <v>Medium</v>
      </c>
      <c r="LM8" t="str">
        <f>IF(LM7&gt;80000, "High", IF(LM7&gt;50000, "Medium", IF(LM7&gt;40000, "low", "extremely low")))</f>
        <v>Medium</v>
      </c>
      <c r="LN8" t="str">
        <f>IF(LN7&gt;80000, "High", IF(LN7&gt;50000, "Medium", IF(LN7&gt;40000, "low", "extremely low")))</f>
        <v>High</v>
      </c>
      <c r="LO8" t="str">
        <f>IF(LO7&gt;80000, "High", IF(LO7&gt;50000, "Medium", IF(LO7&gt;40000, "low", "extremely low")))</f>
        <v>extremely low</v>
      </c>
      <c r="LP8" t="str">
        <f>IF(LP7&gt;80000, "High", IF(LP7&gt;50000, "Medium", IF(LP7&gt;40000, "low", "extremely low")))</f>
        <v>Medium</v>
      </c>
      <c r="LQ8" t="str">
        <f>IF(LQ7&gt;80000, "High", IF(LQ7&gt;50000, "Medium", IF(LQ7&gt;40000, "low", "extremely low")))</f>
        <v>High</v>
      </c>
      <c r="LR8" t="str">
        <f>IF(LR7&gt;80000, "High", IF(LR7&gt;50000, "Medium", IF(LR7&gt;40000, "low", "extremely low")))</f>
        <v>low</v>
      </c>
      <c r="LS8" t="str">
        <f>IF(LS7&gt;80000, "High", IF(LS7&gt;50000, "Medium", IF(LS7&gt;40000, "low", "extremely low")))</f>
        <v>extremely low</v>
      </c>
      <c r="LT8" t="str">
        <f>IF(LT7&gt;80000, "High", IF(LT7&gt;50000, "Medium", IF(LT7&gt;40000, "low", "extremely low")))</f>
        <v>High</v>
      </c>
      <c r="LU8" t="str">
        <f>IF(LU7&gt;80000, "High", IF(LU7&gt;50000, "Medium", IF(LU7&gt;40000, "low", "extremely low")))</f>
        <v>Medium</v>
      </c>
      <c r="LV8" t="str">
        <f>IF(LV7&gt;80000, "High", IF(LV7&gt;50000, "Medium", IF(LV7&gt;40000, "low", "extremely low")))</f>
        <v>High</v>
      </c>
      <c r="LW8" t="str">
        <f>IF(LW7&gt;80000, "High", IF(LW7&gt;50000, "Medium", IF(LW7&gt;40000, "low", "extremely low")))</f>
        <v>High</v>
      </c>
      <c r="LX8" t="str">
        <f>IF(LX7&gt;80000, "High", IF(LX7&gt;50000, "Medium", IF(LX7&gt;40000, "low", "extremely low")))</f>
        <v>Medium</v>
      </c>
      <c r="LY8" t="str">
        <f>IF(LY7&gt;80000, "High", IF(LY7&gt;50000, "Medium", IF(LY7&gt;40000, "low", "extremely low")))</f>
        <v>Medium</v>
      </c>
      <c r="LZ8" t="str">
        <f>IF(LZ7&gt;80000, "High", IF(LZ7&gt;50000, "Medium", IF(LZ7&gt;40000, "low", "extremely low")))</f>
        <v>extremely low</v>
      </c>
      <c r="MA8" t="str">
        <f>IF(MA7&gt;80000, "High", IF(MA7&gt;50000, "Medium", IF(MA7&gt;40000, "low", "extremely low")))</f>
        <v>Medium</v>
      </c>
      <c r="MB8" t="str">
        <f>IF(MB7&gt;80000, "High", IF(MB7&gt;50000, "Medium", IF(MB7&gt;40000, "low", "extremely low")))</f>
        <v>High</v>
      </c>
      <c r="MC8" t="str">
        <f>IF(MC7&gt;80000, "High", IF(MC7&gt;50000, "Medium", IF(MC7&gt;40000, "low", "extremely low")))</f>
        <v>Medium</v>
      </c>
      <c r="MD8" t="str">
        <f>IF(MD7&gt;80000, "High", IF(MD7&gt;50000, "Medium", IF(MD7&gt;40000, "low", "extremely low")))</f>
        <v>extremely low</v>
      </c>
      <c r="ME8" t="str">
        <f>IF(ME7&gt;80000, "High", IF(ME7&gt;50000, "Medium", IF(ME7&gt;40000, "low", "extremely low")))</f>
        <v>High</v>
      </c>
      <c r="MF8" t="str">
        <f>IF(MF7&gt;80000, "High", IF(MF7&gt;50000, "Medium", IF(MF7&gt;40000, "low", "extremely low")))</f>
        <v>extremely low</v>
      </c>
      <c r="MG8" t="str">
        <f>IF(MG7&gt;80000, "High", IF(MG7&gt;50000, "Medium", IF(MG7&gt;40000, "low", "extremely low")))</f>
        <v>High</v>
      </c>
      <c r="MH8" t="str">
        <f>IF(MH7&gt;80000, "High", IF(MH7&gt;50000, "Medium", IF(MH7&gt;40000, "low", "extremely low")))</f>
        <v>High</v>
      </c>
      <c r="MI8" t="str">
        <f>IF(MI7&gt;80000, "High", IF(MI7&gt;50000, "Medium", IF(MI7&gt;40000, "low", "extremely low")))</f>
        <v>High</v>
      </c>
      <c r="MJ8" t="str">
        <f>IF(MJ7&gt;80000, "High", IF(MJ7&gt;50000, "Medium", IF(MJ7&gt;40000, "low", "extremely low")))</f>
        <v>High</v>
      </c>
      <c r="MK8" t="str">
        <f>IF(MK7&gt;80000, "High", IF(MK7&gt;50000, "Medium", IF(MK7&gt;40000, "low", "extremely low")))</f>
        <v>extremely low</v>
      </c>
      <c r="ML8" t="str">
        <f>IF(ML7&gt;80000, "High", IF(ML7&gt;50000, "Medium", IF(ML7&gt;40000, "low", "extremely low")))</f>
        <v>Medium</v>
      </c>
      <c r="MM8" t="str">
        <f>IF(MM7&gt;80000, "High", IF(MM7&gt;50000, "Medium", IF(MM7&gt;40000, "low", "extremely low")))</f>
        <v>High</v>
      </c>
      <c r="MN8" t="str">
        <f>IF(MN7&gt;80000, "High", IF(MN7&gt;50000, "Medium", IF(MN7&gt;40000, "low", "extremely low")))</f>
        <v>High</v>
      </c>
      <c r="MO8" t="str">
        <f>IF(MO7&gt;80000, "High", IF(MO7&gt;50000, "Medium", IF(MO7&gt;40000, "low", "extremely low")))</f>
        <v>High</v>
      </c>
      <c r="MP8" t="str">
        <f>IF(MP7&gt;80000, "High", IF(MP7&gt;50000, "Medium", IF(MP7&gt;40000, "low", "extremely low")))</f>
        <v>extremely low</v>
      </c>
      <c r="MQ8" t="str">
        <f>IF(MQ7&gt;80000, "High", IF(MQ7&gt;50000, "Medium", IF(MQ7&gt;40000, "low", "extremely low")))</f>
        <v>low</v>
      </c>
      <c r="MR8" t="str">
        <f>IF(MR7&gt;80000, "High", IF(MR7&gt;50000, "Medium", IF(MR7&gt;40000, "low", "extremely low")))</f>
        <v>Medium</v>
      </c>
      <c r="MS8" t="str">
        <f>IF(MS7&gt;80000, "High", IF(MS7&gt;50000, "Medium", IF(MS7&gt;40000, "low", "extremely low")))</f>
        <v>Medium</v>
      </c>
      <c r="MT8" t="str">
        <f>IF(MT7&gt;80000, "High", IF(MT7&gt;50000, "Medium", IF(MT7&gt;40000, "low", "extremely low")))</f>
        <v>High</v>
      </c>
      <c r="MU8" t="str">
        <f>IF(MU7&gt;80000, "High", IF(MU7&gt;50000, "Medium", IF(MU7&gt;40000, "low", "extremely low")))</f>
        <v>High</v>
      </c>
      <c r="MV8" t="str">
        <f>IF(MV7&gt;80000, "High", IF(MV7&gt;50000, "Medium", IF(MV7&gt;40000, "low", "extremely low")))</f>
        <v>Medium</v>
      </c>
      <c r="MW8" t="str">
        <f>IF(MW7&gt;80000, "High", IF(MW7&gt;50000, "Medium", IF(MW7&gt;40000, "low", "extremely low")))</f>
        <v>extremely low</v>
      </c>
      <c r="MX8" t="str">
        <f>IF(MX7&gt;80000, "High", IF(MX7&gt;50000, "Medium", IF(MX7&gt;40000, "low", "extremely low")))</f>
        <v>Medium</v>
      </c>
      <c r="MY8" t="str">
        <f>IF(MY7&gt;80000, "High", IF(MY7&gt;50000, "Medium", IF(MY7&gt;40000, "low", "extremely low")))</f>
        <v>extremely low</v>
      </c>
      <c r="MZ8" t="str">
        <f>IF(MZ7&gt;80000, "High", IF(MZ7&gt;50000, "Medium", IF(MZ7&gt;40000, "low", "extremely low")))</f>
        <v>High</v>
      </c>
      <c r="NA8" t="str">
        <f>IF(NA7&gt;80000, "High", IF(NA7&gt;50000, "Medium", IF(NA7&gt;40000, "low", "extremely low")))</f>
        <v>low</v>
      </c>
      <c r="NB8" t="str">
        <f>IF(NB7&gt;80000, "High", IF(NB7&gt;50000, "Medium", IF(NB7&gt;40000, "low", "extremely low")))</f>
        <v>extremely low</v>
      </c>
      <c r="NC8" t="str">
        <f>IF(NC7&gt;80000, "High", IF(NC7&gt;50000, "Medium", IF(NC7&gt;40000, "low", "extremely low")))</f>
        <v>High</v>
      </c>
      <c r="ND8" t="str">
        <f>IF(ND7&gt;80000, "High", IF(ND7&gt;50000, "Medium", IF(ND7&gt;40000, "low", "extremely low")))</f>
        <v>Medium</v>
      </c>
      <c r="NE8" t="str">
        <f>IF(NE7&gt;80000, "High", IF(NE7&gt;50000, "Medium", IF(NE7&gt;40000, "low", "extremely low")))</f>
        <v>High</v>
      </c>
      <c r="NF8" t="str">
        <f>IF(NF7&gt;80000, "High", IF(NF7&gt;50000, "Medium", IF(NF7&gt;40000, "low", "extremely low")))</f>
        <v>extremely low</v>
      </c>
      <c r="NG8" t="str">
        <f>IF(NG7&gt;80000, "High", IF(NG7&gt;50000, "Medium", IF(NG7&gt;40000, "low", "extremely low")))</f>
        <v>Medium</v>
      </c>
      <c r="NH8" t="str">
        <f>IF(NH7&gt;80000, "High", IF(NH7&gt;50000, "Medium", IF(NH7&gt;40000, "low", "extremely low")))</f>
        <v>Medium</v>
      </c>
      <c r="NI8" t="str">
        <f>IF(NI7&gt;80000, "High", IF(NI7&gt;50000, "Medium", IF(NI7&gt;40000, "low", "extremely low")))</f>
        <v>High</v>
      </c>
      <c r="NJ8" t="str">
        <f>IF(NJ7&gt;80000, "High", IF(NJ7&gt;50000, "Medium", IF(NJ7&gt;40000, "low", "extremely low")))</f>
        <v>High</v>
      </c>
      <c r="NK8" t="str">
        <f>IF(NK7&gt;80000, "High", IF(NK7&gt;50000, "Medium", IF(NK7&gt;40000, "low", "extremely low")))</f>
        <v>High</v>
      </c>
      <c r="NL8" t="str">
        <f>IF(NL7&gt;80000, "High", IF(NL7&gt;50000, "Medium", IF(NL7&gt;40000, "low", "extremely low")))</f>
        <v>High</v>
      </c>
      <c r="NM8" t="str">
        <f>IF(NM7&gt;80000, "High", IF(NM7&gt;50000, "Medium", IF(NM7&gt;40000, "low", "extremely low")))</f>
        <v>High</v>
      </c>
      <c r="NN8" t="str">
        <f>IF(NN7&gt;80000, "High", IF(NN7&gt;50000, "Medium", IF(NN7&gt;40000, "low", "extremely low")))</f>
        <v>High</v>
      </c>
      <c r="NO8" t="str">
        <f>IF(NO7&gt;80000, "High", IF(NO7&gt;50000, "Medium", IF(NO7&gt;40000, "low", "extremely low")))</f>
        <v>High</v>
      </c>
      <c r="NP8" t="str">
        <f>IF(NP7&gt;80000, "High", IF(NP7&gt;50000, "Medium", IF(NP7&gt;40000, "low", "extremely low")))</f>
        <v>High</v>
      </c>
      <c r="NQ8" t="str">
        <f>IF(NQ7&gt;80000, "High", IF(NQ7&gt;50000, "Medium", IF(NQ7&gt;40000, "low", "extremely low")))</f>
        <v>Medium</v>
      </c>
      <c r="NR8" t="str">
        <f>IF(NR7&gt;80000, "High", IF(NR7&gt;50000, "Medium", IF(NR7&gt;40000, "low", "extremely low")))</f>
        <v>High</v>
      </c>
      <c r="NS8" t="str">
        <f>IF(NS7&gt;80000, "High", IF(NS7&gt;50000, "Medium", IF(NS7&gt;40000, "low", "extremely low")))</f>
        <v>High</v>
      </c>
      <c r="NT8" t="str">
        <f>IF(NT7&gt;80000, "High", IF(NT7&gt;50000, "Medium", IF(NT7&gt;40000, "low", "extremely low")))</f>
        <v>Medium</v>
      </c>
      <c r="NU8" t="str">
        <f>IF(NU7&gt;80000, "High", IF(NU7&gt;50000, "Medium", IF(NU7&gt;40000, "low", "extremely low")))</f>
        <v>High</v>
      </c>
      <c r="NV8" t="str">
        <f>IF(NV7&gt;80000, "High", IF(NV7&gt;50000, "Medium", IF(NV7&gt;40000, "low", "extremely low")))</f>
        <v>High</v>
      </c>
      <c r="NW8" t="str">
        <f>IF(NW7&gt;80000, "High", IF(NW7&gt;50000, "Medium", IF(NW7&gt;40000, "low", "extremely low")))</f>
        <v>Medium</v>
      </c>
      <c r="NX8" t="str">
        <f>IF(NX7&gt;80000, "High", IF(NX7&gt;50000, "Medium", IF(NX7&gt;40000, "low", "extremely low")))</f>
        <v>High</v>
      </c>
      <c r="NY8" t="str">
        <f>IF(NY7&gt;80000, "High", IF(NY7&gt;50000, "Medium", IF(NY7&gt;40000, "low", "extremely low")))</f>
        <v>extremely low</v>
      </c>
      <c r="NZ8" t="str">
        <f>IF(NZ7&gt;80000, "High", IF(NZ7&gt;50000, "Medium", IF(NZ7&gt;40000, "low", "extremely low")))</f>
        <v>Medium</v>
      </c>
      <c r="OA8" t="str">
        <f>IF(OA7&gt;80000, "High", IF(OA7&gt;50000, "Medium", IF(OA7&gt;40000, "low", "extremely low")))</f>
        <v>High</v>
      </c>
      <c r="OB8" t="str">
        <f>IF(OB7&gt;80000, "High", IF(OB7&gt;50000, "Medium", IF(OB7&gt;40000, "low", "extremely low")))</f>
        <v>Medium</v>
      </c>
      <c r="OC8" t="str">
        <f>IF(OC7&gt;80000, "High", IF(OC7&gt;50000, "Medium", IF(OC7&gt;40000, "low", "extremely low")))</f>
        <v>extremely low</v>
      </c>
      <c r="OD8" t="str">
        <f>IF(OD7&gt;80000, "High", IF(OD7&gt;50000, "Medium", IF(OD7&gt;40000, "low", "extremely low")))</f>
        <v>High</v>
      </c>
      <c r="OE8" t="str">
        <f>IF(OE7&gt;80000, "High", IF(OE7&gt;50000, "Medium", IF(OE7&gt;40000, "low", "extremely low")))</f>
        <v>High</v>
      </c>
      <c r="OF8" t="str">
        <f>IF(OF7&gt;80000, "High", IF(OF7&gt;50000, "Medium", IF(OF7&gt;40000, "low", "extremely low")))</f>
        <v>High</v>
      </c>
      <c r="OG8" t="str">
        <f>IF(OG7&gt;80000, "High", IF(OG7&gt;50000, "Medium", IF(OG7&gt;40000, "low", "extremely low")))</f>
        <v>High</v>
      </c>
      <c r="OH8" t="str">
        <f>IF(OH7&gt;80000, "High", IF(OH7&gt;50000, "Medium", IF(OH7&gt;40000, "low", "extremely low")))</f>
        <v>High</v>
      </c>
      <c r="OI8" t="str">
        <f>IF(OI7&gt;80000, "High", IF(OI7&gt;50000, "Medium", IF(OI7&gt;40000, "low", "extremely low")))</f>
        <v>Medium</v>
      </c>
      <c r="OJ8" t="str">
        <f>IF(OJ7&gt;80000, "High", IF(OJ7&gt;50000, "Medium", IF(OJ7&gt;40000, "low", "extremely low")))</f>
        <v>High</v>
      </c>
      <c r="OK8" t="str">
        <f>IF(OK7&gt;80000, "High", IF(OK7&gt;50000, "Medium", IF(OK7&gt;40000, "low", "extremely low")))</f>
        <v>low</v>
      </c>
      <c r="OL8" t="str">
        <f>IF(OL7&gt;80000, "High", IF(OL7&gt;50000, "Medium", IF(OL7&gt;40000, "low", "extremely low")))</f>
        <v>High</v>
      </c>
      <c r="OM8" t="str">
        <f>IF(OM7&gt;80000, "High", IF(OM7&gt;50000, "Medium", IF(OM7&gt;40000, "low", "extremely low")))</f>
        <v>low</v>
      </c>
      <c r="ON8" t="str">
        <f>IF(ON7&gt;80000, "High", IF(ON7&gt;50000, "Medium", IF(ON7&gt;40000, "low", "extremely low")))</f>
        <v>High</v>
      </c>
      <c r="OO8" t="str">
        <f>IF(OO7&gt;80000, "High", IF(OO7&gt;50000, "Medium", IF(OO7&gt;40000, "low", "extremely low")))</f>
        <v>extremely low</v>
      </c>
      <c r="OP8" t="str">
        <f>IF(OP7&gt;80000, "High", IF(OP7&gt;50000, "Medium", IF(OP7&gt;40000, "low", "extremely low")))</f>
        <v>Medium</v>
      </c>
      <c r="OQ8" t="str">
        <f>IF(OQ7&gt;80000, "High", IF(OQ7&gt;50000, "Medium", IF(OQ7&gt;40000, "low", "extremely low")))</f>
        <v>High</v>
      </c>
      <c r="OR8" t="str">
        <f>IF(OR7&gt;80000, "High", IF(OR7&gt;50000, "Medium", IF(OR7&gt;40000, "low", "extremely low")))</f>
        <v>Medium</v>
      </c>
      <c r="OS8" t="str">
        <f>IF(OS7&gt;80000, "High", IF(OS7&gt;50000, "Medium", IF(OS7&gt;40000, "low", "extremely low")))</f>
        <v>High</v>
      </c>
      <c r="OT8" t="str">
        <f>IF(OT7&gt;80000, "High", IF(OT7&gt;50000, "Medium", IF(OT7&gt;40000, "low", "extremely low")))</f>
        <v>High</v>
      </c>
      <c r="OU8" t="str">
        <f>IF(OU7&gt;80000, "High", IF(OU7&gt;50000, "Medium", IF(OU7&gt;40000, "low", "extremely low")))</f>
        <v>High</v>
      </c>
      <c r="OV8" t="str">
        <f>IF(OV7&gt;80000, "High", IF(OV7&gt;50000, "Medium", IF(OV7&gt;40000, "low", "extremely low")))</f>
        <v>extremely low</v>
      </c>
      <c r="OW8" t="str">
        <f>IF(OW7&gt;80000, "High", IF(OW7&gt;50000, "Medium", IF(OW7&gt;40000, "low", "extremely low")))</f>
        <v>High</v>
      </c>
      <c r="OX8" t="str">
        <f>IF(OX7&gt;80000, "High", IF(OX7&gt;50000, "Medium", IF(OX7&gt;40000, "low", "extremely low")))</f>
        <v>Medium</v>
      </c>
      <c r="OY8" t="str">
        <f>IF(OY7&gt;80000, "High", IF(OY7&gt;50000, "Medium", IF(OY7&gt;40000, "low", "extremely low")))</f>
        <v>low</v>
      </c>
      <c r="OZ8" t="str">
        <f>IF(OZ7&gt;80000, "High", IF(OZ7&gt;50000, "Medium", IF(OZ7&gt;40000, "low", "extremely low")))</f>
        <v>High</v>
      </c>
      <c r="PA8" t="str">
        <f>IF(PA7&gt;80000, "High", IF(PA7&gt;50000, "Medium", IF(PA7&gt;40000, "low", "extremely low")))</f>
        <v>extremely low</v>
      </c>
      <c r="PB8" t="str">
        <f>IF(PB7&gt;80000, "High", IF(PB7&gt;50000, "Medium", IF(PB7&gt;40000, "low", "extremely low")))</f>
        <v>Medium</v>
      </c>
      <c r="PC8" t="str">
        <f>IF(PC7&gt;80000, "High", IF(PC7&gt;50000, "Medium", IF(PC7&gt;40000, "low", "extremely low")))</f>
        <v>High</v>
      </c>
      <c r="PD8" t="str">
        <f>IF(PD7&gt;80000, "High", IF(PD7&gt;50000, "Medium", IF(PD7&gt;40000, "low", "extremely low")))</f>
        <v>extremely low</v>
      </c>
      <c r="PE8" t="str">
        <f>IF(PE7&gt;80000, "High", IF(PE7&gt;50000, "Medium", IF(PE7&gt;40000, "low", "extremely low")))</f>
        <v>High</v>
      </c>
      <c r="PF8" t="str">
        <f>IF(PF7&gt;80000, "High", IF(PF7&gt;50000, "Medium", IF(PF7&gt;40000, "low", "extremely low")))</f>
        <v>Medium</v>
      </c>
      <c r="PG8" t="str">
        <f>IF(PG7&gt;80000, "High", IF(PG7&gt;50000, "Medium", IF(PG7&gt;40000, "low", "extremely low")))</f>
        <v>low</v>
      </c>
      <c r="PH8" t="str">
        <f>IF(PH7&gt;80000, "High", IF(PH7&gt;50000, "Medium", IF(PH7&gt;40000, "low", "extremely low")))</f>
        <v>extremely low</v>
      </c>
      <c r="PI8" t="str">
        <f>IF(PI7&gt;80000, "High", IF(PI7&gt;50000, "Medium", IF(PI7&gt;40000, "low", "extremely low")))</f>
        <v>Medium</v>
      </c>
      <c r="PJ8" t="str">
        <f>IF(PJ7&gt;80000, "High", IF(PJ7&gt;50000, "Medium", IF(PJ7&gt;40000, "low", "extremely low")))</f>
        <v>low</v>
      </c>
      <c r="PK8" t="str">
        <f>IF(PK7&gt;80000, "High", IF(PK7&gt;50000, "Medium", IF(PK7&gt;40000, "low", "extremely low")))</f>
        <v>High</v>
      </c>
      <c r="PL8" t="str">
        <f>IF(PL7&gt;80000, "High", IF(PL7&gt;50000, "Medium", IF(PL7&gt;40000, "low", "extremely low")))</f>
        <v>Medium</v>
      </c>
      <c r="PM8" t="str">
        <f>IF(PM7&gt;80000, "High", IF(PM7&gt;50000, "Medium", IF(PM7&gt;40000, "low", "extremely low")))</f>
        <v>High</v>
      </c>
      <c r="PN8" t="str">
        <f>IF(PN7&gt;80000, "High", IF(PN7&gt;50000, "Medium", IF(PN7&gt;40000, "low", "extremely low")))</f>
        <v>Medium</v>
      </c>
      <c r="PO8" t="str">
        <f>IF(PO7&gt;80000, "High", IF(PO7&gt;50000, "Medium", IF(PO7&gt;40000, "low", "extremely low")))</f>
        <v>High</v>
      </c>
      <c r="PP8" t="str">
        <f>IF(PP7&gt;80000, "High", IF(PP7&gt;50000, "Medium", IF(PP7&gt;40000, "low", "extremely low")))</f>
        <v>Medium</v>
      </c>
      <c r="PQ8" t="str">
        <f>IF(PQ7&gt;80000, "High", IF(PQ7&gt;50000, "Medium", IF(PQ7&gt;40000, "low", "extremely low")))</f>
        <v>Medium</v>
      </c>
      <c r="PR8" t="str">
        <f>IF(PR7&gt;80000, "High", IF(PR7&gt;50000, "Medium", IF(PR7&gt;40000, "low", "extremely low")))</f>
        <v>Medium</v>
      </c>
      <c r="PS8" t="str">
        <f>IF(PS7&gt;80000, "High", IF(PS7&gt;50000, "Medium", IF(PS7&gt;40000, "low", "extremely low")))</f>
        <v>Medium</v>
      </c>
      <c r="PT8" t="str">
        <f>IF(PT7&gt;80000, "High", IF(PT7&gt;50000, "Medium", IF(PT7&gt;40000, "low", "extremely low")))</f>
        <v>High</v>
      </c>
      <c r="PU8" t="str">
        <f>IF(PU7&gt;80000, "High", IF(PU7&gt;50000, "Medium", IF(PU7&gt;40000, "low", "extremely low")))</f>
        <v>High</v>
      </c>
      <c r="PV8" t="str">
        <f>IF(PV7&gt;80000, "High", IF(PV7&gt;50000, "Medium", IF(PV7&gt;40000, "low", "extremely low")))</f>
        <v>extremely low</v>
      </c>
      <c r="PW8" t="str">
        <f>IF(PW7&gt;80000, "High", IF(PW7&gt;50000, "Medium", IF(PW7&gt;40000, "low", "extremely low")))</f>
        <v>Medium</v>
      </c>
      <c r="PX8" t="str">
        <f>IF(PX7&gt;80000, "High", IF(PX7&gt;50000, "Medium", IF(PX7&gt;40000, "low", "extremely low")))</f>
        <v>Medium</v>
      </c>
      <c r="PY8" t="str">
        <f>IF(PY7&gt;80000, "High", IF(PY7&gt;50000, "Medium", IF(PY7&gt;40000, "low", "extremely low")))</f>
        <v>low</v>
      </c>
      <c r="PZ8" t="str">
        <f>IF(PZ7&gt;80000, "High", IF(PZ7&gt;50000, "Medium", IF(PZ7&gt;40000, "low", "extremely low")))</f>
        <v>High</v>
      </c>
      <c r="QA8" t="str">
        <f>IF(QA7&gt;80000, "High", IF(QA7&gt;50000, "Medium", IF(QA7&gt;40000, "low", "extremely low")))</f>
        <v>extremely low</v>
      </c>
      <c r="QB8" t="str">
        <f>IF(QB7&gt;80000, "High", IF(QB7&gt;50000, "Medium", IF(QB7&gt;40000, "low", "extremely low")))</f>
        <v>low</v>
      </c>
      <c r="QC8" t="str">
        <f>IF(QC7&gt;80000, "High", IF(QC7&gt;50000, "Medium", IF(QC7&gt;40000, "low", "extremely low")))</f>
        <v>Medium</v>
      </c>
      <c r="QD8" t="str">
        <f>IF(QD7&gt;80000, "High", IF(QD7&gt;50000, "Medium", IF(QD7&gt;40000, "low", "extremely low")))</f>
        <v>Medium</v>
      </c>
      <c r="QE8" t="str">
        <f>IF(QE7&gt;80000, "High", IF(QE7&gt;50000, "Medium", IF(QE7&gt;40000, "low", "extremely low")))</f>
        <v>low</v>
      </c>
      <c r="QF8" t="str">
        <f>IF(QF7&gt;80000, "High", IF(QF7&gt;50000, "Medium", IF(QF7&gt;40000, "low", "extremely low")))</f>
        <v>Medium</v>
      </c>
      <c r="QG8" t="str">
        <f>IF(QG7&gt;80000, "High", IF(QG7&gt;50000, "Medium", IF(QG7&gt;40000, "low", "extremely low")))</f>
        <v>High</v>
      </c>
      <c r="QH8" t="str">
        <f>IF(QH7&gt;80000, "High", IF(QH7&gt;50000, "Medium", IF(QH7&gt;40000, "low", "extremely low")))</f>
        <v>low</v>
      </c>
      <c r="QI8" t="str">
        <f>IF(QI7&gt;80000, "High", IF(QI7&gt;50000, "Medium", IF(QI7&gt;40000, "low", "extremely low")))</f>
        <v>Medium</v>
      </c>
      <c r="QJ8" t="str">
        <f>IF(QJ7&gt;80000, "High", IF(QJ7&gt;50000, "Medium", IF(QJ7&gt;40000, "low", "extremely low")))</f>
        <v>High</v>
      </c>
      <c r="QK8" t="str">
        <f>IF(QK7&gt;80000, "High", IF(QK7&gt;50000, "Medium", IF(QK7&gt;40000, "low", "extremely low")))</f>
        <v>extremely low</v>
      </c>
      <c r="QL8" t="str">
        <f>IF(QL7&gt;80000, "High", IF(QL7&gt;50000, "Medium", IF(QL7&gt;40000, "low", "extremely low")))</f>
        <v>Medium</v>
      </c>
      <c r="QM8" t="str">
        <f>IF(QM7&gt;80000, "High", IF(QM7&gt;50000, "Medium", IF(QM7&gt;40000, "low", "extremely low")))</f>
        <v>extremely low</v>
      </c>
      <c r="QN8" t="str">
        <f>IF(QN7&gt;80000, "High", IF(QN7&gt;50000, "Medium", IF(QN7&gt;40000, "low", "extremely low")))</f>
        <v>High</v>
      </c>
      <c r="QO8" t="str">
        <f>IF(QO7&gt;80000, "High", IF(QO7&gt;50000, "Medium", IF(QO7&gt;40000, "low", "extremely low")))</f>
        <v>extremely low</v>
      </c>
      <c r="QP8" t="str">
        <f>IF(QP7&gt;80000, "High", IF(QP7&gt;50000, "Medium", IF(QP7&gt;40000, "low", "extremely low")))</f>
        <v>High</v>
      </c>
      <c r="QQ8" t="str">
        <f>IF(QQ7&gt;80000, "High", IF(QQ7&gt;50000, "Medium", IF(QQ7&gt;40000, "low", "extremely low")))</f>
        <v>High</v>
      </c>
      <c r="QR8" t="str">
        <f>IF(QR7&gt;80000, "High", IF(QR7&gt;50000, "Medium", IF(QR7&gt;40000, "low", "extremely low")))</f>
        <v>High</v>
      </c>
      <c r="QS8" t="str">
        <f>IF(QS7&gt;80000, "High", IF(QS7&gt;50000, "Medium", IF(QS7&gt;40000, "low", "extremely low")))</f>
        <v>High</v>
      </c>
      <c r="QT8" t="str">
        <f>IF(QT7&gt;80000, "High", IF(QT7&gt;50000, "Medium", IF(QT7&gt;40000, "low", "extremely low")))</f>
        <v>High</v>
      </c>
      <c r="QU8" t="str">
        <f>IF(QU7&gt;80000, "High", IF(QU7&gt;50000, "Medium", IF(QU7&gt;40000, "low", "extremely low")))</f>
        <v>Medium</v>
      </c>
      <c r="QV8" t="str">
        <f>IF(QV7&gt;80000, "High", IF(QV7&gt;50000, "Medium", IF(QV7&gt;40000, "low", "extremely low")))</f>
        <v>extremely low</v>
      </c>
      <c r="QW8" t="str">
        <f>IF(QW7&gt;80000, "High", IF(QW7&gt;50000, "Medium", IF(QW7&gt;40000, "low", "extremely low")))</f>
        <v>Medium</v>
      </c>
      <c r="QX8" t="str">
        <f>IF(QX7&gt;80000, "High", IF(QX7&gt;50000, "Medium", IF(QX7&gt;40000, "low", "extremely low")))</f>
        <v>High</v>
      </c>
      <c r="QY8" t="str">
        <f>IF(QY7&gt;80000, "High", IF(QY7&gt;50000, "Medium", IF(QY7&gt;40000, "low", "extremely low")))</f>
        <v>Medium</v>
      </c>
      <c r="QZ8" t="str">
        <f>IF(QZ7&gt;80000, "High", IF(QZ7&gt;50000, "Medium", IF(QZ7&gt;40000, "low", "extremely low")))</f>
        <v>High</v>
      </c>
      <c r="RA8" t="str">
        <f>IF(RA7&gt;80000, "High", IF(RA7&gt;50000, "Medium", IF(RA7&gt;40000, "low", "extremely low")))</f>
        <v>extremely low</v>
      </c>
      <c r="RB8" t="str">
        <f>IF(RB7&gt;80000, "High", IF(RB7&gt;50000, "Medium", IF(RB7&gt;40000, "low", "extremely low")))</f>
        <v>High</v>
      </c>
      <c r="RC8" t="str">
        <f>IF(RC7&gt;80000, "High", IF(RC7&gt;50000, "Medium", IF(RC7&gt;40000, "low", "extremely low")))</f>
        <v>High</v>
      </c>
      <c r="RD8" t="str">
        <f>IF(RD7&gt;80000, "High", IF(RD7&gt;50000, "Medium", IF(RD7&gt;40000, "low", "extremely low")))</f>
        <v>extremely low</v>
      </c>
      <c r="RE8" t="str">
        <f>IF(RE7&gt;80000, "High", IF(RE7&gt;50000, "Medium", IF(RE7&gt;40000, "low", "extremely low")))</f>
        <v>low</v>
      </c>
      <c r="RF8" t="str">
        <f>IF(RF7&gt;80000, "High", IF(RF7&gt;50000, "Medium", IF(RF7&gt;40000, "low", "extremely low")))</f>
        <v>High</v>
      </c>
      <c r="RG8" t="str">
        <f>IF(RG7&gt;80000, "High", IF(RG7&gt;50000, "Medium", IF(RG7&gt;40000, "low", "extremely low")))</f>
        <v>extremely low</v>
      </c>
      <c r="RH8" t="str">
        <f>IF(RH7&gt;80000, "High", IF(RH7&gt;50000, "Medium", IF(RH7&gt;40000, "low", "extremely low")))</f>
        <v>High</v>
      </c>
      <c r="RI8" t="str">
        <f>IF(RI7&gt;80000, "High", IF(RI7&gt;50000, "Medium", IF(RI7&gt;40000, "low", "extremely low")))</f>
        <v>High</v>
      </c>
      <c r="RJ8" t="str">
        <f>IF(RJ7&gt;80000, "High", IF(RJ7&gt;50000, "Medium", IF(RJ7&gt;40000, "low", "extremely low")))</f>
        <v>Medium</v>
      </c>
      <c r="RK8" t="str">
        <f>IF(RK7&gt;80000, "High", IF(RK7&gt;50000, "Medium", IF(RK7&gt;40000, "low", "extremely low")))</f>
        <v>High</v>
      </c>
      <c r="RL8" t="str">
        <f>IF(RL7&gt;80000, "High", IF(RL7&gt;50000, "Medium", IF(RL7&gt;40000, "low", "extremely low")))</f>
        <v>Medium</v>
      </c>
      <c r="RM8" t="str">
        <f>IF(RM7&gt;80000, "High", IF(RM7&gt;50000, "Medium", IF(RM7&gt;40000, "low", "extremely low")))</f>
        <v>Medium</v>
      </c>
      <c r="RN8" t="str">
        <f>IF(RN7&gt;80000, "High", IF(RN7&gt;50000, "Medium", IF(RN7&gt;40000, "low", "extremely low")))</f>
        <v>High</v>
      </c>
      <c r="RO8" t="str">
        <f>IF(RO7&gt;80000, "High", IF(RO7&gt;50000, "Medium", IF(RO7&gt;40000, "low", "extremely low")))</f>
        <v>Medium</v>
      </c>
      <c r="RP8" t="str">
        <f>IF(RP7&gt;80000, "High", IF(RP7&gt;50000, "Medium", IF(RP7&gt;40000, "low", "extremely low")))</f>
        <v>Medium</v>
      </c>
      <c r="RQ8" t="str">
        <f>IF(RQ7&gt;80000, "High", IF(RQ7&gt;50000, "Medium", IF(RQ7&gt;40000, "low", "extremely low")))</f>
        <v>extremely low</v>
      </c>
      <c r="RR8" t="str">
        <f>IF(RR7&gt;80000, "High", IF(RR7&gt;50000, "Medium", IF(RR7&gt;40000, "low", "extremely low")))</f>
        <v>High</v>
      </c>
      <c r="RS8" t="str">
        <f>IF(RS7&gt;80000, "High", IF(RS7&gt;50000, "Medium", IF(RS7&gt;40000, "low", "extremely low")))</f>
        <v>extremely low</v>
      </c>
      <c r="RT8" t="str">
        <f>IF(RT7&gt;80000, "High", IF(RT7&gt;50000, "Medium", IF(RT7&gt;40000, "low", "extremely low")))</f>
        <v>High</v>
      </c>
      <c r="RU8" t="str">
        <f>IF(RU7&gt;80000, "High", IF(RU7&gt;50000, "Medium", IF(RU7&gt;40000, "low", "extremely low")))</f>
        <v>Medium</v>
      </c>
      <c r="RV8" t="str">
        <f>IF(RV7&gt;80000, "High", IF(RV7&gt;50000, "Medium", IF(RV7&gt;40000, "low", "extremely low")))</f>
        <v>High</v>
      </c>
      <c r="RW8" t="str">
        <f>IF(RW7&gt;80000, "High", IF(RW7&gt;50000, "Medium", IF(RW7&gt;40000, "low", "extremely low")))</f>
        <v>High</v>
      </c>
      <c r="RX8" t="str">
        <f>IF(RX7&gt;80000, "High", IF(RX7&gt;50000, "Medium", IF(RX7&gt;40000, "low", "extremely low")))</f>
        <v>Medium</v>
      </c>
      <c r="RY8" t="str">
        <f>IF(RY7&gt;80000, "High", IF(RY7&gt;50000, "Medium", IF(RY7&gt;40000, "low", "extremely low")))</f>
        <v>High</v>
      </c>
      <c r="RZ8" t="str">
        <f>IF(RZ7&gt;80000, "High", IF(RZ7&gt;50000, "Medium", IF(RZ7&gt;40000, "low", "extremely low")))</f>
        <v>High</v>
      </c>
      <c r="SA8" t="str">
        <f>IF(SA7&gt;80000, "High", IF(SA7&gt;50000, "Medium", IF(SA7&gt;40000, "low", "extremely low")))</f>
        <v>Medium</v>
      </c>
      <c r="SB8" t="str">
        <f>IF(SB7&gt;80000, "High", IF(SB7&gt;50000, "Medium", IF(SB7&gt;40000, "low", "extremely low")))</f>
        <v>Medium</v>
      </c>
      <c r="SC8" t="str">
        <f>IF(SC7&gt;80000, "High", IF(SC7&gt;50000, "Medium", IF(SC7&gt;40000, "low", "extremely low")))</f>
        <v>High</v>
      </c>
      <c r="SD8" t="str">
        <f>IF(SD7&gt;80000, "High", IF(SD7&gt;50000, "Medium", IF(SD7&gt;40000, "low", "extremely low")))</f>
        <v>Medium</v>
      </c>
      <c r="SE8" t="str">
        <f>IF(SE7&gt;80000, "High", IF(SE7&gt;50000, "Medium", IF(SE7&gt;40000, "low", "extremely low")))</f>
        <v>extremely low</v>
      </c>
      <c r="SF8" t="str">
        <f>IF(SF7&gt;80000, "High", IF(SF7&gt;50000, "Medium", IF(SF7&gt;40000, "low", "extremely low")))</f>
        <v>High</v>
      </c>
      <c r="SG8" t="str">
        <f>IF(SG7&gt;80000, "High", IF(SG7&gt;50000, "Medium", IF(SG7&gt;40000, "low", "extremely low")))</f>
        <v>Medium</v>
      </c>
      <c r="SH8" t="str">
        <f>IF(SH7&gt;80000, "High", IF(SH7&gt;50000, "Medium", IF(SH7&gt;40000, "low", "extremely low")))</f>
        <v>High</v>
      </c>
      <c r="SI8" t="str">
        <f>IF(SI7&gt;80000, "High", IF(SI7&gt;50000, "Medium", IF(SI7&gt;40000, "low", "extremely low")))</f>
        <v>High</v>
      </c>
      <c r="SJ8" t="str">
        <f>IF(SJ7&gt;80000, "High", IF(SJ7&gt;50000, "Medium", IF(SJ7&gt;40000, "low", "extremely low")))</f>
        <v>extremely low</v>
      </c>
      <c r="SK8" t="str">
        <f>IF(SK7&gt;80000, "High", IF(SK7&gt;50000, "Medium", IF(SK7&gt;40000, "low", "extremely low")))</f>
        <v>High</v>
      </c>
      <c r="SL8" t="str">
        <f>IF(SL7&gt;80000, "High", IF(SL7&gt;50000, "Medium", IF(SL7&gt;40000, "low", "extremely low")))</f>
        <v>High</v>
      </c>
      <c r="SM8" t="str">
        <f>IF(SM7&gt;80000, "High", IF(SM7&gt;50000, "Medium", IF(SM7&gt;40000, "low", "extremely low")))</f>
        <v>Medium</v>
      </c>
      <c r="SN8" t="str">
        <f>IF(SN7&gt;80000, "High", IF(SN7&gt;50000, "Medium", IF(SN7&gt;40000, "low", "extremely low")))</f>
        <v>High</v>
      </c>
      <c r="SO8" t="str">
        <f>IF(SO7&gt;80000, "High", IF(SO7&gt;50000, "Medium", IF(SO7&gt;40000, "low", "extremely low")))</f>
        <v>Medium</v>
      </c>
      <c r="SP8" t="str">
        <f>IF(SP7&gt;80000, "High", IF(SP7&gt;50000, "Medium", IF(SP7&gt;40000, "low", "extremely low")))</f>
        <v>Medium</v>
      </c>
      <c r="SQ8" t="str">
        <f>IF(SQ7&gt;80000, "High", IF(SQ7&gt;50000, "Medium", IF(SQ7&gt;40000, "low", "extremely low")))</f>
        <v>low</v>
      </c>
      <c r="SR8" t="str">
        <f>IF(SR7&gt;80000, "High", IF(SR7&gt;50000, "Medium", IF(SR7&gt;40000, "low", "extremely low")))</f>
        <v>High</v>
      </c>
      <c r="SS8" t="str">
        <f>IF(SS7&gt;80000, "High", IF(SS7&gt;50000, "Medium", IF(SS7&gt;40000, "low", "extremely low")))</f>
        <v>Medium</v>
      </c>
      <c r="ST8" t="str">
        <f>IF(ST7&gt;80000, "High", IF(ST7&gt;50000, "Medium", IF(ST7&gt;40000, "low", "extremely low")))</f>
        <v>Medium</v>
      </c>
      <c r="SU8" t="str">
        <f>IF(SU7&gt;80000, "High", IF(SU7&gt;50000, "Medium", IF(SU7&gt;40000, "low", "extremely low")))</f>
        <v>Medium</v>
      </c>
      <c r="SV8" t="str">
        <f>IF(SV7&gt;80000, "High", IF(SV7&gt;50000, "Medium", IF(SV7&gt;40000, "low", "extremely low")))</f>
        <v>Medium</v>
      </c>
      <c r="SW8" t="str">
        <f>IF(SW7&gt;80000, "High", IF(SW7&gt;50000, "Medium", IF(SW7&gt;40000, "low", "extremely low")))</f>
        <v>Medium</v>
      </c>
      <c r="SX8" t="str">
        <f>IF(SX7&gt;80000, "High", IF(SX7&gt;50000, "Medium", IF(SX7&gt;40000, "low", "extremely low")))</f>
        <v>Medium</v>
      </c>
      <c r="SY8" t="str">
        <f>IF(SY7&gt;80000, "High", IF(SY7&gt;50000, "Medium", IF(SY7&gt;40000, "low", "extremely low")))</f>
        <v>High</v>
      </c>
      <c r="SZ8" t="str">
        <f>IF(SZ7&gt;80000, "High", IF(SZ7&gt;50000, "Medium", IF(SZ7&gt;40000, "low", "extremely low")))</f>
        <v>Medium</v>
      </c>
      <c r="TA8" t="str">
        <f>IF(TA7&gt;80000, "High", IF(TA7&gt;50000, "Medium", IF(TA7&gt;40000, "low", "extremely low")))</f>
        <v>extremely low</v>
      </c>
      <c r="TB8" t="str">
        <f>IF(TB7&gt;80000, "High", IF(TB7&gt;50000, "Medium", IF(TB7&gt;40000, "low", "extremely low")))</f>
        <v>extremely low</v>
      </c>
      <c r="TC8" t="str">
        <f>IF(TC7&gt;80000, "High", IF(TC7&gt;50000, "Medium", IF(TC7&gt;40000, "low", "extremely low")))</f>
        <v>High</v>
      </c>
      <c r="TD8" t="str">
        <f>IF(TD7&gt;80000, "High", IF(TD7&gt;50000, "Medium", IF(TD7&gt;40000, "low", "extremely low")))</f>
        <v>High</v>
      </c>
      <c r="TE8" t="str">
        <f>IF(TE7&gt;80000, "High", IF(TE7&gt;50000, "Medium", IF(TE7&gt;40000, "low", "extremely low")))</f>
        <v>low</v>
      </c>
      <c r="TF8" t="str">
        <f>IF(TF7&gt;80000, "High", IF(TF7&gt;50000, "Medium", IF(TF7&gt;40000, "low", "extremely low")))</f>
        <v>High</v>
      </c>
      <c r="TG8" t="str">
        <f>IF(TG7&gt;80000, "High", IF(TG7&gt;50000, "Medium", IF(TG7&gt;40000, "low", "extremely low")))</f>
        <v>low</v>
      </c>
      <c r="TH8" t="str">
        <f>IF(TH7&gt;80000, "High", IF(TH7&gt;50000, "Medium", IF(TH7&gt;40000, "low", "extremely low")))</f>
        <v>Medium</v>
      </c>
      <c r="TI8" t="str">
        <f>IF(TI7&gt;80000, "High", IF(TI7&gt;50000, "Medium", IF(TI7&gt;40000, "low", "extremely low")))</f>
        <v>low</v>
      </c>
      <c r="TJ8" t="str">
        <f>IF(TJ7&gt;80000, "High", IF(TJ7&gt;50000, "Medium", IF(TJ7&gt;40000, "low", "extremely low")))</f>
        <v>Medium</v>
      </c>
      <c r="TK8" t="str">
        <f>IF(TK7&gt;80000, "High", IF(TK7&gt;50000, "Medium", IF(TK7&gt;40000, "low", "extremely low")))</f>
        <v>Medium</v>
      </c>
      <c r="TL8" t="str">
        <f>IF(TL7&gt;80000, "High", IF(TL7&gt;50000, "Medium", IF(TL7&gt;40000, "low", "extremely low")))</f>
        <v>High</v>
      </c>
      <c r="TM8" t="str">
        <f>IF(TM7&gt;80000, "High", IF(TM7&gt;50000, "Medium", IF(TM7&gt;40000, "low", "extremely low")))</f>
        <v>Medium</v>
      </c>
      <c r="TN8" t="str">
        <f>IF(TN7&gt;80000, "High", IF(TN7&gt;50000, "Medium", IF(TN7&gt;40000, "low", "extremely low")))</f>
        <v>High</v>
      </c>
      <c r="TO8" t="str">
        <f>IF(TO7&gt;80000, "High", IF(TO7&gt;50000, "Medium", IF(TO7&gt;40000, "low", "extremely low")))</f>
        <v>High</v>
      </c>
      <c r="TP8" t="str">
        <f>IF(TP7&gt;80000, "High", IF(TP7&gt;50000, "Medium", IF(TP7&gt;40000, "low", "extremely low")))</f>
        <v>High</v>
      </c>
      <c r="TQ8" t="str">
        <f>IF(TQ7&gt;80000, "High", IF(TQ7&gt;50000, "Medium", IF(TQ7&gt;40000, "low", "extremely low")))</f>
        <v>low</v>
      </c>
      <c r="TR8" t="str">
        <f>IF(TR7&gt;80000, "High", IF(TR7&gt;50000, "Medium", IF(TR7&gt;40000, "low", "extremely low")))</f>
        <v>High</v>
      </c>
      <c r="TS8" t="str">
        <f>IF(TS7&gt;80000, "High", IF(TS7&gt;50000, "Medium", IF(TS7&gt;40000, "low", "extremely low")))</f>
        <v>extremely low</v>
      </c>
      <c r="TT8" t="str">
        <f>IF(TT7&gt;80000, "High", IF(TT7&gt;50000, "Medium", IF(TT7&gt;40000, "low", "extremely low")))</f>
        <v>High</v>
      </c>
      <c r="TU8" t="str">
        <f>IF(TU7&gt;80000, "High", IF(TU7&gt;50000, "Medium", IF(TU7&gt;40000, "low", "extremely low")))</f>
        <v>Medium</v>
      </c>
      <c r="TV8" t="str">
        <f>IF(TV7&gt;80000, "High", IF(TV7&gt;50000, "Medium", IF(TV7&gt;40000, "low", "extremely low")))</f>
        <v>Medium</v>
      </c>
      <c r="TW8" t="str">
        <f>IF(TW7&gt;80000, "High", IF(TW7&gt;50000, "Medium", IF(TW7&gt;40000, "low", "extremely low")))</f>
        <v>High</v>
      </c>
      <c r="TX8" t="str">
        <f>IF(TX7&gt;80000, "High", IF(TX7&gt;50000, "Medium", IF(TX7&gt;40000, "low", "extremely low")))</f>
        <v>High</v>
      </c>
      <c r="TY8" t="str">
        <f>IF(TY7&gt;80000, "High", IF(TY7&gt;50000, "Medium", IF(TY7&gt;40000, "low", "extremely low")))</f>
        <v>extremely low</v>
      </c>
      <c r="TZ8" t="str">
        <f>IF(TZ7&gt;80000, "High", IF(TZ7&gt;50000, "Medium", IF(TZ7&gt;40000, "low", "extremely low")))</f>
        <v>High</v>
      </c>
      <c r="UA8" t="str">
        <f>IF(UA7&gt;80000, "High", IF(UA7&gt;50000, "Medium", IF(UA7&gt;40000, "low", "extremely low")))</f>
        <v>Medium</v>
      </c>
      <c r="UB8" t="str">
        <f>IF(UB7&gt;80000, "High", IF(UB7&gt;50000, "Medium", IF(UB7&gt;40000, "low", "extremely low")))</f>
        <v>Medium</v>
      </c>
      <c r="UC8" t="str">
        <f>IF(UC7&gt;80000, "High", IF(UC7&gt;50000, "Medium", IF(UC7&gt;40000, "low", "extremely low")))</f>
        <v>High</v>
      </c>
      <c r="UD8" t="str">
        <f>IF(UD7&gt;80000, "High", IF(UD7&gt;50000, "Medium", IF(UD7&gt;40000, "low", "extremely low")))</f>
        <v>High</v>
      </c>
      <c r="UE8" t="str">
        <f>IF(UE7&gt;80000, "High", IF(UE7&gt;50000, "Medium", IF(UE7&gt;40000, "low", "extremely low")))</f>
        <v>Medium</v>
      </c>
      <c r="UF8" t="str">
        <f>IF(UF7&gt;80000, "High", IF(UF7&gt;50000, "Medium", IF(UF7&gt;40000, "low", "extremely low")))</f>
        <v>extremely low</v>
      </c>
      <c r="UG8" t="str">
        <f>IF(UG7&gt;80000, "High", IF(UG7&gt;50000, "Medium", IF(UG7&gt;40000, "low", "extremely low")))</f>
        <v>High</v>
      </c>
      <c r="UH8" t="str">
        <f>IF(UH7&gt;80000, "High", IF(UH7&gt;50000, "Medium", IF(UH7&gt;40000, "low", "extremely low")))</f>
        <v>High</v>
      </c>
      <c r="UI8" t="str">
        <f>IF(UI7&gt;80000, "High", IF(UI7&gt;50000, "Medium", IF(UI7&gt;40000, "low", "extremely low")))</f>
        <v>Medium</v>
      </c>
      <c r="UJ8" t="str">
        <f>IF(UJ7&gt;80000, "High", IF(UJ7&gt;50000, "Medium", IF(UJ7&gt;40000, "low", "extremely low")))</f>
        <v>High</v>
      </c>
      <c r="UK8" t="str">
        <f>IF(UK7&gt;80000, "High", IF(UK7&gt;50000, "Medium", IF(UK7&gt;40000, "low", "extremely low")))</f>
        <v>Medium</v>
      </c>
      <c r="UL8" t="str">
        <f>IF(UL7&gt;80000, "High", IF(UL7&gt;50000, "Medium", IF(UL7&gt;40000, "low", "extremely low")))</f>
        <v>Medium</v>
      </c>
      <c r="UM8" t="str">
        <f>IF(UM7&gt;80000, "High", IF(UM7&gt;50000, "Medium", IF(UM7&gt;40000, "low", "extremely low")))</f>
        <v>High</v>
      </c>
      <c r="UN8" t="str">
        <f>IF(UN7&gt;80000, "High", IF(UN7&gt;50000, "Medium", IF(UN7&gt;40000, "low", "extremely low")))</f>
        <v>Medium</v>
      </c>
      <c r="UO8" t="str">
        <f>IF(UO7&gt;80000, "High", IF(UO7&gt;50000, "Medium", IF(UO7&gt;40000, "low", "extremely low")))</f>
        <v>extremely low</v>
      </c>
      <c r="UP8" t="str">
        <f>IF(UP7&gt;80000, "High", IF(UP7&gt;50000, "Medium", IF(UP7&gt;40000, "low", "extremely low")))</f>
        <v>High</v>
      </c>
      <c r="UQ8" t="str">
        <f>IF(UQ7&gt;80000, "High", IF(UQ7&gt;50000, "Medium", IF(UQ7&gt;40000, "low", "extremely low")))</f>
        <v>High</v>
      </c>
      <c r="UR8" t="str">
        <f>IF(UR7&gt;80000, "High", IF(UR7&gt;50000, "Medium", IF(UR7&gt;40000, "low", "extremely low")))</f>
        <v>High</v>
      </c>
      <c r="US8" t="str">
        <f>IF(US7&gt;80000, "High", IF(US7&gt;50000, "Medium", IF(US7&gt;40000, "low", "extremely low")))</f>
        <v>High</v>
      </c>
      <c r="UT8" t="str">
        <f>IF(UT7&gt;80000, "High", IF(UT7&gt;50000, "Medium", IF(UT7&gt;40000, "low", "extremely low")))</f>
        <v>Medium</v>
      </c>
      <c r="UU8" t="str">
        <f>IF(UU7&gt;80000, "High", IF(UU7&gt;50000, "Medium", IF(UU7&gt;40000, "low", "extremely low")))</f>
        <v>Medium</v>
      </c>
      <c r="UV8" t="str">
        <f>IF(UV7&gt;80000, "High", IF(UV7&gt;50000, "Medium", IF(UV7&gt;40000, "low", "extremely low")))</f>
        <v>low</v>
      </c>
      <c r="UW8" t="str">
        <f>IF(UW7&gt;80000, "High", IF(UW7&gt;50000, "Medium", IF(UW7&gt;40000, "low", "extremely low")))</f>
        <v>Medium</v>
      </c>
      <c r="UX8" t="str">
        <f>IF(UX7&gt;80000, "High", IF(UX7&gt;50000, "Medium", IF(UX7&gt;40000, "low", "extremely low")))</f>
        <v>Medium</v>
      </c>
      <c r="UY8" t="str">
        <f>IF(UY7&gt;80000, "High", IF(UY7&gt;50000, "Medium", IF(UY7&gt;40000, "low", "extremely low")))</f>
        <v>High</v>
      </c>
      <c r="UZ8" t="str">
        <f>IF(UZ7&gt;80000, "High", IF(UZ7&gt;50000, "Medium", IF(UZ7&gt;40000, "low", "extremely low")))</f>
        <v>High</v>
      </c>
      <c r="VA8" t="str">
        <f>IF(VA7&gt;80000, "High", IF(VA7&gt;50000, "Medium", IF(VA7&gt;40000, "low", "extremely low")))</f>
        <v>extremely low</v>
      </c>
      <c r="VB8" t="str">
        <f>IF(VB7&gt;80000, "High", IF(VB7&gt;50000, "Medium", IF(VB7&gt;40000, "low", "extremely low")))</f>
        <v>low</v>
      </c>
      <c r="VC8" t="str">
        <f>IF(VC7&gt;80000, "High", IF(VC7&gt;50000, "Medium", IF(VC7&gt;40000, "low", "extremely low")))</f>
        <v>High</v>
      </c>
      <c r="VD8" t="str">
        <f>IF(VD7&gt;80000, "High", IF(VD7&gt;50000, "Medium", IF(VD7&gt;40000, "low", "extremely low")))</f>
        <v>High</v>
      </c>
      <c r="VE8" t="str">
        <f>IF(VE7&gt;80000, "High", IF(VE7&gt;50000, "Medium", IF(VE7&gt;40000, "low", "extremely low")))</f>
        <v>extremely low</v>
      </c>
      <c r="VF8" t="str">
        <f>IF(VF7&gt;80000, "High", IF(VF7&gt;50000, "Medium", IF(VF7&gt;40000, "low", "extremely low")))</f>
        <v>low</v>
      </c>
      <c r="VG8" t="str">
        <f>IF(VG7&gt;80000, "High", IF(VG7&gt;50000, "Medium", IF(VG7&gt;40000, "low", "extremely low")))</f>
        <v>High</v>
      </c>
      <c r="VH8" t="str">
        <f>IF(VH7&gt;80000, "High", IF(VH7&gt;50000, "Medium", IF(VH7&gt;40000, "low", "extremely low")))</f>
        <v>extremely low</v>
      </c>
      <c r="VI8" t="str">
        <f>IF(VI7&gt;80000, "High", IF(VI7&gt;50000, "Medium", IF(VI7&gt;40000, "low", "extremely low")))</f>
        <v>Medium</v>
      </c>
      <c r="VJ8" t="str">
        <f>IF(VJ7&gt;80000, "High", IF(VJ7&gt;50000, "Medium", IF(VJ7&gt;40000, "low", "extremely low")))</f>
        <v>extremely low</v>
      </c>
      <c r="VK8" t="str">
        <f>IF(VK7&gt;80000, "High", IF(VK7&gt;50000, "Medium", IF(VK7&gt;40000, "low", "extremely low")))</f>
        <v>extremely low</v>
      </c>
      <c r="VL8" t="str">
        <f>IF(VL7&gt;80000, "High", IF(VL7&gt;50000, "Medium", IF(VL7&gt;40000, "low", "extremely low")))</f>
        <v>High</v>
      </c>
      <c r="VM8" t="str">
        <f>IF(VM7&gt;80000, "High", IF(VM7&gt;50000, "Medium", IF(VM7&gt;40000, "low", "extremely low")))</f>
        <v>High</v>
      </c>
      <c r="VN8" t="str">
        <f>IF(VN7&gt;80000, "High", IF(VN7&gt;50000, "Medium", IF(VN7&gt;40000, "low", "extremely low")))</f>
        <v>low</v>
      </c>
      <c r="VO8" t="str">
        <f>IF(VO7&gt;80000, "High", IF(VO7&gt;50000, "Medium", IF(VO7&gt;40000, "low", "extremely low")))</f>
        <v>High</v>
      </c>
      <c r="VP8" t="str">
        <f>IF(VP7&gt;80000, "High", IF(VP7&gt;50000, "Medium", IF(VP7&gt;40000, "low", "extremely low")))</f>
        <v>High</v>
      </c>
      <c r="VQ8" t="str">
        <f>IF(VQ7&gt;80000, "High", IF(VQ7&gt;50000, "Medium", IF(VQ7&gt;40000, "low", "extremely low")))</f>
        <v>Medium</v>
      </c>
      <c r="VR8" t="str">
        <f>IF(VR7&gt;80000, "High", IF(VR7&gt;50000, "Medium", IF(VR7&gt;40000, "low", "extremely low")))</f>
        <v>High</v>
      </c>
      <c r="VS8" t="str">
        <f>IF(VS7&gt;80000, "High", IF(VS7&gt;50000, "Medium", IF(VS7&gt;40000, "low", "extremely low")))</f>
        <v>extremely low</v>
      </c>
      <c r="VT8" t="str">
        <f>IF(VT7&gt;80000, "High", IF(VT7&gt;50000, "Medium", IF(VT7&gt;40000, "low", "extremely low")))</f>
        <v>low</v>
      </c>
      <c r="VU8" t="str">
        <f>IF(VU7&gt;80000, "High", IF(VU7&gt;50000, "Medium", IF(VU7&gt;40000, "low", "extremely low")))</f>
        <v>High</v>
      </c>
      <c r="VV8" t="str">
        <f>IF(VV7&gt;80000, "High", IF(VV7&gt;50000, "Medium", IF(VV7&gt;40000, "low", "extremely low")))</f>
        <v>High</v>
      </c>
      <c r="VW8" t="str">
        <f>IF(VW7&gt;80000, "High", IF(VW7&gt;50000, "Medium", IF(VW7&gt;40000, "low", "extremely low")))</f>
        <v>extremely low</v>
      </c>
      <c r="VX8" t="str">
        <f>IF(VX7&gt;80000, "High", IF(VX7&gt;50000, "Medium", IF(VX7&gt;40000, "low", "extremely low")))</f>
        <v>extremely low</v>
      </c>
      <c r="VY8" t="str">
        <f>IF(VY7&gt;80000, "High", IF(VY7&gt;50000, "Medium", IF(VY7&gt;40000, "low", "extremely low")))</f>
        <v>extremely low</v>
      </c>
      <c r="VZ8" t="str">
        <f>IF(VZ7&gt;80000, "High", IF(VZ7&gt;50000, "Medium", IF(VZ7&gt;40000, "low", "extremely low")))</f>
        <v>High</v>
      </c>
      <c r="WA8" t="str">
        <f>IF(WA7&gt;80000, "High", IF(WA7&gt;50000, "Medium", IF(WA7&gt;40000, "low", "extremely low")))</f>
        <v>High</v>
      </c>
      <c r="WB8" t="str">
        <f>IF(WB7&gt;80000, "High", IF(WB7&gt;50000, "Medium", IF(WB7&gt;40000, "low", "extremely low")))</f>
        <v>low</v>
      </c>
      <c r="WC8" t="str">
        <f>IF(WC7&gt;80000, "High", IF(WC7&gt;50000, "Medium", IF(WC7&gt;40000, "low", "extremely low")))</f>
        <v>High</v>
      </c>
      <c r="WD8" t="str">
        <f>IF(WD7&gt;80000, "High", IF(WD7&gt;50000, "Medium", IF(WD7&gt;40000, "low", "extremely low")))</f>
        <v>Medium</v>
      </c>
      <c r="WE8" t="str">
        <f>IF(WE7&gt;80000, "High", IF(WE7&gt;50000, "Medium", IF(WE7&gt;40000, "low", "extremely low")))</f>
        <v>extremely low</v>
      </c>
      <c r="WF8" t="str">
        <f>IF(WF7&gt;80000, "High", IF(WF7&gt;50000, "Medium", IF(WF7&gt;40000, "low", "extremely low")))</f>
        <v>extremely low</v>
      </c>
      <c r="WG8" t="str">
        <f>IF(WG7&gt;80000, "High", IF(WG7&gt;50000, "Medium", IF(WG7&gt;40000, "low", "extremely low")))</f>
        <v>High</v>
      </c>
      <c r="WH8" t="str">
        <f>IF(WH7&gt;80000, "High", IF(WH7&gt;50000, "Medium", IF(WH7&gt;40000, "low", "extremely low")))</f>
        <v>extremely low</v>
      </c>
      <c r="WI8" t="str">
        <f>IF(WI7&gt;80000, "High", IF(WI7&gt;50000, "Medium", IF(WI7&gt;40000, "low", "extremely low")))</f>
        <v>Medium</v>
      </c>
      <c r="WJ8" t="str">
        <f>IF(WJ7&gt;80000, "High", IF(WJ7&gt;50000, "Medium", IF(WJ7&gt;40000, "low", "extremely low")))</f>
        <v>High</v>
      </c>
      <c r="WK8" t="str">
        <f>IF(WK7&gt;80000, "High", IF(WK7&gt;50000, "Medium", IF(WK7&gt;40000, "low", "extremely low")))</f>
        <v>Medium</v>
      </c>
      <c r="WL8" t="str">
        <f>IF(WL7&gt;80000, "High", IF(WL7&gt;50000, "Medium", IF(WL7&gt;40000, "low", "extremely low")))</f>
        <v>extremely low</v>
      </c>
      <c r="WM8" t="str">
        <f>IF(WM7&gt;80000, "High", IF(WM7&gt;50000, "Medium", IF(WM7&gt;40000, "low", "extremely low")))</f>
        <v>low</v>
      </c>
      <c r="WN8" t="str">
        <f>IF(WN7&gt;80000, "High", IF(WN7&gt;50000, "Medium", IF(WN7&gt;40000, "low", "extremely low")))</f>
        <v>High</v>
      </c>
      <c r="WO8" t="str">
        <f>IF(WO7&gt;80000, "High", IF(WO7&gt;50000, "Medium", IF(WO7&gt;40000, "low", "extremely low")))</f>
        <v>low</v>
      </c>
      <c r="WP8" t="str">
        <f>IF(WP7&gt;80000, "High", IF(WP7&gt;50000, "Medium", IF(WP7&gt;40000, "low", "extremely low")))</f>
        <v>High</v>
      </c>
      <c r="WQ8" t="str">
        <f>IF(WQ7&gt;80000, "High", IF(WQ7&gt;50000, "Medium", IF(WQ7&gt;40000, "low", "extremely low")))</f>
        <v>extremely low</v>
      </c>
      <c r="WR8" t="str">
        <f>IF(WR7&gt;80000, "High", IF(WR7&gt;50000, "Medium", IF(WR7&gt;40000, "low", "extremely low")))</f>
        <v>Medium</v>
      </c>
      <c r="WS8" t="str">
        <f>IF(WS7&gt;80000, "High", IF(WS7&gt;50000, "Medium", IF(WS7&gt;40000, "low", "extremely low")))</f>
        <v>High</v>
      </c>
      <c r="WT8" t="str">
        <f>IF(WT7&gt;80000, "High", IF(WT7&gt;50000, "Medium", IF(WT7&gt;40000, "low", "extremely low")))</f>
        <v>High</v>
      </c>
      <c r="WU8" t="str">
        <f>IF(WU7&gt;80000, "High", IF(WU7&gt;50000, "Medium", IF(WU7&gt;40000, "low", "extremely low")))</f>
        <v>High</v>
      </c>
      <c r="WV8" t="str">
        <f>IF(WV7&gt;80000, "High", IF(WV7&gt;50000, "Medium", IF(WV7&gt;40000, "low", "extremely low")))</f>
        <v>High</v>
      </c>
      <c r="WW8" t="str">
        <f>IF(WW7&gt;80000, "High", IF(WW7&gt;50000, "Medium", IF(WW7&gt;40000, "low", "extremely low")))</f>
        <v>High</v>
      </c>
      <c r="WX8" t="str">
        <f>IF(WX7&gt;80000, "High", IF(WX7&gt;50000, "Medium", IF(WX7&gt;40000, "low", "extremely low")))</f>
        <v>Medium</v>
      </c>
      <c r="WY8" t="str">
        <f>IF(WY7&gt;80000, "High", IF(WY7&gt;50000, "Medium", IF(WY7&gt;40000, "low", "extremely low")))</f>
        <v>low</v>
      </c>
      <c r="WZ8" t="str">
        <f>IF(WZ7&gt;80000, "High", IF(WZ7&gt;50000, "Medium", IF(WZ7&gt;40000, "low", "extremely low")))</f>
        <v>Medium</v>
      </c>
      <c r="XA8" t="str">
        <f>IF(XA7&gt;80000, "High", IF(XA7&gt;50000, "Medium", IF(XA7&gt;40000, "low", "extremely low")))</f>
        <v>extremely low</v>
      </c>
      <c r="XB8" t="str">
        <f>IF(XB7&gt;80000, "High", IF(XB7&gt;50000, "Medium", IF(XB7&gt;40000, "low", "extremely low")))</f>
        <v>extremely low</v>
      </c>
      <c r="XC8" t="str">
        <f>IF(XC7&gt;80000, "High", IF(XC7&gt;50000, "Medium", IF(XC7&gt;40000, "low", "extremely low")))</f>
        <v>High</v>
      </c>
      <c r="XD8" t="str">
        <f>IF(XD7&gt;80000, "High", IF(XD7&gt;50000, "Medium", IF(XD7&gt;40000, "low", "extremely low")))</f>
        <v>Medium</v>
      </c>
      <c r="XE8" t="str">
        <f>IF(XE7&gt;80000, "High", IF(XE7&gt;50000, "Medium", IF(XE7&gt;40000, "low", "extremely low")))</f>
        <v>low</v>
      </c>
      <c r="XF8" t="str">
        <f>IF(XF7&gt;80000, "High", IF(XF7&gt;50000, "Medium", IF(XF7&gt;40000, "low", "extremely low")))</f>
        <v>Medium</v>
      </c>
      <c r="XG8" t="str">
        <f>IF(XG7&gt;80000, "High", IF(XG7&gt;50000, "Medium", IF(XG7&gt;40000, "low", "extremely low")))</f>
        <v>Medium</v>
      </c>
      <c r="XH8" t="str">
        <f>IF(XH7&gt;80000, "High", IF(XH7&gt;50000, "Medium", IF(XH7&gt;40000, "low", "extremely low")))</f>
        <v>High</v>
      </c>
      <c r="XI8" t="str">
        <f>IF(XI7&gt;80000, "High", IF(XI7&gt;50000, "Medium", IF(XI7&gt;40000, "low", "extremely low")))</f>
        <v>High</v>
      </c>
      <c r="XJ8" t="str">
        <f>IF(XJ7&gt;80000, "High", IF(XJ7&gt;50000, "Medium", IF(XJ7&gt;40000, "low", "extremely low")))</f>
        <v>High</v>
      </c>
      <c r="XK8" t="str">
        <f>IF(XK7&gt;80000, "High", IF(XK7&gt;50000, "Medium", IF(XK7&gt;40000, "low", "extremely low")))</f>
        <v>High</v>
      </c>
      <c r="XL8" t="str">
        <f>IF(XL7&gt;80000, "High", IF(XL7&gt;50000, "Medium", IF(XL7&gt;40000, "low", "extremely low")))</f>
        <v>High</v>
      </c>
      <c r="XM8" t="str">
        <f>IF(XM7&gt;80000, "High", IF(XM7&gt;50000, "Medium", IF(XM7&gt;40000, "low", "extremely low")))</f>
        <v>High</v>
      </c>
      <c r="XN8" t="str">
        <f>IF(XN7&gt;80000, "High", IF(XN7&gt;50000, "Medium", IF(XN7&gt;40000, "low", "extremely low")))</f>
        <v>High</v>
      </c>
      <c r="XO8" t="str">
        <f>IF(XO7&gt;80000, "High", IF(XO7&gt;50000, "Medium", IF(XO7&gt;40000, "low", "extremely low")))</f>
        <v>High</v>
      </c>
      <c r="XP8" t="str">
        <f>IF(XP7&gt;80000, "High", IF(XP7&gt;50000, "Medium", IF(XP7&gt;40000, "low", "extremely low")))</f>
        <v>High</v>
      </c>
      <c r="XQ8" t="str">
        <f>IF(XQ7&gt;80000, "High", IF(XQ7&gt;50000, "Medium", IF(XQ7&gt;40000, "low", "extremely low")))</f>
        <v>High</v>
      </c>
      <c r="XR8" t="str">
        <f>IF(XR7&gt;80000, "High", IF(XR7&gt;50000, "Medium", IF(XR7&gt;40000, "low", "extremely low")))</f>
        <v>Medium</v>
      </c>
      <c r="XS8" t="str">
        <f>IF(XS7&gt;80000, "High", IF(XS7&gt;50000, "Medium", IF(XS7&gt;40000, "low", "extremely low")))</f>
        <v>low</v>
      </c>
      <c r="XT8" t="str">
        <f>IF(XT7&gt;80000, "High", IF(XT7&gt;50000, "Medium", IF(XT7&gt;40000, "low", "extremely low")))</f>
        <v>Medium</v>
      </c>
      <c r="XU8" t="str">
        <f>IF(XU7&gt;80000, "High", IF(XU7&gt;50000, "Medium", IF(XU7&gt;40000, "low", "extremely low")))</f>
        <v>High</v>
      </c>
      <c r="XV8" t="str">
        <f>IF(XV7&gt;80000, "High", IF(XV7&gt;50000, "Medium", IF(XV7&gt;40000, "low", "extremely low")))</f>
        <v>High</v>
      </c>
      <c r="XW8" t="str">
        <f>IF(XW7&gt;80000, "High", IF(XW7&gt;50000, "Medium", IF(XW7&gt;40000, "low", "extremely low")))</f>
        <v>extremely low</v>
      </c>
      <c r="XX8" t="str">
        <f>IF(XX7&gt;80000, "High", IF(XX7&gt;50000, "Medium", IF(XX7&gt;40000, "low", "extremely low")))</f>
        <v>High</v>
      </c>
      <c r="XY8" t="str">
        <f>IF(XY7&gt;80000, "High", IF(XY7&gt;50000, "Medium", IF(XY7&gt;40000, "low", "extremely low")))</f>
        <v>Medium</v>
      </c>
      <c r="XZ8" t="str">
        <f>IF(XZ7&gt;80000, "High", IF(XZ7&gt;50000, "Medium", IF(XZ7&gt;40000, "low", "extremely low")))</f>
        <v>High</v>
      </c>
      <c r="YA8" t="str">
        <f>IF(YA7&gt;80000, "High", IF(YA7&gt;50000, "Medium", IF(YA7&gt;40000, "low", "extremely low")))</f>
        <v>Medium</v>
      </c>
      <c r="YB8" t="str">
        <f>IF(YB7&gt;80000, "High", IF(YB7&gt;50000, "Medium", IF(YB7&gt;40000, "low", "extremely low")))</f>
        <v>High</v>
      </c>
      <c r="YC8" t="str">
        <f>IF(YC7&gt;80000, "High", IF(YC7&gt;50000, "Medium", IF(YC7&gt;40000, "low", "extremely low")))</f>
        <v>Medium</v>
      </c>
      <c r="YD8" t="str">
        <f>IF(YD7&gt;80000, "High", IF(YD7&gt;50000, "Medium", IF(YD7&gt;40000, "low", "extremely low")))</f>
        <v>Medium</v>
      </c>
      <c r="YE8" t="str">
        <f>IF(YE7&gt;80000, "High", IF(YE7&gt;50000, "Medium", IF(YE7&gt;40000, "low", "extremely low")))</f>
        <v>High</v>
      </c>
      <c r="YF8" t="str">
        <f>IF(YF7&gt;80000, "High", IF(YF7&gt;50000, "Medium", IF(YF7&gt;40000, "low", "extremely low")))</f>
        <v>extremely low</v>
      </c>
      <c r="YG8" t="str">
        <f>IF(YG7&gt;80000, "High", IF(YG7&gt;50000, "Medium", IF(YG7&gt;40000, "low", "extremely low")))</f>
        <v>Medium</v>
      </c>
      <c r="YH8" t="str">
        <f>IF(YH7&gt;80000, "High", IF(YH7&gt;50000, "Medium", IF(YH7&gt;40000, "low", "extremely low")))</f>
        <v>High</v>
      </c>
      <c r="YI8" t="str">
        <f>IF(YI7&gt;80000, "High", IF(YI7&gt;50000, "Medium", IF(YI7&gt;40000, "low", "extremely low")))</f>
        <v>High</v>
      </c>
      <c r="YJ8" t="str">
        <f>IF(YJ7&gt;80000, "High", IF(YJ7&gt;50000, "Medium", IF(YJ7&gt;40000, "low", "extremely low")))</f>
        <v>Medium</v>
      </c>
      <c r="YK8" t="str">
        <f>IF(YK7&gt;80000, "High", IF(YK7&gt;50000, "Medium", IF(YK7&gt;40000, "low", "extremely low")))</f>
        <v>High</v>
      </c>
      <c r="YL8" t="str">
        <f>IF(YL7&gt;80000, "High", IF(YL7&gt;50000, "Medium", IF(YL7&gt;40000, "low", "extremely low")))</f>
        <v>High</v>
      </c>
      <c r="YM8" t="str">
        <f>IF(YM7&gt;80000, "High", IF(YM7&gt;50000, "Medium", IF(YM7&gt;40000, "low", "extremely low")))</f>
        <v>High</v>
      </c>
      <c r="YN8" t="str">
        <f>IF(YN7&gt;80000, "High", IF(YN7&gt;50000, "Medium", IF(YN7&gt;40000, "low", "extremely low")))</f>
        <v>Medium</v>
      </c>
      <c r="YO8" t="str">
        <f>IF(YO7&gt;80000, "High", IF(YO7&gt;50000, "Medium", IF(YO7&gt;40000, "low", "extremely low")))</f>
        <v>extremely low</v>
      </c>
      <c r="YP8" t="str">
        <f>IF(YP7&gt;80000, "High", IF(YP7&gt;50000, "Medium", IF(YP7&gt;40000, "low", "extremely low")))</f>
        <v>High</v>
      </c>
      <c r="YQ8" t="str">
        <f>IF(YQ7&gt;80000, "High", IF(YQ7&gt;50000, "Medium", IF(YQ7&gt;40000, "low", "extremely low")))</f>
        <v>High</v>
      </c>
      <c r="YR8" t="str">
        <f>IF(YR7&gt;80000, "High", IF(YR7&gt;50000, "Medium", IF(YR7&gt;40000, "low", "extremely low")))</f>
        <v>High</v>
      </c>
      <c r="YS8" t="str">
        <f>IF(YS7&gt;80000, "High", IF(YS7&gt;50000, "Medium", IF(YS7&gt;40000, "low", "extremely low")))</f>
        <v>High</v>
      </c>
      <c r="YT8" t="str">
        <f>IF(YT7&gt;80000, "High", IF(YT7&gt;50000, "Medium", IF(YT7&gt;40000, "low", "extremely low")))</f>
        <v>Medium</v>
      </c>
      <c r="YU8" t="str">
        <f>IF(YU7&gt;80000, "High", IF(YU7&gt;50000, "Medium", IF(YU7&gt;40000, "low", "extremely low")))</f>
        <v>High</v>
      </c>
      <c r="YV8" t="str">
        <f>IF(YV7&gt;80000, "High", IF(YV7&gt;50000, "Medium", IF(YV7&gt;40000, "low", "extremely low")))</f>
        <v>High</v>
      </c>
      <c r="YW8" t="str">
        <f>IF(YW7&gt;80000, "High", IF(YW7&gt;50000, "Medium", IF(YW7&gt;40000, "low", "extremely low")))</f>
        <v>High</v>
      </c>
      <c r="YX8" t="str">
        <f>IF(YX7&gt;80000, "High", IF(YX7&gt;50000, "Medium", IF(YX7&gt;40000, "low", "extremely low")))</f>
        <v>extremely low</v>
      </c>
      <c r="YY8" t="str">
        <f>IF(YY7&gt;80000, "High", IF(YY7&gt;50000, "Medium", IF(YY7&gt;40000, "low", "extremely low")))</f>
        <v>High</v>
      </c>
      <c r="YZ8" t="str">
        <f>IF(YZ7&gt;80000, "High", IF(YZ7&gt;50000, "Medium", IF(YZ7&gt;40000, "low", "extremely low")))</f>
        <v>High</v>
      </c>
      <c r="ZA8" t="str">
        <f>IF(ZA7&gt;80000, "High", IF(ZA7&gt;50000, "Medium", IF(ZA7&gt;40000, "low", "extremely low")))</f>
        <v>low</v>
      </c>
      <c r="ZB8" t="str">
        <f>IF(ZB7&gt;80000, "High", IF(ZB7&gt;50000, "Medium", IF(ZB7&gt;40000, "low", "extremely low")))</f>
        <v>Medium</v>
      </c>
      <c r="ZC8" t="str">
        <f>IF(ZC7&gt;80000, "High", IF(ZC7&gt;50000, "Medium", IF(ZC7&gt;40000, "low", "extremely low")))</f>
        <v>extremely low</v>
      </c>
      <c r="ZD8" t="str">
        <f>IF(ZD7&gt;80000, "High", IF(ZD7&gt;50000, "Medium", IF(ZD7&gt;40000, "low", "extremely low")))</f>
        <v>High</v>
      </c>
      <c r="ZE8" t="str">
        <f>IF(ZE7&gt;80000, "High", IF(ZE7&gt;50000, "Medium", IF(ZE7&gt;40000, "low", "extremely low")))</f>
        <v>low</v>
      </c>
      <c r="ZF8" t="str">
        <f>IF(ZF7&gt;80000, "High", IF(ZF7&gt;50000, "Medium", IF(ZF7&gt;40000, "low", "extremely low")))</f>
        <v>Medium</v>
      </c>
      <c r="ZG8" t="str">
        <f>IF(ZG7&gt;80000, "High", IF(ZG7&gt;50000, "Medium", IF(ZG7&gt;40000, "low", "extremely low")))</f>
        <v>Medium</v>
      </c>
      <c r="ZH8" t="str">
        <f>IF(ZH7&gt;80000, "High", IF(ZH7&gt;50000, "Medium", IF(ZH7&gt;40000, "low", "extremely low")))</f>
        <v>Medium</v>
      </c>
      <c r="ZI8" t="str">
        <f>IF(ZI7&gt;80000, "High", IF(ZI7&gt;50000, "Medium", IF(ZI7&gt;40000, "low", "extremely low")))</f>
        <v>Medium</v>
      </c>
      <c r="ZJ8" t="str">
        <f>IF(ZJ7&gt;80000, "High", IF(ZJ7&gt;50000, "Medium", IF(ZJ7&gt;40000, "low", "extremely low")))</f>
        <v>Medium</v>
      </c>
      <c r="ZK8" t="str">
        <f>IF(ZK7&gt;80000, "High", IF(ZK7&gt;50000, "Medium", IF(ZK7&gt;40000, "low", "extremely low")))</f>
        <v>High</v>
      </c>
      <c r="ZL8" t="str">
        <f>IF(ZL7&gt;80000, "High", IF(ZL7&gt;50000, "Medium", IF(ZL7&gt;40000, "low", "extremely low")))</f>
        <v>High</v>
      </c>
      <c r="ZM8" t="str">
        <f>IF(ZM7&gt;80000, "High", IF(ZM7&gt;50000, "Medium", IF(ZM7&gt;40000, "low", "extremely low")))</f>
        <v>High</v>
      </c>
      <c r="ZN8" t="str">
        <f>IF(ZN7&gt;80000, "High", IF(ZN7&gt;50000, "Medium", IF(ZN7&gt;40000, "low", "extremely low")))</f>
        <v>Medium</v>
      </c>
      <c r="ZO8" t="str">
        <f>IF(ZO7&gt;80000, "High", IF(ZO7&gt;50000, "Medium", IF(ZO7&gt;40000, "low", "extremely low")))</f>
        <v>low</v>
      </c>
      <c r="ZP8" t="str">
        <f>IF(ZP7&gt;80000, "High", IF(ZP7&gt;50000, "Medium", IF(ZP7&gt;40000, "low", "extremely low")))</f>
        <v>High</v>
      </c>
      <c r="ZQ8" t="str">
        <f>IF(ZQ7&gt;80000, "High", IF(ZQ7&gt;50000, "Medium", IF(ZQ7&gt;40000, "low", "extremely low")))</f>
        <v>extremely low</v>
      </c>
      <c r="ZR8" t="str">
        <f>IF(ZR7&gt;80000, "High", IF(ZR7&gt;50000, "Medium", IF(ZR7&gt;40000, "low", "extremely low")))</f>
        <v>High</v>
      </c>
      <c r="ZS8" t="str">
        <f>IF(ZS7&gt;80000, "High", IF(ZS7&gt;50000, "Medium", IF(ZS7&gt;40000, "low", "extremely low")))</f>
        <v>Medium</v>
      </c>
      <c r="ZT8" t="str">
        <f>IF(ZT7&gt;80000, "High", IF(ZT7&gt;50000, "Medium", IF(ZT7&gt;40000, "low", "extremely low")))</f>
        <v>High</v>
      </c>
      <c r="ZU8" t="str">
        <f>IF(ZU7&gt;80000, "High", IF(ZU7&gt;50000, "Medium", IF(ZU7&gt;40000, "low", "extremely low")))</f>
        <v>extremely low</v>
      </c>
      <c r="ZV8" t="str">
        <f>IF(ZV7&gt;80000, "High", IF(ZV7&gt;50000, "Medium", IF(ZV7&gt;40000, "low", "extremely low")))</f>
        <v>High</v>
      </c>
      <c r="ZW8" t="str">
        <f>IF(ZW7&gt;80000, "High", IF(ZW7&gt;50000, "Medium", IF(ZW7&gt;40000, "low", "extremely low")))</f>
        <v>Medium</v>
      </c>
      <c r="ZX8" t="str">
        <f>IF(ZX7&gt;80000, "High", IF(ZX7&gt;50000, "Medium", IF(ZX7&gt;40000, "low", "extremely low")))</f>
        <v>low</v>
      </c>
      <c r="ZY8" t="str">
        <f>IF(ZY7&gt;80000, "High", IF(ZY7&gt;50000, "Medium", IF(ZY7&gt;40000, "low", "extremely low")))</f>
        <v>High</v>
      </c>
      <c r="ZZ8" t="str">
        <f>IF(ZZ7&gt;80000, "High", IF(ZZ7&gt;50000, "Medium", IF(ZZ7&gt;40000, "low", "extremely low")))</f>
        <v>Medium</v>
      </c>
      <c r="AAA8" t="str">
        <f>IF(AAA7&gt;80000, "High", IF(AAA7&gt;50000, "Medium", IF(AAA7&gt;40000, "low", "extremely low")))</f>
        <v>High</v>
      </c>
      <c r="AAB8" t="str">
        <f>IF(AAB7&gt;80000, "High", IF(AAB7&gt;50000, "Medium", IF(AAB7&gt;40000, "low", "extremely low")))</f>
        <v>High</v>
      </c>
      <c r="AAC8" t="str">
        <f>IF(AAC7&gt;80000, "High", IF(AAC7&gt;50000, "Medium", IF(AAC7&gt;40000, "low", "extremely low")))</f>
        <v>extremely low</v>
      </c>
      <c r="AAD8" t="str">
        <f>IF(AAD7&gt;80000, "High", IF(AAD7&gt;50000, "Medium", IF(AAD7&gt;40000, "low", "extremely low")))</f>
        <v>Medium</v>
      </c>
      <c r="AAE8" t="str">
        <f>IF(AAE7&gt;80000, "High", IF(AAE7&gt;50000, "Medium", IF(AAE7&gt;40000, "low", "extremely low")))</f>
        <v>High</v>
      </c>
      <c r="AAF8" t="str">
        <f>IF(AAF7&gt;80000, "High", IF(AAF7&gt;50000, "Medium", IF(AAF7&gt;40000, "low", "extremely low")))</f>
        <v>Medium</v>
      </c>
      <c r="AAG8" t="str">
        <f>IF(AAG7&gt;80000, "High", IF(AAG7&gt;50000, "Medium", IF(AAG7&gt;40000, "low", "extremely low")))</f>
        <v>Medium</v>
      </c>
      <c r="AAH8" t="str">
        <f>IF(AAH7&gt;80000, "High", IF(AAH7&gt;50000, "Medium", IF(AAH7&gt;40000, "low", "extremely low")))</f>
        <v>High</v>
      </c>
      <c r="AAI8" t="str">
        <f>IF(AAI7&gt;80000, "High", IF(AAI7&gt;50000, "Medium", IF(AAI7&gt;40000, "low", "extremely low")))</f>
        <v>High</v>
      </c>
      <c r="AAJ8" t="str">
        <f>IF(AAJ7&gt;80000, "High", IF(AAJ7&gt;50000, "Medium", IF(AAJ7&gt;40000, "low", "extremely low")))</f>
        <v>High</v>
      </c>
      <c r="AAK8" t="str">
        <f>IF(AAK7&gt;80000, "High", IF(AAK7&gt;50000, "Medium", IF(AAK7&gt;40000, "low", "extremely low")))</f>
        <v>low</v>
      </c>
      <c r="AAL8" t="str">
        <f>IF(AAL7&gt;80000, "High", IF(AAL7&gt;50000, "Medium", IF(AAL7&gt;40000, "low", "extremely low")))</f>
        <v>High</v>
      </c>
      <c r="AAM8" t="str">
        <f>IF(AAM7&gt;80000, "High", IF(AAM7&gt;50000, "Medium", IF(AAM7&gt;40000, "low", "extremely low")))</f>
        <v>Medium</v>
      </c>
      <c r="AAN8" t="str">
        <f>IF(AAN7&gt;80000, "High", IF(AAN7&gt;50000, "Medium", IF(AAN7&gt;40000, "low", "extremely low")))</f>
        <v>low</v>
      </c>
      <c r="AAO8" t="str">
        <f>IF(AAO7&gt;80000, "High", IF(AAO7&gt;50000, "Medium", IF(AAO7&gt;40000, "low", "extremely low")))</f>
        <v>Medium</v>
      </c>
      <c r="AAP8" t="str">
        <f>IF(AAP7&gt;80000, "High", IF(AAP7&gt;50000, "Medium", IF(AAP7&gt;40000, "low", "extremely low")))</f>
        <v>High</v>
      </c>
      <c r="AAQ8" t="str">
        <f>IF(AAQ7&gt;80000, "High", IF(AAQ7&gt;50000, "Medium", IF(AAQ7&gt;40000, "low", "extremely low")))</f>
        <v>extremely low</v>
      </c>
      <c r="AAR8" t="str">
        <f>IF(AAR7&gt;80000, "High", IF(AAR7&gt;50000, "Medium", IF(AAR7&gt;40000, "low", "extremely low")))</f>
        <v>High</v>
      </c>
      <c r="AAS8" t="str">
        <f>IF(AAS7&gt;80000, "High", IF(AAS7&gt;50000, "Medium", IF(AAS7&gt;40000, "low", "extremely low")))</f>
        <v>Medium</v>
      </c>
      <c r="AAT8" t="str">
        <f>IF(AAT7&gt;80000, "High", IF(AAT7&gt;50000, "Medium", IF(AAT7&gt;40000, "low", "extremely low")))</f>
        <v>Medium</v>
      </c>
      <c r="AAU8" t="str">
        <f>IF(AAU7&gt;80000, "High", IF(AAU7&gt;50000, "Medium", IF(AAU7&gt;40000, "low", "extremely low")))</f>
        <v>Medium</v>
      </c>
      <c r="AAV8" t="str">
        <f>IF(AAV7&gt;80000, "High", IF(AAV7&gt;50000, "Medium", IF(AAV7&gt;40000, "low", "extremely low")))</f>
        <v>Medium</v>
      </c>
      <c r="AAW8" t="str">
        <f>IF(AAW7&gt;80000, "High", IF(AAW7&gt;50000, "Medium", IF(AAW7&gt;40000, "low", "extremely low")))</f>
        <v>High</v>
      </c>
      <c r="AAX8" t="str">
        <f>IF(AAX7&gt;80000, "High", IF(AAX7&gt;50000, "Medium", IF(AAX7&gt;40000, "low", "extremely low")))</f>
        <v>Medium</v>
      </c>
      <c r="AAY8" t="str">
        <f>IF(AAY7&gt;80000, "High", IF(AAY7&gt;50000, "Medium", IF(AAY7&gt;40000, "low", "extremely low")))</f>
        <v>High</v>
      </c>
      <c r="AAZ8" t="str">
        <f>IF(AAZ7&gt;80000, "High", IF(AAZ7&gt;50000, "Medium", IF(AAZ7&gt;40000, "low", "extremely low")))</f>
        <v>High</v>
      </c>
      <c r="ABA8" t="str">
        <f>IF(ABA7&gt;80000, "High", IF(ABA7&gt;50000, "Medium", IF(ABA7&gt;40000, "low", "extremely low")))</f>
        <v>High</v>
      </c>
      <c r="ABB8" t="str">
        <f>IF(ABB7&gt;80000, "High", IF(ABB7&gt;50000, "Medium", IF(ABB7&gt;40000, "low", "extremely low")))</f>
        <v>High</v>
      </c>
      <c r="ABC8" t="str">
        <f>IF(ABC7&gt;80000, "High", IF(ABC7&gt;50000, "Medium", IF(ABC7&gt;40000, "low", "extremely low")))</f>
        <v>Medium</v>
      </c>
      <c r="ABD8" t="str">
        <f>IF(ABD7&gt;80000, "High", IF(ABD7&gt;50000, "Medium", IF(ABD7&gt;40000, "low", "extremely low")))</f>
        <v>Medium</v>
      </c>
      <c r="ABE8" t="str">
        <f>IF(ABE7&gt;80000, "High", IF(ABE7&gt;50000, "Medium", IF(ABE7&gt;40000, "low", "extremely low")))</f>
        <v>low</v>
      </c>
      <c r="ABF8" t="str">
        <f>IF(ABF7&gt;80000, "High", IF(ABF7&gt;50000, "Medium", IF(ABF7&gt;40000, "low", "extremely low")))</f>
        <v>Medium</v>
      </c>
      <c r="ABG8" t="str">
        <f>IF(ABG7&gt;80000, "High", IF(ABG7&gt;50000, "Medium", IF(ABG7&gt;40000, "low", "extremely low")))</f>
        <v>High</v>
      </c>
      <c r="ABH8" t="str">
        <f>IF(ABH7&gt;80000, "High", IF(ABH7&gt;50000, "Medium", IF(ABH7&gt;40000, "low", "extremely low")))</f>
        <v>High</v>
      </c>
      <c r="ABI8" t="str">
        <f>IF(ABI7&gt;80000, "High", IF(ABI7&gt;50000, "Medium", IF(ABI7&gt;40000, "low", "extremely low")))</f>
        <v>High</v>
      </c>
      <c r="ABJ8" t="str">
        <f>IF(ABJ7&gt;80000, "High", IF(ABJ7&gt;50000, "Medium", IF(ABJ7&gt;40000, "low", "extremely low")))</f>
        <v>low</v>
      </c>
      <c r="ABK8" t="str">
        <f>IF(ABK7&gt;80000, "High", IF(ABK7&gt;50000, "Medium", IF(ABK7&gt;40000, "low", "extremely low")))</f>
        <v>Medium</v>
      </c>
      <c r="ABL8" t="str">
        <f>IF(ABL7&gt;80000, "High", IF(ABL7&gt;50000, "Medium", IF(ABL7&gt;40000, "low", "extremely low")))</f>
        <v>High</v>
      </c>
      <c r="ABM8" t="str">
        <f>IF(ABM7&gt;80000, "High", IF(ABM7&gt;50000, "Medium", IF(ABM7&gt;40000, "low", "extremely low")))</f>
        <v>low</v>
      </c>
      <c r="ABN8" t="str">
        <f>IF(ABN7&gt;80000, "High", IF(ABN7&gt;50000, "Medium", IF(ABN7&gt;40000, "low", "extremely low")))</f>
        <v>High</v>
      </c>
      <c r="ABO8" t="str">
        <f>IF(ABO7&gt;80000, "High", IF(ABO7&gt;50000, "Medium", IF(ABO7&gt;40000, "low", "extremely low")))</f>
        <v>High</v>
      </c>
      <c r="ABP8" t="str">
        <f>IF(ABP7&gt;80000, "High", IF(ABP7&gt;50000, "Medium", IF(ABP7&gt;40000, "low", "extremely low")))</f>
        <v>Medium</v>
      </c>
      <c r="ABQ8" t="str">
        <f>IF(ABQ7&gt;80000, "High", IF(ABQ7&gt;50000, "Medium", IF(ABQ7&gt;40000, "low", "extremely low")))</f>
        <v>High</v>
      </c>
      <c r="ABR8" t="str">
        <f>IF(ABR7&gt;80000, "High", IF(ABR7&gt;50000, "Medium", IF(ABR7&gt;40000, "low", "extremely low")))</f>
        <v>High</v>
      </c>
      <c r="ABS8" t="str">
        <f>IF(ABS7&gt;80000, "High", IF(ABS7&gt;50000, "Medium", IF(ABS7&gt;40000, "low", "extremely low")))</f>
        <v>High</v>
      </c>
      <c r="ABT8" t="str">
        <f>IF(ABT7&gt;80000, "High", IF(ABT7&gt;50000, "Medium", IF(ABT7&gt;40000, "low", "extremely low")))</f>
        <v>low</v>
      </c>
      <c r="ABU8" t="str">
        <f>IF(ABU7&gt;80000, "High", IF(ABU7&gt;50000, "Medium", IF(ABU7&gt;40000, "low", "extremely low")))</f>
        <v>Medium</v>
      </c>
      <c r="ABV8" t="str">
        <f>IF(ABV7&gt;80000, "High", IF(ABV7&gt;50000, "Medium", IF(ABV7&gt;40000, "low", "extremely low")))</f>
        <v>High</v>
      </c>
      <c r="ABW8" t="str">
        <f>IF(ABW7&gt;80000, "High", IF(ABW7&gt;50000, "Medium", IF(ABW7&gt;40000, "low", "extremely low")))</f>
        <v>extremely low</v>
      </c>
      <c r="ABX8" t="str">
        <f>IF(ABX7&gt;80000, "High", IF(ABX7&gt;50000, "Medium", IF(ABX7&gt;40000, "low", "extremely low")))</f>
        <v>Medium</v>
      </c>
      <c r="ABY8" t="str">
        <f>IF(ABY7&gt;80000, "High", IF(ABY7&gt;50000, "Medium", IF(ABY7&gt;40000, "low", "extremely low")))</f>
        <v>High</v>
      </c>
      <c r="ABZ8" t="str">
        <f>IF(ABZ7&gt;80000, "High", IF(ABZ7&gt;50000, "Medium", IF(ABZ7&gt;40000, "low", "extremely low")))</f>
        <v>High</v>
      </c>
      <c r="ACA8" t="str">
        <f>IF(ACA7&gt;80000, "High", IF(ACA7&gt;50000, "Medium", IF(ACA7&gt;40000, "low", "extremely low")))</f>
        <v>High</v>
      </c>
      <c r="ACB8" t="str">
        <f>IF(ACB7&gt;80000, "High", IF(ACB7&gt;50000, "Medium", IF(ACB7&gt;40000, "low", "extremely low")))</f>
        <v>High</v>
      </c>
      <c r="ACC8" t="str">
        <f>IF(ACC7&gt;80000, "High", IF(ACC7&gt;50000, "Medium", IF(ACC7&gt;40000, "low", "extremely low")))</f>
        <v>Medium</v>
      </c>
      <c r="ACD8" t="str">
        <f>IF(ACD7&gt;80000, "High", IF(ACD7&gt;50000, "Medium", IF(ACD7&gt;40000, "low", "extremely low")))</f>
        <v>High</v>
      </c>
      <c r="ACE8" t="str">
        <f>IF(ACE7&gt;80000, "High", IF(ACE7&gt;50000, "Medium", IF(ACE7&gt;40000, "low", "extremely low")))</f>
        <v>extremely low</v>
      </c>
      <c r="ACF8" t="str">
        <f>IF(ACF7&gt;80000, "High", IF(ACF7&gt;50000, "Medium", IF(ACF7&gt;40000, "low", "extremely low")))</f>
        <v>High</v>
      </c>
      <c r="ACG8" t="str">
        <f>IF(ACG7&gt;80000, "High", IF(ACG7&gt;50000, "Medium", IF(ACG7&gt;40000, "low", "extremely low")))</f>
        <v>Medium</v>
      </c>
      <c r="ACH8" t="str">
        <f>IF(ACH7&gt;80000, "High", IF(ACH7&gt;50000, "Medium", IF(ACH7&gt;40000, "low", "extremely low")))</f>
        <v>Medium</v>
      </c>
      <c r="ACI8" t="str">
        <f>IF(ACI7&gt;80000, "High", IF(ACI7&gt;50000, "Medium", IF(ACI7&gt;40000, "low", "extremely low")))</f>
        <v>High</v>
      </c>
      <c r="ACJ8" t="str">
        <f>IF(ACJ7&gt;80000, "High", IF(ACJ7&gt;50000, "Medium", IF(ACJ7&gt;40000, "low", "extremely low")))</f>
        <v>low</v>
      </c>
      <c r="ACK8" t="str">
        <f>IF(ACK7&gt;80000, "High", IF(ACK7&gt;50000, "Medium", IF(ACK7&gt;40000, "low", "extremely low")))</f>
        <v>High</v>
      </c>
      <c r="ACL8" t="str">
        <f>IF(ACL7&gt;80000, "High", IF(ACL7&gt;50000, "Medium", IF(ACL7&gt;40000, "low", "extremely low")))</f>
        <v>High</v>
      </c>
      <c r="ACM8" t="str">
        <f>IF(ACM7&gt;80000, "High", IF(ACM7&gt;50000, "Medium", IF(ACM7&gt;40000, "low", "extremely low")))</f>
        <v>Medium</v>
      </c>
      <c r="ACN8" t="str">
        <f>IF(ACN7&gt;80000, "High", IF(ACN7&gt;50000, "Medium", IF(ACN7&gt;40000, "low", "extremely low")))</f>
        <v>Medium</v>
      </c>
      <c r="ACO8" t="str">
        <f>IF(ACO7&gt;80000, "High", IF(ACO7&gt;50000, "Medium", IF(ACO7&gt;40000, "low", "extremely low")))</f>
        <v>Medium</v>
      </c>
      <c r="ACP8" t="str">
        <f>IF(ACP7&gt;80000, "High", IF(ACP7&gt;50000, "Medium", IF(ACP7&gt;40000, "low", "extremely low")))</f>
        <v>High</v>
      </c>
      <c r="ACQ8" t="str">
        <f>IF(ACQ7&gt;80000, "High", IF(ACQ7&gt;50000, "Medium", IF(ACQ7&gt;40000, "low", "extremely low")))</f>
        <v>Medium</v>
      </c>
      <c r="ACR8" t="str">
        <f>IF(ACR7&gt;80000, "High", IF(ACR7&gt;50000, "Medium", IF(ACR7&gt;40000, "low", "extremely low")))</f>
        <v>Medium</v>
      </c>
      <c r="ACS8" t="str">
        <f>IF(ACS7&gt;80000, "High", IF(ACS7&gt;50000, "Medium", IF(ACS7&gt;40000, "low", "extremely low")))</f>
        <v>Medium</v>
      </c>
      <c r="ACT8" t="str">
        <f>IF(ACT7&gt;80000, "High", IF(ACT7&gt;50000, "Medium", IF(ACT7&gt;40000, "low", "extremely low")))</f>
        <v>High</v>
      </c>
      <c r="ACU8" t="str">
        <f>IF(ACU7&gt;80000, "High", IF(ACU7&gt;50000, "Medium", IF(ACU7&gt;40000, "low", "extremely low")))</f>
        <v>Medium</v>
      </c>
      <c r="ACV8" t="str">
        <f>IF(ACV7&gt;80000, "High", IF(ACV7&gt;50000, "Medium", IF(ACV7&gt;40000, "low", "extremely low")))</f>
        <v>Medium</v>
      </c>
      <c r="ACW8" t="str">
        <f>IF(ACW7&gt;80000, "High", IF(ACW7&gt;50000, "Medium", IF(ACW7&gt;40000, "low", "extremely low")))</f>
        <v>Medium</v>
      </c>
      <c r="ACX8" t="str">
        <f>IF(ACX7&gt;80000, "High", IF(ACX7&gt;50000, "Medium", IF(ACX7&gt;40000, "low", "extremely low")))</f>
        <v>High</v>
      </c>
      <c r="ACY8" t="str">
        <f>IF(ACY7&gt;80000, "High", IF(ACY7&gt;50000, "Medium", IF(ACY7&gt;40000, "low", "extremely low")))</f>
        <v>High</v>
      </c>
      <c r="ACZ8" t="str">
        <f>IF(ACZ7&gt;80000, "High", IF(ACZ7&gt;50000, "Medium", IF(ACZ7&gt;40000, "low", "extremely low")))</f>
        <v>extremely low</v>
      </c>
      <c r="ADA8" t="str">
        <f>IF(ADA7&gt;80000, "High", IF(ADA7&gt;50000, "Medium", IF(ADA7&gt;40000, "low", "extremely low")))</f>
        <v>Medium</v>
      </c>
      <c r="ADB8" t="str">
        <f>IF(ADB7&gt;80000, "High", IF(ADB7&gt;50000, "Medium", IF(ADB7&gt;40000, "low", "extremely low")))</f>
        <v>High</v>
      </c>
      <c r="ADC8" t="str">
        <f>IF(ADC7&gt;80000, "High", IF(ADC7&gt;50000, "Medium", IF(ADC7&gt;40000, "low", "extremely low")))</f>
        <v>extremely low</v>
      </c>
      <c r="ADD8" t="str">
        <f>IF(ADD7&gt;80000, "High", IF(ADD7&gt;50000, "Medium", IF(ADD7&gt;40000, "low", "extremely low")))</f>
        <v>extremely low</v>
      </c>
      <c r="ADE8" t="str">
        <f>IF(ADE7&gt;80000, "High", IF(ADE7&gt;50000, "Medium", IF(ADE7&gt;40000, "low", "extremely low")))</f>
        <v>High</v>
      </c>
      <c r="ADF8" t="str">
        <f>IF(ADF7&gt;80000, "High", IF(ADF7&gt;50000, "Medium", IF(ADF7&gt;40000, "low", "extremely low")))</f>
        <v>High</v>
      </c>
      <c r="ADG8" t="str">
        <f>IF(ADG7&gt;80000, "High", IF(ADG7&gt;50000, "Medium", IF(ADG7&gt;40000, "low", "extremely low")))</f>
        <v>Medium</v>
      </c>
      <c r="ADH8" t="str">
        <f>IF(ADH7&gt;80000, "High", IF(ADH7&gt;50000, "Medium", IF(ADH7&gt;40000, "low", "extremely low")))</f>
        <v>low</v>
      </c>
      <c r="ADI8" t="str">
        <f>IF(ADI7&gt;80000, "High", IF(ADI7&gt;50000, "Medium", IF(ADI7&gt;40000, "low", "extremely low")))</f>
        <v>High</v>
      </c>
      <c r="ADJ8" t="str">
        <f>IF(ADJ7&gt;80000, "High", IF(ADJ7&gt;50000, "Medium", IF(ADJ7&gt;40000, "low", "extremely low")))</f>
        <v>High</v>
      </c>
      <c r="ADK8" t="str">
        <f>IF(ADK7&gt;80000, "High", IF(ADK7&gt;50000, "Medium", IF(ADK7&gt;40000, "low", "extremely low")))</f>
        <v>High</v>
      </c>
      <c r="ADL8" t="str">
        <f>IF(ADL7&gt;80000, "High", IF(ADL7&gt;50000, "Medium", IF(ADL7&gt;40000, "low", "extremely low")))</f>
        <v>Medium</v>
      </c>
      <c r="ADM8" t="str">
        <f>IF(ADM7&gt;80000, "High", IF(ADM7&gt;50000, "Medium", IF(ADM7&gt;40000, "low", "extremely low")))</f>
        <v>High</v>
      </c>
      <c r="ADN8" t="str">
        <f>IF(ADN7&gt;80000, "High", IF(ADN7&gt;50000, "Medium", IF(ADN7&gt;40000, "low", "extremely low")))</f>
        <v>High</v>
      </c>
      <c r="ADO8" t="str">
        <f>IF(ADO7&gt;80000, "High", IF(ADO7&gt;50000, "Medium", IF(ADO7&gt;40000, "low", "extremely low")))</f>
        <v>High</v>
      </c>
      <c r="ADP8" t="str">
        <f>IF(ADP7&gt;80000, "High", IF(ADP7&gt;50000, "Medium", IF(ADP7&gt;40000, "low", "extremely low")))</f>
        <v>low</v>
      </c>
      <c r="ADQ8" t="str">
        <f>IF(ADQ7&gt;80000, "High", IF(ADQ7&gt;50000, "Medium", IF(ADQ7&gt;40000, "low", "extremely low")))</f>
        <v>High</v>
      </c>
      <c r="ADR8" t="str">
        <f>IF(ADR7&gt;80000, "High", IF(ADR7&gt;50000, "Medium", IF(ADR7&gt;40000, "low", "extremely low")))</f>
        <v>High</v>
      </c>
      <c r="ADS8" t="str">
        <f>IF(ADS7&gt;80000, "High", IF(ADS7&gt;50000, "Medium", IF(ADS7&gt;40000, "low", "extremely low")))</f>
        <v>High</v>
      </c>
      <c r="ADT8" t="str">
        <f>IF(ADT7&gt;80000, "High", IF(ADT7&gt;50000, "Medium", IF(ADT7&gt;40000, "low", "extremely low")))</f>
        <v>High</v>
      </c>
      <c r="ADU8" t="str">
        <f>IF(ADU7&gt;80000, "High", IF(ADU7&gt;50000, "Medium", IF(ADU7&gt;40000, "low", "extremely low")))</f>
        <v>High</v>
      </c>
      <c r="ADV8" t="str">
        <f>IF(ADV7&gt;80000, "High", IF(ADV7&gt;50000, "Medium", IF(ADV7&gt;40000, "low", "extremely low")))</f>
        <v>High</v>
      </c>
      <c r="ADW8" t="str">
        <f>IF(ADW7&gt;80000, "High", IF(ADW7&gt;50000, "Medium", IF(ADW7&gt;40000, "low", "extremely low")))</f>
        <v>Medium</v>
      </c>
      <c r="ADX8" t="str">
        <f>IF(ADX7&gt;80000, "High", IF(ADX7&gt;50000, "Medium", IF(ADX7&gt;40000, "low", "extremely low")))</f>
        <v>Medium</v>
      </c>
      <c r="ADY8" t="str">
        <f>IF(ADY7&gt;80000, "High", IF(ADY7&gt;50000, "Medium", IF(ADY7&gt;40000, "low", "extremely low")))</f>
        <v>High</v>
      </c>
      <c r="ADZ8" t="str">
        <f>IF(ADZ7&gt;80000, "High", IF(ADZ7&gt;50000, "Medium", IF(ADZ7&gt;40000, "low", "extremely low")))</f>
        <v>Medium</v>
      </c>
      <c r="AEA8" t="str">
        <f>IF(AEA7&gt;80000, "High", IF(AEA7&gt;50000, "Medium", IF(AEA7&gt;40000, "low", "extremely low")))</f>
        <v>High</v>
      </c>
      <c r="AEB8" t="str">
        <f>IF(AEB7&gt;80000, "High", IF(AEB7&gt;50000, "Medium", IF(AEB7&gt;40000, "low", "extremely low")))</f>
        <v>High</v>
      </c>
      <c r="AEC8" t="str">
        <f>IF(AEC7&gt;80000, "High", IF(AEC7&gt;50000, "Medium", IF(AEC7&gt;40000, "low", "extremely low")))</f>
        <v>High</v>
      </c>
      <c r="AED8" t="str">
        <f>IF(AED7&gt;80000, "High", IF(AED7&gt;50000, "Medium", IF(AED7&gt;40000, "low", "extremely low")))</f>
        <v>High</v>
      </c>
      <c r="AEE8" t="str">
        <f>IF(AEE7&gt;80000, "High", IF(AEE7&gt;50000, "Medium", IF(AEE7&gt;40000, "low", "extremely low")))</f>
        <v>Medium</v>
      </c>
      <c r="AEF8" t="str">
        <f>IF(AEF7&gt;80000, "High", IF(AEF7&gt;50000, "Medium", IF(AEF7&gt;40000, "low", "extremely low")))</f>
        <v>low</v>
      </c>
      <c r="AEG8" t="str">
        <f>IF(AEG7&gt;80000, "High", IF(AEG7&gt;50000, "Medium", IF(AEG7&gt;40000, "low", "extremely low")))</f>
        <v>High</v>
      </c>
      <c r="AEH8" t="str">
        <f>IF(AEH7&gt;80000, "High", IF(AEH7&gt;50000, "Medium", IF(AEH7&gt;40000, "low", "extremely low")))</f>
        <v>Medium</v>
      </c>
      <c r="AEI8" t="str">
        <f>IF(AEI7&gt;80000, "High", IF(AEI7&gt;50000, "Medium", IF(AEI7&gt;40000, "low", "extremely low")))</f>
        <v>Medium</v>
      </c>
      <c r="AEJ8" t="str">
        <f>IF(AEJ7&gt;80000, "High", IF(AEJ7&gt;50000, "Medium", IF(AEJ7&gt;40000, "low", "extremely low")))</f>
        <v>High</v>
      </c>
      <c r="AEK8" t="str">
        <f>IF(AEK7&gt;80000, "High", IF(AEK7&gt;50000, "Medium", IF(AEK7&gt;40000, "low", "extremely low")))</f>
        <v>extremely low</v>
      </c>
      <c r="AEL8" t="str">
        <f>IF(AEL7&gt;80000, "High", IF(AEL7&gt;50000, "Medium", IF(AEL7&gt;40000, "low", "extremely low")))</f>
        <v>High</v>
      </c>
      <c r="AEM8" t="str">
        <f>IF(AEM7&gt;80000, "High", IF(AEM7&gt;50000, "Medium", IF(AEM7&gt;40000, "low", "extremely low")))</f>
        <v>extremely low</v>
      </c>
      <c r="AEN8" t="str">
        <f>IF(AEN7&gt;80000, "High", IF(AEN7&gt;50000, "Medium", IF(AEN7&gt;40000, "low", "extremely low")))</f>
        <v>extremely low</v>
      </c>
      <c r="AEO8" t="str">
        <f>IF(AEO7&gt;80000, "High", IF(AEO7&gt;50000, "Medium", IF(AEO7&gt;40000, "low", "extremely low")))</f>
        <v>High</v>
      </c>
      <c r="AEP8" t="str">
        <f>IF(AEP7&gt;80000, "High", IF(AEP7&gt;50000, "Medium", IF(AEP7&gt;40000, "low", "extremely low")))</f>
        <v>High</v>
      </c>
      <c r="AEQ8" t="str">
        <f>IF(AEQ7&gt;80000, "High", IF(AEQ7&gt;50000, "Medium", IF(AEQ7&gt;40000, "low", "extremely low")))</f>
        <v>low</v>
      </c>
      <c r="AER8" t="str">
        <f>IF(AER7&gt;80000, "High", IF(AER7&gt;50000, "Medium", IF(AER7&gt;40000, "low", "extremely low")))</f>
        <v>low</v>
      </c>
      <c r="AES8" t="str">
        <f>IF(AES7&gt;80000, "High", IF(AES7&gt;50000, "Medium", IF(AES7&gt;40000, "low", "extremely low")))</f>
        <v>High</v>
      </c>
      <c r="AET8" t="str">
        <f>IF(AET7&gt;80000, "High", IF(AET7&gt;50000, "Medium", IF(AET7&gt;40000, "low", "extremely low")))</f>
        <v>High</v>
      </c>
      <c r="AEU8" t="str">
        <f>IF(AEU7&gt;80000, "High", IF(AEU7&gt;50000, "Medium", IF(AEU7&gt;40000, "low", "extremely low")))</f>
        <v>extremely low</v>
      </c>
      <c r="AEV8" t="str">
        <f>IF(AEV7&gt;80000, "High", IF(AEV7&gt;50000, "Medium", IF(AEV7&gt;40000, "low", "extremely low")))</f>
        <v>High</v>
      </c>
      <c r="AEW8" t="str">
        <f>IF(AEW7&gt;80000, "High", IF(AEW7&gt;50000, "Medium", IF(AEW7&gt;40000, "low", "extremely low")))</f>
        <v>Medium</v>
      </c>
      <c r="AEX8" t="str">
        <f>IF(AEX7&gt;80000, "High", IF(AEX7&gt;50000, "Medium", IF(AEX7&gt;40000, "low", "extremely low")))</f>
        <v>low</v>
      </c>
      <c r="AEY8" t="str">
        <f>IF(AEY7&gt;80000, "High", IF(AEY7&gt;50000, "Medium", IF(AEY7&gt;40000, "low", "extremely low")))</f>
        <v>High</v>
      </c>
      <c r="AEZ8" t="str">
        <f>IF(AEZ7&gt;80000, "High", IF(AEZ7&gt;50000, "Medium", IF(AEZ7&gt;40000, "low", "extremely low")))</f>
        <v>High</v>
      </c>
      <c r="AFA8" t="str">
        <f>IF(AFA7&gt;80000, "High", IF(AFA7&gt;50000, "Medium", IF(AFA7&gt;40000, "low", "extremely low")))</f>
        <v>low</v>
      </c>
      <c r="AFB8" t="str">
        <f>IF(AFB7&gt;80000, "High", IF(AFB7&gt;50000, "Medium", IF(AFB7&gt;40000, "low", "extremely low")))</f>
        <v>High</v>
      </c>
      <c r="AFC8" t="str">
        <f>IF(AFC7&gt;80000, "High", IF(AFC7&gt;50000, "Medium", IF(AFC7&gt;40000, "low", "extremely low")))</f>
        <v>extremely low</v>
      </c>
      <c r="AFD8" t="str">
        <f>IF(AFD7&gt;80000, "High", IF(AFD7&gt;50000, "Medium", IF(AFD7&gt;40000, "low", "extremely low")))</f>
        <v>low</v>
      </c>
      <c r="AFE8" t="str">
        <f>IF(AFE7&gt;80000, "High", IF(AFE7&gt;50000, "Medium", IF(AFE7&gt;40000, "low", "extremely low")))</f>
        <v>High</v>
      </c>
      <c r="AFF8" t="str">
        <f>IF(AFF7&gt;80000, "High", IF(AFF7&gt;50000, "Medium", IF(AFF7&gt;40000, "low", "extremely low")))</f>
        <v>High</v>
      </c>
      <c r="AFG8" t="str">
        <f>IF(AFG7&gt;80000, "High", IF(AFG7&gt;50000, "Medium", IF(AFG7&gt;40000, "low", "extremely low")))</f>
        <v>Medium</v>
      </c>
      <c r="AFH8" t="str">
        <f>IF(AFH7&gt;80000, "High", IF(AFH7&gt;50000, "Medium", IF(AFH7&gt;40000, "low", "extremely low")))</f>
        <v>Medium</v>
      </c>
      <c r="AFI8" t="str">
        <f>IF(AFI7&gt;80000, "High", IF(AFI7&gt;50000, "Medium", IF(AFI7&gt;40000, "low", "extremely low")))</f>
        <v>High</v>
      </c>
      <c r="AFJ8" t="str">
        <f>IF(AFJ7&gt;80000, "High", IF(AFJ7&gt;50000, "Medium", IF(AFJ7&gt;40000, "low", "extremely low")))</f>
        <v>low</v>
      </c>
      <c r="AFK8" t="str">
        <f>IF(AFK7&gt;80000, "High", IF(AFK7&gt;50000, "Medium", IF(AFK7&gt;40000, "low", "extremely low")))</f>
        <v>High</v>
      </c>
      <c r="AFL8" t="str">
        <f>IF(AFL7&gt;80000, "High", IF(AFL7&gt;50000, "Medium", IF(AFL7&gt;40000, "low", "extremely low")))</f>
        <v>High</v>
      </c>
      <c r="AFM8" t="str">
        <f>IF(AFM7&gt;80000, "High", IF(AFM7&gt;50000, "Medium", IF(AFM7&gt;40000, "low", "extremely low")))</f>
        <v>High</v>
      </c>
      <c r="AFN8" t="str">
        <f>IF(AFN7&gt;80000, "High", IF(AFN7&gt;50000, "Medium", IF(AFN7&gt;40000, "low", "extremely low")))</f>
        <v>extremely low</v>
      </c>
      <c r="AFO8" t="str">
        <f>IF(AFO7&gt;80000, "High", IF(AFO7&gt;50000, "Medium", IF(AFO7&gt;40000, "low", "extremely low")))</f>
        <v>High</v>
      </c>
      <c r="AFP8" t="str">
        <f>IF(AFP7&gt;80000, "High", IF(AFP7&gt;50000, "Medium", IF(AFP7&gt;40000, "low", "extremely low")))</f>
        <v>Medium</v>
      </c>
      <c r="AFQ8" t="str">
        <f>IF(AFQ7&gt;80000, "High", IF(AFQ7&gt;50000, "Medium", IF(AFQ7&gt;40000, "low", "extremely low")))</f>
        <v>High</v>
      </c>
      <c r="AFR8" t="str">
        <f>IF(AFR7&gt;80000, "High", IF(AFR7&gt;50000, "Medium", IF(AFR7&gt;40000, "low", "extremely low")))</f>
        <v>Medium</v>
      </c>
      <c r="AFS8" t="str">
        <f>IF(AFS7&gt;80000, "High", IF(AFS7&gt;50000, "Medium", IF(AFS7&gt;40000, "low", "extremely low")))</f>
        <v>extremely low</v>
      </c>
      <c r="AFT8" t="str">
        <f>IF(AFT7&gt;80000, "High", IF(AFT7&gt;50000, "Medium", IF(AFT7&gt;40000, "low", "extremely low")))</f>
        <v>Medium</v>
      </c>
      <c r="AFU8" t="str">
        <f>IF(AFU7&gt;80000, "High", IF(AFU7&gt;50000, "Medium", IF(AFU7&gt;40000, "low", "extremely low")))</f>
        <v>High</v>
      </c>
      <c r="AFV8" t="str">
        <f>IF(AFV7&gt;80000, "High", IF(AFV7&gt;50000, "Medium", IF(AFV7&gt;40000, "low", "extremely low")))</f>
        <v>Medium</v>
      </c>
      <c r="AFW8" t="str">
        <f>IF(AFW7&gt;80000, "High", IF(AFW7&gt;50000, "Medium", IF(AFW7&gt;40000, "low", "extremely low")))</f>
        <v>Medium</v>
      </c>
      <c r="AFX8" t="str">
        <f>IF(AFX7&gt;80000, "High", IF(AFX7&gt;50000, "Medium", IF(AFX7&gt;40000, "low", "extremely low")))</f>
        <v>High</v>
      </c>
      <c r="AFY8" t="str">
        <f>IF(AFY7&gt;80000, "High", IF(AFY7&gt;50000, "Medium", IF(AFY7&gt;40000, "low", "extremely low")))</f>
        <v>High</v>
      </c>
      <c r="AFZ8" t="str">
        <f>IF(AFZ7&gt;80000, "High", IF(AFZ7&gt;50000, "Medium", IF(AFZ7&gt;40000, "low", "extremely low")))</f>
        <v>High</v>
      </c>
      <c r="AGA8" t="str">
        <f>IF(AGA7&gt;80000, "High", IF(AGA7&gt;50000, "Medium", IF(AGA7&gt;40000, "low", "extremely low")))</f>
        <v>High</v>
      </c>
      <c r="AGB8" t="str">
        <f>IF(AGB7&gt;80000, "High", IF(AGB7&gt;50000, "Medium", IF(AGB7&gt;40000, "low", "extremely low")))</f>
        <v>High</v>
      </c>
      <c r="AGC8" t="str">
        <f>IF(AGC7&gt;80000, "High", IF(AGC7&gt;50000, "Medium", IF(AGC7&gt;40000, "low", "extremely low")))</f>
        <v>Medium</v>
      </c>
      <c r="AGD8" t="str">
        <f>IF(AGD7&gt;80000, "High", IF(AGD7&gt;50000, "Medium", IF(AGD7&gt;40000, "low", "extremely low")))</f>
        <v>High</v>
      </c>
      <c r="AGE8" t="str">
        <f>IF(AGE7&gt;80000, "High", IF(AGE7&gt;50000, "Medium", IF(AGE7&gt;40000, "low", "extremely low")))</f>
        <v>Medium</v>
      </c>
      <c r="AGF8" t="str">
        <f>IF(AGF7&gt;80000, "High", IF(AGF7&gt;50000, "Medium", IF(AGF7&gt;40000, "low", "extremely low")))</f>
        <v>High</v>
      </c>
      <c r="AGG8" t="str">
        <f>IF(AGG7&gt;80000, "High", IF(AGG7&gt;50000, "Medium", IF(AGG7&gt;40000, "low", "extremely low")))</f>
        <v>High</v>
      </c>
      <c r="AGH8" t="str">
        <f>IF(AGH7&gt;80000, "High", IF(AGH7&gt;50000, "Medium", IF(AGH7&gt;40000, "low", "extremely low")))</f>
        <v>Medium</v>
      </c>
      <c r="AGI8" t="str">
        <f>IF(AGI7&gt;80000, "High", IF(AGI7&gt;50000, "Medium", IF(AGI7&gt;40000, "low", "extremely low")))</f>
        <v>low</v>
      </c>
      <c r="AGJ8" t="str">
        <f>IF(AGJ7&gt;80000, "High", IF(AGJ7&gt;50000, "Medium", IF(AGJ7&gt;40000, "low", "extremely low")))</f>
        <v>extremely low</v>
      </c>
      <c r="AGK8" t="str">
        <f>IF(AGK7&gt;80000, "High", IF(AGK7&gt;50000, "Medium", IF(AGK7&gt;40000, "low", "extremely low")))</f>
        <v>extremely low</v>
      </c>
      <c r="AGL8" t="str">
        <f>IF(AGL7&gt;80000, "High", IF(AGL7&gt;50000, "Medium", IF(AGL7&gt;40000, "low", "extremely low")))</f>
        <v>Medium</v>
      </c>
      <c r="AGM8" t="str">
        <f>IF(AGM7&gt;80000, "High", IF(AGM7&gt;50000, "Medium", IF(AGM7&gt;40000, "low", "extremely low")))</f>
        <v>low</v>
      </c>
      <c r="AGN8" t="str">
        <f>IF(AGN7&gt;80000, "High", IF(AGN7&gt;50000, "Medium", IF(AGN7&gt;40000, "low", "extremely low")))</f>
        <v>low</v>
      </c>
      <c r="AGO8" t="str">
        <f>IF(AGO7&gt;80000, "High", IF(AGO7&gt;50000, "Medium", IF(AGO7&gt;40000, "low", "extremely low")))</f>
        <v>Medium</v>
      </c>
      <c r="AGP8" t="str">
        <f>IF(AGP7&gt;80000, "High", IF(AGP7&gt;50000, "Medium", IF(AGP7&gt;40000, "low", "extremely low")))</f>
        <v>low</v>
      </c>
      <c r="AGQ8" t="str">
        <f>IF(AGQ7&gt;80000, "High", IF(AGQ7&gt;50000, "Medium", IF(AGQ7&gt;40000, "low", "extremely low")))</f>
        <v>Medium</v>
      </c>
      <c r="AGR8" t="str">
        <f>IF(AGR7&gt;80000, "High", IF(AGR7&gt;50000, "Medium", IF(AGR7&gt;40000, "low", "extremely low")))</f>
        <v>High</v>
      </c>
      <c r="AGS8" t="str">
        <f>IF(AGS7&gt;80000, "High", IF(AGS7&gt;50000, "Medium", IF(AGS7&gt;40000, "low", "extremely low")))</f>
        <v>High</v>
      </c>
      <c r="AGT8" t="str">
        <f>IF(AGT7&gt;80000, "High", IF(AGT7&gt;50000, "Medium", IF(AGT7&gt;40000, "low", "extremely low")))</f>
        <v>Medium</v>
      </c>
      <c r="AGU8" t="str">
        <f>IF(AGU7&gt;80000, "High", IF(AGU7&gt;50000, "Medium", IF(AGU7&gt;40000, "low", "extremely low")))</f>
        <v>extremely low</v>
      </c>
      <c r="AGV8" t="str">
        <f>IF(AGV7&gt;80000, "High", IF(AGV7&gt;50000, "Medium", IF(AGV7&gt;40000, "low", "extremely low")))</f>
        <v>extremely low</v>
      </c>
      <c r="AGW8" t="str">
        <f>IF(AGW7&gt;80000, "High", IF(AGW7&gt;50000, "Medium", IF(AGW7&gt;40000, "low", "extremely low")))</f>
        <v>extremely low</v>
      </c>
      <c r="AGX8" t="str">
        <f>IF(AGX7&gt;80000, "High", IF(AGX7&gt;50000, "Medium", IF(AGX7&gt;40000, "low", "extremely low")))</f>
        <v>extremely low</v>
      </c>
      <c r="AGY8" t="str">
        <f>IF(AGY7&gt;80000, "High", IF(AGY7&gt;50000, "Medium", IF(AGY7&gt;40000, "low", "extremely low")))</f>
        <v>extremely low</v>
      </c>
      <c r="AGZ8" t="str">
        <f>IF(AGZ7&gt;80000, "High", IF(AGZ7&gt;50000, "Medium", IF(AGZ7&gt;40000, "low", "extremely low")))</f>
        <v>extremely low</v>
      </c>
      <c r="AHA8" t="str">
        <f>IF(AHA7&gt;80000, "High", IF(AHA7&gt;50000, "Medium", IF(AHA7&gt;40000, "low", "extremely low")))</f>
        <v>extremely low</v>
      </c>
    </row>
    <row r="9" spans="1:885" x14ac:dyDescent="0.25">
      <c r="A9" s="2" t="s">
        <v>5</v>
      </c>
      <c r="B9" s="3">
        <v>37513</v>
      </c>
      <c r="C9" s="3">
        <v>39764</v>
      </c>
      <c r="D9" s="3">
        <v>42929</v>
      </c>
      <c r="E9" s="3">
        <v>41847</v>
      </c>
      <c r="F9" s="3">
        <v>40371</v>
      </c>
      <c r="G9" s="3">
        <v>41830</v>
      </c>
      <c r="H9" s="3">
        <v>42827</v>
      </c>
      <c r="I9" s="3">
        <v>40219</v>
      </c>
      <c r="J9" s="3">
        <v>36624</v>
      </c>
      <c r="K9" s="3">
        <v>38814</v>
      </c>
      <c r="L9" s="3">
        <v>38040</v>
      </c>
      <c r="M9" s="3">
        <v>40823</v>
      </c>
      <c r="N9" s="3">
        <v>37159</v>
      </c>
      <c r="O9" s="3">
        <v>43789</v>
      </c>
      <c r="P9" s="3">
        <v>41367</v>
      </c>
      <c r="Q9" s="3">
        <v>41111</v>
      </c>
      <c r="R9" s="3">
        <v>37104</v>
      </c>
      <c r="S9" s="3">
        <v>40485</v>
      </c>
      <c r="T9" s="3">
        <v>43196</v>
      </c>
      <c r="U9" s="3">
        <v>36798</v>
      </c>
      <c r="V9" s="3">
        <v>41864</v>
      </c>
      <c r="W9" s="3">
        <v>41407</v>
      </c>
      <c r="X9" s="3">
        <v>40480</v>
      </c>
      <c r="Y9" s="3">
        <v>40453</v>
      </c>
      <c r="Z9" s="3">
        <v>36978</v>
      </c>
      <c r="AA9" s="3">
        <v>37701</v>
      </c>
      <c r="AB9" s="3">
        <v>43016</v>
      </c>
      <c r="AC9" s="3">
        <v>41437</v>
      </c>
      <c r="AD9" s="3">
        <v>36939</v>
      </c>
      <c r="AE9" s="3">
        <v>38076</v>
      </c>
      <c r="AF9" s="3">
        <v>41052</v>
      </c>
      <c r="AG9" s="3">
        <v>43048</v>
      </c>
      <c r="AH9" s="3">
        <v>43667</v>
      </c>
      <c r="AI9" s="3">
        <v>41516</v>
      </c>
      <c r="AJ9" s="3">
        <v>43097</v>
      </c>
      <c r="AK9" s="3">
        <v>38472</v>
      </c>
      <c r="AL9" s="3">
        <v>41729</v>
      </c>
      <c r="AM9" s="3">
        <v>36717</v>
      </c>
      <c r="AN9" s="3">
        <v>36566</v>
      </c>
      <c r="AO9" s="3">
        <v>42509</v>
      </c>
      <c r="AP9" s="3">
        <v>38385</v>
      </c>
      <c r="AQ9" s="3">
        <v>42418</v>
      </c>
      <c r="AR9" s="3">
        <v>37858</v>
      </c>
      <c r="AS9" s="3">
        <v>39975</v>
      </c>
      <c r="AT9" s="3">
        <v>36661</v>
      </c>
      <c r="AU9" s="3">
        <v>42435</v>
      </c>
      <c r="AV9" s="3">
        <v>40727</v>
      </c>
      <c r="AW9" s="3">
        <v>41140</v>
      </c>
      <c r="AX9" s="3">
        <v>38467</v>
      </c>
      <c r="AY9" s="3">
        <v>43483</v>
      </c>
      <c r="AZ9" s="3">
        <v>38091</v>
      </c>
      <c r="BA9" s="3">
        <v>40747</v>
      </c>
      <c r="BB9" s="3">
        <v>43069</v>
      </c>
      <c r="BC9" s="3">
        <v>42748</v>
      </c>
      <c r="BD9" s="3">
        <v>36914</v>
      </c>
      <c r="BE9" s="3">
        <v>38084</v>
      </c>
      <c r="BF9" s="3">
        <v>42346</v>
      </c>
      <c r="BG9" s="3">
        <v>38647</v>
      </c>
      <c r="BH9" s="3">
        <v>37554</v>
      </c>
      <c r="BI9" s="3">
        <v>42564</v>
      </c>
      <c r="BJ9" s="3">
        <v>40060</v>
      </c>
      <c r="BK9" s="3">
        <v>36607</v>
      </c>
      <c r="BL9" s="3">
        <v>42182</v>
      </c>
      <c r="BM9" s="3">
        <v>37301</v>
      </c>
      <c r="BN9" s="3">
        <v>39564</v>
      </c>
      <c r="BO9" s="3">
        <v>40899</v>
      </c>
      <c r="BP9" s="3">
        <v>39413</v>
      </c>
      <c r="BQ9" s="3">
        <v>38404</v>
      </c>
      <c r="BR9" s="3">
        <v>38797</v>
      </c>
      <c r="BS9" s="3">
        <v>38133</v>
      </c>
      <c r="BT9" s="3">
        <v>39665</v>
      </c>
      <c r="BU9" s="3">
        <v>37131</v>
      </c>
      <c r="BV9" s="3">
        <v>42688</v>
      </c>
      <c r="BW9" s="3">
        <v>41261</v>
      </c>
      <c r="BX9" s="3">
        <v>39940</v>
      </c>
      <c r="BY9" s="3">
        <v>40191</v>
      </c>
      <c r="BZ9" s="3">
        <v>42411</v>
      </c>
      <c r="CA9" s="3">
        <v>42378</v>
      </c>
      <c r="CB9" s="3">
        <v>41988</v>
      </c>
      <c r="CC9" s="3">
        <v>38670</v>
      </c>
      <c r="CD9" s="3">
        <v>43745</v>
      </c>
      <c r="CE9" s="3">
        <v>40796</v>
      </c>
      <c r="CF9" s="3">
        <v>40291</v>
      </c>
      <c r="CG9" s="3">
        <v>37902</v>
      </c>
      <c r="CH9" s="3">
        <v>39988</v>
      </c>
      <c r="CI9" s="3">
        <v>43808</v>
      </c>
      <c r="CJ9" s="3">
        <v>36873</v>
      </c>
      <c r="CK9" s="3">
        <v>36526</v>
      </c>
      <c r="CL9" s="3">
        <v>36588</v>
      </c>
      <c r="CM9" s="3">
        <v>38309</v>
      </c>
      <c r="CN9" s="3">
        <v>40340</v>
      </c>
      <c r="CO9" s="3">
        <v>36751</v>
      </c>
      <c r="CP9" s="3">
        <v>43092</v>
      </c>
      <c r="CQ9" s="3">
        <v>37568</v>
      </c>
      <c r="CR9" s="3">
        <v>42700</v>
      </c>
      <c r="CS9" s="3">
        <v>37370</v>
      </c>
      <c r="CT9" s="3">
        <v>39206</v>
      </c>
      <c r="CU9" s="3">
        <v>40645</v>
      </c>
      <c r="CV9" s="3">
        <v>43506</v>
      </c>
      <c r="CW9" s="3">
        <v>43652</v>
      </c>
      <c r="CX9" s="3">
        <v>37760</v>
      </c>
      <c r="CY9" s="3">
        <v>38510</v>
      </c>
      <c r="CZ9" s="3">
        <v>40782</v>
      </c>
      <c r="DA9" s="3">
        <v>37804</v>
      </c>
      <c r="DB9" s="3">
        <v>38120</v>
      </c>
      <c r="DC9" s="3">
        <v>42783</v>
      </c>
      <c r="DD9" s="3">
        <v>39077</v>
      </c>
      <c r="DE9" s="3">
        <v>38478</v>
      </c>
      <c r="DF9" s="3">
        <v>38221</v>
      </c>
      <c r="DG9" s="3">
        <v>37480</v>
      </c>
      <c r="DH9" s="3">
        <v>39817</v>
      </c>
      <c r="DI9" s="3">
        <v>36882</v>
      </c>
      <c r="DJ9" s="3">
        <v>42838</v>
      </c>
      <c r="DK9" s="3">
        <v>40121</v>
      </c>
      <c r="DL9" s="3">
        <v>37494</v>
      </c>
      <c r="DM9" s="3">
        <v>36767</v>
      </c>
      <c r="DN9" s="3">
        <v>39972</v>
      </c>
      <c r="DO9" s="3">
        <v>40760</v>
      </c>
      <c r="DP9" s="3">
        <v>38670</v>
      </c>
      <c r="DQ9" s="3">
        <v>36672</v>
      </c>
      <c r="DR9" s="3">
        <v>41702</v>
      </c>
      <c r="DS9" s="3">
        <v>41687</v>
      </c>
      <c r="DT9" s="3">
        <v>43535</v>
      </c>
      <c r="DU9" s="3">
        <v>37068</v>
      </c>
      <c r="DV9" s="3">
        <v>37217</v>
      </c>
      <c r="DW9" s="3">
        <v>37551</v>
      </c>
      <c r="DX9" s="3">
        <v>40576</v>
      </c>
      <c r="DY9" s="3">
        <v>40531</v>
      </c>
      <c r="DZ9" s="3">
        <v>39885</v>
      </c>
      <c r="EA9" s="3">
        <v>41783</v>
      </c>
      <c r="EB9" s="3">
        <v>42262</v>
      </c>
      <c r="EC9" s="3">
        <v>39477</v>
      </c>
      <c r="ED9" s="3">
        <v>37255</v>
      </c>
      <c r="EE9" s="3">
        <v>43000</v>
      </c>
      <c r="EF9" s="3">
        <v>43286</v>
      </c>
      <c r="EG9" s="3">
        <v>41025</v>
      </c>
      <c r="EH9" s="3">
        <v>39081</v>
      </c>
      <c r="EI9" s="3">
        <v>42561</v>
      </c>
      <c r="EJ9" s="3">
        <v>37676</v>
      </c>
      <c r="EK9" s="3">
        <v>38261</v>
      </c>
      <c r="EL9" s="3">
        <v>37564</v>
      </c>
      <c r="EM9" s="3">
        <v>42895</v>
      </c>
      <c r="EN9" s="3">
        <v>43653</v>
      </c>
      <c r="EO9" s="3">
        <v>39438</v>
      </c>
      <c r="EP9" s="3">
        <v>43798</v>
      </c>
      <c r="EQ9" s="3">
        <v>41366</v>
      </c>
      <c r="ER9" s="3">
        <v>39066</v>
      </c>
      <c r="ES9" s="3">
        <v>40940</v>
      </c>
      <c r="ET9" s="3">
        <v>37768</v>
      </c>
      <c r="EU9" s="3">
        <v>37298</v>
      </c>
      <c r="EV9" s="3">
        <v>38442</v>
      </c>
      <c r="EW9" s="3">
        <v>39938</v>
      </c>
      <c r="EX9" s="3">
        <v>39025</v>
      </c>
      <c r="EY9" s="3">
        <v>39966</v>
      </c>
      <c r="EZ9" s="3">
        <v>41565</v>
      </c>
      <c r="FA9" s="3">
        <v>43517</v>
      </c>
      <c r="FB9" s="3">
        <v>43686</v>
      </c>
      <c r="FC9" s="3">
        <v>42636</v>
      </c>
      <c r="FD9" s="3">
        <v>40071</v>
      </c>
      <c r="FE9" s="3">
        <v>37739</v>
      </c>
      <c r="FF9" s="3">
        <v>39457</v>
      </c>
      <c r="FG9" s="3">
        <v>36944</v>
      </c>
      <c r="FH9" s="3">
        <v>40307</v>
      </c>
      <c r="FI9" s="3">
        <v>41486</v>
      </c>
      <c r="FJ9" s="3">
        <v>37314</v>
      </c>
      <c r="FK9" s="3">
        <v>38397</v>
      </c>
      <c r="FL9" s="3">
        <v>41116</v>
      </c>
      <c r="FM9" s="3">
        <v>41684</v>
      </c>
      <c r="FN9" s="3">
        <v>42831</v>
      </c>
      <c r="FO9" s="3">
        <v>38551</v>
      </c>
      <c r="FP9" s="3">
        <v>42790</v>
      </c>
      <c r="FQ9" s="3">
        <v>38972</v>
      </c>
      <c r="FR9" s="3">
        <v>42607</v>
      </c>
      <c r="FS9" s="3">
        <v>41349</v>
      </c>
      <c r="FT9" s="3">
        <v>37086</v>
      </c>
      <c r="FU9" s="3">
        <v>39177</v>
      </c>
      <c r="FV9" s="3">
        <v>41774</v>
      </c>
      <c r="FW9" s="3">
        <v>40430</v>
      </c>
      <c r="FX9" s="3">
        <v>37065</v>
      </c>
      <c r="FY9" s="3">
        <v>43025</v>
      </c>
      <c r="FZ9" s="3">
        <v>41281</v>
      </c>
      <c r="GA9" s="3">
        <v>43101</v>
      </c>
      <c r="GB9" s="3">
        <v>42485</v>
      </c>
      <c r="GC9" s="3">
        <v>39662</v>
      </c>
      <c r="GD9" s="3">
        <v>39815</v>
      </c>
      <c r="GE9" s="3">
        <v>39136</v>
      </c>
      <c r="GF9" s="3">
        <v>42072</v>
      </c>
      <c r="GG9" s="3">
        <v>41438</v>
      </c>
      <c r="GH9" s="3">
        <v>38470</v>
      </c>
      <c r="GI9" s="3">
        <v>39671</v>
      </c>
      <c r="GJ9" s="3">
        <v>39284</v>
      </c>
      <c r="GK9" s="3">
        <v>41837</v>
      </c>
      <c r="GL9" s="3">
        <v>39786</v>
      </c>
      <c r="GM9" s="3">
        <v>40633</v>
      </c>
      <c r="GN9" s="3">
        <v>42908</v>
      </c>
      <c r="GO9" s="3">
        <v>38421</v>
      </c>
      <c r="GP9" s="3">
        <v>39026</v>
      </c>
      <c r="GQ9" s="3">
        <v>43052</v>
      </c>
      <c r="GR9" s="3">
        <v>39355</v>
      </c>
      <c r="GS9" s="3">
        <v>40399</v>
      </c>
      <c r="GT9" s="3">
        <v>36573</v>
      </c>
      <c r="GU9" s="3">
        <v>38890</v>
      </c>
      <c r="GV9" s="3">
        <v>38782</v>
      </c>
      <c r="GW9" s="3">
        <v>42192</v>
      </c>
      <c r="GX9" s="3">
        <v>43812</v>
      </c>
      <c r="GY9" s="3">
        <v>41198</v>
      </c>
      <c r="GZ9" s="3">
        <v>42984</v>
      </c>
      <c r="HA9" s="3">
        <v>37279</v>
      </c>
      <c r="HB9" s="3">
        <v>41681</v>
      </c>
      <c r="HC9" s="3">
        <v>43584</v>
      </c>
      <c r="HD9" s="3">
        <v>39328</v>
      </c>
      <c r="HE9" s="3">
        <v>41175</v>
      </c>
      <c r="HF9" s="3">
        <v>40178</v>
      </c>
      <c r="HG9" s="3">
        <v>36928</v>
      </c>
      <c r="HH9" s="3">
        <v>41752</v>
      </c>
      <c r="HI9" s="3">
        <v>38612</v>
      </c>
      <c r="HJ9" s="3">
        <v>43250</v>
      </c>
      <c r="HK9" s="3">
        <v>38753</v>
      </c>
      <c r="HL9" s="3">
        <v>42681</v>
      </c>
      <c r="HM9" s="3">
        <v>39936</v>
      </c>
      <c r="HN9" s="3">
        <v>39516</v>
      </c>
      <c r="HO9" s="3">
        <v>41169</v>
      </c>
      <c r="HP9" s="3">
        <v>37675</v>
      </c>
      <c r="HQ9" s="3">
        <v>36588</v>
      </c>
      <c r="HR9" s="3">
        <v>41465</v>
      </c>
      <c r="HS9" s="3">
        <v>39679</v>
      </c>
      <c r="HT9" s="3">
        <v>37534</v>
      </c>
      <c r="HU9" s="3">
        <v>42464</v>
      </c>
      <c r="HV9" s="3">
        <v>38557</v>
      </c>
      <c r="HW9" s="3">
        <v>37848</v>
      </c>
      <c r="HX9" s="3">
        <v>38607</v>
      </c>
      <c r="HY9" s="3">
        <v>37277</v>
      </c>
      <c r="HZ9" s="3">
        <v>40670</v>
      </c>
      <c r="IA9" s="3">
        <v>37183</v>
      </c>
      <c r="IB9" s="3">
        <v>38186</v>
      </c>
      <c r="IC9" s="3">
        <v>37226</v>
      </c>
      <c r="ID9" s="3">
        <v>37606</v>
      </c>
      <c r="IE9" s="3">
        <v>38682</v>
      </c>
      <c r="IF9" s="3">
        <v>38066</v>
      </c>
      <c r="IG9" s="3">
        <v>39558</v>
      </c>
      <c r="IH9" s="3">
        <v>42693</v>
      </c>
      <c r="II9" s="3">
        <v>42890</v>
      </c>
      <c r="IJ9" s="3">
        <v>38509</v>
      </c>
      <c r="IK9" s="3">
        <v>36840</v>
      </c>
      <c r="IL9" s="3">
        <v>42963</v>
      </c>
      <c r="IM9" s="3">
        <v>39607</v>
      </c>
      <c r="IN9" s="3">
        <v>42322</v>
      </c>
      <c r="IO9" s="3">
        <v>43689</v>
      </c>
      <c r="IP9" s="3">
        <v>41639</v>
      </c>
      <c r="IQ9" s="3">
        <v>41259</v>
      </c>
      <c r="IR9" s="3">
        <v>38840</v>
      </c>
      <c r="IS9" s="3">
        <v>38661</v>
      </c>
      <c r="IT9" s="3">
        <v>43124</v>
      </c>
      <c r="IU9" s="3">
        <v>38175</v>
      </c>
      <c r="IV9" s="3">
        <v>39745</v>
      </c>
      <c r="IW9" s="3">
        <v>43426</v>
      </c>
      <c r="IX9" s="3">
        <v>40326</v>
      </c>
      <c r="IY9" s="3">
        <v>39004</v>
      </c>
      <c r="IZ9" s="3">
        <v>40593</v>
      </c>
      <c r="JA9" s="3">
        <v>38301</v>
      </c>
      <c r="JB9" s="3">
        <v>38492</v>
      </c>
      <c r="JC9" s="3">
        <v>43580</v>
      </c>
      <c r="JD9" s="3">
        <v>42585</v>
      </c>
      <c r="JE9" s="3">
        <v>38293</v>
      </c>
      <c r="JF9" s="3">
        <v>40341</v>
      </c>
      <c r="JG9" s="3">
        <v>36767</v>
      </c>
      <c r="JH9" s="3">
        <v>41323</v>
      </c>
      <c r="JI9" s="3">
        <v>39475</v>
      </c>
      <c r="JJ9" s="3">
        <v>41362</v>
      </c>
      <c r="JK9" s="3">
        <v>42735</v>
      </c>
      <c r="JL9" s="3">
        <v>43641</v>
      </c>
      <c r="JM9" s="3">
        <v>43047</v>
      </c>
      <c r="JN9" s="3">
        <v>43057</v>
      </c>
      <c r="JO9" s="3">
        <v>42436</v>
      </c>
      <c r="JP9" s="3">
        <v>41402</v>
      </c>
      <c r="JQ9" s="3">
        <v>38782</v>
      </c>
      <c r="JR9" s="3">
        <v>40637</v>
      </c>
      <c r="JS9" s="3">
        <v>39894</v>
      </c>
      <c r="JT9" s="3">
        <v>41607</v>
      </c>
      <c r="JU9" s="3">
        <v>36892</v>
      </c>
      <c r="JV9" s="3">
        <v>39353</v>
      </c>
      <c r="JW9" s="3">
        <v>37778</v>
      </c>
      <c r="JX9" s="3">
        <v>39013</v>
      </c>
      <c r="JY9" s="3">
        <v>41311</v>
      </c>
      <c r="JZ9" s="3">
        <v>40129</v>
      </c>
      <c r="KA9" s="3">
        <v>40047</v>
      </c>
      <c r="KB9" s="3">
        <v>41681</v>
      </c>
      <c r="KC9" s="3">
        <v>41468</v>
      </c>
      <c r="KD9" s="3">
        <v>41043</v>
      </c>
      <c r="KE9" s="3">
        <v>38169</v>
      </c>
      <c r="KF9" s="3">
        <v>37738</v>
      </c>
      <c r="KG9" s="3">
        <v>41229</v>
      </c>
      <c r="KH9" s="3">
        <v>41960</v>
      </c>
      <c r="KI9" s="3">
        <v>36545</v>
      </c>
      <c r="KJ9" s="3">
        <v>37201</v>
      </c>
      <c r="KK9" s="3">
        <v>41003</v>
      </c>
      <c r="KL9" s="3">
        <v>37134</v>
      </c>
      <c r="KM9" s="3">
        <v>42812</v>
      </c>
      <c r="KN9" s="3">
        <v>36587</v>
      </c>
      <c r="KO9" s="3">
        <v>37791</v>
      </c>
      <c r="KP9" s="3">
        <v>38811</v>
      </c>
      <c r="KQ9" s="3">
        <v>37680</v>
      </c>
      <c r="KR9" s="3">
        <v>38154</v>
      </c>
      <c r="KS9" s="3">
        <v>38152</v>
      </c>
      <c r="KT9" s="3">
        <v>40242</v>
      </c>
      <c r="KU9" s="3">
        <v>41768</v>
      </c>
      <c r="KV9" s="3">
        <v>42085</v>
      </c>
      <c r="KW9" s="3">
        <v>41548</v>
      </c>
      <c r="KX9" s="3">
        <v>43011</v>
      </c>
      <c r="KY9" s="3">
        <v>37968</v>
      </c>
      <c r="KZ9" s="3">
        <v>38179</v>
      </c>
      <c r="LA9" s="3">
        <v>39028</v>
      </c>
      <c r="LB9" s="3">
        <v>39795</v>
      </c>
      <c r="LC9" s="3">
        <v>36807</v>
      </c>
      <c r="LD9" s="3">
        <v>41507</v>
      </c>
      <c r="LE9" s="3">
        <v>37550</v>
      </c>
      <c r="LF9" s="3">
        <v>41344</v>
      </c>
      <c r="LG9" s="3">
        <v>42420</v>
      </c>
      <c r="LH9" s="3">
        <v>39929</v>
      </c>
      <c r="LI9" s="3">
        <v>37761</v>
      </c>
      <c r="LJ9" s="3">
        <v>40708</v>
      </c>
      <c r="LK9" s="3">
        <v>41286</v>
      </c>
      <c r="LL9" s="3">
        <v>41483</v>
      </c>
      <c r="LM9" s="3">
        <v>42344</v>
      </c>
      <c r="LN9" s="3">
        <v>42730</v>
      </c>
      <c r="LO9" s="3">
        <v>43466</v>
      </c>
      <c r="LP9" s="3">
        <v>42764</v>
      </c>
      <c r="LQ9" s="3">
        <v>37311</v>
      </c>
      <c r="LR9" s="3">
        <v>42198</v>
      </c>
      <c r="LS9" s="3">
        <v>39843</v>
      </c>
      <c r="LT9" s="3">
        <v>38193</v>
      </c>
      <c r="LU9" s="3">
        <v>39534</v>
      </c>
      <c r="LV9" s="3">
        <v>42966</v>
      </c>
      <c r="LW9" s="3">
        <v>39720</v>
      </c>
      <c r="LX9" s="3">
        <v>41315</v>
      </c>
      <c r="LY9" s="3">
        <v>40301</v>
      </c>
      <c r="LZ9" s="3">
        <v>38972</v>
      </c>
      <c r="MA9" s="3">
        <v>40316</v>
      </c>
      <c r="MB9" s="3">
        <v>43615</v>
      </c>
      <c r="MC9" s="3">
        <v>41876</v>
      </c>
      <c r="MD9" s="3">
        <v>37059</v>
      </c>
      <c r="ME9" s="3">
        <v>36927</v>
      </c>
      <c r="MF9" s="3">
        <v>40189</v>
      </c>
      <c r="MG9" s="3">
        <v>36655</v>
      </c>
      <c r="MH9" s="3">
        <v>38865</v>
      </c>
      <c r="MI9" s="3">
        <v>40897</v>
      </c>
      <c r="MJ9" s="3">
        <v>39485</v>
      </c>
      <c r="MK9" s="3">
        <v>38384</v>
      </c>
      <c r="ML9" s="3">
        <v>39499</v>
      </c>
      <c r="MM9" s="3">
        <v>40676</v>
      </c>
      <c r="MN9" s="3">
        <v>40175</v>
      </c>
      <c r="MO9" s="3">
        <v>39312</v>
      </c>
      <c r="MP9" s="3">
        <v>39623</v>
      </c>
      <c r="MQ9" s="3">
        <v>40038</v>
      </c>
      <c r="MR9" s="3">
        <v>41386</v>
      </c>
      <c r="MS9" s="3">
        <v>37746</v>
      </c>
      <c r="MT9" s="3">
        <v>37167</v>
      </c>
      <c r="MU9" s="3">
        <v>39840</v>
      </c>
      <c r="MV9" s="3">
        <v>42469</v>
      </c>
      <c r="MW9" s="3">
        <v>37249</v>
      </c>
      <c r="MX9" s="3">
        <v>41835</v>
      </c>
      <c r="MY9" s="3">
        <v>41423</v>
      </c>
      <c r="MZ9" s="3">
        <v>37263</v>
      </c>
      <c r="NA9" s="3">
        <v>41379</v>
      </c>
      <c r="NB9" s="3">
        <v>42213</v>
      </c>
      <c r="NC9" s="3">
        <v>43236</v>
      </c>
      <c r="ND9" s="3">
        <v>37825</v>
      </c>
      <c r="NE9" s="3">
        <v>42463</v>
      </c>
      <c r="NF9" s="3">
        <v>40006</v>
      </c>
      <c r="NG9" s="3">
        <v>36865</v>
      </c>
      <c r="NH9" s="3">
        <v>36678</v>
      </c>
      <c r="NI9" s="3">
        <v>42210</v>
      </c>
      <c r="NJ9" s="3">
        <v>37947</v>
      </c>
      <c r="NK9" s="3">
        <v>42089</v>
      </c>
      <c r="NL9" s="3">
        <v>39577</v>
      </c>
      <c r="NM9" s="3">
        <v>36952</v>
      </c>
      <c r="NN9" s="3">
        <v>43672</v>
      </c>
      <c r="NO9" s="3">
        <v>40084</v>
      </c>
      <c r="NP9" s="3">
        <v>42873</v>
      </c>
      <c r="NQ9" s="3">
        <v>37661</v>
      </c>
      <c r="NR9" s="3">
        <v>38898</v>
      </c>
      <c r="NS9" s="3">
        <v>39855</v>
      </c>
      <c r="NT9" s="3">
        <v>37475</v>
      </c>
      <c r="NU9" s="3">
        <v>43620</v>
      </c>
      <c r="NV9" s="3">
        <v>37899</v>
      </c>
      <c r="NW9" s="3">
        <v>42652</v>
      </c>
      <c r="NX9" s="3">
        <v>43608</v>
      </c>
      <c r="NY9" s="3">
        <v>37482</v>
      </c>
      <c r="NZ9" s="3">
        <v>38227</v>
      </c>
      <c r="OA9" s="3">
        <v>39467</v>
      </c>
      <c r="OB9" s="3">
        <v>39008</v>
      </c>
      <c r="OC9" s="3">
        <v>37829</v>
      </c>
      <c r="OD9" s="3">
        <v>36896</v>
      </c>
      <c r="OE9" s="3">
        <v>39506</v>
      </c>
      <c r="OF9" s="3">
        <v>38822</v>
      </c>
      <c r="OG9" s="3">
        <v>43560</v>
      </c>
      <c r="OH9" s="3">
        <v>42850</v>
      </c>
      <c r="OI9" s="3">
        <v>41324</v>
      </c>
      <c r="OJ9" s="3">
        <v>43668</v>
      </c>
      <c r="OK9" s="3">
        <v>42296</v>
      </c>
      <c r="OL9" s="3">
        <v>38651</v>
      </c>
      <c r="OM9" s="3">
        <v>39492</v>
      </c>
      <c r="ON9" s="3">
        <v>43554</v>
      </c>
      <c r="OO9" s="3">
        <v>43005</v>
      </c>
      <c r="OP9" s="3">
        <v>40671</v>
      </c>
      <c r="OQ9" s="3">
        <v>42754</v>
      </c>
      <c r="OR9" s="3">
        <v>39268</v>
      </c>
      <c r="OS9" s="3">
        <v>42673</v>
      </c>
      <c r="OT9" s="3">
        <v>41614</v>
      </c>
      <c r="OU9" s="3">
        <v>40547</v>
      </c>
      <c r="OV9" s="3">
        <v>38890</v>
      </c>
      <c r="OW9" s="3">
        <v>41756</v>
      </c>
      <c r="OX9" s="3">
        <v>41979</v>
      </c>
      <c r="OY9" s="3">
        <v>42496</v>
      </c>
      <c r="OZ9" s="3">
        <v>37288</v>
      </c>
      <c r="PA9" s="3">
        <v>43281</v>
      </c>
      <c r="PB9" s="3">
        <v>40588</v>
      </c>
      <c r="PC9" s="3">
        <v>37530</v>
      </c>
      <c r="PD9" s="3">
        <v>43583</v>
      </c>
      <c r="PE9" s="3">
        <v>40281</v>
      </c>
      <c r="PF9" s="3">
        <v>39372</v>
      </c>
      <c r="PG9" s="3">
        <v>42788</v>
      </c>
      <c r="PH9" s="3">
        <v>36875</v>
      </c>
      <c r="PI9" s="3">
        <v>39490</v>
      </c>
      <c r="PJ9" s="3">
        <v>37212</v>
      </c>
      <c r="PK9" s="3">
        <v>41163</v>
      </c>
      <c r="PL9" s="3">
        <v>39652</v>
      </c>
      <c r="PM9" s="3">
        <v>40982</v>
      </c>
      <c r="PN9" s="3">
        <v>39281</v>
      </c>
      <c r="PO9" s="3">
        <v>40050</v>
      </c>
      <c r="PP9" s="3">
        <v>40150</v>
      </c>
      <c r="PQ9" s="3">
        <v>39258</v>
      </c>
      <c r="PR9" s="3">
        <v>42999</v>
      </c>
      <c r="PS9" s="3">
        <v>42888</v>
      </c>
      <c r="PT9" s="3">
        <v>42877</v>
      </c>
      <c r="PU9" s="3">
        <v>38219</v>
      </c>
      <c r="PV9" s="3">
        <v>39418</v>
      </c>
      <c r="PW9" s="3">
        <v>40337</v>
      </c>
      <c r="PX9" s="3">
        <v>40706</v>
      </c>
      <c r="PY9" s="3">
        <v>37210</v>
      </c>
      <c r="PZ9" s="3">
        <v>40866</v>
      </c>
      <c r="QA9" s="3">
        <v>39445</v>
      </c>
      <c r="QB9" s="3">
        <v>43692</v>
      </c>
      <c r="QC9" s="3">
        <v>40282</v>
      </c>
      <c r="QD9" s="3">
        <v>41980</v>
      </c>
      <c r="QE9" s="3">
        <v>39809</v>
      </c>
      <c r="QF9" s="3">
        <v>41217</v>
      </c>
      <c r="QG9" s="3">
        <v>43354</v>
      </c>
      <c r="QH9" s="3">
        <v>40552</v>
      </c>
      <c r="QI9" s="3">
        <v>37682</v>
      </c>
      <c r="QJ9" s="3">
        <v>39587</v>
      </c>
      <c r="QK9" s="3">
        <v>43683</v>
      </c>
      <c r="QL9" s="3">
        <v>42445</v>
      </c>
      <c r="QM9" s="3">
        <v>42419</v>
      </c>
      <c r="QN9" s="3">
        <v>40971</v>
      </c>
      <c r="QO9" s="3">
        <v>38855</v>
      </c>
      <c r="QP9" s="3">
        <v>42962</v>
      </c>
      <c r="QQ9" s="3">
        <v>37818</v>
      </c>
      <c r="QR9" s="3">
        <v>38410</v>
      </c>
      <c r="QS9" s="3">
        <v>38086</v>
      </c>
      <c r="QT9" s="3">
        <v>37509</v>
      </c>
      <c r="QU9" s="3">
        <v>38593</v>
      </c>
      <c r="QV9" s="3">
        <v>43428</v>
      </c>
      <c r="QW9" s="3">
        <v>38389</v>
      </c>
      <c r="QX9" s="3">
        <v>38505</v>
      </c>
      <c r="QY9" s="3">
        <v>38262</v>
      </c>
      <c r="QZ9" s="3">
        <v>38978</v>
      </c>
      <c r="RA9" s="3">
        <v>41760</v>
      </c>
      <c r="RB9" s="3">
        <v>38444</v>
      </c>
      <c r="RC9" s="3">
        <v>37226</v>
      </c>
      <c r="RD9" s="3">
        <v>43649</v>
      </c>
      <c r="RE9" s="3">
        <v>40572</v>
      </c>
      <c r="RF9" s="3">
        <v>38599</v>
      </c>
      <c r="RG9" s="3">
        <v>41187</v>
      </c>
      <c r="RH9" s="3">
        <v>40279</v>
      </c>
      <c r="RI9" s="3">
        <v>36920</v>
      </c>
      <c r="RJ9" s="3">
        <v>38482</v>
      </c>
      <c r="RK9" s="3">
        <v>39574</v>
      </c>
      <c r="RL9" s="3">
        <v>39978</v>
      </c>
      <c r="RM9" s="3">
        <v>37048</v>
      </c>
      <c r="RN9" s="3">
        <v>38088</v>
      </c>
      <c r="RO9" s="3">
        <v>39435</v>
      </c>
      <c r="RP9" s="3">
        <v>41728</v>
      </c>
      <c r="RQ9" s="3">
        <v>39375</v>
      </c>
      <c r="RR9" s="3">
        <v>37075</v>
      </c>
      <c r="RS9" s="3">
        <v>37994</v>
      </c>
      <c r="RT9" s="3">
        <v>42756</v>
      </c>
      <c r="RU9" s="3">
        <v>37358</v>
      </c>
      <c r="RV9" s="3">
        <v>41008</v>
      </c>
      <c r="RW9" s="3">
        <v>41584</v>
      </c>
      <c r="RX9" s="3">
        <v>43337</v>
      </c>
      <c r="RY9" s="3">
        <v>37947</v>
      </c>
      <c r="RZ9" s="3">
        <v>36811</v>
      </c>
      <c r="SA9" s="3">
        <v>39271</v>
      </c>
      <c r="SB9" s="3">
        <v>40291</v>
      </c>
      <c r="SC9" s="3">
        <v>43634</v>
      </c>
      <c r="SD9" s="3">
        <v>40990</v>
      </c>
      <c r="SE9" s="3">
        <v>43324</v>
      </c>
      <c r="SF9" s="3">
        <v>37971</v>
      </c>
      <c r="SG9" s="3">
        <v>42363</v>
      </c>
      <c r="SH9" s="3">
        <v>43323</v>
      </c>
      <c r="SI9" s="3">
        <v>43366</v>
      </c>
      <c r="SJ9" s="3">
        <v>37992</v>
      </c>
      <c r="SK9" s="3">
        <v>38302</v>
      </c>
      <c r="SL9" s="3">
        <v>42165</v>
      </c>
      <c r="SM9" s="3">
        <v>43693</v>
      </c>
      <c r="SN9" s="3">
        <v>40181</v>
      </c>
      <c r="SO9" s="3">
        <v>37440</v>
      </c>
      <c r="SP9" s="3">
        <v>36813</v>
      </c>
      <c r="SQ9" s="3">
        <v>40716</v>
      </c>
      <c r="SR9" s="3">
        <v>43338</v>
      </c>
      <c r="SS9" s="3">
        <v>38614</v>
      </c>
      <c r="ST9" s="3">
        <v>40952</v>
      </c>
      <c r="SU9" s="3">
        <v>42458</v>
      </c>
      <c r="SV9" s="3">
        <v>38330</v>
      </c>
      <c r="SW9" s="3">
        <v>37704</v>
      </c>
      <c r="SX9" s="3">
        <v>39077</v>
      </c>
      <c r="SY9" s="3">
        <v>40896</v>
      </c>
      <c r="SZ9" s="3">
        <v>38114</v>
      </c>
      <c r="TA9" s="3">
        <v>42848</v>
      </c>
      <c r="TB9" s="3">
        <v>38482</v>
      </c>
      <c r="TC9" s="3">
        <v>38301</v>
      </c>
      <c r="TD9" s="3">
        <v>42806</v>
      </c>
      <c r="TE9" s="3">
        <v>41388</v>
      </c>
      <c r="TF9" s="3">
        <v>37513</v>
      </c>
      <c r="TG9" s="3">
        <v>42381</v>
      </c>
      <c r="TH9" s="3">
        <v>37729</v>
      </c>
      <c r="TI9" s="3">
        <v>39856</v>
      </c>
      <c r="TJ9" s="3">
        <v>42912</v>
      </c>
      <c r="TK9" s="3">
        <v>37645</v>
      </c>
      <c r="TL9" s="3">
        <v>36722</v>
      </c>
      <c r="TM9" s="3">
        <v>40501</v>
      </c>
      <c r="TN9" s="3">
        <v>37051</v>
      </c>
      <c r="TO9" s="3">
        <v>41253</v>
      </c>
      <c r="TP9" s="3">
        <v>37936</v>
      </c>
      <c r="TQ9" s="3">
        <v>41029</v>
      </c>
      <c r="TR9" s="3">
        <v>37818</v>
      </c>
      <c r="TS9" s="3">
        <v>37720</v>
      </c>
      <c r="TT9" s="3">
        <v>38474</v>
      </c>
      <c r="TU9" s="3">
        <v>40181</v>
      </c>
      <c r="TV9" s="3">
        <v>41312</v>
      </c>
      <c r="TW9" s="3">
        <v>38743</v>
      </c>
      <c r="TX9" s="3">
        <v>40780</v>
      </c>
      <c r="TY9" s="3">
        <v>40106</v>
      </c>
      <c r="TZ9" s="3">
        <v>43116</v>
      </c>
      <c r="UA9" s="3">
        <v>42311</v>
      </c>
      <c r="UB9" s="3">
        <v>42559</v>
      </c>
      <c r="UC9" s="3">
        <v>37543</v>
      </c>
      <c r="UD9" s="3">
        <v>39679</v>
      </c>
      <c r="UE9" s="3">
        <v>41702</v>
      </c>
      <c r="UF9" s="3">
        <v>40116</v>
      </c>
      <c r="UG9" s="3">
        <v>40733</v>
      </c>
      <c r="UH9" s="3">
        <v>40595</v>
      </c>
      <c r="UI9" s="3">
        <v>36573</v>
      </c>
      <c r="UJ9" s="3">
        <v>40189</v>
      </c>
      <c r="UK9" s="3">
        <v>42532</v>
      </c>
      <c r="UL9" s="3">
        <v>40997</v>
      </c>
      <c r="UM9" s="3">
        <v>37353</v>
      </c>
      <c r="UN9" s="3">
        <v>42702</v>
      </c>
      <c r="UO9" s="3">
        <v>43173</v>
      </c>
      <c r="UP9" s="3">
        <v>41248</v>
      </c>
      <c r="UQ9" s="3">
        <v>42541</v>
      </c>
      <c r="UR9" s="3">
        <v>41648</v>
      </c>
      <c r="US9" s="3">
        <v>42513</v>
      </c>
      <c r="UT9" s="3">
        <v>38615</v>
      </c>
      <c r="UU9" s="3">
        <v>38582</v>
      </c>
      <c r="UV9" s="3">
        <v>43669</v>
      </c>
      <c r="UW9" s="3">
        <v>37344</v>
      </c>
      <c r="UX9" s="3">
        <v>41278</v>
      </c>
      <c r="UY9" s="3">
        <v>40510</v>
      </c>
      <c r="UZ9" s="3">
        <v>40206</v>
      </c>
      <c r="VA9" s="3">
        <v>38337</v>
      </c>
      <c r="VB9" s="3">
        <v>41411</v>
      </c>
      <c r="VC9" s="3">
        <v>42081</v>
      </c>
      <c r="VD9" s="3">
        <v>43720</v>
      </c>
      <c r="VE9" s="3">
        <v>39640</v>
      </c>
      <c r="VF9" s="3">
        <v>41776</v>
      </c>
      <c r="VG9" s="3">
        <v>38155</v>
      </c>
      <c r="VH9" s="3">
        <v>38069</v>
      </c>
      <c r="VI9" s="3">
        <v>43267</v>
      </c>
      <c r="VJ9" s="3">
        <v>40105</v>
      </c>
      <c r="VK9" s="3">
        <v>42295</v>
      </c>
      <c r="VL9" s="3">
        <v>38430</v>
      </c>
      <c r="VM9" s="3">
        <v>37962</v>
      </c>
      <c r="VN9" s="3">
        <v>41557</v>
      </c>
      <c r="VO9" s="3">
        <v>39843</v>
      </c>
      <c r="VP9" s="3">
        <v>40046</v>
      </c>
      <c r="VQ9" s="3">
        <v>39585</v>
      </c>
      <c r="VR9" s="3">
        <v>40642</v>
      </c>
      <c r="VS9" s="3">
        <v>37524</v>
      </c>
      <c r="VT9" s="3">
        <v>37957</v>
      </c>
      <c r="VU9" s="3">
        <v>41078</v>
      </c>
      <c r="VV9" s="3">
        <v>42089</v>
      </c>
      <c r="VW9" s="3">
        <v>42649</v>
      </c>
      <c r="VX9" s="3">
        <v>39587</v>
      </c>
      <c r="VY9" s="3">
        <v>36790</v>
      </c>
      <c r="VZ9" s="3">
        <v>40257</v>
      </c>
      <c r="WA9" s="3">
        <v>42853</v>
      </c>
      <c r="WB9" s="3">
        <v>38800</v>
      </c>
      <c r="WC9" s="3">
        <v>40401</v>
      </c>
      <c r="WD9" s="3">
        <v>39843</v>
      </c>
      <c r="WE9" s="3">
        <v>38572</v>
      </c>
      <c r="WF9" s="3">
        <v>39670</v>
      </c>
      <c r="WG9" s="3">
        <v>39747</v>
      </c>
      <c r="WH9" s="3">
        <v>39666</v>
      </c>
      <c r="WI9" s="3">
        <v>41590</v>
      </c>
      <c r="WJ9" s="3">
        <v>41426</v>
      </c>
      <c r="WK9" s="3">
        <v>37779</v>
      </c>
      <c r="WL9" s="3">
        <v>37248</v>
      </c>
      <c r="WM9" s="3">
        <v>41717</v>
      </c>
      <c r="WN9" s="3">
        <v>41623</v>
      </c>
      <c r="WO9" s="3">
        <v>43544</v>
      </c>
      <c r="WP9" s="3">
        <v>36609</v>
      </c>
      <c r="WQ9" s="3">
        <v>41361</v>
      </c>
      <c r="WR9" s="3">
        <v>39896</v>
      </c>
      <c r="WS9" s="3">
        <v>40345</v>
      </c>
      <c r="WT9" s="3">
        <v>39890</v>
      </c>
      <c r="WU9" s="3">
        <v>38283</v>
      </c>
      <c r="WV9" s="3">
        <v>42615</v>
      </c>
      <c r="WW9" s="3">
        <v>40844</v>
      </c>
      <c r="WX9" s="3">
        <v>43462</v>
      </c>
      <c r="WY9" s="3">
        <v>39306</v>
      </c>
      <c r="WZ9" s="3">
        <v>39813</v>
      </c>
      <c r="XA9" s="3">
        <v>38978</v>
      </c>
      <c r="XB9" s="3">
        <v>41814</v>
      </c>
      <c r="XC9" s="3">
        <v>36854</v>
      </c>
      <c r="XD9" s="3">
        <v>36951</v>
      </c>
      <c r="XE9" s="3">
        <v>42199</v>
      </c>
      <c r="XF9" s="3">
        <v>37295</v>
      </c>
      <c r="XG9" s="3">
        <v>41841</v>
      </c>
      <c r="XH9" s="3">
        <v>40501</v>
      </c>
      <c r="XI9" s="3">
        <v>37133</v>
      </c>
      <c r="XJ9" s="3">
        <v>38378</v>
      </c>
      <c r="XK9" s="3">
        <v>43195</v>
      </c>
      <c r="XL9" s="3">
        <v>39198</v>
      </c>
      <c r="XM9" s="3">
        <v>38650</v>
      </c>
      <c r="XN9" s="3">
        <v>42668</v>
      </c>
      <c r="XO9" s="3">
        <v>37826</v>
      </c>
      <c r="XP9" s="3">
        <v>41541</v>
      </c>
      <c r="XQ9" s="3">
        <v>43615</v>
      </c>
      <c r="XR9" s="3">
        <v>36991</v>
      </c>
      <c r="XS9" s="3">
        <v>38490</v>
      </c>
      <c r="XT9" s="3">
        <v>42093</v>
      </c>
      <c r="XU9" s="3">
        <v>38471</v>
      </c>
      <c r="XV9" s="3">
        <v>41805</v>
      </c>
      <c r="XW9" s="3">
        <v>39065</v>
      </c>
      <c r="XX9" s="3">
        <v>38886</v>
      </c>
      <c r="XY9" s="3">
        <v>42276</v>
      </c>
      <c r="XZ9" s="3">
        <v>38565</v>
      </c>
      <c r="YA9" s="3">
        <v>37710</v>
      </c>
      <c r="YB9" s="3">
        <v>42977</v>
      </c>
      <c r="YC9" s="3">
        <v>40460</v>
      </c>
      <c r="YD9" s="3">
        <v>39743</v>
      </c>
      <c r="YE9" s="3">
        <v>42320</v>
      </c>
      <c r="YF9" s="3">
        <v>43360</v>
      </c>
      <c r="YG9" s="3">
        <v>42758</v>
      </c>
      <c r="YH9" s="3">
        <v>39308</v>
      </c>
      <c r="YI9" s="3">
        <v>37303</v>
      </c>
      <c r="YJ9" s="3">
        <v>43420</v>
      </c>
      <c r="YK9" s="3">
        <v>39905</v>
      </c>
      <c r="YL9" s="3">
        <v>38944</v>
      </c>
      <c r="YM9" s="3">
        <v>43120</v>
      </c>
      <c r="YN9" s="3">
        <v>40603</v>
      </c>
      <c r="YO9" s="3">
        <v>40788</v>
      </c>
      <c r="YP9" s="3">
        <v>38965</v>
      </c>
      <c r="YQ9" s="3">
        <v>41357</v>
      </c>
      <c r="YR9" s="3">
        <v>43160</v>
      </c>
      <c r="YS9" s="3">
        <v>41546</v>
      </c>
      <c r="YT9" s="3">
        <v>41795</v>
      </c>
      <c r="YU9" s="3">
        <v>42113</v>
      </c>
      <c r="YV9" s="3">
        <v>38515</v>
      </c>
      <c r="YW9" s="3">
        <v>37592</v>
      </c>
      <c r="YX9" s="3">
        <v>37470</v>
      </c>
      <c r="YY9" s="3">
        <v>36554</v>
      </c>
      <c r="YZ9" s="3">
        <v>38423</v>
      </c>
      <c r="ZA9" s="3">
        <v>42277</v>
      </c>
      <c r="ZB9" s="3">
        <v>42494</v>
      </c>
      <c r="ZC9" s="3">
        <v>41676</v>
      </c>
      <c r="ZD9" s="3">
        <v>43362</v>
      </c>
      <c r="ZE9" s="3">
        <v>38223</v>
      </c>
      <c r="ZF9" s="3">
        <v>42797</v>
      </c>
      <c r="ZG9" s="3">
        <v>39340</v>
      </c>
      <c r="ZH9" s="3">
        <v>39891</v>
      </c>
      <c r="ZI9" s="3">
        <v>39014</v>
      </c>
      <c r="ZJ9" s="3">
        <v>43538</v>
      </c>
      <c r="ZK9" s="3">
        <v>42033</v>
      </c>
      <c r="ZL9" s="3">
        <v>42411</v>
      </c>
      <c r="ZM9" s="3">
        <v>38191</v>
      </c>
      <c r="ZN9" s="3">
        <v>41145</v>
      </c>
      <c r="ZO9" s="3">
        <v>38096</v>
      </c>
      <c r="ZP9" s="3">
        <v>38259</v>
      </c>
      <c r="ZQ9" s="3">
        <v>37285</v>
      </c>
      <c r="ZR9" s="3">
        <v>38683</v>
      </c>
      <c r="ZS9" s="3">
        <v>37877</v>
      </c>
      <c r="ZT9" s="3">
        <v>40002</v>
      </c>
      <c r="ZU9" s="3">
        <v>37794</v>
      </c>
      <c r="ZV9" s="3">
        <v>38311</v>
      </c>
      <c r="ZW9" s="3">
        <v>40475</v>
      </c>
      <c r="ZX9" s="3">
        <v>42474</v>
      </c>
      <c r="ZY9" s="3">
        <v>42832</v>
      </c>
      <c r="ZZ9" s="3">
        <v>39133</v>
      </c>
      <c r="AAA9" s="3">
        <v>36924</v>
      </c>
      <c r="AAB9" s="3">
        <v>39156</v>
      </c>
      <c r="AAC9" s="3">
        <v>38972</v>
      </c>
      <c r="AAD9" s="3">
        <v>38195</v>
      </c>
      <c r="AAE9" s="3">
        <v>36764</v>
      </c>
      <c r="AAF9" s="3">
        <v>40062</v>
      </c>
      <c r="AAG9" s="3">
        <v>42225</v>
      </c>
      <c r="AAH9" s="3">
        <v>40387</v>
      </c>
      <c r="AAI9" s="3">
        <v>39629</v>
      </c>
      <c r="AAJ9" s="3">
        <v>37672</v>
      </c>
      <c r="AAK9" s="3">
        <v>38083</v>
      </c>
      <c r="AAL9" s="3">
        <v>40264</v>
      </c>
      <c r="AAM9" s="3">
        <v>38683</v>
      </c>
      <c r="AAN9" s="3">
        <v>41916</v>
      </c>
      <c r="AAO9" s="3">
        <v>39977</v>
      </c>
      <c r="AAP9" s="3">
        <v>36825</v>
      </c>
      <c r="AAQ9" s="3">
        <v>40224</v>
      </c>
      <c r="AAR9" s="3">
        <v>40579</v>
      </c>
      <c r="AAS9" s="3">
        <v>43671</v>
      </c>
      <c r="AAT9" s="3">
        <v>42387</v>
      </c>
      <c r="AAU9" s="3">
        <v>41385</v>
      </c>
      <c r="AAV9" s="3">
        <v>36774</v>
      </c>
      <c r="AAW9" s="3">
        <v>39094</v>
      </c>
      <c r="AAX9" s="3">
        <v>40655</v>
      </c>
      <c r="AAY9" s="3">
        <v>40849</v>
      </c>
      <c r="AAZ9" s="3">
        <v>41206</v>
      </c>
      <c r="ABA9" s="3">
        <v>43627</v>
      </c>
      <c r="ABB9" s="3">
        <v>39386</v>
      </c>
      <c r="ABC9" s="3">
        <v>37249</v>
      </c>
      <c r="ABD9" s="3">
        <v>43253</v>
      </c>
      <c r="ABE9" s="3">
        <v>37095</v>
      </c>
      <c r="ABF9" s="3">
        <v>36745</v>
      </c>
      <c r="ABG9" s="3">
        <v>37920</v>
      </c>
      <c r="ABH9" s="3">
        <v>39360</v>
      </c>
      <c r="ABI9" s="3">
        <v>43197</v>
      </c>
      <c r="ABJ9" s="3">
        <v>38648</v>
      </c>
      <c r="ABK9" s="3">
        <v>42263</v>
      </c>
      <c r="ABL9" s="3">
        <v>40757</v>
      </c>
      <c r="ABM9" s="3">
        <v>40526</v>
      </c>
      <c r="ABN9" s="3">
        <v>42743</v>
      </c>
      <c r="ABO9" s="3">
        <v>40875</v>
      </c>
      <c r="ABP9" s="3">
        <v>39615</v>
      </c>
      <c r="ABQ9" s="3">
        <v>42576</v>
      </c>
      <c r="ABR9" s="3">
        <v>43691</v>
      </c>
      <c r="ABS9" s="3">
        <v>43736</v>
      </c>
      <c r="ABT9" s="3">
        <v>36575</v>
      </c>
      <c r="ABU9" s="3">
        <v>37040</v>
      </c>
      <c r="ABV9" s="3">
        <v>39317</v>
      </c>
      <c r="ABW9" s="3">
        <v>39304</v>
      </c>
      <c r="ABX9" s="3">
        <v>39144</v>
      </c>
      <c r="ABY9" s="3">
        <v>38363</v>
      </c>
      <c r="ABZ9" s="3">
        <v>41197</v>
      </c>
      <c r="ACA9" s="3">
        <v>37691</v>
      </c>
      <c r="ACB9" s="3">
        <v>41524</v>
      </c>
      <c r="ACC9" s="3">
        <v>38775</v>
      </c>
      <c r="ACD9" s="3">
        <v>42876</v>
      </c>
      <c r="ACE9" s="3">
        <v>36940</v>
      </c>
      <c r="ACF9" s="3">
        <v>38794</v>
      </c>
      <c r="ACG9" s="3">
        <v>43427</v>
      </c>
      <c r="ACH9" s="3">
        <v>37630</v>
      </c>
      <c r="ACI9" s="3">
        <v>41384</v>
      </c>
      <c r="ACJ9" s="3">
        <v>41184</v>
      </c>
      <c r="ACK9" s="3">
        <v>39882</v>
      </c>
      <c r="ACL9" s="3">
        <v>38942</v>
      </c>
      <c r="ACM9" s="3">
        <v>42137</v>
      </c>
      <c r="ACN9" s="3">
        <v>38460</v>
      </c>
      <c r="ACO9" s="3">
        <v>43565</v>
      </c>
      <c r="ACP9" s="3">
        <v>41991</v>
      </c>
      <c r="ACQ9" s="3">
        <v>36729</v>
      </c>
      <c r="ACR9" s="3">
        <v>43718</v>
      </c>
      <c r="ACS9" s="3">
        <v>43626</v>
      </c>
      <c r="ACT9" s="3">
        <v>42198</v>
      </c>
      <c r="ACU9" s="3">
        <v>36594</v>
      </c>
      <c r="ACV9" s="3">
        <v>37041</v>
      </c>
      <c r="ACW9" s="3">
        <v>40089</v>
      </c>
      <c r="ACX9" s="3">
        <v>42909</v>
      </c>
      <c r="ACY9" s="3">
        <v>40982</v>
      </c>
      <c r="ACZ9" s="3">
        <v>37990</v>
      </c>
      <c r="ADA9" s="3">
        <v>41676</v>
      </c>
      <c r="ADB9" s="3">
        <v>42544</v>
      </c>
      <c r="ADC9" s="3">
        <v>38178</v>
      </c>
      <c r="ADD9" s="3">
        <v>37232</v>
      </c>
      <c r="ADE9" s="3">
        <v>38151</v>
      </c>
      <c r="ADF9" s="3">
        <v>43359</v>
      </c>
      <c r="ADG9" s="3">
        <v>41278</v>
      </c>
      <c r="ADH9" s="3">
        <v>40311</v>
      </c>
      <c r="ADI9" s="3">
        <v>37871</v>
      </c>
      <c r="ADJ9" s="3">
        <v>36869</v>
      </c>
      <c r="ADK9" s="3">
        <v>40312</v>
      </c>
      <c r="ADL9" s="3">
        <v>37061</v>
      </c>
      <c r="ADM9" s="3">
        <v>36880</v>
      </c>
      <c r="ADN9" s="3">
        <v>40068</v>
      </c>
      <c r="ADO9" s="3">
        <v>41549</v>
      </c>
      <c r="ADP9" s="3">
        <v>37508</v>
      </c>
      <c r="ADQ9" s="3">
        <v>42639</v>
      </c>
      <c r="ADR9" s="3">
        <v>42774</v>
      </c>
      <c r="ADS9" s="3">
        <v>37871</v>
      </c>
      <c r="ADT9" s="3">
        <v>42217</v>
      </c>
      <c r="ADU9" s="3">
        <v>42528</v>
      </c>
      <c r="ADV9" s="3">
        <v>39535</v>
      </c>
      <c r="ADW9" s="3">
        <v>37052</v>
      </c>
      <c r="ADX9" s="3">
        <v>43173</v>
      </c>
      <c r="ADY9" s="3">
        <v>43778</v>
      </c>
      <c r="ADZ9" s="3">
        <v>37456</v>
      </c>
      <c r="AEA9" s="3">
        <v>39282</v>
      </c>
      <c r="AEB9" s="3">
        <v>38808</v>
      </c>
      <c r="AEC9" s="3">
        <v>38472</v>
      </c>
      <c r="AED9" s="3">
        <v>40453</v>
      </c>
      <c r="AEE9" s="3">
        <v>41908</v>
      </c>
      <c r="AEF9" s="3">
        <v>43699</v>
      </c>
      <c r="AEG9" s="3">
        <v>39067</v>
      </c>
      <c r="AEH9" s="3">
        <v>38442</v>
      </c>
      <c r="AEI9" s="3">
        <v>39886</v>
      </c>
      <c r="AEJ9" s="3">
        <v>38119</v>
      </c>
      <c r="AEK9" s="3">
        <v>39451</v>
      </c>
      <c r="AEL9" s="3">
        <v>40151</v>
      </c>
      <c r="AEM9" s="3">
        <v>41995</v>
      </c>
      <c r="AEN9" s="3">
        <v>37749</v>
      </c>
      <c r="AEO9" s="3">
        <v>38485</v>
      </c>
      <c r="AEP9" s="3">
        <v>43636</v>
      </c>
      <c r="AEQ9" s="3">
        <v>37491</v>
      </c>
      <c r="AER9" s="3">
        <v>41585</v>
      </c>
      <c r="AES9" s="3">
        <v>41518</v>
      </c>
      <c r="AET9" s="3">
        <v>41980</v>
      </c>
      <c r="AEU9" s="3">
        <v>40204</v>
      </c>
      <c r="AEV9" s="3">
        <v>40838</v>
      </c>
      <c r="AEW9" s="3">
        <v>37148</v>
      </c>
      <c r="AEX9" s="3">
        <v>40974</v>
      </c>
      <c r="AEY9" s="3">
        <v>41313</v>
      </c>
      <c r="AEZ9" s="3">
        <v>43344</v>
      </c>
      <c r="AFA9" s="3">
        <v>41252</v>
      </c>
      <c r="AFB9" s="3">
        <v>38898</v>
      </c>
      <c r="AFC9" s="3">
        <v>39474</v>
      </c>
      <c r="AFD9" s="3">
        <v>39825</v>
      </c>
      <c r="AFE9" s="3">
        <v>37694</v>
      </c>
      <c r="AFF9" s="3">
        <v>42977</v>
      </c>
      <c r="AFG9" s="3">
        <v>41275</v>
      </c>
      <c r="AFH9" s="3">
        <v>42954</v>
      </c>
      <c r="AFI9" s="3">
        <v>36917</v>
      </c>
      <c r="AFJ9" s="3">
        <v>40335</v>
      </c>
      <c r="AFK9" s="3">
        <v>38933</v>
      </c>
      <c r="AFL9" s="3">
        <v>41390</v>
      </c>
      <c r="AFM9" s="3">
        <v>41418</v>
      </c>
      <c r="AFN9" s="3">
        <v>41553</v>
      </c>
      <c r="AFO9" s="3">
        <v>42592</v>
      </c>
      <c r="AFP9" s="3">
        <v>40786</v>
      </c>
      <c r="AFQ9" s="3">
        <v>41354</v>
      </c>
      <c r="AFR9" s="3">
        <v>37106</v>
      </c>
      <c r="AFS9" s="3">
        <v>37346</v>
      </c>
      <c r="AFT9" s="3">
        <v>37773</v>
      </c>
      <c r="AFU9" s="3">
        <v>36649</v>
      </c>
      <c r="AFV9" s="3">
        <v>42593</v>
      </c>
      <c r="AFW9" s="3">
        <v>40965</v>
      </c>
      <c r="AFX9" s="3">
        <v>38400</v>
      </c>
      <c r="AFY9" s="3">
        <v>37049</v>
      </c>
      <c r="AFZ9" s="3">
        <v>39649</v>
      </c>
      <c r="AGA9" s="3">
        <v>40750</v>
      </c>
      <c r="AGB9" s="3">
        <v>41780</v>
      </c>
      <c r="AGC9" s="3">
        <v>43326</v>
      </c>
      <c r="AGD9" s="3">
        <v>39724</v>
      </c>
      <c r="AGE9" s="3">
        <v>39311</v>
      </c>
      <c r="AGF9" s="3">
        <v>43608</v>
      </c>
      <c r="AGG9" s="3">
        <v>38644</v>
      </c>
      <c r="AGH9" s="3">
        <v>42942</v>
      </c>
      <c r="AGI9" s="3">
        <v>37736</v>
      </c>
      <c r="AGJ9" s="3">
        <v>37552</v>
      </c>
      <c r="AGK9" s="3">
        <v>41930</v>
      </c>
      <c r="AGL9" s="3">
        <v>40643</v>
      </c>
      <c r="AGM9" s="3">
        <v>40787</v>
      </c>
      <c r="AGN9" s="3">
        <v>41955</v>
      </c>
      <c r="AGO9" s="3">
        <v>43544</v>
      </c>
      <c r="AGP9" s="3">
        <v>42122</v>
      </c>
      <c r="AGQ9" s="3">
        <v>37023</v>
      </c>
      <c r="AGR9" s="3">
        <v>41055</v>
      </c>
      <c r="AGS9" s="3">
        <v>39331</v>
      </c>
    </row>
    <row r="10" spans="1:885" x14ac:dyDescent="0.25">
      <c r="A10" s="1" t="s">
        <v>94</v>
      </c>
      <c r="B10">
        <f>YEAR(B9)</f>
        <v>2002</v>
      </c>
      <c r="C10">
        <f>YEAR(C9)</f>
        <v>2008</v>
      </c>
      <c r="D10">
        <f>YEAR(D9)</f>
        <v>2017</v>
      </c>
      <c r="E10">
        <f>YEAR(E9)</f>
        <v>2014</v>
      </c>
      <c r="F10">
        <f>YEAR(F9)</f>
        <v>2010</v>
      </c>
      <c r="G10">
        <f>YEAR(G9)</f>
        <v>2014</v>
      </c>
      <c r="H10">
        <f>YEAR(H9)</f>
        <v>2017</v>
      </c>
      <c r="I10">
        <f>YEAR(I9)</f>
        <v>2010</v>
      </c>
      <c r="J10">
        <f>YEAR(J9)</f>
        <v>2000</v>
      </c>
      <c r="K10">
        <f>YEAR(K9)</f>
        <v>2006</v>
      </c>
      <c r="L10">
        <f>YEAR(L9)</f>
        <v>2004</v>
      </c>
      <c r="M10">
        <f>YEAR(M9)</f>
        <v>2011</v>
      </c>
      <c r="N10">
        <f>YEAR(N9)</f>
        <v>2001</v>
      </c>
      <c r="O10">
        <f>YEAR(O9)</f>
        <v>2019</v>
      </c>
      <c r="P10">
        <f>YEAR(P9)</f>
        <v>2013</v>
      </c>
      <c r="Q10">
        <f>YEAR(Q9)</f>
        <v>2012</v>
      </c>
      <c r="R10">
        <f>YEAR(R9)</f>
        <v>2001</v>
      </c>
      <c r="S10">
        <f>YEAR(S9)</f>
        <v>2010</v>
      </c>
      <c r="T10">
        <f>YEAR(T9)</f>
        <v>2018</v>
      </c>
      <c r="U10">
        <f>YEAR(U9)</f>
        <v>2000</v>
      </c>
      <c r="V10">
        <f>YEAR(V9)</f>
        <v>2014</v>
      </c>
      <c r="W10">
        <f>YEAR(W9)</f>
        <v>2013</v>
      </c>
      <c r="X10">
        <f>YEAR(X9)</f>
        <v>2010</v>
      </c>
      <c r="Y10">
        <f>YEAR(Y9)</f>
        <v>2010</v>
      </c>
      <c r="Z10">
        <f>YEAR(Z9)</f>
        <v>2001</v>
      </c>
      <c r="AA10">
        <f>YEAR(AA9)</f>
        <v>2003</v>
      </c>
      <c r="AB10">
        <f>YEAR(AB9)</f>
        <v>2017</v>
      </c>
      <c r="AC10">
        <f>YEAR(AC9)</f>
        <v>2013</v>
      </c>
      <c r="AD10">
        <f>YEAR(AD9)</f>
        <v>2001</v>
      </c>
      <c r="AE10">
        <f>YEAR(AE9)</f>
        <v>2004</v>
      </c>
      <c r="AF10">
        <f>YEAR(AF9)</f>
        <v>2012</v>
      </c>
      <c r="AG10">
        <f>YEAR(AG9)</f>
        <v>2017</v>
      </c>
      <c r="AH10">
        <f>YEAR(AH9)</f>
        <v>2019</v>
      </c>
      <c r="AI10">
        <f>YEAR(AI9)</f>
        <v>2013</v>
      </c>
      <c r="AJ10">
        <f>YEAR(AJ9)</f>
        <v>2017</v>
      </c>
      <c r="AK10">
        <f>YEAR(AK9)</f>
        <v>2005</v>
      </c>
      <c r="AL10">
        <f>YEAR(AL9)</f>
        <v>2014</v>
      </c>
      <c r="AM10">
        <f>YEAR(AM9)</f>
        <v>2000</v>
      </c>
      <c r="AN10">
        <f>YEAR(AN9)</f>
        <v>2000</v>
      </c>
      <c r="AO10">
        <f>YEAR(AO9)</f>
        <v>2016</v>
      </c>
      <c r="AP10">
        <f>YEAR(AP9)</f>
        <v>2005</v>
      </c>
      <c r="AQ10">
        <f>YEAR(AQ9)</f>
        <v>2016</v>
      </c>
      <c r="AR10">
        <f>YEAR(AR9)</f>
        <v>2003</v>
      </c>
      <c r="AS10">
        <f>YEAR(AS9)</f>
        <v>2009</v>
      </c>
      <c r="AT10">
        <f>YEAR(AT9)</f>
        <v>2000</v>
      </c>
      <c r="AU10">
        <f>YEAR(AU9)</f>
        <v>2016</v>
      </c>
      <c r="AV10">
        <f>YEAR(AV9)</f>
        <v>2011</v>
      </c>
      <c r="AW10">
        <f>YEAR(AW9)</f>
        <v>2012</v>
      </c>
      <c r="AX10">
        <f>YEAR(AX9)</f>
        <v>2005</v>
      </c>
      <c r="AY10">
        <f>YEAR(AY9)</f>
        <v>2019</v>
      </c>
      <c r="AZ10">
        <f>YEAR(AZ9)</f>
        <v>2004</v>
      </c>
      <c r="BA10">
        <f>YEAR(BA9)</f>
        <v>2011</v>
      </c>
      <c r="BB10">
        <f>YEAR(BB9)</f>
        <v>2017</v>
      </c>
      <c r="BC10">
        <f>YEAR(BC9)</f>
        <v>2017</v>
      </c>
      <c r="BD10">
        <f>YEAR(BD9)</f>
        <v>2001</v>
      </c>
      <c r="BE10">
        <f>YEAR(BE9)</f>
        <v>2004</v>
      </c>
      <c r="BF10">
        <f>YEAR(BF9)</f>
        <v>2015</v>
      </c>
      <c r="BG10">
        <f>YEAR(BG9)</f>
        <v>2005</v>
      </c>
      <c r="BH10">
        <f>YEAR(BH9)</f>
        <v>2002</v>
      </c>
      <c r="BI10">
        <f>YEAR(BI9)</f>
        <v>2016</v>
      </c>
      <c r="BJ10">
        <f>YEAR(BJ9)</f>
        <v>2009</v>
      </c>
      <c r="BK10">
        <f>YEAR(BK9)</f>
        <v>2000</v>
      </c>
      <c r="BL10">
        <f>YEAR(BL9)</f>
        <v>2015</v>
      </c>
      <c r="BM10">
        <f>YEAR(BM9)</f>
        <v>2002</v>
      </c>
      <c r="BN10">
        <f>YEAR(BN9)</f>
        <v>2008</v>
      </c>
      <c r="BO10">
        <f>YEAR(BO9)</f>
        <v>2011</v>
      </c>
      <c r="BP10">
        <f>YEAR(BP9)</f>
        <v>2007</v>
      </c>
      <c r="BQ10">
        <f>YEAR(BQ9)</f>
        <v>2005</v>
      </c>
      <c r="BR10">
        <f>YEAR(BR9)</f>
        <v>2006</v>
      </c>
      <c r="BS10">
        <f>YEAR(BS9)</f>
        <v>2004</v>
      </c>
      <c r="BT10">
        <f>YEAR(BT9)</f>
        <v>2008</v>
      </c>
      <c r="BU10">
        <f>YEAR(BU9)</f>
        <v>2001</v>
      </c>
      <c r="BV10">
        <f>YEAR(BV9)</f>
        <v>2016</v>
      </c>
      <c r="BW10">
        <f>YEAR(BW9)</f>
        <v>2012</v>
      </c>
      <c r="BX10">
        <f>YEAR(BX9)</f>
        <v>2009</v>
      </c>
      <c r="BY10">
        <f>YEAR(BY9)</f>
        <v>2010</v>
      </c>
      <c r="BZ10">
        <f>YEAR(BZ9)</f>
        <v>2016</v>
      </c>
      <c r="CA10">
        <f>YEAR(CA9)</f>
        <v>2016</v>
      </c>
      <c r="CB10">
        <f>YEAR(CB9)</f>
        <v>2014</v>
      </c>
      <c r="CC10">
        <f>YEAR(CC9)</f>
        <v>2005</v>
      </c>
      <c r="CD10">
        <f>YEAR(CD9)</f>
        <v>2019</v>
      </c>
      <c r="CE10">
        <f>YEAR(CE9)</f>
        <v>2011</v>
      </c>
      <c r="CF10">
        <f>YEAR(CF9)</f>
        <v>2010</v>
      </c>
      <c r="CG10">
        <f>YEAR(CG9)</f>
        <v>2003</v>
      </c>
      <c r="CH10">
        <f>YEAR(CH9)</f>
        <v>2009</v>
      </c>
      <c r="CI10">
        <f>YEAR(CI9)</f>
        <v>2019</v>
      </c>
      <c r="CJ10">
        <f>YEAR(CJ9)</f>
        <v>2000</v>
      </c>
      <c r="CK10">
        <f>YEAR(CK9)</f>
        <v>2000</v>
      </c>
      <c r="CL10">
        <f>YEAR(CL9)</f>
        <v>2000</v>
      </c>
      <c r="CM10">
        <f>YEAR(CM9)</f>
        <v>2004</v>
      </c>
      <c r="CN10">
        <f>YEAR(CN9)</f>
        <v>2010</v>
      </c>
      <c r="CO10">
        <f>YEAR(CO9)</f>
        <v>2000</v>
      </c>
      <c r="CP10">
        <f>YEAR(CP9)</f>
        <v>2017</v>
      </c>
      <c r="CQ10">
        <f>YEAR(CQ9)</f>
        <v>2002</v>
      </c>
      <c r="CR10">
        <f>YEAR(CR9)</f>
        <v>2016</v>
      </c>
      <c r="CS10">
        <f>YEAR(CS9)</f>
        <v>2002</v>
      </c>
      <c r="CT10">
        <f>YEAR(CT9)</f>
        <v>2007</v>
      </c>
      <c r="CU10">
        <f>YEAR(CU9)</f>
        <v>2011</v>
      </c>
      <c r="CV10">
        <f>YEAR(CV9)</f>
        <v>2019</v>
      </c>
      <c r="CW10">
        <f>YEAR(CW9)</f>
        <v>2019</v>
      </c>
      <c r="CX10">
        <f>YEAR(CX9)</f>
        <v>2003</v>
      </c>
      <c r="CY10">
        <f>YEAR(CY9)</f>
        <v>2005</v>
      </c>
      <c r="CZ10">
        <f>YEAR(CZ9)</f>
        <v>2011</v>
      </c>
      <c r="DA10">
        <f>YEAR(DA9)</f>
        <v>2003</v>
      </c>
      <c r="DB10">
        <f>YEAR(DB9)</f>
        <v>2004</v>
      </c>
      <c r="DC10">
        <f>YEAR(DC9)</f>
        <v>2017</v>
      </c>
      <c r="DD10">
        <f>YEAR(DD9)</f>
        <v>2006</v>
      </c>
      <c r="DE10">
        <f>YEAR(DE9)</f>
        <v>2005</v>
      </c>
      <c r="DF10">
        <f>YEAR(DF9)</f>
        <v>2004</v>
      </c>
      <c r="DG10">
        <f>YEAR(DG9)</f>
        <v>2002</v>
      </c>
      <c r="DH10">
        <f>YEAR(DH9)</f>
        <v>2009</v>
      </c>
      <c r="DI10">
        <f>YEAR(DI9)</f>
        <v>2000</v>
      </c>
      <c r="DJ10">
        <f>YEAR(DJ9)</f>
        <v>2017</v>
      </c>
      <c r="DK10">
        <f>YEAR(DK9)</f>
        <v>2009</v>
      </c>
      <c r="DL10">
        <f>YEAR(DL9)</f>
        <v>2002</v>
      </c>
      <c r="DM10">
        <f>YEAR(DM9)</f>
        <v>2000</v>
      </c>
      <c r="DN10">
        <f>YEAR(DN9)</f>
        <v>2009</v>
      </c>
      <c r="DO10">
        <f>YEAR(DO9)</f>
        <v>2011</v>
      </c>
      <c r="DP10">
        <f>YEAR(DP9)</f>
        <v>2005</v>
      </c>
      <c r="DQ10">
        <f>YEAR(DQ9)</f>
        <v>2000</v>
      </c>
      <c r="DR10">
        <f>YEAR(DR9)</f>
        <v>2014</v>
      </c>
      <c r="DS10">
        <f>YEAR(DS9)</f>
        <v>2014</v>
      </c>
      <c r="DT10">
        <f>YEAR(DT9)</f>
        <v>2019</v>
      </c>
      <c r="DU10">
        <f>YEAR(DU9)</f>
        <v>2001</v>
      </c>
      <c r="DV10">
        <f>YEAR(DV9)</f>
        <v>2001</v>
      </c>
      <c r="DW10">
        <f>YEAR(DW9)</f>
        <v>2002</v>
      </c>
      <c r="DX10">
        <f>YEAR(DX9)</f>
        <v>2011</v>
      </c>
      <c r="DY10">
        <f>YEAR(DY9)</f>
        <v>2010</v>
      </c>
      <c r="DZ10">
        <f>YEAR(DZ9)</f>
        <v>2009</v>
      </c>
      <c r="EA10">
        <f>YEAR(EA9)</f>
        <v>2014</v>
      </c>
      <c r="EB10">
        <f>YEAR(EB9)</f>
        <v>2015</v>
      </c>
      <c r="EC10">
        <f>YEAR(EC9)</f>
        <v>2008</v>
      </c>
      <c r="ED10">
        <f>YEAR(ED9)</f>
        <v>2001</v>
      </c>
      <c r="EE10">
        <f>YEAR(EE9)</f>
        <v>2017</v>
      </c>
      <c r="EF10">
        <f>YEAR(EF9)</f>
        <v>2018</v>
      </c>
      <c r="EG10">
        <f>YEAR(EG9)</f>
        <v>2012</v>
      </c>
      <c r="EH10">
        <f>YEAR(EH9)</f>
        <v>2006</v>
      </c>
      <c r="EI10">
        <f>YEAR(EI9)</f>
        <v>2016</v>
      </c>
      <c r="EJ10">
        <f>YEAR(EJ9)</f>
        <v>2003</v>
      </c>
      <c r="EK10">
        <f>YEAR(EK9)</f>
        <v>2004</v>
      </c>
      <c r="EL10">
        <f>YEAR(EL9)</f>
        <v>2002</v>
      </c>
      <c r="EM10">
        <f>YEAR(EM9)</f>
        <v>2017</v>
      </c>
      <c r="EN10">
        <f>YEAR(EN9)</f>
        <v>2019</v>
      </c>
      <c r="EO10">
        <f>YEAR(EO9)</f>
        <v>2007</v>
      </c>
      <c r="EP10">
        <f>YEAR(EP9)</f>
        <v>2019</v>
      </c>
      <c r="EQ10">
        <f>YEAR(EQ9)</f>
        <v>2013</v>
      </c>
      <c r="ER10">
        <f>YEAR(ER9)</f>
        <v>2006</v>
      </c>
      <c r="ES10">
        <f>YEAR(ES9)</f>
        <v>2012</v>
      </c>
      <c r="ET10">
        <f>YEAR(ET9)</f>
        <v>2003</v>
      </c>
      <c r="EU10">
        <f>YEAR(EU9)</f>
        <v>2002</v>
      </c>
      <c r="EV10">
        <f>YEAR(EV9)</f>
        <v>2005</v>
      </c>
      <c r="EW10">
        <f>YEAR(EW9)</f>
        <v>2009</v>
      </c>
      <c r="EX10">
        <f>YEAR(EX9)</f>
        <v>2006</v>
      </c>
      <c r="EY10">
        <f>YEAR(EY9)</f>
        <v>2009</v>
      </c>
      <c r="EZ10">
        <f>YEAR(EZ9)</f>
        <v>2013</v>
      </c>
      <c r="FA10">
        <f>YEAR(FA9)</f>
        <v>2019</v>
      </c>
      <c r="FB10">
        <f>YEAR(FB9)</f>
        <v>2019</v>
      </c>
      <c r="FC10">
        <f>YEAR(FC9)</f>
        <v>2016</v>
      </c>
      <c r="FD10">
        <f>YEAR(FD9)</f>
        <v>2009</v>
      </c>
      <c r="FE10">
        <f>YEAR(FE9)</f>
        <v>2003</v>
      </c>
      <c r="FF10">
        <f>YEAR(FF9)</f>
        <v>2008</v>
      </c>
      <c r="FG10">
        <f>YEAR(FG9)</f>
        <v>2001</v>
      </c>
      <c r="FH10">
        <f>YEAR(FH9)</f>
        <v>2010</v>
      </c>
      <c r="FI10">
        <f>YEAR(FI9)</f>
        <v>2013</v>
      </c>
      <c r="FJ10">
        <f>YEAR(FJ9)</f>
        <v>2002</v>
      </c>
      <c r="FK10">
        <f>YEAR(FK9)</f>
        <v>2005</v>
      </c>
      <c r="FL10">
        <f>YEAR(FL9)</f>
        <v>2012</v>
      </c>
      <c r="FM10">
        <f>YEAR(FM9)</f>
        <v>2014</v>
      </c>
      <c r="FN10">
        <f>YEAR(FN9)</f>
        <v>2017</v>
      </c>
      <c r="FO10">
        <f>YEAR(FO9)</f>
        <v>2005</v>
      </c>
      <c r="FP10">
        <f>YEAR(FP9)</f>
        <v>2017</v>
      </c>
      <c r="FQ10">
        <f>YEAR(FQ9)</f>
        <v>2006</v>
      </c>
      <c r="FR10">
        <f>YEAR(FR9)</f>
        <v>2016</v>
      </c>
      <c r="FS10">
        <f>YEAR(FS9)</f>
        <v>2013</v>
      </c>
      <c r="FT10">
        <f>YEAR(FT9)</f>
        <v>2001</v>
      </c>
      <c r="FU10">
        <f>YEAR(FU9)</f>
        <v>2007</v>
      </c>
      <c r="FV10">
        <f>YEAR(FV9)</f>
        <v>2014</v>
      </c>
      <c r="FW10">
        <f>YEAR(FW9)</f>
        <v>2010</v>
      </c>
      <c r="FX10">
        <f>YEAR(FX9)</f>
        <v>2001</v>
      </c>
      <c r="FY10">
        <f>YEAR(FY9)</f>
        <v>2017</v>
      </c>
      <c r="FZ10">
        <f>YEAR(FZ9)</f>
        <v>2013</v>
      </c>
      <c r="GA10">
        <f>YEAR(GA9)</f>
        <v>2018</v>
      </c>
      <c r="GB10">
        <f>YEAR(GB9)</f>
        <v>2016</v>
      </c>
      <c r="GC10">
        <f>YEAR(GC9)</f>
        <v>2008</v>
      </c>
      <c r="GD10">
        <f>YEAR(GD9)</f>
        <v>2009</v>
      </c>
      <c r="GE10">
        <f>YEAR(GE9)</f>
        <v>2007</v>
      </c>
      <c r="GF10">
        <f>YEAR(GF9)</f>
        <v>2015</v>
      </c>
      <c r="GG10">
        <f>YEAR(GG9)</f>
        <v>2013</v>
      </c>
      <c r="GH10">
        <f>YEAR(GH9)</f>
        <v>2005</v>
      </c>
      <c r="GI10">
        <f>YEAR(GI9)</f>
        <v>2008</v>
      </c>
      <c r="GJ10">
        <f>YEAR(GJ9)</f>
        <v>2007</v>
      </c>
      <c r="GK10">
        <f>YEAR(GK9)</f>
        <v>2014</v>
      </c>
      <c r="GL10">
        <f>YEAR(GL9)</f>
        <v>2008</v>
      </c>
      <c r="GM10">
        <f>YEAR(GM9)</f>
        <v>2011</v>
      </c>
      <c r="GN10">
        <f>YEAR(GN9)</f>
        <v>2017</v>
      </c>
      <c r="GO10">
        <f>YEAR(GO9)</f>
        <v>2005</v>
      </c>
      <c r="GP10">
        <f>YEAR(GP9)</f>
        <v>2006</v>
      </c>
      <c r="GQ10">
        <f>YEAR(GQ9)</f>
        <v>2017</v>
      </c>
      <c r="GR10">
        <f>YEAR(GR9)</f>
        <v>2007</v>
      </c>
      <c r="GS10">
        <f>YEAR(GS9)</f>
        <v>2010</v>
      </c>
      <c r="GT10">
        <f>YEAR(GT9)</f>
        <v>2000</v>
      </c>
      <c r="GU10">
        <f>YEAR(GU9)</f>
        <v>2006</v>
      </c>
      <c r="GV10">
        <f>YEAR(GV9)</f>
        <v>2006</v>
      </c>
      <c r="GW10">
        <f>YEAR(GW9)</f>
        <v>2015</v>
      </c>
      <c r="GX10">
        <f>YEAR(GX9)</f>
        <v>2019</v>
      </c>
      <c r="GY10">
        <f>YEAR(GY9)</f>
        <v>2012</v>
      </c>
      <c r="GZ10">
        <f>YEAR(GZ9)</f>
        <v>2017</v>
      </c>
      <c r="HA10">
        <f>YEAR(HA9)</f>
        <v>2002</v>
      </c>
      <c r="HB10">
        <f>YEAR(HB9)</f>
        <v>2014</v>
      </c>
      <c r="HC10">
        <f>YEAR(HC9)</f>
        <v>2019</v>
      </c>
      <c r="HD10">
        <f>YEAR(HD9)</f>
        <v>2007</v>
      </c>
      <c r="HE10">
        <f>YEAR(HE9)</f>
        <v>2012</v>
      </c>
      <c r="HF10">
        <f>YEAR(HF9)</f>
        <v>2009</v>
      </c>
      <c r="HG10">
        <f>YEAR(HG9)</f>
        <v>2001</v>
      </c>
      <c r="HH10">
        <f>YEAR(HH9)</f>
        <v>2014</v>
      </c>
      <c r="HI10">
        <f>YEAR(HI9)</f>
        <v>2005</v>
      </c>
      <c r="HJ10">
        <f>YEAR(HJ9)</f>
        <v>2018</v>
      </c>
      <c r="HK10">
        <f>YEAR(HK9)</f>
        <v>2006</v>
      </c>
      <c r="HL10">
        <f>YEAR(HL9)</f>
        <v>2016</v>
      </c>
      <c r="HM10">
        <f>YEAR(HM9)</f>
        <v>2009</v>
      </c>
      <c r="HN10">
        <f>YEAR(HN9)</f>
        <v>2008</v>
      </c>
      <c r="HO10">
        <f>YEAR(HO9)</f>
        <v>2012</v>
      </c>
      <c r="HP10">
        <f>YEAR(HP9)</f>
        <v>2003</v>
      </c>
      <c r="HQ10">
        <f>YEAR(HQ9)</f>
        <v>2000</v>
      </c>
      <c r="HR10">
        <f>YEAR(HR9)</f>
        <v>2013</v>
      </c>
      <c r="HS10">
        <f>YEAR(HS9)</f>
        <v>2008</v>
      </c>
      <c r="HT10">
        <f>YEAR(HT9)</f>
        <v>2002</v>
      </c>
      <c r="HU10">
        <f>YEAR(HU9)</f>
        <v>2016</v>
      </c>
      <c r="HV10">
        <f>YEAR(HV9)</f>
        <v>2005</v>
      </c>
      <c r="HW10">
        <f>YEAR(HW9)</f>
        <v>2003</v>
      </c>
      <c r="HX10">
        <f>YEAR(HX9)</f>
        <v>2005</v>
      </c>
      <c r="HY10">
        <f>YEAR(HY9)</f>
        <v>2002</v>
      </c>
      <c r="HZ10">
        <f>YEAR(HZ9)</f>
        <v>2011</v>
      </c>
      <c r="IA10">
        <f>YEAR(IA9)</f>
        <v>2001</v>
      </c>
      <c r="IB10">
        <f>YEAR(IB9)</f>
        <v>2004</v>
      </c>
      <c r="IC10">
        <f>YEAR(IC9)</f>
        <v>2001</v>
      </c>
      <c r="ID10">
        <f>YEAR(ID9)</f>
        <v>2002</v>
      </c>
      <c r="IE10">
        <f>YEAR(IE9)</f>
        <v>2005</v>
      </c>
      <c r="IF10">
        <f>YEAR(IF9)</f>
        <v>2004</v>
      </c>
      <c r="IG10">
        <f>YEAR(IG9)</f>
        <v>2008</v>
      </c>
      <c r="IH10">
        <f>YEAR(IH9)</f>
        <v>2016</v>
      </c>
      <c r="II10">
        <f>YEAR(II9)</f>
        <v>2017</v>
      </c>
      <c r="IJ10">
        <f>YEAR(IJ9)</f>
        <v>2005</v>
      </c>
      <c r="IK10">
        <f>YEAR(IK9)</f>
        <v>2000</v>
      </c>
      <c r="IL10">
        <f>YEAR(IL9)</f>
        <v>2017</v>
      </c>
      <c r="IM10">
        <f>YEAR(IM9)</f>
        <v>2008</v>
      </c>
      <c r="IN10">
        <f>YEAR(IN9)</f>
        <v>2015</v>
      </c>
      <c r="IO10">
        <f>YEAR(IO9)</f>
        <v>2019</v>
      </c>
      <c r="IP10">
        <f>YEAR(IP9)</f>
        <v>2013</v>
      </c>
      <c r="IQ10">
        <f>YEAR(IQ9)</f>
        <v>2012</v>
      </c>
      <c r="IR10">
        <f>YEAR(IR9)</f>
        <v>2006</v>
      </c>
      <c r="IS10">
        <f>YEAR(IS9)</f>
        <v>2005</v>
      </c>
      <c r="IT10">
        <f>YEAR(IT9)</f>
        <v>2018</v>
      </c>
      <c r="IU10">
        <f>YEAR(IU9)</f>
        <v>2004</v>
      </c>
      <c r="IV10">
        <f>YEAR(IV9)</f>
        <v>2008</v>
      </c>
      <c r="IW10">
        <f>YEAR(IW9)</f>
        <v>2018</v>
      </c>
      <c r="IX10">
        <f>YEAR(IX9)</f>
        <v>2010</v>
      </c>
      <c r="IY10">
        <f>YEAR(IY9)</f>
        <v>2006</v>
      </c>
      <c r="IZ10">
        <f>YEAR(IZ9)</f>
        <v>2011</v>
      </c>
      <c r="JA10">
        <f>YEAR(JA9)</f>
        <v>2004</v>
      </c>
      <c r="JB10">
        <f>YEAR(JB9)</f>
        <v>2005</v>
      </c>
      <c r="JC10">
        <f>YEAR(JC9)</f>
        <v>2019</v>
      </c>
      <c r="JD10">
        <f>YEAR(JD9)</f>
        <v>2016</v>
      </c>
      <c r="JE10">
        <f>YEAR(JE9)</f>
        <v>2004</v>
      </c>
      <c r="JF10">
        <f>YEAR(JF9)</f>
        <v>2010</v>
      </c>
      <c r="JG10">
        <f>YEAR(JG9)</f>
        <v>2000</v>
      </c>
      <c r="JH10">
        <f>YEAR(JH9)</f>
        <v>2013</v>
      </c>
      <c r="JI10">
        <f>YEAR(JI9)</f>
        <v>2008</v>
      </c>
      <c r="JJ10">
        <f>YEAR(JJ9)</f>
        <v>2013</v>
      </c>
      <c r="JK10">
        <f>YEAR(JK9)</f>
        <v>2016</v>
      </c>
      <c r="JL10">
        <f>YEAR(JL9)</f>
        <v>2019</v>
      </c>
      <c r="JM10">
        <f>YEAR(JM9)</f>
        <v>2017</v>
      </c>
      <c r="JN10">
        <f>YEAR(JN9)</f>
        <v>2017</v>
      </c>
      <c r="JO10">
        <f>YEAR(JO9)</f>
        <v>2016</v>
      </c>
      <c r="JP10">
        <f>YEAR(JP9)</f>
        <v>2013</v>
      </c>
      <c r="JQ10">
        <f>YEAR(JQ9)</f>
        <v>2006</v>
      </c>
      <c r="JR10">
        <f>YEAR(JR9)</f>
        <v>2011</v>
      </c>
      <c r="JS10">
        <f>YEAR(JS9)</f>
        <v>2009</v>
      </c>
      <c r="JT10">
        <f>YEAR(JT9)</f>
        <v>2013</v>
      </c>
      <c r="JU10">
        <f>YEAR(JU9)</f>
        <v>2001</v>
      </c>
      <c r="JV10">
        <f>YEAR(JV9)</f>
        <v>2007</v>
      </c>
      <c r="JW10">
        <f>YEAR(JW9)</f>
        <v>2003</v>
      </c>
      <c r="JX10">
        <f>YEAR(JX9)</f>
        <v>2006</v>
      </c>
      <c r="JY10">
        <f>YEAR(JY9)</f>
        <v>2013</v>
      </c>
      <c r="JZ10">
        <f>YEAR(JZ9)</f>
        <v>2009</v>
      </c>
      <c r="KA10">
        <f>YEAR(KA9)</f>
        <v>2009</v>
      </c>
      <c r="KB10">
        <f>YEAR(KB9)</f>
        <v>2014</v>
      </c>
      <c r="KC10">
        <f>YEAR(KC9)</f>
        <v>2013</v>
      </c>
      <c r="KD10">
        <f>YEAR(KD9)</f>
        <v>2012</v>
      </c>
      <c r="KE10">
        <f>YEAR(KE9)</f>
        <v>2004</v>
      </c>
      <c r="KF10">
        <f>YEAR(KF9)</f>
        <v>2003</v>
      </c>
      <c r="KG10">
        <f>YEAR(KG9)</f>
        <v>2012</v>
      </c>
      <c r="KH10">
        <f>YEAR(KH9)</f>
        <v>2014</v>
      </c>
      <c r="KI10">
        <f>YEAR(KI9)</f>
        <v>2000</v>
      </c>
      <c r="KJ10">
        <f>YEAR(KJ9)</f>
        <v>2001</v>
      </c>
      <c r="KK10">
        <f>YEAR(KK9)</f>
        <v>2012</v>
      </c>
      <c r="KL10">
        <f>YEAR(KL9)</f>
        <v>2001</v>
      </c>
      <c r="KM10">
        <f>YEAR(KM9)</f>
        <v>2017</v>
      </c>
      <c r="KN10">
        <f>YEAR(KN9)</f>
        <v>2000</v>
      </c>
      <c r="KO10">
        <f>YEAR(KO9)</f>
        <v>2003</v>
      </c>
      <c r="KP10">
        <f>YEAR(KP9)</f>
        <v>2006</v>
      </c>
      <c r="KQ10">
        <f>YEAR(KQ9)</f>
        <v>2003</v>
      </c>
      <c r="KR10">
        <f>YEAR(KR9)</f>
        <v>2004</v>
      </c>
      <c r="KS10">
        <f>YEAR(KS9)</f>
        <v>2004</v>
      </c>
      <c r="KT10">
        <f>YEAR(KT9)</f>
        <v>2010</v>
      </c>
      <c r="KU10">
        <f>YEAR(KU9)</f>
        <v>2014</v>
      </c>
      <c r="KV10">
        <f>YEAR(KV9)</f>
        <v>2015</v>
      </c>
      <c r="KW10">
        <f>YEAR(KW9)</f>
        <v>2013</v>
      </c>
      <c r="KX10">
        <f>YEAR(KX9)</f>
        <v>2017</v>
      </c>
      <c r="KY10">
        <f>YEAR(KY9)</f>
        <v>2003</v>
      </c>
      <c r="KZ10">
        <f>YEAR(KZ9)</f>
        <v>2004</v>
      </c>
      <c r="LA10">
        <f>YEAR(LA9)</f>
        <v>2006</v>
      </c>
      <c r="LB10">
        <f>YEAR(LB9)</f>
        <v>2008</v>
      </c>
      <c r="LC10">
        <f>YEAR(LC9)</f>
        <v>2000</v>
      </c>
      <c r="LD10">
        <f>YEAR(LD9)</f>
        <v>2013</v>
      </c>
      <c r="LE10">
        <f>YEAR(LE9)</f>
        <v>2002</v>
      </c>
      <c r="LF10">
        <f>YEAR(LF9)</f>
        <v>2013</v>
      </c>
      <c r="LG10">
        <f>YEAR(LG9)</f>
        <v>2016</v>
      </c>
      <c r="LH10">
        <f>YEAR(LH9)</f>
        <v>2009</v>
      </c>
      <c r="LI10">
        <f>YEAR(LI9)</f>
        <v>2003</v>
      </c>
      <c r="LJ10">
        <f>YEAR(LJ9)</f>
        <v>2011</v>
      </c>
      <c r="LK10">
        <f>YEAR(LK9)</f>
        <v>2013</v>
      </c>
      <c r="LL10">
        <f>YEAR(LL9)</f>
        <v>2013</v>
      </c>
      <c r="LM10">
        <f>YEAR(LM9)</f>
        <v>2015</v>
      </c>
      <c r="LN10">
        <f>YEAR(LN9)</f>
        <v>2016</v>
      </c>
      <c r="LO10">
        <f>YEAR(LO9)</f>
        <v>2019</v>
      </c>
      <c r="LP10">
        <f>YEAR(LP9)</f>
        <v>2017</v>
      </c>
      <c r="LQ10">
        <f>YEAR(LQ9)</f>
        <v>2002</v>
      </c>
      <c r="LR10">
        <f>YEAR(LR9)</f>
        <v>2015</v>
      </c>
      <c r="LS10">
        <f>YEAR(LS9)</f>
        <v>2009</v>
      </c>
      <c r="LT10">
        <f>YEAR(LT9)</f>
        <v>2004</v>
      </c>
      <c r="LU10">
        <f>YEAR(LU9)</f>
        <v>2008</v>
      </c>
      <c r="LV10">
        <f>YEAR(LV9)</f>
        <v>2017</v>
      </c>
      <c r="LW10">
        <f>YEAR(LW9)</f>
        <v>2008</v>
      </c>
      <c r="LX10">
        <f>YEAR(LX9)</f>
        <v>2013</v>
      </c>
      <c r="LY10">
        <f>YEAR(LY9)</f>
        <v>2010</v>
      </c>
      <c r="LZ10">
        <f>YEAR(LZ9)</f>
        <v>2006</v>
      </c>
      <c r="MA10">
        <f>YEAR(MA9)</f>
        <v>2010</v>
      </c>
      <c r="MB10">
        <f>YEAR(MB9)</f>
        <v>2019</v>
      </c>
      <c r="MC10">
        <f>YEAR(MC9)</f>
        <v>2014</v>
      </c>
      <c r="MD10">
        <f>YEAR(MD9)</f>
        <v>2001</v>
      </c>
      <c r="ME10">
        <f>YEAR(ME9)</f>
        <v>2001</v>
      </c>
      <c r="MF10">
        <f>YEAR(MF9)</f>
        <v>2010</v>
      </c>
      <c r="MG10">
        <f>YEAR(MG9)</f>
        <v>2000</v>
      </c>
      <c r="MH10">
        <f>YEAR(MH9)</f>
        <v>2006</v>
      </c>
      <c r="MI10">
        <f>YEAR(MI9)</f>
        <v>2011</v>
      </c>
      <c r="MJ10">
        <f>YEAR(MJ9)</f>
        <v>2008</v>
      </c>
      <c r="MK10">
        <f>YEAR(MK9)</f>
        <v>2005</v>
      </c>
      <c r="ML10">
        <f>YEAR(ML9)</f>
        <v>2008</v>
      </c>
      <c r="MM10">
        <f>YEAR(MM9)</f>
        <v>2011</v>
      </c>
      <c r="MN10">
        <f>YEAR(MN9)</f>
        <v>2009</v>
      </c>
      <c r="MO10">
        <f>YEAR(MO9)</f>
        <v>2007</v>
      </c>
      <c r="MP10">
        <f>YEAR(MP9)</f>
        <v>2008</v>
      </c>
      <c r="MQ10">
        <f>YEAR(MQ9)</f>
        <v>2009</v>
      </c>
      <c r="MR10">
        <f>YEAR(MR9)</f>
        <v>2013</v>
      </c>
      <c r="MS10">
        <f>YEAR(MS9)</f>
        <v>2003</v>
      </c>
      <c r="MT10">
        <f>YEAR(MT9)</f>
        <v>2001</v>
      </c>
      <c r="MU10">
        <f>YEAR(MU9)</f>
        <v>2009</v>
      </c>
      <c r="MV10">
        <f>YEAR(MV9)</f>
        <v>2016</v>
      </c>
      <c r="MW10">
        <f>YEAR(MW9)</f>
        <v>2001</v>
      </c>
      <c r="MX10">
        <f>YEAR(MX9)</f>
        <v>2014</v>
      </c>
      <c r="MY10">
        <f>YEAR(MY9)</f>
        <v>2013</v>
      </c>
      <c r="MZ10">
        <f>YEAR(MZ9)</f>
        <v>2002</v>
      </c>
      <c r="NA10">
        <f>YEAR(NA9)</f>
        <v>2013</v>
      </c>
      <c r="NB10">
        <f>YEAR(NB9)</f>
        <v>2015</v>
      </c>
      <c r="NC10">
        <f>YEAR(NC9)</f>
        <v>2018</v>
      </c>
      <c r="ND10">
        <f>YEAR(ND9)</f>
        <v>2003</v>
      </c>
      <c r="NE10">
        <f>YEAR(NE9)</f>
        <v>2016</v>
      </c>
      <c r="NF10">
        <f>YEAR(NF9)</f>
        <v>2009</v>
      </c>
      <c r="NG10">
        <f>YEAR(NG9)</f>
        <v>2000</v>
      </c>
      <c r="NH10">
        <f>YEAR(NH9)</f>
        <v>2000</v>
      </c>
      <c r="NI10">
        <f>YEAR(NI9)</f>
        <v>2015</v>
      </c>
      <c r="NJ10">
        <f>YEAR(NJ9)</f>
        <v>2003</v>
      </c>
      <c r="NK10">
        <f>YEAR(NK9)</f>
        <v>2015</v>
      </c>
      <c r="NL10">
        <f>YEAR(NL9)</f>
        <v>2008</v>
      </c>
      <c r="NM10">
        <f>YEAR(NM9)</f>
        <v>2001</v>
      </c>
      <c r="NN10">
        <f>YEAR(NN9)</f>
        <v>2019</v>
      </c>
      <c r="NO10">
        <f>YEAR(NO9)</f>
        <v>2009</v>
      </c>
      <c r="NP10">
        <f>YEAR(NP9)</f>
        <v>2017</v>
      </c>
      <c r="NQ10">
        <f>YEAR(NQ9)</f>
        <v>2003</v>
      </c>
      <c r="NR10">
        <f>YEAR(NR9)</f>
        <v>2006</v>
      </c>
      <c r="NS10">
        <f>YEAR(NS9)</f>
        <v>2009</v>
      </c>
      <c r="NT10">
        <f>YEAR(NT9)</f>
        <v>2002</v>
      </c>
      <c r="NU10">
        <f>YEAR(NU9)</f>
        <v>2019</v>
      </c>
      <c r="NV10">
        <f>YEAR(NV9)</f>
        <v>2003</v>
      </c>
      <c r="NW10">
        <f>YEAR(NW9)</f>
        <v>2016</v>
      </c>
      <c r="NX10">
        <f>YEAR(NX9)</f>
        <v>2019</v>
      </c>
      <c r="NY10">
        <f>YEAR(NY9)</f>
        <v>2002</v>
      </c>
      <c r="NZ10">
        <f>YEAR(NZ9)</f>
        <v>2004</v>
      </c>
      <c r="OA10">
        <f>YEAR(OA9)</f>
        <v>2008</v>
      </c>
      <c r="OB10">
        <f>YEAR(OB9)</f>
        <v>2006</v>
      </c>
      <c r="OC10">
        <f>YEAR(OC9)</f>
        <v>2003</v>
      </c>
      <c r="OD10">
        <f>YEAR(OD9)</f>
        <v>2001</v>
      </c>
      <c r="OE10">
        <f>YEAR(OE9)</f>
        <v>2008</v>
      </c>
      <c r="OF10">
        <f>YEAR(OF9)</f>
        <v>2006</v>
      </c>
      <c r="OG10">
        <f>YEAR(OG9)</f>
        <v>2019</v>
      </c>
      <c r="OH10">
        <f>YEAR(OH9)</f>
        <v>2017</v>
      </c>
      <c r="OI10">
        <f>YEAR(OI9)</f>
        <v>2013</v>
      </c>
      <c r="OJ10">
        <f>YEAR(OJ9)</f>
        <v>2019</v>
      </c>
      <c r="OK10">
        <f>YEAR(OK9)</f>
        <v>2015</v>
      </c>
      <c r="OL10">
        <f>YEAR(OL9)</f>
        <v>2005</v>
      </c>
      <c r="OM10">
        <f>YEAR(OM9)</f>
        <v>2008</v>
      </c>
      <c r="ON10">
        <f>YEAR(ON9)</f>
        <v>2019</v>
      </c>
      <c r="OO10">
        <f>YEAR(OO9)</f>
        <v>2017</v>
      </c>
      <c r="OP10">
        <f>YEAR(OP9)</f>
        <v>2011</v>
      </c>
      <c r="OQ10">
        <f>YEAR(OQ9)</f>
        <v>2017</v>
      </c>
      <c r="OR10">
        <f>YEAR(OR9)</f>
        <v>2007</v>
      </c>
      <c r="OS10">
        <f>YEAR(OS9)</f>
        <v>2016</v>
      </c>
      <c r="OT10">
        <f>YEAR(OT9)</f>
        <v>2013</v>
      </c>
      <c r="OU10">
        <f>YEAR(OU9)</f>
        <v>2011</v>
      </c>
      <c r="OV10">
        <f>YEAR(OV9)</f>
        <v>2006</v>
      </c>
      <c r="OW10">
        <f>YEAR(OW9)</f>
        <v>2014</v>
      </c>
      <c r="OX10">
        <f>YEAR(OX9)</f>
        <v>2014</v>
      </c>
      <c r="OY10">
        <f>YEAR(OY9)</f>
        <v>2016</v>
      </c>
      <c r="OZ10">
        <f>YEAR(OZ9)</f>
        <v>2002</v>
      </c>
      <c r="PA10">
        <f>YEAR(PA9)</f>
        <v>2018</v>
      </c>
      <c r="PB10">
        <f>YEAR(PB9)</f>
        <v>2011</v>
      </c>
      <c r="PC10">
        <f>YEAR(PC9)</f>
        <v>2002</v>
      </c>
      <c r="PD10">
        <f>YEAR(PD9)</f>
        <v>2019</v>
      </c>
      <c r="PE10">
        <f>YEAR(PE9)</f>
        <v>2010</v>
      </c>
      <c r="PF10">
        <f>YEAR(PF9)</f>
        <v>2007</v>
      </c>
      <c r="PG10">
        <f>YEAR(PG9)</f>
        <v>2017</v>
      </c>
      <c r="PH10">
        <f>YEAR(PH9)</f>
        <v>2000</v>
      </c>
      <c r="PI10">
        <f>YEAR(PI9)</f>
        <v>2008</v>
      </c>
      <c r="PJ10">
        <f>YEAR(PJ9)</f>
        <v>2001</v>
      </c>
      <c r="PK10">
        <f>YEAR(PK9)</f>
        <v>2012</v>
      </c>
      <c r="PL10">
        <f>YEAR(PL9)</f>
        <v>2008</v>
      </c>
      <c r="PM10">
        <f>YEAR(PM9)</f>
        <v>2012</v>
      </c>
      <c r="PN10">
        <f>YEAR(PN9)</f>
        <v>2007</v>
      </c>
      <c r="PO10">
        <f>YEAR(PO9)</f>
        <v>2009</v>
      </c>
      <c r="PP10">
        <f>YEAR(PP9)</f>
        <v>2009</v>
      </c>
      <c r="PQ10">
        <f>YEAR(PQ9)</f>
        <v>2007</v>
      </c>
      <c r="PR10">
        <f>YEAR(PR9)</f>
        <v>2017</v>
      </c>
      <c r="PS10">
        <f>YEAR(PS9)</f>
        <v>2017</v>
      </c>
      <c r="PT10">
        <f>YEAR(PT9)</f>
        <v>2017</v>
      </c>
      <c r="PU10">
        <f>YEAR(PU9)</f>
        <v>2004</v>
      </c>
      <c r="PV10">
        <f>YEAR(PV9)</f>
        <v>2007</v>
      </c>
      <c r="PW10">
        <f>YEAR(PW9)</f>
        <v>2010</v>
      </c>
      <c r="PX10">
        <f>YEAR(PX9)</f>
        <v>2011</v>
      </c>
      <c r="PY10">
        <f>YEAR(PY9)</f>
        <v>2001</v>
      </c>
      <c r="PZ10">
        <f>YEAR(PZ9)</f>
        <v>2011</v>
      </c>
      <c r="QA10">
        <f>YEAR(QA9)</f>
        <v>2007</v>
      </c>
      <c r="QB10">
        <f>YEAR(QB9)</f>
        <v>2019</v>
      </c>
      <c r="QC10">
        <f>YEAR(QC9)</f>
        <v>2010</v>
      </c>
      <c r="QD10">
        <f>YEAR(QD9)</f>
        <v>2014</v>
      </c>
      <c r="QE10">
        <f>YEAR(QE9)</f>
        <v>2008</v>
      </c>
      <c r="QF10">
        <f>YEAR(QF9)</f>
        <v>2012</v>
      </c>
      <c r="QG10">
        <f>YEAR(QG9)</f>
        <v>2018</v>
      </c>
      <c r="QH10">
        <f>YEAR(QH9)</f>
        <v>2011</v>
      </c>
      <c r="QI10">
        <f>YEAR(QI9)</f>
        <v>2003</v>
      </c>
      <c r="QJ10">
        <f>YEAR(QJ9)</f>
        <v>2008</v>
      </c>
      <c r="QK10">
        <f>YEAR(QK9)</f>
        <v>2019</v>
      </c>
      <c r="QL10">
        <f>YEAR(QL9)</f>
        <v>2016</v>
      </c>
      <c r="QM10">
        <f>YEAR(QM9)</f>
        <v>2016</v>
      </c>
      <c r="QN10">
        <f>YEAR(QN9)</f>
        <v>2012</v>
      </c>
      <c r="QO10">
        <f>YEAR(QO9)</f>
        <v>2006</v>
      </c>
      <c r="QP10">
        <f>YEAR(QP9)</f>
        <v>2017</v>
      </c>
      <c r="QQ10">
        <f>YEAR(QQ9)</f>
        <v>2003</v>
      </c>
      <c r="QR10">
        <f>YEAR(QR9)</f>
        <v>2005</v>
      </c>
      <c r="QS10">
        <f>YEAR(QS9)</f>
        <v>2004</v>
      </c>
      <c r="QT10">
        <f>YEAR(QT9)</f>
        <v>2002</v>
      </c>
      <c r="QU10">
        <f>YEAR(QU9)</f>
        <v>2005</v>
      </c>
      <c r="QV10">
        <f>YEAR(QV9)</f>
        <v>2018</v>
      </c>
      <c r="QW10">
        <f>YEAR(QW9)</f>
        <v>2005</v>
      </c>
      <c r="QX10">
        <f>YEAR(QX9)</f>
        <v>2005</v>
      </c>
      <c r="QY10">
        <f>YEAR(QY9)</f>
        <v>2004</v>
      </c>
      <c r="QZ10">
        <f>YEAR(QZ9)</f>
        <v>2006</v>
      </c>
      <c r="RA10">
        <f>YEAR(RA9)</f>
        <v>2014</v>
      </c>
      <c r="RB10">
        <f>YEAR(RB9)</f>
        <v>2005</v>
      </c>
      <c r="RC10">
        <f>YEAR(RC9)</f>
        <v>2001</v>
      </c>
      <c r="RD10">
        <f>YEAR(RD9)</f>
        <v>2019</v>
      </c>
      <c r="RE10">
        <f>YEAR(RE9)</f>
        <v>2011</v>
      </c>
      <c r="RF10">
        <f>YEAR(RF9)</f>
        <v>2005</v>
      </c>
      <c r="RG10">
        <f>YEAR(RG9)</f>
        <v>2012</v>
      </c>
      <c r="RH10">
        <f>YEAR(RH9)</f>
        <v>2010</v>
      </c>
      <c r="RI10">
        <f>YEAR(RI9)</f>
        <v>2001</v>
      </c>
      <c r="RJ10">
        <f>YEAR(RJ9)</f>
        <v>2005</v>
      </c>
      <c r="RK10">
        <f>YEAR(RK9)</f>
        <v>2008</v>
      </c>
      <c r="RL10">
        <f>YEAR(RL9)</f>
        <v>2009</v>
      </c>
      <c r="RM10">
        <f>YEAR(RM9)</f>
        <v>2001</v>
      </c>
      <c r="RN10">
        <f>YEAR(RN9)</f>
        <v>2004</v>
      </c>
      <c r="RO10">
        <f>YEAR(RO9)</f>
        <v>2007</v>
      </c>
      <c r="RP10">
        <f>YEAR(RP9)</f>
        <v>2014</v>
      </c>
      <c r="RQ10">
        <f>YEAR(RQ9)</f>
        <v>2007</v>
      </c>
      <c r="RR10">
        <f>YEAR(RR9)</f>
        <v>2001</v>
      </c>
      <c r="RS10">
        <f>YEAR(RS9)</f>
        <v>2004</v>
      </c>
      <c r="RT10">
        <f>YEAR(RT9)</f>
        <v>2017</v>
      </c>
      <c r="RU10">
        <f>YEAR(RU9)</f>
        <v>2002</v>
      </c>
      <c r="RV10">
        <f>YEAR(RV9)</f>
        <v>2012</v>
      </c>
      <c r="RW10">
        <f>YEAR(RW9)</f>
        <v>2013</v>
      </c>
      <c r="RX10">
        <f>YEAR(RX9)</f>
        <v>2018</v>
      </c>
      <c r="RY10">
        <f>YEAR(RY9)</f>
        <v>2003</v>
      </c>
      <c r="RZ10">
        <f>YEAR(RZ9)</f>
        <v>2000</v>
      </c>
      <c r="SA10">
        <f>YEAR(SA9)</f>
        <v>2007</v>
      </c>
      <c r="SB10">
        <f>YEAR(SB9)</f>
        <v>2010</v>
      </c>
      <c r="SC10">
        <f>YEAR(SC9)</f>
        <v>2019</v>
      </c>
      <c r="SD10">
        <f>YEAR(SD9)</f>
        <v>2012</v>
      </c>
      <c r="SE10">
        <f>YEAR(SE9)</f>
        <v>2018</v>
      </c>
      <c r="SF10">
        <f>YEAR(SF9)</f>
        <v>2003</v>
      </c>
      <c r="SG10">
        <f>YEAR(SG9)</f>
        <v>2015</v>
      </c>
      <c r="SH10">
        <f>YEAR(SH9)</f>
        <v>2018</v>
      </c>
      <c r="SI10">
        <f>YEAR(SI9)</f>
        <v>2018</v>
      </c>
      <c r="SJ10">
        <f>YEAR(SJ9)</f>
        <v>2004</v>
      </c>
      <c r="SK10">
        <f>YEAR(SK9)</f>
        <v>2004</v>
      </c>
      <c r="SL10">
        <f>YEAR(SL9)</f>
        <v>2015</v>
      </c>
      <c r="SM10">
        <f>YEAR(SM9)</f>
        <v>2019</v>
      </c>
      <c r="SN10">
        <f>YEAR(SN9)</f>
        <v>2010</v>
      </c>
      <c r="SO10">
        <f>YEAR(SO9)</f>
        <v>2002</v>
      </c>
      <c r="SP10">
        <f>YEAR(SP9)</f>
        <v>2000</v>
      </c>
      <c r="SQ10">
        <f>YEAR(SQ9)</f>
        <v>2011</v>
      </c>
      <c r="SR10">
        <f>YEAR(SR9)</f>
        <v>2018</v>
      </c>
      <c r="SS10">
        <f>YEAR(SS9)</f>
        <v>2005</v>
      </c>
      <c r="ST10">
        <f>YEAR(ST9)</f>
        <v>2012</v>
      </c>
      <c r="SU10">
        <f>YEAR(SU9)</f>
        <v>2016</v>
      </c>
      <c r="SV10">
        <f>YEAR(SV9)</f>
        <v>2004</v>
      </c>
      <c r="SW10">
        <f>YEAR(SW9)</f>
        <v>2003</v>
      </c>
      <c r="SX10">
        <f>YEAR(SX9)</f>
        <v>2006</v>
      </c>
      <c r="SY10">
        <f>YEAR(SY9)</f>
        <v>2011</v>
      </c>
      <c r="SZ10">
        <f>YEAR(SZ9)</f>
        <v>2004</v>
      </c>
      <c r="TA10">
        <f>YEAR(TA9)</f>
        <v>2017</v>
      </c>
      <c r="TB10">
        <f>YEAR(TB9)</f>
        <v>2005</v>
      </c>
      <c r="TC10">
        <f>YEAR(TC9)</f>
        <v>2004</v>
      </c>
      <c r="TD10">
        <f>YEAR(TD9)</f>
        <v>2017</v>
      </c>
      <c r="TE10">
        <f>YEAR(TE9)</f>
        <v>2013</v>
      </c>
      <c r="TF10">
        <f>YEAR(TF9)</f>
        <v>2002</v>
      </c>
      <c r="TG10">
        <f>YEAR(TG9)</f>
        <v>2016</v>
      </c>
      <c r="TH10">
        <f>YEAR(TH9)</f>
        <v>2003</v>
      </c>
      <c r="TI10">
        <f>YEAR(TI9)</f>
        <v>2009</v>
      </c>
      <c r="TJ10">
        <f>YEAR(TJ9)</f>
        <v>2017</v>
      </c>
      <c r="TK10">
        <f>YEAR(TK9)</f>
        <v>2003</v>
      </c>
      <c r="TL10">
        <f>YEAR(TL9)</f>
        <v>2000</v>
      </c>
      <c r="TM10">
        <f>YEAR(TM9)</f>
        <v>2010</v>
      </c>
      <c r="TN10">
        <f>YEAR(TN9)</f>
        <v>2001</v>
      </c>
      <c r="TO10">
        <f>YEAR(TO9)</f>
        <v>2012</v>
      </c>
      <c r="TP10">
        <f>YEAR(TP9)</f>
        <v>2003</v>
      </c>
      <c r="TQ10">
        <f>YEAR(TQ9)</f>
        <v>2012</v>
      </c>
      <c r="TR10">
        <f>YEAR(TR9)</f>
        <v>2003</v>
      </c>
      <c r="TS10">
        <f>YEAR(TS9)</f>
        <v>2003</v>
      </c>
      <c r="TT10">
        <f>YEAR(TT9)</f>
        <v>2005</v>
      </c>
      <c r="TU10">
        <f>YEAR(TU9)</f>
        <v>2010</v>
      </c>
      <c r="TV10">
        <f>YEAR(TV9)</f>
        <v>2013</v>
      </c>
      <c r="TW10">
        <f>YEAR(TW9)</f>
        <v>2006</v>
      </c>
      <c r="TX10">
        <f>YEAR(TX9)</f>
        <v>2011</v>
      </c>
      <c r="TY10">
        <f>YEAR(TY9)</f>
        <v>2009</v>
      </c>
      <c r="TZ10">
        <f>YEAR(TZ9)</f>
        <v>2018</v>
      </c>
      <c r="UA10">
        <f>YEAR(UA9)</f>
        <v>2015</v>
      </c>
      <c r="UB10">
        <f>YEAR(UB9)</f>
        <v>2016</v>
      </c>
      <c r="UC10">
        <f>YEAR(UC9)</f>
        <v>2002</v>
      </c>
      <c r="UD10">
        <f>YEAR(UD9)</f>
        <v>2008</v>
      </c>
      <c r="UE10">
        <f>YEAR(UE9)</f>
        <v>2014</v>
      </c>
      <c r="UF10">
        <f>YEAR(UF9)</f>
        <v>2009</v>
      </c>
      <c r="UG10">
        <f>YEAR(UG9)</f>
        <v>2011</v>
      </c>
      <c r="UH10">
        <f>YEAR(UH9)</f>
        <v>2011</v>
      </c>
      <c r="UI10">
        <f>YEAR(UI9)</f>
        <v>2000</v>
      </c>
      <c r="UJ10">
        <f>YEAR(UJ9)</f>
        <v>2010</v>
      </c>
      <c r="UK10">
        <f>YEAR(UK9)</f>
        <v>2016</v>
      </c>
      <c r="UL10">
        <f>YEAR(UL9)</f>
        <v>2012</v>
      </c>
      <c r="UM10">
        <f>YEAR(UM9)</f>
        <v>2002</v>
      </c>
      <c r="UN10">
        <f>YEAR(UN9)</f>
        <v>2016</v>
      </c>
      <c r="UO10">
        <f>YEAR(UO9)</f>
        <v>2018</v>
      </c>
      <c r="UP10">
        <f>YEAR(UP9)</f>
        <v>2012</v>
      </c>
      <c r="UQ10">
        <f>YEAR(UQ9)</f>
        <v>2016</v>
      </c>
      <c r="UR10">
        <f>YEAR(UR9)</f>
        <v>2014</v>
      </c>
      <c r="US10">
        <f>YEAR(US9)</f>
        <v>2016</v>
      </c>
      <c r="UT10">
        <f>YEAR(UT9)</f>
        <v>2005</v>
      </c>
      <c r="UU10">
        <f>YEAR(UU9)</f>
        <v>2005</v>
      </c>
      <c r="UV10">
        <f>YEAR(UV9)</f>
        <v>2019</v>
      </c>
      <c r="UW10">
        <f>YEAR(UW9)</f>
        <v>2002</v>
      </c>
      <c r="UX10">
        <f>YEAR(UX9)</f>
        <v>2013</v>
      </c>
      <c r="UY10">
        <f>YEAR(UY9)</f>
        <v>2010</v>
      </c>
      <c r="UZ10">
        <f>YEAR(UZ9)</f>
        <v>2010</v>
      </c>
      <c r="VA10">
        <f>YEAR(VA9)</f>
        <v>2004</v>
      </c>
      <c r="VB10">
        <f>YEAR(VB9)</f>
        <v>2013</v>
      </c>
      <c r="VC10">
        <f>YEAR(VC9)</f>
        <v>2015</v>
      </c>
      <c r="VD10">
        <f>YEAR(VD9)</f>
        <v>2019</v>
      </c>
      <c r="VE10">
        <f>YEAR(VE9)</f>
        <v>2008</v>
      </c>
      <c r="VF10">
        <f>YEAR(VF9)</f>
        <v>2014</v>
      </c>
      <c r="VG10">
        <f>YEAR(VG9)</f>
        <v>2004</v>
      </c>
      <c r="VH10">
        <f>YEAR(VH9)</f>
        <v>2004</v>
      </c>
      <c r="VI10">
        <f>YEAR(VI9)</f>
        <v>2018</v>
      </c>
      <c r="VJ10">
        <f>YEAR(VJ9)</f>
        <v>2009</v>
      </c>
      <c r="VK10">
        <f>YEAR(VK9)</f>
        <v>2015</v>
      </c>
      <c r="VL10">
        <f>YEAR(VL9)</f>
        <v>2005</v>
      </c>
      <c r="VM10">
        <f>YEAR(VM9)</f>
        <v>2003</v>
      </c>
      <c r="VN10">
        <f>YEAR(VN9)</f>
        <v>2013</v>
      </c>
      <c r="VO10">
        <f>YEAR(VO9)</f>
        <v>2009</v>
      </c>
      <c r="VP10">
        <f>YEAR(VP9)</f>
        <v>2009</v>
      </c>
      <c r="VQ10">
        <f>YEAR(VQ9)</f>
        <v>2008</v>
      </c>
      <c r="VR10">
        <f>YEAR(VR9)</f>
        <v>2011</v>
      </c>
      <c r="VS10">
        <f>YEAR(VS9)</f>
        <v>2002</v>
      </c>
      <c r="VT10">
        <f>YEAR(VT9)</f>
        <v>2003</v>
      </c>
      <c r="VU10">
        <f>YEAR(VU9)</f>
        <v>2012</v>
      </c>
      <c r="VV10">
        <f>YEAR(VV9)</f>
        <v>2015</v>
      </c>
      <c r="VW10">
        <f>YEAR(VW9)</f>
        <v>2016</v>
      </c>
      <c r="VX10">
        <f>YEAR(VX9)</f>
        <v>2008</v>
      </c>
      <c r="VY10">
        <f>YEAR(VY9)</f>
        <v>2000</v>
      </c>
      <c r="VZ10">
        <f>YEAR(VZ9)</f>
        <v>2010</v>
      </c>
      <c r="WA10">
        <f>YEAR(WA9)</f>
        <v>2017</v>
      </c>
      <c r="WB10">
        <f>YEAR(WB9)</f>
        <v>2006</v>
      </c>
      <c r="WC10">
        <f>YEAR(WC9)</f>
        <v>2010</v>
      </c>
      <c r="WD10">
        <f>YEAR(WD9)</f>
        <v>2009</v>
      </c>
      <c r="WE10">
        <f>YEAR(WE9)</f>
        <v>2005</v>
      </c>
      <c r="WF10">
        <f>YEAR(WF9)</f>
        <v>2008</v>
      </c>
      <c r="WG10">
        <f>YEAR(WG9)</f>
        <v>2008</v>
      </c>
      <c r="WH10">
        <f>YEAR(WH9)</f>
        <v>2008</v>
      </c>
      <c r="WI10">
        <f>YEAR(WI9)</f>
        <v>2013</v>
      </c>
      <c r="WJ10">
        <f>YEAR(WJ9)</f>
        <v>2013</v>
      </c>
      <c r="WK10">
        <f>YEAR(WK9)</f>
        <v>2003</v>
      </c>
      <c r="WL10">
        <f>YEAR(WL9)</f>
        <v>2001</v>
      </c>
      <c r="WM10">
        <f>YEAR(WM9)</f>
        <v>2014</v>
      </c>
      <c r="WN10">
        <f>YEAR(WN9)</f>
        <v>2013</v>
      </c>
      <c r="WO10">
        <f>YEAR(WO9)</f>
        <v>2019</v>
      </c>
      <c r="WP10">
        <f>YEAR(WP9)</f>
        <v>2000</v>
      </c>
      <c r="WQ10">
        <f>YEAR(WQ9)</f>
        <v>2013</v>
      </c>
      <c r="WR10">
        <f>YEAR(WR9)</f>
        <v>2009</v>
      </c>
      <c r="WS10">
        <f>YEAR(WS9)</f>
        <v>2010</v>
      </c>
      <c r="WT10">
        <f>YEAR(WT9)</f>
        <v>2009</v>
      </c>
      <c r="WU10">
        <f>YEAR(WU9)</f>
        <v>2004</v>
      </c>
      <c r="WV10">
        <f>YEAR(WV9)</f>
        <v>2016</v>
      </c>
      <c r="WW10">
        <f>YEAR(WW9)</f>
        <v>2011</v>
      </c>
      <c r="WX10">
        <f>YEAR(WX9)</f>
        <v>2018</v>
      </c>
      <c r="WY10">
        <f>YEAR(WY9)</f>
        <v>2007</v>
      </c>
      <c r="WZ10">
        <f>YEAR(WZ9)</f>
        <v>2008</v>
      </c>
      <c r="XA10">
        <f>YEAR(XA9)</f>
        <v>2006</v>
      </c>
      <c r="XB10">
        <f>YEAR(XB9)</f>
        <v>2014</v>
      </c>
      <c r="XC10">
        <f>YEAR(XC9)</f>
        <v>2000</v>
      </c>
      <c r="XD10">
        <f>YEAR(XD9)</f>
        <v>2001</v>
      </c>
      <c r="XE10">
        <f>YEAR(XE9)</f>
        <v>2015</v>
      </c>
      <c r="XF10">
        <f>YEAR(XF9)</f>
        <v>2002</v>
      </c>
      <c r="XG10">
        <f>YEAR(XG9)</f>
        <v>2014</v>
      </c>
      <c r="XH10">
        <f>YEAR(XH9)</f>
        <v>2010</v>
      </c>
      <c r="XI10">
        <f>YEAR(XI9)</f>
        <v>2001</v>
      </c>
      <c r="XJ10">
        <f>YEAR(XJ9)</f>
        <v>2005</v>
      </c>
      <c r="XK10">
        <f>YEAR(XK9)</f>
        <v>2018</v>
      </c>
      <c r="XL10">
        <f>YEAR(XL9)</f>
        <v>2007</v>
      </c>
      <c r="XM10">
        <f>YEAR(XM9)</f>
        <v>2005</v>
      </c>
      <c r="XN10">
        <f>YEAR(XN9)</f>
        <v>2016</v>
      </c>
      <c r="XO10">
        <f>YEAR(XO9)</f>
        <v>2003</v>
      </c>
      <c r="XP10">
        <f>YEAR(XP9)</f>
        <v>2013</v>
      </c>
      <c r="XQ10">
        <f>YEAR(XQ9)</f>
        <v>2019</v>
      </c>
      <c r="XR10">
        <f>YEAR(XR9)</f>
        <v>2001</v>
      </c>
      <c r="XS10">
        <f>YEAR(XS9)</f>
        <v>2005</v>
      </c>
      <c r="XT10">
        <f>YEAR(XT9)</f>
        <v>2015</v>
      </c>
      <c r="XU10">
        <f>YEAR(XU9)</f>
        <v>2005</v>
      </c>
      <c r="XV10">
        <f>YEAR(XV9)</f>
        <v>2014</v>
      </c>
      <c r="XW10">
        <f>YEAR(XW9)</f>
        <v>2006</v>
      </c>
      <c r="XX10">
        <f>YEAR(XX9)</f>
        <v>2006</v>
      </c>
      <c r="XY10">
        <f>YEAR(XY9)</f>
        <v>2015</v>
      </c>
      <c r="XZ10">
        <f>YEAR(XZ9)</f>
        <v>2005</v>
      </c>
      <c r="YA10">
        <f>YEAR(YA9)</f>
        <v>2003</v>
      </c>
      <c r="YB10">
        <f>YEAR(YB9)</f>
        <v>2017</v>
      </c>
      <c r="YC10">
        <f>YEAR(YC9)</f>
        <v>2010</v>
      </c>
      <c r="YD10">
        <f>YEAR(YD9)</f>
        <v>2008</v>
      </c>
      <c r="YE10">
        <f>YEAR(YE9)</f>
        <v>2015</v>
      </c>
      <c r="YF10">
        <f>YEAR(YF9)</f>
        <v>2018</v>
      </c>
      <c r="YG10">
        <f>YEAR(YG9)</f>
        <v>2017</v>
      </c>
      <c r="YH10">
        <f>YEAR(YH9)</f>
        <v>2007</v>
      </c>
      <c r="YI10">
        <f>YEAR(YI9)</f>
        <v>2002</v>
      </c>
      <c r="YJ10">
        <f>YEAR(YJ9)</f>
        <v>2018</v>
      </c>
      <c r="YK10">
        <f>YEAR(YK9)</f>
        <v>2009</v>
      </c>
      <c r="YL10">
        <f>YEAR(YL9)</f>
        <v>2006</v>
      </c>
      <c r="YM10">
        <f>YEAR(YM9)</f>
        <v>2018</v>
      </c>
      <c r="YN10">
        <f>YEAR(YN9)</f>
        <v>2011</v>
      </c>
      <c r="YO10">
        <f>YEAR(YO9)</f>
        <v>2011</v>
      </c>
      <c r="YP10">
        <f>YEAR(YP9)</f>
        <v>2006</v>
      </c>
      <c r="YQ10">
        <f>YEAR(YQ9)</f>
        <v>2013</v>
      </c>
      <c r="YR10">
        <f>YEAR(YR9)</f>
        <v>2018</v>
      </c>
      <c r="YS10">
        <f>YEAR(YS9)</f>
        <v>2013</v>
      </c>
      <c r="YT10">
        <f>YEAR(YT9)</f>
        <v>2014</v>
      </c>
      <c r="YU10">
        <f>YEAR(YU9)</f>
        <v>2015</v>
      </c>
      <c r="YV10">
        <f>YEAR(YV9)</f>
        <v>2005</v>
      </c>
      <c r="YW10">
        <f>YEAR(YW9)</f>
        <v>2002</v>
      </c>
      <c r="YX10">
        <f>YEAR(YX9)</f>
        <v>2002</v>
      </c>
      <c r="YY10">
        <f>YEAR(YY9)</f>
        <v>2000</v>
      </c>
      <c r="YZ10">
        <f>YEAR(YZ9)</f>
        <v>2005</v>
      </c>
      <c r="ZA10">
        <f>YEAR(ZA9)</f>
        <v>2015</v>
      </c>
      <c r="ZB10">
        <f>YEAR(ZB9)</f>
        <v>2016</v>
      </c>
      <c r="ZC10">
        <f>YEAR(ZC9)</f>
        <v>2014</v>
      </c>
      <c r="ZD10">
        <f>YEAR(ZD9)</f>
        <v>2018</v>
      </c>
      <c r="ZE10">
        <f>YEAR(ZE9)</f>
        <v>2004</v>
      </c>
      <c r="ZF10">
        <f>YEAR(ZF9)</f>
        <v>2017</v>
      </c>
      <c r="ZG10">
        <f>YEAR(ZG9)</f>
        <v>2007</v>
      </c>
      <c r="ZH10">
        <f>YEAR(ZH9)</f>
        <v>2009</v>
      </c>
      <c r="ZI10">
        <f>YEAR(ZI9)</f>
        <v>2006</v>
      </c>
      <c r="ZJ10">
        <f>YEAR(ZJ9)</f>
        <v>2019</v>
      </c>
      <c r="ZK10">
        <f>YEAR(ZK9)</f>
        <v>2015</v>
      </c>
      <c r="ZL10">
        <f>YEAR(ZL9)</f>
        <v>2016</v>
      </c>
      <c r="ZM10">
        <f>YEAR(ZM9)</f>
        <v>2004</v>
      </c>
      <c r="ZN10">
        <f>YEAR(ZN9)</f>
        <v>2012</v>
      </c>
      <c r="ZO10">
        <f>YEAR(ZO9)</f>
        <v>2004</v>
      </c>
      <c r="ZP10">
        <f>YEAR(ZP9)</f>
        <v>2004</v>
      </c>
      <c r="ZQ10">
        <f>YEAR(ZQ9)</f>
        <v>2002</v>
      </c>
      <c r="ZR10">
        <f>YEAR(ZR9)</f>
        <v>2005</v>
      </c>
      <c r="ZS10">
        <f>YEAR(ZS9)</f>
        <v>2003</v>
      </c>
      <c r="ZT10">
        <f>YEAR(ZT9)</f>
        <v>2009</v>
      </c>
      <c r="ZU10">
        <f>YEAR(ZU9)</f>
        <v>2003</v>
      </c>
      <c r="ZV10">
        <f>YEAR(ZV9)</f>
        <v>2004</v>
      </c>
      <c r="ZW10">
        <f>YEAR(ZW9)</f>
        <v>2010</v>
      </c>
      <c r="ZX10">
        <f>YEAR(ZX9)</f>
        <v>2016</v>
      </c>
      <c r="ZY10">
        <f>YEAR(ZY9)</f>
        <v>2017</v>
      </c>
      <c r="ZZ10">
        <f>YEAR(ZZ9)</f>
        <v>2007</v>
      </c>
      <c r="AAA10">
        <f>YEAR(AAA9)</f>
        <v>2001</v>
      </c>
      <c r="AAB10">
        <f>YEAR(AAB9)</f>
        <v>2007</v>
      </c>
      <c r="AAC10">
        <f>YEAR(AAC9)</f>
        <v>2006</v>
      </c>
      <c r="AAD10">
        <f>YEAR(AAD9)</f>
        <v>2004</v>
      </c>
      <c r="AAE10">
        <f>YEAR(AAE9)</f>
        <v>2000</v>
      </c>
      <c r="AAF10">
        <f>YEAR(AAF9)</f>
        <v>2009</v>
      </c>
      <c r="AAG10">
        <f>YEAR(AAG9)</f>
        <v>2015</v>
      </c>
      <c r="AAH10">
        <f>YEAR(AAH9)</f>
        <v>2010</v>
      </c>
      <c r="AAI10">
        <f>YEAR(AAI9)</f>
        <v>2008</v>
      </c>
      <c r="AAJ10">
        <f>YEAR(AAJ9)</f>
        <v>2003</v>
      </c>
      <c r="AAK10">
        <f>YEAR(AAK9)</f>
        <v>2004</v>
      </c>
      <c r="AAL10">
        <f>YEAR(AAL9)</f>
        <v>2010</v>
      </c>
      <c r="AAM10">
        <f>YEAR(AAM9)</f>
        <v>2005</v>
      </c>
      <c r="AAN10">
        <f>YEAR(AAN9)</f>
        <v>2014</v>
      </c>
      <c r="AAO10">
        <f>YEAR(AAO9)</f>
        <v>2009</v>
      </c>
      <c r="AAP10">
        <f>YEAR(AAP9)</f>
        <v>2000</v>
      </c>
      <c r="AAQ10">
        <f>YEAR(AAQ9)</f>
        <v>2010</v>
      </c>
      <c r="AAR10">
        <f>YEAR(AAR9)</f>
        <v>2011</v>
      </c>
      <c r="AAS10">
        <f>YEAR(AAS9)</f>
        <v>2019</v>
      </c>
      <c r="AAT10">
        <f>YEAR(AAT9)</f>
        <v>2016</v>
      </c>
      <c r="AAU10">
        <f>YEAR(AAU9)</f>
        <v>2013</v>
      </c>
      <c r="AAV10">
        <f>YEAR(AAV9)</f>
        <v>2000</v>
      </c>
      <c r="AAW10">
        <f>YEAR(AAW9)</f>
        <v>2007</v>
      </c>
      <c r="AAX10">
        <f>YEAR(AAX9)</f>
        <v>2011</v>
      </c>
      <c r="AAY10">
        <f>YEAR(AAY9)</f>
        <v>2011</v>
      </c>
      <c r="AAZ10">
        <f>YEAR(AAZ9)</f>
        <v>2012</v>
      </c>
      <c r="ABA10">
        <f>YEAR(ABA9)</f>
        <v>2019</v>
      </c>
      <c r="ABB10">
        <f>YEAR(ABB9)</f>
        <v>2007</v>
      </c>
      <c r="ABC10">
        <f>YEAR(ABC9)</f>
        <v>2001</v>
      </c>
      <c r="ABD10">
        <f>YEAR(ABD9)</f>
        <v>2018</v>
      </c>
      <c r="ABE10">
        <f>YEAR(ABE9)</f>
        <v>2001</v>
      </c>
      <c r="ABF10">
        <f>YEAR(ABF9)</f>
        <v>2000</v>
      </c>
      <c r="ABG10">
        <f>YEAR(ABG9)</f>
        <v>2003</v>
      </c>
      <c r="ABH10">
        <f>YEAR(ABH9)</f>
        <v>2007</v>
      </c>
      <c r="ABI10">
        <f>YEAR(ABI9)</f>
        <v>2018</v>
      </c>
      <c r="ABJ10">
        <f>YEAR(ABJ9)</f>
        <v>2005</v>
      </c>
      <c r="ABK10">
        <f>YEAR(ABK9)</f>
        <v>2015</v>
      </c>
      <c r="ABL10">
        <f>YEAR(ABL9)</f>
        <v>2011</v>
      </c>
      <c r="ABM10">
        <f>YEAR(ABM9)</f>
        <v>2010</v>
      </c>
      <c r="ABN10">
        <f>YEAR(ABN9)</f>
        <v>2017</v>
      </c>
      <c r="ABO10">
        <f>YEAR(ABO9)</f>
        <v>2011</v>
      </c>
      <c r="ABP10">
        <f>YEAR(ABP9)</f>
        <v>2008</v>
      </c>
      <c r="ABQ10">
        <f>YEAR(ABQ9)</f>
        <v>2016</v>
      </c>
      <c r="ABR10">
        <f>YEAR(ABR9)</f>
        <v>2019</v>
      </c>
      <c r="ABS10">
        <f>YEAR(ABS9)</f>
        <v>2019</v>
      </c>
      <c r="ABT10">
        <f>YEAR(ABT9)</f>
        <v>2000</v>
      </c>
      <c r="ABU10">
        <f>YEAR(ABU9)</f>
        <v>2001</v>
      </c>
      <c r="ABV10">
        <f>YEAR(ABV9)</f>
        <v>2007</v>
      </c>
      <c r="ABW10">
        <f>YEAR(ABW9)</f>
        <v>2007</v>
      </c>
      <c r="ABX10">
        <f>YEAR(ABX9)</f>
        <v>2007</v>
      </c>
      <c r="ABY10">
        <f>YEAR(ABY9)</f>
        <v>2005</v>
      </c>
      <c r="ABZ10">
        <f>YEAR(ABZ9)</f>
        <v>2012</v>
      </c>
      <c r="ACA10">
        <f>YEAR(ACA9)</f>
        <v>2003</v>
      </c>
      <c r="ACB10">
        <f>YEAR(ACB9)</f>
        <v>2013</v>
      </c>
      <c r="ACC10">
        <f>YEAR(ACC9)</f>
        <v>2006</v>
      </c>
      <c r="ACD10">
        <f>YEAR(ACD9)</f>
        <v>2017</v>
      </c>
      <c r="ACE10">
        <f>YEAR(ACE9)</f>
        <v>2001</v>
      </c>
      <c r="ACF10">
        <f>YEAR(ACF9)</f>
        <v>2006</v>
      </c>
      <c r="ACG10">
        <f>YEAR(ACG9)</f>
        <v>2018</v>
      </c>
      <c r="ACH10">
        <f>YEAR(ACH9)</f>
        <v>2003</v>
      </c>
      <c r="ACI10">
        <f>YEAR(ACI9)</f>
        <v>2013</v>
      </c>
      <c r="ACJ10">
        <f>YEAR(ACJ9)</f>
        <v>2012</v>
      </c>
      <c r="ACK10">
        <f>YEAR(ACK9)</f>
        <v>2009</v>
      </c>
      <c r="ACL10">
        <f>YEAR(ACL9)</f>
        <v>2006</v>
      </c>
      <c r="ACM10">
        <f>YEAR(ACM9)</f>
        <v>2015</v>
      </c>
      <c r="ACN10">
        <f>YEAR(ACN9)</f>
        <v>2005</v>
      </c>
      <c r="ACO10">
        <f>YEAR(ACO9)</f>
        <v>2019</v>
      </c>
      <c r="ACP10">
        <f>YEAR(ACP9)</f>
        <v>2014</v>
      </c>
      <c r="ACQ10">
        <f>YEAR(ACQ9)</f>
        <v>2000</v>
      </c>
      <c r="ACR10">
        <f>YEAR(ACR9)</f>
        <v>2019</v>
      </c>
      <c r="ACS10">
        <f>YEAR(ACS9)</f>
        <v>2019</v>
      </c>
      <c r="ACT10">
        <f>YEAR(ACT9)</f>
        <v>2015</v>
      </c>
      <c r="ACU10">
        <f>YEAR(ACU9)</f>
        <v>2000</v>
      </c>
      <c r="ACV10">
        <f>YEAR(ACV9)</f>
        <v>2001</v>
      </c>
      <c r="ACW10">
        <f>YEAR(ACW9)</f>
        <v>2009</v>
      </c>
      <c r="ACX10">
        <f>YEAR(ACX9)</f>
        <v>2017</v>
      </c>
      <c r="ACY10">
        <f>YEAR(ACY9)</f>
        <v>2012</v>
      </c>
      <c r="ACZ10">
        <f>YEAR(ACZ9)</f>
        <v>2004</v>
      </c>
      <c r="ADA10">
        <f>YEAR(ADA9)</f>
        <v>2014</v>
      </c>
      <c r="ADB10">
        <f>YEAR(ADB9)</f>
        <v>2016</v>
      </c>
      <c r="ADC10">
        <f>YEAR(ADC9)</f>
        <v>2004</v>
      </c>
      <c r="ADD10">
        <f>YEAR(ADD9)</f>
        <v>2001</v>
      </c>
      <c r="ADE10">
        <f>YEAR(ADE9)</f>
        <v>2004</v>
      </c>
      <c r="ADF10">
        <f>YEAR(ADF9)</f>
        <v>2018</v>
      </c>
      <c r="ADG10">
        <f>YEAR(ADG9)</f>
        <v>2013</v>
      </c>
      <c r="ADH10">
        <f>YEAR(ADH9)</f>
        <v>2010</v>
      </c>
      <c r="ADI10">
        <f>YEAR(ADI9)</f>
        <v>2003</v>
      </c>
      <c r="ADJ10">
        <f>YEAR(ADJ9)</f>
        <v>2000</v>
      </c>
      <c r="ADK10">
        <f>YEAR(ADK9)</f>
        <v>2010</v>
      </c>
      <c r="ADL10">
        <f>YEAR(ADL9)</f>
        <v>2001</v>
      </c>
      <c r="ADM10">
        <f>YEAR(ADM9)</f>
        <v>2000</v>
      </c>
      <c r="ADN10">
        <f>YEAR(ADN9)</f>
        <v>2009</v>
      </c>
      <c r="ADO10">
        <f>YEAR(ADO9)</f>
        <v>2013</v>
      </c>
      <c r="ADP10">
        <f>YEAR(ADP9)</f>
        <v>2002</v>
      </c>
      <c r="ADQ10">
        <f>YEAR(ADQ9)</f>
        <v>2016</v>
      </c>
      <c r="ADR10">
        <f>YEAR(ADR9)</f>
        <v>2017</v>
      </c>
      <c r="ADS10">
        <f>YEAR(ADS9)</f>
        <v>2003</v>
      </c>
      <c r="ADT10">
        <f>YEAR(ADT9)</f>
        <v>2015</v>
      </c>
      <c r="ADU10">
        <f>YEAR(ADU9)</f>
        <v>2016</v>
      </c>
      <c r="ADV10">
        <f>YEAR(ADV9)</f>
        <v>2008</v>
      </c>
      <c r="ADW10">
        <f>YEAR(ADW9)</f>
        <v>2001</v>
      </c>
      <c r="ADX10">
        <f>YEAR(ADX9)</f>
        <v>2018</v>
      </c>
      <c r="ADY10">
        <f>YEAR(ADY9)</f>
        <v>2019</v>
      </c>
      <c r="ADZ10">
        <f>YEAR(ADZ9)</f>
        <v>2002</v>
      </c>
      <c r="AEA10">
        <f>YEAR(AEA9)</f>
        <v>2007</v>
      </c>
      <c r="AEB10">
        <f>YEAR(AEB9)</f>
        <v>2006</v>
      </c>
      <c r="AEC10">
        <f>YEAR(AEC9)</f>
        <v>2005</v>
      </c>
      <c r="AED10">
        <f>YEAR(AED9)</f>
        <v>2010</v>
      </c>
      <c r="AEE10">
        <f>YEAR(AEE9)</f>
        <v>2014</v>
      </c>
      <c r="AEF10">
        <f>YEAR(AEF9)</f>
        <v>2019</v>
      </c>
      <c r="AEG10">
        <f>YEAR(AEG9)</f>
        <v>2006</v>
      </c>
      <c r="AEH10">
        <f>YEAR(AEH9)</f>
        <v>2005</v>
      </c>
      <c r="AEI10">
        <f>YEAR(AEI9)</f>
        <v>2009</v>
      </c>
      <c r="AEJ10">
        <f>YEAR(AEJ9)</f>
        <v>2004</v>
      </c>
      <c r="AEK10">
        <f>YEAR(AEK9)</f>
        <v>2008</v>
      </c>
      <c r="AEL10">
        <f>YEAR(AEL9)</f>
        <v>2009</v>
      </c>
      <c r="AEM10">
        <f>YEAR(AEM9)</f>
        <v>2014</v>
      </c>
      <c r="AEN10">
        <f>YEAR(AEN9)</f>
        <v>2003</v>
      </c>
      <c r="AEO10">
        <f>YEAR(AEO9)</f>
        <v>2005</v>
      </c>
      <c r="AEP10">
        <f>YEAR(AEP9)</f>
        <v>2019</v>
      </c>
      <c r="AEQ10">
        <f>YEAR(AEQ9)</f>
        <v>2002</v>
      </c>
      <c r="AER10">
        <f>YEAR(AER9)</f>
        <v>2013</v>
      </c>
      <c r="AES10">
        <f>YEAR(AES9)</f>
        <v>2013</v>
      </c>
      <c r="AET10">
        <f>YEAR(AET9)</f>
        <v>2014</v>
      </c>
      <c r="AEU10">
        <f>YEAR(AEU9)</f>
        <v>2010</v>
      </c>
      <c r="AEV10">
        <f>YEAR(AEV9)</f>
        <v>2011</v>
      </c>
      <c r="AEW10">
        <f>YEAR(AEW9)</f>
        <v>2001</v>
      </c>
      <c r="AEX10">
        <f>YEAR(AEX9)</f>
        <v>2012</v>
      </c>
      <c r="AEY10">
        <f>YEAR(AEY9)</f>
        <v>2013</v>
      </c>
      <c r="AEZ10">
        <f>YEAR(AEZ9)</f>
        <v>2018</v>
      </c>
      <c r="AFA10">
        <f>YEAR(AFA9)</f>
        <v>2012</v>
      </c>
      <c r="AFB10">
        <f>YEAR(AFB9)</f>
        <v>2006</v>
      </c>
      <c r="AFC10">
        <f>YEAR(AFC9)</f>
        <v>2008</v>
      </c>
      <c r="AFD10">
        <f>YEAR(AFD9)</f>
        <v>2009</v>
      </c>
      <c r="AFE10">
        <f>YEAR(AFE9)</f>
        <v>2003</v>
      </c>
      <c r="AFF10">
        <f>YEAR(AFF9)</f>
        <v>2017</v>
      </c>
      <c r="AFG10">
        <f>YEAR(AFG9)</f>
        <v>2013</v>
      </c>
      <c r="AFH10">
        <f>YEAR(AFH9)</f>
        <v>2017</v>
      </c>
      <c r="AFI10">
        <f>YEAR(AFI9)</f>
        <v>2001</v>
      </c>
      <c r="AFJ10">
        <f>YEAR(AFJ9)</f>
        <v>2010</v>
      </c>
      <c r="AFK10">
        <f>YEAR(AFK9)</f>
        <v>2006</v>
      </c>
      <c r="AFL10">
        <f>YEAR(AFL9)</f>
        <v>2013</v>
      </c>
      <c r="AFM10">
        <f>YEAR(AFM9)</f>
        <v>2013</v>
      </c>
      <c r="AFN10">
        <f>YEAR(AFN9)</f>
        <v>2013</v>
      </c>
      <c r="AFO10">
        <f>YEAR(AFO9)</f>
        <v>2016</v>
      </c>
      <c r="AFP10">
        <f>YEAR(AFP9)</f>
        <v>2011</v>
      </c>
      <c r="AFQ10">
        <f>YEAR(AFQ9)</f>
        <v>2013</v>
      </c>
      <c r="AFR10">
        <f>YEAR(AFR9)</f>
        <v>2001</v>
      </c>
      <c r="AFS10">
        <f>YEAR(AFS9)</f>
        <v>2002</v>
      </c>
      <c r="AFT10">
        <f>YEAR(AFT9)</f>
        <v>2003</v>
      </c>
      <c r="AFU10">
        <f>YEAR(AFU9)</f>
        <v>2000</v>
      </c>
      <c r="AFV10">
        <f>YEAR(AFV9)</f>
        <v>2016</v>
      </c>
      <c r="AFW10">
        <f>YEAR(AFW9)</f>
        <v>2012</v>
      </c>
      <c r="AFX10">
        <f>YEAR(AFX9)</f>
        <v>2005</v>
      </c>
      <c r="AFY10">
        <f>YEAR(AFY9)</f>
        <v>2001</v>
      </c>
      <c r="AFZ10">
        <f>YEAR(AFZ9)</f>
        <v>2008</v>
      </c>
      <c r="AGA10">
        <f>YEAR(AGA9)</f>
        <v>2011</v>
      </c>
      <c r="AGB10">
        <f>YEAR(AGB9)</f>
        <v>2014</v>
      </c>
      <c r="AGC10">
        <f>YEAR(AGC9)</f>
        <v>2018</v>
      </c>
      <c r="AGD10">
        <f>YEAR(AGD9)</f>
        <v>2008</v>
      </c>
      <c r="AGE10">
        <f>YEAR(AGE9)</f>
        <v>2007</v>
      </c>
      <c r="AGF10">
        <f>YEAR(AGF9)</f>
        <v>2019</v>
      </c>
      <c r="AGG10">
        <f>YEAR(AGG9)</f>
        <v>2005</v>
      </c>
      <c r="AGH10">
        <f>YEAR(AGH9)</f>
        <v>2017</v>
      </c>
      <c r="AGI10">
        <f>YEAR(AGI9)</f>
        <v>2003</v>
      </c>
      <c r="AGJ10">
        <f>YEAR(AGJ9)</f>
        <v>2002</v>
      </c>
      <c r="AGK10">
        <f>YEAR(AGK9)</f>
        <v>2014</v>
      </c>
      <c r="AGL10">
        <f>YEAR(AGL9)</f>
        <v>2011</v>
      </c>
      <c r="AGM10">
        <f>YEAR(AGM9)</f>
        <v>2011</v>
      </c>
      <c r="AGN10">
        <f>YEAR(AGN9)</f>
        <v>2014</v>
      </c>
      <c r="AGO10">
        <f>YEAR(AGO9)</f>
        <v>2019</v>
      </c>
      <c r="AGP10">
        <f>YEAR(AGP9)</f>
        <v>2015</v>
      </c>
      <c r="AGQ10">
        <f>YEAR(AGQ9)</f>
        <v>2001</v>
      </c>
      <c r="AGR10">
        <f>YEAR(AGR9)</f>
        <v>2012</v>
      </c>
      <c r="AGS10">
        <f>YEAR(AGS9)</f>
        <v>2007</v>
      </c>
      <c r="AGT10">
        <f>YEAR(AGT9)</f>
        <v>1900</v>
      </c>
      <c r="AGU10">
        <f>YEAR(AGU9)</f>
        <v>1900</v>
      </c>
      <c r="AGV10">
        <f>YEAR(AGV9)</f>
        <v>1900</v>
      </c>
      <c r="AGW10">
        <f>YEAR(AGW9)</f>
        <v>1900</v>
      </c>
      <c r="AGX10">
        <f>YEAR(AGX9)</f>
        <v>1900</v>
      </c>
      <c r="AGY10">
        <f>YEAR(AGY9)</f>
        <v>1900</v>
      </c>
      <c r="AGZ10">
        <f>YEAR(AGZ9)</f>
        <v>1900</v>
      </c>
      <c r="AHA10">
        <f>YEAR(AHA9)</f>
        <v>1900</v>
      </c>
    </row>
    <row r="11" spans="1:885" x14ac:dyDescent="0.25">
      <c r="A11" s="1" t="s">
        <v>95</v>
      </c>
      <c r="B11">
        <f>MONTH(B9)</f>
        <v>9</v>
      </c>
      <c r="C11">
        <f>MONTH(C9)</f>
        <v>11</v>
      </c>
      <c r="D11">
        <f>MONTH(D9)</f>
        <v>7</v>
      </c>
      <c r="E11">
        <f>MONTH(E9)</f>
        <v>7</v>
      </c>
      <c r="F11">
        <f>MONTH(F9)</f>
        <v>7</v>
      </c>
      <c r="G11">
        <f>MONTH(G9)</f>
        <v>7</v>
      </c>
      <c r="H11">
        <f>MONTH(H9)</f>
        <v>4</v>
      </c>
      <c r="I11">
        <f>MONTH(I9)</f>
        <v>2</v>
      </c>
      <c r="J11">
        <f>MONTH(J9)</f>
        <v>4</v>
      </c>
      <c r="K11">
        <f>MONTH(K9)</f>
        <v>4</v>
      </c>
      <c r="L11">
        <f>MONTH(L9)</f>
        <v>2</v>
      </c>
      <c r="M11">
        <f>MONTH(M9)</f>
        <v>10</v>
      </c>
      <c r="N11">
        <f>MONTH(N9)</f>
        <v>9</v>
      </c>
      <c r="O11">
        <f>MONTH(O9)</f>
        <v>11</v>
      </c>
      <c r="P11">
        <f>MONTH(P9)</f>
        <v>4</v>
      </c>
      <c r="Q11">
        <f>MONTH(Q9)</f>
        <v>7</v>
      </c>
      <c r="R11">
        <f>MONTH(R9)</f>
        <v>8</v>
      </c>
      <c r="S11">
        <f>MONTH(S9)</f>
        <v>11</v>
      </c>
      <c r="T11">
        <f>MONTH(T9)</f>
        <v>4</v>
      </c>
      <c r="U11">
        <f>MONTH(U9)</f>
        <v>9</v>
      </c>
      <c r="V11">
        <f>MONTH(V9)</f>
        <v>8</v>
      </c>
      <c r="W11">
        <f>MONTH(W9)</f>
        <v>5</v>
      </c>
      <c r="X11">
        <f>MONTH(X9)</f>
        <v>10</v>
      </c>
      <c r="Y11">
        <f>MONTH(Y9)</f>
        <v>10</v>
      </c>
      <c r="Z11">
        <f>MONTH(Z9)</f>
        <v>3</v>
      </c>
      <c r="AA11">
        <f>MONTH(AA9)</f>
        <v>3</v>
      </c>
      <c r="AB11">
        <f>MONTH(AB9)</f>
        <v>10</v>
      </c>
      <c r="AC11">
        <f>MONTH(AC9)</f>
        <v>6</v>
      </c>
      <c r="AD11">
        <f>MONTH(AD9)</f>
        <v>2</v>
      </c>
      <c r="AE11">
        <f>MONTH(AE9)</f>
        <v>3</v>
      </c>
      <c r="AF11">
        <f>MONTH(AF9)</f>
        <v>5</v>
      </c>
      <c r="AG11">
        <f>MONTH(AG9)</f>
        <v>11</v>
      </c>
      <c r="AH11">
        <f>MONTH(AH9)</f>
        <v>7</v>
      </c>
      <c r="AI11">
        <f>MONTH(AI9)</f>
        <v>8</v>
      </c>
      <c r="AJ11">
        <f>MONTH(AJ9)</f>
        <v>12</v>
      </c>
      <c r="AK11">
        <f>MONTH(AK9)</f>
        <v>4</v>
      </c>
      <c r="AL11">
        <f>MONTH(AL9)</f>
        <v>3</v>
      </c>
      <c r="AM11">
        <f>MONTH(AM9)</f>
        <v>7</v>
      </c>
      <c r="AN11">
        <f>MONTH(AN9)</f>
        <v>2</v>
      </c>
      <c r="AO11">
        <f>MONTH(AO9)</f>
        <v>5</v>
      </c>
      <c r="AP11">
        <f>MONTH(AP9)</f>
        <v>2</v>
      </c>
      <c r="AQ11">
        <f>MONTH(AQ9)</f>
        <v>2</v>
      </c>
      <c r="AR11">
        <f>MONTH(AR9)</f>
        <v>8</v>
      </c>
      <c r="AS11">
        <f>MONTH(AS9)</f>
        <v>6</v>
      </c>
      <c r="AT11">
        <f>MONTH(AT9)</f>
        <v>5</v>
      </c>
      <c r="AU11">
        <f>MONTH(AU9)</f>
        <v>3</v>
      </c>
      <c r="AV11">
        <f>MONTH(AV9)</f>
        <v>7</v>
      </c>
      <c r="AW11">
        <f>MONTH(AW9)</f>
        <v>8</v>
      </c>
      <c r="AX11">
        <f>MONTH(AX9)</f>
        <v>4</v>
      </c>
      <c r="AY11">
        <f>MONTH(AY9)</f>
        <v>1</v>
      </c>
      <c r="AZ11">
        <f>MONTH(AZ9)</f>
        <v>4</v>
      </c>
      <c r="BA11">
        <f>MONTH(BA9)</f>
        <v>7</v>
      </c>
      <c r="BB11">
        <f>MONTH(BB9)</f>
        <v>11</v>
      </c>
      <c r="BC11">
        <f>MONTH(BC9)</f>
        <v>1</v>
      </c>
      <c r="BD11">
        <f>MONTH(BD9)</f>
        <v>1</v>
      </c>
      <c r="BE11">
        <f>MONTH(BE9)</f>
        <v>4</v>
      </c>
      <c r="BF11">
        <f>MONTH(BF9)</f>
        <v>12</v>
      </c>
      <c r="BG11">
        <f>MONTH(BG9)</f>
        <v>10</v>
      </c>
      <c r="BH11">
        <f>MONTH(BH9)</f>
        <v>10</v>
      </c>
      <c r="BI11">
        <f>MONTH(BI9)</f>
        <v>7</v>
      </c>
      <c r="BJ11">
        <f>MONTH(BJ9)</f>
        <v>9</v>
      </c>
      <c r="BK11">
        <f>MONTH(BK9)</f>
        <v>3</v>
      </c>
      <c r="BL11">
        <f>MONTH(BL9)</f>
        <v>6</v>
      </c>
      <c r="BM11">
        <f>MONTH(BM9)</f>
        <v>2</v>
      </c>
      <c r="BN11">
        <f>MONTH(BN9)</f>
        <v>4</v>
      </c>
      <c r="BO11">
        <f>MONTH(BO9)</f>
        <v>12</v>
      </c>
      <c r="BP11">
        <f>MONTH(BP9)</f>
        <v>11</v>
      </c>
      <c r="BQ11">
        <f>MONTH(BQ9)</f>
        <v>2</v>
      </c>
      <c r="BR11">
        <f>MONTH(BR9)</f>
        <v>3</v>
      </c>
      <c r="BS11">
        <f>MONTH(BS9)</f>
        <v>5</v>
      </c>
      <c r="BT11">
        <f>MONTH(BT9)</f>
        <v>8</v>
      </c>
      <c r="BU11">
        <f>MONTH(BU9)</f>
        <v>8</v>
      </c>
      <c r="BV11">
        <f>MONTH(BV9)</f>
        <v>11</v>
      </c>
      <c r="BW11">
        <f>MONTH(BW9)</f>
        <v>12</v>
      </c>
      <c r="BX11">
        <f>MONTH(BX9)</f>
        <v>5</v>
      </c>
      <c r="BY11">
        <f>MONTH(BY9)</f>
        <v>1</v>
      </c>
      <c r="BZ11">
        <f>MONTH(BZ9)</f>
        <v>2</v>
      </c>
      <c r="CA11">
        <f>MONTH(CA9)</f>
        <v>1</v>
      </c>
      <c r="CB11">
        <f>MONTH(CB9)</f>
        <v>12</v>
      </c>
      <c r="CC11">
        <f>MONTH(CC9)</f>
        <v>11</v>
      </c>
      <c r="CD11">
        <f>MONTH(CD9)</f>
        <v>10</v>
      </c>
      <c r="CE11">
        <f>MONTH(CE9)</f>
        <v>9</v>
      </c>
      <c r="CF11">
        <f>MONTH(CF9)</f>
        <v>4</v>
      </c>
      <c r="CG11">
        <f>MONTH(CG9)</f>
        <v>10</v>
      </c>
      <c r="CH11">
        <f>MONTH(CH9)</f>
        <v>6</v>
      </c>
      <c r="CI11">
        <f>MONTH(CI9)</f>
        <v>12</v>
      </c>
      <c r="CJ11">
        <f>MONTH(CJ9)</f>
        <v>12</v>
      </c>
      <c r="CK11">
        <f>MONTH(CK9)</f>
        <v>1</v>
      </c>
      <c r="CL11">
        <f>MONTH(CL9)</f>
        <v>3</v>
      </c>
      <c r="CM11">
        <f>MONTH(CM9)</f>
        <v>11</v>
      </c>
      <c r="CN11">
        <f>MONTH(CN9)</f>
        <v>6</v>
      </c>
      <c r="CO11">
        <f>MONTH(CO9)</f>
        <v>8</v>
      </c>
      <c r="CP11">
        <f>MONTH(CP9)</f>
        <v>12</v>
      </c>
      <c r="CQ11">
        <f>MONTH(CQ9)</f>
        <v>11</v>
      </c>
      <c r="CR11">
        <f>MONTH(CR9)</f>
        <v>11</v>
      </c>
      <c r="CS11">
        <f>MONTH(CS9)</f>
        <v>4</v>
      </c>
      <c r="CT11">
        <f>MONTH(CT9)</f>
        <v>5</v>
      </c>
      <c r="CU11">
        <f>MONTH(CU9)</f>
        <v>4</v>
      </c>
      <c r="CV11">
        <f>MONTH(CV9)</f>
        <v>2</v>
      </c>
      <c r="CW11">
        <f>MONTH(CW9)</f>
        <v>7</v>
      </c>
      <c r="CX11">
        <f>MONTH(CX9)</f>
        <v>5</v>
      </c>
      <c r="CY11">
        <f>MONTH(CY9)</f>
        <v>6</v>
      </c>
      <c r="CZ11">
        <f>MONTH(CZ9)</f>
        <v>8</v>
      </c>
      <c r="DA11">
        <f>MONTH(DA9)</f>
        <v>7</v>
      </c>
      <c r="DB11">
        <f>MONTH(DB9)</f>
        <v>5</v>
      </c>
      <c r="DC11">
        <f>MONTH(DC9)</f>
        <v>2</v>
      </c>
      <c r="DD11">
        <f>MONTH(DD9)</f>
        <v>12</v>
      </c>
      <c r="DE11">
        <f>MONTH(DE9)</f>
        <v>5</v>
      </c>
      <c r="DF11">
        <f>MONTH(DF9)</f>
        <v>8</v>
      </c>
      <c r="DG11">
        <f>MONTH(DG9)</f>
        <v>8</v>
      </c>
      <c r="DH11">
        <f>MONTH(DH9)</f>
        <v>1</v>
      </c>
      <c r="DI11">
        <f>MONTH(DI9)</f>
        <v>12</v>
      </c>
      <c r="DJ11">
        <f>MONTH(DJ9)</f>
        <v>4</v>
      </c>
      <c r="DK11">
        <f>MONTH(DK9)</f>
        <v>11</v>
      </c>
      <c r="DL11">
        <f>MONTH(DL9)</f>
        <v>8</v>
      </c>
      <c r="DM11">
        <f>MONTH(DM9)</f>
        <v>8</v>
      </c>
      <c r="DN11">
        <f>MONTH(DN9)</f>
        <v>6</v>
      </c>
      <c r="DO11">
        <f>MONTH(DO9)</f>
        <v>8</v>
      </c>
      <c r="DP11">
        <f>MONTH(DP9)</f>
        <v>11</v>
      </c>
      <c r="DQ11">
        <f>MONTH(DQ9)</f>
        <v>5</v>
      </c>
      <c r="DR11">
        <f>MONTH(DR9)</f>
        <v>3</v>
      </c>
      <c r="DS11">
        <f>MONTH(DS9)</f>
        <v>2</v>
      </c>
      <c r="DT11">
        <f>MONTH(DT9)</f>
        <v>3</v>
      </c>
      <c r="DU11">
        <f>MONTH(DU9)</f>
        <v>6</v>
      </c>
      <c r="DV11">
        <f>MONTH(DV9)</f>
        <v>11</v>
      </c>
      <c r="DW11">
        <f>MONTH(DW9)</f>
        <v>10</v>
      </c>
      <c r="DX11">
        <f>MONTH(DX9)</f>
        <v>2</v>
      </c>
      <c r="DY11">
        <f>MONTH(DY9)</f>
        <v>12</v>
      </c>
      <c r="DZ11">
        <f>MONTH(DZ9)</f>
        <v>3</v>
      </c>
      <c r="EA11">
        <f>MONTH(EA9)</f>
        <v>5</v>
      </c>
      <c r="EB11">
        <f>MONTH(EB9)</f>
        <v>9</v>
      </c>
      <c r="EC11">
        <f>MONTH(EC9)</f>
        <v>1</v>
      </c>
      <c r="ED11">
        <f>MONTH(ED9)</f>
        <v>12</v>
      </c>
      <c r="EE11">
        <f>MONTH(EE9)</f>
        <v>9</v>
      </c>
      <c r="EF11">
        <f>MONTH(EF9)</f>
        <v>7</v>
      </c>
      <c r="EG11">
        <f>MONTH(EG9)</f>
        <v>4</v>
      </c>
      <c r="EH11">
        <f>MONTH(EH9)</f>
        <v>12</v>
      </c>
      <c r="EI11">
        <f>MONTH(EI9)</f>
        <v>7</v>
      </c>
      <c r="EJ11">
        <f>MONTH(EJ9)</f>
        <v>2</v>
      </c>
      <c r="EK11">
        <f>MONTH(EK9)</f>
        <v>10</v>
      </c>
      <c r="EL11">
        <f>MONTH(EL9)</f>
        <v>11</v>
      </c>
      <c r="EM11">
        <f>MONTH(EM9)</f>
        <v>6</v>
      </c>
      <c r="EN11">
        <f>MONTH(EN9)</f>
        <v>7</v>
      </c>
      <c r="EO11">
        <f>MONTH(EO9)</f>
        <v>12</v>
      </c>
      <c r="EP11">
        <f>MONTH(EP9)</f>
        <v>11</v>
      </c>
      <c r="EQ11">
        <f>MONTH(EQ9)</f>
        <v>4</v>
      </c>
      <c r="ER11">
        <f>MONTH(ER9)</f>
        <v>12</v>
      </c>
      <c r="ES11">
        <f>MONTH(ES9)</f>
        <v>2</v>
      </c>
      <c r="ET11">
        <f>MONTH(ET9)</f>
        <v>5</v>
      </c>
      <c r="EU11">
        <f>MONTH(EU9)</f>
        <v>2</v>
      </c>
      <c r="EV11">
        <f>MONTH(EV9)</f>
        <v>3</v>
      </c>
      <c r="EW11">
        <f>MONTH(EW9)</f>
        <v>5</v>
      </c>
      <c r="EX11">
        <f>MONTH(EX9)</f>
        <v>11</v>
      </c>
      <c r="EY11">
        <f>MONTH(EY9)</f>
        <v>6</v>
      </c>
      <c r="EZ11">
        <f>MONTH(EZ9)</f>
        <v>10</v>
      </c>
      <c r="FA11">
        <f>MONTH(FA9)</f>
        <v>2</v>
      </c>
      <c r="FB11">
        <f>MONTH(FB9)</f>
        <v>8</v>
      </c>
      <c r="FC11">
        <f>MONTH(FC9)</f>
        <v>9</v>
      </c>
      <c r="FD11">
        <f>MONTH(FD9)</f>
        <v>9</v>
      </c>
      <c r="FE11">
        <f>MONTH(FE9)</f>
        <v>4</v>
      </c>
      <c r="FF11">
        <f>MONTH(FF9)</f>
        <v>1</v>
      </c>
      <c r="FG11">
        <f>MONTH(FG9)</f>
        <v>2</v>
      </c>
      <c r="FH11">
        <f>MONTH(FH9)</f>
        <v>5</v>
      </c>
      <c r="FI11">
        <f>MONTH(FI9)</f>
        <v>7</v>
      </c>
      <c r="FJ11">
        <f>MONTH(FJ9)</f>
        <v>2</v>
      </c>
      <c r="FK11">
        <f>MONTH(FK9)</f>
        <v>2</v>
      </c>
      <c r="FL11">
        <f>MONTH(FL9)</f>
        <v>7</v>
      </c>
      <c r="FM11">
        <f>MONTH(FM9)</f>
        <v>2</v>
      </c>
      <c r="FN11">
        <f>MONTH(FN9)</f>
        <v>4</v>
      </c>
      <c r="FO11">
        <f>MONTH(FO9)</f>
        <v>7</v>
      </c>
      <c r="FP11">
        <f>MONTH(FP9)</f>
        <v>2</v>
      </c>
      <c r="FQ11">
        <f>MONTH(FQ9)</f>
        <v>9</v>
      </c>
      <c r="FR11">
        <f>MONTH(FR9)</f>
        <v>8</v>
      </c>
      <c r="FS11">
        <f>MONTH(FS9)</f>
        <v>3</v>
      </c>
      <c r="FT11">
        <f>MONTH(FT9)</f>
        <v>7</v>
      </c>
      <c r="FU11">
        <f>MONTH(FU9)</f>
        <v>4</v>
      </c>
      <c r="FV11">
        <f>MONTH(FV9)</f>
        <v>5</v>
      </c>
      <c r="FW11">
        <f>MONTH(FW9)</f>
        <v>9</v>
      </c>
      <c r="FX11">
        <f>MONTH(FX9)</f>
        <v>6</v>
      </c>
      <c r="FY11">
        <f>MONTH(FY9)</f>
        <v>10</v>
      </c>
      <c r="FZ11">
        <f>MONTH(FZ9)</f>
        <v>1</v>
      </c>
      <c r="GA11">
        <f>MONTH(GA9)</f>
        <v>1</v>
      </c>
      <c r="GB11">
        <f>MONTH(GB9)</f>
        <v>4</v>
      </c>
      <c r="GC11">
        <f>MONTH(GC9)</f>
        <v>8</v>
      </c>
      <c r="GD11">
        <f>MONTH(GD9)</f>
        <v>1</v>
      </c>
      <c r="GE11">
        <f>MONTH(GE9)</f>
        <v>2</v>
      </c>
      <c r="GF11">
        <f>MONTH(GF9)</f>
        <v>3</v>
      </c>
      <c r="GG11">
        <f>MONTH(GG9)</f>
        <v>6</v>
      </c>
      <c r="GH11">
        <f>MONTH(GH9)</f>
        <v>4</v>
      </c>
      <c r="GI11">
        <f>MONTH(GI9)</f>
        <v>8</v>
      </c>
      <c r="GJ11">
        <f>MONTH(GJ9)</f>
        <v>7</v>
      </c>
      <c r="GK11">
        <f>MONTH(GK9)</f>
        <v>7</v>
      </c>
      <c r="GL11">
        <f>MONTH(GL9)</f>
        <v>12</v>
      </c>
      <c r="GM11">
        <f>MONTH(GM9)</f>
        <v>3</v>
      </c>
      <c r="GN11">
        <f>MONTH(GN9)</f>
        <v>6</v>
      </c>
      <c r="GO11">
        <f>MONTH(GO9)</f>
        <v>3</v>
      </c>
      <c r="GP11">
        <f>MONTH(GP9)</f>
        <v>11</v>
      </c>
      <c r="GQ11">
        <f>MONTH(GQ9)</f>
        <v>11</v>
      </c>
      <c r="GR11">
        <f>MONTH(GR9)</f>
        <v>9</v>
      </c>
      <c r="GS11">
        <f>MONTH(GS9)</f>
        <v>8</v>
      </c>
      <c r="GT11">
        <f>MONTH(GT9)</f>
        <v>2</v>
      </c>
      <c r="GU11">
        <f>MONTH(GU9)</f>
        <v>6</v>
      </c>
      <c r="GV11">
        <f>MONTH(GV9)</f>
        <v>3</v>
      </c>
      <c r="GW11">
        <f>MONTH(GW9)</f>
        <v>7</v>
      </c>
      <c r="GX11">
        <f>MONTH(GX9)</f>
        <v>12</v>
      </c>
      <c r="GY11">
        <f>MONTH(GY9)</f>
        <v>10</v>
      </c>
      <c r="GZ11">
        <f>MONTH(GZ9)</f>
        <v>9</v>
      </c>
      <c r="HA11">
        <f>MONTH(HA9)</f>
        <v>1</v>
      </c>
      <c r="HB11">
        <f>MONTH(HB9)</f>
        <v>2</v>
      </c>
      <c r="HC11">
        <f>MONTH(HC9)</f>
        <v>4</v>
      </c>
      <c r="HD11">
        <f>MONTH(HD9)</f>
        <v>9</v>
      </c>
      <c r="HE11">
        <f>MONTH(HE9)</f>
        <v>9</v>
      </c>
      <c r="HF11">
        <f>MONTH(HF9)</f>
        <v>12</v>
      </c>
      <c r="HG11">
        <f>MONTH(HG9)</f>
        <v>2</v>
      </c>
      <c r="HH11">
        <f>MONTH(HH9)</f>
        <v>4</v>
      </c>
      <c r="HI11">
        <f>MONTH(HI9)</f>
        <v>9</v>
      </c>
      <c r="HJ11">
        <f>MONTH(HJ9)</f>
        <v>5</v>
      </c>
      <c r="HK11">
        <f>MONTH(HK9)</f>
        <v>2</v>
      </c>
      <c r="HL11">
        <f>MONTH(HL9)</f>
        <v>11</v>
      </c>
      <c r="HM11">
        <f>MONTH(HM9)</f>
        <v>5</v>
      </c>
      <c r="HN11">
        <f>MONTH(HN9)</f>
        <v>3</v>
      </c>
      <c r="HO11">
        <f>MONTH(HO9)</f>
        <v>9</v>
      </c>
      <c r="HP11">
        <f>MONTH(HP9)</f>
        <v>2</v>
      </c>
      <c r="HQ11">
        <f>MONTH(HQ9)</f>
        <v>3</v>
      </c>
      <c r="HR11">
        <f>MONTH(HR9)</f>
        <v>7</v>
      </c>
      <c r="HS11">
        <f>MONTH(HS9)</f>
        <v>8</v>
      </c>
      <c r="HT11">
        <f>MONTH(HT9)</f>
        <v>10</v>
      </c>
      <c r="HU11">
        <f>MONTH(HU9)</f>
        <v>4</v>
      </c>
      <c r="HV11">
        <f>MONTH(HV9)</f>
        <v>7</v>
      </c>
      <c r="HW11">
        <f>MONTH(HW9)</f>
        <v>8</v>
      </c>
      <c r="HX11">
        <f>MONTH(HX9)</f>
        <v>9</v>
      </c>
      <c r="HY11">
        <f>MONTH(HY9)</f>
        <v>1</v>
      </c>
      <c r="HZ11">
        <f>MONTH(HZ9)</f>
        <v>5</v>
      </c>
      <c r="IA11">
        <f>MONTH(IA9)</f>
        <v>10</v>
      </c>
      <c r="IB11">
        <f>MONTH(IB9)</f>
        <v>7</v>
      </c>
      <c r="IC11">
        <f>MONTH(IC9)</f>
        <v>12</v>
      </c>
      <c r="ID11">
        <f>MONTH(ID9)</f>
        <v>12</v>
      </c>
      <c r="IE11">
        <f>MONTH(IE9)</f>
        <v>11</v>
      </c>
      <c r="IF11">
        <f>MONTH(IF9)</f>
        <v>3</v>
      </c>
      <c r="IG11">
        <f>MONTH(IG9)</f>
        <v>4</v>
      </c>
      <c r="IH11">
        <f>MONTH(IH9)</f>
        <v>11</v>
      </c>
      <c r="II11">
        <f>MONTH(II9)</f>
        <v>6</v>
      </c>
      <c r="IJ11">
        <f>MONTH(IJ9)</f>
        <v>6</v>
      </c>
      <c r="IK11">
        <f>MONTH(IK9)</f>
        <v>11</v>
      </c>
      <c r="IL11">
        <f>MONTH(IL9)</f>
        <v>8</v>
      </c>
      <c r="IM11">
        <f>MONTH(IM9)</f>
        <v>6</v>
      </c>
      <c r="IN11">
        <f>MONTH(IN9)</f>
        <v>11</v>
      </c>
      <c r="IO11">
        <f>MONTH(IO9)</f>
        <v>8</v>
      </c>
      <c r="IP11">
        <f>MONTH(IP9)</f>
        <v>12</v>
      </c>
      <c r="IQ11">
        <f>MONTH(IQ9)</f>
        <v>12</v>
      </c>
      <c r="IR11">
        <f>MONTH(IR9)</f>
        <v>5</v>
      </c>
      <c r="IS11">
        <f>MONTH(IS9)</f>
        <v>11</v>
      </c>
      <c r="IT11">
        <f>MONTH(IT9)</f>
        <v>1</v>
      </c>
      <c r="IU11">
        <f>MONTH(IU9)</f>
        <v>7</v>
      </c>
      <c r="IV11">
        <f>MONTH(IV9)</f>
        <v>10</v>
      </c>
      <c r="IW11">
        <f>MONTH(IW9)</f>
        <v>11</v>
      </c>
      <c r="IX11">
        <f>MONTH(IX9)</f>
        <v>5</v>
      </c>
      <c r="IY11">
        <f>MONTH(IY9)</f>
        <v>10</v>
      </c>
      <c r="IZ11">
        <f>MONTH(IZ9)</f>
        <v>2</v>
      </c>
      <c r="JA11">
        <f>MONTH(JA9)</f>
        <v>11</v>
      </c>
      <c r="JB11">
        <f>MONTH(JB9)</f>
        <v>5</v>
      </c>
      <c r="JC11">
        <f>MONTH(JC9)</f>
        <v>4</v>
      </c>
      <c r="JD11">
        <f>MONTH(JD9)</f>
        <v>8</v>
      </c>
      <c r="JE11">
        <f>MONTH(JE9)</f>
        <v>11</v>
      </c>
      <c r="JF11">
        <f>MONTH(JF9)</f>
        <v>6</v>
      </c>
      <c r="JG11">
        <f>MONTH(JG9)</f>
        <v>8</v>
      </c>
      <c r="JH11">
        <f>MONTH(JH9)</f>
        <v>2</v>
      </c>
      <c r="JI11">
        <f>MONTH(JI9)</f>
        <v>1</v>
      </c>
      <c r="JJ11">
        <f>MONTH(JJ9)</f>
        <v>3</v>
      </c>
      <c r="JK11">
        <f>MONTH(JK9)</f>
        <v>12</v>
      </c>
      <c r="JL11">
        <f>MONTH(JL9)</f>
        <v>6</v>
      </c>
      <c r="JM11">
        <f>MONTH(JM9)</f>
        <v>11</v>
      </c>
      <c r="JN11">
        <f>MONTH(JN9)</f>
        <v>11</v>
      </c>
      <c r="JO11">
        <f>MONTH(JO9)</f>
        <v>3</v>
      </c>
      <c r="JP11">
        <f>MONTH(JP9)</f>
        <v>5</v>
      </c>
      <c r="JQ11">
        <f>MONTH(JQ9)</f>
        <v>3</v>
      </c>
      <c r="JR11">
        <f>MONTH(JR9)</f>
        <v>4</v>
      </c>
      <c r="JS11">
        <f>MONTH(JS9)</f>
        <v>3</v>
      </c>
      <c r="JT11">
        <f>MONTH(JT9)</f>
        <v>11</v>
      </c>
      <c r="JU11">
        <f>MONTH(JU9)</f>
        <v>1</v>
      </c>
      <c r="JV11">
        <f>MONTH(JV9)</f>
        <v>9</v>
      </c>
      <c r="JW11">
        <f>MONTH(JW9)</f>
        <v>6</v>
      </c>
      <c r="JX11">
        <f>MONTH(JX9)</f>
        <v>10</v>
      </c>
      <c r="JY11">
        <f>MONTH(JY9)</f>
        <v>2</v>
      </c>
      <c r="JZ11">
        <f>MONTH(JZ9)</f>
        <v>11</v>
      </c>
      <c r="KA11">
        <f>MONTH(KA9)</f>
        <v>8</v>
      </c>
      <c r="KB11">
        <f>MONTH(KB9)</f>
        <v>2</v>
      </c>
      <c r="KC11">
        <f>MONTH(KC9)</f>
        <v>7</v>
      </c>
      <c r="KD11">
        <f>MONTH(KD9)</f>
        <v>5</v>
      </c>
      <c r="KE11">
        <f>MONTH(KE9)</f>
        <v>7</v>
      </c>
      <c r="KF11">
        <f>MONTH(KF9)</f>
        <v>4</v>
      </c>
      <c r="KG11">
        <f>MONTH(KG9)</f>
        <v>11</v>
      </c>
      <c r="KH11">
        <f>MONTH(KH9)</f>
        <v>11</v>
      </c>
      <c r="KI11">
        <f>MONTH(KI9)</f>
        <v>1</v>
      </c>
      <c r="KJ11">
        <f>MONTH(KJ9)</f>
        <v>11</v>
      </c>
      <c r="KK11">
        <f>MONTH(KK9)</f>
        <v>4</v>
      </c>
      <c r="KL11">
        <f>MONTH(KL9)</f>
        <v>8</v>
      </c>
      <c r="KM11">
        <f>MONTH(KM9)</f>
        <v>3</v>
      </c>
      <c r="KN11">
        <f>MONTH(KN9)</f>
        <v>3</v>
      </c>
      <c r="KO11">
        <f>MONTH(KO9)</f>
        <v>6</v>
      </c>
      <c r="KP11">
        <f>MONTH(KP9)</f>
        <v>4</v>
      </c>
      <c r="KQ11">
        <f>MONTH(KQ9)</f>
        <v>2</v>
      </c>
      <c r="KR11">
        <f>MONTH(KR9)</f>
        <v>6</v>
      </c>
      <c r="KS11">
        <f>MONTH(KS9)</f>
        <v>6</v>
      </c>
      <c r="KT11">
        <f>MONTH(KT9)</f>
        <v>3</v>
      </c>
      <c r="KU11">
        <f>MONTH(KU9)</f>
        <v>5</v>
      </c>
      <c r="KV11">
        <f>MONTH(KV9)</f>
        <v>3</v>
      </c>
      <c r="KW11">
        <f>MONTH(KW9)</f>
        <v>10</v>
      </c>
      <c r="KX11">
        <f>MONTH(KX9)</f>
        <v>10</v>
      </c>
      <c r="KY11">
        <f>MONTH(KY9)</f>
        <v>12</v>
      </c>
      <c r="KZ11">
        <f>MONTH(KZ9)</f>
        <v>7</v>
      </c>
      <c r="LA11">
        <f>MONTH(LA9)</f>
        <v>11</v>
      </c>
      <c r="LB11">
        <f>MONTH(LB9)</f>
        <v>12</v>
      </c>
      <c r="LC11">
        <f>MONTH(LC9)</f>
        <v>10</v>
      </c>
      <c r="LD11">
        <f>MONTH(LD9)</f>
        <v>8</v>
      </c>
      <c r="LE11">
        <f>MONTH(LE9)</f>
        <v>10</v>
      </c>
      <c r="LF11">
        <f>MONTH(LF9)</f>
        <v>3</v>
      </c>
      <c r="LG11">
        <f>MONTH(LG9)</f>
        <v>2</v>
      </c>
      <c r="LH11">
        <f>MONTH(LH9)</f>
        <v>4</v>
      </c>
      <c r="LI11">
        <f>MONTH(LI9)</f>
        <v>5</v>
      </c>
      <c r="LJ11">
        <f>MONTH(LJ9)</f>
        <v>6</v>
      </c>
      <c r="LK11">
        <f>MONTH(LK9)</f>
        <v>1</v>
      </c>
      <c r="LL11">
        <f>MONTH(LL9)</f>
        <v>7</v>
      </c>
      <c r="LM11">
        <f>MONTH(LM9)</f>
        <v>12</v>
      </c>
      <c r="LN11">
        <f>MONTH(LN9)</f>
        <v>12</v>
      </c>
      <c r="LO11">
        <f>MONTH(LO9)</f>
        <v>1</v>
      </c>
      <c r="LP11">
        <f>MONTH(LP9)</f>
        <v>1</v>
      </c>
      <c r="LQ11">
        <f>MONTH(LQ9)</f>
        <v>2</v>
      </c>
      <c r="LR11">
        <f>MONTH(LR9)</f>
        <v>7</v>
      </c>
      <c r="LS11">
        <f>MONTH(LS9)</f>
        <v>1</v>
      </c>
      <c r="LT11">
        <f>MONTH(LT9)</f>
        <v>7</v>
      </c>
      <c r="LU11">
        <f>MONTH(LU9)</f>
        <v>3</v>
      </c>
      <c r="LV11">
        <f>MONTH(LV9)</f>
        <v>8</v>
      </c>
      <c r="LW11">
        <f>MONTH(LW9)</f>
        <v>9</v>
      </c>
      <c r="LX11">
        <f>MONTH(LX9)</f>
        <v>2</v>
      </c>
      <c r="LY11">
        <f>MONTH(LY9)</f>
        <v>5</v>
      </c>
      <c r="LZ11">
        <f>MONTH(LZ9)</f>
        <v>9</v>
      </c>
      <c r="MA11">
        <f>MONTH(MA9)</f>
        <v>5</v>
      </c>
      <c r="MB11">
        <f>MONTH(MB9)</f>
        <v>5</v>
      </c>
      <c r="MC11">
        <f>MONTH(MC9)</f>
        <v>8</v>
      </c>
      <c r="MD11">
        <f>MONTH(MD9)</f>
        <v>6</v>
      </c>
      <c r="ME11">
        <f>MONTH(ME9)</f>
        <v>2</v>
      </c>
      <c r="MF11">
        <f>MONTH(MF9)</f>
        <v>1</v>
      </c>
      <c r="MG11">
        <f>MONTH(MG9)</f>
        <v>5</v>
      </c>
      <c r="MH11">
        <f>MONTH(MH9)</f>
        <v>5</v>
      </c>
      <c r="MI11">
        <f>MONTH(MI9)</f>
        <v>12</v>
      </c>
      <c r="MJ11">
        <f>MONTH(MJ9)</f>
        <v>2</v>
      </c>
      <c r="MK11">
        <f>MONTH(MK9)</f>
        <v>2</v>
      </c>
      <c r="ML11">
        <f>MONTH(ML9)</f>
        <v>2</v>
      </c>
      <c r="MM11">
        <f>MONTH(MM9)</f>
        <v>5</v>
      </c>
      <c r="MN11">
        <f>MONTH(MN9)</f>
        <v>12</v>
      </c>
      <c r="MO11">
        <f>MONTH(MO9)</f>
        <v>8</v>
      </c>
      <c r="MP11">
        <f>MONTH(MP9)</f>
        <v>6</v>
      </c>
      <c r="MQ11">
        <f>MONTH(MQ9)</f>
        <v>8</v>
      </c>
      <c r="MR11">
        <f>MONTH(MR9)</f>
        <v>4</v>
      </c>
      <c r="MS11">
        <f>MONTH(MS9)</f>
        <v>5</v>
      </c>
      <c r="MT11">
        <f>MONTH(MT9)</f>
        <v>10</v>
      </c>
      <c r="MU11">
        <f>MONTH(MU9)</f>
        <v>1</v>
      </c>
      <c r="MV11">
        <f>MONTH(MV9)</f>
        <v>4</v>
      </c>
      <c r="MW11">
        <f>MONTH(MW9)</f>
        <v>12</v>
      </c>
      <c r="MX11">
        <f>MONTH(MX9)</f>
        <v>7</v>
      </c>
      <c r="MY11">
        <f>MONTH(MY9)</f>
        <v>5</v>
      </c>
      <c r="MZ11">
        <f>MONTH(MZ9)</f>
        <v>1</v>
      </c>
      <c r="NA11">
        <f>MONTH(NA9)</f>
        <v>4</v>
      </c>
      <c r="NB11">
        <f>MONTH(NB9)</f>
        <v>7</v>
      </c>
      <c r="NC11">
        <f>MONTH(NC9)</f>
        <v>5</v>
      </c>
      <c r="ND11">
        <f>MONTH(ND9)</f>
        <v>7</v>
      </c>
      <c r="NE11">
        <f>MONTH(NE9)</f>
        <v>4</v>
      </c>
      <c r="NF11">
        <f>MONTH(NF9)</f>
        <v>7</v>
      </c>
      <c r="NG11">
        <f>MONTH(NG9)</f>
        <v>12</v>
      </c>
      <c r="NH11">
        <f>MONTH(NH9)</f>
        <v>6</v>
      </c>
      <c r="NI11">
        <f>MONTH(NI9)</f>
        <v>7</v>
      </c>
      <c r="NJ11">
        <f>MONTH(NJ9)</f>
        <v>11</v>
      </c>
      <c r="NK11">
        <f>MONTH(NK9)</f>
        <v>3</v>
      </c>
      <c r="NL11">
        <f>MONTH(NL9)</f>
        <v>5</v>
      </c>
      <c r="NM11">
        <f>MONTH(NM9)</f>
        <v>3</v>
      </c>
      <c r="NN11">
        <f>MONTH(NN9)</f>
        <v>7</v>
      </c>
      <c r="NO11">
        <f>MONTH(NO9)</f>
        <v>9</v>
      </c>
      <c r="NP11">
        <f>MONTH(NP9)</f>
        <v>5</v>
      </c>
      <c r="NQ11">
        <f>MONTH(NQ9)</f>
        <v>2</v>
      </c>
      <c r="NR11">
        <f>MONTH(NR9)</f>
        <v>6</v>
      </c>
      <c r="NS11">
        <f>MONTH(NS9)</f>
        <v>2</v>
      </c>
      <c r="NT11">
        <f>MONTH(NT9)</f>
        <v>8</v>
      </c>
      <c r="NU11">
        <f>MONTH(NU9)</f>
        <v>6</v>
      </c>
      <c r="NV11">
        <f>MONTH(NV9)</f>
        <v>10</v>
      </c>
      <c r="NW11">
        <f>MONTH(NW9)</f>
        <v>10</v>
      </c>
      <c r="NX11">
        <f>MONTH(NX9)</f>
        <v>5</v>
      </c>
      <c r="NY11">
        <f>MONTH(NY9)</f>
        <v>8</v>
      </c>
      <c r="NZ11">
        <f>MONTH(NZ9)</f>
        <v>8</v>
      </c>
      <c r="OA11">
        <f>MONTH(OA9)</f>
        <v>1</v>
      </c>
      <c r="OB11">
        <f>MONTH(OB9)</f>
        <v>10</v>
      </c>
      <c r="OC11">
        <f>MONTH(OC9)</f>
        <v>7</v>
      </c>
      <c r="OD11">
        <f>MONTH(OD9)</f>
        <v>1</v>
      </c>
      <c r="OE11">
        <f>MONTH(OE9)</f>
        <v>2</v>
      </c>
      <c r="OF11">
        <f>MONTH(OF9)</f>
        <v>4</v>
      </c>
      <c r="OG11">
        <f>MONTH(OG9)</f>
        <v>4</v>
      </c>
      <c r="OH11">
        <f>MONTH(OH9)</f>
        <v>4</v>
      </c>
      <c r="OI11">
        <f>MONTH(OI9)</f>
        <v>2</v>
      </c>
      <c r="OJ11">
        <f>MONTH(OJ9)</f>
        <v>7</v>
      </c>
      <c r="OK11">
        <f>MONTH(OK9)</f>
        <v>10</v>
      </c>
      <c r="OL11">
        <f>MONTH(OL9)</f>
        <v>10</v>
      </c>
      <c r="OM11">
        <f>MONTH(OM9)</f>
        <v>2</v>
      </c>
      <c r="ON11">
        <f>MONTH(ON9)</f>
        <v>3</v>
      </c>
      <c r="OO11">
        <f>MONTH(OO9)</f>
        <v>9</v>
      </c>
      <c r="OP11">
        <f>MONTH(OP9)</f>
        <v>5</v>
      </c>
      <c r="OQ11">
        <f>MONTH(OQ9)</f>
        <v>1</v>
      </c>
      <c r="OR11">
        <f>MONTH(OR9)</f>
        <v>7</v>
      </c>
      <c r="OS11">
        <f>MONTH(OS9)</f>
        <v>10</v>
      </c>
      <c r="OT11">
        <f>MONTH(OT9)</f>
        <v>12</v>
      </c>
      <c r="OU11">
        <f>MONTH(OU9)</f>
        <v>1</v>
      </c>
      <c r="OV11">
        <f>MONTH(OV9)</f>
        <v>6</v>
      </c>
      <c r="OW11">
        <f>MONTH(OW9)</f>
        <v>4</v>
      </c>
      <c r="OX11">
        <f>MONTH(OX9)</f>
        <v>12</v>
      </c>
      <c r="OY11">
        <f>MONTH(OY9)</f>
        <v>5</v>
      </c>
      <c r="OZ11">
        <f>MONTH(OZ9)</f>
        <v>2</v>
      </c>
      <c r="PA11">
        <f>MONTH(PA9)</f>
        <v>6</v>
      </c>
      <c r="PB11">
        <f>MONTH(PB9)</f>
        <v>2</v>
      </c>
      <c r="PC11">
        <f>MONTH(PC9)</f>
        <v>10</v>
      </c>
      <c r="PD11">
        <f>MONTH(PD9)</f>
        <v>4</v>
      </c>
      <c r="PE11">
        <f>MONTH(PE9)</f>
        <v>4</v>
      </c>
      <c r="PF11">
        <f>MONTH(PF9)</f>
        <v>10</v>
      </c>
      <c r="PG11">
        <f>MONTH(PG9)</f>
        <v>2</v>
      </c>
      <c r="PH11">
        <f>MONTH(PH9)</f>
        <v>12</v>
      </c>
      <c r="PI11">
        <f>MONTH(PI9)</f>
        <v>2</v>
      </c>
      <c r="PJ11">
        <f>MONTH(PJ9)</f>
        <v>11</v>
      </c>
      <c r="PK11">
        <f>MONTH(PK9)</f>
        <v>9</v>
      </c>
      <c r="PL11">
        <f>MONTH(PL9)</f>
        <v>7</v>
      </c>
      <c r="PM11">
        <f>MONTH(PM9)</f>
        <v>3</v>
      </c>
      <c r="PN11">
        <f>MONTH(PN9)</f>
        <v>7</v>
      </c>
      <c r="PO11">
        <f>MONTH(PO9)</f>
        <v>8</v>
      </c>
      <c r="PP11">
        <f>MONTH(PP9)</f>
        <v>12</v>
      </c>
      <c r="PQ11">
        <f>MONTH(PQ9)</f>
        <v>6</v>
      </c>
      <c r="PR11">
        <f>MONTH(PR9)</f>
        <v>9</v>
      </c>
      <c r="PS11">
        <f>MONTH(PS9)</f>
        <v>6</v>
      </c>
      <c r="PT11">
        <f>MONTH(PT9)</f>
        <v>5</v>
      </c>
      <c r="PU11">
        <f>MONTH(PU9)</f>
        <v>8</v>
      </c>
      <c r="PV11">
        <f>MONTH(PV9)</f>
        <v>12</v>
      </c>
      <c r="PW11">
        <f>MONTH(PW9)</f>
        <v>6</v>
      </c>
      <c r="PX11">
        <f>MONTH(PX9)</f>
        <v>6</v>
      </c>
      <c r="PY11">
        <f>MONTH(PY9)</f>
        <v>11</v>
      </c>
      <c r="PZ11">
        <f>MONTH(PZ9)</f>
        <v>11</v>
      </c>
      <c r="QA11">
        <f>MONTH(QA9)</f>
        <v>12</v>
      </c>
      <c r="QB11">
        <f>MONTH(QB9)</f>
        <v>8</v>
      </c>
      <c r="QC11">
        <f>MONTH(QC9)</f>
        <v>4</v>
      </c>
      <c r="QD11">
        <f>MONTH(QD9)</f>
        <v>12</v>
      </c>
      <c r="QE11">
        <f>MONTH(QE9)</f>
        <v>12</v>
      </c>
      <c r="QF11">
        <f>MONTH(QF9)</f>
        <v>11</v>
      </c>
      <c r="QG11">
        <f>MONTH(QG9)</f>
        <v>9</v>
      </c>
      <c r="QH11">
        <f>MONTH(QH9)</f>
        <v>1</v>
      </c>
      <c r="QI11">
        <f>MONTH(QI9)</f>
        <v>3</v>
      </c>
      <c r="QJ11">
        <f>MONTH(QJ9)</f>
        <v>5</v>
      </c>
      <c r="QK11">
        <f>MONTH(QK9)</f>
        <v>8</v>
      </c>
      <c r="QL11">
        <f>MONTH(QL9)</f>
        <v>3</v>
      </c>
      <c r="QM11">
        <f>MONTH(QM9)</f>
        <v>2</v>
      </c>
      <c r="QN11">
        <f>MONTH(QN9)</f>
        <v>3</v>
      </c>
      <c r="QO11">
        <f>MONTH(QO9)</f>
        <v>5</v>
      </c>
      <c r="QP11">
        <f>MONTH(QP9)</f>
        <v>8</v>
      </c>
      <c r="QQ11">
        <f>MONTH(QQ9)</f>
        <v>7</v>
      </c>
      <c r="QR11">
        <f>MONTH(QR9)</f>
        <v>2</v>
      </c>
      <c r="QS11">
        <f>MONTH(QS9)</f>
        <v>4</v>
      </c>
      <c r="QT11">
        <f>MONTH(QT9)</f>
        <v>9</v>
      </c>
      <c r="QU11">
        <f>MONTH(QU9)</f>
        <v>8</v>
      </c>
      <c r="QV11">
        <f>MONTH(QV9)</f>
        <v>11</v>
      </c>
      <c r="QW11">
        <f>MONTH(QW9)</f>
        <v>2</v>
      </c>
      <c r="QX11">
        <f>MONTH(QX9)</f>
        <v>6</v>
      </c>
      <c r="QY11">
        <f>MONTH(QY9)</f>
        <v>10</v>
      </c>
      <c r="QZ11">
        <f>MONTH(QZ9)</f>
        <v>9</v>
      </c>
      <c r="RA11">
        <f>MONTH(RA9)</f>
        <v>5</v>
      </c>
      <c r="RB11">
        <f>MONTH(RB9)</f>
        <v>4</v>
      </c>
      <c r="RC11">
        <f>MONTH(RC9)</f>
        <v>12</v>
      </c>
      <c r="RD11">
        <f>MONTH(RD9)</f>
        <v>7</v>
      </c>
      <c r="RE11">
        <f>MONTH(RE9)</f>
        <v>1</v>
      </c>
      <c r="RF11">
        <f>MONTH(RF9)</f>
        <v>9</v>
      </c>
      <c r="RG11">
        <f>MONTH(RG9)</f>
        <v>10</v>
      </c>
      <c r="RH11">
        <f>MONTH(RH9)</f>
        <v>4</v>
      </c>
      <c r="RI11">
        <f>MONTH(RI9)</f>
        <v>1</v>
      </c>
      <c r="RJ11">
        <f>MONTH(RJ9)</f>
        <v>5</v>
      </c>
      <c r="RK11">
        <f>MONTH(RK9)</f>
        <v>5</v>
      </c>
      <c r="RL11">
        <f>MONTH(RL9)</f>
        <v>6</v>
      </c>
      <c r="RM11">
        <f>MONTH(RM9)</f>
        <v>6</v>
      </c>
      <c r="RN11">
        <f>MONTH(RN9)</f>
        <v>4</v>
      </c>
      <c r="RO11">
        <f>MONTH(RO9)</f>
        <v>12</v>
      </c>
      <c r="RP11">
        <f>MONTH(RP9)</f>
        <v>3</v>
      </c>
      <c r="RQ11">
        <f>MONTH(RQ9)</f>
        <v>10</v>
      </c>
      <c r="RR11">
        <f>MONTH(RR9)</f>
        <v>7</v>
      </c>
      <c r="RS11">
        <f>MONTH(RS9)</f>
        <v>1</v>
      </c>
      <c r="RT11">
        <f>MONTH(RT9)</f>
        <v>1</v>
      </c>
      <c r="RU11">
        <f>MONTH(RU9)</f>
        <v>4</v>
      </c>
      <c r="RV11">
        <f>MONTH(RV9)</f>
        <v>4</v>
      </c>
      <c r="RW11">
        <f>MONTH(RW9)</f>
        <v>11</v>
      </c>
      <c r="RX11">
        <f>MONTH(RX9)</f>
        <v>8</v>
      </c>
      <c r="RY11">
        <f>MONTH(RY9)</f>
        <v>11</v>
      </c>
      <c r="RZ11">
        <f>MONTH(RZ9)</f>
        <v>10</v>
      </c>
      <c r="SA11">
        <f>MONTH(SA9)</f>
        <v>7</v>
      </c>
      <c r="SB11">
        <f>MONTH(SB9)</f>
        <v>4</v>
      </c>
      <c r="SC11">
        <f>MONTH(SC9)</f>
        <v>6</v>
      </c>
      <c r="SD11">
        <f>MONTH(SD9)</f>
        <v>3</v>
      </c>
      <c r="SE11">
        <f>MONTH(SE9)</f>
        <v>8</v>
      </c>
      <c r="SF11">
        <f>MONTH(SF9)</f>
        <v>12</v>
      </c>
      <c r="SG11">
        <f>MONTH(SG9)</f>
        <v>12</v>
      </c>
      <c r="SH11">
        <f>MONTH(SH9)</f>
        <v>8</v>
      </c>
      <c r="SI11">
        <f>MONTH(SI9)</f>
        <v>9</v>
      </c>
      <c r="SJ11">
        <f>MONTH(SJ9)</f>
        <v>1</v>
      </c>
      <c r="SK11">
        <f>MONTH(SK9)</f>
        <v>11</v>
      </c>
      <c r="SL11">
        <f>MONTH(SL9)</f>
        <v>6</v>
      </c>
      <c r="SM11">
        <f>MONTH(SM9)</f>
        <v>8</v>
      </c>
      <c r="SN11">
        <f>MONTH(SN9)</f>
        <v>1</v>
      </c>
      <c r="SO11">
        <f>MONTH(SO9)</f>
        <v>7</v>
      </c>
      <c r="SP11">
        <f>MONTH(SP9)</f>
        <v>10</v>
      </c>
      <c r="SQ11">
        <f>MONTH(SQ9)</f>
        <v>6</v>
      </c>
      <c r="SR11">
        <f>MONTH(SR9)</f>
        <v>8</v>
      </c>
      <c r="SS11">
        <f>MONTH(SS9)</f>
        <v>9</v>
      </c>
      <c r="ST11">
        <f>MONTH(ST9)</f>
        <v>2</v>
      </c>
      <c r="SU11">
        <f>MONTH(SU9)</f>
        <v>3</v>
      </c>
      <c r="SV11">
        <f>MONTH(SV9)</f>
        <v>12</v>
      </c>
      <c r="SW11">
        <f>MONTH(SW9)</f>
        <v>3</v>
      </c>
      <c r="SX11">
        <f>MONTH(SX9)</f>
        <v>12</v>
      </c>
      <c r="SY11">
        <f>MONTH(SY9)</f>
        <v>12</v>
      </c>
      <c r="SZ11">
        <f>MONTH(SZ9)</f>
        <v>5</v>
      </c>
      <c r="TA11">
        <f>MONTH(TA9)</f>
        <v>4</v>
      </c>
      <c r="TB11">
        <f>MONTH(TB9)</f>
        <v>5</v>
      </c>
      <c r="TC11">
        <f>MONTH(TC9)</f>
        <v>11</v>
      </c>
      <c r="TD11">
        <f>MONTH(TD9)</f>
        <v>3</v>
      </c>
      <c r="TE11">
        <f>MONTH(TE9)</f>
        <v>4</v>
      </c>
      <c r="TF11">
        <f>MONTH(TF9)</f>
        <v>9</v>
      </c>
      <c r="TG11">
        <f>MONTH(TG9)</f>
        <v>1</v>
      </c>
      <c r="TH11">
        <f>MONTH(TH9)</f>
        <v>4</v>
      </c>
      <c r="TI11">
        <f>MONTH(TI9)</f>
        <v>2</v>
      </c>
      <c r="TJ11">
        <f>MONTH(TJ9)</f>
        <v>6</v>
      </c>
      <c r="TK11">
        <f>MONTH(TK9)</f>
        <v>1</v>
      </c>
      <c r="TL11">
        <f>MONTH(TL9)</f>
        <v>7</v>
      </c>
      <c r="TM11">
        <f>MONTH(TM9)</f>
        <v>11</v>
      </c>
      <c r="TN11">
        <f>MONTH(TN9)</f>
        <v>6</v>
      </c>
      <c r="TO11">
        <f>MONTH(TO9)</f>
        <v>12</v>
      </c>
      <c r="TP11">
        <f>MONTH(TP9)</f>
        <v>11</v>
      </c>
      <c r="TQ11">
        <f>MONTH(TQ9)</f>
        <v>4</v>
      </c>
      <c r="TR11">
        <f>MONTH(TR9)</f>
        <v>7</v>
      </c>
      <c r="TS11">
        <f>MONTH(TS9)</f>
        <v>4</v>
      </c>
      <c r="TT11">
        <f>MONTH(TT9)</f>
        <v>5</v>
      </c>
      <c r="TU11">
        <f>MONTH(TU9)</f>
        <v>1</v>
      </c>
      <c r="TV11">
        <f>MONTH(TV9)</f>
        <v>2</v>
      </c>
      <c r="TW11">
        <f>MONTH(TW9)</f>
        <v>1</v>
      </c>
      <c r="TX11">
        <f>MONTH(TX9)</f>
        <v>8</v>
      </c>
      <c r="TY11">
        <f>MONTH(TY9)</f>
        <v>10</v>
      </c>
      <c r="TZ11">
        <f>MONTH(TZ9)</f>
        <v>1</v>
      </c>
      <c r="UA11">
        <f>MONTH(UA9)</f>
        <v>11</v>
      </c>
      <c r="UB11">
        <f>MONTH(UB9)</f>
        <v>7</v>
      </c>
      <c r="UC11">
        <f>MONTH(UC9)</f>
        <v>10</v>
      </c>
      <c r="UD11">
        <f>MONTH(UD9)</f>
        <v>8</v>
      </c>
      <c r="UE11">
        <f>MONTH(UE9)</f>
        <v>3</v>
      </c>
      <c r="UF11">
        <f>MONTH(UF9)</f>
        <v>10</v>
      </c>
      <c r="UG11">
        <f>MONTH(UG9)</f>
        <v>7</v>
      </c>
      <c r="UH11">
        <f>MONTH(UH9)</f>
        <v>2</v>
      </c>
      <c r="UI11">
        <f>MONTH(UI9)</f>
        <v>2</v>
      </c>
      <c r="UJ11">
        <f>MONTH(UJ9)</f>
        <v>1</v>
      </c>
      <c r="UK11">
        <f>MONTH(UK9)</f>
        <v>6</v>
      </c>
      <c r="UL11">
        <f>MONTH(UL9)</f>
        <v>3</v>
      </c>
      <c r="UM11">
        <f>MONTH(UM9)</f>
        <v>4</v>
      </c>
      <c r="UN11">
        <f>MONTH(UN9)</f>
        <v>11</v>
      </c>
      <c r="UO11">
        <f>MONTH(UO9)</f>
        <v>3</v>
      </c>
      <c r="UP11">
        <f>MONTH(UP9)</f>
        <v>12</v>
      </c>
      <c r="UQ11">
        <f>MONTH(UQ9)</f>
        <v>6</v>
      </c>
      <c r="UR11">
        <f>MONTH(UR9)</f>
        <v>1</v>
      </c>
      <c r="US11">
        <f>MONTH(US9)</f>
        <v>5</v>
      </c>
      <c r="UT11">
        <f>MONTH(UT9)</f>
        <v>9</v>
      </c>
      <c r="UU11">
        <f>MONTH(UU9)</f>
        <v>8</v>
      </c>
      <c r="UV11">
        <f>MONTH(UV9)</f>
        <v>7</v>
      </c>
      <c r="UW11">
        <f>MONTH(UW9)</f>
        <v>3</v>
      </c>
      <c r="UX11">
        <f>MONTH(UX9)</f>
        <v>1</v>
      </c>
      <c r="UY11">
        <f>MONTH(UY9)</f>
        <v>11</v>
      </c>
      <c r="UZ11">
        <f>MONTH(UZ9)</f>
        <v>1</v>
      </c>
      <c r="VA11">
        <f>MONTH(VA9)</f>
        <v>12</v>
      </c>
      <c r="VB11">
        <f>MONTH(VB9)</f>
        <v>5</v>
      </c>
      <c r="VC11">
        <f>MONTH(VC9)</f>
        <v>3</v>
      </c>
      <c r="VD11">
        <f>MONTH(VD9)</f>
        <v>9</v>
      </c>
      <c r="VE11">
        <f>MONTH(VE9)</f>
        <v>7</v>
      </c>
      <c r="VF11">
        <f>MONTH(VF9)</f>
        <v>5</v>
      </c>
      <c r="VG11">
        <f>MONTH(VG9)</f>
        <v>6</v>
      </c>
      <c r="VH11">
        <f>MONTH(VH9)</f>
        <v>3</v>
      </c>
      <c r="VI11">
        <f>MONTH(VI9)</f>
        <v>6</v>
      </c>
      <c r="VJ11">
        <f>MONTH(VJ9)</f>
        <v>10</v>
      </c>
      <c r="VK11">
        <f>MONTH(VK9)</f>
        <v>10</v>
      </c>
      <c r="VL11">
        <f>MONTH(VL9)</f>
        <v>3</v>
      </c>
      <c r="VM11">
        <f>MONTH(VM9)</f>
        <v>12</v>
      </c>
      <c r="VN11">
        <f>MONTH(VN9)</f>
        <v>10</v>
      </c>
      <c r="VO11">
        <f>MONTH(VO9)</f>
        <v>1</v>
      </c>
      <c r="VP11">
        <f>MONTH(VP9)</f>
        <v>8</v>
      </c>
      <c r="VQ11">
        <f>MONTH(VQ9)</f>
        <v>5</v>
      </c>
      <c r="VR11">
        <f>MONTH(VR9)</f>
        <v>4</v>
      </c>
      <c r="VS11">
        <f>MONTH(VS9)</f>
        <v>9</v>
      </c>
      <c r="VT11">
        <f>MONTH(VT9)</f>
        <v>12</v>
      </c>
      <c r="VU11">
        <f>MONTH(VU9)</f>
        <v>6</v>
      </c>
      <c r="VV11">
        <f>MONTH(VV9)</f>
        <v>3</v>
      </c>
      <c r="VW11">
        <f>MONTH(VW9)</f>
        <v>10</v>
      </c>
      <c r="VX11">
        <f>MONTH(VX9)</f>
        <v>5</v>
      </c>
      <c r="VY11">
        <f>MONTH(VY9)</f>
        <v>9</v>
      </c>
      <c r="VZ11">
        <f>MONTH(VZ9)</f>
        <v>3</v>
      </c>
      <c r="WA11">
        <f>MONTH(WA9)</f>
        <v>4</v>
      </c>
      <c r="WB11">
        <f>MONTH(WB9)</f>
        <v>3</v>
      </c>
      <c r="WC11">
        <f>MONTH(WC9)</f>
        <v>8</v>
      </c>
      <c r="WD11">
        <f>MONTH(WD9)</f>
        <v>1</v>
      </c>
      <c r="WE11">
        <f>MONTH(WE9)</f>
        <v>8</v>
      </c>
      <c r="WF11">
        <f>MONTH(WF9)</f>
        <v>8</v>
      </c>
      <c r="WG11">
        <f>MONTH(WG9)</f>
        <v>10</v>
      </c>
      <c r="WH11">
        <f>MONTH(WH9)</f>
        <v>8</v>
      </c>
      <c r="WI11">
        <f>MONTH(WI9)</f>
        <v>11</v>
      </c>
      <c r="WJ11">
        <f>MONTH(WJ9)</f>
        <v>6</v>
      </c>
      <c r="WK11">
        <f>MONTH(WK9)</f>
        <v>6</v>
      </c>
      <c r="WL11">
        <f>MONTH(WL9)</f>
        <v>12</v>
      </c>
      <c r="WM11">
        <f>MONTH(WM9)</f>
        <v>3</v>
      </c>
      <c r="WN11">
        <f>MONTH(WN9)</f>
        <v>12</v>
      </c>
      <c r="WO11">
        <f>MONTH(WO9)</f>
        <v>3</v>
      </c>
      <c r="WP11">
        <f>MONTH(WP9)</f>
        <v>3</v>
      </c>
      <c r="WQ11">
        <f>MONTH(WQ9)</f>
        <v>3</v>
      </c>
      <c r="WR11">
        <f>MONTH(WR9)</f>
        <v>3</v>
      </c>
      <c r="WS11">
        <f>MONTH(WS9)</f>
        <v>6</v>
      </c>
      <c r="WT11">
        <f>MONTH(WT9)</f>
        <v>3</v>
      </c>
      <c r="WU11">
        <f>MONTH(WU9)</f>
        <v>10</v>
      </c>
      <c r="WV11">
        <f>MONTH(WV9)</f>
        <v>9</v>
      </c>
      <c r="WW11">
        <f>MONTH(WW9)</f>
        <v>10</v>
      </c>
      <c r="WX11">
        <f>MONTH(WX9)</f>
        <v>12</v>
      </c>
      <c r="WY11">
        <f>MONTH(WY9)</f>
        <v>8</v>
      </c>
      <c r="WZ11">
        <f>MONTH(WZ9)</f>
        <v>12</v>
      </c>
      <c r="XA11">
        <f>MONTH(XA9)</f>
        <v>9</v>
      </c>
      <c r="XB11">
        <f>MONTH(XB9)</f>
        <v>6</v>
      </c>
      <c r="XC11">
        <f>MONTH(XC9)</f>
        <v>11</v>
      </c>
      <c r="XD11">
        <f>MONTH(XD9)</f>
        <v>3</v>
      </c>
      <c r="XE11">
        <f>MONTH(XE9)</f>
        <v>7</v>
      </c>
      <c r="XF11">
        <f>MONTH(XF9)</f>
        <v>2</v>
      </c>
      <c r="XG11">
        <f>MONTH(XG9)</f>
        <v>7</v>
      </c>
      <c r="XH11">
        <f>MONTH(XH9)</f>
        <v>11</v>
      </c>
      <c r="XI11">
        <f>MONTH(XI9)</f>
        <v>8</v>
      </c>
      <c r="XJ11">
        <f>MONTH(XJ9)</f>
        <v>1</v>
      </c>
      <c r="XK11">
        <f>MONTH(XK9)</f>
        <v>4</v>
      </c>
      <c r="XL11">
        <f>MONTH(XL9)</f>
        <v>4</v>
      </c>
      <c r="XM11">
        <f>MONTH(XM9)</f>
        <v>10</v>
      </c>
      <c r="XN11">
        <f>MONTH(XN9)</f>
        <v>10</v>
      </c>
      <c r="XO11">
        <f>MONTH(XO9)</f>
        <v>7</v>
      </c>
      <c r="XP11">
        <f>MONTH(XP9)</f>
        <v>9</v>
      </c>
      <c r="XQ11">
        <f>MONTH(XQ9)</f>
        <v>5</v>
      </c>
      <c r="XR11">
        <f>MONTH(XR9)</f>
        <v>4</v>
      </c>
      <c r="XS11">
        <f>MONTH(XS9)</f>
        <v>5</v>
      </c>
      <c r="XT11">
        <f>MONTH(XT9)</f>
        <v>3</v>
      </c>
      <c r="XU11">
        <f>MONTH(XU9)</f>
        <v>4</v>
      </c>
      <c r="XV11">
        <f>MONTH(XV9)</f>
        <v>6</v>
      </c>
      <c r="XW11">
        <f>MONTH(XW9)</f>
        <v>12</v>
      </c>
      <c r="XX11">
        <f>MONTH(XX9)</f>
        <v>6</v>
      </c>
      <c r="XY11">
        <f>MONTH(XY9)</f>
        <v>9</v>
      </c>
      <c r="XZ11">
        <f>MONTH(XZ9)</f>
        <v>8</v>
      </c>
      <c r="YA11">
        <f>MONTH(YA9)</f>
        <v>3</v>
      </c>
      <c r="YB11">
        <f>MONTH(YB9)</f>
        <v>8</v>
      </c>
      <c r="YC11">
        <f>MONTH(YC9)</f>
        <v>10</v>
      </c>
      <c r="YD11">
        <f>MONTH(YD9)</f>
        <v>10</v>
      </c>
      <c r="YE11">
        <f>MONTH(YE9)</f>
        <v>11</v>
      </c>
      <c r="YF11">
        <f>MONTH(YF9)</f>
        <v>9</v>
      </c>
      <c r="YG11">
        <f>MONTH(YG9)</f>
        <v>1</v>
      </c>
      <c r="YH11">
        <f>MONTH(YH9)</f>
        <v>8</v>
      </c>
      <c r="YI11">
        <f>MONTH(YI9)</f>
        <v>2</v>
      </c>
      <c r="YJ11">
        <f>MONTH(YJ9)</f>
        <v>11</v>
      </c>
      <c r="YK11">
        <f>MONTH(YK9)</f>
        <v>4</v>
      </c>
      <c r="YL11">
        <f>MONTH(YL9)</f>
        <v>8</v>
      </c>
      <c r="YM11">
        <f>MONTH(YM9)</f>
        <v>1</v>
      </c>
      <c r="YN11">
        <f>MONTH(YN9)</f>
        <v>3</v>
      </c>
      <c r="YO11">
        <f>MONTH(YO9)</f>
        <v>9</v>
      </c>
      <c r="YP11">
        <f>MONTH(YP9)</f>
        <v>9</v>
      </c>
      <c r="YQ11">
        <f>MONTH(YQ9)</f>
        <v>3</v>
      </c>
      <c r="YR11">
        <f>MONTH(YR9)</f>
        <v>3</v>
      </c>
      <c r="YS11">
        <f>MONTH(YS9)</f>
        <v>9</v>
      </c>
      <c r="YT11">
        <f>MONTH(YT9)</f>
        <v>6</v>
      </c>
      <c r="YU11">
        <f>MONTH(YU9)</f>
        <v>4</v>
      </c>
      <c r="YV11">
        <f>MONTH(YV9)</f>
        <v>6</v>
      </c>
      <c r="YW11">
        <f>MONTH(YW9)</f>
        <v>12</v>
      </c>
      <c r="YX11">
        <f>MONTH(YX9)</f>
        <v>8</v>
      </c>
      <c r="YY11">
        <f>MONTH(YY9)</f>
        <v>1</v>
      </c>
      <c r="YZ11">
        <f>MONTH(YZ9)</f>
        <v>3</v>
      </c>
      <c r="ZA11">
        <f>MONTH(ZA9)</f>
        <v>9</v>
      </c>
      <c r="ZB11">
        <f>MONTH(ZB9)</f>
        <v>5</v>
      </c>
      <c r="ZC11">
        <f>MONTH(ZC9)</f>
        <v>2</v>
      </c>
      <c r="ZD11">
        <f>MONTH(ZD9)</f>
        <v>9</v>
      </c>
      <c r="ZE11">
        <f>MONTH(ZE9)</f>
        <v>8</v>
      </c>
      <c r="ZF11">
        <f>MONTH(ZF9)</f>
        <v>3</v>
      </c>
      <c r="ZG11">
        <f>MONTH(ZG9)</f>
        <v>9</v>
      </c>
      <c r="ZH11">
        <f>MONTH(ZH9)</f>
        <v>3</v>
      </c>
      <c r="ZI11">
        <f>MONTH(ZI9)</f>
        <v>10</v>
      </c>
      <c r="ZJ11">
        <f>MONTH(ZJ9)</f>
        <v>3</v>
      </c>
      <c r="ZK11">
        <f>MONTH(ZK9)</f>
        <v>1</v>
      </c>
      <c r="ZL11">
        <f>MONTH(ZL9)</f>
        <v>2</v>
      </c>
      <c r="ZM11">
        <f>MONTH(ZM9)</f>
        <v>7</v>
      </c>
      <c r="ZN11">
        <f>MONTH(ZN9)</f>
        <v>8</v>
      </c>
      <c r="ZO11">
        <f>MONTH(ZO9)</f>
        <v>4</v>
      </c>
      <c r="ZP11">
        <f>MONTH(ZP9)</f>
        <v>9</v>
      </c>
      <c r="ZQ11">
        <f>MONTH(ZQ9)</f>
        <v>1</v>
      </c>
      <c r="ZR11">
        <f>MONTH(ZR9)</f>
        <v>11</v>
      </c>
      <c r="ZS11">
        <f>MONTH(ZS9)</f>
        <v>9</v>
      </c>
      <c r="ZT11">
        <f>MONTH(ZT9)</f>
        <v>7</v>
      </c>
      <c r="ZU11">
        <f>MONTH(ZU9)</f>
        <v>6</v>
      </c>
      <c r="ZV11">
        <f>MONTH(ZV9)</f>
        <v>11</v>
      </c>
      <c r="ZW11">
        <f>MONTH(ZW9)</f>
        <v>10</v>
      </c>
      <c r="ZX11">
        <f>MONTH(ZX9)</f>
        <v>4</v>
      </c>
      <c r="ZY11">
        <f>MONTH(ZY9)</f>
        <v>4</v>
      </c>
      <c r="ZZ11">
        <f>MONTH(ZZ9)</f>
        <v>2</v>
      </c>
      <c r="AAA11">
        <f>MONTH(AAA9)</f>
        <v>2</v>
      </c>
      <c r="AAB11">
        <f>MONTH(AAB9)</f>
        <v>3</v>
      </c>
      <c r="AAC11">
        <f>MONTH(AAC9)</f>
        <v>9</v>
      </c>
      <c r="AAD11">
        <f>MONTH(AAD9)</f>
        <v>7</v>
      </c>
      <c r="AAE11">
        <f>MONTH(AAE9)</f>
        <v>8</v>
      </c>
      <c r="AAF11">
        <f>MONTH(AAF9)</f>
        <v>9</v>
      </c>
      <c r="AAG11">
        <f>MONTH(AAG9)</f>
        <v>8</v>
      </c>
      <c r="AAH11">
        <f>MONTH(AAH9)</f>
        <v>7</v>
      </c>
      <c r="AAI11">
        <f>MONTH(AAI9)</f>
        <v>6</v>
      </c>
      <c r="AAJ11">
        <f>MONTH(AAJ9)</f>
        <v>2</v>
      </c>
      <c r="AAK11">
        <f>MONTH(AAK9)</f>
        <v>4</v>
      </c>
      <c r="AAL11">
        <f>MONTH(AAL9)</f>
        <v>3</v>
      </c>
      <c r="AAM11">
        <f>MONTH(AAM9)</f>
        <v>11</v>
      </c>
      <c r="AAN11">
        <f>MONTH(AAN9)</f>
        <v>10</v>
      </c>
      <c r="AAO11">
        <f>MONTH(AAO9)</f>
        <v>6</v>
      </c>
      <c r="AAP11">
        <f>MONTH(AAP9)</f>
        <v>10</v>
      </c>
      <c r="AAQ11">
        <f>MONTH(AAQ9)</f>
        <v>2</v>
      </c>
      <c r="AAR11">
        <f>MONTH(AAR9)</f>
        <v>2</v>
      </c>
      <c r="AAS11">
        <f>MONTH(AAS9)</f>
        <v>7</v>
      </c>
      <c r="AAT11">
        <f>MONTH(AAT9)</f>
        <v>1</v>
      </c>
      <c r="AAU11">
        <f>MONTH(AAU9)</f>
        <v>4</v>
      </c>
      <c r="AAV11">
        <f>MONTH(AAV9)</f>
        <v>9</v>
      </c>
      <c r="AAW11">
        <f>MONTH(AAW9)</f>
        <v>1</v>
      </c>
      <c r="AAX11">
        <f>MONTH(AAX9)</f>
        <v>4</v>
      </c>
      <c r="AAY11">
        <f>MONTH(AAY9)</f>
        <v>11</v>
      </c>
      <c r="AAZ11">
        <f>MONTH(AAZ9)</f>
        <v>10</v>
      </c>
      <c r="ABA11">
        <f>MONTH(ABA9)</f>
        <v>6</v>
      </c>
      <c r="ABB11">
        <f>MONTH(ABB9)</f>
        <v>10</v>
      </c>
      <c r="ABC11">
        <f>MONTH(ABC9)</f>
        <v>12</v>
      </c>
      <c r="ABD11">
        <f>MONTH(ABD9)</f>
        <v>6</v>
      </c>
      <c r="ABE11">
        <f>MONTH(ABE9)</f>
        <v>7</v>
      </c>
      <c r="ABF11">
        <f>MONTH(ABF9)</f>
        <v>8</v>
      </c>
      <c r="ABG11">
        <f>MONTH(ABG9)</f>
        <v>10</v>
      </c>
      <c r="ABH11">
        <f>MONTH(ABH9)</f>
        <v>10</v>
      </c>
      <c r="ABI11">
        <f>MONTH(ABI9)</f>
        <v>4</v>
      </c>
      <c r="ABJ11">
        <f>MONTH(ABJ9)</f>
        <v>10</v>
      </c>
      <c r="ABK11">
        <f>MONTH(ABK9)</f>
        <v>9</v>
      </c>
      <c r="ABL11">
        <f>MONTH(ABL9)</f>
        <v>8</v>
      </c>
      <c r="ABM11">
        <f>MONTH(ABM9)</f>
        <v>12</v>
      </c>
      <c r="ABN11">
        <f>MONTH(ABN9)</f>
        <v>1</v>
      </c>
      <c r="ABO11">
        <f>MONTH(ABO9)</f>
        <v>11</v>
      </c>
      <c r="ABP11">
        <f>MONTH(ABP9)</f>
        <v>6</v>
      </c>
      <c r="ABQ11">
        <f>MONTH(ABQ9)</f>
        <v>7</v>
      </c>
      <c r="ABR11">
        <f>MONTH(ABR9)</f>
        <v>8</v>
      </c>
      <c r="ABS11">
        <f>MONTH(ABS9)</f>
        <v>9</v>
      </c>
      <c r="ABT11">
        <f>MONTH(ABT9)</f>
        <v>2</v>
      </c>
      <c r="ABU11">
        <f>MONTH(ABU9)</f>
        <v>5</v>
      </c>
      <c r="ABV11">
        <f>MONTH(ABV9)</f>
        <v>8</v>
      </c>
      <c r="ABW11">
        <f>MONTH(ABW9)</f>
        <v>8</v>
      </c>
      <c r="ABX11">
        <f>MONTH(ABX9)</f>
        <v>3</v>
      </c>
      <c r="ABY11">
        <f>MONTH(ABY9)</f>
        <v>1</v>
      </c>
      <c r="ABZ11">
        <f>MONTH(ABZ9)</f>
        <v>10</v>
      </c>
      <c r="ACA11">
        <f>MONTH(ACA9)</f>
        <v>3</v>
      </c>
      <c r="ACB11">
        <f>MONTH(ACB9)</f>
        <v>9</v>
      </c>
      <c r="ACC11">
        <f>MONTH(ACC9)</f>
        <v>2</v>
      </c>
      <c r="ACD11">
        <f>MONTH(ACD9)</f>
        <v>5</v>
      </c>
      <c r="ACE11">
        <f>MONTH(ACE9)</f>
        <v>2</v>
      </c>
      <c r="ACF11">
        <f>MONTH(ACF9)</f>
        <v>3</v>
      </c>
      <c r="ACG11">
        <f>MONTH(ACG9)</f>
        <v>11</v>
      </c>
      <c r="ACH11">
        <f>MONTH(ACH9)</f>
        <v>1</v>
      </c>
      <c r="ACI11">
        <f>MONTH(ACI9)</f>
        <v>4</v>
      </c>
      <c r="ACJ11">
        <f>MONTH(ACJ9)</f>
        <v>10</v>
      </c>
      <c r="ACK11">
        <f>MONTH(ACK9)</f>
        <v>3</v>
      </c>
      <c r="ACL11">
        <f>MONTH(ACL9)</f>
        <v>8</v>
      </c>
      <c r="ACM11">
        <f>MONTH(ACM9)</f>
        <v>5</v>
      </c>
      <c r="ACN11">
        <f>MONTH(ACN9)</f>
        <v>4</v>
      </c>
      <c r="ACO11">
        <f>MONTH(ACO9)</f>
        <v>4</v>
      </c>
      <c r="ACP11">
        <f>MONTH(ACP9)</f>
        <v>12</v>
      </c>
      <c r="ACQ11">
        <f>MONTH(ACQ9)</f>
        <v>7</v>
      </c>
      <c r="ACR11">
        <f>MONTH(ACR9)</f>
        <v>9</v>
      </c>
      <c r="ACS11">
        <f>MONTH(ACS9)</f>
        <v>6</v>
      </c>
      <c r="ACT11">
        <f>MONTH(ACT9)</f>
        <v>7</v>
      </c>
      <c r="ACU11">
        <f>MONTH(ACU9)</f>
        <v>3</v>
      </c>
      <c r="ACV11">
        <f>MONTH(ACV9)</f>
        <v>5</v>
      </c>
      <c r="ACW11">
        <f>MONTH(ACW9)</f>
        <v>10</v>
      </c>
      <c r="ACX11">
        <f>MONTH(ACX9)</f>
        <v>6</v>
      </c>
      <c r="ACY11">
        <f>MONTH(ACY9)</f>
        <v>3</v>
      </c>
      <c r="ACZ11">
        <f>MONTH(ACZ9)</f>
        <v>1</v>
      </c>
      <c r="ADA11">
        <f>MONTH(ADA9)</f>
        <v>2</v>
      </c>
      <c r="ADB11">
        <f>MONTH(ADB9)</f>
        <v>6</v>
      </c>
      <c r="ADC11">
        <f>MONTH(ADC9)</f>
        <v>7</v>
      </c>
      <c r="ADD11">
        <f>MONTH(ADD9)</f>
        <v>12</v>
      </c>
      <c r="ADE11">
        <f>MONTH(ADE9)</f>
        <v>6</v>
      </c>
      <c r="ADF11">
        <f>MONTH(ADF9)</f>
        <v>9</v>
      </c>
      <c r="ADG11">
        <f>MONTH(ADG9)</f>
        <v>1</v>
      </c>
      <c r="ADH11">
        <f>MONTH(ADH9)</f>
        <v>5</v>
      </c>
      <c r="ADI11">
        <f>MONTH(ADI9)</f>
        <v>9</v>
      </c>
      <c r="ADJ11">
        <f>MONTH(ADJ9)</f>
        <v>12</v>
      </c>
      <c r="ADK11">
        <f>MONTH(ADK9)</f>
        <v>5</v>
      </c>
      <c r="ADL11">
        <f>MONTH(ADL9)</f>
        <v>6</v>
      </c>
      <c r="ADM11">
        <f>MONTH(ADM9)</f>
        <v>12</v>
      </c>
      <c r="ADN11">
        <f>MONTH(ADN9)</f>
        <v>9</v>
      </c>
      <c r="ADO11">
        <f>MONTH(ADO9)</f>
        <v>10</v>
      </c>
      <c r="ADP11">
        <f>MONTH(ADP9)</f>
        <v>9</v>
      </c>
      <c r="ADQ11">
        <f>MONTH(ADQ9)</f>
        <v>9</v>
      </c>
      <c r="ADR11">
        <f>MONTH(ADR9)</f>
        <v>2</v>
      </c>
      <c r="ADS11">
        <f>MONTH(ADS9)</f>
        <v>9</v>
      </c>
      <c r="ADT11">
        <f>MONTH(ADT9)</f>
        <v>8</v>
      </c>
      <c r="ADU11">
        <f>MONTH(ADU9)</f>
        <v>6</v>
      </c>
      <c r="ADV11">
        <f>MONTH(ADV9)</f>
        <v>3</v>
      </c>
      <c r="ADW11">
        <f>MONTH(ADW9)</f>
        <v>6</v>
      </c>
      <c r="ADX11">
        <f>MONTH(ADX9)</f>
        <v>3</v>
      </c>
      <c r="ADY11">
        <f>MONTH(ADY9)</f>
        <v>11</v>
      </c>
      <c r="ADZ11">
        <f>MONTH(ADZ9)</f>
        <v>7</v>
      </c>
      <c r="AEA11">
        <f>MONTH(AEA9)</f>
        <v>7</v>
      </c>
      <c r="AEB11">
        <f>MONTH(AEB9)</f>
        <v>4</v>
      </c>
      <c r="AEC11">
        <f>MONTH(AEC9)</f>
        <v>4</v>
      </c>
      <c r="AED11">
        <f>MONTH(AED9)</f>
        <v>10</v>
      </c>
      <c r="AEE11">
        <f>MONTH(AEE9)</f>
        <v>9</v>
      </c>
      <c r="AEF11">
        <f>MONTH(AEF9)</f>
        <v>8</v>
      </c>
      <c r="AEG11">
        <f>MONTH(AEG9)</f>
        <v>12</v>
      </c>
      <c r="AEH11">
        <f>MONTH(AEH9)</f>
        <v>3</v>
      </c>
      <c r="AEI11">
        <f>MONTH(AEI9)</f>
        <v>3</v>
      </c>
      <c r="AEJ11">
        <f>MONTH(AEJ9)</f>
        <v>5</v>
      </c>
      <c r="AEK11">
        <f>MONTH(AEK9)</f>
        <v>1</v>
      </c>
      <c r="AEL11">
        <f>MONTH(AEL9)</f>
        <v>12</v>
      </c>
      <c r="AEM11">
        <f>MONTH(AEM9)</f>
        <v>12</v>
      </c>
      <c r="AEN11">
        <f>MONTH(AEN9)</f>
        <v>5</v>
      </c>
      <c r="AEO11">
        <f>MONTH(AEO9)</f>
        <v>5</v>
      </c>
      <c r="AEP11">
        <f>MONTH(AEP9)</f>
        <v>6</v>
      </c>
      <c r="AEQ11">
        <f>MONTH(AEQ9)</f>
        <v>8</v>
      </c>
      <c r="AER11">
        <f>MONTH(AER9)</f>
        <v>11</v>
      </c>
      <c r="AES11">
        <f>MONTH(AES9)</f>
        <v>9</v>
      </c>
      <c r="AET11">
        <f>MONTH(AET9)</f>
        <v>12</v>
      </c>
      <c r="AEU11">
        <f>MONTH(AEU9)</f>
        <v>1</v>
      </c>
      <c r="AEV11">
        <f>MONTH(AEV9)</f>
        <v>10</v>
      </c>
      <c r="AEW11">
        <f>MONTH(AEW9)</f>
        <v>9</v>
      </c>
      <c r="AEX11">
        <f>MONTH(AEX9)</f>
        <v>3</v>
      </c>
      <c r="AEY11">
        <f>MONTH(AEY9)</f>
        <v>2</v>
      </c>
      <c r="AEZ11">
        <f>MONTH(AEZ9)</f>
        <v>9</v>
      </c>
      <c r="AFA11">
        <f>MONTH(AFA9)</f>
        <v>12</v>
      </c>
      <c r="AFB11">
        <f>MONTH(AFB9)</f>
        <v>6</v>
      </c>
      <c r="AFC11">
        <f>MONTH(AFC9)</f>
        <v>1</v>
      </c>
      <c r="AFD11">
        <f>MONTH(AFD9)</f>
        <v>1</v>
      </c>
      <c r="AFE11">
        <f>MONTH(AFE9)</f>
        <v>3</v>
      </c>
      <c r="AFF11">
        <f>MONTH(AFF9)</f>
        <v>8</v>
      </c>
      <c r="AFG11">
        <f>MONTH(AFG9)</f>
        <v>1</v>
      </c>
      <c r="AFH11">
        <f>MONTH(AFH9)</f>
        <v>8</v>
      </c>
      <c r="AFI11">
        <f>MONTH(AFI9)</f>
        <v>1</v>
      </c>
      <c r="AFJ11">
        <f>MONTH(AFJ9)</f>
        <v>6</v>
      </c>
      <c r="AFK11">
        <f>MONTH(AFK9)</f>
        <v>8</v>
      </c>
      <c r="AFL11">
        <f>MONTH(AFL9)</f>
        <v>4</v>
      </c>
      <c r="AFM11">
        <f>MONTH(AFM9)</f>
        <v>5</v>
      </c>
      <c r="AFN11">
        <f>MONTH(AFN9)</f>
        <v>10</v>
      </c>
      <c r="AFO11">
        <f>MONTH(AFO9)</f>
        <v>8</v>
      </c>
      <c r="AFP11">
        <f>MONTH(AFP9)</f>
        <v>8</v>
      </c>
      <c r="AFQ11">
        <f>MONTH(AFQ9)</f>
        <v>3</v>
      </c>
      <c r="AFR11">
        <f>MONTH(AFR9)</f>
        <v>8</v>
      </c>
      <c r="AFS11">
        <f>MONTH(AFS9)</f>
        <v>3</v>
      </c>
      <c r="AFT11">
        <f>MONTH(AFT9)</f>
        <v>6</v>
      </c>
      <c r="AFU11">
        <f>MONTH(AFU9)</f>
        <v>5</v>
      </c>
      <c r="AFV11">
        <f>MONTH(AFV9)</f>
        <v>8</v>
      </c>
      <c r="AFW11">
        <f>MONTH(AFW9)</f>
        <v>2</v>
      </c>
      <c r="AFX11">
        <f>MONTH(AFX9)</f>
        <v>2</v>
      </c>
      <c r="AFY11">
        <f>MONTH(AFY9)</f>
        <v>6</v>
      </c>
      <c r="AFZ11">
        <f>MONTH(AFZ9)</f>
        <v>7</v>
      </c>
      <c r="AGA11">
        <f>MONTH(AGA9)</f>
        <v>7</v>
      </c>
      <c r="AGB11">
        <f>MONTH(AGB9)</f>
        <v>5</v>
      </c>
      <c r="AGC11">
        <f>MONTH(AGC9)</f>
        <v>8</v>
      </c>
      <c r="AGD11">
        <f>MONTH(AGD9)</f>
        <v>10</v>
      </c>
      <c r="AGE11">
        <f>MONTH(AGE9)</f>
        <v>8</v>
      </c>
      <c r="AGF11">
        <f>MONTH(AGF9)</f>
        <v>5</v>
      </c>
      <c r="AGG11">
        <f>MONTH(AGG9)</f>
        <v>10</v>
      </c>
      <c r="AGH11">
        <f>MONTH(AGH9)</f>
        <v>7</v>
      </c>
      <c r="AGI11">
        <f>MONTH(AGI9)</f>
        <v>4</v>
      </c>
      <c r="AGJ11">
        <f>MONTH(AGJ9)</f>
        <v>10</v>
      </c>
      <c r="AGK11">
        <f>MONTH(AGK9)</f>
        <v>10</v>
      </c>
      <c r="AGL11">
        <f>MONTH(AGL9)</f>
        <v>4</v>
      </c>
      <c r="AGM11">
        <f>MONTH(AGM9)</f>
        <v>9</v>
      </c>
      <c r="AGN11">
        <f>MONTH(AGN9)</f>
        <v>11</v>
      </c>
      <c r="AGO11">
        <f>MONTH(AGO9)</f>
        <v>3</v>
      </c>
      <c r="AGP11">
        <f>MONTH(AGP9)</f>
        <v>4</v>
      </c>
      <c r="AGQ11">
        <f>MONTH(AGQ9)</f>
        <v>5</v>
      </c>
      <c r="AGR11">
        <f>MONTH(AGR9)</f>
        <v>5</v>
      </c>
      <c r="AGS11">
        <f>MONTH(AGS9)</f>
        <v>9</v>
      </c>
      <c r="AGT11">
        <f>MONTH(AGT9)</f>
        <v>1</v>
      </c>
      <c r="AGU11">
        <f>MONTH(AGU9)</f>
        <v>1</v>
      </c>
      <c r="AGV11">
        <f>MONTH(AGV9)</f>
        <v>1</v>
      </c>
      <c r="AGW11">
        <f>MONTH(AGW9)</f>
        <v>1</v>
      </c>
      <c r="AGX11">
        <f>MONTH(AGX9)</f>
        <v>1</v>
      </c>
      <c r="AGY11">
        <f>MONTH(AGY9)</f>
        <v>1</v>
      </c>
      <c r="AGZ11">
        <f>MONTH(AGZ9)</f>
        <v>1</v>
      </c>
      <c r="AHA11">
        <f>MONTH(AHA9)</f>
        <v>1</v>
      </c>
    </row>
    <row r="12" spans="1:885" x14ac:dyDescent="0.25">
      <c r="A12" s="1" t="s">
        <v>96</v>
      </c>
      <c r="B12">
        <f>DAY(B9)</f>
        <v>14</v>
      </c>
      <c r="C12">
        <f>DAY(C9)</f>
        <v>12</v>
      </c>
      <c r="D12">
        <f>DAY(D9)</f>
        <v>13</v>
      </c>
      <c r="E12">
        <f>DAY(E9)</f>
        <v>27</v>
      </c>
      <c r="F12">
        <f>DAY(F9)</f>
        <v>12</v>
      </c>
      <c r="G12">
        <f>DAY(G9)</f>
        <v>10</v>
      </c>
      <c r="H12">
        <f>DAY(H9)</f>
        <v>2</v>
      </c>
      <c r="I12">
        <f>DAY(I9)</f>
        <v>10</v>
      </c>
      <c r="J12">
        <f>DAY(J9)</f>
        <v>8</v>
      </c>
      <c r="K12">
        <f>DAY(K9)</f>
        <v>7</v>
      </c>
      <c r="L12">
        <f>DAY(L9)</f>
        <v>23</v>
      </c>
      <c r="M12">
        <f>DAY(M9)</f>
        <v>7</v>
      </c>
      <c r="N12">
        <f>DAY(N9)</f>
        <v>25</v>
      </c>
      <c r="O12">
        <f>DAY(O9)</f>
        <v>20</v>
      </c>
      <c r="P12">
        <f>DAY(P9)</f>
        <v>3</v>
      </c>
      <c r="Q12">
        <f>DAY(Q9)</f>
        <v>21</v>
      </c>
      <c r="R12">
        <f>DAY(R9)</f>
        <v>1</v>
      </c>
      <c r="S12">
        <f>DAY(S9)</f>
        <v>3</v>
      </c>
      <c r="T12">
        <f>DAY(T9)</f>
        <v>6</v>
      </c>
      <c r="U12">
        <f>DAY(U9)</f>
        <v>29</v>
      </c>
      <c r="V12">
        <f>DAY(V9)</f>
        <v>13</v>
      </c>
      <c r="W12">
        <f>DAY(W9)</f>
        <v>13</v>
      </c>
      <c r="X12">
        <f>DAY(X9)</f>
        <v>29</v>
      </c>
      <c r="Y12">
        <f>DAY(Y9)</f>
        <v>2</v>
      </c>
      <c r="Z12">
        <f>DAY(Z9)</f>
        <v>28</v>
      </c>
      <c r="AA12">
        <f>DAY(AA9)</f>
        <v>21</v>
      </c>
      <c r="AB12">
        <f>DAY(AB9)</f>
        <v>8</v>
      </c>
      <c r="AC12">
        <f>DAY(AC9)</f>
        <v>12</v>
      </c>
      <c r="AD12">
        <f>DAY(AD9)</f>
        <v>17</v>
      </c>
      <c r="AE12">
        <f>DAY(AE9)</f>
        <v>30</v>
      </c>
      <c r="AF12">
        <f>DAY(AF9)</f>
        <v>23</v>
      </c>
      <c r="AG12">
        <f>DAY(AG9)</f>
        <v>9</v>
      </c>
      <c r="AH12">
        <f>DAY(AH9)</f>
        <v>21</v>
      </c>
      <c r="AI12">
        <f>DAY(AI9)</f>
        <v>30</v>
      </c>
      <c r="AJ12">
        <f>DAY(AJ9)</f>
        <v>28</v>
      </c>
      <c r="AK12">
        <f>DAY(AK9)</f>
        <v>30</v>
      </c>
      <c r="AL12">
        <f>DAY(AL9)</f>
        <v>31</v>
      </c>
      <c r="AM12">
        <f>DAY(AM9)</f>
        <v>10</v>
      </c>
      <c r="AN12">
        <f>DAY(AN9)</f>
        <v>10</v>
      </c>
      <c r="AO12">
        <f>DAY(AO9)</f>
        <v>19</v>
      </c>
      <c r="AP12">
        <f>DAY(AP9)</f>
        <v>2</v>
      </c>
      <c r="AQ12">
        <f>DAY(AQ9)</f>
        <v>18</v>
      </c>
      <c r="AR12">
        <f>DAY(AR9)</f>
        <v>25</v>
      </c>
      <c r="AS12">
        <f>DAY(AS9)</f>
        <v>11</v>
      </c>
      <c r="AT12">
        <f>DAY(AT9)</f>
        <v>15</v>
      </c>
      <c r="AU12">
        <f>DAY(AU9)</f>
        <v>6</v>
      </c>
      <c r="AV12">
        <f>DAY(AV9)</f>
        <v>3</v>
      </c>
      <c r="AW12">
        <f>DAY(AW9)</f>
        <v>19</v>
      </c>
      <c r="AX12">
        <f>DAY(AX9)</f>
        <v>25</v>
      </c>
      <c r="AY12">
        <f>DAY(AY9)</f>
        <v>18</v>
      </c>
      <c r="AZ12">
        <f>DAY(AZ9)</f>
        <v>14</v>
      </c>
      <c r="BA12">
        <f>DAY(BA9)</f>
        <v>23</v>
      </c>
      <c r="BB12">
        <f>DAY(BB9)</f>
        <v>30</v>
      </c>
      <c r="BC12">
        <f>DAY(BC9)</f>
        <v>13</v>
      </c>
      <c r="BD12">
        <f>DAY(BD9)</f>
        <v>23</v>
      </c>
      <c r="BE12">
        <f>DAY(BE9)</f>
        <v>7</v>
      </c>
      <c r="BF12">
        <f>DAY(BF9)</f>
        <v>8</v>
      </c>
      <c r="BG12">
        <f>DAY(BG9)</f>
        <v>22</v>
      </c>
      <c r="BH12">
        <f>DAY(BH9)</f>
        <v>25</v>
      </c>
      <c r="BI12">
        <f>DAY(BI9)</f>
        <v>13</v>
      </c>
      <c r="BJ12">
        <f>DAY(BJ9)</f>
        <v>4</v>
      </c>
      <c r="BK12">
        <f>DAY(BK9)</f>
        <v>22</v>
      </c>
      <c r="BL12">
        <f>DAY(BL9)</f>
        <v>27</v>
      </c>
      <c r="BM12">
        <f>DAY(BM9)</f>
        <v>14</v>
      </c>
      <c r="BN12">
        <f>DAY(BN9)</f>
        <v>26</v>
      </c>
      <c r="BO12">
        <f>DAY(BO9)</f>
        <v>22</v>
      </c>
      <c r="BP12">
        <f>DAY(BP9)</f>
        <v>27</v>
      </c>
      <c r="BQ12">
        <f>DAY(BQ9)</f>
        <v>21</v>
      </c>
      <c r="BR12">
        <f>DAY(BR9)</f>
        <v>21</v>
      </c>
      <c r="BS12">
        <f>DAY(BS9)</f>
        <v>26</v>
      </c>
      <c r="BT12">
        <f>DAY(BT9)</f>
        <v>5</v>
      </c>
      <c r="BU12">
        <f>DAY(BU9)</f>
        <v>28</v>
      </c>
      <c r="BV12">
        <f>DAY(BV9)</f>
        <v>14</v>
      </c>
      <c r="BW12">
        <f>DAY(BW9)</f>
        <v>18</v>
      </c>
      <c r="BX12">
        <f>DAY(BX9)</f>
        <v>7</v>
      </c>
      <c r="BY12">
        <f>DAY(BY9)</f>
        <v>13</v>
      </c>
      <c r="BZ12">
        <f>DAY(BZ9)</f>
        <v>11</v>
      </c>
      <c r="CA12">
        <f>DAY(CA9)</f>
        <v>9</v>
      </c>
      <c r="CB12">
        <f>DAY(CB9)</f>
        <v>15</v>
      </c>
      <c r="CC12">
        <f>DAY(CC9)</f>
        <v>14</v>
      </c>
      <c r="CD12">
        <f>DAY(CD9)</f>
        <v>7</v>
      </c>
      <c r="CE12">
        <f>DAY(CE9)</f>
        <v>10</v>
      </c>
      <c r="CF12">
        <f>DAY(CF9)</f>
        <v>23</v>
      </c>
      <c r="CG12">
        <f>DAY(CG9)</f>
        <v>8</v>
      </c>
      <c r="CH12">
        <f>DAY(CH9)</f>
        <v>24</v>
      </c>
      <c r="CI12">
        <f>DAY(CI9)</f>
        <v>9</v>
      </c>
      <c r="CJ12">
        <f>DAY(CJ9)</f>
        <v>13</v>
      </c>
      <c r="CK12">
        <f>DAY(CK9)</f>
        <v>1</v>
      </c>
      <c r="CL12">
        <f>DAY(CL9)</f>
        <v>3</v>
      </c>
      <c r="CM12">
        <f>DAY(CM9)</f>
        <v>18</v>
      </c>
      <c r="CN12">
        <f>DAY(CN9)</f>
        <v>11</v>
      </c>
      <c r="CO12">
        <f>DAY(CO9)</f>
        <v>13</v>
      </c>
      <c r="CP12">
        <f>DAY(CP9)</f>
        <v>23</v>
      </c>
      <c r="CQ12">
        <f>DAY(CQ9)</f>
        <v>8</v>
      </c>
      <c r="CR12">
        <f>DAY(CR9)</f>
        <v>26</v>
      </c>
      <c r="CS12">
        <f>DAY(CS9)</f>
        <v>24</v>
      </c>
      <c r="CT12">
        <f>DAY(CT9)</f>
        <v>4</v>
      </c>
      <c r="CU12">
        <f>DAY(CU9)</f>
        <v>12</v>
      </c>
      <c r="CV12">
        <f>DAY(CV9)</f>
        <v>10</v>
      </c>
      <c r="CW12">
        <f>DAY(CW9)</f>
        <v>6</v>
      </c>
      <c r="CX12">
        <f>DAY(CX9)</f>
        <v>19</v>
      </c>
      <c r="CY12">
        <f>DAY(CY9)</f>
        <v>7</v>
      </c>
      <c r="CZ12">
        <f>DAY(CZ9)</f>
        <v>27</v>
      </c>
      <c r="DA12">
        <f>DAY(DA9)</f>
        <v>2</v>
      </c>
      <c r="DB12">
        <f>DAY(DB9)</f>
        <v>13</v>
      </c>
      <c r="DC12">
        <f>DAY(DC9)</f>
        <v>17</v>
      </c>
      <c r="DD12">
        <f>DAY(DD9)</f>
        <v>26</v>
      </c>
      <c r="DE12">
        <f>DAY(DE9)</f>
        <v>6</v>
      </c>
      <c r="DF12">
        <f>DAY(DF9)</f>
        <v>22</v>
      </c>
      <c r="DG12">
        <f>DAY(DG9)</f>
        <v>12</v>
      </c>
      <c r="DH12">
        <f>DAY(DH9)</f>
        <v>4</v>
      </c>
      <c r="DI12">
        <f>DAY(DI9)</f>
        <v>22</v>
      </c>
      <c r="DJ12">
        <f>DAY(DJ9)</f>
        <v>13</v>
      </c>
      <c r="DK12">
        <f>DAY(DK9)</f>
        <v>4</v>
      </c>
      <c r="DL12">
        <f>DAY(DL9)</f>
        <v>26</v>
      </c>
      <c r="DM12">
        <f>DAY(DM9)</f>
        <v>29</v>
      </c>
      <c r="DN12">
        <f>DAY(DN9)</f>
        <v>8</v>
      </c>
      <c r="DO12">
        <f>DAY(DO9)</f>
        <v>5</v>
      </c>
      <c r="DP12">
        <f>DAY(DP9)</f>
        <v>14</v>
      </c>
      <c r="DQ12">
        <f>DAY(DQ9)</f>
        <v>26</v>
      </c>
      <c r="DR12">
        <f>DAY(DR9)</f>
        <v>4</v>
      </c>
      <c r="DS12">
        <f>DAY(DS9)</f>
        <v>17</v>
      </c>
      <c r="DT12">
        <f>DAY(DT9)</f>
        <v>11</v>
      </c>
      <c r="DU12">
        <f>DAY(DU9)</f>
        <v>26</v>
      </c>
      <c r="DV12">
        <f>DAY(DV9)</f>
        <v>22</v>
      </c>
      <c r="DW12">
        <f>DAY(DW9)</f>
        <v>22</v>
      </c>
      <c r="DX12">
        <f>DAY(DX9)</f>
        <v>2</v>
      </c>
      <c r="DY12">
        <f>DAY(DY9)</f>
        <v>19</v>
      </c>
      <c r="DZ12">
        <f>DAY(DZ9)</f>
        <v>13</v>
      </c>
      <c r="EA12">
        <f>DAY(EA9)</f>
        <v>24</v>
      </c>
      <c r="EB12">
        <f>DAY(EB9)</f>
        <v>15</v>
      </c>
      <c r="EC12">
        <f>DAY(EC9)</f>
        <v>30</v>
      </c>
      <c r="ED12">
        <f>DAY(ED9)</f>
        <v>30</v>
      </c>
      <c r="EE12">
        <f>DAY(EE9)</f>
        <v>22</v>
      </c>
      <c r="EF12">
        <f>DAY(EF9)</f>
        <v>5</v>
      </c>
      <c r="EG12">
        <f>DAY(EG9)</f>
        <v>26</v>
      </c>
      <c r="EH12">
        <f>DAY(EH9)</f>
        <v>30</v>
      </c>
      <c r="EI12">
        <f>DAY(EI9)</f>
        <v>10</v>
      </c>
      <c r="EJ12">
        <f>DAY(EJ9)</f>
        <v>24</v>
      </c>
      <c r="EK12">
        <f>DAY(EK9)</f>
        <v>1</v>
      </c>
      <c r="EL12">
        <f>DAY(EL9)</f>
        <v>4</v>
      </c>
      <c r="EM12">
        <f>DAY(EM9)</f>
        <v>9</v>
      </c>
      <c r="EN12">
        <f>DAY(EN9)</f>
        <v>7</v>
      </c>
      <c r="EO12">
        <f>DAY(EO9)</f>
        <v>22</v>
      </c>
      <c r="EP12">
        <f>DAY(EP9)</f>
        <v>29</v>
      </c>
      <c r="EQ12">
        <f>DAY(EQ9)</f>
        <v>2</v>
      </c>
      <c r="ER12">
        <f>DAY(ER9)</f>
        <v>15</v>
      </c>
      <c r="ES12">
        <f>DAY(ES9)</f>
        <v>1</v>
      </c>
      <c r="ET12">
        <f>DAY(ET9)</f>
        <v>27</v>
      </c>
      <c r="EU12">
        <f>DAY(EU9)</f>
        <v>11</v>
      </c>
      <c r="EV12">
        <f>DAY(EV9)</f>
        <v>31</v>
      </c>
      <c r="EW12">
        <f>DAY(EW9)</f>
        <v>5</v>
      </c>
      <c r="EX12">
        <f>DAY(EX9)</f>
        <v>4</v>
      </c>
      <c r="EY12">
        <f>DAY(EY9)</f>
        <v>2</v>
      </c>
      <c r="EZ12">
        <f>DAY(EZ9)</f>
        <v>18</v>
      </c>
      <c r="FA12">
        <f>DAY(FA9)</f>
        <v>21</v>
      </c>
      <c r="FB12">
        <f>DAY(FB9)</f>
        <v>9</v>
      </c>
      <c r="FC12">
        <f>DAY(FC9)</f>
        <v>23</v>
      </c>
      <c r="FD12">
        <f>DAY(FD9)</f>
        <v>15</v>
      </c>
      <c r="FE12">
        <f>DAY(FE9)</f>
        <v>28</v>
      </c>
      <c r="FF12">
        <f>DAY(FF9)</f>
        <v>10</v>
      </c>
      <c r="FG12">
        <f>DAY(FG9)</f>
        <v>22</v>
      </c>
      <c r="FH12">
        <f>DAY(FH9)</f>
        <v>9</v>
      </c>
      <c r="FI12">
        <f>DAY(FI9)</f>
        <v>31</v>
      </c>
      <c r="FJ12">
        <f>DAY(FJ9)</f>
        <v>27</v>
      </c>
      <c r="FK12">
        <f>DAY(FK9)</f>
        <v>14</v>
      </c>
      <c r="FL12">
        <f>DAY(FL9)</f>
        <v>26</v>
      </c>
      <c r="FM12">
        <f>DAY(FM9)</f>
        <v>14</v>
      </c>
      <c r="FN12">
        <f>DAY(FN9)</f>
        <v>6</v>
      </c>
      <c r="FO12">
        <f>DAY(FO9)</f>
        <v>18</v>
      </c>
      <c r="FP12">
        <f>DAY(FP9)</f>
        <v>24</v>
      </c>
      <c r="FQ12">
        <f>DAY(FQ9)</f>
        <v>12</v>
      </c>
      <c r="FR12">
        <f>DAY(FR9)</f>
        <v>25</v>
      </c>
      <c r="FS12">
        <f>DAY(FS9)</f>
        <v>16</v>
      </c>
      <c r="FT12">
        <f>DAY(FT9)</f>
        <v>14</v>
      </c>
      <c r="FU12">
        <f>DAY(FU9)</f>
        <v>5</v>
      </c>
      <c r="FV12">
        <f>DAY(FV9)</f>
        <v>15</v>
      </c>
      <c r="FW12">
        <f>DAY(FW9)</f>
        <v>9</v>
      </c>
      <c r="FX12">
        <f>DAY(FX9)</f>
        <v>23</v>
      </c>
      <c r="FY12">
        <f>DAY(FY9)</f>
        <v>17</v>
      </c>
      <c r="FZ12">
        <f>DAY(FZ9)</f>
        <v>7</v>
      </c>
      <c r="GA12">
        <f>DAY(GA9)</f>
        <v>1</v>
      </c>
      <c r="GB12">
        <f>DAY(GB9)</f>
        <v>25</v>
      </c>
      <c r="GC12">
        <f>DAY(GC9)</f>
        <v>2</v>
      </c>
      <c r="GD12">
        <f>DAY(GD9)</f>
        <v>2</v>
      </c>
      <c r="GE12">
        <f>DAY(GE9)</f>
        <v>23</v>
      </c>
      <c r="GF12">
        <f>DAY(GF9)</f>
        <v>9</v>
      </c>
      <c r="GG12">
        <f>DAY(GG9)</f>
        <v>13</v>
      </c>
      <c r="GH12">
        <f>DAY(GH9)</f>
        <v>28</v>
      </c>
      <c r="GI12">
        <f>DAY(GI9)</f>
        <v>11</v>
      </c>
      <c r="GJ12">
        <f>DAY(GJ9)</f>
        <v>21</v>
      </c>
      <c r="GK12">
        <f>DAY(GK9)</f>
        <v>17</v>
      </c>
      <c r="GL12">
        <f>DAY(GL9)</f>
        <v>4</v>
      </c>
      <c r="GM12">
        <f>DAY(GM9)</f>
        <v>31</v>
      </c>
      <c r="GN12">
        <f>DAY(GN9)</f>
        <v>22</v>
      </c>
      <c r="GO12">
        <f>DAY(GO9)</f>
        <v>10</v>
      </c>
      <c r="GP12">
        <f>DAY(GP9)</f>
        <v>5</v>
      </c>
      <c r="GQ12">
        <f>DAY(GQ9)</f>
        <v>13</v>
      </c>
      <c r="GR12">
        <f>DAY(GR9)</f>
        <v>30</v>
      </c>
      <c r="GS12">
        <f>DAY(GS9)</f>
        <v>9</v>
      </c>
      <c r="GT12">
        <f>DAY(GT9)</f>
        <v>17</v>
      </c>
      <c r="GU12">
        <f>DAY(GU9)</f>
        <v>22</v>
      </c>
      <c r="GV12">
        <f>DAY(GV9)</f>
        <v>6</v>
      </c>
      <c r="GW12">
        <f>DAY(GW9)</f>
        <v>7</v>
      </c>
      <c r="GX12">
        <f>DAY(GX9)</f>
        <v>13</v>
      </c>
      <c r="GY12">
        <f>DAY(GY9)</f>
        <v>16</v>
      </c>
      <c r="GZ12">
        <f>DAY(GZ9)</f>
        <v>6</v>
      </c>
      <c r="HA12">
        <f>DAY(HA9)</f>
        <v>23</v>
      </c>
      <c r="HB12">
        <f>DAY(HB9)</f>
        <v>11</v>
      </c>
      <c r="HC12">
        <f>DAY(HC9)</f>
        <v>29</v>
      </c>
      <c r="HD12">
        <f>DAY(HD9)</f>
        <v>3</v>
      </c>
      <c r="HE12">
        <f>DAY(HE9)</f>
        <v>23</v>
      </c>
      <c r="HF12">
        <f>DAY(HF9)</f>
        <v>31</v>
      </c>
      <c r="HG12">
        <f>DAY(HG9)</f>
        <v>6</v>
      </c>
      <c r="HH12">
        <f>DAY(HH9)</f>
        <v>23</v>
      </c>
      <c r="HI12">
        <f>DAY(HI9)</f>
        <v>17</v>
      </c>
      <c r="HJ12">
        <f>DAY(HJ9)</f>
        <v>30</v>
      </c>
      <c r="HK12">
        <f>DAY(HK9)</f>
        <v>5</v>
      </c>
      <c r="HL12">
        <f>DAY(HL9)</f>
        <v>7</v>
      </c>
      <c r="HM12">
        <f>DAY(HM9)</f>
        <v>3</v>
      </c>
      <c r="HN12">
        <f>DAY(HN9)</f>
        <v>9</v>
      </c>
      <c r="HO12">
        <f>DAY(HO9)</f>
        <v>17</v>
      </c>
      <c r="HP12">
        <f>DAY(HP9)</f>
        <v>23</v>
      </c>
      <c r="HQ12">
        <f>DAY(HQ9)</f>
        <v>3</v>
      </c>
      <c r="HR12">
        <f>DAY(HR9)</f>
        <v>10</v>
      </c>
      <c r="HS12">
        <f>DAY(HS9)</f>
        <v>19</v>
      </c>
      <c r="HT12">
        <f>DAY(HT9)</f>
        <v>5</v>
      </c>
      <c r="HU12">
        <f>DAY(HU9)</f>
        <v>4</v>
      </c>
      <c r="HV12">
        <f>DAY(HV9)</f>
        <v>24</v>
      </c>
      <c r="HW12">
        <f>DAY(HW9)</f>
        <v>15</v>
      </c>
      <c r="HX12">
        <f>DAY(HX9)</f>
        <v>12</v>
      </c>
      <c r="HY12">
        <f>DAY(HY9)</f>
        <v>21</v>
      </c>
      <c r="HZ12">
        <f>DAY(HZ9)</f>
        <v>7</v>
      </c>
      <c r="IA12">
        <f>DAY(IA9)</f>
        <v>19</v>
      </c>
      <c r="IB12">
        <f>DAY(IB9)</f>
        <v>18</v>
      </c>
      <c r="IC12">
        <f>DAY(IC9)</f>
        <v>1</v>
      </c>
      <c r="ID12">
        <f>DAY(ID9)</f>
        <v>16</v>
      </c>
      <c r="IE12">
        <f>DAY(IE9)</f>
        <v>26</v>
      </c>
      <c r="IF12">
        <f>DAY(IF9)</f>
        <v>20</v>
      </c>
      <c r="IG12">
        <f>DAY(IG9)</f>
        <v>20</v>
      </c>
      <c r="IH12">
        <f>DAY(IH9)</f>
        <v>19</v>
      </c>
      <c r="II12">
        <f>DAY(II9)</f>
        <v>4</v>
      </c>
      <c r="IJ12">
        <f>DAY(IJ9)</f>
        <v>6</v>
      </c>
      <c r="IK12">
        <f>DAY(IK9)</f>
        <v>10</v>
      </c>
      <c r="IL12">
        <f>DAY(IL9)</f>
        <v>16</v>
      </c>
      <c r="IM12">
        <f>DAY(IM9)</f>
        <v>8</v>
      </c>
      <c r="IN12">
        <f>DAY(IN9)</f>
        <v>14</v>
      </c>
      <c r="IO12">
        <f>DAY(IO9)</f>
        <v>12</v>
      </c>
      <c r="IP12">
        <f>DAY(IP9)</f>
        <v>31</v>
      </c>
      <c r="IQ12">
        <f>DAY(IQ9)</f>
        <v>16</v>
      </c>
      <c r="IR12">
        <f>DAY(IR9)</f>
        <v>3</v>
      </c>
      <c r="IS12">
        <f>DAY(IS9)</f>
        <v>5</v>
      </c>
      <c r="IT12">
        <f>DAY(IT9)</f>
        <v>24</v>
      </c>
      <c r="IU12">
        <f>DAY(IU9)</f>
        <v>7</v>
      </c>
      <c r="IV12">
        <f>DAY(IV9)</f>
        <v>24</v>
      </c>
      <c r="IW12">
        <f>DAY(IW9)</f>
        <v>22</v>
      </c>
      <c r="IX12">
        <f>DAY(IX9)</f>
        <v>28</v>
      </c>
      <c r="IY12">
        <f>DAY(IY9)</f>
        <v>14</v>
      </c>
      <c r="IZ12">
        <f>DAY(IZ9)</f>
        <v>19</v>
      </c>
      <c r="JA12">
        <f>DAY(JA9)</f>
        <v>10</v>
      </c>
      <c r="JB12">
        <f>DAY(JB9)</f>
        <v>20</v>
      </c>
      <c r="JC12">
        <f>DAY(JC9)</f>
        <v>25</v>
      </c>
      <c r="JD12">
        <f>DAY(JD9)</f>
        <v>3</v>
      </c>
      <c r="JE12">
        <f>DAY(JE9)</f>
        <v>2</v>
      </c>
      <c r="JF12">
        <f>DAY(JF9)</f>
        <v>12</v>
      </c>
      <c r="JG12">
        <f>DAY(JG9)</f>
        <v>29</v>
      </c>
      <c r="JH12">
        <f>DAY(JH9)</f>
        <v>18</v>
      </c>
      <c r="JI12">
        <f>DAY(JI9)</f>
        <v>28</v>
      </c>
      <c r="JJ12">
        <f>DAY(JJ9)</f>
        <v>29</v>
      </c>
      <c r="JK12">
        <f>DAY(JK9)</f>
        <v>31</v>
      </c>
      <c r="JL12">
        <f>DAY(JL9)</f>
        <v>25</v>
      </c>
      <c r="JM12">
        <f>DAY(JM9)</f>
        <v>8</v>
      </c>
      <c r="JN12">
        <f>DAY(JN9)</f>
        <v>18</v>
      </c>
      <c r="JO12">
        <f>DAY(JO9)</f>
        <v>7</v>
      </c>
      <c r="JP12">
        <f>DAY(JP9)</f>
        <v>8</v>
      </c>
      <c r="JQ12">
        <f>DAY(JQ9)</f>
        <v>6</v>
      </c>
      <c r="JR12">
        <f>DAY(JR9)</f>
        <v>4</v>
      </c>
      <c r="JS12">
        <f>DAY(JS9)</f>
        <v>22</v>
      </c>
      <c r="JT12">
        <f>DAY(JT9)</f>
        <v>29</v>
      </c>
      <c r="JU12">
        <f>DAY(JU9)</f>
        <v>1</v>
      </c>
      <c r="JV12">
        <f>DAY(JV9)</f>
        <v>28</v>
      </c>
      <c r="JW12">
        <f>DAY(JW9)</f>
        <v>6</v>
      </c>
      <c r="JX12">
        <f>DAY(JX9)</f>
        <v>23</v>
      </c>
      <c r="JY12">
        <f>DAY(JY9)</f>
        <v>6</v>
      </c>
      <c r="JZ12">
        <f>DAY(JZ9)</f>
        <v>12</v>
      </c>
      <c r="KA12">
        <f>DAY(KA9)</f>
        <v>22</v>
      </c>
      <c r="KB12">
        <f>DAY(KB9)</f>
        <v>11</v>
      </c>
      <c r="KC12">
        <f>DAY(KC9)</f>
        <v>13</v>
      </c>
      <c r="KD12">
        <f>DAY(KD9)</f>
        <v>14</v>
      </c>
      <c r="KE12">
        <f>DAY(KE9)</f>
        <v>1</v>
      </c>
      <c r="KF12">
        <f>DAY(KF9)</f>
        <v>27</v>
      </c>
      <c r="KG12">
        <f>DAY(KG9)</f>
        <v>16</v>
      </c>
      <c r="KH12">
        <f>DAY(KH9)</f>
        <v>17</v>
      </c>
      <c r="KI12">
        <f>DAY(KI9)</f>
        <v>20</v>
      </c>
      <c r="KJ12">
        <f>DAY(KJ9)</f>
        <v>6</v>
      </c>
      <c r="KK12">
        <f>DAY(KK9)</f>
        <v>4</v>
      </c>
      <c r="KL12">
        <f>DAY(KL9)</f>
        <v>31</v>
      </c>
      <c r="KM12">
        <f>DAY(KM9)</f>
        <v>18</v>
      </c>
      <c r="KN12">
        <f>DAY(KN9)</f>
        <v>2</v>
      </c>
      <c r="KO12">
        <f>DAY(KO9)</f>
        <v>19</v>
      </c>
      <c r="KP12">
        <f>DAY(KP9)</f>
        <v>4</v>
      </c>
      <c r="KQ12">
        <f>DAY(KQ9)</f>
        <v>28</v>
      </c>
      <c r="KR12">
        <f>DAY(KR9)</f>
        <v>16</v>
      </c>
      <c r="KS12">
        <f>DAY(KS9)</f>
        <v>14</v>
      </c>
      <c r="KT12">
        <f>DAY(KT9)</f>
        <v>5</v>
      </c>
      <c r="KU12">
        <f>DAY(KU9)</f>
        <v>9</v>
      </c>
      <c r="KV12">
        <f>DAY(KV9)</f>
        <v>22</v>
      </c>
      <c r="KW12">
        <f>DAY(KW9)</f>
        <v>1</v>
      </c>
      <c r="KX12">
        <f>DAY(KX9)</f>
        <v>3</v>
      </c>
      <c r="KY12">
        <f>DAY(KY9)</f>
        <v>13</v>
      </c>
      <c r="KZ12">
        <f>DAY(KZ9)</f>
        <v>11</v>
      </c>
      <c r="LA12">
        <f>DAY(LA9)</f>
        <v>7</v>
      </c>
      <c r="LB12">
        <f>DAY(LB9)</f>
        <v>13</v>
      </c>
      <c r="LC12">
        <f>DAY(LC9)</f>
        <v>8</v>
      </c>
      <c r="LD12">
        <f>DAY(LD9)</f>
        <v>21</v>
      </c>
      <c r="LE12">
        <f>DAY(LE9)</f>
        <v>21</v>
      </c>
      <c r="LF12">
        <f>DAY(LF9)</f>
        <v>11</v>
      </c>
      <c r="LG12">
        <f>DAY(LG9)</f>
        <v>20</v>
      </c>
      <c r="LH12">
        <f>DAY(LH9)</f>
        <v>26</v>
      </c>
      <c r="LI12">
        <f>DAY(LI9)</f>
        <v>20</v>
      </c>
      <c r="LJ12">
        <f>DAY(LJ9)</f>
        <v>14</v>
      </c>
      <c r="LK12">
        <f>DAY(LK9)</f>
        <v>12</v>
      </c>
      <c r="LL12">
        <f>DAY(LL9)</f>
        <v>28</v>
      </c>
      <c r="LM12">
        <f>DAY(LM9)</f>
        <v>6</v>
      </c>
      <c r="LN12">
        <f>DAY(LN9)</f>
        <v>26</v>
      </c>
      <c r="LO12">
        <f>DAY(LO9)</f>
        <v>1</v>
      </c>
      <c r="LP12">
        <f>DAY(LP9)</f>
        <v>29</v>
      </c>
      <c r="LQ12">
        <f>DAY(LQ9)</f>
        <v>24</v>
      </c>
      <c r="LR12">
        <f>DAY(LR9)</f>
        <v>13</v>
      </c>
      <c r="LS12">
        <f>DAY(LS9)</f>
        <v>30</v>
      </c>
      <c r="LT12">
        <f>DAY(LT9)</f>
        <v>25</v>
      </c>
      <c r="LU12">
        <f>DAY(LU9)</f>
        <v>27</v>
      </c>
      <c r="LV12">
        <f>DAY(LV9)</f>
        <v>19</v>
      </c>
      <c r="LW12">
        <f>DAY(LW9)</f>
        <v>29</v>
      </c>
      <c r="LX12">
        <f>DAY(LX9)</f>
        <v>10</v>
      </c>
      <c r="LY12">
        <f>DAY(LY9)</f>
        <v>3</v>
      </c>
      <c r="LZ12">
        <f>DAY(LZ9)</f>
        <v>12</v>
      </c>
      <c r="MA12">
        <f>DAY(MA9)</f>
        <v>18</v>
      </c>
      <c r="MB12">
        <f>DAY(MB9)</f>
        <v>30</v>
      </c>
      <c r="MC12">
        <f>DAY(MC9)</f>
        <v>25</v>
      </c>
      <c r="MD12">
        <f>DAY(MD9)</f>
        <v>17</v>
      </c>
      <c r="ME12">
        <f>DAY(ME9)</f>
        <v>5</v>
      </c>
      <c r="MF12">
        <f>DAY(MF9)</f>
        <v>11</v>
      </c>
      <c r="MG12">
        <f>DAY(MG9)</f>
        <v>9</v>
      </c>
      <c r="MH12">
        <f>DAY(MH9)</f>
        <v>28</v>
      </c>
      <c r="MI12">
        <f>DAY(MI9)</f>
        <v>20</v>
      </c>
      <c r="MJ12">
        <f>DAY(MJ9)</f>
        <v>7</v>
      </c>
      <c r="MK12">
        <f>DAY(MK9)</f>
        <v>1</v>
      </c>
      <c r="ML12">
        <f>DAY(ML9)</f>
        <v>21</v>
      </c>
      <c r="MM12">
        <f>DAY(MM9)</f>
        <v>13</v>
      </c>
      <c r="MN12">
        <f>DAY(MN9)</f>
        <v>28</v>
      </c>
      <c r="MO12">
        <f>DAY(MO9)</f>
        <v>18</v>
      </c>
      <c r="MP12">
        <f>DAY(MP9)</f>
        <v>24</v>
      </c>
      <c r="MQ12">
        <f>DAY(MQ9)</f>
        <v>13</v>
      </c>
      <c r="MR12">
        <f>DAY(MR9)</f>
        <v>22</v>
      </c>
      <c r="MS12">
        <f>DAY(MS9)</f>
        <v>5</v>
      </c>
      <c r="MT12">
        <f>DAY(MT9)</f>
        <v>3</v>
      </c>
      <c r="MU12">
        <f>DAY(MU9)</f>
        <v>27</v>
      </c>
      <c r="MV12">
        <f>DAY(MV9)</f>
        <v>9</v>
      </c>
      <c r="MW12">
        <f>DAY(MW9)</f>
        <v>24</v>
      </c>
      <c r="MX12">
        <f>DAY(MX9)</f>
        <v>15</v>
      </c>
      <c r="MY12">
        <f>DAY(MY9)</f>
        <v>29</v>
      </c>
      <c r="MZ12">
        <f>DAY(MZ9)</f>
        <v>7</v>
      </c>
      <c r="NA12">
        <f>DAY(NA9)</f>
        <v>15</v>
      </c>
      <c r="NB12">
        <f>DAY(NB9)</f>
        <v>28</v>
      </c>
      <c r="NC12">
        <f>DAY(NC9)</f>
        <v>16</v>
      </c>
      <c r="ND12">
        <f>DAY(ND9)</f>
        <v>23</v>
      </c>
      <c r="NE12">
        <f>DAY(NE9)</f>
        <v>3</v>
      </c>
      <c r="NF12">
        <f>DAY(NF9)</f>
        <v>12</v>
      </c>
      <c r="NG12">
        <f>DAY(NG9)</f>
        <v>5</v>
      </c>
      <c r="NH12">
        <f>DAY(NH9)</f>
        <v>1</v>
      </c>
      <c r="NI12">
        <f>DAY(NI9)</f>
        <v>25</v>
      </c>
      <c r="NJ12">
        <f>DAY(NJ9)</f>
        <v>22</v>
      </c>
      <c r="NK12">
        <f>DAY(NK9)</f>
        <v>26</v>
      </c>
      <c r="NL12">
        <f>DAY(NL9)</f>
        <v>9</v>
      </c>
      <c r="NM12">
        <f>DAY(NM9)</f>
        <v>2</v>
      </c>
      <c r="NN12">
        <f>DAY(NN9)</f>
        <v>26</v>
      </c>
      <c r="NO12">
        <f>DAY(NO9)</f>
        <v>28</v>
      </c>
      <c r="NP12">
        <f>DAY(NP9)</f>
        <v>18</v>
      </c>
      <c r="NQ12">
        <f>DAY(NQ9)</f>
        <v>9</v>
      </c>
      <c r="NR12">
        <f>DAY(NR9)</f>
        <v>30</v>
      </c>
      <c r="NS12">
        <f>DAY(NS9)</f>
        <v>11</v>
      </c>
      <c r="NT12">
        <f>DAY(NT9)</f>
        <v>7</v>
      </c>
      <c r="NU12">
        <f>DAY(NU9)</f>
        <v>4</v>
      </c>
      <c r="NV12">
        <f>DAY(NV9)</f>
        <v>5</v>
      </c>
      <c r="NW12">
        <f>DAY(NW9)</f>
        <v>9</v>
      </c>
      <c r="NX12">
        <f>DAY(NX9)</f>
        <v>23</v>
      </c>
      <c r="NY12">
        <f>DAY(NY9)</f>
        <v>14</v>
      </c>
      <c r="NZ12">
        <f>DAY(NZ9)</f>
        <v>28</v>
      </c>
      <c r="OA12">
        <f>DAY(OA9)</f>
        <v>20</v>
      </c>
      <c r="OB12">
        <f>DAY(OB9)</f>
        <v>18</v>
      </c>
      <c r="OC12">
        <f>DAY(OC9)</f>
        <v>27</v>
      </c>
      <c r="OD12">
        <f>DAY(OD9)</f>
        <v>5</v>
      </c>
      <c r="OE12">
        <f>DAY(OE9)</f>
        <v>28</v>
      </c>
      <c r="OF12">
        <f>DAY(OF9)</f>
        <v>15</v>
      </c>
      <c r="OG12">
        <f>DAY(OG9)</f>
        <v>5</v>
      </c>
      <c r="OH12">
        <f>DAY(OH9)</f>
        <v>25</v>
      </c>
      <c r="OI12">
        <f>DAY(OI9)</f>
        <v>19</v>
      </c>
      <c r="OJ12">
        <f>DAY(OJ9)</f>
        <v>22</v>
      </c>
      <c r="OK12">
        <f>DAY(OK9)</f>
        <v>19</v>
      </c>
      <c r="OL12">
        <f>DAY(OL9)</f>
        <v>26</v>
      </c>
      <c r="OM12">
        <f>DAY(OM9)</f>
        <v>14</v>
      </c>
      <c r="ON12">
        <f>DAY(ON9)</f>
        <v>30</v>
      </c>
      <c r="OO12">
        <f>DAY(OO9)</f>
        <v>27</v>
      </c>
      <c r="OP12">
        <f>DAY(OP9)</f>
        <v>8</v>
      </c>
      <c r="OQ12">
        <f>DAY(OQ9)</f>
        <v>19</v>
      </c>
      <c r="OR12">
        <f>DAY(OR9)</f>
        <v>5</v>
      </c>
      <c r="OS12">
        <f>DAY(OS9)</f>
        <v>30</v>
      </c>
      <c r="OT12">
        <f>DAY(OT9)</f>
        <v>6</v>
      </c>
      <c r="OU12">
        <f>DAY(OU9)</f>
        <v>4</v>
      </c>
      <c r="OV12">
        <f>DAY(OV9)</f>
        <v>22</v>
      </c>
      <c r="OW12">
        <f>DAY(OW9)</f>
        <v>27</v>
      </c>
      <c r="OX12">
        <f>DAY(OX9)</f>
        <v>6</v>
      </c>
      <c r="OY12">
        <f>DAY(OY9)</f>
        <v>6</v>
      </c>
      <c r="OZ12">
        <f>DAY(OZ9)</f>
        <v>1</v>
      </c>
      <c r="PA12">
        <f>DAY(PA9)</f>
        <v>30</v>
      </c>
      <c r="PB12">
        <f>DAY(PB9)</f>
        <v>14</v>
      </c>
      <c r="PC12">
        <f>DAY(PC9)</f>
        <v>1</v>
      </c>
      <c r="PD12">
        <f>DAY(PD9)</f>
        <v>28</v>
      </c>
      <c r="PE12">
        <f>DAY(PE9)</f>
        <v>13</v>
      </c>
      <c r="PF12">
        <f>DAY(PF9)</f>
        <v>17</v>
      </c>
      <c r="PG12">
        <f>DAY(PG9)</f>
        <v>22</v>
      </c>
      <c r="PH12">
        <f>DAY(PH9)</f>
        <v>15</v>
      </c>
      <c r="PI12">
        <f>DAY(PI9)</f>
        <v>12</v>
      </c>
      <c r="PJ12">
        <f>DAY(PJ9)</f>
        <v>17</v>
      </c>
      <c r="PK12">
        <f>DAY(PK9)</f>
        <v>11</v>
      </c>
      <c r="PL12">
        <f>DAY(PL9)</f>
        <v>23</v>
      </c>
      <c r="PM12">
        <f>DAY(PM9)</f>
        <v>14</v>
      </c>
      <c r="PN12">
        <f>DAY(PN9)</f>
        <v>18</v>
      </c>
      <c r="PO12">
        <f>DAY(PO9)</f>
        <v>25</v>
      </c>
      <c r="PP12">
        <f>DAY(PP9)</f>
        <v>3</v>
      </c>
      <c r="PQ12">
        <f>DAY(PQ9)</f>
        <v>25</v>
      </c>
      <c r="PR12">
        <f>DAY(PR9)</f>
        <v>21</v>
      </c>
      <c r="PS12">
        <f>DAY(PS9)</f>
        <v>2</v>
      </c>
      <c r="PT12">
        <f>DAY(PT9)</f>
        <v>22</v>
      </c>
      <c r="PU12">
        <f>DAY(PU9)</f>
        <v>20</v>
      </c>
      <c r="PV12">
        <f>DAY(PV9)</f>
        <v>2</v>
      </c>
      <c r="PW12">
        <f>DAY(PW9)</f>
        <v>8</v>
      </c>
      <c r="PX12">
        <f>DAY(PX9)</f>
        <v>12</v>
      </c>
      <c r="PY12">
        <f>DAY(PY9)</f>
        <v>15</v>
      </c>
      <c r="PZ12">
        <f>DAY(PZ9)</f>
        <v>19</v>
      </c>
      <c r="QA12">
        <f>DAY(QA9)</f>
        <v>29</v>
      </c>
      <c r="QB12">
        <f>DAY(QB9)</f>
        <v>15</v>
      </c>
      <c r="QC12">
        <f>DAY(QC9)</f>
        <v>14</v>
      </c>
      <c r="QD12">
        <f>DAY(QD9)</f>
        <v>7</v>
      </c>
      <c r="QE12">
        <f>DAY(QE9)</f>
        <v>27</v>
      </c>
      <c r="QF12">
        <f>DAY(QF9)</f>
        <v>4</v>
      </c>
      <c r="QG12">
        <f>DAY(QG9)</f>
        <v>11</v>
      </c>
      <c r="QH12">
        <f>DAY(QH9)</f>
        <v>9</v>
      </c>
      <c r="QI12">
        <f>DAY(QI9)</f>
        <v>2</v>
      </c>
      <c r="QJ12">
        <f>DAY(QJ9)</f>
        <v>19</v>
      </c>
      <c r="QK12">
        <f>DAY(QK9)</f>
        <v>6</v>
      </c>
      <c r="QL12">
        <f>DAY(QL9)</f>
        <v>16</v>
      </c>
      <c r="QM12">
        <f>DAY(QM9)</f>
        <v>19</v>
      </c>
      <c r="QN12">
        <f>DAY(QN9)</f>
        <v>3</v>
      </c>
      <c r="QO12">
        <f>DAY(QO9)</f>
        <v>18</v>
      </c>
      <c r="QP12">
        <f>DAY(QP9)</f>
        <v>15</v>
      </c>
      <c r="QQ12">
        <f>DAY(QQ9)</f>
        <v>16</v>
      </c>
      <c r="QR12">
        <f>DAY(QR9)</f>
        <v>27</v>
      </c>
      <c r="QS12">
        <f>DAY(QS9)</f>
        <v>9</v>
      </c>
      <c r="QT12">
        <f>DAY(QT9)</f>
        <v>10</v>
      </c>
      <c r="QU12">
        <f>DAY(QU9)</f>
        <v>29</v>
      </c>
      <c r="QV12">
        <f>DAY(QV9)</f>
        <v>24</v>
      </c>
      <c r="QW12">
        <f>DAY(QW9)</f>
        <v>6</v>
      </c>
      <c r="QX12">
        <f>DAY(QX9)</f>
        <v>2</v>
      </c>
      <c r="QY12">
        <f>DAY(QY9)</f>
        <v>2</v>
      </c>
      <c r="QZ12">
        <f>DAY(QZ9)</f>
        <v>18</v>
      </c>
      <c r="RA12">
        <f>DAY(RA9)</f>
        <v>1</v>
      </c>
      <c r="RB12">
        <f>DAY(RB9)</f>
        <v>2</v>
      </c>
      <c r="RC12">
        <f>DAY(RC9)</f>
        <v>1</v>
      </c>
      <c r="RD12">
        <f>DAY(RD9)</f>
        <v>3</v>
      </c>
      <c r="RE12">
        <f>DAY(RE9)</f>
        <v>29</v>
      </c>
      <c r="RF12">
        <f>DAY(RF9)</f>
        <v>4</v>
      </c>
      <c r="RG12">
        <f>DAY(RG9)</f>
        <v>5</v>
      </c>
      <c r="RH12">
        <f>DAY(RH9)</f>
        <v>11</v>
      </c>
      <c r="RI12">
        <f>DAY(RI9)</f>
        <v>29</v>
      </c>
      <c r="RJ12">
        <f>DAY(RJ9)</f>
        <v>10</v>
      </c>
      <c r="RK12">
        <f>DAY(RK9)</f>
        <v>6</v>
      </c>
      <c r="RL12">
        <f>DAY(RL9)</f>
        <v>14</v>
      </c>
      <c r="RM12">
        <f>DAY(RM9)</f>
        <v>6</v>
      </c>
      <c r="RN12">
        <f>DAY(RN9)</f>
        <v>11</v>
      </c>
      <c r="RO12">
        <f>DAY(RO9)</f>
        <v>19</v>
      </c>
      <c r="RP12">
        <f>DAY(RP9)</f>
        <v>30</v>
      </c>
      <c r="RQ12">
        <f>DAY(RQ9)</f>
        <v>20</v>
      </c>
      <c r="RR12">
        <f>DAY(RR9)</f>
        <v>3</v>
      </c>
      <c r="RS12">
        <f>DAY(RS9)</f>
        <v>8</v>
      </c>
      <c r="RT12">
        <f>DAY(RT9)</f>
        <v>21</v>
      </c>
      <c r="RU12">
        <f>DAY(RU9)</f>
        <v>12</v>
      </c>
      <c r="RV12">
        <f>DAY(RV9)</f>
        <v>9</v>
      </c>
      <c r="RW12">
        <f>DAY(RW9)</f>
        <v>6</v>
      </c>
      <c r="RX12">
        <f>DAY(RX9)</f>
        <v>25</v>
      </c>
      <c r="RY12">
        <f>DAY(RY9)</f>
        <v>22</v>
      </c>
      <c r="RZ12">
        <f>DAY(RZ9)</f>
        <v>12</v>
      </c>
      <c r="SA12">
        <f>DAY(SA9)</f>
        <v>8</v>
      </c>
      <c r="SB12">
        <f>DAY(SB9)</f>
        <v>23</v>
      </c>
      <c r="SC12">
        <f>DAY(SC9)</f>
        <v>18</v>
      </c>
      <c r="SD12">
        <f>DAY(SD9)</f>
        <v>22</v>
      </c>
      <c r="SE12">
        <f>DAY(SE9)</f>
        <v>12</v>
      </c>
      <c r="SF12">
        <f>DAY(SF9)</f>
        <v>16</v>
      </c>
      <c r="SG12">
        <f>DAY(SG9)</f>
        <v>25</v>
      </c>
      <c r="SH12">
        <f>DAY(SH9)</f>
        <v>11</v>
      </c>
      <c r="SI12">
        <f>DAY(SI9)</f>
        <v>23</v>
      </c>
      <c r="SJ12">
        <f>DAY(SJ9)</f>
        <v>6</v>
      </c>
      <c r="SK12">
        <f>DAY(SK9)</f>
        <v>11</v>
      </c>
      <c r="SL12">
        <f>DAY(SL9)</f>
        <v>10</v>
      </c>
      <c r="SM12">
        <f>DAY(SM9)</f>
        <v>16</v>
      </c>
      <c r="SN12">
        <f>DAY(SN9)</f>
        <v>3</v>
      </c>
      <c r="SO12">
        <f>DAY(SO9)</f>
        <v>3</v>
      </c>
      <c r="SP12">
        <f>DAY(SP9)</f>
        <v>14</v>
      </c>
      <c r="SQ12">
        <f>DAY(SQ9)</f>
        <v>22</v>
      </c>
      <c r="SR12">
        <f>DAY(SR9)</f>
        <v>26</v>
      </c>
      <c r="SS12">
        <f>DAY(SS9)</f>
        <v>19</v>
      </c>
      <c r="ST12">
        <f>DAY(ST9)</f>
        <v>13</v>
      </c>
      <c r="SU12">
        <f>DAY(SU9)</f>
        <v>29</v>
      </c>
      <c r="SV12">
        <f>DAY(SV9)</f>
        <v>9</v>
      </c>
      <c r="SW12">
        <f>DAY(SW9)</f>
        <v>24</v>
      </c>
      <c r="SX12">
        <f>DAY(SX9)</f>
        <v>26</v>
      </c>
      <c r="SY12">
        <f>DAY(SY9)</f>
        <v>19</v>
      </c>
      <c r="SZ12">
        <f>DAY(SZ9)</f>
        <v>7</v>
      </c>
      <c r="TA12">
        <f>DAY(TA9)</f>
        <v>23</v>
      </c>
      <c r="TB12">
        <f>DAY(TB9)</f>
        <v>10</v>
      </c>
      <c r="TC12">
        <f>DAY(TC9)</f>
        <v>10</v>
      </c>
      <c r="TD12">
        <f>DAY(TD9)</f>
        <v>12</v>
      </c>
      <c r="TE12">
        <f>DAY(TE9)</f>
        <v>24</v>
      </c>
      <c r="TF12">
        <f>DAY(TF9)</f>
        <v>14</v>
      </c>
      <c r="TG12">
        <f>DAY(TG9)</f>
        <v>12</v>
      </c>
      <c r="TH12">
        <f>DAY(TH9)</f>
        <v>18</v>
      </c>
      <c r="TI12">
        <f>DAY(TI9)</f>
        <v>12</v>
      </c>
      <c r="TJ12">
        <f>DAY(TJ9)</f>
        <v>26</v>
      </c>
      <c r="TK12">
        <f>DAY(TK9)</f>
        <v>24</v>
      </c>
      <c r="TL12">
        <f>DAY(TL9)</f>
        <v>15</v>
      </c>
      <c r="TM12">
        <f>DAY(TM9)</f>
        <v>19</v>
      </c>
      <c r="TN12">
        <f>DAY(TN9)</f>
        <v>9</v>
      </c>
      <c r="TO12">
        <f>DAY(TO9)</f>
        <v>10</v>
      </c>
      <c r="TP12">
        <f>DAY(TP9)</f>
        <v>11</v>
      </c>
      <c r="TQ12">
        <f>DAY(TQ9)</f>
        <v>30</v>
      </c>
      <c r="TR12">
        <f>DAY(TR9)</f>
        <v>16</v>
      </c>
      <c r="TS12">
        <f>DAY(TS9)</f>
        <v>9</v>
      </c>
      <c r="TT12">
        <f>DAY(TT9)</f>
        <v>2</v>
      </c>
      <c r="TU12">
        <f>DAY(TU9)</f>
        <v>3</v>
      </c>
      <c r="TV12">
        <f>DAY(TV9)</f>
        <v>7</v>
      </c>
      <c r="TW12">
        <f>DAY(TW9)</f>
        <v>26</v>
      </c>
      <c r="TX12">
        <f>DAY(TX9)</f>
        <v>25</v>
      </c>
      <c r="TY12">
        <f>DAY(TY9)</f>
        <v>20</v>
      </c>
      <c r="TZ12">
        <f>DAY(TZ9)</f>
        <v>16</v>
      </c>
      <c r="UA12">
        <f>DAY(UA9)</f>
        <v>3</v>
      </c>
      <c r="UB12">
        <f>DAY(UB9)</f>
        <v>8</v>
      </c>
      <c r="UC12">
        <f>DAY(UC9)</f>
        <v>14</v>
      </c>
      <c r="UD12">
        <f>DAY(UD9)</f>
        <v>19</v>
      </c>
      <c r="UE12">
        <f>DAY(UE9)</f>
        <v>4</v>
      </c>
      <c r="UF12">
        <f>DAY(UF9)</f>
        <v>30</v>
      </c>
      <c r="UG12">
        <f>DAY(UG9)</f>
        <v>9</v>
      </c>
      <c r="UH12">
        <f>DAY(UH9)</f>
        <v>21</v>
      </c>
      <c r="UI12">
        <f>DAY(UI9)</f>
        <v>17</v>
      </c>
      <c r="UJ12">
        <f>DAY(UJ9)</f>
        <v>11</v>
      </c>
      <c r="UK12">
        <f>DAY(UK9)</f>
        <v>11</v>
      </c>
      <c r="UL12">
        <f>DAY(UL9)</f>
        <v>29</v>
      </c>
      <c r="UM12">
        <f>DAY(UM9)</f>
        <v>7</v>
      </c>
      <c r="UN12">
        <f>DAY(UN9)</f>
        <v>28</v>
      </c>
      <c r="UO12">
        <f>DAY(UO9)</f>
        <v>14</v>
      </c>
      <c r="UP12">
        <f>DAY(UP9)</f>
        <v>5</v>
      </c>
      <c r="UQ12">
        <f>DAY(UQ9)</f>
        <v>20</v>
      </c>
      <c r="UR12">
        <f>DAY(UR9)</f>
        <v>9</v>
      </c>
      <c r="US12">
        <f>DAY(US9)</f>
        <v>23</v>
      </c>
      <c r="UT12">
        <f>DAY(UT9)</f>
        <v>20</v>
      </c>
      <c r="UU12">
        <f>DAY(UU9)</f>
        <v>18</v>
      </c>
      <c r="UV12">
        <f>DAY(UV9)</f>
        <v>23</v>
      </c>
      <c r="UW12">
        <f>DAY(UW9)</f>
        <v>29</v>
      </c>
      <c r="UX12">
        <f>DAY(UX9)</f>
        <v>4</v>
      </c>
      <c r="UY12">
        <f>DAY(UY9)</f>
        <v>28</v>
      </c>
      <c r="UZ12">
        <f>DAY(UZ9)</f>
        <v>28</v>
      </c>
      <c r="VA12">
        <f>DAY(VA9)</f>
        <v>16</v>
      </c>
      <c r="VB12">
        <f>DAY(VB9)</f>
        <v>17</v>
      </c>
      <c r="VC12">
        <f>DAY(VC9)</f>
        <v>18</v>
      </c>
      <c r="VD12">
        <f>DAY(VD9)</f>
        <v>12</v>
      </c>
      <c r="VE12">
        <f>DAY(VE9)</f>
        <v>11</v>
      </c>
      <c r="VF12">
        <f>DAY(VF9)</f>
        <v>17</v>
      </c>
      <c r="VG12">
        <f>DAY(VG9)</f>
        <v>17</v>
      </c>
      <c r="VH12">
        <f>DAY(VH9)</f>
        <v>23</v>
      </c>
      <c r="VI12">
        <f>DAY(VI9)</f>
        <v>16</v>
      </c>
      <c r="VJ12">
        <f>DAY(VJ9)</f>
        <v>19</v>
      </c>
      <c r="VK12">
        <f>DAY(VK9)</f>
        <v>18</v>
      </c>
      <c r="VL12">
        <f>DAY(VL9)</f>
        <v>19</v>
      </c>
      <c r="VM12">
        <f>DAY(VM9)</f>
        <v>7</v>
      </c>
      <c r="VN12">
        <f>DAY(VN9)</f>
        <v>10</v>
      </c>
      <c r="VO12">
        <f>DAY(VO9)</f>
        <v>30</v>
      </c>
      <c r="VP12">
        <f>DAY(VP9)</f>
        <v>21</v>
      </c>
      <c r="VQ12">
        <f>DAY(VQ9)</f>
        <v>17</v>
      </c>
      <c r="VR12">
        <f>DAY(VR9)</f>
        <v>9</v>
      </c>
      <c r="VS12">
        <f>DAY(VS9)</f>
        <v>25</v>
      </c>
      <c r="VT12">
        <f>DAY(VT9)</f>
        <v>2</v>
      </c>
      <c r="VU12">
        <f>DAY(VU9)</f>
        <v>18</v>
      </c>
      <c r="VV12">
        <f>DAY(VV9)</f>
        <v>26</v>
      </c>
      <c r="VW12">
        <f>DAY(VW9)</f>
        <v>6</v>
      </c>
      <c r="VX12">
        <f>DAY(VX9)</f>
        <v>19</v>
      </c>
      <c r="VY12">
        <f>DAY(VY9)</f>
        <v>21</v>
      </c>
      <c r="VZ12">
        <f>DAY(VZ9)</f>
        <v>20</v>
      </c>
      <c r="WA12">
        <f>DAY(WA9)</f>
        <v>28</v>
      </c>
      <c r="WB12">
        <f>DAY(WB9)</f>
        <v>24</v>
      </c>
      <c r="WC12">
        <f>DAY(WC9)</f>
        <v>11</v>
      </c>
      <c r="WD12">
        <f>DAY(WD9)</f>
        <v>30</v>
      </c>
      <c r="WE12">
        <f>DAY(WE9)</f>
        <v>8</v>
      </c>
      <c r="WF12">
        <f>DAY(WF9)</f>
        <v>10</v>
      </c>
      <c r="WG12">
        <f>DAY(WG9)</f>
        <v>26</v>
      </c>
      <c r="WH12">
        <f>DAY(WH9)</f>
        <v>6</v>
      </c>
      <c r="WI12">
        <f>DAY(WI9)</f>
        <v>12</v>
      </c>
      <c r="WJ12">
        <f>DAY(WJ9)</f>
        <v>1</v>
      </c>
      <c r="WK12">
        <f>DAY(WK9)</f>
        <v>7</v>
      </c>
      <c r="WL12">
        <f>DAY(WL9)</f>
        <v>23</v>
      </c>
      <c r="WM12">
        <f>DAY(WM9)</f>
        <v>19</v>
      </c>
      <c r="WN12">
        <f>DAY(WN9)</f>
        <v>15</v>
      </c>
      <c r="WO12">
        <f>DAY(WO9)</f>
        <v>20</v>
      </c>
      <c r="WP12">
        <f>DAY(WP9)</f>
        <v>24</v>
      </c>
      <c r="WQ12">
        <f>DAY(WQ9)</f>
        <v>28</v>
      </c>
      <c r="WR12">
        <f>DAY(WR9)</f>
        <v>24</v>
      </c>
      <c r="WS12">
        <f>DAY(WS9)</f>
        <v>16</v>
      </c>
      <c r="WT12">
        <f>DAY(WT9)</f>
        <v>18</v>
      </c>
      <c r="WU12">
        <f>DAY(WU9)</f>
        <v>23</v>
      </c>
      <c r="WV12">
        <f>DAY(WV9)</f>
        <v>2</v>
      </c>
      <c r="WW12">
        <f>DAY(WW9)</f>
        <v>28</v>
      </c>
      <c r="WX12">
        <f>DAY(WX9)</f>
        <v>28</v>
      </c>
      <c r="WY12">
        <f>DAY(WY9)</f>
        <v>12</v>
      </c>
      <c r="WZ12">
        <f>DAY(WZ9)</f>
        <v>31</v>
      </c>
      <c r="XA12">
        <f>DAY(XA9)</f>
        <v>18</v>
      </c>
      <c r="XB12">
        <f>DAY(XB9)</f>
        <v>24</v>
      </c>
      <c r="XC12">
        <f>DAY(XC9)</f>
        <v>24</v>
      </c>
      <c r="XD12">
        <f>DAY(XD9)</f>
        <v>1</v>
      </c>
      <c r="XE12">
        <f>DAY(XE9)</f>
        <v>14</v>
      </c>
      <c r="XF12">
        <f>DAY(XF9)</f>
        <v>8</v>
      </c>
      <c r="XG12">
        <f>DAY(XG9)</f>
        <v>21</v>
      </c>
      <c r="XH12">
        <f>DAY(XH9)</f>
        <v>19</v>
      </c>
      <c r="XI12">
        <f>DAY(XI9)</f>
        <v>30</v>
      </c>
      <c r="XJ12">
        <f>DAY(XJ9)</f>
        <v>26</v>
      </c>
      <c r="XK12">
        <f>DAY(XK9)</f>
        <v>5</v>
      </c>
      <c r="XL12">
        <f>DAY(XL9)</f>
        <v>26</v>
      </c>
      <c r="XM12">
        <f>DAY(XM9)</f>
        <v>25</v>
      </c>
      <c r="XN12">
        <f>DAY(XN9)</f>
        <v>25</v>
      </c>
      <c r="XO12">
        <f>DAY(XO9)</f>
        <v>24</v>
      </c>
      <c r="XP12">
        <f>DAY(XP9)</f>
        <v>24</v>
      </c>
      <c r="XQ12">
        <f>DAY(XQ9)</f>
        <v>30</v>
      </c>
      <c r="XR12">
        <f>DAY(XR9)</f>
        <v>10</v>
      </c>
      <c r="XS12">
        <f>DAY(XS9)</f>
        <v>18</v>
      </c>
      <c r="XT12">
        <f>DAY(XT9)</f>
        <v>30</v>
      </c>
      <c r="XU12">
        <f>DAY(XU9)</f>
        <v>29</v>
      </c>
      <c r="XV12">
        <f>DAY(XV9)</f>
        <v>15</v>
      </c>
      <c r="XW12">
        <f>DAY(XW9)</f>
        <v>14</v>
      </c>
      <c r="XX12">
        <f>DAY(XX9)</f>
        <v>18</v>
      </c>
      <c r="XY12">
        <f>DAY(XY9)</f>
        <v>29</v>
      </c>
      <c r="XZ12">
        <f>DAY(XZ9)</f>
        <v>1</v>
      </c>
      <c r="YA12">
        <f>DAY(YA9)</f>
        <v>30</v>
      </c>
      <c r="YB12">
        <f>DAY(YB9)</f>
        <v>30</v>
      </c>
      <c r="YC12">
        <f>DAY(YC9)</f>
        <v>9</v>
      </c>
      <c r="YD12">
        <f>DAY(YD9)</f>
        <v>22</v>
      </c>
      <c r="YE12">
        <f>DAY(YE9)</f>
        <v>12</v>
      </c>
      <c r="YF12">
        <f>DAY(YF9)</f>
        <v>17</v>
      </c>
      <c r="YG12">
        <f>DAY(YG9)</f>
        <v>23</v>
      </c>
      <c r="YH12">
        <f>DAY(YH9)</f>
        <v>14</v>
      </c>
      <c r="YI12">
        <f>DAY(YI9)</f>
        <v>16</v>
      </c>
      <c r="YJ12">
        <f>DAY(YJ9)</f>
        <v>16</v>
      </c>
      <c r="YK12">
        <f>DAY(YK9)</f>
        <v>2</v>
      </c>
      <c r="YL12">
        <f>DAY(YL9)</f>
        <v>15</v>
      </c>
      <c r="YM12">
        <f>DAY(YM9)</f>
        <v>20</v>
      </c>
      <c r="YN12">
        <f>DAY(YN9)</f>
        <v>1</v>
      </c>
      <c r="YO12">
        <f>DAY(YO9)</f>
        <v>2</v>
      </c>
      <c r="YP12">
        <f>DAY(YP9)</f>
        <v>5</v>
      </c>
      <c r="YQ12">
        <f>DAY(YQ9)</f>
        <v>24</v>
      </c>
      <c r="YR12">
        <f>DAY(YR9)</f>
        <v>1</v>
      </c>
      <c r="YS12">
        <f>DAY(YS9)</f>
        <v>29</v>
      </c>
      <c r="YT12">
        <f>DAY(YT9)</f>
        <v>5</v>
      </c>
      <c r="YU12">
        <f>DAY(YU9)</f>
        <v>19</v>
      </c>
      <c r="YV12">
        <f>DAY(YV9)</f>
        <v>12</v>
      </c>
      <c r="YW12">
        <f>DAY(YW9)</f>
        <v>2</v>
      </c>
      <c r="YX12">
        <f>DAY(YX9)</f>
        <v>2</v>
      </c>
      <c r="YY12">
        <f>DAY(YY9)</f>
        <v>29</v>
      </c>
      <c r="YZ12">
        <f>DAY(YZ9)</f>
        <v>12</v>
      </c>
      <c r="ZA12">
        <f>DAY(ZA9)</f>
        <v>30</v>
      </c>
      <c r="ZB12">
        <f>DAY(ZB9)</f>
        <v>4</v>
      </c>
      <c r="ZC12">
        <f>DAY(ZC9)</f>
        <v>6</v>
      </c>
      <c r="ZD12">
        <f>DAY(ZD9)</f>
        <v>19</v>
      </c>
      <c r="ZE12">
        <f>DAY(ZE9)</f>
        <v>24</v>
      </c>
      <c r="ZF12">
        <f>DAY(ZF9)</f>
        <v>3</v>
      </c>
      <c r="ZG12">
        <f>DAY(ZG9)</f>
        <v>15</v>
      </c>
      <c r="ZH12">
        <f>DAY(ZH9)</f>
        <v>19</v>
      </c>
      <c r="ZI12">
        <f>DAY(ZI9)</f>
        <v>24</v>
      </c>
      <c r="ZJ12">
        <f>DAY(ZJ9)</f>
        <v>14</v>
      </c>
      <c r="ZK12">
        <f>DAY(ZK9)</f>
        <v>29</v>
      </c>
      <c r="ZL12">
        <f>DAY(ZL9)</f>
        <v>11</v>
      </c>
      <c r="ZM12">
        <f>DAY(ZM9)</f>
        <v>23</v>
      </c>
      <c r="ZN12">
        <f>DAY(ZN9)</f>
        <v>24</v>
      </c>
      <c r="ZO12">
        <f>DAY(ZO9)</f>
        <v>19</v>
      </c>
      <c r="ZP12">
        <f>DAY(ZP9)</f>
        <v>29</v>
      </c>
      <c r="ZQ12">
        <f>DAY(ZQ9)</f>
        <v>29</v>
      </c>
      <c r="ZR12">
        <f>DAY(ZR9)</f>
        <v>27</v>
      </c>
      <c r="ZS12">
        <f>DAY(ZS9)</f>
        <v>13</v>
      </c>
      <c r="ZT12">
        <f>DAY(ZT9)</f>
        <v>8</v>
      </c>
      <c r="ZU12">
        <f>DAY(ZU9)</f>
        <v>22</v>
      </c>
      <c r="ZV12">
        <f>DAY(ZV9)</f>
        <v>20</v>
      </c>
      <c r="ZW12">
        <f>DAY(ZW9)</f>
        <v>24</v>
      </c>
      <c r="ZX12">
        <f>DAY(ZX9)</f>
        <v>14</v>
      </c>
      <c r="ZY12">
        <f>DAY(ZY9)</f>
        <v>7</v>
      </c>
      <c r="ZZ12">
        <f>DAY(ZZ9)</f>
        <v>20</v>
      </c>
      <c r="AAA12">
        <f>DAY(AAA9)</f>
        <v>2</v>
      </c>
      <c r="AAB12">
        <f>DAY(AAB9)</f>
        <v>15</v>
      </c>
      <c r="AAC12">
        <f>DAY(AAC9)</f>
        <v>12</v>
      </c>
      <c r="AAD12">
        <f>DAY(AAD9)</f>
        <v>27</v>
      </c>
      <c r="AAE12">
        <f>DAY(AAE9)</f>
        <v>26</v>
      </c>
      <c r="AAF12">
        <f>DAY(AAF9)</f>
        <v>6</v>
      </c>
      <c r="AAG12">
        <f>DAY(AAG9)</f>
        <v>9</v>
      </c>
      <c r="AAH12">
        <f>DAY(AAH9)</f>
        <v>28</v>
      </c>
      <c r="AAI12">
        <f>DAY(AAI9)</f>
        <v>30</v>
      </c>
      <c r="AAJ12">
        <f>DAY(AAJ9)</f>
        <v>20</v>
      </c>
      <c r="AAK12">
        <f>DAY(AAK9)</f>
        <v>6</v>
      </c>
      <c r="AAL12">
        <f>DAY(AAL9)</f>
        <v>27</v>
      </c>
      <c r="AAM12">
        <f>DAY(AAM9)</f>
        <v>27</v>
      </c>
      <c r="AAN12">
        <f>DAY(AAN9)</f>
        <v>4</v>
      </c>
      <c r="AAO12">
        <f>DAY(AAO9)</f>
        <v>13</v>
      </c>
      <c r="AAP12">
        <f>DAY(AAP9)</f>
        <v>26</v>
      </c>
      <c r="AAQ12">
        <f>DAY(AAQ9)</f>
        <v>15</v>
      </c>
      <c r="AAR12">
        <f>DAY(AAR9)</f>
        <v>5</v>
      </c>
      <c r="AAS12">
        <f>DAY(AAS9)</f>
        <v>25</v>
      </c>
      <c r="AAT12">
        <f>DAY(AAT9)</f>
        <v>18</v>
      </c>
      <c r="AAU12">
        <f>DAY(AAU9)</f>
        <v>21</v>
      </c>
      <c r="AAV12">
        <f>DAY(AAV9)</f>
        <v>5</v>
      </c>
      <c r="AAW12">
        <f>DAY(AAW9)</f>
        <v>12</v>
      </c>
      <c r="AAX12">
        <f>DAY(AAX9)</f>
        <v>22</v>
      </c>
      <c r="AAY12">
        <f>DAY(AAY9)</f>
        <v>2</v>
      </c>
      <c r="AAZ12">
        <f>DAY(AAZ9)</f>
        <v>24</v>
      </c>
      <c r="ABA12">
        <f>DAY(ABA9)</f>
        <v>11</v>
      </c>
      <c r="ABB12">
        <f>DAY(ABB9)</f>
        <v>31</v>
      </c>
      <c r="ABC12">
        <f>DAY(ABC9)</f>
        <v>24</v>
      </c>
      <c r="ABD12">
        <f>DAY(ABD9)</f>
        <v>2</v>
      </c>
      <c r="ABE12">
        <f>DAY(ABE9)</f>
        <v>23</v>
      </c>
      <c r="ABF12">
        <f>DAY(ABF9)</f>
        <v>7</v>
      </c>
      <c r="ABG12">
        <f>DAY(ABG9)</f>
        <v>26</v>
      </c>
      <c r="ABH12">
        <f>DAY(ABH9)</f>
        <v>5</v>
      </c>
      <c r="ABI12">
        <f>DAY(ABI9)</f>
        <v>7</v>
      </c>
      <c r="ABJ12">
        <f>DAY(ABJ9)</f>
        <v>23</v>
      </c>
      <c r="ABK12">
        <f>DAY(ABK9)</f>
        <v>16</v>
      </c>
      <c r="ABL12">
        <f>DAY(ABL9)</f>
        <v>2</v>
      </c>
      <c r="ABM12">
        <f>DAY(ABM9)</f>
        <v>14</v>
      </c>
      <c r="ABN12">
        <f>DAY(ABN9)</f>
        <v>8</v>
      </c>
      <c r="ABO12">
        <f>DAY(ABO9)</f>
        <v>28</v>
      </c>
      <c r="ABP12">
        <f>DAY(ABP9)</f>
        <v>16</v>
      </c>
      <c r="ABQ12">
        <f>DAY(ABQ9)</f>
        <v>25</v>
      </c>
      <c r="ABR12">
        <f>DAY(ABR9)</f>
        <v>14</v>
      </c>
      <c r="ABS12">
        <f>DAY(ABS9)</f>
        <v>28</v>
      </c>
      <c r="ABT12">
        <f>DAY(ABT9)</f>
        <v>19</v>
      </c>
      <c r="ABU12">
        <f>DAY(ABU9)</f>
        <v>29</v>
      </c>
      <c r="ABV12">
        <f>DAY(ABV9)</f>
        <v>23</v>
      </c>
      <c r="ABW12">
        <f>DAY(ABW9)</f>
        <v>10</v>
      </c>
      <c r="ABX12">
        <f>DAY(ABX9)</f>
        <v>3</v>
      </c>
      <c r="ABY12">
        <f>DAY(ABY9)</f>
        <v>11</v>
      </c>
      <c r="ABZ12">
        <f>DAY(ABZ9)</f>
        <v>15</v>
      </c>
      <c r="ACA12">
        <f>DAY(ACA9)</f>
        <v>11</v>
      </c>
      <c r="ACB12">
        <f>DAY(ACB9)</f>
        <v>7</v>
      </c>
      <c r="ACC12">
        <f>DAY(ACC9)</f>
        <v>27</v>
      </c>
      <c r="ACD12">
        <f>DAY(ACD9)</f>
        <v>21</v>
      </c>
      <c r="ACE12">
        <f>DAY(ACE9)</f>
        <v>18</v>
      </c>
      <c r="ACF12">
        <f>DAY(ACF9)</f>
        <v>18</v>
      </c>
      <c r="ACG12">
        <f>DAY(ACG9)</f>
        <v>23</v>
      </c>
      <c r="ACH12">
        <f>DAY(ACH9)</f>
        <v>9</v>
      </c>
      <c r="ACI12">
        <f>DAY(ACI9)</f>
        <v>20</v>
      </c>
      <c r="ACJ12">
        <f>DAY(ACJ9)</f>
        <v>2</v>
      </c>
      <c r="ACK12">
        <f>DAY(ACK9)</f>
        <v>10</v>
      </c>
      <c r="ACL12">
        <f>DAY(ACL9)</f>
        <v>13</v>
      </c>
      <c r="ACM12">
        <f>DAY(ACM9)</f>
        <v>13</v>
      </c>
      <c r="ACN12">
        <f>DAY(ACN9)</f>
        <v>18</v>
      </c>
      <c r="ACO12">
        <f>DAY(ACO9)</f>
        <v>10</v>
      </c>
      <c r="ACP12">
        <f>DAY(ACP9)</f>
        <v>18</v>
      </c>
      <c r="ACQ12">
        <f>DAY(ACQ9)</f>
        <v>22</v>
      </c>
      <c r="ACR12">
        <f>DAY(ACR9)</f>
        <v>10</v>
      </c>
      <c r="ACS12">
        <f>DAY(ACS9)</f>
        <v>10</v>
      </c>
      <c r="ACT12">
        <f>DAY(ACT9)</f>
        <v>13</v>
      </c>
      <c r="ACU12">
        <f>DAY(ACU9)</f>
        <v>9</v>
      </c>
      <c r="ACV12">
        <f>DAY(ACV9)</f>
        <v>30</v>
      </c>
      <c r="ACW12">
        <f>DAY(ACW9)</f>
        <v>3</v>
      </c>
      <c r="ACX12">
        <f>DAY(ACX9)</f>
        <v>23</v>
      </c>
      <c r="ACY12">
        <f>DAY(ACY9)</f>
        <v>14</v>
      </c>
      <c r="ACZ12">
        <f>DAY(ACZ9)</f>
        <v>4</v>
      </c>
      <c r="ADA12">
        <f>DAY(ADA9)</f>
        <v>6</v>
      </c>
      <c r="ADB12">
        <f>DAY(ADB9)</f>
        <v>23</v>
      </c>
      <c r="ADC12">
        <f>DAY(ADC9)</f>
        <v>10</v>
      </c>
      <c r="ADD12">
        <f>DAY(ADD9)</f>
        <v>7</v>
      </c>
      <c r="ADE12">
        <f>DAY(ADE9)</f>
        <v>13</v>
      </c>
      <c r="ADF12">
        <f>DAY(ADF9)</f>
        <v>16</v>
      </c>
      <c r="ADG12">
        <f>DAY(ADG9)</f>
        <v>4</v>
      </c>
      <c r="ADH12">
        <f>DAY(ADH9)</f>
        <v>13</v>
      </c>
      <c r="ADI12">
        <f>DAY(ADI9)</f>
        <v>7</v>
      </c>
      <c r="ADJ12">
        <f>DAY(ADJ9)</f>
        <v>9</v>
      </c>
      <c r="ADK12">
        <f>DAY(ADK9)</f>
        <v>14</v>
      </c>
      <c r="ADL12">
        <f>DAY(ADL9)</f>
        <v>19</v>
      </c>
      <c r="ADM12">
        <f>DAY(ADM9)</f>
        <v>20</v>
      </c>
      <c r="ADN12">
        <f>DAY(ADN9)</f>
        <v>12</v>
      </c>
      <c r="ADO12">
        <f>DAY(ADO9)</f>
        <v>2</v>
      </c>
      <c r="ADP12">
        <f>DAY(ADP9)</f>
        <v>9</v>
      </c>
      <c r="ADQ12">
        <f>DAY(ADQ9)</f>
        <v>26</v>
      </c>
      <c r="ADR12">
        <f>DAY(ADR9)</f>
        <v>8</v>
      </c>
      <c r="ADS12">
        <f>DAY(ADS9)</f>
        <v>7</v>
      </c>
      <c r="ADT12">
        <f>DAY(ADT9)</f>
        <v>1</v>
      </c>
      <c r="ADU12">
        <f>DAY(ADU9)</f>
        <v>7</v>
      </c>
      <c r="ADV12">
        <f>DAY(ADV9)</f>
        <v>28</v>
      </c>
      <c r="ADW12">
        <f>DAY(ADW9)</f>
        <v>10</v>
      </c>
      <c r="ADX12">
        <f>DAY(ADX9)</f>
        <v>14</v>
      </c>
      <c r="ADY12">
        <f>DAY(ADY9)</f>
        <v>9</v>
      </c>
      <c r="ADZ12">
        <f>DAY(ADZ9)</f>
        <v>19</v>
      </c>
      <c r="AEA12">
        <f>DAY(AEA9)</f>
        <v>19</v>
      </c>
      <c r="AEB12">
        <f>DAY(AEB9)</f>
        <v>1</v>
      </c>
      <c r="AEC12">
        <f>DAY(AEC9)</f>
        <v>30</v>
      </c>
      <c r="AED12">
        <f>DAY(AED9)</f>
        <v>2</v>
      </c>
      <c r="AEE12">
        <f>DAY(AEE9)</f>
        <v>26</v>
      </c>
      <c r="AEF12">
        <f>DAY(AEF9)</f>
        <v>22</v>
      </c>
      <c r="AEG12">
        <f>DAY(AEG9)</f>
        <v>16</v>
      </c>
      <c r="AEH12">
        <f>DAY(AEH9)</f>
        <v>31</v>
      </c>
      <c r="AEI12">
        <f>DAY(AEI9)</f>
        <v>14</v>
      </c>
      <c r="AEJ12">
        <f>DAY(AEJ9)</f>
        <v>12</v>
      </c>
      <c r="AEK12">
        <f>DAY(AEK9)</f>
        <v>4</v>
      </c>
      <c r="AEL12">
        <f>DAY(AEL9)</f>
        <v>4</v>
      </c>
      <c r="AEM12">
        <f>DAY(AEM9)</f>
        <v>22</v>
      </c>
      <c r="AEN12">
        <f>DAY(AEN9)</f>
        <v>8</v>
      </c>
      <c r="AEO12">
        <f>DAY(AEO9)</f>
        <v>13</v>
      </c>
      <c r="AEP12">
        <f>DAY(AEP9)</f>
        <v>20</v>
      </c>
      <c r="AEQ12">
        <f>DAY(AEQ9)</f>
        <v>23</v>
      </c>
      <c r="AER12">
        <f>DAY(AER9)</f>
        <v>7</v>
      </c>
      <c r="AES12">
        <f>DAY(AES9)</f>
        <v>1</v>
      </c>
      <c r="AET12">
        <f>DAY(AET9)</f>
        <v>7</v>
      </c>
      <c r="AEU12">
        <f>DAY(AEU9)</f>
        <v>26</v>
      </c>
      <c r="AEV12">
        <f>DAY(AEV9)</f>
        <v>22</v>
      </c>
      <c r="AEW12">
        <f>DAY(AEW9)</f>
        <v>14</v>
      </c>
      <c r="AEX12">
        <f>DAY(AEX9)</f>
        <v>6</v>
      </c>
      <c r="AEY12">
        <f>DAY(AEY9)</f>
        <v>8</v>
      </c>
      <c r="AEZ12">
        <f>DAY(AEZ9)</f>
        <v>1</v>
      </c>
      <c r="AFA12">
        <f>DAY(AFA9)</f>
        <v>9</v>
      </c>
      <c r="AFB12">
        <f>DAY(AFB9)</f>
        <v>30</v>
      </c>
      <c r="AFC12">
        <f>DAY(AFC9)</f>
        <v>27</v>
      </c>
      <c r="AFD12">
        <f>DAY(AFD9)</f>
        <v>12</v>
      </c>
      <c r="AFE12">
        <f>DAY(AFE9)</f>
        <v>14</v>
      </c>
      <c r="AFF12">
        <f>DAY(AFF9)</f>
        <v>30</v>
      </c>
      <c r="AFG12">
        <f>DAY(AFG9)</f>
        <v>1</v>
      </c>
      <c r="AFH12">
        <f>DAY(AFH9)</f>
        <v>7</v>
      </c>
      <c r="AFI12">
        <f>DAY(AFI9)</f>
        <v>26</v>
      </c>
      <c r="AFJ12">
        <f>DAY(AFJ9)</f>
        <v>6</v>
      </c>
      <c r="AFK12">
        <f>DAY(AFK9)</f>
        <v>4</v>
      </c>
      <c r="AFL12">
        <f>DAY(AFL9)</f>
        <v>26</v>
      </c>
      <c r="AFM12">
        <f>DAY(AFM9)</f>
        <v>24</v>
      </c>
      <c r="AFN12">
        <f>DAY(AFN9)</f>
        <v>6</v>
      </c>
      <c r="AFO12">
        <f>DAY(AFO9)</f>
        <v>10</v>
      </c>
      <c r="AFP12">
        <f>DAY(AFP9)</f>
        <v>31</v>
      </c>
      <c r="AFQ12">
        <f>DAY(AFQ9)</f>
        <v>21</v>
      </c>
      <c r="AFR12">
        <f>DAY(AFR9)</f>
        <v>3</v>
      </c>
      <c r="AFS12">
        <f>DAY(AFS9)</f>
        <v>31</v>
      </c>
      <c r="AFT12">
        <f>DAY(AFT9)</f>
        <v>1</v>
      </c>
      <c r="AFU12">
        <f>DAY(AFU9)</f>
        <v>3</v>
      </c>
      <c r="AFV12">
        <f>DAY(AFV9)</f>
        <v>11</v>
      </c>
      <c r="AFW12">
        <f>DAY(AFW9)</f>
        <v>26</v>
      </c>
      <c r="AFX12">
        <f>DAY(AFX9)</f>
        <v>17</v>
      </c>
      <c r="AFY12">
        <f>DAY(AFY9)</f>
        <v>7</v>
      </c>
      <c r="AFZ12">
        <f>DAY(AFZ9)</f>
        <v>20</v>
      </c>
      <c r="AGA12">
        <f>DAY(AGA9)</f>
        <v>26</v>
      </c>
      <c r="AGB12">
        <f>DAY(AGB9)</f>
        <v>21</v>
      </c>
      <c r="AGC12">
        <f>DAY(AGC9)</f>
        <v>14</v>
      </c>
      <c r="AGD12">
        <f>DAY(AGD9)</f>
        <v>3</v>
      </c>
      <c r="AGE12">
        <f>DAY(AGE9)</f>
        <v>17</v>
      </c>
      <c r="AGF12">
        <f>DAY(AGF9)</f>
        <v>23</v>
      </c>
      <c r="AGG12">
        <f>DAY(AGG9)</f>
        <v>19</v>
      </c>
      <c r="AGH12">
        <f>DAY(AGH9)</f>
        <v>26</v>
      </c>
      <c r="AGI12">
        <f>DAY(AGI9)</f>
        <v>25</v>
      </c>
      <c r="AGJ12">
        <f>DAY(AGJ9)</f>
        <v>23</v>
      </c>
      <c r="AGK12">
        <f>DAY(AGK9)</f>
        <v>18</v>
      </c>
      <c r="AGL12">
        <f>DAY(AGL9)</f>
        <v>10</v>
      </c>
      <c r="AGM12">
        <f>DAY(AGM9)</f>
        <v>1</v>
      </c>
      <c r="AGN12">
        <f>DAY(AGN9)</f>
        <v>12</v>
      </c>
      <c r="AGO12">
        <f>DAY(AGO9)</f>
        <v>20</v>
      </c>
      <c r="AGP12">
        <f>DAY(AGP9)</f>
        <v>28</v>
      </c>
      <c r="AGQ12">
        <f>DAY(AGQ9)</f>
        <v>12</v>
      </c>
      <c r="AGR12">
        <f>DAY(AGR9)</f>
        <v>26</v>
      </c>
      <c r="AGS12">
        <f>DAY(AGS9)</f>
        <v>6</v>
      </c>
      <c r="AGT12">
        <f>DAY(AGT9)</f>
        <v>0</v>
      </c>
      <c r="AGU12">
        <f>DAY(AGU9)</f>
        <v>0</v>
      </c>
      <c r="AGV12">
        <f>DAY(AGV9)</f>
        <v>0</v>
      </c>
      <c r="AGW12">
        <f>DAY(AGW9)</f>
        <v>0</v>
      </c>
      <c r="AGX12">
        <f>DAY(AGX9)</f>
        <v>0</v>
      </c>
      <c r="AGY12">
        <f>DAY(AGY9)</f>
        <v>0</v>
      </c>
      <c r="AGZ12">
        <f>DAY(AGZ9)</f>
        <v>0</v>
      </c>
      <c r="AHA12">
        <f>DAY(AHA9)</f>
        <v>0</v>
      </c>
    </row>
    <row r="13" spans="1:885" x14ac:dyDescent="0.25">
      <c r="A13" s="2" t="s">
        <v>93</v>
      </c>
      <c r="B13" s="3">
        <f ca="1">TODAY()</f>
        <v>46100</v>
      </c>
      <c r="C13" s="3">
        <f ca="1">TODAY()</f>
        <v>46100</v>
      </c>
      <c r="D13" s="3">
        <f ca="1">TODAY()</f>
        <v>46100</v>
      </c>
      <c r="E13" s="3">
        <f ca="1">TODAY()</f>
        <v>46100</v>
      </c>
      <c r="F13" s="3">
        <f ca="1">TODAY()</f>
        <v>46100</v>
      </c>
      <c r="G13" s="3">
        <f ca="1">TODAY()</f>
        <v>46100</v>
      </c>
      <c r="H13" s="3">
        <f ca="1">TODAY()</f>
        <v>46100</v>
      </c>
      <c r="I13" s="3">
        <f ca="1">TODAY()</f>
        <v>46100</v>
      </c>
      <c r="J13" s="3">
        <f ca="1">TODAY()</f>
        <v>46100</v>
      </c>
      <c r="K13" s="3">
        <f ca="1">TODAY()</f>
        <v>46100</v>
      </c>
      <c r="L13" s="3">
        <f ca="1">TODAY()</f>
        <v>46100</v>
      </c>
      <c r="M13" s="3">
        <f ca="1">TODAY()</f>
        <v>46100</v>
      </c>
      <c r="N13" s="3">
        <f ca="1">TODAY()</f>
        <v>46100</v>
      </c>
      <c r="O13" s="3">
        <f ca="1">TODAY()</f>
        <v>46100</v>
      </c>
      <c r="P13" s="3">
        <f ca="1">TODAY()</f>
        <v>46100</v>
      </c>
      <c r="Q13" s="3">
        <f ca="1">TODAY()</f>
        <v>46100</v>
      </c>
      <c r="R13" s="3">
        <f ca="1">TODAY()</f>
        <v>46100</v>
      </c>
      <c r="S13" s="3">
        <f ca="1">TODAY()</f>
        <v>46100</v>
      </c>
      <c r="T13" s="3">
        <f ca="1">TODAY()</f>
        <v>46100</v>
      </c>
      <c r="U13" s="3">
        <f ca="1">TODAY()</f>
        <v>46100</v>
      </c>
      <c r="V13" s="3">
        <f ca="1">TODAY()</f>
        <v>46100</v>
      </c>
      <c r="W13" s="3">
        <f ca="1">TODAY()</f>
        <v>46100</v>
      </c>
      <c r="X13" s="3">
        <f ca="1">TODAY()</f>
        <v>46100</v>
      </c>
      <c r="Y13" s="3">
        <f ca="1">TODAY()</f>
        <v>46100</v>
      </c>
      <c r="Z13" s="3">
        <f ca="1">TODAY()</f>
        <v>46100</v>
      </c>
      <c r="AA13" s="3">
        <f ca="1">TODAY()</f>
        <v>46100</v>
      </c>
      <c r="AB13" s="3">
        <f ca="1">TODAY()</f>
        <v>46100</v>
      </c>
      <c r="AC13" s="3">
        <f ca="1">TODAY()</f>
        <v>46100</v>
      </c>
      <c r="AD13" s="3">
        <f ca="1">TODAY()</f>
        <v>46100</v>
      </c>
      <c r="AE13" s="3">
        <f ca="1">TODAY()</f>
        <v>46100</v>
      </c>
      <c r="AF13" s="3">
        <f ca="1">TODAY()</f>
        <v>46100</v>
      </c>
      <c r="AG13" s="3">
        <f ca="1">TODAY()</f>
        <v>46100</v>
      </c>
      <c r="AH13" s="3">
        <f ca="1">TODAY()</f>
        <v>46100</v>
      </c>
      <c r="AI13" s="3">
        <f ca="1">TODAY()</f>
        <v>46100</v>
      </c>
      <c r="AJ13" s="3">
        <f ca="1">TODAY()</f>
        <v>46100</v>
      </c>
      <c r="AK13" s="3">
        <f ca="1">TODAY()</f>
        <v>46100</v>
      </c>
      <c r="AL13" s="3">
        <f ca="1">TODAY()</f>
        <v>46100</v>
      </c>
      <c r="AM13" s="3">
        <f ca="1">TODAY()</f>
        <v>46100</v>
      </c>
      <c r="AN13" s="3">
        <f ca="1">TODAY()</f>
        <v>46100</v>
      </c>
      <c r="AO13" s="3">
        <f ca="1">TODAY()</f>
        <v>46100</v>
      </c>
      <c r="AP13" s="3">
        <f ca="1">TODAY()</f>
        <v>46100</v>
      </c>
      <c r="AQ13" s="3">
        <f ca="1">TODAY()</f>
        <v>46100</v>
      </c>
      <c r="AR13" s="3">
        <f ca="1">TODAY()</f>
        <v>46100</v>
      </c>
      <c r="AS13" s="3">
        <f ca="1">TODAY()</f>
        <v>46100</v>
      </c>
      <c r="AT13" s="3">
        <f ca="1">TODAY()</f>
        <v>46100</v>
      </c>
      <c r="AU13" s="3">
        <f ca="1">TODAY()</f>
        <v>46100</v>
      </c>
      <c r="AV13" s="3">
        <f ca="1">TODAY()</f>
        <v>46100</v>
      </c>
      <c r="AW13" s="3">
        <f ca="1">TODAY()</f>
        <v>46100</v>
      </c>
      <c r="AX13" s="3">
        <f ca="1">TODAY()</f>
        <v>46100</v>
      </c>
      <c r="AY13" s="3">
        <f ca="1">TODAY()</f>
        <v>46100</v>
      </c>
      <c r="AZ13" s="3">
        <f ca="1">TODAY()</f>
        <v>46100</v>
      </c>
      <c r="BA13" s="3">
        <f ca="1">TODAY()</f>
        <v>46100</v>
      </c>
      <c r="BB13" s="3">
        <f ca="1">TODAY()</f>
        <v>46100</v>
      </c>
      <c r="BC13" s="3">
        <f ca="1">TODAY()</f>
        <v>46100</v>
      </c>
      <c r="BD13" s="3">
        <f ca="1">TODAY()</f>
        <v>46100</v>
      </c>
      <c r="BE13" s="3">
        <f ca="1">TODAY()</f>
        <v>46100</v>
      </c>
      <c r="BF13" s="3">
        <f ca="1">TODAY()</f>
        <v>46100</v>
      </c>
      <c r="BG13" s="3">
        <f ca="1">TODAY()</f>
        <v>46100</v>
      </c>
      <c r="BH13" s="3">
        <f ca="1">TODAY()</f>
        <v>46100</v>
      </c>
      <c r="BI13" s="3">
        <f ca="1">TODAY()</f>
        <v>46100</v>
      </c>
      <c r="BJ13" s="3">
        <f ca="1">TODAY()</f>
        <v>46100</v>
      </c>
      <c r="BK13" s="3">
        <f ca="1">TODAY()</f>
        <v>46100</v>
      </c>
      <c r="BL13" s="3">
        <f ca="1">TODAY()</f>
        <v>46100</v>
      </c>
      <c r="BM13" s="3">
        <f ca="1">TODAY()</f>
        <v>46100</v>
      </c>
      <c r="BN13" s="3">
        <f ca="1">TODAY()</f>
        <v>46100</v>
      </c>
      <c r="BO13" s="3">
        <f ca="1">TODAY()</f>
        <v>46100</v>
      </c>
      <c r="BP13" s="3">
        <f ca="1">TODAY()</f>
        <v>46100</v>
      </c>
      <c r="BQ13" s="3">
        <f ca="1">TODAY()</f>
        <v>46100</v>
      </c>
      <c r="BR13" s="3">
        <f ca="1">TODAY()</f>
        <v>46100</v>
      </c>
      <c r="BS13" s="3">
        <f ca="1">TODAY()</f>
        <v>46100</v>
      </c>
      <c r="BT13" s="3">
        <f ca="1">TODAY()</f>
        <v>46100</v>
      </c>
      <c r="BU13" s="3">
        <f ca="1">TODAY()</f>
        <v>46100</v>
      </c>
      <c r="BV13" s="3">
        <f ca="1">TODAY()</f>
        <v>46100</v>
      </c>
      <c r="BW13" s="3">
        <f ca="1">TODAY()</f>
        <v>46100</v>
      </c>
      <c r="BX13" s="3">
        <f ca="1">TODAY()</f>
        <v>46100</v>
      </c>
      <c r="BY13" s="3">
        <f ca="1">TODAY()</f>
        <v>46100</v>
      </c>
      <c r="BZ13" s="3">
        <f ca="1">TODAY()</f>
        <v>46100</v>
      </c>
      <c r="CA13" s="3">
        <f ca="1">TODAY()</f>
        <v>46100</v>
      </c>
      <c r="CB13" s="3">
        <f ca="1">TODAY()</f>
        <v>46100</v>
      </c>
      <c r="CC13" s="3">
        <f ca="1">TODAY()</f>
        <v>46100</v>
      </c>
      <c r="CD13" s="3">
        <f ca="1">TODAY()</f>
        <v>46100</v>
      </c>
      <c r="CE13" s="3">
        <f ca="1">TODAY()</f>
        <v>46100</v>
      </c>
      <c r="CF13" s="3">
        <f ca="1">TODAY()</f>
        <v>46100</v>
      </c>
      <c r="CG13" s="3">
        <f ca="1">TODAY()</f>
        <v>46100</v>
      </c>
      <c r="CH13" s="3">
        <f ca="1">TODAY()</f>
        <v>46100</v>
      </c>
      <c r="CI13" s="3">
        <f ca="1">TODAY()</f>
        <v>46100</v>
      </c>
      <c r="CJ13" s="3">
        <f ca="1">TODAY()</f>
        <v>46100</v>
      </c>
      <c r="CK13" s="3">
        <f ca="1">TODAY()</f>
        <v>46100</v>
      </c>
      <c r="CL13" s="3">
        <f ca="1">TODAY()</f>
        <v>46100</v>
      </c>
      <c r="CM13" s="3">
        <f ca="1">TODAY()</f>
        <v>46100</v>
      </c>
      <c r="CN13" s="3">
        <f ca="1">TODAY()</f>
        <v>46100</v>
      </c>
      <c r="CO13" s="3">
        <f ca="1">TODAY()</f>
        <v>46100</v>
      </c>
      <c r="CP13" s="3">
        <f ca="1">TODAY()</f>
        <v>46100</v>
      </c>
      <c r="CQ13" s="3">
        <f ca="1">TODAY()</f>
        <v>46100</v>
      </c>
      <c r="CR13" s="3">
        <f ca="1">TODAY()</f>
        <v>46100</v>
      </c>
      <c r="CS13" s="3">
        <f ca="1">TODAY()</f>
        <v>46100</v>
      </c>
      <c r="CT13" s="3">
        <f ca="1">TODAY()</f>
        <v>46100</v>
      </c>
      <c r="CU13" s="3">
        <f ca="1">TODAY()</f>
        <v>46100</v>
      </c>
      <c r="CV13" s="3">
        <f ca="1">TODAY()</f>
        <v>46100</v>
      </c>
      <c r="CW13" s="3">
        <f ca="1">TODAY()</f>
        <v>46100</v>
      </c>
      <c r="CX13" s="3">
        <f ca="1">TODAY()</f>
        <v>46100</v>
      </c>
      <c r="CY13" s="3">
        <f ca="1">TODAY()</f>
        <v>46100</v>
      </c>
      <c r="CZ13" s="3">
        <f ca="1">TODAY()</f>
        <v>46100</v>
      </c>
      <c r="DA13" s="3">
        <f ca="1">TODAY()</f>
        <v>46100</v>
      </c>
      <c r="DB13" s="3">
        <f ca="1">TODAY()</f>
        <v>46100</v>
      </c>
      <c r="DC13" s="3">
        <f ca="1">TODAY()</f>
        <v>46100</v>
      </c>
      <c r="DD13" s="3">
        <f ca="1">TODAY()</f>
        <v>46100</v>
      </c>
      <c r="DE13" s="3">
        <f ca="1">TODAY()</f>
        <v>46100</v>
      </c>
      <c r="DF13" s="3">
        <f ca="1">TODAY()</f>
        <v>46100</v>
      </c>
      <c r="DG13" s="3">
        <f ca="1">TODAY()</f>
        <v>46100</v>
      </c>
      <c r="DH13" s="3">
        <f ca="1">TODAY()</f>
        <v>46100</v>
      </c>
      <c r="DI13" s="3">
        <f ca="1">TODAY()</f>
        <v>46100</v>
      </c>
      <c r="DJ13" s="3">
        <f ca="1">TODAY()</f>
        <v>46100</v>
      </c>
      <c r="DK13" s="3">
        <f ca="1">TODAY()</f>
        <v>46100</v>
      </c>
      <c r="DL13" s="3">
        <f ca="1">TODAY()</f>
        <v>46100</v>
      </c>
      <c r="DM13" s="3">
        <f ca="1">TODAY()</f>
        <v>46100</v>
      </c>
      <c r="DN13" s="3">
        <f ca="1">TODAY()</f>
        <v>46100</v>
      </c>
      <c r="DO13" s="3">
        <f ca="1">TODAY()</f>
        <v>46100</v>
      </c>
      <c r="DP13" s="3">
        <f ca="1">TODAY()</f>
        <v>46100</v>
      </c>
      <c r="DQ13" s="3">
        <f ca="1">TODAY()</f>
        <v>46100</v>
      </c>
      <c r="DR13" s="3">
        <f ca="1">TODAY()</f>
        <v>46100</v>
      </c>
      <c r="DS13" s="3">
        <f ca="1">TODAY()</f>
        <v>46100</v>
      </c>
      <c r="DT13" s="3">
        <f ca="1">TODAY()</f>
        <v>46100</v>
      </c>
      <c r="DU13" s="3">
        <f ca="1">TODAY()</f>
        <v>46100</v>
      </c>
      <c r="DV13" s="3">
        <f ca="1">TODAY()</f>
        <v>46100</v>
      </c>
      <c r="DW13" s="3">
        <f ca="1">TODAY()</f>
        <v>46100</v>
      </c>
      <c r="DX13" s="3">
        <f ca="1">TODAY()</f>
        <v>46100</v>
      </c>
      <c r="DY13" s="3">
        <f ca="1">TODAY()</f>
        <v>46100</v>
      </c>
      <c r="DZ13" s="3">
        <f ca="1">TODAY()</f>
        <v>46100</v>
      </c>
      <c r="EA13" s="3">
        <f ca="1">TODAY()</f>
        <v>46100</v>
      </c>
      <c r="EB13" s="3">
        <f ca="1">TODAY()</f>
        <v>46100</v>
      </c>
      <c r="EC13" s="3">
        <f ca="1">TODAY()</f>
        <v>46100</v>
      </c>
      <c r="ED13" s="3">
        <f ca="1">TODAY()</f>
        <v>46100</v>
      </c>
      <c r="EE13" s="3">
        <f ca="1">TODAY()</f>
        <v>46100</v>
      </c>
      <c r="EF13" s="3">
        <f ca="1">TODAY()</f>
        <v>46100</v>
      </c>
      <c r="EG13" s="3">
        <f ca="1">TODAY()</f>
        <v>46100</v>
      </c>
      <c r="EH13" s="3">
        <f ca="1">TODAY()</f>
        <v>46100</v>
      </c>
      <c r="EI13" s="3">
        <f ca="1">TODAY()</f>
        <v>46100</v>
      </c>
      <c r="EJ13" s="3">
        <f ca="1">TODAY()</f>
        <v>46100</v>
      </c>
      <c r="EK13" s="3">
        <f ca="1">TODAY()</f>
        <v>46100</v>
      </c>
      <c r="EL13" s="3">
        <f ca="1">TODAY()</f>
        <v>46100</v>
      </c>
      <c r="EM13" s="3">
        <f ca="1">TODAY()</f>
        <v>46100</v>
      </c>
      <c r="EN13" s="3">
        <f ca="1">TODAY()</f>
        <v>46100</v>
      </c>
      <c r="EO13" s="3">
        <f ca="1">TODAY()</f>
        <v>46100</v>
      </c>
      <c r="EP13" s="3">
        <f ca="1">TODAY()</f>
        <v>46100</v>
      </c>
      <c r="EQ13" s="3">
        <f ca="1">TODAY()</f>
        <v>46100</v>
      </c>
      <c r="ER13" s="3">
        <f ca="1">TODAY()</f>
        <v>46100</v>
      </c>
      <c r="ES13" s="3">
        <f ca="1">TODAY()</f>
        <v>46100</v>
      </c>
      <c r="ET13" s="3">
        <f ca="1">TODAY()</f>
        <v>46100</v>
      </c>
      <c r="EU13" s="3">
        <f ca="1">TODAY()</f>
        <v>46100</v>
      </c>
      <c r="EV13" s="3">
        <f ca="1">TODAY()</f>
        <v>46100</v>
      </c>
      <c r="EW13" s="3">
        <f ca="1">TODAY()</f>
        <v>46100</v>
      </c>
      <c r="EX13" s="3">
        <f ca="1">TODAY()</f>
        <v>46100</v>
      </c>
      <c r="EY13" s="3">
        <f ca="1">TODAY()</f>
        <v>46100</v>
      </c>
      <c r="EZ13" s="3">
        <f ca="1">TODAY()</f>
        <v>46100</v>
      </c>
      <c r="FA13" s="3">
        <f ca="1">TODAY()</f>
        <v>46100</v>
      </c>
      <c r="FB13" s="3">
        <f ca="1">TODAY()</f>
        <v>46100</v>
      </c>
      <c r="FC13" s="3">
        <f ca="1">TODAY()</f>
        <v>46100</v>
      </c>
      <c r="FD13" s="3">
        <f ca="1">TODAY()</f>
        <v>46100</v>
      </c>
      <c r="FE13" s="3">
        <f ca="1">TODAY()</f>
        <v>46100</v>
      </c>
      <c r="FF13" s="3">
        <f ca="1">TODAY()</f>
        <v>46100</v>
      </c>
      <c r="FG13" s="3">
        <f ca="1">TODAY()</f>
        <v>46100</v>
      </c>
      <c r="FH13" s="3">
        <f ca="1">TODAY()</f>
        <v>46100</v>
      </c>
      <c r="FI13" s="3">
        <f ca="1">TODAY()</f>
        <v>46100</v>
      </c>
      <c r="FJ13" s="3">
        <f ca="1">TODAY()</f>
        <v>46100</v>
      </c>
      <c r="FK13" s="3">
        <f ca="1">TODAY()</f>
        <v>46100</v>
      </c>
      <c r="FL13" s="3">
        <f ca="1">TODAY()</f>
        <v>46100</v>
      </c>
      <c r="FM13" s="3">
        <f ca="1">TODAY()</f>
        <v>46100</v>
      </c>
      <c r="FN13" s="3">
        <f ca="1">TODAY()</f>
        <v>46100</v>
      </c>
      <c r="FO13" s="3">
        <f ca="1">TODAY()</f>
        <v>46100</v>
      </c>
      <c r="FP13" s="3">
        <f ca="1">TODAY()</f>
        <v>46100</v>
      </c>
      <c r="FQ13" s="3">
        <f ca="1">TODAY()</f>
        <v>46100</v>
      </c>
      <c r="FR13" s="3">
        <f ca="1">TODAY()</f>
        <v>46100</v>
      </c>
      <c r="FS13" s="3">
        <f ca="1">TODAY()</f>
        <v>46100</v>
      </c>
      <c r="FT13" s="3">
        <f ca="1">TODAY()</f>
        <v>46100</v>
      </c>
      <c r="FU13" s="3">
        <f ca="1">TODAY()</f>
        <v>46100</v>
      </c>
      <c r="FV13" s="3">
        <f ca="1">TODAY()</f>
        <v>46100</v>
      </c>
      <c r="FW13" s="3">
        <f ca="1">TODAY()</f>
        <v>46100</v>
      </c>
      <c r="FX13" s="3">
        <f ca="1">TODAY()</f>
        <v>46100</v>
      </c>
      <c r="FY13" s="3">
        <f ca="1">TODAY()</f>
        <v>46100</v>
      </c>
      <c r="FZ13" s="3">
        <f ca="1">TODAY()</f>
        <v>46100</v>
      </c>
      <c r="GA13" s="3">
        <f ca="1">TODAY()</f>
        <v>46100</v>
      </c>
      <c r="GB13" s="3">
        <f ca="1">TODAY()</f>
        <v>46100</v>
      </c>
      <c r="GC13" s="3">
        <f ca="1">TODAY()</f>
        <v>46100</v>
      </c>
      <c r="GD13" s="3">
        <f ca="1">TODAY()</f>
        <v>46100</v>
      </c>
      <c r="GE13" s="3">
        <f ca="1">TODAY()</f>
        <v>46100</v>
      </c>
      <c r="GF13" s="3">
        <f ca="1">TODAY()</f>
        <v>46100</v>
      </c>
      <c r="GG13" s="3">
        <f ca="1">TODAY()</f>
        <v>46100</v>
      </c>
      <c r="GH13" s="3">
        <f ca="1">TODAY()</f>
        <v>46100</v>
      </c>
      <c r="GI13" s="3">
        <f ca="1">TODAY()</f>
        <v>46100</v>
      </c>
      <c r="GJ13" s="3">
        <f ca="1">TODAY()</f>
        <v>46100</v>
      </c>
      <c r="GK13" s="3">
        <f ca="1">TODAY()</f>
        <v>46100</v>
      </c>
      <c r="GL13" s="3">
        <f ca="1">TODAY()</f>
        <v>46100</v>
      </c>
      <c r="GM13" s="3">
        <f ca="1">TODAY()</f>
        <v>46100</v>
      </c>
      <c r="GN13" s="3">
        <f ca="1">TODAY()</f>
        <v>46100</v>
      </c>
      <c r="GO13" s="3">
        <f ca="1">TODAY()</f>
        <v>46100</v>
      </c>
      <c r="GP13" s="3">
        <f ca="1">TODAY()</f>
        <v>46100</v>
      </c>
      <c r="GQ13" s="3">
        <f ca="1">TODAY()</f>
        <v>46100</v>
      </c>
      <c r="GR13" s="3">
        <f ca="1">TODAY()</f>
        <v>46100</v>
      </c>
      <c r="GS13" s="3">
        <f ca="1">TODAY()</f>
        <v>46100</v>
      </c>
      <c r="GT13" s="3">
        <f ca="1">TODAY()</f>
        <v>46100</v>
      </c>
      <c r="GU13" s="3">
        <f ca="1">TODAY()</f>
        <v>46100</v>
      </c>
      <c r="GV13" s="3">
        <f ca="1">TODAY()</f>
        <v>46100</v>
      </c>
      <c r="GW13" s="3">
        <f ca="1">TODAY()</f>
        <v>46100</v>
      </c>
      <c r="GX13" s="3">
        <f ca="1">TODAY()</f>
        <v>46100</v>
      </c>
      <c r="GY13" s="3">
        <f ca="1">TODAY()</f>
        <v>46100</v>
      </c>
      <c r="GZ13" s="3">
        <f ca="1">TODAY()</f>
        <v>46100</v>
      </c>
      <c r="HA13" s="3">
        <f ca="1">TODAY()</f>
        <v>46100</v>
      </c>
      <c r="HB13" s="3">
        <f ca="1">TODAY()</f>
        <v>46100</v>
      </c>
      <c r="HC13" s="3">
        <f ca="1">TODAY()</f>
        <v>46100</v>
      </c>
      <c r="HD13" s="3">
        <f ca="1">TODAY()</f>
        <v>46100</v>
      </c>
      <c r="HE13" s="3">
        <f ca="1">TODAY()</f>
        <v>46100</v>
      </c>
      <c r="HF13" s="3">
        <f ca="1">TODAY()</f>
        <v>46100</v>
      </c>
      <c r="HG13" s="3">
        <f ca="1">TODAY()</f>
        <v>46100</v>
      </c>
      <c r="HH13" s="3">
        <f ca="1">TODAY()</f>
        <v>46100</v>
      </c>
      <c r="HI13" s="3">
        <f ca="1">TODAY()</f>
        <v>46100</v>
      </c>
      <c r="HJ13" s="3">
        <f ca="1">TODAY()</f>
        <v>46100</v>
      </c>
      <c r="HK13" s="3">
        <f ca="1">TODAY()</f>
        <v>46100</v>
      </c>
      <c r="HL13" s="3">
        <f ca="1">TODAY()</f>
        <v>46100</v>
      </c>
      <c r="HM13" s="3">
        <f ca="1">TODAY()</f>
        <v>46100</v>
      </c>
      <c r="HN13" s="3">
        <f ca="1">TODAY()</f>
        <v>46100</v>
      </c>
      <c r="HO13" s="3">
        <f ca="1">TODAY()</f>
        <v>46100</v>
      </c>
      <c r="HP13" s="3">
        <f ca="1">TODAY()</f>
        <v>46100</v>
      </c>
      <c r="HQ13" s="3">
        <f ca="1">TODAY()</f>
        <v>46100</v>
      </c>
      <c r="HR13" s="3">
        <f ca="1">TODAY()</f>
        <v>46100</v>
      </c>
      <c r="HS13" s="3">
        <f ca="1">TODAY()</f>
        <v>46100</v>
      </c>
      <c r="HT13" s="3">
        <f ca="1">TODAY()</f>
        <v>46100</v>
      </c>
      <c r="HU13" s="3">
        <f ca="1">TODAY()</f>
        <v>46100</v>
      </c>
      <c r="HV13" s="3">
        <f ca="1">TODAY()</f>
        <v>46100</v>
      </c>
      <c r="HW13" s="3">
        <f ca="1">TODAY()</f>
        <v>46100</v>
      </c>
      <c r="HX13" s="3">
        <f ca="1">TODAY()</f>
        <v>46100</v>
      </c>
      <c r="HY13" s="3">
        <f ca="1">TODAY()</f>
        <v>46100</v>
      </c>
      <c r="HZ13" s="3">
        <f ca="1">TODAY()</f>
        <v>46100</v>
      </c>
      <c r="IA13" s="3">
        <f ca="1">TODAY()</f>
        <v>46100</v>
      </c>
      <c r="IB13" s="3">
        <f ca="1">TODAY()</f>
        <v>46100</v>
      </c>
      <c r="IC13" s="3">
        <f ca="1">TODAY()</f>
        <v>46100</v>
      </c>
      <c r="ID13" s="3">
        <f ca="1">TODAY()</f>
        <v>46100</v>
      </c>
      <c r="IE13" s="3">
        <f ca="1">TODAY()</f>
        <v>46100</v>
      </c>
      <c r="IF13" s="3">
        <f ca="1">TODAY()</f>
        <v>46100</v>
      </c>
      <c r="IG13" s="3">
        <f ca="1">TODAY()</f>
        <v>46100</v>
      </c>
      <c r="IH13" s="3">
        <f ca="1">TODAY()</f>
        <v>46100</v>
      </c>
      <c r="II13" s="3">
        <f ca="1">TODAY()</f>
        <v>46100</v>
      </c>
      <c r="IJ13" s="3">
        <f ca="1">TODAY()</f>
        <v>46100</v>
      </c>
      <c r="IK13" s="3">
        <f ca="1">TODAY()</f>
        <v>46100</v>
      </c>
      <c r="IL13" s="3">
        <f ca="1">TODAY()</f>
        <v>46100</v>
      </c>
      <c r="IM13" s="3">
        <f ca="1">TODAY()</f>
        <v>46100</v>
      </c>
      <c r="IN13" s="3">
        <f ca="1">TODAY()</f>
        <v>46100</v>
      </c>
      <c r="IO13" s="3">
        <f ca="1">TODAY()</f>
        <v>46100</v>
      </c>
      <c r="IP13" s="3">
        <f ca="1">TODAY()</f>
        <v>46100</v>
      </c>
      <c r="IQ13" s="3">
        <f ca="1">TODAY()</f>
        <v>46100</v>
      </c>
      <c r="IR13" s="3">
        <f ca="1">TODAY()</f>
        <v>46100</v>
      </c>
      <c r="IS13" s="3">
        <f ca="1">TODAY()</f>
        <v>46100</v>
      </c>
      <c r="IT13" s="3">
        <f ca="1">TODAY()</f>
        <v>46100</v>
      </c>
      <c r="IU13" s="3">
        <f ca="1">TODAY()</f>
        <v>46100</v>
      </c>
      <c r="IV13" s="3">
        <f ca="1">TODAY()</f>
        <v>46100</v>
      </c>
      <c r="IW13" s="3">
        <f ca="1">TODAY()</f>
        <v>46100</v>
      </c>
      <c r="IX13" s="3">
        <f ca="1">TODAY()</f>
        <v>46100</v>
      </c>
      <c r="IY13" s="3">
        <f ca="1">TODAY()</f>
        <v>46100</v>
      </c>
      <c r="IZ13" s="3">
        <f ca="1">TODAY()</f>
        <v>46100</v>
      </c>
      <c r="JA13" s="3">
        <f ca="1">TODAY()</f>
        <v>46100</v>
      </c>
      <c r="JB13" s="3">
        <f ca="1">TODAY()</f>
        <v>46100</v>
      </c>
      <c r="JC13" s="3">
        <f ca="1">TODAY()</f>
        <v>46100</v>
      </c>
      <c r="JD13" s="3">
        <f ca="1">TODAY()</f>
        <v>46100</v>
      </c>
      <c r="JE13" s="3">
        <f ca="1">TODAY()</f>
        <v>46100</v>
      </c>
      <c r="JF13" s="3">
        <f ca="1">TODAY()</f>
        <v>46100</v>
      </c>
      <c r="JG13" s="3">
        <f ca="1">TODAY()</f>
        <v>46100</v>
      </c>
      <c r="JH13" s="3">
        <f ca="1">TODAY()</f>
        <v>46100</v>
      </c>
      <c r="JI13" s="3">
        <f ca="1">TODAY()</f>
        <v>46100</v>
      </c>
      <c r="JJ13" s="3">
        <f ca="1">TODAY()</f>
        <v>46100</v>
      </c>
      <c r="JK13" s="3">
        <f ca="1">TODAY()</f>
        <v>46100</v>
      </c>
      <c r="JL13" s="3">
        <f ca="1">TODAY()</f>
        <v>46100</v>
      </c>
      <c r="JM13" s="3">
        <f ca="1">TODAY()</f>
        <v>46100</v>
      </c>
      <c r="JN13" s="3">
        <f ca="1">TODAY()</f>
        <v>46100</v>
      </c>
      <c r="JO13" s="3">
        <f ca="1">TODAY()</f>
        <v>46100</v>
      </c>
      <c r="JP13" s="3">
        <f ca="1">TODAY()</f>
        <v>46100</v>
      </c>
      <c r="JQ13" s="3">
        <f ca="1">TODAY()</f>
        <v>46100</v>
      </c>
      <c r="JR13" s="3">
        <f ca="1">TODAY()</f>
        <v>46100</v>
      </c>
      <c r="JS13" s="3">
        <f ca="1">TODAY()</f>
        <v>46100</v>
      </c>
      <c r="JT13" s="3">
        <f ca="1">TODAY()</f>
        <v>46100</v>
      </c>
      <c r="JU13" s="3">
        <f ca="1">TODAY()</f>
        <v>46100</v>
      </c>
      <c r="JV13" s="3">
        <f ca="1">TODAY()</f>
        <v>46100</v>
      </c>
      <c r="JW13" s="3">
        <f ca="1">TODAY()</f>
        <v>46100</v>
      </c>
      <c r="JX13" s="3">
        <f ca="1">TODAY()</f>
        <v>46100</v>
      </c>
      <c r="JY13" s="3">
        <f ca="1">TODAY()</f>
        <v>46100</v>
      </c>
      <c r="JZ13" s="3">
        <f ca="1">TODAY()</f>
        <v>46100</v>
      </c>
      <c r="KA13" s="3">
        <f ca="1">TODAY()</f>
        <v>46100</v>
      </c>
      <c r="KB13" s="3">
        <f ca="1">TODAY()</f>
        <v>46100</v>
      </c>
      <c r="KC13" s="3">
        <f ca="1">TODAY()</f>
        <v>46100</v>
      </c>
      <c r="KD13" s="3">
        <f ca="1">TODAY()</f>
        <v>46100</v>
      </c>
      <c r="KE13" s="3">
        <f ca="1">TODAY()</f>
        <v>46100</v>
      </c>
      <c r="KF13" s="3">
        <f ca="1">TODAY()</f>
        <v>46100</v>
      </c>
      <c r="KG13" s="3">
        <f ca="1">TODAY()</f>
        <v>46100</v>
      </c>
      <c r="KH13" s="3">
        <f ca="1">TODAY()</f>
        <v>46100</v>
      </c>
      <c r="KI13" s="3">
        <f ca="1">TODAY()</f>
        <v>46100</v>
      </c>
      <c r="KJ13" s="3">
        <f ca="1">TODAY()</f>
        <v>46100</v>
      </c>
      <c r="KK13" s="3">
        <f ca="1">TODAY()</f>
        <v>46100</v>
      </c>
      <c r="KL13" s="3">
        <f ca="1">TODAY()</f>
        <v>46100</v>
      </c>
      <c r="KM13" s="3">
        <f ca="1">TODAY()</f>
        <v>46100</v>
      </c>
      <c r="KN13" s="3">
        <f ca="1">TODAY()</f>
        <v>46100</v>
      </c>
      <c r="KO13" s="3">
        <f ca="1">TODAY()</f>
        <v>46100</v>
      </c>
      <c r="KP13" s="3">
        <f ca="1">TODAY()</f>
        <v>46100</v>
      </c>
      <c r="KQ13" s="3">
        <f ca="1">TODAY()</f>
        <v>46100</v>
      </c>
      <c r="KR13" s="3">
        <f ca="1">TODAY()</f>
        <v>46100</v>
      </c>
      <c r="KS13" s="3">
        <f ca="1">TODAY()</f>
        <v>46100</v>
      </c>
      <c r="KT13" s="3">
        <f ca="1">TODAY()</f>
        <v>46100</v>
      </c>
      <c r="KU13" s="3">
        <f ca="1">TODAY()</f>
        <v>46100</v>
      </c>
      <c r="KV13" s="3">
        <f ca="1">TODAY()</f>
        <v>46100</v>
      </c>
      <c r="KW13" s="3">
        <f ca="1">TODAY()</f>
        <v>46100</v>
      </c>
      <c r="KX13" s="3">
        <f ca="1">TODAY()</f>
        <v>46100</v>
      </c>
      <c r="KY13" s="3">
        <f ca="1">TODAY()</f>
        <v>46100</v>
      </c>
      <c r="KZ13" s="3">
        <f ca="1">TODAY()</f>
        <v>46100</v>
      </c>
      <c r="LA13" s="3">
        <f ca="1">TODAY()</f>
        <v>46100</v>
      </c>
      <c r="LB13" s="3">
        <f ca="1">TODAY()</f>
        <v>46100</v>
      </c>
      <c r="LC13" s="3">
        <f ca="1">TODAY()</f>
        <v>46100</v>
      </c>
      <c r="LD13" s="3">
        <f ca="1">TODAY()</f>
        <v>46100</v>
      </c>
      <c r="LE13" s="3">
        <f ca="1">TODAY()</f>
        <v>46100</v>
      </c>
      <c r="LF13" s="3">
        <f ca="1">TODAY()</f>
        <v>46100</v>
      </c>
      <c r="LG13" s="3">
        <f ca="1">TODAY()</f>
        <v>46100</v>
      </c>
      <c r="LH13" s="3">
        <f ca="1">TODAY()</f>
        <v>46100</v>
      </c>
      <c r="LI13" s="3">
        <f ca="1">TODAY()</f>
        <v>46100</v>
      </c>
      <c r="LJ13" s="3">
        <f ca="1">TODAY()</f>
        <v>46100</v>
      </c>
      <c r="LK13" s="3">
        <f ca="1">TODAY()</f>
        <v>46100</v>
      </c>
      <c r="LL13" s="3">
        <f ca="1">TODAY()</f>
        <v>46100</v>
      </c>
      <c r="LM13" s="3">
        <f ca="1">TODAY()</f>
        <v>46100</v>
      </c>
      <c r="LN13" s="3">
        <f ca="1">TODAY()</f>
        <v>46100</v>
      </c>
      <c r="LO13" s="3">
        <f ca="1">TODAY()</f>
        <v>46100</v>
      </c>
      <c r="LP13" s="3">
        <f ca="1">TODAY()</f>
        <v>46100</v>
      </c>
      <c r="LQ13" s="3">
        <f ca="1">TODAY()</f>
        <v>46100</v>
      </c>
      <c r="LR13" s="3">
        <f ca="1">TODAY()</f>
        <v>46100</v>
      </c>
      <c r="LS13" s="3">
        <f ca="1">TODAY()</f>
        <v>46100</v>
      </c>
      <c r="LT13" s="3">
        <f ca="1">TODAY()</f>
        <v>46100</v>
      </c>
      <c r="LU13" s="3">
        <f ca="1">TODAY()</f>
        <v>46100</v>
      </c>
      <c r="LV13" s="3">
        <f ca="1">TODAY()</f>
        <v>46100</v>
      </c>
      <c r="LW13" s="3">
        <f ca="1">TODAY()</f>
        <v>46100</v>
      </c>
      <c r="LX13" s="3">
        <f ca="1">TODAY()</f>
        <v>46100</v>
      </c>
      <c r="LY13" s="3">
        <f ca="1">TODAY()</f>
        <v>46100</v>
      </c>
      <c r="LZ13" s="3">
        <f ca="1">TODAY()</f>
        <v>46100</v>
      </c>
      <c r="MA13" s="3">
        <f ca="1">TODAY()</f>
        <v>46100</v>
      </c>
      <c r="MB13" s="3">
        <f ca="1">TODAY()</f>
        <v>46100</v>
      </c>
      <c r="MC13" s="3">
        <f ca="1">TODAY()</f>
        <v>46100</v>
      </c>
      <c r="MD13" s="3">
        <f ca="1">TODAY()</f>
        <v>46100</v>
      </c>
      <c r="ME13" s="3">
        <f ca="1">TODAY()</f>
        <v>46100</v>
      </c>
      <c r="MF13" s="3">
        <f ca="1">TODAY()</f>
        <v>46100</v>
      </c>
      <c r="MG13" s="3">
        <f ca="1">TODAY()</f>
        <v>46100</v>
      </c>
      <c r="MH13" s="3">
        <f ca="1">TODAY()</f>
        <v>46100</v>
      </c>
      <c r="MI13" s="3">
        <f ca="1">TODAY()</f>
        <v>46100</v>
      </c>
      <c r="MJ13" s="3">
        <f ca="1">TODAY()</f>
        <v>46100</v>
      </c>
      <c r="MK13" s="3">
        <f ca="1">TODAY()</f>
        <v>46100</v>
      </c>
      <c r="ML13" s="3">
        <f ca="1">TODAY()</f>
        <v>46100</v>
      </c>
      <c r="MM13" s="3">
        <f ca="1">TODAY()</f>
        <v>46100</v>
      </c>
      <c r="MN13" s="3">
        <f ca="1">TODAY()</f>
        <v>46100</v>
      </c>
      <c r="MO13" s="3">
        <f ca="1">TODAY()</f>
        <v>46100</v>
      </c>
      <c r="MP13" s="3">
        <f ca="1">TODAY()</f>
        <v>46100</v>
      </c>
      <c r="MQ13" s="3">
        <f ca="1">TODAY()</f>
        <v>46100</v>
      </c>
      <c r="MR13" s="3">
        <f ca="1">TODAY()</f>
        <v>46100</v>
      </c>
      <c r="MS13" s="3">
        <f ca="1">TODAY()</f>
        <v>46100</v>
      </c>
      <c r="MT13" s="3">
        <f ca="1">TODAY()</f>
        <v>46100</v>
      </c>
      <c r="MU13" s="3">
        <f ca="1">TODAY()</f>
        <v>46100</v>
      </c>
      <c r="MV13" s="3">
        <f ca="1">TODAY()</f>
        <v>46100</v>
      </c>
      <c r="MW13" s="3">
        <f ca="1">TODAY()</f>
        <v>46100</v>
      </c>
      <c r="MX13" s="3">
        <f ca="1">TODAY()</f>
        <v>46100</v>
      </c>
      <c r="MY13" s="3">
        <f ca="1">TODAY()</f>
        <v>46100</v>
      </c>
      <c r="MZ13" s="3">
        <f ca="1">TODAY()</f>
        <v>46100</v>
      </c>
      <c r="NA13" s="3">
        <f ca="1">TODAY()</f>
        <v>46100</v>
      </c>
      <c r="NB13" s="3">
        <f ca="1">TODAY()</f>
        <v>46100</v>
      </c>
      <c r="NC13" s="3">
        <f ca="1">TODAY()</f>
        <v>46100</v>
      </c>
      <c r="ND13" s="3">
        <f ca="1">TODAY()</f>
        <v>46100</v>
      </c>
      <c r="NE13" s="3">
        <f ca="1">TODAY()</f>
        <v>46100</v>
      </c>
      <c r="NF13" s="3">
        <f ca="1">TODAY()</f>
        <v>46100</v>
      </c>
      <c r="NG13" s="3">
        <f ca="1">TODAY()</f>
        <v>46100</v>
      </c>
      <c r="NH13" s="3">
        <f ca="1">TODAY()</f>
        <v>46100</v>
      </c>
      <c r="NI13" s="3">
        <f ca="1">TODAY()</f>
        <v>46100</v>
      </c>
      <c r="NJ13" s="3">
        <f ca="1">TODAY()</f>
        <v>46100</v>
      </c>
      <c r="NK13" s="3">
        <f ca="1">TODAY()</f>
        <v>46100</v>
      </c>
      <c r="NL13" s="3">
        <f ca="1">TODAY()</f>
        <v>46100</v>
      </c>
      <c r="NM13" s="3">
        <f ca="1">TODAY()</f>
        <v>46100</v>
      </c>
      <c r="NN13" s="3">
        <f ca="1">TODAY()</f>
        <v>46100</v>
      </c>
      <c r="NO13" s="3">
        <f ca="1">TODAY()</f>
        <v>46100</v>
      </c>
      <c r="NP13" s="3">
        <f ca="1">TODAY()</f>
        <v>46100</v>
      </c>
      <c r="NQ13" s="3">
        <f ca="1">TODAY()</f>
        <v>46100</v>
      </c>
      <c r="NR13" s="3">
        <f ca="1">TODAY()</f>
        <v>46100</v>
      </c>
      <c r="NS13" s="3">
        <f ca="1">TODAY()</f>
        <v>46100</v>
      </c>
      <c r="NT13" s="3">
        <f ca="1">TODAY()</f>
        <v>46100</v>
      </c>
      <c r="NU13" s="3">
        <f ca="1">TODAY()</f>
        <v>46100</v>
      </c>
      <c r="NV13" s="3">
        <f ca="1">TODAY()</f>
        <v>46100</v>
      </c>
      <c r="NW13" s="3">
        <f ca="1">TODAY()</f>
        <v>46100</v>
      </c>
      <c r="NX13" s="3">
        <f ca="1">TODAY()</f>
        <v>46100</v>
      </c>
      <c r="NY13" s="3">
        <f ca="1">TODAY()</f>
        <v>46100</v>
      </c>
      <c r="NZ13" s="3">
        <f ca="1">TODAY()</f>
        <v>46100</v>
      </c>
      <c r="OA13" s="3">
        <f ca="1">TODAY()</f>
        <v>46100</v>
      </c>
      <c r="OB13" s="3">
        <f ca="1">TODAY()</f>
        <v>46100</v>
      </c>
      <c r="OC13" s="3">
        <f ca="1">TODAY()</f>
        <v>46100</v>
      </c>
      <c r="OD13" s="3">
        <f ca="1">TODAY()</f>
        <v>46100</v>
      </c>
      <c r="OE13" s="3">
        <f ca="1">TODAY()</f>
        <v>46100</v>
      </c>
      <c r="OF13" s="3">
        <f ca="1">TODAY()</f>
        <v>46100</v>
      </c>
      <c r="OG13" s="3">
        <f ca="1">TODAY()</f>
        <v>46100</v>
      </c>
      <c r="OH13" s="3">
        <f ca="1">TODAY()</f>
        <v>46100</v>
      </c>
      <c r="OI13" s="3">
        <f ca="1">TODAY()</f>
        <v>46100</v>
      </c>
      <c r="OJ13" s="3">
        <f ca="1">TODAY()</f>
        <v>46100</v>
      </c>
      <c r="OK13" s="3">
        <f ca="1">TODAY()</f>
        <v>46100</v>
      </c>
      <c r="OL13" s="3">
        <f ca="1">TODAY()</f>
        <v>46100</v>
      </c>
      <c r="OM13" s="3">
        <f ca="1">TODAY()</f>
        <v>46100</v>
      </c>
      <c r="ON13" s="3">
        <f ca="1">TODAY()</f>
        <v>46100</v>
      </c>
      <c r="OO13" s="3">
        <f ca="1">TODAY()</f>
        <v>46100</v>
      </c>
      <c r="OP13" s="3">
        <f ca="1">TODAY()</f>
        <v>46100</v>
      </c>
      <c r="OQ13" s="3">
        <f ca="1">TODAY()</f>
        <v>46100</v>
      </c>
      <c r="OR13" s="3">
        <f ca="1">TODAY()</f>
        <v>46100</v>
      </c>
      <c r="OS13" s="3">
        <f ca="1">TODAY()</f>
        <v>46100</v>
      </c>
      <c r="OT13" s="3">
        <f ca="1">TODAY()</f>
        <v>46100</v>
      </c>
      <c r="OU13" s="3">
        <f ca="1">TODAY()</f>
        <v>46100</v>
      </c>
      <c r="OV13" s="3">
        <f ca="1">TODAY()</f>
        <v>46100</v>
      </c>
      <c r="OW13" s="3">
        <f ca="1">TODAY()</f>
        <v>46100</v>
      </c>
      <c r="OX13" s="3">
        <f ca="1">TODAY()</f>
        <v>46100</v>
      </c>
      <c r="OY13" s="3">
        <f ca="1">TODAY()</f>
        <v>46100</v>
      </c>
      <c r="OZ13" s="3">
        <f ca="1">TODAY()</f>
        <v>46100</v>
      </c>
      <c r="PA13" s="3">
        <f ca="1">TODAY()</f>
        <v>46100</v>
      </c>
      <c r="PB13" s="3">
        <f ca="1">TODAY()</f>
        <v>46100</v>
      </c>
      <c r="PC13" s="3">
        <f ca="1">TODAY()</f>
        <v>46100</v>
      </c>
      <c r="PD13" s="3">
        <f ca="1">TODAY()</f>
        <v>46100</v>
      </c>
      <c r="PE13" s="3">
        <f ca="1">TODAY()</f>
        <v>46100</v>
      </c>
      <c r="PF13" s="3">
        <f ca="1">TODAY()</f>
        <v>46100</v>
      </c>
      <c r="PG13" s="3">
        <f ca="1">TODAY()</f>
        <v>46100</v>
      </c>
      <c r="PH13" s="3">
        <f ca="1">TODAY()</f>
        <v>46100</v>
      </c>
      <c r="PI13" s="3">
        <f ca="1">TODAY()</f>
        <v>46100</v>
      </c>
      <c r="PJ13" s="3">
        <f ca="1">TODAY()</f>
        <v>46100</v>
      </c>
      <c r="PK13" s="3">
        <f ca="1">TODAY()</f>
        <v>46100</v>
      </c>
      <c r="PL13" s="3">
        <f ca="1">TODAY()</f>
        <v>46100</v>
      </c>
      <c r="PM13" s="3">
        <f ca="1">TODAY()</f>
        <v>46100</v>
      </c>
      <c r="PN13" s="3">
        <f ca="1">TODAY()</f>
        <v>46100</v>
      </c>
      <c r="PO13" s="3">
        <f ca="1">TODAY()</f>
        <v>46100</v>
      </c>
      <c r="PP13" s="3">
        <f ca="1">TODAY()</f>
        <v>46100</v>
      </c>
      <c r="PQ13" s="3">
        <f ca="1">TODAY()</f>
        <v>46100</v>
      </c>
      <c r="PR13" s="3">
        <f ca="1">TODAY()</f>
        <v>46100</v>
      </c>
      <c r="PS13" s="3">
        <f ca="1">TODAY()</f>
        <v>46100</v>
      </c>
      <c r="PT13" s="3">
        <f ca="1">TODAY()</f>
        <v>46100</v>
      </c>
      <c r="PU13" s="3">
        <f ca="1">TODAY()</f>
        <v>46100</v>
      </c>
      <c r="PV13" s="3">
        <f ca="1">TODAY()</f>
        <v>46100</v>
      </c>
      <c r="PW13" s="3">
        <f ca="1">TODAY()</f>
        <v>46100</v>
      </c>
      <c r="PX13" s="3">
        <f ca="1">TODAY()</f>
        <v>46100</v>
      </c>
      <c r="PY13" s="3">
        <f ca="1">TODAY()</f>
        <v>46100</v>
      </c>
      <c r="PZ13" s="3">
        <f ca="1">TODAY()</f>
        <v>46100</v>
      </c>
      <c r="QA13" s="3">
        <f ca="1">TODAY()</f>
        <v>46100</v>
      </c>
      <c r="QB13" s="3">
        <f ca="1">TODAY()</f>
        <v>46100</v>
      </c>
      <c r="QC13" s="3">
        <f ca="1">TODAY()</f>
        <v>46100</v>
      </c>
      <c r="QD13" s="3">
        <f ca="1">TODAY()</f>
        <v>46100</v>
      </c>
      <c r="QE13" s="3">
        <f ca="1">TODAY()</f>
        <v>46100</v>
      </c>
      <c r="QF13" s="3">
        <f ca="1">TODAY()</f>
        <v>46100</v>
      </c>
      <c r="QG13" s="3">
        <f ca="1">TODAY()</f>
        <v>46100</v>
      </c>
      <c r="QH13" s="3">
        <f ca="1">TODAY()</f>
        <v>46100</v>
      </c>
      <c r="QI13" s="3">
        <f ca="1">TODAY()</f>
        <v>46100</v>
      </c>
      <c r="QJ13" s="3">
        <f ca="1">TODAY()</f>
        <v>46100</v>
      </c>
      <c r="QK13" s="3">
        <f ca="1">TODAY()</f>
        <v>46100</v>
      </c>
      <c r="QL13" s="3">
        <f ca="1">TODAY()</f>
        <v>46100</v>
      </c>
      <c r="QM13" s="3">
        <f ca="1">TODAY()</f>
        <v>46100</v>
      </c>
      <c r="QN13" s="3">
        <f ca="1">TODAY()</f>
        <v>46100</v>
      </c>
      <c r="QO13" s="3">
        <f ca="1">TODAY()</f>
        <v>46100</v>
      </c>
      <c r="QP13" s="3">
        <f ca="1">TODAY()</f>
        <v>46100</v>
      </c>
      <c r="QQ13" s="3">
        <f ca="1">TODAY()</f>
        <v>46100</v>
      </c>
      <c r="QR13" s="3">
        <f ca="1">TODAY()</f>
        <v>46100</v>
      </c>
      <c r="QS13" s="3">
        <f ca="1">TODAY()</f>
        <v>46100</v>
      </c>
      <c r="QT13" s="3">
        <f ca="1">TODAY()</f>
        <v>46100</v>
      </c>
      <c r="QU13" s="3">
        <f ca="1">TODAY()</f>
        <v>46100</v>
      </c>
      <c r="QV13" s="3">
        <f ca="1">TODAY()</f>
        <v>46100</v>
      </c>
      <c r="QW13" s="3">
        <f ca="1">TODAY()</f>
        <v>46100</v>
      </c>
      <c r="QX13" s="3">
        <f ca="1">TODAY()</f>
        <v>46100</v>
      </c>
      <c r="QY13" s="3">
        <f ca="1">TODAY()</f>
        <v>46100</v>
      </c>
      <c r="QZ13" s="3">
        <f ca="1">TODAY()</f>
        <v>46100</v>
      </c>
      <c r="RA13" s="3">
        <f ca="1">TODAY()</f>
        <v>46100</v>
      </c>
      <c r="RB13" s="3">
        <f ca="1">TODAY()</f>
        <v>46100</v>
      </c>
      <c r="RC13" s="3">
        <f ca="1">TODAY()</f>
        <v>46100</v>
      </c>
      <c r="RD13" s="3">
        <f ca="1">TODAY()</f>
        <v>46100</v>
      </c>
      <c r="RE13" s="3">
        <f ca="1">TODAY()</f>
        <v>46100</v>
      </c>
      <c r="RF13" s="3">
        <f ca="1">TODAY()</f>
        <v>46100</v>
      </c>
      <c r="RG13" s="3">
        <f ca="1">TODAY()</f>
        <v>46100</v>
      </c>
      <c r="RH13" s="3">
        <f ca="1">TODAY()</f>
        <v>46100</v>
      </c>
      <c r="RI13" s="3">
        <f ca="1">TODAY()</f>
        <v>46100</v>
      </c>
      <c r="RJ13" s="3">
        <f ca="1">TODAY()</f>
        <v>46100</v>
      </c>
      <c r="RK13" s="3">
        <f ca="1">TODAY()</f>
        <v>46100</v>
      </c>
      <c r="RL13" s="3">
        <f ca="1">TODAY()</f>
        <v>46100</v>
      </c>
      <c r="RM13" s="3">
        <f ca="1">TODAY()</f>
        <v>46100</v>
      </c>
      <c r="RN13" s="3">
        <f ca="1">TODAY()</f>
        <v>46100</v>
      </c>
      <c r="RO13" s="3">
        <f ca="1">TODAY()</f>
        <v>46100</v>
      </c>
      <c r="RP13" s="3">
        <f ca="1">TODAY()</f>
        <v>46100</v>
      </c>
      <c r="RQ13" s="3">
        <f ca="1">TODAY()</f>
        <v>46100</v>
      </c>
      <c r="RR13" s="3">
        <f ca="1">TODAY()</f>
        <v>46100</v>
      </c>
      <c r="RS13" s="3">
        <f ca="1">TODAY()</f>
        <v>46100</v>
      </c>
      <c r="RT13" s="3">
        <f ca="1">TODAY()</f>
        <v>46100</v>
      </c>
      <c r="RU13" s="3">
        <f ca="1">TODAY()</f>
        <v>46100</v>
      </c>
      <c r="RV13" s="3">
        <f ca="1">TODAY()</f>
        <v>46100</v>
      </c>
      <c r="RW13" s="3">
        <f ca="1">TODAY()</f>
        <v>46100</v>
      </c>
      <c r="RX13" s="3">
        <f ca="1">TODAY()</f>
        <v>46100</v>
      </c>
      <c r="RY13" s="3">
        <f ca="1">TODAY()</f>
        <v>46100</v>
      </c>
      <c r="RZ13" s="3">
        <f ca="1">TODAY()</f>
        <v>46100</v>
      </c>
      <c r="SA13" s="3">
        <f ca="1">TODAY()</f>
        <v>46100</v>
      </c>
      <c r="SB13" s="3">
        <f ca="1">TODAY()</f>
        <v>46100</v>
      </c>
      <c r="SC13" s="3">
        <f ca="1">TODAY()</f>
        <v>46100</v>
      </c>
      <c r="SD13" s="3">
        <f ca="1">TODAY()</f>
        <v>46100</v>
      </c>
      <c r="SE13" s="3">
        <f ca="1">TODAY()</f>
        <v>46100</v>
      </c>
      <c r="SF13" s="3">
        <f ca="1">TODAY()</f>
        <v>46100</v>
      </c>
      <c r="SG13" s="3">
        <f ca="1">TODAY()</f>
        <v>46100</v>
      </c>
      <c r="SH13" s="3">
        <f ca="1">TODAY()</f>
        <v>46100</v>
      </c>
      <c r="SI13" s="3">
        <f ca="1">TODAY()</f>
        <v>46100</v>
      </c>
      <c r="SJ13" s="3">
        <f ca="1">TODAY()</f>
        <v>46100</v>
      </c>
      <c r="SK13" s="3">
        <f ca="1">TODAY()</f>
        <v>46100</v>
      </c>
      <c r="SL13" s="3">
        <f ca="1">TODAY()</f>
        <v>46100</v>
      </c>
      <c r="SM13" s="3">
        <f ca="1">TODAY()</f>
        <v>46100</v>
      </c>
      <c r="SN13" s="3">
        <f ca="1">TODAY()</f>
        <v>46100</v>
      </c>
      <c r="SO13" s="3">
        <f ca="1">TODAY()</f>
        <v>46100</v>
      </c>
      <c r="SP13" s="3">
        <f ca="1">TODAY()</f>
        <v>46100</v>
      </c>
      <c r="SQ13" s="3">
        <f ca="1">TODAY()</f>
        <v>46100</v>
      </c>
      <c r="SR13" s="3">
        <f ca="1">TODAY()</f>
        <v>46100</v>
      </c>
      <c r="SS13" s="3">
        <f ca="1">TODAY()</f>
        <v>46100</v>
      </c>
      <c r="ST13" s="3">
        <f ca="1">TODAY()</f>
        <v>46100</v>
      </c>
      <c r="SU13" s="3">
        <f ca="1">TODAY()</f>
        <v>46100</v>
      </c>
      <c r="SV13" s="3">
        <f ca="1">TODAY()</f>
        <v>46100</v>
      </c>
      <c r="SW13" s="3">
        <f ca="1">TODAY()</f>
        <v>46100</v>
      </c>
      <c r="SX13" s="3">
        <f ca="1">TODAY()</f>
        <v>46100</v>
      </c>
      <c r="SY13" s="3">
        <f ca="1">TODAY()</f>
        <v>46100</v>
      </c>
      <c r="SZ13" s="3">
        <f ca="1">TODAY()</f>
        <v>46100</v>
      </c>
      <c r="TA13" s="3">
        <f ca="1">TODAY()</f>
        <v>46100</v>
      </c>
      <c r="TB13" s="3">
        <f ca="1">TODAY()</f>
        <v>46100</v>
      </c>
      <c r="TC13" s="3">
        <f ca="1">TODAY()</f>
        <v>46100</v>
      </c>
      <c r="TD13" s="3">
        <f ca="1">TODAY()</f>
        <v>46100</v>
      </c>
      <c r="TE13" s="3">
        <f ca="1">TODAY()</f>
        <v>46100</v>
      </c>
      <c r="TF13" s="3">
        <f ca="1">TODAY()</f>
        <v>46100</v>
      </c>
      <c r="TG13" s="3">
        <f ca="1">TODAY()</f>
        <v>46100</v>
      </c>
      <c r="TH13" s="3">
        <f ca="1">TODAY()</f>
        <v>46100</v>
      </c>
      <c r="TI13" s="3">
        <f ca="1">TODAY()</f>
        <v>46100</v>
      </c>
      <c r="TJ13" s="3">
        <f ca="1">TODAY()</f>
        <v>46100</v>
      </c>
      <c r="TK13" s="3">
        <f ca="1">TODAY()</f>
        <v>46100</v>
      </c>
      <c r="TL13" s="3">
        <f ca="1">TODAY()</f>
        <v>46100</v>
      </c>
      <c r="TM13" s="3">
        <f ca="1">TODAY()</f>
        <v>46100</v>
      </c>
      <c r="TN13" s="3">
        <f ca="1">TODAY()</f>
        <v>46100</v>
      </c>
      <c r="TO13" s="3">
        <f ca="1">TODAY()</f>
        <v>46100</v>
      </c>
      <c r="TP13" s="3">
        <f ca="1">TODAY()</f>
        <v>46100</v>
      </c>
      <c r="TQ13" s="3">
        <f ca="1">TODAY()</f>
        <v>46100</v>
      </c>
      <c r="TR13" s="3">
        <f ca="1">TODAY()</f>
        <v>46100</v>
      </c>
      <c r="TS13" s="3">
        <f ca="1">TODAY()</f>
        <v>46100</v>
      </c>
      <c r="TT13" s="3">
        <f ca="1">TODAY()</f>
        <v>46100</v>
      </c>
      <c r="TU13" s="3">
        <f ca="1">TODAY()</f>
        <v>46100</v>
      </c>
      <c r="TV13" s="3">
        <f ca="1">TODAY()</f>
        <v>46100</v>
      </c>
      <c r="TW13" s="3">
        <f ca="1">TODAY()</f>
        <v>46100</v>
      </c>
      <c r="TX13" s="3">
        <f ca="1">TODAY()</f>
        <v>46100</v>
      </c>
      <c r="TY13" s="3">
        <f ca="1">TODAY()</f>
        <v>46100</v>
      </c>
      <c r="TZ13" s="3">
        <f ca="1">TODAY()</f>
        <v>46100</v>
      </c>
      <c r="UA13" s="3">
        <f ca="1">TODAY()</f>
        <v>46100</v>
      </c>
      <c r="UB13" s="3">
        <f ca="1">TODAY()</f>
        <v>46100</v>
      </c>
      <c r="UC13" s="3">
        <f ca="1">TODAY()</f>
        <v>46100</v>
      </c>
      <c r="UD13" s="3">
        <f ca="1">TODAY()</f>
        <v>46100</v>
      </c>
      <c r="UE13" s="3">
        <f ca="1">TODAY()</f>
        <v>46100</v>
      </c>
      <c r="UF13" s="3">
        <f ca="1">TODAY()</f>
        <v>46100</v>
      </c>
      <c r="UG13" s="3">
        <f ca="1">TODAY()</f>
        <v>46100</v>
      </c>
      <c r="UH13" s="3">
        <f ca="1">TODAY()</f>
        <v>46100</v>
      </c>
      <c r="UI13" s="3">
        <f ca="1">TODAY()</f>
        <v>46100</v>
      </c>
      <c r="UJ13" s="3">
        <f ca="1">TODAY()</f>
        <v>46100</v>
      </c>
      <c r="UK13" s="3">
        <f ca="1">TODAY()</f>
        <v>46100</v>
      </c>
      <c r="UL13" s="3">
        <f ca="1">TODAY()</f>
        <v>46100</v>
      </c>
      <c r="UM13" s="3">
        <f ca="1">TODAY()</f>
        <v>46100</v>
      </c>
      <c r="UN13" s="3">
        <f ca="1">TODAY()</f>
        <v>46100</v>
      </c>
      <c r="UO13" s="3">
        <f ca="1">TODAY()</f>
        <v>46100</v>
      </c>
      <c r="UP13" s="3">
        <f ca="1">TODAY()</f>
        <v>46100</v>
      </c>
      <c r="UQ13" s="3">
        <f ca="1">TODAY()</f>
        <v>46100</v>
      </c>
      <c r="UR13" s="3">
        <f ca="1">TODAY()</f>
        <v>46100</v>
      </c>
      <c r="US13" s="3">
        <f ca="1">TODAY()</f>
        <v>46100</v>
      </c>
      <c r="UT13" s="3">
        <f ca="1">TODAY()</f>
        <v>46100</v>
      </c>
      <c r="UU13" s="3">
        <f ca="1">TODAY()</f>
        <v>46100</v>
      </c>
      <c r="UV13" s="3">
        <f ca="1">TODAY()</f>
        <v>46100</v>
      </c>
      <c r="UW13" s="3">
        <f ca="1">TODAY()</f>
        <v>46100</v>
      </c>
      <c r="UX13" s="3">
        <f ca="1">TODAY()</f>
        <v>46100</v>
      </c>
      <c r="UY13" s="3">
        <f ca="1">TODAY()</f>
        <v>46100</v>
      </c>
      <c r="UZ13" s="3">
        <f ca="1">TODAY()</f>
        <v>46100</v>
      </c>
      <c r="VA13" s="3">
        <f ca="1">TODAY()</f>
        <v>46100</v>
      </c>
      <c r="VB13" s="3">
        <f ca="1">TODAY()</f>
        <v>46100</v>
      </c>
      <c r="VC13" s="3">
        <f ca="1">TODAY()</f>
        <v>46100</v>
      </c>
      <c r="VD13" s="3">
        <f ca="1">TODAY()</f>
        <v>46100</v>
      </c>
      <c r="VE13" s="3">
        <f ca="1">TODAY()</f>
        <v>46100</v>
      </c>
      <c r="VF13" s="3">
        <f ca="1">TODAY()</f>
        <v>46100</v>
      </c>
      <c r="VG13" s="3">
        <f ca="1">TODAY()</f>
        <v>46100</v>
      </c>
      <c r="VH13" s="3">
        <f ca="1">TODAY()</f>
        <v>46100</v>
      </c>
      <c r="VI13" s="3">
        <f ca="1">TODAY()</f>
        <v>46100</v>
      </c>
      <c r="VJ13" s="3">
        <f ca="1">TODAY()</f>
        <v>46100</v>
      </c>
      <c r="VK13" s="3">
        <f ca="1">TODAY()</f>
        <v>46100</v>
      </c>
      <c r="VL13" s="3">
        <f ca="1">TODAY()</f>
        <v>46100</v>
      </c>
      <c r="VM13" s="3">
        <f ca="1">TODAY()</f>
        <v>46100</v>
      </c>
      <c r="VN13" s="3">
        <f ca="1">TODAY()</f>
        <v>46100</v>
      </c>
      <c r="VO13" s="3">
        <f ca="1">TODAY()</f>
        <v>46100</v>
      </c>
      <c r="VP13" s="3">
        <f ca="1">TODAY()</f>
        <v>46100</v>
      </c>
      <c r="VQ13" s="3">
        <f ca="1">TODAY()</f>
        <v>46100</v>
      </c>
      <c r="VR13" s="3">
        <f ca="1">TODAY()</f>
        <v>46100</v>
      </c>
      <c r="VS13" s="3">
        <f ca="1">TODAY()</f>
        <v>46100</v>
      </c>
      <c r="VT13" s="3">
        <f ca="1">TODAY()</f>
        <v>46100</v>
      </c>
      <c r="VU13" s="3">
        <f ca="1">TODAY()</f>
        <v>46100</v>
      </c>
      <c r="VV13" s="3">
        <f ca="1">TODAY()</f>
        <v>46100</v>
      </c>
      <c r="VW13" s="3">
        <f ca="1">TODAY()</f>
        <v>46100</v>
      </c>
      <c r="VX13" s="3">
        <f ca="1">TODAY()</f>
        <v>46100</v>
      </c>
      <c r="VY13" s="3">
        <f ca="1">TODAY()</f>
        <v>46100</v>
      </c>
      <c r="VZ13" s="3">
        <f ca="1">TODAY()</f>
        <v>46100</v>
      </c>
      <c r="WA13" s="3">
        <f ca="1">TODAY()</f>
        <v>46100</v>
      </c>
      <c r="WB13" s="3">
        <f ca="1">TODAY()</f>
        <v>46100</v>
      </c>
      <c r="WC13" s="3">
        <f ca="1">TODAY()</f>
        <v>46100</v>
      </c>
      <c r="WD13" s="3">
        <f ca="1">TODAY()</f>
        <v>46100</v>
      </c>
      <c r="WE13" s="3">
        <f ca="1">TODAY()</f>
        <v>46100</v>
      </c>
      <c r="WF13" s="3">
        <f ca="1">TODAY()</f>
        <v>46100</v>
      </c>
      <c r="WG13" s="3">
        <f ca="1">TODAY()</f>
        <v>46100</v>
      </c>
      <c r="WH13" s="3">
        <f ca="1">TODAY()</f>
        <v>46100</v>
      </c>
      <c r="WI13" s="3">
        <f ca="1">TODAY()</f>
        <v>46100</v>
      </c>
      <c r="WJ13" s="3">
        <f ca="1">TODAY()</f>
        <v>46100</v>
      </c>
      <c r="WK13" s="3">
        <f ca="1">TODAY()</f>
        <v>46100</v>
      </c>
      <c r="WL13" s="3">
        <f ca="1">TODAY()</f>
        <v>46100</v>
      </c>
      <c r="WM13" s="3">
        <f ca="1">TODAY()</f>
        <v>46100</v>
      </c>
      <c r="WN13" s="3">
        <f ca="1">TODAY()</f>
        <v>46100</v>
      </c>
      <c r="WO13" s="3">
        <f ca="1">TODAY()</f>
        <v>46100</v>
      </c>
      <c r="WP13" s="3">
        <f ca="1">TODAY()</f>
        <v>46100</v>
      </c>
      <c r="WQ13" s="3">
        <f ca="1">TODAY()</f>
        <v>46100</v>
      </c>
      <c r="WR13" s="3">
        <f ca="1">TODAY()</f>
        <v>46100</v>
      </c>
      <c r="WS13" s="3">
        <f ca="1">TODAY()</f>
        <v>46100</v>
      </c>
      <c r="WT13" s="3">
        <f ca="1">TODAY()</f>
        <v>46100</v>
      </c>
      <c r="WU13" s="3">
        <f ca="1">TODAY()</f>
        <v>46100</v>
      </c>
      <c r="WV13" s="3">
        <f ca="1">TODAY()</f>
        <v>46100</v>
      </c>
      <c r="WW13" s="3">
        <f ca="1">TODAY()</f>
        <v>46100</v>
      </c>
      <c r="WX13" s="3">
        <f ca="1">TODAY()</f>
        <v>46100</v>
      </c>
      <c r="WY13" s="3">
        <f ca="1">TODAY()</f>
        <v>46100</v>
      </c>
      <c r="WZ13" s="3">
        <f ca="1">TODAY()</f>
        <v>46100</v>
      </c>
      <c r="XA13" s="3">
        <f ca="1">TODAY()</f>
        <v>46100</v>
      </c>
      <c r="XB13" s="3">
        <f ca="1">TODAY()</f>
        <v>46100</v>
      </c>
      <c r="XC13" s="3">
        <f ca="1">TODAY()</f>
        <v>46100</v>
      </c>
      <c r="XD13" s="3">
        <f ca="1">TODAY()</f>
        <v>46100</v>
      </c>
      <c r="XE13" s="3">
        <f ca="1">TODAY()</f>
        <v>46100</v>
      </c>
      <c r="XF13" s="3">
        <f ca="1">TODAY()</f>
        <v>46100</v>
      </c>
      <c r="XG13" s="3">
        <f ca="1">TODAY()</f>
        <v>46100</v>
      </c>
      <c r="XH13" s="3">
        <f ca="1">TODAY()</f>
        <v>46100</v>
      </c>
      <c r="XI13" s="3">
        <f ca="1">TODAY()</f>
        <v>46100</v>
      </c>
      <c r="XJ13" s="3">
        <f ca="1">TODAY()</f>
        <v>46100</v>
      </c>
      <c r="XK13" s="3">
        <f ca="1">TODAY()</f>
        <v>46100</v>
      </c>
      <c r="XL13" s="3">
        <f ca="1">TODAY()</f>
        <v>46100</v>
      </c>
      <c r="XM13" s="3">
        <f ca="1">TODAY()</f>
        <v>46100</v>
      </c>
      <c r="XN13" s="3">
        <f ca="1">TODAY()</f>
        <v>46100</v>
      </c>
      <c r="XO13" s="3">
        <f ca="1">TODAY()</f>
        <v>46100</v>
      </c>
      <c r="XP13" s="3">
        <f ca="1">TODAY()</f>
        <v>46100</v>
      </c>
      <c r="XQ13" s="3">
        <f ca="1">TODAY()</f>
        <v>46100</v>
      </c>
      <c r="XR13" s="3">
        <f ca="1">TODAY()</f>
        <v>46100</v>
      </c>
      <c r="XS13" s="3">
        <f ca="1">TODAY()</f>
        <v>46100</v>
      </c>
      <c r="XT13" s="3">
        <f ca="1">TODAY()</f>
        <v>46100</v>
      </c>
      <c r="XU13" s="3">
        <f ca="1">TODAY()</f>
        <v>46100</v>
      </c>
      <c r="XV13" s="3">
        <f ca="1">TODAY()</f>
        <v>46100</v>
      </c>
      <c r="XW13" s="3">
        <f ca="1">TODAY()</f>
        <v>46100</v>
      </c>
      <c r="XX13" s="3">
        <f ca="1">TODAY()</f>
        <v>46100</v>
      </c>
      <c r="XY13" s="3">
        <f ca="1">TODAY()</f>
        <v>46100</v>
      </c>
      <c r="XZ13" s="3">
        <f ca="1">TODAY()</f>
        <v>46100</v>
      </c>
      <c r="YA13" s="3">
        <f ca="1">TODAY()</f>
        <v>46100</v>
      </c>
      <c r="YB13" s="3">
        <f ca="1">TODAY()</f>
        <v>46100</v>
      </c>
      <c r="YC13" s="3">
        <f ca="1">TODAY()</f>
        <v>46100</v>
      </c>
      <c r="YD13" s="3">
        <f ca="1">TODAY()</f>
        <v>46100</v>
      </c>
      <c r="YE13" s="3">
        <f ca="1">TODAY()</f>
        <v>46100</v>
      </c>
      <c r="YF13" s="3">
        <f ca="1">TODAY()</f>
        <v>46100</v>
      </c>
      <c r="YG13" s="3">
        <f ca="1">TODAY()</f>
        <v>46100</v>
      </c>
      <c r="YH13" s="3">
        <f ca="1">TODAY()</f>
        <v>46100</v>
      </c>
      <c r="YI13" s="3">
        <f ca="1">TODAY()</f>
        <v>46100</v>
      </c>
      <c r="YJ13" s="3">
        <f ca="1">TODAY()</f>
        <v>46100</v>
      </c>
      <c r="YK13" s="3">
        <f ca="1">TODAY()</f>
        <v>46100</v>
      </c>
      <c r="YL13" s="3">
        <f ca="1">TODAY()</f>
        <v>46100</v>
      </c>
      <c r="YM13" s="3">
        <f ca="1">TODAY()</f>
        <v>46100</v>
      </c>
      <c r="YN13" s="3">
        <f ca="1">TODAY()</f>
        <v>46100</v>
      </c>
      <c r="YO13" s="3">
        <f ca="1">TODAY()</f>
        <v>46100</v>
      </c>
      <c r="YP13" s="3">
        <f ca="1">TODAY()</f>
        <v>46100</v>
      </c>
      <c r="YQ13" s="3">
        <f ca="1">TODAY()</f>
        <v>46100</v>
      </c>
      <c r="YR13" s="3">
        <f ca="1">TODAY()</f>
        <v>46100</v>
      </c>
      <c r="YS13" s="3">
        <f ca="1">TODAY()</f>
        <v>46100</v>
      </c>
      <c r="YT13" s="3">
        <f ca="1">TODAY()</f>
        <v>46100</v>
      </c>
      <c r="YU13" s="3">
        <f ca="1">TODAY()</f>
        <v>46100</v>
      </c>
      <c r="YV13" s="3">
        <f ca="1">TODAY()</f>
        <v>46100</v>
      </c>
      <c r="YW13" s="3">
        <f ca="1">TODAY()</f>
        <v>46100</v>
      </c>
      <c r="YX13" s="3">
        <f ca="1">TODAY()</f>
        <v>46100</v>
      </c>
      <c r="YY13" s="3">
        <f ca="1">TODAY()</f>
        <v>46100</v>
      </c>
      <c r="YZ13" s="3">
        <f ca="1">TODAY()</f>
        <v>46100</v>
      </c>
      <c r="ZA13" s="3">
        <f ca="1">TODAY()</f>
        <v>46100</v>
      </c>
      <c r="ZB13" s="3">
        <f ca="1">TODAY()</f>
        <v>46100</v>
      </c>
      <c r="ZC13" s="3">
        <f ca="1">TODAY()</f>
        <v>46100</v>
      </c>
      <c r="ZD13" s="3">
        <f ca="1">TODAY()</f>
        <v>46100</v>
      </c>
      <c r="ZE13" s="3">
        <f ca="1">TODAY()</f>
        <v>46100</v>
      </c>
      <c r="ZF13" s="3">
        <f ca="1">TODAY()</f>
        <v>46100</v>
      </c>
      <c r="ZG13" s="3">
        <f ca="1">TODAY()</f>
        <v>46100</v>
      </c>
      <c r="ZH13" s="3">
        <f ca="1">TODAY()</f>
        <v>46100</v>
      </c>
      <c r="ZI13" s="3">
        <f ca="1">TODAY()</f>
        <v>46100</v>
      </c>
      <c r="ZJ13" s="3">
        <f ca="1">TODAY()</f>
        <v>46100</v>
      </c>
      <c r="ZK13" s="3">
        <f ca="1">TODAY()</f>
        <v>46100</v>
      </c>
      <c r="ZL13" s="3">
        <f ca="1">TODAY()</f>
        <v>46100</v>
      </c>
      <c r="ZM13" s="3">
        <f ca="1">TODAY()</f>
        <v>46100</v>
      </c>
      <c r="ZN13" s="3">
        <f ca="1">TODAY()</f>
        <v>46100</v>
      </c>
      <c r="ZO13" s="3">
        <f ca="1">TODAY()</f>
        <v>46100</v>
      </c>
      <c r="ZP13" s="3">
        <f ca="1">TODAY()</f>
        <v>46100</v>
      </c>
      <c r="ZQ13" s="3">
        <f ca="1">TODAY()</f>
        <v>46100</v>
      </c>
      <c r="ZR13" s="3">
        <f ca="1">TODAY()</f>
        <v>46100</v>
      </c>
      <c r="ZS13" s="3">
        <f ca="1">TODAY()</f>
        <v>46100</v>
      </c>
      <c r="ZT13" s="3">
        <f ca="1">TODAY()</f>
        <v>46100</v>
      </c>
      <c r="ZU13" s="3">
        <f ca="1">TODAY()</f>
        <v>46100</v>
      </c>
      <c r="ZV13" s="3">
        <f ca="1">TODAY()</f>
        <v>46100</v>
      </c>
      <c r="ZW13" s="3">
        <f ca="1">TODAY()</f>
        <v>46100</v>
      </c>
      <c r="ZX13" s="3">
        <f ca="1">TODAY()</f>
        <v>46100</v>
      </c>
      <c r="ZY13" s="3">
        <f ca="1">TODAY()</f>
        <v>46100</v>
      </c>
      <c r="ZZ13" s="3">
        <f ca="1">TODAY()</f>
        <v>46100</v>
      </c>
      <c r="AAA13" s="3">
        <f ca="1">TODAY()</f>
        <v>46100</v>
      </c>
      <c r="AAB13" s="3">
        <f ca="1">TODAY()</f>
        <v>46100</v>
      </c>
      <c r="AAC13" s="3">
        <f ca="1">TODAY()</f>
        <v>46100</v>
      </c>
      <c r="AAD13" s="3">
        <f ca="1">TODAY()</f>
        <v>46100</v>
      </c>
      <c r="AAE13" s="3">
        <f ca="1">TODAY()</f>
        <v>46100</v>
      </c>
      <c r="AAF13" s="3">
        <f ca="1">TODAY()</f>
        <v>46100</v>
      </c>
      <c r="AAG13" s="3">
        <f ca="1">TODAY()</f>
        <v>46100</v>
      </c>
      <c r="AAH13" s="3">
        <f ca="1">TODAY()</f>
        <v>46100</v>
      </c>
      <c r="AAI13" s="3">
        <f ca="1">TODAY()</f>
        <v>46100</v>
      </c>
      <c r="AAJ13" s="3">
        <f ca="1">TODAY()</f>
        <v>46100</v>
      </c>
      <c r="AAK13" s="3">
        <f ca="1">TODAY()</f>
        <v>46100</v>
      </c>
      <c r="AAL13" s="3">
        <f ca="1">TODAY()</f>
        <v>46100</v>
      </c>
      <c r="AAM13" s="3">
        <f ca="1">TODAY()</f>
        <v>46100</v>
      </c>
      <c r="AAN13" s="3">
        <f ca="1">TODAY()</f>
        <v>46100</v>
      </c>
      <c r="AAO13" s="3">
        <f ca="1">TODAY()</f>
        <v>46100</v>
      </c>
      <c r="AAP13" s="3">
        <f ca="1">TODAY()</f>
        <v>46100</v>
      </c>
      <c r="AAQ13" s="3">
        <f ca="1">TODAY()</f>
        <v>46100</v>
      </c>
      <c r="AAR13" s="3">
        <f ca="1">TODAY()</f>
        <v>46100</v>
      </c>
      <c r="AAS13" s="3">
        <f ca="1">TODAY()</f>
        <v>46100</v>
      </c>
      <c r="AAT13" s="3">
        <f ca="1">TODAY()</f>
        <v>46100</v>
      </c>
      <c r="AAU13" s="3">
        <f ca="1">TODAY()</f>
        <v>46100</v>
      </c>
      <c r="AAV13" s="3">
        <f ca="1">TODAY()</f>
        <v>46100</v>
      </c>
      <c r="AAW13" s="3">
        <f ca="1">TODAY()</f>
        <v>46100</v>
      </c>
      <c r="AAX13" s="3">
        <f ca="1">TODAY()</f>
        <v>46100</v>
      </c>
      <c r="AAY13" s="3">
        <f ca="1">TODAY()</f>
        <v>46100</v>
      </c>
      <c r="AAZ13" s="3">
        <f ca="1">TODAY()</f>
        <v>46100</v>
      </c>
      <c r="ABA13" s="3">
        <f ca="1">TODAY()</f>
        <v>46100</v>
      </c>
      <c r="ABB13" s="3">
        <f ca="1">TODAY()</f>
        <v>46100</v>
      </c>
      <c r="ABC13" s="3">
        <f ca="1">TODAY()</f>
        <v>46100</v>
      </c>
      <c r="ABD13" s="3">
        <f ca="1">TODAY()</f>
        <v>46100</v>
      </c>
      <c r="ABE13" s="3">
        <f ca="1">TODAY()</f>
        <v>46100</v>
      </c>
      <c r="ABF13" s="3">
        <f ca="1">TODAY()</f>
        <v>46100</v>
      </c>
      <c r="ABG13" s="3">
        <f ca="1">TODAY()</f>
        <v>46100</v>
      </c>
      <c r="ABH13" s="3">
        <f ca="1">TODAY()</f>
        <v>46100</v>
      </c>
      <c r="ABI13" s="3">
        <f ca="1">TODAY()</f>
        <v>46100</v>
      </c>
      <c r="ABJ13" s="3">
        <f ca="1">TODAY()</f>
        <v>46100</v>
      </c>
      <c r="ABK13" s="3">
        <f ca="1">TODAY()</f>
        <v>46100</v>
      </c>
      <c r="ABL13" s="3">
        <f ca="1">TODAY()</f>
        <v>46100</v>
      </c>
      <c r="ABM13" s="3">
        <f ca="1">TODAY()</f>
        <v>46100</v>
      </c>
      <c r="ABN13" s="3">
        <f ca="1">TODAY()</f>
        <v>46100</v>
      </c>
      <c r="ABO13" s="3">
        <f ca="1">TODAY()</f>
        <v>46100</v>
      </c>
      <c r="ABP13" s="3">
        <f ca="1">TODAY()</f>
        <v>46100</v>
      </c>
      <c r="ABQ13" s="3">
        <f ca="1">TODAY()</f>
        <v>46100</v>
      </c>
      <c r="ABR13" s="3">
        <f ca="1">TODAY()</f>
        <v>46100</v>
      </c>
      <c r="ABS13" s="3">
        <f ca="1">TODAY()</f>
        <v>46100</v>
      </c>
      <c r="ABT13" s="3">
        <f ca="1">TODAY()</f>
        <v>46100</v>
      </c>
      <c r="ABU13" s="3">
        <f ca="1">TODAY()</f>
        <v>46100</v>
      </c>
      <c r="ABV13" s="3">
        <f ca="1">TODAY()</f>
        <v>46100</v>
      </c>
      <c r="ABW13" s="3">
        <f ca="1">TODAY()</f>
        <v>46100</v>
      </c>
      <c r="ABX13" s="3">
        <f ca="1">TODAY()</f>
        <v>46100</v>
      </c>
      <c r="ABY13" s="3">
        <f ca="1">TODAY()</f>
        <v>46100</v>
      </c>
      <c r="ABZ13" s="3">
        <f ca="1">TODAY()</f>
        <v>46100</v>
      </c>
      <c r="ACA13" s="3">
        <f ca="1">TODAY()</f>
        <v>46100</v>
      </c>
      <c r="ACB13" s="3">
        <f ca="1">TODAY()</f>
        <v>46100</v>
      </c>
      <c r="ACC13" s="3">
        <f ca="1">TODAY()</f>
        <v>46100</v>
      </c>
      <c r="ACD13" s="3">
        <f ca="1">TODAY()</f>
        <v>46100</v>
      </c>
      <c r="ACE13" s="3">
        <f ca="1">TODAY()</f>
        <v>46100</v>
      </c>
      <c r="ACF13" s="3">
        <f ca="1">TODAY()</f>
        <v>46100</v>
      </c>
      <c r="ACG13" s="3">
        <f ca="1">TODAY()</f>
        <v>46100</v>
      </c>
      <c r="ACH13" s="3">
        <f ca="1">TODAY()</f>
        <v>46100</v>
      </c>
      <c r="ACI13" s="3">
        <f ca="1">TODAY()</f>
        <v>46100</v>
      </c>
      <c r="ACJ13" s="3">
        <f ca="1">TODAY()</f>
        <v>46100</v>
      </c>
      <c r="ACK13" s="3">
        <f ca="1">TODAY()</f>
        <v>46100</v>
      </c>
      <c r="ACL13" s="3">
        <f ca="1">TODAY()</f>
        <v>46100</v>
      </c>
      <c r="ACM13" s="3">
        <f ca="1">TODAY()</f>
        <v>46100</v>
      </c>
      <c r="ACN13" s="3">
        <f ca="1">TODAY()</f>
        <v>46100</v>
      </c>
      <c r="ACO13" s="3">
        <f ca="1">TODAY()</f>
        <v>46100</v>
      </c>
      <c r="ACP13" s="3">
        <f ca="1">TODAY()</f>
        <v>46100</v>
      </c>
      <c r="ACQ13" s="3">
        <f ca="1">TODAY()</f>
        <v>46100</v>
      </c>
      <c r="ACR13" s="3">
        <f ca="1">TODAY()</f>
        <v>46100</v>
      </c>
      <c r="ACS13" s="3">
        <f ca="1">TODAY()</f>
        <v>46100</v>
      </c>
      <c r="ACT13" s="3">
        <f ca="1">TODAY()</f>
        <v>46100</v>
      </c>
      <c r="ACU13" s="3">
        <f ca="1">TODAY()</f>
        <v>46100</v>
      </c>
      <c r="ACV13" s="3">
        <f ca="1">TODAY()</f>
        <v>46100</v>
      </c>
      <c r="ACW13" s="3">
        <f ca="1">TODAY()</f>
        <v>46100</v>
      </c>
      <c r="ACX13" s="3">
        <f ca="1">TODAY()</f>
        <v>46100</v>
      </c>
      <c r="ACY13" s="3">
        <f ca="1">TODAY()</f>
        <v>46100</v>
      </c>
      <c r="ACZ13" s="3">
        <f ca="1">TODAY()</f>
        <v>46100</v>
      </c>
      <c r="ADA13" s="3">
        <f ca="1">TODAY()</f>
        <v>46100</v>
      </c>
      <c r="ADB13" s="3">
        <f ca="1">TODAY()</f>
        <v>46100</v>
      </c>
      <c r="ADC13" s="3">
        <f ca="1">TODAY()</f>
        <v>46100</v>
      </c>
      <c r="ADD13" s="3">
        <f ca="1">TODAY()</f>
        <v>46100</v>
      </c>
      <c r="ADE13" s="3">
        <f ca="1">TODAY()</f>
        <v>46100</v>
      </c>
      <c r="ADF13" s="3">
        <f ca="1">TODAY()</f>
        <v>46100</v>
      </c>
      <c r="ADG13" s="3">
        <f ca="1">TODAY()</f>
        <v>46100</v>
      </c>
      <c r="ADH13" s="3">
        <f ca="1">TODAY()</f>
        <v>46100</v>
      </c>
      <c r="ADI13" s="3">
        <f ca="1">TODAY()</f>
        <v>46100</v>
      </c>
      <c r="ADJ13" s="3">
        <f ca="1">TODAY()</f>
        <v>46100</v>
      </c>
      <c r="ADK13" s="3">
        <f ca="1">TODAY()</f>
        <v>46100</v>
      </c>
      <c r="ADL13" s="3">
        <f ca="1">TODAY()</f>
        <v>46100</v>
      </c>
      <c r="ADM13" s="3">
        <f ca="1">TODAY()</f>
        <v>46100</v>
      </c>
      <c r="ADN13" s="3">
        <f ca="1">TODAY()</f>
        <v>46100</v>
      </c>
      <c r="ADO13" s="3">
        <f ca="1">TODAY()</f>
        <v>46100</v>
      </c>
      <c r="ADP13" s="3">
        <f ca="1">TODAY()</f>
        <v>46100</v>
      </c>
      <c r="ADQ13" s="3">
        <f ca="1">TODAY()</f>
        <v>46100</v>
      </c>
      <c r="ADR13" s="3">
        <f ca="1">TODAY()</f>
        <v>46100</v>
      </c>
      <c r="ADS13" s="3">
        <f ca="1">TODAY()</f>
        <v>46100</v>
      </c>
      <c r="ADT13" s="3">
        <f ca="1">TODAY()</f>
        <v>46100</v>
      </c>
      <c r="ADU13" s="3">
        <f ca="1">TODAY()</f>
        <v>46100</v>
      </c>
      <c r="ADV13" s="3">
        <f ca="1">TODAY()</f>
        <v>46100</v>
      </c>
      <c r="ADW13" s="3">
        <f ca="1">TODAY()</f>
        <v>46100</v>
      </c>
      <c r="ADX13" s="3">
        <f ca="1">TODAY()</f>
        <v>46100</v>
      </c>
      <c r="ADY13" s="3">
        <f ca="1">TODAY()</f>
        <v>46100</v>
      </c>
      <c r="ADZ13" s="3">
        <f ca="1">TODAY()</f>
        <v>46100</v>
      </c>
      <c r="AEA13" s="3">
        <f ca="1">TODAY()</f>
        <v>46100</v>
      </c>
      <c r="AEB13" s="3">
        <f ca="1">TODAY()</f>
        <v>46100</v>
      </c>
      <c r="AEC13" s="3">
        <f ca="1">TODAY()</f>
        <v>46100</v>
      </c>
      <c r="AED13" s="3">
        <f ca="1">TODAY()</f>
        <v>46100</v>
      </c>
      <c r="AEE13" s="3">
        <f ca="1">TODAY()</f>
        <v>46100</v>
      </c>
      <c r="AEF13" s="3">
        <f ca="1">TODAY()</f>
        <v>46100</v>
      </c>
      <c r="AEG13" s="3">
        <f ca="1">TODAY()</f>
        <v>46100</v>
      </c>
      <c r="AEH13" s="3">
        <f ca="1">TODAY()</f>
        <v>46100</v>
      </c>
      <c r="AEI13" s="3">
        <f ca="1">TODAY()</f>
        <v>46100</v>
      </c>
      <c r="AEJ13" s="3">
        <f ca="1">TODAY()</f>
        <v>46100</v>
      </c>
      <c r="AEK13" s="3">
        <f ca="1">TODAY()</f>
        <v>46100</v>
      </c>
      <c r="AEL13" s="3">
        <f ca="1">TODAY()</f>
        <v>46100</v>
      </c>
      <c r="AEM13" s="3">
        <f ca="1">TODAY()</f>
        <v>46100</v>
      </c>
      <c r="AEN13" s="3">
        <f ca="1">TODAY()</f>
        <v>46100</v>
      </c>
      <c r="AEO13" s="3">
        <f ca="1">TODAY()</f>
        <v>46100</v>
      </c>
      <c r="AEP13" s="3">
        <f ca="1">TODAY()</f>
        <v>46100</v>
      </c>
      <c r="AEQ13" s="3">
        <f ca="1">TODAY()</f>
        <v>46100</v>
      </c>
      <c r="AER13" s="3">
        <f ca="1">TODAY()</f>
        <v>46100</v>
      </c>
      <c r="AES13" s="3">
        <f ca="1">TODAY()</f>
        <v>46100</v>
      </c>
      <c r="AET13" s="3">
        <f ca="1">TODAY()</f>
        <v>46100</v>
      </c>
      <c r="AEU13" s="3">
        <f ca="1">TODAY()</f>
        <v>46100</v>
      </c>
      <c r="AEV13" s="3">
        <f ca="1">TODAY()</f>
        <v>46100</v>
      </c>
      <c r="AEW13" s="3">
        <f ca="1">TODAY()</f>
        <v>46100</v>
      </c>
      <c r="AEX13" s="3">
        <f ca="1">TODAY()</f>
        <v>46100</v>
      </c>
      <c r="AEY13" s="3">
        <f ca="1">TODAY()</f>
        <v>46100</v>
      </c>
      <c r="AEZ13" s="3">
        <f ca="1">TODAY()</f>
        <v>46100</v>
      </c>
      <c r="AFA13" s="3">
        <f ca="1">TODAY()</f>
        <v>46100</v>
      </c>
      <c r="AFB13" s="3">
        <f ca="1">TODAY()</f>
        <v>46100</v>
      </c>
      <c r="AFC13" s="3">
        <f ca="1">TODAY()</f>
        <v>46100</v>
      </c>
      <c r="AFD13" s="3">
        <f ca="1">TODAY()</f>
        <v>46100</v>
      </c>
      <c r="AFE13" s="3">
        <f ca="1">TODAY()</f>
        <v>46100</v>
      </c>
      <c r="AFF13" s="3">
        <f ca="1">TODAY()</f>
        <v>46100</v>
      </c>
      <c r="AFG13" s="3">
        <f ca="1">TODAY()</f>
        <v>46100</v>
      </c>
      <c r="AFH13" s="3">
        <f ca="1">TODAY()</f>
        <v>46100</v>
      </c>
      <c r="AFI13" s="3">
        <f ca="1">TODAY()</f>
        <v>46100</v>
      </c>
      <c r="AFJ13" s="3">
        <f ca="1">TODAY()</f>
        <v>46100</v>
      </c>
      <c r="AFK13" s="3">
        <f ca="1">TODAY()</f>
        <v>46100</v>
      </c>
      <c r="AFL13" s="3">
        <f ca="1">TODAY()</f>
        <v>46100</v>
      </c>
      <c r="AFM13" s="3">
        <f ca="1">TODAY()</f>
        <v>46100</v>
      </c>
      <c r="AFN13" s="3">
        <f ca="1">TODAY()</f>
        <v>46100</v>
      </c>
      <c r="AFO13" s="3">
        <f ca="1">TODAY()</f>
        <v>46100</v>
      </c>
      <c r="AFP13" s="3">
        <f ca="1">TODAY()</f>
        <v>46100</v>
      </c>
      <c r="AFQ13" s="3">
        <f ca="1">TODAY()</f>
        <v>46100</v>
      </c>
      <c r="AFR13" s="3">
        <f ca="1">TODAY()</f>
        <v>46100</v>
      </c>
      <c r="AFS13" s="3">
        <f ca="1">TODAY()</f>
        <v>46100</v>
      </c>
      <c r="AFT13" s="3">
        <f ca="1">TODAY()</f>
        <v>46100</v>
      </c>
      <c r="AFU13" s="3">
        <f ca="1">TODAY()</f>
        <v>46100</v>
      </c>
      <c r="AFV13" s="3">
        <f ca="1">TODAY()</f>
        <v>46100</v>
      </c>
      <c r="AFW13" s="3">
        <f ca="1">TODAY()</f>
        <v>46100</v>
      </c>
      <c r="AFX13" s="3">
        <f ca="1">TODAY()</f>
        <v>46100</v>
      </c>
      <c r="AFY13" s="3">
        <f ca="1">TODAY()</f>
        <v>46100</v>
      </c>
      <c r="AFZ13" s="3">
        <f ca="1">TODAY()</f>
        <v>46100</v>
      </c>
      <c r="AGA13" s="3">
        <f ca="1">TODAY()</f>
        <v>46100</v>
      </c>
      <c r="AGB13" s="3">
        <f ca="1">TODAY()</f>
        <v>46100</v>
      </c>
      <c r="AGC13" s="3">
        <f ca="1">TODAY()</f>
        <v>46100</v>
      </c>
      <c r="AGD13" s="3">
        <f ca="1">TODAY()</f>
        <v>46100</v>
      </c>
      <c r="AGE13" s="3">
        <f ca="1">TODAY()</f>
        <v>46100</v>
      </c>
      <c r="AGF13" s="3">
        <f ca="1">TODAY()</f>
        <v>46100</v>
      </c>
      <c r="AGG13" s="3">
        <f ca="1">TODAY()</f>
        <v>46100</v>
      </c>
      <c r="AGH13" s="3">
        <f ca="1">TODAY()</f>
        <v>46100</v>
      </c>
      <c r="AGI13" s="3">
        <f ca="1">TODAY()</f>
        <v>46100</v>
      </c>
      <c r="AGJ13" s="3">
        <f ca="1">TODAY()</f>
        <v>46100</v>
      </c>
      <c r="AGK13" s="3">
        <f ca="1">TODAY()</f>
        <v>46100</v>
      </c>
      <c r="AGL13" s="3">
        <f ca="1">TODAY()</f>
        <v>46100</v>
      </c>
      <c r="AGM13" s="3">
        <f ca="1">TODAY()</f>
        <v>46100</v>
      </c>
      <c r="AGN13" s="3">
        <f ca="1">TODAY()</f>
        <v>46100</v>
      </c>
      <c r="AGO13" s="3">
        <f ca="1">TODAY()</f>
        <v>46100</v>
      </c>
      <c r="AGP13" s="3">
        <f ca="1">TODAY()</f>
        <v>46100</v>
      </c>
      <c r="AGQ13" s="3">
        <f ca="1">TODAY()</f>
        <v>46100</v>
      </c>
      <c r="AGR13" s="3">
        <f ca="1">TODAY()</f>
        <v>46100</v>
      </c>
      <c r="AGS13" s="3">
        <f ca="1">TODAY()</f>
        <v>46100</v>
      </c>
      <c r="AGT13" s="3">
        <f ca="1">TODAY()</f>
        <v>46100</v>
      </c>
      <c r="AGU13" s="3">
        <f ca="1">TODAY()</f>
        <v>46100</v>
      </c>
      <c r="AGV13" s="3">
        <f ca="1">TODAY()</f>
        <v>46100</v>
      </c>
      <c r="AGW13" s="3">
        <f ca="1">TODAY()</f>
        <v>46100</v>
      </c>
      <c r="AGX13" s="3">
        <f ca="1">TODAY()</f>
        <v>46100</v>
      </c>
      <c r="AGY13" s="3">
        <f ca="1">TODAY()</f>
        <v>46100</v>
      </c>
      <c r="AGZ13" s="3">
        <f ca="1">TODAY()</f>
        <v>46100</v>
      </c>
      <c r="AHA13" s="3">
        <f ca="1">TODAY()</f>
        <v>46100</v>
      </c>
    </row>
    <row r="14" spans="1:885" x14ac:dyDescent="0.25">
      <c r="A14" s="1" t="s">
        <v>97</v>
      </c>
      <c r="B14">
        <f ca="1">B13-B9</f>
        <v>8587</v>
      </c>
      <c r="C14">
        <f ca="1">C13-C9</f>
        <v>6336</v>
      </c>
      <c r="D14">
        <f ca="1">D13-D9</f>
        <v>3171</v>
      </c>
      <c r="E14">
        <f ca="1">E13-E9</f>
        <v>4253</v>
      </c>
      <c r="F14">
        <f ca="1">F13-F9</f>
        <v>5729</v>
      </c>
      <c r="G14">
        <f ca="1">G13-G9</f>
        <v>4270</v>
      </c>
      <c r="H14">
        <f ca="1">H13-H9</f>
        <v>3273</v>
      </c>
      <c r="I14">
        <f ca="1">I13-I9</f>
        <v>5881</v>
      </c>
      <c r="J14">
        <f ca="1">J13-J9</f>
        <v>9476</v>
      </c>
      <c r="K14">
        <f ca="1">K13-K9</f>
        <v>7286</v>
      </c>
      <c r="L14">
        <f ca="1">L13-L9</f>
        <v>8060</v>
      </c>
      <c r="M14">
        <f ca="1">M13-M9</f>
        <v>5277</v>
      </c>
      <c r="N14">
        <f ca="1">N13-N9</f>
        <v>8941</v>
      </c>
      <c r="O14">
        <f ca="1">O13-O9</f>
        <v>2311</v>
      </c>
      <c r="P14">
        <f ca="1">P13-P9</f>
        <v>4733</v>
      </c>
      <c r="Q14">
        <f ca="1">Q13-Q9</f>
        <v>4989</v>
      </c>
      <c r="R14">
        <f ca="1">R13-R9</f>
        <v>8996</v>
      </c>
      <c r="S14">
        <f ca="1">S13-S9</f>
        <v>5615</v>
      </c>
      <c r="T14">
        <f ca="1">T13-T9</f>
        <v>2904</v>
      </c>
      <c r="U14">
        <f ca="1">U13-U9</f>
        <v>9302</v>
      </c>
      <c r="V14">
        <f ca="1">V13-V9</f>
        <v>4236</v>
      </c>
      <c r="W14">
        <f ca="1">W13-W9</f>
        <v>4693</v>
      </c>
      <c r="X14">
        <f ca="1">X13-X9</f>
        <v>5620</v>
      </c>
      <c r="Y14">
        <f ca="1">Y13-Y9</f>
        <v>5647</v>
      </c>
      <c r="Z14">
        <f ca="1">Z13-Z9</f>
        <v>9122</v>
      </c>
      <c r="AA14">
        <f ca="1">AA13-AA9</f>
        <v>8399</v>
      </c>
      <c r="AB14">
        <f ca="1">AB13-AB9</f>
        <v>3084</v>
      </c>
      <c r="AC14">
        <f ca="1">AC13-AC9</f>
        <v>4663</v>
      </c>
      <c r="AD14">
        <f ca="1">AD13-AD9</f>
        <v>9161</v>
      </c>
      <c r="AE14">
        <f ca="1">AE13-AE9</f>
        <v>8024</v>
      </c>
      <c r="AF14">
        <f ca="1">AF13-AF9</f>
        <v>5048</v>
      </c>
      <c r="AG14">
        <f ca="1">AG13-AG9</f>
        <v>3052</v>
      </c>
      <c r="AH14">
        <f ca="1">AH13-AH9</f>
        <v>2433</v>
      </c>
      <c r="AI14">
        <f ca="1">AI13-AI9</f>
        <v>4584</v>
      </c>
      <c r="AJ14">
        <f ca="1">AJ13-AJ9</f>
        <v>3003</v>
      </c>
      <c r="AK14">
        <f ca="1">AK13-AK9</f>
        <v>7628</v>
      </c>
      <c r="AL14">
        <f ca="1">AL13-AL9</f>
        <v>4371</v>
      </c>
      <c r="AM14">
        <f ca="1">AM13-AM9</f>
        <v>9383</v>
      </c>
      <c r="AN14">
        <f ca="1">AN13-AN9</f>
        <v>9534</v>
      </c>
      <c r="AO14">
        <f ca="1">AO13-AO9</f>
        <v>3591</v>
      </c>
      <c r="AP14">
        <f ca="1">AP13-AP9</f>
        <v>7715</v>
      </c>
      <c r="AQ14">
        <f ca="1">AQ13-AQ9</f>
        <v>3682</v>
      </c>
      <c r="AR14">
        <f ca="1">AR13-AR9</f>
        <v>8242</v>
      </c>
      <c r="AS14">
        <f ca="1">AS13-AS9</f>
        <v>6125</v>
      </c>
      <c r="AT14">
        <f ca="1">AT13-AT9</f>
        <v>9439</v>
      </c>
      <c r="AU14">
        <f ca="1">AU13-AU9</f>
        <v>3665</v>
      </c>
      <c r="AV14">
        <f ca="1">AV13-AV9</f>
        <v>5373</v>
      </c>
      <c r="AW14">
        <f ca="1">AW13-AW9</f>
        <v>4960</v>
      </c>
      <c r="AX14">
        <f ca="1">AX13-AX9</f>
        <v>7633</v>
      </c>
      <c r="AY14">
        <f ca="1">AY13-AY9</f>
        <v>2617</v>
      </c>
      <c r="AZ14">
        <f ca="1">AZ13-AZ9</f>
        <v>8009</v>
      </c>
      <c r="BA14">
        <f ca="1">BA13-BA9</f>
        <v>5353</v>
      </c>
      <c r="BB14">
        <f ca="1">BB13-BB9</f>
        <v>3031</v>
      </c>
      <c r="BC14">
        <f ca="1">BC13-BC9</f>
        <v>3352</v>
      </c>
      <c r="BD14">
        <f ca="1">BD13-BD9</f>
        <v>9186</v>
      </c>
      <c r="BE14">
        <f ca="1">BE13-BE9</f>
        <v>8016</v>
      </c>
      <c r="BF14">
        <f ca="1">BF13-BF9</f>
        <v>3754</v>
      </c>
      <c r="BG14">
        <f ca="1">BG13-BG9</f>
        <v>7453</v>
      </c>
      <c r="BH14">
        <f ca="1">BH13-BH9</f>
        <v>8546</v>
      </c>
      <c r="BI14">
        <f ca="1">BI13-BI9</f>
        <v>3536</v>
      </c>
      <c r="BJ14">
        <f ca="1">BJ13-BJ9</f>
        <v>6040</v>
      </c>
      <c r="BK14">
        <f ca="1">BK13-BK9</f>
        <v>9493</v>
      </c>
      <c r="BL14">
        <f ca="1">BL13-BL9</f>
        <v>3918</v>
      </c>
      <c r="BM14">
        <f ca="1">BM13-BM9</f>
        <v>8799</v>
      </c>
      <c r="BN14">
        <f ca="1">BN13-BN9</f>
        <v>6536</v>
      </c>
      <c r="BO14">
        <f ca="1">BO13-BO9</f>
        <v>5201</v>
      </c>
      <c r="BP14">
        <f ca="1">BP13-BP9</f>
        <v>6687</v>
      </c>
      <c r="BQ14">
        <f ca="1">BQ13-BQ9</f>
        <v>7696</v>
      </c>
      <c r="BR14">
        <f ca="1">BR13-BR9</f>
        <v>7303</v>
      </c>
      <c r="BS14">
        <f ca="1">BS13-BS9</f>
        <v>7967</v>
      </c>
      <c r="BT14">
        <f ca="1">BT13-BT9</f>
        <v>6435</v>
      </c>
      <c r="BU14">
        <f ca="1">BU13-BU9</f>
        <v>8969</v>
      </c>
      <c r="BV14">
        <f ca="1">BV13-BV9</f>
        <v>3412</v>
      </c>
      <c r="BW14">
        <f ca="1">BW13-BW9</f>
        <v>4839</v>
      </c>
      <c r="BX14">
        <f ca="1">BX13-BX9</f>
        <v>6160</v>
      </c>
      <c r="BY14">
        <f ca="1">BY13-BY9</f>
        <v>5909</v>
      </c>
      <c r="BZ14">
        <f ca="1">BZ13-BZ9</f>
        <v>3689</v>
      </c>
      <c r="CA14">
        <f ca="1">CA13-CA9</f>
        <v>3722</v>
      </c>
      <c r="CB14">
        <f ca="1">CB13-CB9</f>
        <v>4112</v>
      </c>
      <c r="CC14">
        <f ca="1">CC13-CC9</f>
        <v>7430</v>
      </c>
      <c r="CD14">
        <f ca="1">CD13-CD9</f>
        <v>2355</v>
      </c>
      <c r="CE14">
        <f ca="1">CE13-CE9</f>
        <v>5304</v>
      </c>
      <c r="CF14">
        <f ca="1">CF13-CF9</f>
        <v>5809</v>
      </c>
      <c r="CG14">
        <f ca="1">CG13-CG9</f>
        <v>8198</v>
      </c>
      <c r="CH14">
        <f ca="1">CH13-CH9</f>
        <v>6112</v>
      </c>
      <c r="CI14">
        <f ca="1">CI13-CI9</f>
        <v>2292</v>
      </c>
      <c r="CJ14">
        <f ca="1">CJ13-CJ9</f>
        <v>9227</v>
      </c>
      <c r="CK14">
        <f ca="1">CK13-CK9</f>
        <v>9574</v>
      </c>
      <c r="CL14">
        <f ca="1">CL13-CL9</f>
        <v>9512</v>
      </c>
      <c r="CM14">
        <f ca="1">CM13-CM9</f>
        <v>7791</v>
      </c>
      <c r="CN14">
        <f ca="1">CN13-CN9</f>
        <v>5760</v>
      </c>
      <c r="CO14">
        <f ca="1">CO13-CO9</f>
        <v>9349</v>
      </c>
      <c r="CP14">
        <f ca="1">CP13-CP9</f>
        <v>3008</v>
      </c>
      <c r="CQ14">
        <f ca="1">CQ13-CQ9</f>
        <v>8532</v>
      </c>
      <c r="CR14">
        <f ca="1">CR13-CR9</f>
        <v>3400</v>
      </c>
      <c r="CS14">
        <f ca="1">CS13-CS9</f>
        <v>8730</v>
      </c>
      <c r="CT14">
        <f ca="1">CT13-CT9</f>
        <v>6894</v>
      </c>
      <c r="CU14">
        <f ca="1">CU13-CU9</f>
        <v>5455</v>
      </c>
      <c r="CV14">
        <f ca="1">CV13-CV9</f>
        <v>2594</v>
      </c>
      <c r="CW14">
        <f ca="1">CW13-CW9</f>
        <v>2448</v>
      </c>
      <c r="CX14">
        <f ca="1">CX13-CX9</f>
        <v>8340</v>
      </c>
      <c r="CY14">
        <f ca="1">CY13-CY9</f>
        <v>7590</v>
      </c>
      <c r="CZ14">
        <f ca="1">CZ13-CZ9</f>
        <v>5318</v>
      </c>
      <c r="DA14">
        <f ca="1">DA13-DA9</f>
        <v>8296</v>
      </c>
      <c r="DB14">
        <f ca="1">DB13-DB9</f>
        <v>7980</v>
      </c>
      <c r="DC14">
        <f ca="1">DC13-DC9</f>
        <v>3317</v>
      </c>
      <c r="DD14">
        <f ca="1">DD13-DD9</f>
        <v>7023</v>
      </c>
      <c r="DE14">
        <f ca="1">DE13-DE9</f>
        <v>7622</v>
      </c>
      <c r="DF14">
        <f ca="1">DF13-DF9</f>
        <v>7879</v>
      </c>
      <c r="DG14">
        <f ca="1">DG13-DG9</f>
        <v>8620</v>
      </c>
      <c r="DH14">
        <f ca="1">DH13-DH9</f>
        <v>6283</v>
      </c>
      <c r="DI14">
        <f ca="1">DI13-DI9</f>
        <v>9218</v>
      </c>
      <c r="DJ14">
        <f ca="1">DJ13-DJ9</f>
        <v>3262</v>
      </c>
      <c r="DK14">
        <f ca="1">DK13-DK9</f>
        <v>5979</v>
      </c>
      <c r="DL14">
        <f ca="1">DL13-DL9</f>
        <v>8606</v>
      </c>
      <c r="DM14">
        <f ca="1">DM13-DM9</f>
        <v>9333</v>
      </c>
      <c r="DN14">
        <f ca="1">DN13-DN9</f>
        <v>6128</v>
      </c>
      <c r="DO14">
        <f ca="1">DO13-DO9</f>
        <v>5340</v>
      </c>
      <c r="DP14">
        <f ca="1">DP13-DP9</f>
        <v>7430</v>
      </c>
      <c r="DQ14">
        <f ca="1">DQ13-DQ9</f>
        <v>9428</v>
      </c>
      <c r="DR14">
        <f ca="1">DR13-DR9</f>
        <v>4398</v>
      </c>
      <c r="DS14">
        <f ca="1">DS13-DS9</f>
        <v>4413</v>
      </c>
      <c r="DT14">
        <f ca="1">DT13-DT9</f>
        <v>2565</v>
      </c>
      <c r="DU14">
        <f ca="1">DU13-DU9</f>
        <v>9032</v>
      </c>
      <c r="DV14">
        <f ca="1">DV13-DV9</f>
        <v>8883</v>
      </c>
      <c r="DW14">
        <f ca="1">DW13-DW9</f>
        <v>8549</v>
      </c>
      <c r="DX14">
        <f ca="1">DX13-DX9</f>
        <v>5524</v>
      </c>
      <c r="DY14">
        <f ca="1">DY13-DY9</f>
        <v>5569</v>
      </c>
      <c r="DZ14">
        <f ca="1">DZ13-DZ9</f>
        <v>6215</v>
      </c>
      <c r="EA14">
        <f ca="1">EA13-EA9</f>
        <v>4317</v>
      </c>
      <c r="EB14">
        <f ca="1">EB13-EB9</f>
        <v>3838</v>
      </c>
      <c r="EC14">
        <f ca="1">EC13-EC9</f>
        <v>6623</v>
      </c>
      <c r="ED14">
        <f ca="1">ED13-ED9</f>
        <v>8845</v>
      </c>
      <c r="EE14">
        <f ca="1">EE13-EE9</f>
        <v>3100</v>
      </c>
      <c r="EF14">
        <f ca="1">EF13-EF9</f>
        <v>2814</v>
      </c>
      <c r="EG14">
        <f ca="1">EG13-EG9</f>
        <v>5075</v>
      </c>
      <c r="EH14">
        <f ca="1">EH13-EH9</f>
        <v>7019</v>
      </c>
      <c r="EI14">
        <f ca="1">EI13-EI9</f>
        <v>3539</v>
      </c>
      <c r="EJ14">
        <f ca="1">EJ13-EJ9</f>
        <v>8424</v>
      </c>
      <c r="EK14">
        <f ca="1">EK13-EK9</f>
        <v>7839</v>
      </c>
      <c r="EL14">
        <f ca="1">EL13-EL9</f>
        <v>8536</v>
      </c>
      <c r="EM14">
        <f ca="1">EM13-EM9</f>
        <v>3205</v>
      </c>
      <c r="EN14">
        <f ca="1">EN13-EN9</f>
        <v>2447</v>
      </c>
      <c r="EO14">
        <f ca="1">EO13-EO9</f>
        <v>6662</v>
      </c>
      <c r="EP14">
        <f ca="1">EP13-EP9</f>
        <v>2302</v>
      </c>
      <c r="EQ14">
        <f ca="1">EQ13-EQ9</f>
        <v>4734</v>
      </c>
      <c r="ER14">
        <f ca="1">ER13-ER9</f>
        <v>7034</v>
      </c>
      <c r="ES14">
        <f ca="1">ES13-ES9</f>
        <v>5160</v>
      </c>
      <c r="ET14">
        <f ca="1">ET13-ET9</f>
        <v>8332</v>
      </c>
      <c r="EU14">
        <f ca="1">EU13-EU9</f>
        <v>8802</v>
      </c>
      <c r="EV14">
        <f ca="1">EV13-EV9</f>
        <v>7658</v>
      </c>
      <c r="EW14">
        <f ca="1">EW13-EW9</f>
        <v>6162</v>
      </c>
      <c r="EX14">
        <f ca="1">EX13-EX9</f>
        <v>7075</v>
      </c>
      <c r="EY14">
        <f ca="1">EY13-EY9</f>
        <v>6134</v>
      </c>
      <c r="EZ14">
        <f ca="1">EZ13-EZ9</f>
        <v>4535</v>
      </c>
      <c r="FA14">
        <f ca="1">FA13-FA9</f>
        <v>2583</v>
      </c>
      <c r="FB14">
        <f ca="1">FB13-FB9</f>
        <v>2414</v>
      </c>
      <c r="FC14">
        <f ca="1">FC13-FC9</f>
        <v>3464</v>
      </c>
      <c r="FD14">
        <f ca="1">FD13-FD9</f>
        <v>6029</v>
      </c>
      <c r="FE14">
        <f ca="1">FE13-FE9</f>
        <v>8361</v>
      </c>
      <c r="FF14">
        <f ca="1">FF13-FF9</f>
        <v>6643</v>
      </c>
      <c r="FG14">
        <f ca="1">FG13-FG9</f>
        <v>9156</v>
      </c>
      <c r="FH14">
        <f ca="1">FH13-FH9</f>
        <v>5793</v>
      </c>
      <c r="FI14">
        <f ca="1">FI13-FI9</f>
        <v>4614</v>
      </c>
      <c r="FJ14">
        <f ca="1">FJ13-FJ9</f>
        <v>8786</v>
      </c>
      <c r="FK14">
        <f ca="1">FK13-FK9</f>
        <v>7703</v>
      </c>
      <c r="FL14">
        <f ca="1">FL13-FL9</f>
        <v>4984</v>
      </c>
      <c r="FM14">
        <f ca="1">FM13-FM9</f>
        <v>4416</v>
      </c>
      <c r="FN14">
        <f ca="1">FN13-FN9</f>
        <v>3269</v>
      </c>
      <c r="FO14">
        <f ca="1">FO13-FO9</f>
        <v>7549</v>
      </c>
      <c r="FP14">
        <f ca="1">FP13-FP9</f>
        <v>3310</v>
      </c>
      <c r="FQ14">
        <f ca="1">FQ13-FQ9</f>
        <v>7128</v>
      </c>
      <c r="FR14">
        <f ca="1">FR13-FR9</f>
        <v>3493</v>
      </c>
      <c r="FS14">
        <f ca="1">FS13-FS9</f>
        <v>4751</v>
      </c>
      <c r="FT14">
        <f ca="1">FT13-FT9</f>
        <v>9014</v>
      </c>
      <c r="FU14">
        <f ca="1">FU13-FU9</f>
        <v>6923</v>
      </c>
      <c r="FV14">
        <f ca="1">FV13-FV9</f>
        <v>4326</v>
      </c>
      <c r="FW14">
        <f ca="1">FW13-FW9</f>
        <v>5670</v>
      </c>
      <c r="FX14">
        <f ca="1">FX13-FX9</f>
        <v>9035</v>
      </c>
      <c r="FY14">
        <f ca="1">FY13-FY9</f>
        <v>3075</v>
      </c>
      <c r="FZ14">
        <f ca="1">FZ13-FZ9</f>
        <v>4819</v>
      </c>
      <c r="GA14">
        <f ca="1">GA13-GA9</f>
        <v>2999</v>
      </c>
      <c r="GB14">
        <f ca="1">GB13-GB9</f>
        <v>3615</v>
      </c>
      <c r="GC14">
        <f ca="1">GC13-GC9</f>
        <v>6438</v>
      </c>
      <c r="GD14">
        <f ca="1">GD13-GD9</f>
        <v>6285</v>
      </c>
      <c r="GE14">
        <f ca="1">GE13-GE9</f>
        <v>6964</v>
      </c>
      <c r="GF14">
        <f ca="1">GF13-GF9</f>
        <v>4028</v>
      </c>
      <c r="GG14">
        <f ca="1">GG13-GG9</f>
        <v>4662</v>
      </c>
      <c r="GH14">
        <f ca="1">GH13-GH9</f>
        <v>7630</v>
      </c>
      <c r="GI14">
        <f ca="1">GI13-GI9</f>
        <v>6429</v>
      </c>
      <c r="GJ14">
        <f ca="1">GJ13-GJ9</f>
        <v>6816</v>
      </c>
      <c r="GK14">
        <f ca="1">GK13-GK9</f>
        <v>4263</v>
      </c>
      <c r="GL14">
        <f ca="1">GL13-GL9</f>
        <v>6314</v>
      </c>
      <c r="GM14">
        <f ca="1">GM13-GM9</f>
        <v>5467</v>
      </c>
      <c r="GN14">
        <f ca="1">GN13-GN9</f>
        <v>3192</v>
      </c>
      <c r="GO14">
        <f ca="1">GO13-GO9</f>
        <v>7679</v>
      </c>
      <c r="GP14">
        <f ca="1">GP13-GP9</f>
        <v>7074</v>
      </c>
      <c r="GQ14">
        <f ca="1">GQ13-GQ9</f>
        <v>3048</v>
      </c>
      <c r="GR14">
        <f ca="1">GR13-GR9</f>
        <v>6745</v>
      </c>
      <c r="GS14">
        <f ca="1">GS13-GS9</f>
        <v>5701</v>
      </c>
      <c r="GT14">
        <f ca="1">GT13-GT9</f>
        <v>9527</v>
      </c>
      <c r="GU14">
        <f ca="1">GU13-GU9</f>
        <v>7210</v>
      </c>
      <c r="GV14">
        <f ca="1">GV13-GV9</f>
        <v>7318</v>
      </c>
      <c r="GW14">
        <f ca="1">GW13-GW9</f>
        <v>3908</v>
      </c>
      <c r="GX14">
        <f ca="1">GX13-GX9</f>
        <v>2288</v>
      </c>
      <c r="GY14">
        <f ca="1">GY13-GY9</f>
        <v>4902</v>
      </c>
      <c r="GZ14">
        <f ca="1">GZ13-GZ9</f>
        <v>3116</v>
      </c>
      <c r="HA14">
        <f ca="1">HA13-HA9</f>
        <v>8821</v>
      </c>
      <c r="HB14">
        <f ca="1">HB13-HB9</f>
        <v>4419</v>
      </c>
      <c r="HC14">
        <f ca="1">HC13-HC9</f>
        <v>2516</v>
      </c>
      <c r="HD14">
        <f ca="1">HD13-HD9</f>
        <v>6772</v>
      </c>
      <c r="HE14">
        <f ca="1">HE13-HE9</f>
        <v>4925</v>
      </c>
      <c r="HF14">
        <f ca="1">HF13-HF9</f>
        <v>5922</v>
      </c>
      <c r="HG14">
        <f ca="1">HG13-HG9</f>
        <v>9172</v>
      </c>
      <c r="HH14">
        <f ca="1">HH13-HH9</f>
        <v>4348</v>
      </c>
      <c r="HI14">
        <f ca="1">HI13-HI9</f>
        <v>7488</v>
      </c>
      <c r="HJ14">
        <f ca="1">HJ13-HJ9</f>
        <v>2850</v>
      </c>
      <c r="HK14">
        <f ca="1">HK13-HK9</f>
        <v>7347</v>
      </c>
      <c r="HL14">
        <f ca="1">HL13-HL9</f>
        <v>3419</v>
      </c>
      <c r="HM14">
        <f ca="1">HM13-HM9</f>
        <v>6164</v>
      </c>
      <c r="HN14">
        <f ca="1">HN13-HN9</f>
        <v>6584</v>
      </c>
      <c r="HO14">
        <f ca="1">HO13-HO9</f>
        <v>4931</v>
      </c>
      <c r="HP14">
        <f ca="1">HP13-HP9</f>
        <v>8425</v>
      </c>
      <c r="HQ14">
        <f ca="1">HQ13-HQ9</f>
        <v>9512</v>
      </c>
      <c r="HR14">
        <f ca="1">HR13-HR9</f>
        <v>4635</v>
      </c>
      <c r="HS14">
        <f ca="1">HS13-HS9</f>
        <v>6421</v>
      </c>
      <c r="HT14">
        <f ca="1">HT13-HT9</f>
        <v>8566</v>
      </c>
      <c r="HU14">
        <f ca="1">HU13-HU9</f>
        <v>3636</v>
      </c>
      <c r="HV14">
        <f ca="1">HV13-HV9</f>
        <v>7543</v>
      </c>
      <c r="HW14">
        <f ca="1">HW13-HW9</f>
        <v>8252</v>
      </c>
      <c r="HX14">
        <f ca="1">HX13-HX9</f>
        <v>7493</v>
      </c>
      <c r="HY14">
        <f ca="1">HY13-HY9</f>
        <v>8823</v>
      </c>
      <c r="HZ14">
        <f ca="1">HZ13-HZ9</f>
        <v>5430</v>
      </c>
      <c r="IA14">
        <f ca="1">IA13-IA9</f>
        <v>8917</v>
      </c>
      <c r="IB14">
        <f ca="1">IB13-IB9</f>
        <v>7914</v>
      </c>
      <c r="IC14">
        <f ca="1">IC13-IC9</f>
        <v>8874</v>
      </c>
      <c r="ID14">
        <f ca="1">ID13-ID9</f>
        <v>8494</v>
      </c>
      <c r="IE14">
        <f ca="1">IE13-IE9</f>
        <v>7418</v>
      </c>
      <c r="IF14">
        <f ca="1">IF13-IF9</f>
        <v>8034</v>
      </c>
      <c r="IG14">
        <f ca="1">IG13-IG9</f>
        <v>6542</v>
      </c>
      <c r="IH14">
        <f ca="1">IH13-IH9</f>
        <v>3407</v>
      </c>
      <c r="II14">
        <f ca="1">II13-II9</f>
        <v>3210</v>
      </c>
      <c r="IJ14">
        <f ca="1">IJ13-IJ9</f>
        <v>7591</v>
      </c>
      <c r="IK14">
        <f ca="1">IK13-IK9</f>
        <v>9260</v>
      </c>
      <c r="IL14">
        <f ca="1">IL13-IL9</f>
        <v>3137</v>
      </c>
      <c r="IM14">
        <f ca="1">IM13-IM9</f>
        <v>6493</v>
      </c>
      <c r="IN14">
        <f ca="1">IN13-IN9</f>
        <v>3778</v>
      </c>
      <c r="IO14">
        <f ca="1">IO13-IO9</f>
        <v>2411</v>
      </c>
      <c r="IP14">
        <f ca="1">IP13-IP9</f>
        <v>4461</v>
      </c>
      <c r="IQ14">
        <f ca="1">IQ13-IQ9</f>
        <v>4841</v>
      </c>
      <c r="IR14">
        <f ca="1">IR13-IR9</f>
        <v>7260</v>
      </c>
      <c r="IS14">
        <f ca="1">IS13-IS9</f>
        <v>7439</v>
      </c>
      <c r="IT14">
        <f ca="1">IT13-IT9</f>
        <v>2976</v>
      </c>
      <c r="IU14">
        <f ca="1">IU13-IU9</f>
        <v>7925</v>
      </c>
      <c r="IV14">
        <f ca="1">IV13-IV9</f>
        <v>6355</v>
      </c>
      <c r="IW14">
        <f ca="1">IW13-IW9</f>
        <v>2674</v>
      </c>
      <c r="IX14">
        <f ca="1">IX13-IX9</f>
        <v>5774</v>
      </c>
      <c r="IY14">
        <f ca="1">IY13-IY9</f>
        <v>7096</v>
      </c>
      <c r="IZ14">
        <f ca="1">IZ13-IZ9</f>
        <v>5507</v>
      </c>
      <c r="JA14">
        <f ca="1">JA13-JA9</f>
        <v>7799</v>
      </c>
      <c r="JB14">
        <f ca="1">JB13-JB9</f>
        <v>7608</v>
      </c>
      <c r="JC14">
        <f ca="1">JC13-JC9</f>
        <v>2520</v>
      </c>
      <c r="JD14">
        <f ca="1">JD13-JD9</f>
        <v>3515</v>
      </c>
      <c r="JE14">
        <f ca="1">JE13-JE9</f>
        <v>7807</v>
      </c>
      <c r="JF14">
        <f ca="1">JF13-JF9</f>
        <v>5759</v>
      </c>
      <c r="JG14">
        <f ca="1">JG13-JG9</f>
        <v>9333</v>
      </c>
      <c r="JH14">
        <f ca="1">JH13-JH9</f>
        <v>4777</v>
      </c>
      <c r="JI14">
        <f ca="1">JI13-JI9</f>
        <v>6625</v>
      </c>
      <c r="JJ14">
        <f ca="1">JJ13-JJ9</f>
        <v>4738</v>
      </c>
      <c r="JK14">
        <f ca="1">JK13-JK9</f>
        <v>3365</v>
      </c>
      <c r="JL14">
        <f ca="1">JL13-JL9</f>
        <v>2459</v>
      </c>
      <c r="JM14">
        <f ca="1">JM13-JM9</f>
        <v>3053</v>
      </c>
      <c r="JN14">
        <f ca="1">JN13-JN9</f>
        <v>3043</v>
      </c>
      <c r="JO14">
        <f ca="1">JO13-JO9</f>
        <v>3664</v>
      </c>
      <c r="JP14">
        <f ca="1">JP13-JP9</f>
        <v>4698</v>
      </c>
      <c r="JQ14">
        <f ca="1">JQ13-JQ9</f>
        <v>7318</v>
      </c>
      <c r="JR14">
        <f ca="1">JR13-JR9</f>
        <v>5463</v>
      </c>
      <c r="JS14">
        <f ca="1">JS13-JS9</f>
        <v>6206</v>
      </c>
      <c r="JT14">
        <f ca="1">JT13-JT9</f>
        <v>4493</v>
      </c>
      <c r="JU14">
        <f ca="1">JU13-JU9</f>
        <v>9208</v>
      </c>
      <c r="JV14">
        <f ca="1">JV13-JV9</f>
        <v>6747</v>
      </c>
      <c r="JW14">
        <f ca="1">JW13-JW9</f>
        <v>8322</v>
      </c>
      <c r="JX14">
        <f ca="1">JX13-JX9</f>
        <v>7087</v>
      </c>
      <c r="JY14">
        <f ca="1">JY13-JY9</f>
        <v>4789</v>
      </c>
      <c r="JZ14">
        <f ca="1">JZ13-JZ9</f>
        <v>5971</v>
      </c>
      <c r="KA14">
        <f ca="1">KA13-KA9</f>
        <v>6053</v>
      </c>
      <c r="KB14">
        <f ca="1">KB13-KB9</f>
        <v>4419</v>
      </c>
      <c r="KC14">
        <f ca="1">KC13-KC9</f>
        <v>4632</v>
      </c>
      <c r="KD14">
        <f ca="1">KD13-KD9</f>
        <v>5057</v>
      </c>
      <c r="KE14">
        <f ca="1">KE13-KE9</f>
        <v>7931</v>
      </c>
      <c r="KF14">
        <f ca="1">KF13-KF9</f>
        <v>8362</v>
      </c>
      <c r="KG14">
        <f ca="1">KG13-KG9</f>
        <v>4871</v>
      </c>
      <c r="KH14">
        <f ca="1">KH13-KH9</f>
        <v>4140</v>
      </c>
      <c r="KI14">
        <f ca="1">KI13-KI9</f>
        <v>9555</v>
      </c>
      <c r="KJ14">
        <f ca="1">KJ13-KJ9</f>
        <v>8899</v>
      </c>
      <c r="KK14">
        <f ca="1">KK13-KK9</f>
        <v>5097</v>
      </c>
      <c r="KL14">
        <f ca="1">KL13-KL9</f>
        <v>8966</v>
      </c>
      <c r="KM14">
        <f ca="1">KM13-KM9</f>
        <v>3288</v>
      </c>
      <c r="KN14">
        <f ca="1">KN13-KN9</f>
        <v>9513</v>
      </c>
      <c r="KO14">
        <f ca="1">KO13-KO9</f>
        <v>8309</v>
      </c>
      <c r="KP14">
        <f ca="1">KP13-KP9</f>
        <v>7289</v>
      </c>
      <c r="KQ14">
        <f ca="1">KQ13-KQ9</f>
        <v>8420</v>
      </c>
      <c r="KR14">
        <f ca="1">KR13-KR9</f>
        <v>7946</v>
      </c>
      <c r="KS14">
        <f ca="1">KS13-KS9</f>
        <v>7948</v>
      </c>
      <c r="KT14">
        <f ca="1">KT13-KT9</f>
        <v>5858</v>
      </c>
      <c r="KU14">
        <f ca="1">KU13-KU9</f>
        <v>4332</v>
      </c>
      <c r="KV14">
        <f ca="1">KV13-KV9</f>
        <v>4015</v>
      </c>
      <c r="KW14">
        <f ca="1">KW13-KW9</f>
        <v>4552</v>
      </c>
      <c r="KX14">
        <f ca="1">KX13-KX9</f>
        <v>3089</v>
      </c>
      <c r="KY14">
        <f ca="1">KY13-KY9</f>
        <v>8132</v>
      </c>
      <c r="KZ14">
        <f ca="1">KZ13-KZ9</f>
        <v>7921</v>
      </c>
      <c r="LA14">
        <f ca="1">LA13-LA9</f>
        <v>7072</v>
      </c>
      <c r="LB14">
        <f ca="1">LB13-LB9</f>
        <v>6305</v>
      </c>
      <c r="LC14">
        <f ca="1">LC13-LC9</f>
        <v>9293</v>
      </c>
      <c r="LD14">
        <f ca="1">LD13-LD9</f>
        <v>4593</v>
      </c>
      <c r="LE14">
        <f ca="1">LE13-LE9</f>
        <v>8550</v>
      </c>
      <c r="LF14">
        <f ca="1">LF13-LF9</f>
        <v>4756</v>
      </c>
      <c r="LG14">
        <f ca="1">LG13-LG9</f>
        <v>3680</v>
      </c>
      <c r="LH14">
        <f ca="1">LH13-LH9</f>
        <v>6171</v>
      </c>
      <c r="LI14">
        <f ca="1">LI13-LI9</f>
        <v>8339</v>
      </c>
      <c r="LJ14">
        <f ca="1">LJ13-LJ9</f>
        <v>5392</v>
      </c>
      <c r="LK14">
        <f ca="1">LK13-LK9</f>
        <v>4814</v>
      </c>
      <c r="LL14">
        <f ca="1">LL13-LL9</f>
        <v>4617</v>
      </c>
      <c r="LM14">
        <f ca="1">LM13-LM9</f>
        <v>3756</v>
      </c>
      <c r="LN14">
        <f ca="1">LN13-LN9</f>
        <v>3370</v>
      </c>
      <c r="LO14">
        <f ca="1">LO13-LO9</f>
        <v>2634</v>
      </c>
      <c r="LP14">
        <f ca="1">LP13-LP9</f>
        <v>3336</v>
      </c>
      <c r="LQ14">
        <f ca="1">LQ13-LQ9</f>
        <v>8789</v>
      </c>
      <c r="LR14">
        <f ca="1">LR13-LR9</f>
        <v>3902</v>
      </c>
      <c r="LS14">
        <f ca="1">LS13-LS9</f>
        <v>6257</v>
      </c>
      <c r="LT14">
        <f ca="1">LT13-LT9</f>
        <v>7907</v>
      </c>
      <c r="LU14">
        <f ca="1">LU13-LU9</f>
        <v>6566</v>
      </c>
      <c r="LV14">
        <f ca="1">LV13-LV9</f>
        <v>3134</v>
      </c>
      <c r="LW14">
        <f ca="1">LW13-LW9</f>
        <v>6380</v>
      </c>
      <c r="LX14">
        <f ca="1">LX13-LX9</f>
        <v>4785</v>
      </c>
      <c r="LY14">
        <f ca="1">LY13-LY9</f>
        <v>5799</v>
      </c>
      <c r="LZ14">
        <f ca="1">LZ13-LZ9</f>
        <v>7128</v>
      </c>
      <c r="MA14">
        <f ca="1">MA13-MA9</f>
        <v>5784</v>
      </c>
      <c r="MB14">
        <f ca="1">MB13-MB9</f>
        <v>2485</v>
      </c>
      <c r="MC14">
        <f ca="1">MC13-MC9</f>
        <v>4224</v>
      </c>
      <c r="MD14">
        <f ca="1">MD13-MD9</f>
        <v>9041</v>
      </c>
      <c r="ME14">
        <f ca="1">ME13-ME9</f>
        <v>9173</v>
      </c>
      <c r="MF14">
        <f ca="1">MF13-MF9</f>
        <v>5911</v>
      </c>
      <c r="MG14">
        <f ca="1">MG13-MG9</f>
        <v>9445</v>
      </c>
      <c r="MH14">
        <f ca="1">MH13-MH9</f>
        <v>7235</v>
      </c>
      <c r="MI14">
        <f ca="1">MI13-MI9</f>
        <v>5203</v>
      </c>
      <c r="MJ14">
        <f ca="1">MJ13-MJ9</f>
        <v>6615</v>
      </c>
      <c r="MK14">
        <f ca="1">MK13-MK9</f>
        <v>7716</v>
      </c>
      <c r="ML14">
        <f ca="1">ML13-ML9</f>
        <v>6601</v>
      </c>
      <c r="MM14">
        <f ca="1">MM13-MM9</f>
        <v>5424</v>
      </c>
      <c r="MN14">
        <f ca="1">MN13-MN9</f>
        <v>5925</v>
      </c>
      <c r="MO14">
        <f ca="1">MO13-MO9</f>
        <v>6788</v>
      </c>
      <c r="MP14">
        <f ca="1">MP13-MP9</f>
        <v>6477</v>
      </c>
      <c r="MQ14">
        <f ca="1">MQ13-MQ9</f>
        <v>6062</v>
      </c>
      <c r="MR14">
        <f ca="1">MR13-MR9</f>
        <v>4714</v>
      </c>
      <c r="MS14">
        <f ca="1">MS13-MS9</f>
        <v>8354</v>
      </c>
      <c r="MT14">
        <f ca="1">MT13-MT9</f>
        <v>8933</v>
      </c>
      <c r="MU14">
        <f ca="1">MU13-MU9</f>
        <v>6260</v>
      </c>
      <c r="MV14">
        <f ca="1">MV13-MV9</f>
        <v>3631</v>
      </c>
      <c r="MW14">
        <f ca="1">MW13-MW9</f>
        <v>8851</v>
      </c>
      <c r="MX14">
        <f ca="1">MX13-MX9</f>
        <v>4265</v>
      </c>
      <c r="MY14">
        <f ca="1">MY13-MY9</f>
        <v>4677</v>
      </c>
      <c r="MZ14">
        <f ca="1">MZ13-MZ9</f>
        <v>8837</v>
      </c>
      <c r="NA14">
        <f ca="1">NA13-NA9</f>
        <v>4721</v>
      </c>
      <c r="NB14">
        <f ca="1">NB13-NB9</f>
        <v>3887</v>
      </c>
      <c r="NC14">
        <f ca="1">NC13-NC9</f>
        <v>2864</v>
      </c>
      <c r="ND14">
        <f ca="1">ND13-ND9</f>
        <v>8275</v>
      </c>
      <c r="NE14">
        <f ca="1">NE13-NE9</f>
        <v>3637</v>
      </c>
      <c r="NF14">
        <f ca="1">NF13-NF9</f>
        <v>6094</v>
      </c>
      <c r="NG14">
        <f ca="1">NG13-NG9</f>
        <v>9235</v>
      </c>
      <c r="NH14">
        <f ca="1">NH13-NH9</f>
        <v>9422</v>
      </c>
      <c r="NI14">
        <f ca="1">NI13-NI9</f>
        <v>3890</v>
      </c>
      <c r="NJ14">
        <f ca="1">NJ13-NJ9</f>
        <v>8153</v>
      </c>
      <c r="NK14">
        <f ca="1">NK13-NK9</f>
        <v>4011</v>
      </c>
      <c r="NL14">
        <f ca="1">NL13-NL9</f>
        <v>6523</v>
      </c>
      <c r="NM14">
        <f ca="1">NM13-NM9</f>
        <v>9148</v>
      </c>
      <c r="NN14">
        <f ca="1">NN13-NN9</f>
        <v>2428</v>
      </c>
      <c r="NO14">
        <f ca="1">NO13-NO9</f>
        <v>6016</v>
      </c>
      <c r="NP14">
        <f ca="1">NP13-NP9</f>
        <v>3227</v>
      </c>
      <c r="NQ14">
        <f ca="1">NQ13-NQ9</f>
        <v>8439</v>
      </c>
      <c r="NR14">
        <f ca="1">NR13-NR9</f>
        <v>7202</v>
      </c>
      <c r="NS14">
        <f ca="1">NS13-NS9</f>
        <v>6245</v>
      </c>
      <c r="NT14">
        <f ca="1">NT13-NT9</f>
        <v>8625</v>
      </c>
      <c r="NU14">
        <f ca="1">NU13-NU9</f>
        <v>2480</v>
      </c>
      <c r="NV14">
        <f ca="1">NV13-NV9</f>
        <v>8201</v>
      </c>
      <c r="NW14">
        <f ca="1">NW13-NW9</f>
        <v>3448</v>
      </c>
      <c r="NX14">
        <f ca="1">NX13-NX9</f>
        <v>2492</v>
      </c>
      <c r="NY14">
        <f ca="1">NY13-NY9</f>
        <v>8618</v>
      </c>
      <c r="NZ14">
        <f ca="1">NZ13-NZ9</f>
        <v>7873</v>
      </c>
      <c r="OA14">
        <f ca="1">OA13-OA9</f>
        <v>6633</v>
      </c>
      <c r="OB14">
        <f ca="1">OB13-OB9</f>
        <v>7092</v>
      </c>
      <c r="OC14">
        <f ca="1">OC13-OC9</f>
        <v>8271</v>
      </c>
      <c r="OD14">
        <f ca="1">OD13-OD9</f>
        <v>9204</v>
      </c>
      <c r="OE14">
        <f ca="1">OE13-OE9</f>
        <v>6594</v>
      </c>
      <c r="OF14">
        <f ca="1">OF13-OF9</f>
        <v>7278</v>
      </c>
      <c r="OG14">
        <f ca="1">OG13-OG9</f>
        <v>2540</v>
      </c>
      <c r="OH14">
        <f ca="1">OH13-OH9</f>
        <v>3250</v>
      </c>
      <c r="OI14">
        <f ca="1">OI13-OI9</f>
        <v>4776</v>
      </c>
      <c r="OJ14">
        <f ca="1">OJ13-OJ9</f>
        <v>2432</v>
      </c>
      <c r="OK14">
        <f ca="1">OK13-OK9</f>
        <v>3804</v>
      </c>
      <c r="OL14">
        <f ca="1">OL13-OL9</f>
        <v>7449</v>
      </c>
      <c r="OM14">
        <f ca="1">OM13-OM9</f>
        <v>6608</v>
      </c>
      <c r="ON14">
        <f ca="1">ON13-ON9</f>
        <v>2546</v>
      </c>
      <c r="OO14">
        <f ca="1">OO13-OO9</f>
        <v>3095</v>
      </c>
      <c r="OP14">
        <f ca="1">OP13-OP9</f>
        <v>5429</v>
      </c>
      <c r="OQ14">
        <f ca="1">OQ13-OQ9</f>
        <v>3346</v>
      </c>
      <c r="OR14">
        <f ca="1">OR13-OR9</f>
        <v>6832</v>
      </c>
      <c r="OS14">
        <f ca="1">OS13-OS9</f>
        <v>3427</v>
      </c>
      <c r="OT14">
        <f ca="1">OT13-OT9</f>
        <v>4486</v>
      </c>
      <c r="OU14">
        <f ca="1">OU13-OU9</f>
        <v>5553</v>
      </c>
      <c r="OV14">
        <f ca="1">OV13-OV9</f>
        <v>7210</v>
      </c>
      <c r="OW14">
        <f ca="1">OW13-OW9</f>
        <v>4344</v>
      </c>
      <c r="OX14">
        <f ca="1">OX13-OX9</f>
        <v>4121</v>
      </c>
      <c r="OY14">
        <f ca="1">OY13-OY9</f>
        <v>3604</v>
      </c>
      <c r="OZ14">
        <f ca="1">OZ13-OZ9</f>
        <v>8812</v>
      </c>
      <c r="PA14">
        <f ca="1">PA13-PA9</f>
        <v>2819</v>
      </c>
      <c r="PB14">
        <f ca="1">PB13-PB9</f>
        <v>5512</v>
      </c>
      <c r="PC14">
        <f ca="1">PC13-PC9</f>
        <v>8570</v>
      </c>
      <c r="PD14">
        <f ca="1">PD13-PD9</f>
        <v>2517</v>
      </c>
      <c r="PE14">
        <f ca="1">PE13-PE9</f>
        <v>5819</v>
      </c>
      <c r="PF14">
        <f ca="1">PF13-PF9</f>
        <v>6728</v>
      </c>
      <c r="PG14">
        <f ca="1">PG13-PG9</f>
        <v>3312</v>
      </c>
      <c r="PH14">
        <f ca="1">PH13-PH9</f>
        <v>9225</v>
      </c>
      <c r="PI14">
        <f ca="1">PI13-PI9</f>
        <v>6610</v>
      </c>
      <c r="PJ14">
        <f ca="1">PJ13-PJ9</f>
        <v>8888</v>
      </c>
      <c r="PK14">
        <f ca="1">PK13-PK9</f>
        <v>4937</v>
      </c>
      <c r="PL14">
        <f ca="1">PL13-PL9</f>
        <v>6448</v>
      </c>
      <c r="PM14">
        <f ca="1">PM13-PM9</f>
        <v>5118</v>
      </c>
      <c r="PN14">
        <f ca="1">PN13-PN9</f>
        <v>6819</v>
      </c>
      <c r="PO14">
        <f ca="1">PO13-PO9</f>
        <v>6050</v>
      </c>
      <c r="PP14">
        <f ca="1">PP13-PP9</f>
        <v>5950</v>
      </c>
      <c r="PQ14">
        <f ca="1">PQ13-PQ9</f>
        <v>6842</v>
      </c>
      <c r="PR14">
        <f ca="1">PR13-PR9</f>
        <v>3101</v>
      </c>
      <c r="PS14">
        <f ca="1">PS13-PS9</f>
        <v>3212</v>
      </c>
      <c r="PT14">
        <f ca="1">PT13-PT9</f>
        <v>3223</v>
      </c>
      <c r="PU14">
        <f ca="1">PU13-PU9</f>
        <v>7881</v>
      </c>
      <c r="PV14">
        <f ca="1">PV13-PV9</f>
        <v>6682</v>
      </c>
      <c r="PW14">
        <f ca="1">PW13-PW9</f>
        <v>5763</v>
      </c>
      <c r="PX14">
        <f ca="1">PX13-PX9</f>
        <v>5394</v>
      </c>
      <c r="PY14">
        <f ca="1">PY13-PY9</f>
        <v>8890</v>
      </c>
      <c r="PZ14">
        <f ca="1">PZ13-PZ9</f>
        <v>5234</v>
      </c>
      <c r="QA14">
        <f ca="1">QA13-QA9</f>
        <v>6655</v>
      </c>
      <c r="QB14">
        <f ca="1">QB13-QB9</f>
        <v>2408</v>
      </c>
      <c r="QC14">
        <f ca="1">QC13-QC9</f>
        <v>5818</v>
      </c>
      <c r="QD14">
        <f ca="1">QD13-QD9</f>
        <v>4120</v>
      </c>
      <c r="QE14">
        <f ca="1">QE13-QE9</f>
        <v>6291</v>
      </c>
      <c r="QF14">
        <f ca="1">QF13-QF9</f>
        <v>4883</v>
      </c>
      <c r="QG14">
        <f ca="1">QG13-QG9</f>
        <v>2746</v>
      </c>
      <c r="QH14">
        <f ca="1">QH13-QH9</f>
        <v>5548</v>
      </c>
      <c r="QI14">
        <f ca="1">QI13-QI9</f>
        <v>8418</v>
      </c>
      <c r="QJ14">
        <f ca="1">QJ13-QJ9</f>
        <v>6513</v>
      </c>
      <c r="QK14">
        <f ca="1">QK13-QK9</f>
        <v>2417</v>
      </c>
      <c r="QL14">
        <f ca="1">QL13-QL9</f>
        <v>3655</v>
      </c>
      <c r="QM14">
        <f ca="1">QM13-QM9</f>
        <v>3681</v>
      </c>
      <c r="QN14">
        <f ca="1">QN13-QN9</f>
        <v>5129</v>
      </c>
      <c r="QO14">
        <f ca="1">QO13-QO9</f>
        <v>7245</v>
      </c>
      <c r="QP14">
        <f ca="1">QP13-QP9</f>
        <v>3138</v>
      </c>
      <c r="QQ14">
        <f ca="1">QQ13-QQ9</f>
        <v>8282</v>
      </c>
      <c r="QR14">
        <f ca="1">QR13-QR9</f>
        <v>7690</v>
      </c>
      <c r="QS14">
        <f ca="1">QS13-QS9</f>
        <v>8014</v>
      </c>
      <c r="QT14">
        <f ca="1">QT13-QT9</f>
        <v>8591</v>
      </c>
      <c r="QU14">
        <f ca="1">QU13-QU9</f>
        <v>7507</v>
      </c>
      <c r="QV14">
        <f ca="1">QV13-QV9</f>
        <v>2672</v>
      </c>
      <c r="QW14">
        <f ca="1">QW13-QW9</f>
        <v>7711</v>
      </c>
      <c r="QX14">
        <f ca="1">QX13-QX9</f>
        <v>7595</v>
      </c>
      <c r="QY14">
        <f ca="1">QY13-QY9</f>
        <v>7838</v>
      </c>
      <c r="QZ14">
        <f ca="1">QZ13-QZ9</f>
        <v>7122</v>
      </c>
      <c r="RA14">
        <f ca="1">RA13-RA9</f>
        <v>4340</v>
      </c>
      <c r="RB14">
        <f ca="1">RB13-RB9</f>
        <v>7656</v>
      </c>
      <c r="RC14">
        <f ca="1">RC13-RC9</f>
        <v>8874</v>
      </c>
      <c r="RD14">
        <f ca="1">RD13-RD9</f>
        <v>2451</v>
      </c>
      <c r="RE14">
        <f ca="1">RE13-RE9</f>
        <v>5528</v>
      </c>
      <c r="RF14">
        <f ca="1">RF13-RF9</f>
        <v>7501</v>
      </c>
      <c r="RG14">
        <f ca="1">RG13-RG9</f>
        <v>4913</v>
      </c>
      <c r="RH14">
        <f ca="1">RH13-RH9</f>
        <v>5821</v>
      </c>
      <c r="RI14">
        <f ca="1">RI13-RI9</f>
        <v>9180</v>
      </c>
      <c r="RJ14">
        <f ca="1">RJ13-RJ9</f>
        <v>7618</v>
      </c>
      <c r="RK14">
        <f ca="1">RK13-RK9</f>
        <v>6526</v>
      </c>
      <c r="RL14">
        <f ca="1">RL13-RL9</f>
        <v>6122</v>
      </c>
      <c r="RM14">
        <f ca="1">RM13-RM9</f>
        <v>9052</v>
      </c>
      <c r="RN14">
        <f ca="1">RN13-RN9</f>
        <v>8012</v>
      </c>
      <c r="RO14">
        <f ca="1">RO13-RO9</f>
        <v>6665</v>
      </c>
      <c r="RP14">
        <f ca="1">RP13-RP9</f>
        <v>4372</v>
      </c>
      <c r="RQ14">
        <f ca="1">RQ13-RQ9</f>
        <v>6725</v>
      </c>
      <c r="RR14">
        <f ca="1">RR13-RR9</f>
        <v>9025</v>
      </c>
      <c r="RS14">
        <f ca="1">RS13-RS9</f>
        <v>8106</v>
      </c>
      <c r="RT14">
        <f ca="1">RT13-RT9</f>
        <v>3344</v>
      </c>
      <c r="RU14">
        <f ca="1">RU13-RU9</f>
        <v>8742</v>
      </c>
      <c r="RV14">
        <f ca="1">RV13-RV9</f>
        <v>5092</v>
      </c>
      <c r="RW14">
        <f ca="1">RW13-RW9</f>
        <v>4516</v>
      </c>
      <c r="RX14">
        <f ca="1">RX13-RX9</f>
        <v>2763</v>
      </c>
      <c r="RY14">
        <f ca="1">RY13-RY9</f>
        <v>8153</v>
      </c>
      <c r="RZ14">
        <f ca="1">RZ13-RZ9</f>
        <v>9289</v>
      </c>
      <c r="SA14">
        <f ca="1">SA13-SA9</f>
        <v>6829</v>
      </c>
      <c r="SB14">
        <f ca="1">SB13-SB9</f>
        <v>5809</v>
      </c>
      <c r="SC14">
        <f ca="1">SC13-SC9</f>
        <v>2466</v>
      </c>
      <c r="SD14">
        <f ca="1">SD13-SD9</f>
        <v>5110</v>
      </c>
      <c r="SE14">
        <f ca="1">SE13-SE9</f>
        <v>2776</v>
      </c>
      <c r="SF14">
        <f ca="1">SF13-SF9</f>
        <v>8129</v>
      </c>
      <c r="SG14">
        <f ca="1">SG13-SG9</f>
        <v>3737</v>
      </c>
      <c r="SH14">
        <f ca="1">SH13-SH9</f>
        <v>2777</v>
      </c>
      <c r="SI14">
        <f ca="1">SI13-SI9</f>
        <v>2734</v>
      </c>
      <c r="SJ14">
        <f ca="1">SJ13-SJ9</f>
        <v>8108</v>
      </c>
      <c r="SK14">
        <f ca="1">SK13-SK9</f>
        <v>7798</v>
      </c>
      <c r="SL14">
        <f ca="1">SL13-SL9</f>
        <v>3935</v>
      </c>
      <c r="SM14">
        <f ca="1">SM13-SM9</f>
        <v>2407</v>
      </c>
      <c r="SN14">
        <f ca="1">SN13-SN9</f>
        <v>5919</v>
      </c>
      <c r="SO14">
        <f ca="1">SO13-SO9</f>
        <v>8660</v>
      </c>
      <c r="SP14">
        <f ca="1">SP13-SP9</f>
        <v>9287</v>
      </c>
      <c r="SQ14">
        <f ca="1">SQ13-SQ9</f>
        <v>5384</v>
      </c>
      <c r="SR14">
        <f ca="1">SR13-SR9</f>
        <v>2762</v>
      </c>
      <c r="SS14">
        <f ca="1">SS13-SS9</f>
        <v>7486</v>
      </c>
      <c r="ST14">
        <f ca="1">ST13-ST9</f>
        <v>5148</v>
      </c>
      <c r="SU14">
        <f ca="1">SU13-SU9</f>
        <v>3642</v>
      </c>
      <c r="SV14">
        <f ca="1">SV13-SV9</f>
        <v>7770</v>
      </c>
      <c r="SW14">
        <f ca="1">SW13-SW9</f>
        <v>8396</v>
      </c>
      <c r="SX14">
        <f ca="1">SX13-SX9</f>
        <v>7023</v>
      </c>
      <c r="SY14">
        <f ca="1">SY13-SY9</f>
        <v>5204</v>
      </c>
      <c r="SZ14">
        <f ca="1">SZ13-SZ9</f>
        <v>7986</v>
      </c>
      <c r="TA14">
        <f ca="1">TA13-TA9</f>
        <v>3252</v>
      </c>
      <c r="TB14">
        <f ca="1">TB13-TB9</f>
        <v>7618</v>
      </c>
      <c r="TC14">
        <f ca="1">TC13-TC9</f>
        <v>7799</v>
      </c>
      <c r="TD14">
        <f ca="1">TD13-TD9</f>
        <v>3294</v>
      </c>
      <c r="TE14">
        <f ca="1">TE13-TE9</f>
        <v>4712</v>
      </c>
      <c r="TF14">
        <f ca="1">TF13-TF9</f>
        <v>8587</v>
      </c>
      <c r="TG14">
        <f ca="1">TG13-TG9</f>
        <v>3719</v>
      </c>
      <c r="TH14">
        <f ca="1">TH13-TH9</f>
        <v>8371</v>
      </c>
      <c r="TI14">
        <f ca="1">TI13-TI9</f>
        <v>6244</v>
      </c>
      <c r="TJ14">
        <f ca="1">TJ13-TJ9</f>
        <v>3188</v>
      </c>
      <c r="TK14">
        <f ca="1">TK13-TK9</f>
        <v>8455</v>
      </c>
      <c r="TL14">
        <f ca="1">TL13-TL9</f>
        <v>9378</v>
      </c>
      <c r="TM14">
        <f ca="1">TM13-TM9</f>
        <v>5599</v>
      </c>
      <c r="TN14">
        <f ca="1">TN13-TN9</f>
        <v>9049</v>
      </c>
      <c r="TO14">
        <f ca="1">TO13-TO9</f>
        <v>4847</v>
      </c>
      <c r="TP14">
        <f ca="1">TP13-TP9</f>
        <v>8164</v>
      </c>
      <c r="TQ14">
        <f ca="1">TQ13-TQ9</f>
        <v>5071</v>
      </c>
      <c r="TR14">
        <f ca="1">TR13-TR9</f>
        <v>8282</v>
      </c>
      <c r="TS14">
        <f ca="1">TS13-TS9</f>
        <v>8380</v>
      </c>
      <c r="TT14">
        <f ca="1">TT13-TT9</f>
        <v>7626</v>
      </c>
      <c r="TU14">
        <f ca="1">TU13-TU9</f>
        <v>5919</v>
      </c>
      <c r="TV14">
        <f ca="1">TV13-TV9</f>
        <v>4788</v>
      </c>
      <c r="TW14">
        <f ca="1">TW13-TW9</f>
        <v>7357</v>
      </c>
      <c r="TX14">
        <f ca="1">TX13-TX9</f>
        <v>5320</v>
      </c>
      <c r="TY14">
        <f ca="1">TY13-TY9</f>
        <v>5994</v>
      </c>
      <c r="TZ14">
        <f ca="1">TZ13-TZ9</f>
        <v>2984</v>
      </c>
      <c r="UA14">
        <f ca="1">UA13-UA9</f>
        <v>3789</v>
      </c>
      <c r="UB14">
        <f ca="1">UB13-UB9</f>
        <v>3541</v>
      </c>
      <c r="UC14">
        <f ca="1">UC13-UC9</f>
        <v>8557</v>
      </c>
      <c r="UD14">
        <f ca="1">UD13-UD9</f>
        <v>6421</v>
      </c>
      <c r="UE14">
        <f ca="1">UE13-UE9</f>
        <v>4398</v>
      </c>
      <c r="UF14">
        <f ca="1">UF13-UF9</f>
        <v>5984</v>
      </c>
      <c r="UG14">
        <f ca="1">UG13-UG9</f>
        <v>5367</v>
      </c>
      <c r="UH14">
        <f ca="1">UH13-UH9</f>
        <v>5505</v>
      </c>
      <c r="UI14">
        <f ca="1">UI13-UI9</f>
        <v>9527</v>
      </c>
      <c r="UJ14">
        <f ca="1">UJ13-UJ9</f>
        <v>5911</v>
      </c>
      <c r="UK14">
        <f ca="1">UK13-UK9</f>
        <v>3568</v>
      </c>
      <c r="UL14">
        <f ca="1">UL13-UL9</f>
        <v>5103</v>
      </c>
      <c r="UM14">
        <f ca="1">UM13-UM9</f>
        <v>8747</v>
      </c>
      <c r="UN14">
        <f ca="1">UN13-UN9</f>
        <v>3398</v>
      </c>
      <c r="UO14">
        <f ca="1">UO13-UO9</f>
        <v>2927</v>
      </c>
      <c r="UP14">
        <f ca="1">UP13-UP9</f>
        <v>4852</v>
      </c>
      <c r="UQ14">
        <f ca="1">UQ13-UQ9</f>
        <v>3559</v>
      </c>
      <c r="UR14">
        <f ca="1">UR13-UR9</f>
        <v>4452</v>
      </c>
      <c r="US14">
        <f ca="1">US13-US9</f>
        <v>3587</v>
      </c>
      <c r="UT14">
        <f ca="1">UT13-UT9</f>
        <v>7485</v>
      </c>
      <c r="UU14">
        <f ca="1">UU13-UU9</f>
        <v>7518</v>
      </c>
      <c r="UV14">
        <f ca="1">UV13-UV9</f>
        <v>2431</v>
      </c>
      <c r="UW14">
        <f ca="1">UW13-UW9</f>
        <v>8756</v>
      </c>
      <c r="UX14">
        <f ca="1">UX13-UX9</f>
        <v>4822</v>
      </c>
      <c r="UY14">
        <f ca="1">UY13-UY9</f>
        <v>5590</v>
      </c>
      <c r="UZ14">
        <f ca="1">UZ13-UZ9</f>
        <v>5894</v>
      </c>
      <c r="VA14">
        <f ca="1">VA13-VA9</f>
        <v>7763</v>
      </c>
      <c r="VB14">
        <f ca="1">VB13-VB9</f>
        <v>4689</v>
      </c>
      <c r="VC14">
        <f ca="1">VC13-VC9</f>
        <v>4019</v>
      </c>
      <c r="VD14">
        <f ca="1">VD13-VD9</f>
        <v>2380</v>
      </c>
      <c r="VE14">
        <f ca="1">VE13-VE9</f>
        <v>6460</v>
      </c>
      <c r="VF14">
        <f ca="1">VF13-VF9</f>
        <v>4324</v>
      </c>
      <c r="VG14">
        <f ca="1">VG13-VG9</f>
        <v>7945</v>
      </c>
      <c r="VH14">
        <f ca="1">VH13-VH9</f>
        <v>8031</v>
      </c>
      <c r="VI14">
        <f ca="1">VI13-VI9</f>
        <v>2833</v>
      </c>
      <c r="VJ14">
        <f ca="1">VJ13-VJ9</f>
        <v>5995</v>
      </c>
      <c r="VK14">
        <f ca="1">VK13-VK9</f>
        <v>3805</v>
      </c>
      <c r="VL14">
        <f ca="1">VL13-VL9</f>
        <v>7670</v>
      </c>
      <c r="VM14">
        <f ca="1">VM13-VM9</f>
        <v>8138</v>
      </c>
      <c r="VN14">
        <f ca="1">VN13-VN9</f>
        <v>4543</v>
      </c>
      <c r="VO14">
        <f ca="1">VO13-VO9</f>
        <v>6257</v>
      </c>
      <c r="VP14">
        <f ca="1">VP13-VP9</f>
        <v>6054</v>
      </c>
      <c r="VQ14">
        <f ca="1">VQ13-VQ9</f>
        <v>6515</v>
      </c>
      <c r="VR14">
        <f ca="1">VR13-VR9</f>
        <v>5458</v>
      </c>
      <c r="VS14">
        <f ca="1">VS13-VS9</f>
        <v>8576</v>
      </c>
      <c r="VT14">
        <f ca="1">VT13-VT9</f>
        <v>8143</v>
      </c>
      <c r="VU14">
        <f ca="1">VU13-VU9</f>
        <v>5022</v>
      </c>
      <c r="VV14">
        <f ca="1">VV13-VV9</f>
        <v>4011</v>
      </c>
      <c r="VW14">
        <f ca="1">VW13-VW9</f>
        <v>3451</v>
      </c>
      <c r="VX14">
        <f ca="1">VX13-VX9</f>
        <v>6513</v>
      </c>
      <c r="VY14">
        <f ca="1">VY13-VY9</f>
        <v>9310</v>
      </c>
      <c r="VZ14">
        <f ca="1">VZ13-VZ9</f>
        <v>5843</v>
      </c>
      <c r="WA14">
        <f ca="1">WA13-WA9</f>
        <v>3247</v>
      </c>
      <c r="WB14">
        <f ca="1">WB13-WB9</f>
        <v>7300</v>
      </c>
      <c r="WC14">
        <f ca="1">WC13-WC9</f>
        <v>5699</v>
      </c>
      <c r="WD14">
        <f ca="1">WD13-WD9</f>
        <v>6257</v>
      </c>
      <c r="WE14">
        <f ca="1">WE13-WE9</f>
        <v>7528</v>
      </c>
      <c r="WF14">
        <f ca="1">WF13-WF9</f>
        <v>6430</v>
      </c>
      <c r="WG14">
        <f ca="1">WG13-WG9</f>
        <v>6353</v>
      </c>
      <c r="WH14">
        <f ca="1">WH13-WH9</f>
        <v>6434</v>
      </c>
      <c r="WI14">
        <f ca="1">WI13-WI9</f>
        <v>4510</v>
      </c>
      <c r="WJ14">
        <f ca="1">WJ13-WJ9</f>
        <v>4674</v>
      </c>
      <c r="WK14">
        <f ca="1">WK13-WK9</f>
        <v>8321</v>
      </c>
      <c r="WL14">
        <f ca="1">WL13-WL9</f>
        <v>8852</v>
      </c>
      <c r="WM14">
        <f ca="1">WM13-WM9</f>
        <v>4383</v>
      </c>
      <c r="WN14">
        <f ca="1">WN13-WN9</f>
        <v>4477</v>
      </c>
      <c r="WO14">
        <f ca="1">WO13-WO9</f>
        <v>2556</v>
      </c>
      <c r="WP14">
        <f ca="1">WP13-WP9</f>
        <v>9491</v>
      </c>
      <c r="WQ14">
        <f ca="1">WQ13-WQ9</f>
        <v>4739</v>
      </c>
      <c r="WR14">
        <f ca="1">WR13-WR9</f>
        <v>6204</v>
      </c>
      <c r="WS14">
        <f ca="1">WS13-WS9</f>
        <v>5755</v>
      </c>
      <c r="WT14">
        <f ca="1">WT13-WT9</f>
        <v>6210</v>
      </c>
      <c r="WU14">
        <f ca="1">WU13-WU9</f>
        <v>7817</v>
      </c>
      <c r="WV14">
        <f ca="1">WV13-WV9</f>
        <v>3485</v>
      </c>
      <c r="WW14">
        <f ca="1">WW13-WW9</f>
        <v>5256</v>
      </c>
      <c r="WX14">
        <f ca="1">WX13-WX9</f>
        <v>2638</v>
      </c>
      <c r="WY14">
        <f ca="1">WY13-WY9</f>
        <v>6794</v>
      </c>
      <c r="WZ14">
        <f ca="1">WZ13-WZ9</f>
        <v>6287</v>
      </c>
      <c r="XA14">
        <f ca="1">XA13-XA9</f>
        <v>7122</v>
      </c>
      <c r="XB14">
        <f ca="1">XB13-XB9</f>
        <v>4286</v>
      </c>
      <c r="XC14">
        <f ca="1">XC13-XC9</f>
        <v>9246</v>
      </c>
      <c r="XD14">
        <f ca="1">XD13-XD9</f>
        <v>9149</v>
      </c>
      <c r="XE14">
        <f ca="1">XE13-XE9</f>
        <v>3901</v>
      </c>
      <c r="XF14">
        <f ca="1">XF13-XF9</f>
        <v>8805</v>
      </c>
      <c r="XG14">
        <f ca="1">XG13-XG9</f>
        <v>4259</v>
      </c>
      <c r="XH14">
        <f ca="1">XH13-XH9</f>
        <v>5599</v>
      </c>
      <c r="XI14">
        <f ca="1">XI13-XI9</f>
        <v>8967</v>
      </c>
      <c r="XJ14">
        <f ca="1">XJ13-XJ9</f>
        <v>7722</v>
      </c>
      <c r="XK14">
        <f ca="1">XK13-XK9</f>
        <v>2905</v>
      </c>
      <c r="XL14">
        <f ca="1">XL13-XL9</f>
        <v>6902</v>
      </c>
      <c r="XM14">
        <f ca="1">XM13-XM9</f>
        <v>7450</v>
      </c>
      <c r="XN14">
        <f ca="1">XN13-XN9</f>
        <v>3432</v>
      </c>
      <c r="XO14">
        <f ca="1">XO13-XO9</f>
        <v>8274</v>
      </c>
      <c r="XP14">
        <f ca="1">XP13-XP9</f>
        <v>4559</v>
      </c>
      <c r="XQ14">
        <f ca="1">XQ13-XQ9</f>
        <v>2485</v>
      </c>
      <c r="XR14">
        <f ca="1">XR13-XR9</f>
        <v>9109</v>
      </c>
      <c r="XS14">
        <f ca="1">XS13-XS9</f>
        <v>7610</v>
      </c>
      <c r="XT14">
        <f ca="1">XT13-XT9</f>
        <v>4007</v>
      </c>
      <c r="XU14">
        <f ca="1">XU13-XU9</f>
        <v>7629</v>
      </c>
      <c r="XV14">
        <f ca="1">XV13-XV9</f>
        <v>4295</v>
      </c>
      <c r="XW14">
        <f ca="1">XW13-XW9</f>
        <v>7035</v>
      </c>
      <c r="XX14">
        <f ca="1">XX13-XX9</f>
        <v>7214</v>
      </c>
      <c r="XY14">
        <f ca="1">XY13-XY9</f>
        <v>3824</v>
      </c>
      <c r="XZ14">
        <f ca="1">XZ13-XZ9</f>
        <v>7535</v>
      </c>
      <c r="YA14">
        <f ca="1">YA13-YA9</f>
        <v>8390</v>
      </c>
      <c r="YB14">
        <f ca="1">YB13-YB9</f>
        <v>3123</v>
      </c>
      <c r="YC14">
        <f ca="1">YC13-YC9</f>
        <v>5640</v>
      </c>
      <c r="YD14">
        <f ca="1">YD13-YD9</f>
        <v>6357</v>
      </c>
      <c r="YE14">
        <f ca="1">YE13-YE9</f>
        <v>3780</v>
      </c>
      <c r="YF14">
        <f ca="1">YF13-YF9</f>
        <v>2740</v>
      </c>
      <c r="YG14">
        <f ca="1">YG13-YG9</f>
        <v>3342</v>
      </c>
      <c r="YH14">
        <f ca="1">YH13-YH9</f>
        <v>6792</v>
      </c>
      <c r="YI14">
        <f ca="1">YI13-YI9</f>
        <v>8797</v>
      </c>
      <c r="YJ14">
        <f ca="1">YJ13-YJ9</f>
        <v>2680</v>
      </c>
      <c r="YK14">
        <f ca="1">YK13-YK9</f>
        <v>6195</v>
      </c>
      <c r="YL14">
        <f ca="1">YL13-YL9</f>
        <v>7156</v>
      </c>
      <c r="YM14">
        <f ca="1">YM13-YM9</f>
        <v>2980</v>
      </c>
      <c r="YN14">
        <f ca="1">YN13-YN9</f>
        <v>5497</v>
      </c>
      <c r="YO14">
        <f ca="1">YO13-YO9</f>
        <v>5312</v>
      </c>
      <c r="YP14">
        <f ca="1">YP13-YP9</f>
        <v>7135</v>
      </c>
      <c r="YQ14">
        <f ca="1">YQ13-YQ9</f>
        <v>4743</v>
      </c>
      <c r="YR14">
        <f ca="1">YR13-YR9</f>
        <v>2940</v>
      </c>
      <c r="YS14">
        <f ca="1">YS13-YS9</f>
        <v>4554</v>
      </c>
      <c r="YT14">
        <f ca="1">YT13-YT9</f>
        <v>4305</v>
      </c>
      <c r="YU14">
        <f ca="1">YU13-YU9</f>
        <v>3987</v>
      </c>
      <c r="YV14">
        <f ca="1">YV13-YV9</f>
        <v>7585</v>
      </c>
      <c r="YW14">
        <f ca="1">YW13-YW9</f>
        <v>8508</v>
      </c>
      <c r="YX14">
        <f ca="1">YX13-YX9</f>
        <v>8630</v>
      </c>
      <c r="YY14">
        <f ca="1">YY13-YY9</f>
        <v>9546</v>
      </c>
      <c r="YZ14">
        <f ca="1">YZ13-YZ9</f>
        <v>7677</v>
      </c>
      <c r="ZA14">
        <f ca="1">ZA13-ZA9</f>
        <v>3823</v>
      </c>
      <c r="ZB14">
        <f ca="1">ZB13-ZB9</f>
        <v>3606</v>
      </c>
      <c r="ZC14">
        <f ca="1">ZC13-ZC9</f>
        <v>4424</v>
      </c>
      <c r="ZD14">
        <f ca="1">ZD13-ZD9</f>
        <v>2738</v>
      </c>
      <c r="ZE14">
        <f ca="1">ZE13-ZE9</f>
        <v>7877</v>
      </c>
      <c r="ZF14">
        <f ca="1">ZF13-ZF9</f>
        <v>3303</v>
      </c>
      <c r="ZG14">
        <f ca="1">ZG13-ZG9</f>
        <v>6760</v>
      </c>
      <c r="ZH14">
        <f ca="1">ZH13-ZH9</f>
        <v>6209</v>
      </c>
      <c r="ZI14">
        <f ca="1">ZI13-ZI9</f>
        <v>7086</v>
      </c>
      <c r="ZJ14">
        <f ca="1">ZJ13-ZJ9</f>
        <v>2562</v>
      </c>
      <c r="ZK14">
        <f ca="1">ZK13-ZK9</f>
        <v>4067</v>
      </c>
      <c r="ZL14">
        <f ca="1">ZL13-ZL9</f>
        <v>3689</v>
      </c>
      <c r="ZM14">
        <f ca="1">ZM13-ZM9</f>
        <v>7909</v>
      </c>
      <c r="ZN14">
        <f ca="1">ZN13-ZN9</f>
        <v>4955</v>
      </c>
      <c r="ZO14">
        <f ca="1">ZO13-ZO9</f>
        <v>8004</v>
      </c>
      <c r="ZP14">
        <f ca="1">ZP13-ZP9</f>
        <v>7841</v>
      </c>
      <c r="ZQ14">
        <f ca="1">ZQ13-ZQ9</f>
        <v>8815</v>
      </c>
      <c r="ZR14">
        <f ca="1">ZR13-ZR9</f>
        <v>7417</v>
      </c>
      <c r="ZS14">
        <f ca="1">ZS13-ZS9</f>
        <v>8223</v>
      </c>
      <c r="ZT14">
        <f ca="1">ZT13-ZT9</f>
        <v>6098</v>
      </c>
      <c r="ZU14">
        <f ca="1">ZU13-ZU9</f>
        <v>8306</v>
      </c>
      <c r="ZV14">
        <f ca="1">ZV13-ZV9</f>
        <v>7789</v>
      </c>
      <c r="ZW14">
        <f ca="1">ZW13-ZW9</f>
        <v>5625</v>
      </c>
      <c r="ZX14">
        <f ca="1">ZX13-ZX9</f>
        <v>3626</v>
      </c>
      <c r="ZY14">
        <f ca="1">ZY13-ZY9</f>
        <v>3268</v>
      </c>
      <c r="ZZ14">
        <f ca="1">ZZ13-ZZ9</f>
        <v>6967</v>
      </c>
      <c r="AAA14">
        <f ca="1">AAA13-AAA9</f>
        <v>9176</v>
      </c>
      <c r="AAB14">
        <f ca="1">AAB13-AAB9</f>
        <v>6944</v>
      </c>
      <c r="AAC14">
        <f ca="1">AAC13-AAC9</f>
        <v>7128</v>
      </c>
      <c r="AAD14">
        <f ca="1">AAD13-AAD9</f>
        <v>7905</v>
      </c>
      <c r="AAE14">
        <f ca="1">AAE13-AAE9</f>
        <v>9336</v>
      </c>
      <c r="AAF14">
        <f ca="1">AAF13-AAF9</f>
        <v>6038</v>
      </c>
      <c r="AAG14">
        <f ca="1">AAG13-AAG9</f>
        <v>3875</v>
      </c>
      <c r="AAH14">
        <f ca="1">AAH13-AAH9</f>
        <v>5713</v>
      </c>
      <c r="AAI14">
        <f ca="1">AAI13-AAI9</f>
        <v>6471</v>
      </c>
      <c r="AAJ14">
        <f ca="1">AAJ13-AAJ9</f>
        <v>8428</v>
      </c>
      <c r="AAK14">
        <f ca="1">AAK13-AAK9</f>
        <v>8017</v>
      </c>
      <c r="AAL14">
        <f ca="1">AAL13-AAL9</f>
        <v>5836</v>
      </c>
      <c r="AAM14">
        <f ca="1">AAM13-AAM9</f>
        <v>7417</v>
      </c>
      <c r="AAN14">
        <f ca="1">AAN13-AAN9</f>
        <v>4184</v>
      </c>
      <c r="AAO14">
        <f ca="1">AAO13-AAO9</f>
        <v>6123</v>
      </c>
      <c r="AAP14">
        <f ca="1">AAP13-AAP9</f>
        <v>9275</v>
      </c>
      <c r="AAQ14">
        <f ca="1">AAQ13-AAQ9</f>
        <v>5876</v>
      </c>
      <c r="AAR14">
        <f ca="1">AAR13-AAR9</f>
        <v>5521</v>
      </c>
      <c r="AAS14">
        <f ca="1">AAS13-AAS9</f>
        <v>2429</v>
      </c>
      <c r="AAT14">
        <f ca="1">AAT13-AAT9</f>
        <v>3713</v>
      </c>
      <c r="AAU14">
        <f ca="1">AAU13-AAU9</f>
        <v>4715</v>
      </c>
      <c r="AAV14">
        <f ca="1">AAV13-AAV9</f>
        <v>9326</v>
      </c>
      <c r="AAW14">
        <f ca="1">AAW13-AAW9</f>
        <v>7006</v>
      </c>
      <c r="AAX14">
        <f ca="1">AAX13-AAX9</f>
        <v>5445</v>
      </c>
      <c r="AAY14">
        <f ca="1">AAY13-AAY9</f>
        <v>5251</v>
      </c>
      <c r="AAZ14">
        <f ca="1">AAZ13-AAZ9</f>
        <v>4894</v>
      </c>
      <c r="ABA14">
        <f ca="1">ABA13-ABA9</f>
        <v>2473</v>
      </c>
      <c r="ABB14">
        <f ca="1">ABB13-ABB9</f>
        <v>6714</v>
      </c>
      <c r="ABC14">
        <f ca="1">ABC13-ABC9</f>
        <v>8851</v>
      </c>
      <c r="ABD14">
        <f ca="1">ABD13-ABD9</f>
        <v>2847</v>
      </c>
      <c r="ABE14">
        <f ca="1">ABE13-ABE9</f>
        <v>9005</v>
      </c>
      <c r="ABF14">
        <f ca="1">ABF13-ABF9</f>
        <v>9355</v>
      </c>
      <c r="ABG14">
        <f ca="1">ABG13-ABG9</f>
        <v>8180</v>
      </c>
      <c r="ABH14">
        <f ca="1">ABH13-ABH9</f>
        <v>6740</v>
      </c>
      <c r="ABI14">
        <f ca="1">ABI13-ABI9</f>
        <v>2903</v>
      </c>
      <c r="ABJ14">
        <f ca="1">ABJ13-ABJ9</f>
        <v>7452</v>
      </c>
      <c r="ABK14">
        <f ca="1">ABK13-ABK9</f>
        <v>3837</v>
      </c>
      <c r="ABL14">
        <f ca="1">ABL13-ABL9</f>
        <v>5343</v>
      </c>
      <c r="ABM14">
        <f ca="1">ABM13-ABM9</f>
        <v>5574</v>
      </c>
      <c r="ABN14">
        <f ca="1">ABN13-ABN9</f>
        <v>3357</v>
      </c>
      <c r="ABO14">
        <f ca="1">ABO13-ABO9</f>
        <v>5225</v>
      </c>
      <c r="ABP14">
        <f ca="1">ABP13-ABP9</f>
        <v>6485</v>
      </c>
      <c r="ABQ14">
        <f ca="1">ABQ13-ABQ9</f>
        <v>3524</v>
      </c>
      <c r="ABR14">
        <f ca="1">ABR13-ABR9</f>
        <v>2409</v>
      </c>
      <c r="ABS14">
        <f ca="1">ABS13-ABS9</f>
        <v>2364</v>
      </c>
      <c r="ABT14">
        <f ca="1">ABT13-ABT9</f>
        <v>9525</v>
      </c>
      <c r="ABU14">
        <f ca="1">ABU13-ABU9</f>
        <v>9060</v>
      </c>
      <c r="ABV14">
        <f ca="1">ABV13-ABV9</f>
        <v>6783</v>
      </c>
      <c r="ABW14">
        <f ca="1">ABW13-ABW9</f>
        <v>6796</v>
      </c>
      <c r="ABX14">
        <f ca="1">ABX13-ABX9</f>
        <v>6956</v>
      </c>
      <c r="ABY14">
        <f ca="1">ABY13-ABY9</f>
        <v>7737</v>
      </c>
      <c r="ABZ14">
        <f ca="1">ABZ13-ABZ9</f>
        <v>4903</v>
      </c>
      <c r="ACA14">
        <f ca="1">ACA13-ACA9</f>
        <v>8409</v>
      </c>
      <c r="ACB14">
        <f ca="1">ACB13-ACB9</f>
        <v>4576</v>
      </c>
      <c r="ACC14">
        <f ca="1">ACC13-ACC9</f>
        <v>7325</v>
      </c>
      <c r="ACD14">
        <f ca="1">ACD13-ACD9</f>
        <v>3224</v>
      </c>
      <c r="ACE14">
        <f ca="1">ACE13-ACE9</f>
        <v>9160</v>
      </c>
      <c r="ACF14">
        <f ca="1">ACF13-ACF9</f>
        <v>7306</v>
      </c>
      <c r="ACG14">
        <f ca="1">ACG13-ACG9</f>
        <v>2673</v>
      </c>
      <c r="ACH14">
        <f ca="1">ACH13-ACH9</f>
        <v>8470</v>
      </c>
      <c r="ACI14">
        <f ca="1">ACI13-ACI9</f>
        <v>4716</v>
      </c>
      <c r="ACJ14">
        <f ca="1">ACJ13-ACJ9</f>
        <v>4916</v>
      </c>
      <c r="ACK14">
        <f ca="1">ACK13-ACK9</f>
        <v>6218</v>
      </c>
      <c r="ACL14">
        <f ca="1">ACL13-ACL9</f>
        <v>7158</v>
      </c>
      <c r="ACM14">
        <f ca="1">ACM13-ACM9</f>
        <v>3963</v>
      </c>
      <c r="ACN14">
        <f ca="1">ACN13-ACN9</f>
        <v>7640</v>
      </c>
      <c r="ACO14">
        <f ca="1">ACO13-ACO9</f>
        <v>2535</v>
      </c>
      <c r="ACP14">
        <f ca="1">ACP13-ACP9</f>
        <v>4109</v>
      </c>
      <c r="ACQ14">
        <f ca="1">ACQ13-ACQ9</f>
        <v>9371</v>
      </c>
      <c r="ACR14">
        <f ca="1">ACR13-ACR9</f>
        <v>2382</v>
      </c>
      <c r="ACS14">
        <f ca="1">ACS13-ACS9</f>
        <v>2474</v>
      </c>
      <c r="ACT14">
        <f ca="1">ACT13-ACT9</f>
        <v>3902</v>
      </c>
      <c r="ACU14">
        <f ca="1">ACU13-ACU9</f>
        <v>9506</v>
      </c>
      <c r="ACV14">
        <f ca="1">ACV13-ACV9</f>
        <v>9059</v>
      </c>
      <c r="ACW14">
        <f ca="1">ACW13-ACW9</f>
        <v>6011</v>
      </c>
      <c r="ACX14">
        <f ca="1">ACX13-ACX9</f>
        <v>3191</v>
      </c>
      <c r="ACY14">
        <f ca="1">ACY13-ACY9</f>
        <v>5118</v>
      </c>
      <c r="ACZ14">
        <f ca="1">ACZ13-ACZ9</f>
        <v>8110</v>
      </c>
      <c r="ADA14">
        <f ca="1">ADA13-ADA9</f>
        <v>4424</v>
      </c>
      <c r="ADB14">
        <f ca="1">ADB13-ADB9</f>
        <v>3556</v>
      </c>
      <c r="ADC14">
        <f ca="1">ADC13-ADC9</f>
        <v>7922</v>
      </c>
      <c r="ADD14">
        <f ca="1">ADD13-ADD9</f>
        <v>8868</v>
      </c>
      <c r="ADE14">
        <f ca="1">ADE13-ADE9</f>
        <v>7949</v>
      </c>
      <c r="ADF14">
        <f ca="1">ADF13-ADF9</f>
        <v>2741</v>
      </c>
      <c r="ADG14">
        <f ca="1">ADG13-ADG9</f>
        <v>4822</v>
      </c>
      <c r="ADH14">
        <f ca="1">ADH13-ADH9</f>
        <v>5789</v>
      </c>
      <c r="ADI14">
        <f ca="1">ADI13-ADI9</f>
        <v>8229</v>
      </c>
      <c r="ADJ14">
        <f ca="1">ADJ13-ADJ9</f>
        <v>9231</v>
      </c>
      <c r="ADK14">
        <f ca="1">ADK13-ADK9</f>
        <v>5788</v>
      </c>
      <c r="ADL14">
        <f ca="1">ADL13-ADL9</f>
        <v>9039</v>
      </c>
      <c r="ADM14">
        <f ca="1">ADM13-ADM9</f>
        <v>9220</v>
      </c>
      <c r="ADN14">
        <f ca="1">ADN13-ADN9</f>
        <v>6032</v>
      </c>
      <c r="ADO14">
        <f ca="1">ADO13-ADO9</f>
        <v>4551</v>
      </c>
      <c r="ADP14">
        <f ca="1">ADP13-ADP9</f>
        <v>8592</v>
      </c>
      <c r="ADQ14">
        <f ca="1">ADQ13-ADQ9</f>
        <v>3461</v>
      </c>
      <c r="ADR14">
        <f ca="1">ADR13-ADR9</f>
        <v>3326</v>
      </c>
      <c r="ADS14">
        <f ca="1">ADS13-ADS9</f>
        <v>8229</v>
      </c>
      <c r="ADT14">
        <f ca="1">ADT13-ADT9</f>
        <v>3883</v>
      </c>
      <c r="ADU14">
        <f ca="1">ADU13-ADU9</f>
        <v>3572</v>
      </c>
      <c r="ADV14">
        <f ca="1">ADV13-ADV9</f>
        <v>6565</v>
      </c>
      <c r="ADW14">
        <f ca="1">ADW13-ADW9</f>
        <v>9048</v>
      </c>
      <c r="ADX14">
        <f ca="1">ADX13-ADX9</f>
        <v>2927</v>
      </c>
      <c r="ADY14">
        <f ca="1">ADY13-ADY9</f>
        <v>2322</v>
      </c>
      <c r="ADZ14">
        <f ca="1">ADZ13-ADZ9</f>
        <v>8644</v>
      </c>
      <c r="AEA14">
        <f ca="1">AEA13-AEA9</f>
        <v>6818</v>
      </c>
      <c r="AEB14">
        <f ca="1">AEB13-AEB9</f>
        <v>7292</v>
      </c>
      <c r="AEC14">
        <f ca="1">AEC13-AEC9</f>
        <v>7628</v>
      </c>
      <c r="AED14">
        <f ca="1">AED13-AED9</f>
        <v>5647</v>
      </c>
      <c r="AEE14">
        <f ca="1">AEE13-AEE9</f>
        <v>4192</v>
      </c>
      <c r="AEF14">
        <f ca="1">AEF13-AEF9</f>
        <v>2401</v>
      </c>
      <c r="AEG14">
        <f ca="1">AEG13-AEG9</f>
        <v>7033</v>
      </c>
      <c r="AEH14">
        <f ca="1">AEH13-AEH9</f>
        <v>7658</v>
      </c>
      <c r="AEI14">
        <f ca="1">AEI13-AEI9</f>
        <v>6214</v>
      </c>
      <c r="AEJ14">
        <f ca="1">AEJ13-AEJ9</f>
        <v>7981</v>
      </c>
      <c r="AEK14">
        <f ca="1">AEK13-AEK9</f>
        <v>6649</v>
      </c>
      <c r="AEL14">
        <f ca="1">AEL13-AEL9</f>
        <v>5949</v>
      </c>
      <c r="AEM14">
        <f ca="1">AEM13-AEM9</f>
        <v>4105</v>
      </c>
      <c r="AEN14">
        <f ca="1">AEN13-AEN9</f>
        <v>8351</v>
      </c>
      <c r="AEO14">
        <f ca="1">AEO13-AEO9</f>
        <v>7615</v>
      </c>
      <c r="AEP14">
        <f ca="1">AEP13-AEP9</f>
        <v>2464</v>
      </c>
      <c r="AEQ14">
        <f ca="1">AEQ13-AEQ9</f>
        <v>8609</v>
      </c>
      <c r="AER14">
        <f ca="1">AER13-AER9</f>
        <v>4515</v>
      </c>
      <c r="AES14">
        <f ca="1">AES13-AES9</f>
        <v>4582</v>
      </c>
      <c r="AET14">
        <f ca="1">AET13-AET9</f>
        <v>4120</v>
      </c>
      <c r="AEU14">
        <f ca="1">AEU13-AEU9</f>
        <v>5896</v>
      </c>
      <c r="AEV14">
        <f ca="1">AEV13-AEV9</f>
        <v>5262</v>
      </c>
      <c r="AEW14">
        <f ca="1">AEW13-AEW9</f>
        <v>8952</v>
      </c>
      <c r="AEX14">
        <f ca="1">AEX13-AEX9</f>
        <v>5126</v>
      </c>
      <c r="AEY14">
        <f ca="1">AEY13-AEY9</f>
        <v>4787</v>
      </c>
      <c r="AEZ14">
        <f ca="1">AEZ13-AEZ9</f>
        <v>2756</v>
      </c>
      <c r="AFA14">
        <f ca="1">AFA13-AFA9</f>
        <v>4848</v>
      </c>
      <c r="AFB14">
        <f ca="1">AFB13-AFB9</f>
        <v>7202</v>
      </c>
      <c r="AFC14">
        <f ca="1">AFC13-AFC9</f>
        <v>6626</v>
      </c>
      <c r="AFD14">
        <f ca="1">AFD13-AFD9</f>
        <v>6275</v>
      </c>
      <c r="AFE14">
        <f ca="1">AFE13-AFE9</f>
        <v>8406</v>
      </c>
      <c r="AFF14">
        <f ca="1">AFF13-AFF9</f>
        <v>3123</v>
      </c>
      <c r="AFG14">
        <f ca="1">AFG13-AFG9</f>
        <v>4825</v>
      </c>
      <c r="AFH14">
        <f ca="1">AFH13-AFH9</f>
        <v>3146</v>
      </c>
      <c r="AFI14">
        <f ca="1">AFI13-AFI9</f>
        <v>9183</v>
      </c>
      <c r="AFJ14">
        <f ca="1">AFJ13-AFJ9</f>
        <v>5765</v>
      </c>
      <c r="AFK14">
        <f ca="1">AFK13-AFK9</f>
        <v>7167</v>
      </c>
      <c r="AFL14">
        <f ca="1">AFL13-AFL9</f>
        <v>4710</v>
      </c>
      <c r="AFM14">
        <f ca="1">AFM13-AFM9</f>
        <v>4682</v>
      </c>
      <c r="AFN14">
        <f ca="1">AFN13-AFN9</f>
        <v>4547</v>
      </c>
      <c r="AFO14">
        <f ca="1">AFO13-AFO9</f>
        <v>3508</v>
      </c>
      <c r="AFP14">
        <f ca="1">AFP13-AFP9</f>
        <v>5314</v>
      </c>
      <c r="AFQ14">
        <f ca="1">AFQ13-AFQ9</f>
        <v>4746</v>
      </c>
      <c r="AFR14">
        <f ca="1">AFR13-AFR9</f>
        <v>8994</v>
      </c>
      <c r="AFS14">
        <f ca="1">AFS13-AFS9</f>
        <v>8754</v>
      </c>
      <c r="AFT14">
        <f ca="1">AFT13-AFT9</f>
        <v>8327</v>
      </c>
      <c r="AFU14">
        <f ca="1">AFU13-AFU9</f>
        <v>9451</v>
      </c>
      <c r="AFV14">
        <f ca="1">AFV13-AFV9</f>
        <v>3507</v>
      </c>
      <c r="AFW14">
        <f ca="1">AFW13-AFW9</f>
        <v>5135</v>
      </c>
      <c r="AFX14">
        <f ca="1">AFX13-AFX9</f>
        <v>7700</v>
      </c>
      <c r="AFY14">
        <f ca="1">AFY13-AFY9</f>
        <v>9051</v>
      </c>
      <c r="AFZ14">
        <f ca="1">AFZ13-AFZ9</f>
        <v>6451</v>
      </c>
      <c r="AGA14">
        <f ca="1">AGA13-AGA9</f>
        <v>5350</v>
      </c>
      <c r="AGB14">
        <f ca="1">AGB13-AGB9</f>
        <v>4320</v>
      </c>
      <c r="AGC14">
        <f ca="1">AGC13-AGC9</f>
        <v>2774</v>
      </c>
      <c r="AGD14">
        <f ca="1">AGD13-AGD9</f>
        <v>6376</v>
      </c>
      <c r="AGE14">
        <f ca="1">AGE13-AGE9</f>
        <v>6789</v>
      </c>
      <c r="AGF14">
        <f ca="1">AGF13-AGF9</f>
        <v>2492</v>
      </c>
      <c r="AGG14">
        <f ca="1">AGG13-AGG9</f>
        <v>7456</v>
      </c>
      <c r="AGH14">
        <f ca="1">AGH13-AGH9</f>
        <v>3158</v>
      </c>
      <c r="AGI14">
        <f ca="1">AGI13-AGI9</f>
        <v>8364</v>
      </c>
      <c r="AGJ14">
        <f ca="1">AGJ13-AGJ9</f>
        <v>8548</v>
      </c>
      <c r="AGK14">
        <f ca="1">AGK13-AGK9</f>
        <v>4170</v>
      </c>
      <c r="AGL14">
        <f ca="1">AGL13-AGL9</f>
        <v>5457</v>
      </c>
      <c r="AGM14">
        <f ca="1">AGM13-AGM9</f>
        <v>5313</v>
      </c>
      <c r="AGN14">
        <f ca="1">AGN13-AGN9</f>
        <v>4145</v>
      </c>
      <c r="AGO14">
        <f ca="1">AGO13-AGO9</f>
        <v>2556</v>
      </c>
      <c r="AGP14">
        <f ca="1">AGP13-AGP9</f>
        <v>3978</v>
      </c>
      <c r="AGQ14">
        <f ca="1">AGQ13-AGQ9</f>
        <v>9077</v>
      </c>
      <c r="AGR14">
        <f ca="1">AGR13-AGR9</f>
        <v>5045</v>
      </c>
      <c r="AGS14">
        <f ca="1">AGS13-AGS9</f>
        <v>6769</v>
      </c>
      <c r="AGT14">
        <f ca="1">AGT13-AGT9</f>
        <v>46100</v>
      </c>
      <c r="AGU14">
        <f ca="1">AGU13-AGU9</f>
        <v>46100</v>
      </c>
      <c r="AGV14">
        <f ca="1">AGV13-AGV9</f>
        <v>46100</v>
      </c>
      <c r="AGW14">
        <f ca="1">AGW13-AGW9</f>
        <v>46100</v>
      </c>
      <c r="AGX14">
        <f ca="1">AGX13-AGX9</f>
        <v>46100</v>
      </c>
      <c r="AGY14">
        <f ca="1">AGY13-AGY9</f>
        <v>46100</v>
      </c>
      <c r="AGZ14">
        <f ca="1">AGZ13-AGZ9</f>
        <v>46100</v>
      </c>
      <c r="AHA14">
        <f ca="1">AHA13-AHA9</f>
        <v>46100</v>
      </c>
    </row>
    <row r="15" spans="1:885" x14ac:dyDescent="0.25">
      <c r="A15" s="1" t="s">
        <v>98</v>
      </c>
      <c r="B15">
        <f ca="1">DATEDIF(B9,B13, "d")</f>
        <v>8587</v>
      </c>
      <c r="C15">
        <f ca="1">DATEDIF(C9,C13, "d")</f>
        <v>6336</v>
      </c>
      <c r="D15">
        <f ca="1">DATEDIF(D9,D13, "d")</f>
        <v>3171</v>
      </c>
      <c r="E15">
        <f ca="1">DATEDIF(E9,E13, "d")</f>
        <v>4253</v>
      </c>
      <c r="F15">
        <f ca="1">DATEDIF(F9,F13, "d")</f>
        <v>5729</v>
      </c>
      <c r="G15">
        <f ca="1">DATEDIF(G9,G13, "d")</f>
        <v>4270</v>
      </c>
      <c r="H15">
        <f ca="1">DATEDIF(H9,H13, "d")</f>
        <v>3273</v>
      </c>
      <c r="I15">
        <f ca="1">DATEDIF(I9,I13, "d")</f>
        <v>5881</v>
      </c>
      <c r="J15">
        <f ca="1">DATEDIF(J9,J13, "d")</f>
        <v>9476</v>
      </c>
      <c r="K15">
        <f ca="1">DATEDIF(K9,K13, "d")</f>
        <v>7286</v>
      </c>
      <c r="L15">
        <f ca="1">DATEDIF(L9,L13, "d")</f>
        <v>8060</v>
      </c>
      <c r="M15">
        <f ca="1">DATEDIF(M9,M13, "d")</f>
        <v>5277</v>
      </c>
      <c r="N15">
        <f ca="1">DATEDIF(N9,N13, "d")</f>
        <v>8941</v>
      </c>
      <c r="O15">
        <f ca="1">DATEDIF(O9,O13, "d")</f>
        <v>2311</v>
      </c>
      <c r="P15">
        <f ca="1">DATEDIF(P9,P13, "d")</f>
        <v>4733</v>
      </c>
      <c r="Q15">
        <f ca="1">DATEDIF(Q9,Q13, "d")</f>
        <v>4989</v>
      </c>
      <c r="R15">
        <f ca="1">DATEDIF(R9,R13, "d")</f>
        <v>8996</v>
      </c>
      <c r="S15">
        <f ca="1">DATEDIF(S9,S13, "d")</f>
        <v>5615</v>
      </c>
      <c r="T15">
        <f ca="1">DATEDIF(T9,T13, "d")</f>
        <v>2904</v>
      </c>
      <c r="U15">
        <f ca="1">DATEDIF(U9,U13, "d")</f>
        <v>9302</v>
      </c>
      <c r="V15">
        <f ca="1">DATEDIF(V9,V13, "d")</f>
        <v>4236</v>
      </c>
      <c r="W15">
        <f ca="1">DATEDIF(W9,W13, "d")</f>
        <v>4693</v>
      </c>
      <c r="X15">
        <f ca="1">DATEDIF(X9,X13, "d")</f>
        <v>5620</v>
      </c>
      <c r="Y15">
        <f ca="1">DATEDIF(Y9,Y13, "d")</f>
        <v>5647</v>
      </c>
      <c r="Z15">
        <f ca="1">DATEDIF(Z9,Z13, "d")</f>
        <v>9122</v>
      </c>
      <c r="AA15">
        <f ca="1">DATEDIF(AA9,AA13, "d")</f>
        <v>8399</v>
      </c>
      <c r="AB15">
        <f ca="1">DATEDIF(AB9,AB13, "d")</f>
        <v>3084</v>
      </c>
      <c r="AC15">
        <f ca="1">DATEDIF(AC9,AC13, "d")</f>
        <v>4663</v>
      </c>
      <c r="AD15">
        <f ca="1">DATEDIF(AD9,AD13, "d")</f>
        <v>9161</v>
      </c>
      <c r="AE15">
        <f ca="1">DATEDIF(AE9,AE13, "d")</f>
        <v>8024</v>
      </c>
      <c r="AF15">
        <f ca="1">DATEDIF(AF9,AF13, "d")</f>
        <v>5048</v>
      </c>
      <c r="AG15">
        <f ca="1">DATEDIF(AG9,AG13, "d")</f>
        <v>3052</v>
      </c>
      <c r="AH15">
        <f ca="1">DATEDIF(AH9,AH13, "d")</f>
        <v>2433</v>
      </c>
      <c r="AI15">
        <f ca="1">DATEDIF(AI9,AI13, "d")</f>
        <v>4584</v>
      </c>
      <c r="AJ15">
        <f ca="1">DATEDIF(AJ9,AJ13, "d")</f>
        <v>3003</v>
      </c>
      <c r="AK15">
        <f ca="1">DATEDIF(AK9,AK13, "d")</f>
        <v>7628</v>
      </c>
      <c r="AL15">
        <f ca="1">DATEDIF(AL9,AL13, "d")</f>
        <v>4371</v>
      </c>
      <c r="AM15">
        <f ca="1">DATEDIF(AM9,AM13, "d")</f>
        <v>9383</v>
      </c>
      <c r="AN15">
        <f ca="1">DATEDIF(AN9,AN13, "d")</f>
        <v>9534</v>
      </c>
      <c r="AO15">
        <f ca="1">DATEDIF(AO9,AO13, "d")</f>
        <v>3591</v>
      </c>
      <c r="AP15">
        <f ca="1">DATEDIF(AP9,AP13, "d")</f>
        <v>7715</v>
      </c>
      <c r="AQ15">
        <f ca="1">DATEDIF(AQ9,AQ13, "d")</f>
        <v>3682</v>
      </c>
      <c r="AR15">
        <f ca="1">DATEDIF(AR9,AR13, "d")</f>
        <v>8242</v>
      </c>
      <c r="AS15">
        <f ca="1">DATEDIF(AS9,AS13, "d")</f>
        <v>6125</v>
      </c>
      <c r="AT15">
        <f ca="1">DATEDIF(AT9,AT13, "d")</f>
        <v>9439</v>
      </c>
      <c r="AU15">
        <f ca="1">DATEDIF(AU9,AU13, "d")</f>
        <v>3665</v>
      </c>
      <c r="AV15">
        <f ca="1">DATEDIF(AV9,AV13, "d")</f>
        <v>5373</v>
      </c>
      <c r="AW15">
        <f ca="1">DATEDIF(AW9,AW13, "d")</f>
        <v>4960</v>
      </c>
      <c r="AX15">
        <f ca="1">DATEDIF(AX9,AX13, "d")</f>
        <v>7633</v>
      </c>
      <c r="AY15">
        <f ca="1">DATEDIF(AY9,AY13, "d")</f>
        <v>2617</v>
      </c>
      <c r="AZ15">
        <f ca="1">DATEDIF(AZ9,AZ13, "d")</f>
        <v>8009</v>
      </c>
      <c r="BA15">
        <f ca="1">DATEDIF(BA9,BA13, "d")</f>
        <v>5353</v>
      </c>
      <c r="BB15">
        <f ca="1">DATEDIF(BB9,BB13, "d")</f>
        <v>3031</v>
      </c>
      <c r="BC15">
        <f ca="1">DATEDIF(BC9,BC13, "d")</f>
        <v>3352</v>
      </c>
      <c r="BD15">
        <f ca="1">DATEDIF(BD9,BD13, "d")</f>
        <v>9186</v>
      </c>
      <c r="BE15">
        <f ca="1">DATEDIF(BE9,BE13, "d")</f>
        <v>8016</v>
      </c>
      <c r="BF15">
        <f ca="1">DATEDIF(BF9,BF13, "d")</f>
        <v>3754</v>
      </c>
      <c r="BG15">
        <f ca="1">DATEDIF(BG9,BG13, "d")</f>
        <v>7453</v>
      </c>
      <c r="BH15">
        <f ca="1">DATEDIF(BH9,BH13, "d")</f>
        <v>8546</v>
      </c>
      <c r="BI15">
        <f ca="1">DATEDIF(BI9,BI13, "d")</f>
        <v>3536</v>
      </c>
      <c r="BJ15">
        <f ca="1">DATEDIF(BJ9,BJ13, "d")</f>
        <v>6040</v>
      </c>
      <c r="BK15">
        <f ca="1">DATEDIF(BK9,BK13, "d")</f>
        <v>9493</v>
      </c>
      <c r="BL15">
        <f ca="1">DATEDIF(BL9,BL13, "d")</f>
        <v>3918</v>
      </c>
      <c r="BM15">
        <f ca="1">DATEDIF(BM9,BM13, "d")</f>
        <v>8799</v>
      </c>
      <c r="BN15">
        <f ca="1">DATEDIF(BN9,BN13, "d")</f>
        <v>6536</v>
      </c>
      <c r="BO15">
        <f ca="1">DATEDIF(BO9,BO13, "d")</f>
        <v>5201</v>
      </c>
      <c r="BP15">
        <f ca="1">DATEDIF(BP9,BP13, "d")</f>
        <v>6687</v>
      </c>
      <c r="BQ15">
        <f ca="1">DATEDIF(BQ9,BQ13, "d")</f>
        <v>7696</v>
      </c>
      <c r="BR15">
        <f ca="1">DATEDIF(BR9,BR13, "d")</f>
        <v>7303</v>
      </c>
      <c r="BS15">
        <f ca="1">DATEDIF(BS9,BS13, "d")</f>
        <v>7967</v>
      </c>
      <c r="BT15">
        <f ca="1">DATEDIF(BT9,BT13, "d")</f>
        <v>6435</v>
      </c>
      <c r="BU15">
        <f ca="1">DATEDIF(BU9,BU13, "d")</f>
        <v>8969</v>
      </c>
      <c r="BV15">
        <f ca="1">DATEDIF(BV9,BV13, "d")</f>
        <v>3412</v>
      </c>
      <c r="BW15">
        <f ca="1">DATEDIF(BW9,BW13, "d")</f>
        <v>4839</v>
      </c>
      <c r="BX15">
        <f ca="1">DATEDIF(BX9,BX13, "d")</f>
        <v>6160</v>
      </c>
      <c r="BY15">
        <f ca="1">DATEDIF(BY9,BY13, "d")</f>
        <v>5909</v>
      </c>
      <c r="BZ15">
        <f ca="1">DATEDIF(BZ9,BZ13, "d")</f>
        <v>3689</v>
      </c>
      <c r="CA15">
        <f ca="1">DATEDIF(CA9,CA13, "d")</f>
        <v>3722</v>
      </c>
      <c r="CB15">
        <f ca="1">DATEDIF(CB9,CB13, "d")</f>
        <v>4112</v>
      </c>
      <c r="CC15">
        <f ca="1">DATEDIF(CC9,CC13, "d")</f>
        <v>7430</v>
      </c>
      <c r="CD15">
        <f ca="1">DATEDIF(CD9,CD13, "d")</f>
        <v>2355</v>
      </c>
      <c r="CE15">
        <f ca="1">DATEDIF(CE9,CE13, "d")</f>
        <v>5304</v>
      </c>
      <c r="CF15">
        <f ca="1">DATEDIF(CF9,CF13, "d")</f>
        <v>5809</v>
      </c>
      <c r="CG15">
        <f ca="1">DATEDIF(CG9,CG13, "d")</f>
        <v>8198</v>
      </c>
      <c r="CH15">
        <f ca="1">DATEDIF(CH9,CH13, "d")</f>
        <v>6112</v>
      </c>
      <c r="CI15">
        <f ca="1">DATEDIF(CI9,CI13, "d")</f>
        <v>2292</v>
      </c>
      <c r="CJ15">
        <f ca="1">DATEDIF(CJ9,CJ13, "d")</f>
        <v>9227</v>
      </c>
      <c r="CK15">
        <f ca="1">DATEDIF(CK9,CK13, "d")</f>
        <v>9574</v>
      </c>
      <c r="CL15">
        <f ca="1">DATEDIF(CL9,CL13, "d")</f>
        <v>9512</v>
      </c>
      <c r="CM15">
        <f ca="1">DATEDIF(CM9,CM13, "d")</f>
        <v>7791</v>
      </c>
      <c r="CN15">
        <f ca="1">DATEDIF(CN9,CN13, "d")</f>
        <v>5760</v>
      </c>
      <c r="CO15">
        <f ca="1">DATEDIF(CO9,CO13, "d")</f>
        <v>9349</v>
      </c>
      <c r="CP15">
        <f ca="1">DATEDIF(CP9,CP13, "d")</f>
        <v>3008</v>
      </c>
      <c r="CQ15">
        <f ca="1">DATEDIF(CQ9,CQ13, "d")</f>
        <v>8532</v>
      </c>
      <c r="CR15">
        <f ca="1">DATEDIF(CR9,CR13, "d")</f>
        <v>3400</v>
      </c>
      <c r="CS15">
        <f ca="1">DATEDIF(CS9,CS13, "d")</f>
        <v>8730</v>
      </c>
      <c r="CT15">
        <f ca="1">DATEDIF(CT9,CT13, "d")</f>
        <v>6894</v>
      </c>
      <c r="CU15">
        <f ca="1">DATEDIF(CU9,CU13, "d")</f>
        <v>5455</v>
      </c>
      <c r="CV15">
        <f ca="1">DATEDIF(CV9,CV13, "d")</f>
        <v>2594</v>
      </c>
      <c r="CW15">
        <f ca="1">DATEDIF(CW9,CW13, "d")</f>
        <v>2448</v>
      </c>
      <c r="CX15">
        <f ca="1">DATEDIF(CX9,CX13, "d")</f>
        <v>8340</v>
      </c>
      <c r="CY15">
        <f ca="1">DATEDIF(CY9,CY13, "d")</f>
        <v>7590</v>
      </c>
      <c r="CZ15">
        <f ca="1">DATEDIF(CZ9,CZ13, "d")</f>
        <v>5318</v>
      </c>
      <c r="DA15">
        <f ca="1">DATEDIF(DA9,DA13, "d")</f>
        <v>8296</v>
      </c>
      <c r="DB15">
        <f ca="1">DATEDIF(DB9,DB13, "d")</f>
        <v>7980</v>
      </c>
      <c r="DC15">
        <f ca="1">DATEDIF(DC9,DC13, "d")</f>
        <v>3317</v>
      </c>
      <c r="DD15">
        <f ca="1">DATEDIF(DD9,DD13, "d")</f>
        <v>7023</v>
      </c>
      <c r="DE15">
        <f ca="1">DATEDIF(DE9,DE13, "d")</f>
        <v>7622</v>
      </c>
      <c r="DF15">
        <f ca="1">DATEDIF(DF9,DF13, "d")</f>
        <v>7879</v>
      </c>
      <c r="DG15">
        <f ca="1">DATEDIF(DG9,DG13, "d")</f>
        <v>8620</v>
      </c>
      <c r="DH15">
        <f ca="1">DATEDIF(DH9,DH13, "d")</f>
        <v>6283</v>
      </c>
      <c r="DI15">
        <f ca="1">DATEDIF(DI9,DI13, "d")</f>
        <v>9218</v>
      </c>
      <c r="DJ15">
        <f ca="1">DATEDIF(DJ9,DJ13, "d")</f>
        <v>3262</v>
      </c>
      <c r="DK15">
        <f ca="1">DATEDIF(DK9,DK13, "d")</f>
        <v>5979</v>
      </c>
      <c r="DL15">
        <f ca="1">DATEDIF(DL9,DL13, "d")</f>
        <v>8606</v>
      </c>
      <c r="DM15">
        <f ca="1">DATEDIF(DM9,DM13, "d")</f>
        <v>9333</v>
      </c>
      <c r="DN15">
        <f ca="1">DATEDIF(DN9,DN13, "d")</f>
        <v>6128</v>
      </c>
      <c r="DO15">
        <f ca="1">DATEDIF(DO9,DO13, "d")</f>
        <v>5340</v>
      </c>
      <c r="DP15">
        <f ca="1">DATEDIF(DP9,DP13, "d")</f>
        <v>7430</v>
      </c>
      <c r="DQ15">
        <f ca="1">DATEDIF(DQ9,DQ13, "d")</f>
        <v>9428</v>
      </c>
      <c r="DR15">
        <f ca="1">DATEDIF(DR9,DR13, "d")</f>
        <v>4398</v>
      </c>
      <c r="DS15">
        <f ca="1">DATEDIF(DS9,DS13, "d")</f>
        <v>4413</v>
      </c>
      <c r="DT15">
        <f ca="1">DATEDIF(DT9,DT13, "d")</f>
        <v>2565</v>
      </c>
      <c r="DU15">
        <f ca="1">DATEDIF(DU9,DU13, "d")</f>
        <v>9032</v>
      </c>
      <c r="DV15">
        <f ca="1">DATEDIF(DV9,DV13, "d")</f>
        <v>8883</v>
      </c>
      <c r="DW15">
        <f ca="1">DATEDIF(DW9,DW13, "d")</f>
        <v>8549</v>
      </c>
      <c r="DX15">
        <f ca="1">DATEDIF(DX9,DX13, "d")</f>
        <v>5524</v>
      </c>
      <c r="DY15">
        <f ca="1">DATEDIF(DY9,DY13, "d")</f>
        <v>5569</v>
      </c>
      <c r="DZ15">
        <f ca="1">DATEDIF(DZ9,DZ13, "d")</f>
        <v>6215</v>
      </c>
      <c r="EA15">
        <f ca="1">DATEDIF(EA9,EA13, "d")</f>
        <v>4317</v>
      </c>
      <c r="EB15">
        <f ca="1">DATEDIF(EB9,EB13, "d")</f>
        <v>3838</v>
      </c>
      <c r="EC15">
        <f ca="1">DATEDIF(EC9,EC13, "d")</f>
        <v>6623</v>
      </c>
      <c r="ED15">
        <f ca="1">DATEDIF(ED9,ED13, "d")</f>
        <v>8845</v>
      </c>
      <c r="EE15">
        <f ca="1">DATEDIF(EE9,EE13, "d")</f>
        <v>3100</v>
      </c>
      <c r="EF15">
        <f ca="1">DATEDIF(EF9,EF13, "d")</f>
        <v>2814</v>
      </c>
      <c r="EG15">
        <f ca="1">DATEDIF(EG9,EG13, "d")</f>
        <v>5075</v>
      </c>
      <c r="EH15">
        <f ca="1">DATEDIF(EH9,EH13, "d")</f>
        <v>7019</v>
      </c>
      <c r="EI15">
        <f ca="1">DATEDIF(EI9,EI13, "d")</f>
        <v>3539</v>
      </c>
      <c r="EJ15">
        <f ca="1">DATEDIF(EJ9,EJ13, "d")</f>
        <v>8424</v>
      </c>
      <c r="EK15">
        <f ca="1">DATEDIF(EK9,EK13, "d")</f>
        <v>7839</v>
      </c>
      <c r="EL15">
        <f ca="1">DATEDIF(EL9,EL13, "d")</f>
        <v>8536</v>
      </c>
      <c r="EM15">
        <f ca="1">DATEDIF(EM9,EM13, "d")</f>
        <v>3205</v>
      </c>
      <c r="EN15">
        <f ca="1">DATEDIF(EN9,EN13, "d")</f>
        <v>2447</v>
      </c>
      <c r="EO15">
        <f ca="1">DATEDIF(EO9,EO13, "d")</f>
        <v>6662</v>
      </c>
      <c r="EP15">
        <f ca="1">DATEDIF(EP9,EP13, "d")</f>
        <v>2302</v>
      </c>
      <c r="EQ15">
        <f ca="1">DATEDIF(EQ9,EQ13, "d")</f>
        <v>4734</v>
      </c>
      <c r="ER15">
        <f ca="1">DATEDIF(ER9,ER13, "d")</f>
        <v>7034</v>
      </c>
      <c r="ES15">
        <f ca="1">DATEDIF(ES9,ES13, "d")</f>
        <v>5160</v>
      </c>
      <c r="ET15">
        <f ca="1">DATEDIF(ET9,ET13, "d")</f>
        <v>8332</v>
      </c>
      <c r="EU15">
        <f ca="1">DATEDIF(EU9,EU13, "d")</f>
        <v>8802</v>
      </c>
      <c r="EV15">
        <f ca="1">DATEDIF(EV9,EV13, "d")</f>
        <v>7658</v>
      </c>
      <c r="EW15">
        <f ca="1">DATEDIF(EW9,EW13, "d")</f>
        <v>6162</v>
      </c>
      <c r="EX15">
        <f ca="1">DATEDIF(EX9,EX13, "d")</f>
        <v>7075</v>
      </c>
      <c r="EY15">
        <f ca="1">DATEDIF(EY9,EY13, "d")</f>
        <v>6134</v>
      </c>
      <c r="EZ15">
        <f ca="1">DATEDIF(EZ9,EZ13, "d")</f>
        <v>4535</v>
      </c>
      <c r="FA15">
        <f ca="1">DATEDIF(FA9,FA13, "d")</f>
        <v>2583</v>
      </c>
      <c r="FB15">
        <f ca="1">DATEDIF(FB9,FB13, "d")</f>
        <v>2414</v>
      </c>
      <c r="FC15">
        <f ca="1">DATEDIF(FC9,FC13, "d")</f>
        <v>3464</v>
      </c>
      <c r="FD15">
        <f ca="1">DATEDIF(FD9,FD13, "d")</f>
        <v>6029</v>
      </c>
      <c r="FE15">
        <f ca="1">DATEDIF(FE9,FE13, "d")</f>
        <v>8361</v>
      </c>
      <c r="FF15">
        <f ca="1">DATEDIF(FF9,FF13, "d")</f>
        <v>6643</v>
      </c>
      <c r="FG15">
        <f ca="1">DATEDIF(FG9,FG13, "d")</f>
        <v>9156</v>
      </c>
      <c r="FH15">
        <f ca="1">DATEDIF(FH9,FH13, "d")</f>
        <v>5793</v>
      </c>
      <c r="FI15">
        <f ca="1">DATEDIF(FI9,FI13, "d")</f>
        <v>4614</v>
      </c>
      <c r="FJ15">
        <f ca="1">DATEDIF(FJ9,FJ13, "d")</f>
        <v>8786</v>
      </c>
      <c r="FK15">
        <f ca="1">DATEDIF(FK9,FK13, "d")</f>
        <v>7703</v>
      </c>
      <c r="FL15">
        <f ca="1">DATEDIF(FL9,FL13, "d")</f>
        <v>4984</v>
      </c>
      <c r="FM15">
        <f ca="1">DATEDIF(FM9,FM13, "d")</f>
        <v>4416</v>
      </c>
      <c r="FN15">
        <f ca="1">DATEDIF(FN9,FN13, "d")</f>
        <v>3269</v>
      </c>
      <c r="FO15">
        <f ca="1">DATEDIF(FO9,FO13, "d")</f>
        <v>7549</v>
      </c>
      <c r="FP15">
        <f ca="1">DATEDIF(FP9,FP13, "d")</f>
        <v>3310</v>
      </c>
      <c r="FQ15">
        <f ca="1">DATEDIF(FQ9,FQ13, "d")</f>
        <v>7128</v>
      </c>
      <c r="FR15">
        <f ca="1">DATEDIF(FR9,FR13, "d")</f>
        <v>3493</v>
      </c>
      <c r="FS15">
        <f ca="1">DATEDIF(FS9,FS13, "d")</f>
        <v>4751</v>
      </c>
      <c r="FT15">
        <f ca="1">DATEDIF(FT9,FT13, "d")</f>
        <v>9014</v>
      </c>
      <c r="FU15">
        <f ca="1">DATEDIF(FU9,FU13, "d")</f>
        <v>6923</v>
      </c>
      <c r="FV15">
        <f ca="1">DATEDIF(FV9,FV13, "d")</f>
        <v>4326</v>
      </c>
      <c r="FW15">
        <f ca="1">DATEDIF(FW9,FW13, "d")</f>
        <v>5670</v>
      </c>
      <c r="FX15">
        <f ca="1">DATEDIF(FX9,FX13, "d")</f>
        <v>9035</v>
      </c>
      <c r="FY15">
        <f ca="1">DATEDIF(FY9,FY13, "d")</f>
        <v>3075</v>
      </c>
      <c r="FZ15">
        <f ca="1">DATEDIF(FZ9,FZ13, "d")</f>
        <v>4819</v>
      </c>
      <c r="GA15">
        <f ca="1">DATEDIF(GA9,GA13, "d")</f>
        <v>2999</v>
      </c>
      <c r="GB15">
        <f ca="1">DATEDIF(GB9,GB13, "d")</f>
        <v>3615</v>
      </c>
      <c r="GC15">
        <f ca="1">DATEDIF(GC9,GC13, "d")</f>
        <v>6438</v>
      </c>
      <c r="GD15">
        <f ca="1">DATEDIF(GD9,GD13, "d")</f>
        <v>6285</v>
      </c>
      <c r="GE15">
        <f ca="1">DATEDIF(GE9,GE13, "d")</f>
        <v>6964</v>
      </c>
      <c r="GF15">
        <f ca="1">DATEDIF(GF9,GF13, "d")</f>
        <v>4028</v>
      </c>
      <c r="GG15">
        <f ca="1">DATEDIF(GG9,GG13, "d")</f>
        <v>4662</v>
      </c>
      <c r="GH15">
        <f ca="1">DATEDIF(GH9,GH13, "d")</f>
        <v>7630</v>
      </c>
      <c r="GI15">
        <f ca="1">DATEDIF(GI9,GI13, "d")</f>
        <v>6429</v>
      </c>
      <c r="GJ15">
        <f ca="1">DATEDIF(GJ9,GJ13, "d")</f>
        <v>6816</v>
      </c>
      <c r="GK15">
        <f ca="1">DATEDIF(GK9,GK13, "d")</f>
        <v>4263</v>
      </c>
      <c r="GL15">
        <f ca="1">DATEDIF(GL9,GL13, "d")</f>
        <v>6314</v>
      </c>
      <c r="GM15">
        <f ca="1">DATEDIF(GM9,GM13, "d")</f>
        <v>5467</v>
      </c>
      <c r="GN15">
        <f ca="1">DATEDIF(GN9,GN13, "d")</f>
        <v>3192</v>
      </c>
      <c r="GO15">
        <f ca="1">DATEDIF(GO9,GO13, "d")</f>
        <v>7679</v>
      </c>
      <c r="GP15">
        <f ca="1">DATEDIF(GP9,GP13, "d")</f>
        <v>7074</v>
      </c>
      <c r="GQ15">
        <f ca="1">DATEDIF(GQ9,GQ13, "d")</f>
        <v>3048</v>
      </c>
      <c r="GR15">
        <f ca="1">DATEDIF(GR9,GR13, "d")</f>
        <v>6745</v>
      </c>
      <c r="GS15">
        <f ca="1">DATEDIF(GS9,GS13, "d")</f>
        <v>5701</v>
      </c>
      <c r="GT15">
        <f ca="1">DATEDIF(GT9,GT13, "d")</f>
        <v>9527</v>
      </c>
      <c r="GU15">
        <f ca="1">DATEDIF(GU9,GU13, "d")</f>
        <v>7210</v>
      </c>
      <c r="GV15">
        <f ca="1">DATEDIF(GV9,GV13, "d")</f>
        <v>7318</v>
      </c>
      <c r="GW15">
        <f ca="1">DATEDIF(GW9,GW13, "d")</f>
        <v>3908</v>
      </c>
      <c r="GX15">
        <f ca="1">DATEDIF(GX9,GX13, "d")</f>
        <v>2288</v>
      </c>
      <c r="GY15">
        <f ca="1">DATEDIF(GY9,GY13, "d")</f>
        <v>4902</v>
      </c>
      <c r="GZ15">
        <f ca="1">DATEDIF(GZ9,GZ13, "d")</f>
        <v>3116</v>
      </c>
      <c r="HA15">
        <f ca="1">DATEDIF(HA9,HA13, "d")</f>
        <v>8821</v>
      </c>
      <c r="HB15">
        <f ca="1">DATEDIF(HB9,HB13, "d")</f>
        <v>4419</v>
      </c>
      <c r="HC15">
        <f ca="1">DATEDIF(HC9,HC13, "d")</f>
        <v>2516</v>
      </c>
      <c r="HD15">
        <f ca="1">DATEDIF(HD9,HD13, "d")</f>
        <v>6772</v>
      </c>
      <c r="HE15">
        <f ca="1">DATEDIF(HE9,HE13, "d")</f>
        <v>4925</v>
      </c>
      <c r="HF15">
        <f ca="1">DATEDIF(HF9,HF13, "d")</f>
        <v>5922</v>
      </c>
      <c r="HG15">
        <f ca="1">DATEDIF(HG9,HG13, "d")</f>
        <v>9172</v>
      </c>
      <c r="HH15">
        <f ca="1">DATEDIF(HH9,HH13, "d")</f>
        <v>4348</v>
      </c>
      <c r="HI15">
        <f ca="1">DATEDIF(HI9,HI13, "d")</f>
        <v>7488</v>
      </c>
      <c r="HJ15">
        <f ca="1">DATEDIF(HJ9,HJ13, "d")</f>
        <v>2850</v>
      </c>
      <c r="HK15">
        <f ca="1">DATEDIF(HK9,HK13, "d")</f>
        <v>7347</v>
      </c>
      <c r="HL15">
        <f ca="1">DATEDIF(HL9,HL13, "d")</f>
        <v>3419</v>
      </c>
      <c r="HM15">
        <f ca="1">DATEDIF(HM9,HM13, "d")</f>
        <v>6164</v>
      </c>
      <c r="HN15">
        <f ca="1">DATEDIF(HN9,HN13, "d")</f>
        <v>6584</v>
      </c>
      <c r="HO15">
        <f ca="1">DATEDIF(HO9,HO13, "d")</f>
        <v>4931</v>
      </c>
      <c r="HP15">
        <f ca="1">DATEDIF(HP9,HP13, "d")</f>
        <v>8425</v>
      </c>
      <c r="HQ15">
        <f ca="1">DATEDIF(HQ9,HQ13, "d")</f>
        <v>9512</v>
      </c>
      <c r="HR15">
        <f ca="1">DATEDIF(HR9,HR13, "d")</f>
        <v>4635</v>
      </c>
      <c r="HS15">
        <f ca="1">DATEDIF(HS9,HS13, "d")</f>
        <v>6421</v>
      </c>
      <c r="HT15">
        <f ca="1">DATEDIF(HT9,HT13, "d")</f>
        <v>8566</v>
      </c>
      <c r="HU15">
        <f ca="1">DATEDIF(HU9,HU13, "d")</f>
        <v>3636</v>
      </c>
      <c r="HV15">
        <f ca="1">DATEDIF(HV9,HV13, "d")</f>
        <v>7543</v>
      </c>
      <c r="HW15">
        <f ca="1">DATEDIF(HW9,HW13, "d")</f>
        <v>8252</v>
      </c>
      <c r="HX15">
        <f ca="1">DATEDIF(HX9,HX13, "d")</f>
        <v>7493</v>
      </c>
      <c r="HY15">
        <f ca="1">DATEDIF(HY9,HY13, "d")</f>
        <v>8823</v>
      </c>
      <c r="HZ15">
        <f ca="1">DATEDIF(HZ9,HZ13, "d")</f>
        <v>5430</v>
      </c>
      <c r="IA15">
        <f ca="1">DATEDIF(IA9,IA13, "d")</f>
        <v>8917</v>
      </c>
      <c r="IB15">
        <f ca="1">DATEDIF(IB9,IB13, "d")</f>
        <v>7914</v>
      </c>
      <c r="IC15">
        <f ca="1">DATEDIF(IC9,IC13, "d")</f>
        <v>8874</v>
      </c>
      <c r="ID15">
        <f ca="1">DATEDIF(ID9,ID13, "d")</f>
        <v>8494</v>
      </c>
      <c r="IE15">
        <f ca="1">DATEDIF(IE9,IE13, "d")</f>
        <v>7418</v>
      </c>
      <c r="IF15">
        <f ca="1">DATEDIF(IF9,IF13, "d")</f>
        <v>8034</v>
      </c>
      <c r="IG15">
        <f ca="1">DATEDIF(IG9,IG13, "d")</f>
        <v>6542</v>
      </c>
      <c r="IH15">
        <f ca="1">DATEDIF(IH9,IH13, "d")</f>
        <v>3407</v>
      </c>
      <c r="II15">
        <f ca="1">DATEDIF(II9,II13, "d")</f>
        <v>3210</v>
      </c>
      <c r="IJ15">
        <f ca="1">DATEDIF(IJ9,IJ13, "d")</f>
        <v>7591</v>
      </c>
      <c r="IK15">
        <f ca="1">DATEDIF(IK9,IK13, "d")</f>
        <v>9260</v>
      </c>
      <c r="IL15">
        <f ca="1">DATEDIF(IL9,IL13, "d")</f>
        <v>3137</v>
      </c>
      <c r="IM15">
        <f ca="1">DATEDIF(IM9,IM13, "d")</f>
        <v>6493</v>
      </c>
      <c r="IN15">
        <f ca="1">DATEDIF(IN9,IN13, "d")</f>
        <v>3778</v>
      </c>
      <c r="IO15">
        <f ca="1">DATEDIF(IO9,IO13, "d")</f>
        <v>2411</v>
      </c>
      <c r="IP15">
        <f ca="1">DATEDIF(IP9,IP13, "d")</f>
        <v>4461</v>
      </c>
      <c r="IQ15">
        <f ca="1">DATEDIF(IQ9,IQ13, "d")</f>
        <v>4841</v>
      </c>
      <c r="IR15">
        <f ca="1">DATEDIF(IR9,IR13, "d")</f>
        <v>7260</v>
      </c>
      <c r="IS15">
        <f ca="1">DATEDIF(IS9,IS13, "d")</f>
        <v>7439</v>
      </c>
      <c r="IT15">
        <f ca="1">DATEDIF(IT9,IT13, "d")</f>
        <v>2976</v>
      </c>
      <c r="IU15">
        <f ca="1">DATEDIF(IU9,IU13, "d")</f>
        <v>7925</v>
      </c>
      <c r="IV15">
        <f ca="1">DATEDIF(IV9,IV13, "d")</f>
        <v>6355</v>
      </c>
      <c r="IW15">
        <f ca="1">DATEDIF(IW9,IW13, "d")</f>
        <v>2674</v>
      </c>
      <c r="IX15">
        <f ca="1">DATEDIF(IX9,IX13, "d")</f>
        <v>5774</v>
      </c>
      <c r="IY15">
        <f ca="1">DATEDIF(IY9,IY13, "d")</f>
        <v>7096</v>
      </c>
      <c r="IZ15">
        <f ca="1">DATEDIF(IZ9,IZ13, "d")</f>
        <v>5507</v>
      </c>
      <c r="JA15">
        <f ca="1">DATEDIF(JA9,JA13, "d")</f>
        <v>7799</v>
      </c>
      <c r="JB15">
        <f ca="1">DATEDIF(JB9,JB13, "d")</f>
        <v>7608</v>
      </c>
      <c r="JC15">
        <f ca="1">DATEDIF(JC9,JC13, "d")</f>
        <v>2520</v>
      </c>
      <c r="JD15">
        <f ca="1">DATEDIF(JD9,JD13, "d")</f>
        <v>3515</v>
      </c>
      <c r="JE15">
        <f ca="1">DATEDIF(JE9,JE13, "d")</f>
        <v>7807</v>
      </c>
      <c r="JF15">
        <f ca="1">DATEDIF(JF9,JF13, "d")</f>
        <v>5759</v>
      </c>
      <c r="JG15">
        <f ca="1">DATEDIF(JG9,JG13, "d")</f>
        <v>9333</v>
      </c>
      <c r="JH15">
        <f ca="1">DATEDIF(JH9,JH13, "d")</f>
        <v>4777</v>
      </c>
      <c r="JI15">
        <f ca="1">DATEDIF(JI9,JI13, "d")</f>
        <v>6625</v>
      </c>
      <c r="JJ15">
        <f ca="1">DATEDIF(JJ9,JJ13, "d")</f>
        <v>4738</v>
      </c>
      <c r="JK15">
        <f ca="1">DATEDIF(JK9,JK13, "d")</f>
        <v>3365</v>
      </c>
      <c r="JL15">
        <f ca="1">DATEDIF(JL9,JL13, "d")</f>
        <v>2459</v>
      </c>
      <c r="JM15">
        <f ca="1">DATEDIF(JM9,JM13, "d")</f>
        <v>3053</v>
      </c>
      <c r="JN15">
        <f ca="1">DATEDIF(JN9,JN13, "d")</f>
        <v>3043</v>
      </c>
      <c r="JO15">
        <f ca="1">DATEDIF(JO9,JO13, "d")</f>
        <v>3664</v>
      </c>
      <c r="JP15">
        <f ca="1">DATEDIF(JP9,JP13, "d")</f>
        <v>4698</v>
      </c>
      <c r="JQ15">
        <f ca="1">DATEDIF(JQ9,JQ13, "d")</f>
        <v>7318</v>
      </c>
      <c r="JR15">
        <f ca="1">DATEDIF(JR9,JR13, "d")</f>
        <v>5463</v>
      </c>
      <c r="JS15">
        <f ca="1">DATEDIF(JS9,JS13, "d")</f>
        <v>6206</v>
      </c>
      <c r="JT15">
        <f ca="1">DATEDIF(JT9,JT13, "d")</f>
        <v>4493</v>
      </c>
      <c r="JU15">
        <f ca="1">DATEDIF(JU9,JU13, "d")</f>
        <v>9208</v>
      </c>
      <c r="JV15">
        <f ca="1">DATEDIF(JV9,JV13, "d")</f>
        <v>6747</v>
      </c>
      <c r="JW15">
        <f ca="1">DATEDIF(JW9,JW13, "d")</f>
        <v>8322</v>
      </c>
      <c r="JX15">
        <f ca="1">DATEDIF(JX9,JX13, "d")</f>
        <v>7087</v>
      </c>
      <c r="JY15">
        <f ca="1">DATEDIF(JY9,JY13, "d")</f>
        <v>4789</v>
      </c>
      <c r="JZ15">
        <f ca="1">DATEDIF(JZ9,JZ13, "d")</f>
        <v>5971</v>
      </c>
      <c r="KA15">
        <f ca="1">DATEDIF(KA9,KA13, "d")</f>
        <v>6053</v>
      </c>
      <c r="KB15">
        <f ca="1">DATEDIF(KB9,KB13, "d")</f>
        <v>4419</v>
      </c>
      <c r="KC15">
        <f ca="1">DATEDIF(KC9,KC13, "d")</f>
        <v>4632</v>
      </c>
      <c r="KD15">
        <f ca="1">DATEDIF(KD9,KD13, "d")</f>
        <v>5057</v>
      </c>
      <c r="KE15">
        <f ca="1">DATEDIF(KE9,KE13, "d")</f>
        <v>7931</v>
      </c>
      <c r="KF15">
        <f ca="1">DATEDIF(KF9,KF13, "d")</f>
        <v>8362</v>
      </c>
      <c r="KG15">
        <f ca="1">DATEDIF(KG9,KG13, "d")</f>
        <v>4871</v>
      </c>
      <c r="KH15">
        <f ca="1">DATEDIF(KH9,KH13, "d")</f>
        <v>4140</v>
      </c>
      <c r="KI15">
        <f ca="1">DATEDIF(KI9,KI13, "d")</f>
        <v>9555</v>
      </c>
      <c r="KJ15">
        <f ca="1">DATEDIF(KJ9,KJ13, "d")</f>
        <v>8899</v>
      </c>
      <c r="KK15">
        <f ca="1">DATEDIF(KK9,KK13, "d")</f>
        <v>5097</v>
      </c>
      <c r="KL15">
        <f ca="1">DATEDIF(KL9,KL13, "d")</f>
        <v>8966</v>
      </c>
      <c r="KM15">
        <f ca="1">DATEDIF(KM9,KM13, "d")</f>
        <v>3288</v>
      </c>
      <c r="KN15">
        <f ca="1">DATEDIF(KN9,KN13, "d")</f>
        <v>9513</v>
      </c>
      <c r="KO15">
        <f ca="1">DATEDIF(KO9,KO13, "d")</f>
        <v>8309</v>
      </c>
      <c r="KP15">
        <f ca="1">DATEDIF(KP9,KP13, "d")</f>
        <v>7289</v>
      </c>
      <c r="KQ15">
        <f ca="1">DATEDIF(KQ9,KQ13, "d")</f>
        <v>8420</v>
      </c>
      <c r="KR15">
        <f ca="1">DATEDIF(KR9,KR13, "d")</f>
        <v>7946</v>
      </c>
      <c r="KS15">
        <f ca="1">DATEDIF(KS9,KS13, "d")</f>
        <v>7948</v>
      </c>
      <c r="KT15">
        <f ca="1">DATEDIF(KT9,KT13, "d")</f>
        <v>5858</v>
      </c>
      <c r="KU15">
        <f ca="1">DATEDIF(KU9,KU13, "d")</f>
        <v>4332</v>
      </c>
      <c r="KV15">
        <f ca="1">DATEDIF(KV9,KV13, "d")</f>
        <v>4015</v>
      </c>
      <c r="KW15">
        <f ca="1">DATEDIF(KW9,KW13, "d")</f>
        <v>4552</v>
      </c>
      <c r="KX15">
        <f ca="1">DATEDIF(KX9,KX13, "d")</f>
        <v>3089</v>
      </c>
      <c r="KY15">
        <f ca="1">DATEDIF(KY9,KY13, "d")</f>
        <v>8132</v>
      </c>
      <c r="KZ15">
        <f ca="1">DATEDIF(KZ9,KZ13, "d")</f>
        <v>7921</v>
      </c>
      <c r="LA15">
        <f ca="1">DATEDIF(LA9,LA13, "d")</f>
        <v>7072</v>
      </c>
      <c r="LB15">
        <f ca="1">DATEDIF(LB9,LB13, "d")</f>
        <v>6305</v>
      </c>
      <c r="LC15">
        <f ca="1">DATEDIF(LC9,LC13, "d")</f>
        <v>9293</v>
      </c>
      <c r="LD15">
        <f ca="1">DATEDIF(LD9,LD13, "d")</f>
        <v>4593</v>
      </c>
      <c r="LE15">
        <f ca="1">DATEDIF(LE9,LE13, "d")</f>
        <v>8550</v>
      </c>
      <c r="LF15">
        <f ca="1">DATEDIF(LF9,LF13, "d")</f>
        <v>4756</v>
      </c>
      <c r="LG15">
        <f ca="1">DATEDIF(LG9,LG13, "d")</f>
        <v>3680</v>
      </c>
      <c r="LH15">
        <f ca="1">DATEDIF(LH9,LH13, "d")</f>
        <v>6171</v>
      </c>
      <c r="LI15">
        <f ca="1">DATEDIF(LI9,LI13, "d")</f>
        <v>8339</v>
      </c>
      <c r="LJ15">
        <f ca="1">DATEDIF(LJ9,LJ13, "d")</f>
        <v>5392</v>
      </c>
      <c r="LK15">
        <f ca="1">DATEDIF(LK9,LK13, "d")</f>
        <v>4814</v>
      </c>
      <c r="LL15">
        <f ca="1">DATEDIF(LL9,LL13, "d")</f>
        <v>4617</v>
      </c>
      <c r="LM15">
        <f ca="1">DATEDIF(LM9,LM13, "d")</f>
        <v>3756</v>
      </c>
      <c r="LN15">
        <f ca="1">DATEDIF(LN9,LN13, "d")</f>
        <v>3370</v>
      </c>
      <c r="LO15">
        <f ca="1">DATEDIF(LO9,LO13, "d")</f>
        <v>2634</v>
      </c>
      <c r="LP15">
        <f ca="1">DATEDIF(LP9,LP13, "d")</f>
        <v>3336</v>
      </c>
      <c r="LQ15">
        <f ca="1">DATEDIF(LQ9,LQ13, "d")</f>
        <v>8789</v>
      </c>
      <c r="LR15">
        <f ca="1">DATEDIF(LR9,LR13, "d")</f>
        <v>3902</v>
      </c>
      <c r="LS15">
        <f ca="1">DATEDIF(LS9,LS13, "d")</f>
        <v>6257</v>
      </c>
      <c r="LT15">
        <f ca="1">DATEDIF(LT9,LT13, "d")</f>
        <v>7907</v>
      </c>
      <c r="LU15">
        <f ca="1">DATEDIF(LU9,LU13, "d")</f>
        <v>6566</v>
      </c>
      <c r="LV15">
        <f ca="1">DATEDIF(LV9,LV13, "d")</f>
        <v>3134</v>
      </c>
      <c r="LW15">
        <f ca="1">DATEDIF(LW9,LW13, "d")</f>
        <v>6380</v>
      </c>
      <c r="LX15">
        <f ca="1">DATEDIF(LX9,LX13, "d")</f>
        <v>4785</v>
      </c>
      <c r="LY15">
        <f ca="1">DATEDIF(LY9,LY13, "d")</f>
        <v>5799</v>
      </c>
      <c r="LZ15">
        <f ca="1">DATEDIF(LZ9,LZ13, "d")</f>
        <v>7128</v>
      </c>
      <c r="MA15">
        <f ca="1">DATEDIF(MA9,MA13, "d")</f>
        <v>5784</v>
      </c>
      <c r="MB15">
        <f ca="1">DATEDIF(MB9,MB13, "d")</f>
        <v>2485</v>
      </c>
      <c r="MC15">
        <f ca="1">DATEDIF(MC9,MC13, "d")</f>
        <v>4224</v>
      </c>
      <c r="MD15">
        <f ca="1">DATEDIF(MD9,MD13, "d")</f>
        <v>9041</v>
      </c>
      <c r="ME15">
        <f ca="1">DATEDIF(ME9,ME13, "d")</f>
        <v>9173</v>
      </c>
      <c r="MF15">
        <f ca="1">DATEDIF(MF9,MF13, "d")</f>
        <v>5911</v>
      </c>
      <c r="MG15">
        <f ca="1">DATEDIF(MG9,MG13, "d")</f>
        <v>9445</v>
      </c>
      <c r="MH15">
        <f ca="1">DATEDIF(MH9,MH13, "d")</f>
        <v>7235</v>
      </c>
      <c r="MI15">
        <f ca="1">DATEDIF(MI9,MI13, "d")</f>
        <v>5203</v>
      </c>
      <c r="MJ15">
        <f ca="1">DATEDIF(MJ9,MJ13, "d")</f>
        <v>6615</v>
      </c>
      <c r="MK15">
        <f ca="1">DATEDIF(MK9,MK13, "d")</f>
        <v>7716</v>
      </c>
      <c r="ML15">
        <f ca="1">DATEDIF(ML9,ML13, "d")</f>
        <v>6601</v>
      </c>
      <c r="MM15">
        <f ca="1">DATEDIF(MM9,MM13, "d")</f>
        <v>5424</v>
      </c>
      <c r="MN15">
        <f ca="1">DATEDIF(MN9,MN13, "d")</f>
        <v>5925</v>
      </c>
      <c r="MO15">
        <f ca="1">DATEDIF(MO9,MO13, "d")</f>
        <v>6788</v>
      </c>
      <c r="MP15">
        <f ca="1">DATEDIF(MP9,MP13, "d")</f>
        <v>6477</v>
      </c>
      <c r="MQ15">
        <f ca="1">DATEDIF(MQ9,MQ13, "d")</f>
        <v>6062</v>
      </c>
      <c r="MR15">
        <f ca="1">DATEDIF(MR9,MR13, "d")</f>
        <v>4714</v>
      </c>
      <c r="MS15">
        <f ca="1">DATEDIF(MS9,MS13, "d")</f>
        <v>8354</v>
      </c>
      <c r="MT15">
        <f ca="1">DATEDIF(MT9,MT13, "d")</f>
        <v>8933</v>
      </c>
      <c r="MU15">
        <f ca="1">DATEDIF(MU9,MU13, "d")</f>
        <v>6260</v>
      </c>
      <c r="MV15">
        <f ca="1">DATEDIF(MV9,MV13, "d")</f>
        <v>3631</v>
      </c>
      <c r="MW15">
        <f ca="1">DATEDIF(MW9,MW13, "d")</f>
        <v>8851</v>
      </c>
      <c r="MX15">
        <f ca="1">DATEDIF(MX9,MX13, "d")</f>
        <v>4265</v>
      </c>
      <c r="MY15">
        <f ca="1">DATEDIF(MY9,MY13, "d")</f>
        <v>4677</v>
      </c>
      <c r="MZ15">
        <f ca="1">DATEDIF(MZ9,MZ13, "d")</f>
        <v>8837</v>
      </c>
      <c r="NA15">
        <f ca="1">DATEDIF(NA9,NA13, "d")</f>
        <v>4721</v>
      </c>
      <c r="NB15">
        <f ca="1">DATEDIF(NB9,NB13, "d")</f>
        <v>3887</v>
      </c>
      <c r="NC15">
        <f ca="1">DATEDIF(NC9,NC13, "d")</f>
        <v>2864</v>
      </c>
      <c r="ND15">
        <f ca="1">DATEDIF(ND9,ND13, "d")</f>
        <v>8275</v>
      </c>
      <c r="NE15">
        <f ca="1">DATEDIF(NE9,NE13, "d")</f>
        <v>3637</v>
      </c>
      <c r="NF15">
        <f ca="1">DATEDIF(NF9,NF13, "d")</f>
        <v>6094</v>
      </c>
      <c r="NG15">
        <f ca="1">DATEDIF(NG9,NG13, "d")</f>
        <v>9235</v>
      </c>
      <c r="NH15">
        <f ca="1">DATEDIF(NH9,NH13, "d")</f>
        <v>9422</v>
      </c>
      <c r="NI15">
        <f ca="1">DATEDIF(NI9,NI13, "d")</f>
        <v>3890</v>
      </c>
      <c r="NJ15">
        <f ca="1">DATEDIF(NJ9,NJ13, "d")</f>
        <v>8153</v>
      </c>
      <c r="NK15">
        <f ca="1">DATEDIF(NK9,NK13, "d")</f>
        <v>4011</v>
      </c>
      <c r="NL15">
        <f ca="1">DATEDIF(NL9,NL13, "d")</f>
        <v>6523</v>
      </c>
      <c r="NM15">
        <f ca="1">DATEDIF(NM9,NM13, "d")</f>
        <v>9148</v>
      </c>
      <c r="NN15">
        <f ca="1">DATEDIF(NN9,NN13, "d")</f>
        <v>2428</v>
      </c>
      <c r="NO15">
        <f ca="1">DATEDIF(NO9,NO13, "d")</f>
        <v>6016</v>
      </c>
      <c r="NP15">
        <f ca="1">DATEDIF(NP9,NP13, "d")</f>
        <v>3227</v>
      </c>
      <c r="NQ15">
        <f ca="1">DATEDIF(NQ9,NQ13, "d")</f>
        <v>8439</v>
      </c>
      <c r="NR15">
        <f ca="1">DATEDIF(NR9,NR13, "d")</f>
        <v>7202</v>
      </c>
      <c r="NS15">
        <f ca="1">DATEDIF(NS9,NS13, "d")</f>
        <v>6245</v>
      </c>
      <c r="NT15">
        <f ca="1">DATEDIF(NT9,NT13, "d")</f>
        <v>8625</v>
      </c>
      <c r="NU15">
        <f ca="1">DATEDIF(NU9,NU13, "d")</f>
        <v>2480</v>
      </c>
      <c r="NV15">
        <f ca="1">DATEDIF(NV9,NV13, "d")</f>
        <v>8201</v>
      </c>
      <c r="NW15">
        <f ca="1">DATEDIF(NW9,NW13, "d")</f>
        <v>3448</v>
      </c>
      <c r="NX15">
        <f ca="1">DATEDIF(NX9,NX13, "d")</f>
        <v>2492</v>
      </c>
      <c r="NY15">
        <f ca="1">DATEDIF(NY9,NY13, "d")</f>
        <v>8618</v>
      </c>
      <c r="NZ15">
        <f ca="1">DATEDIF(NZ9,NZ13, "d")</f>
        <v>7873</v>
      </c>
      <c r="OA15">
        <f ca="1">DATEDIF(OA9,OA13, "d")</f>
        <v>6633</v>
      </c>
      <c r="OB15">
        <f ca="1">DATEDIF(OB9,OB13, "d")</f>
        <v>7092</v>
      </c>
      <c r="OC15">
        <f ca="1">DATEDIF(OC9,OC13, "d")</f>
        <v>8271</v>
      </c>
      <c r="OD15">
        <f ca="1">DATEDIF(OD9,OD13, "d")</f>
        <v>9204</v>
      </c>
      <c r="OE15">
        <f ca="1">DATEDIF(OE9,OE13, "d")</f>
        <v>6594</v>
      </c>
      <c r="OF15">
        <f ca="1">DATEDIF(OF9,OF13, "d")</f>
        <v>7278</v>
      </c>
      <c r="OG15">
        <f ca="1">DATEDIF(OG9,OG13, "d")</f>
        <v>2540</v>
      </c>
      <c r="OH15">
        <f ca="1">DATEDIF(OH9,OH13, "d")</f>
        <v>3250</v>
      </c>
      <c r="OI15">
        <f ca="1">DATEDIF(OI9,OI13, "d")</f>
        <v>4776</v>
      </c>
      <c r="OJ15">
        <f ca="1">DATEDIF(OJ9,OJ13, "d")</f>
        <v>2432</v>
      </c>
      <c r="OK15">
        <f ca="1">DATEDIF(OK9,OK13, "d")</f>
        <v>3804</v>
      </c>
      <c r="OL15">
        <f ca="1">DATEDIF(OL9,OL13, "d")</f>
        <v>7449</v>
      </c>
      <c r="OM15">
        <f ca="1">DATEDIF(OM9,OM13, "d")</f>
        <v>6608</v>
      </c>
      <c r="ON15">
        <f ca="1">DATEDIF(ON9,ON13, "d")</f>
        <v>2546</v>
      </c>
      <c r="OO15">
        <f ca="1">DATEDIF(OO9,OO13, "d")</f>
        <v>3095</v>
      </c>
      <c r="OP15">
        <f ca="1">DATEDIF(OP9,OP13, "d")</f>
        <v>5429</v>
      </c>
      <c r="OQ15">
        <f ca="1">DATEDIF(OQ9,OQ13, "d")</f>
        <v>3346</v>
      </c>
      <c r="OR15">
        <f ca="1">DATEDIF(OR9,OR13, "d")</f>
        <v>6832</v>
      </c>
      <c r="OS15">
        <f ca="1">DATEDIF(OS9,OS13, "d")</f>
        <v>3427</v>
      </c>
      <c r="OT15">
        <f ca="1">DATEDIF(OT9,OT13, "d")</f>
        <v>4486</v>
      </c>
      <c r="OU15">
        <f ca="1">DATEDIF(OU9,OU13, "d")</f>
        <v>5553</v>
      </c>
      <c r="OV15">
        <f ca="1">DATEDIF(OV9,OV13, "d")</f>
        <v>7210</v>
      </c>
      <c r="OW15">
        <f ca="1">DATEDIF(OW9,OW13, "d")</f>
        <v>4344</v>
      </c>
      <c r="OX15">
        <f ca="1">DATEDIF(OX9,OX13, "d")</f>
        <v>4121</v>
      </c>
      <c r="OY15">
        <f ca="1">DATEDIF(OY9,OY13, "d")</f>
        <v>3604</v>
      </c>
      <c r="OZ15">
        <f ca="1">DATEDIF(OZ9,OZ13, "d")</f>
        <v>8812</v>
      </c>
      <c r="PA15">
        <f ca="1">DATEDIF(PA9,PA13, "d")</f>
        <v>2819</v>
      </c>
      <c r="PB15">
        <f ca="1">DATEDIF(PB9,PB13, "d")</f>
        <v>5512</v>
      </c>
      <c r="PC15">
        <f ca="1">DATEDIF(PC9,PC13, "d")</f>
        <v>8570</v>
      </c>
      <c r="PD15">
        <f ca="1">DATEDIF(PD9,PD13, "d")</f>
        <v>2517</v>
      </c>
      <c r="PE15">
        <f ca="1">DATEDIF(PE9,PE13, "d")</f>
        <v>5819</v>
      </c>
      <c r="PF15">
        <f ca="1">DATEDIF(PF9,PF13, "d")</f>
        <v>6728</v>
      </c>
      <c r="PG15">
        <f ca="1">DATEDIF(PG9,PG13, "d")</f>
        <v>3312</v>
      </c>
      <c r="PH15">
        <f ca="1">DATEDIF(PH9,PH13, "d")</f>
        <v>9225</v>
      </c>
      <c r="PI15">
        <f ca="1">DATEDIF(PI9,PI13, "d")</f>
        <v>6610</v>
      </c>
      <c r="PJ15">
        <f ca="1">DATEDIF(PJ9,PJ13, "d")</f>
        <v>8888</v>
      </c>
      <c r="PK15">
        <f ca="1">DATEDIF(PK9,PK13, "d")</f>
        <v>4937</v>
      </c>
      <c r="PL15">
        <f ca="1">DATEDIF(PL9,PL13, "d")</f>
        <v>6448</v>
      </c>
      <c r="PM15">
        <f ca="1">DATEDIF(PM9,PM13, "d")</f>
        <v>5118</v>
      </c>
      <c r="PN15">
        <f ca="1">DATEDIF(PN9,PN13, "d")</f>
        <v>6819</v>
      </c>
      <c r="PO15">
        <f ca="1">DATEDIF(PO9,PO13, "d")</f>
        <v>6050</v>
      </c>
      <c r="PP15">
        <f ca="1">DATEDIF(PP9,PP13, "d")</f>
        <v>5950</v>
      </c>
      <c r="PQ15">
        <f ca="1">DATEDIF(PQ9,PQ13, "d")</f>
        <v>6842</v>
      </c>
      <c r="PR15">
        <f ca="1">DATEDIF(PR9,PR13, "d")</f>
        <v>3101</v>
      </c>
      <c r="PS15">
        <f ca="1">DATEDIF(PS9,PS13, "d")</f>
        <v>3212</v>
      </c>
      <c r="PT15">
        <f ca="1">DATEDIF(PT9,PT13, "d")</f>
        <v>3223</v>
      </c>
      <c r="PU15">
        <f ca="1">DATEDIF(PU9,PU13, "d")</f>
        <v>7881</v>
      </c>
      <c r="PV15">
        <f ca="1">DATEDIF(PV9,PV13, "d")</f>
        <v>6682</v>
      </c>
      <c r="PW15">
        <f ca="1">DATEDIF(PW9,PW13, "d")</f>
        <v>5763</v>
      </c>
      <c r="PX15">
        <f ca="1">DATEDIF(PX9,PX13, "d")</f>
        <v>5394</v>
      </c>
      <c r="PY15">
        <f ca="1">DATEDIF(PY9,PY13, "d")</f>
        <v>8890</v>
      </c>
      <c r="PZ15">
        <f ca="1">DATEDIF(PZ9,PZ13, "d")</f>
        <v>5234</v>
      </c>
      <c r="QA15">
        <f ca="1">DATEDIF(QA9,QA13, "d")</f>
        <v>6655</v>
      </c>
      <c r="QB15">
        <f ca="1">DATEDIF(QB9,QB13, "d")</f>
        <v>2408</v>
      </c>
      <c r="QC15">
        <f ca="1">DATEDIF(QC9,QC13, "d")</f>
        <v>5818</v>
      </c>
      <c r="QD15">
        <f ca="1">DATEDIF(QD9,QD13, "d")</f>
        <v>4120</v>
      </c>
      <c r="QE15">
        <f ca="1">DATEDIF(QE9,QE13, "d")</f>
        <v>6291</v>
      </c>
      <c r="QF15">
        <f ca="1">DATEDIF(QF9,QF13, "d")</f>
        <v>4883</v>
      </c>
      <c r="QG15">
        <f ca="1">DATEDIF(QG9,QG13, "d")</f>
        <v>2746</v>
      </c>
      <c r="QH15">
        <f ca="1">DATEDIF(QH9,QH13, "d")</f>
        <v>5548</v>
      </c>
      <c r="QI15">
        <f ca="1">DATEDIF(QI9,QI13, "d")</f>
        <v>8418</v>
      </c>
      <c r="QJ15">
        <f ca="1">DATEDIF(QJ9,QJ13, "d")</f>
        <v>6513</v>
      </c>
      <c r="QK15">
        <f ca="1">DATEDIF(QK9,QK13, "d")</f>
        <v>2417</v>
      </c>
      <c r="QL15">
        <f ca="1">DATEDIF(QL9,QL13, "d")</f>
        <v>3655</v>
      </c>
      <c r="QM15">
        <f ca="1">DATEDIF(QM9,QM13, "d")</f>
        <v>3681</v>
      </c>
      <c r="QN15">
        <f ca="1">DATEDIF(QN9,QN13, "d")</f>
        <v>5129</v>
      </c>
      <c r="QO15">
        <f ca="1">DATEDIF(QO9,QO13, "d")</f>
        <v>7245</v>
      </c>
      <c r="QP15">
        <f ca="1">DATEDIF(QP9,QP13, "d")</f>
        <v>3138</v>
      </c>
      <c r="QQ15">
        <f ca="1">DATEDIF(QQ9,QQ13, "d")</f>
        <v>8282</v>
      </c>
      <c r="QR15">
        <f ca="1">DATEDIF(QR9,QR13, "d")</f>
        <v>7690</v>
      </c>
      <c r="QS15">
        <f ca="1">DATEDIF(QS9,QS13, "d")</f>
        <v>8014</v>
      </c>
      <c r="QT15">
        <f ca="1">DATEDIF(QT9,QT13, "d")</f>
        <v>8591</v>
      </c>
      <c r="QU15">
        <f ca="1">DATEDIF(QU9,QU13, "d")</f>
        <v>7507</v>
      </c>
      <c r="QV15">
        <f ca="1">DATEDIF(QV9,QV13, "d")</f>
        <v>2672</v>
      </c>
      <c r="QW15">
        <f ca="1">DATEDIF(QW9,QW13, "d")</f>
        <v>7711</v>
      </c>
      <c r="QX15">
        <f ca="1">DATEDIF(QX9,QX13, "d")</f>
        <v>7595</v>
      </c>
      <c r="QY15">
        <f ca="1">DATEDIF(QY9,QY13, "d")</f>
        <v>7838</v>
      </c>
      <c r="QZ15">
        <f ca="1">DATEDIF(QZ9,QZ13, "d")</f>
        <v>7122</v>
      </c>
      <c r="RA15">
        <f ca="1">DATEDIF(RA9,RA13, "d")</f>
        <v>4340</v>
      </c>
      <c r="RB15">
        <f ca="1">DATEDIF(RB9,RB13, "d")</f>
        <v>7656</v>
      </c>
      <c r="RC15">
        <f ca="1">DATEDIF(RC9,RC13, "d")</f>
        <v>8874</v>
      </c>
      <c r="RD15">
        <f ca="1">DATEDIF(RD9,RD13, "d")</f>
        <v>2451</v>
      </c>
      <c r="RE15">
        <f ca="1">DATEDIF(RE9,RE13, "d")</f>
        <v>5528</v>
      </c>
      <c r="RF15">
        <f ca="1">DATEDIF(RF9,RF13, "d")</f>
        <v>7501</v>
      </c>
      <c r="RG15">
        <f ca="1">DATEDIF(RG9,RG13, "d")</f>
        <v>4913</v>
      </c>
      <c r="RH15">
        <f ca="1">DATEDIF(RH9,RH13, "d")</f>
        <v>5821</v>
      </c>
      <c r="RI15">
        <f ca="1">DATEDIF(RI9,RI13, "d")</f>
        <v>9180</v>
      </c>
      <c r="RJ15">
        <f ca="1">DATEDIF(RJ9,RJ13, "d")</f>
        <v>7618</v>
      </c>
      <c r="RK15">
        <f ca="1">DATEDIF(RK9,RK13, "d")</f>
        <v>6526</v>
      </c>
      <c r="RL15">
        <f ca="1">DATEDIF(RL9,RL13, "d")</f>
        <v>6122</v>
      </c>
      <c r="RM15">
        <f ca="1">DATEDIF(RM9,RM13, "d")</f>
        <v>9052</v>
      </c>
      <c r="RN15">
        <f ca="1">DATEDIF(RN9,RN13, "d")</f>
        <v>8012</v>
      </c>
      <c r="RO15">
        <f ca="1">DATEDIF(RO9,RO13, "d")</f>
        <v>6665</v>
      </c>
      <c r="RP15">
        <f ca="1">DATEDIF(RP9,RP13, "d")</f>
        <v>4372</v>
      </c>
      <c r="RQ15">
        <f ca="1">DATEDIF(RQ9,RQ13, "d")</f>
        <v>6725</v>
      </c>
      <c r="RR15">
        <f ca="1">DATEDIF(RR9,RR13, "d")</f>
        <v>9025</v>
      </c>
      <c r="RS15">
        <f ca="1">DATEDIF(RS9,RS13, "d")</f>
        <v>8106</v>
      </c>
      <c r="RT15">
        <f ca="1">DATEDIF(RT9,RT13, "d")</f>
        <v>3344</v>
      </c>
      <c r="RU15">
        <f ca="1">DATEDIF(RU9,RU13, "d")</f>
        <v>8742</v>
      </c>
      <c r="RV15">
        <f ca="1">DATEDIF(RV9,RV13, "d")</f>
        <v>5092</v>
      </c>
      <c r="RW15">
        <f ca="1">DATEDIF(RW9,RW13, "d")</f>
        <v>4516</v>
      </c>
      <c r="RX15">
        <f ca="1">DATEDIF(RX9,RX13, "d")</f>
        <v>2763</v>
      </c>
      <c r="RY15">
        <f ca="1">DATEDIF(RY9,RY13, "d")</f>
        <v>8153</v>
      </c>
      <c r="RZ15">
        <f ca="1">DATEDIF(RZ9,RZ13, "d")</f>
        <v>9289</v>
      </c>
      <c r="SA15">
        <f ca="1">DATEDIF(SA9,SA13, "d")</f>
        <v>6829</v>
      </c>
      <c r="SB15">
        <f ca="1">DATEDIF(SB9,SB13, "d")</f>
        <v>5809</v>
      </c>
      <c r="SC15">
        <f ca="1">DATEDIF(SC9,SC13, "d")</f>
        <v>2466</v>
      </c>
      <c r="SD15">
        <f ca="1">DATEDIF(SD9,SD13, "d")</f>
        <v>5110</v>
      </c>
      <c r="SE15">
        <f ca="1">DATEDIF(SE9,SE13, "d")</f>
        <v>2776</v>
      </c>
      <c r="SF15">
        <f ca="1">DATEDIF(SF9,SF13, "d")</f>
        <v>8129</v>
      </c>
      <c r="SG15">
        <f ca="1">DATEDIF(SG9,SG13, "d")</f>
        <v>3737</v>
      </c>
      <c r="SH15">
        <f ca="1">DATEDIF(SH9,SH13, "d")</f>
        <v>2777</v>
      </c>
      <c r="SI15">
        <f ca="1">DATEDIF(SI9,SI13, "d")</f>
        <v>2734</v>
      </c>
      <c r="SJ15">
        <f ca="1">DATEDIF(SJ9,SJ13, "d")</f>
        <v>8108</v>
      </c>
      <c r="SK15">
        <f ca="1">DATEDIF(SK9,SK13, "d")</f>
        <v>7798</v>
      </c>
      <c r="SL15">
        <f ca="1">DATEDIF(SL9,SL13, "d")</f>
        <v>3935</v>
      </c>
      <c r="SM15">
        <f ca="1">DATEDIF(SM9,SM13, "d")</f>
        <v>2407</v>
      </c>
      <c r="SN15">
        <f ca="1">DATEDIF(SN9,SN13, "d")</f>
        <v>5919</v>
      </c>
      <c r="SO15">
        <f ca="1">DATEDIF(SO9,SO13, "d")</f>
        <v>8660</v>
      </c>
      <c r="SP15">
        <f ca="1">DATEDIF(SP9,SP13, "d")</f>
        <v>9287</v>
      </c>
      <c r="SQ15">
        <f ca="1">DATEDIF(SQ9,SQ13, "d")</f>
        <v>5384</v>
      </c>
      <c r="SR15">
        <f ca="1">DATEDIF(SR9,SR13, "d")</f>
        <v>2762</v>
      </c>
      <c r="SS15">
        <f ca="1">DATEDIF(SS9,SS13, "d")</f>
        <v>7486</v>
      </c>
      <c r="ST15">
        <f ca="1">DATEDIF(ST9,ST13, "d")</f>
        <v>5148</v>
      </c>
      <c r="SU15">
        <f ca="1">DATEDIF(SU9,SU13, "d")</f>
        <v>3642</v>
      </c>
      <c r="SV15">
        <f ca="1">DATEDIF(SV9,SV13, "d")</f>
        <v>7770</v>
      </c>
      <c r="SW15">
        <f ca="1">DATEDIF(SW9,SW13, "d")</f>
        <v>8396</v>
      </c>
      <c r="SX15">
        <f ca="1">DATEDIF(SX9,SX13, "d")</f>
        <v>7023</v>
      </c>
      <c r="SY15">
        <f ca="1">DATEDIF(SY9,SY13, "d")</f>
        <v>5204</v>
      </c>
      <c r="SZ15">
        <f ca="1">DATEDIF(SZ9,SZ13, "d")</f>
        <v>7986</v>
      </c>
      <c r="TA15">
        <f ca="1">DATEDIF(TA9,TA13, "d")</f>
        <v>3252</v>
      </c>
      <c r="TB15">
        <f ca="1">DATEDIF(TB9,TB13, "d")</f>
        <v>7618</v>
      </c>
      <c r="TC15">
        <f ca="1">DATEDIF(TC9,TC13, "d")</f>
        <v>7799</v>
      </c>
      <c r="TD15">
        <f ca="1">DATEDIF(TD9,TD13, "d")</f>
        <v>3294</v>
      </c>
      <c r="TE15">
        <f ca="1">DATEDIF(TE9,TE13, "d")</f>
        <v>4712</v>
      </c>
      <c r="TF15">
        <f ca="1">DATEDIF(TF9,TF13, "d")</f>
        <v>8587</v>
      </c>
      <c r="TG15">
        <f ca="1">DATEDIF(TG9,TG13, "d")</f>
        <v>3719</v>
      </c>
      <c r="TH15">
        <f ca="1">DATEDIF(TH9,TH13, "d")</f>
        <v>8371</v>
      </c>
      <c r="TI15">
        <f ca="1">DATEDIF(TI9,TI13, "d")</f>
        <v>6244</v>
      </c>
      <c r="TJ15">
        <f ca="1">DATEDIF(TJ9,TJ13, "d")</f>
        <v>3188</v>
      </c>
      <c r="TK15">
        <f ca="1">DATEDIF(TK9,TK13, "d")</f>
        <v>8455</v>
      </c>
      <c r="TL15">
        <f ca="1">DATEDIF(TL9,TL13, "d")</f>
        <v>9378</v>
      </c>
      <c r="TM15">
        <f ca="1">DATEDIF(TM9,TM13, "d")</f>
        <v>5599</v>
      </c>
      <c r="TN15">
        <f ca="1">DATEDIF(TN9,TN13, "d")</f>
        <v>9049</v>
      </c>
      <c r="TO15">
        <f ca="1">DATEDIF(TO9,TO13, "d")</f>
        <v>4847</v>
      </c>
      <c r="TP15">
        <f ca="1">DATEDIF(TP9,TP13, "d")</f>
        <v>8164</v>
      </c>
      <c r="TQ15">
        <f ca="1">DATEDIF(TQ9,TQ13, "d")</f>
        <v>5071</v>
      </c>
      <c r="TR15">
        <f ca="1">DATEDIF(TR9,TR13, "d")</f>
        <v>8282</v>
      </c>
      <c r="TS15">
        <f ca="1">DATEDIF(TS9,TS13, "d")</f>
        <v>8380</v>
      </c>
      <c r="TT15">
        <f ca="1">DATEDIF(TT9,TT13, "d")</f>
        <v>7626</v>
      </c>
      <c r="TU15">
        <f ca="1">DATEDIF(TU9,TU13, "d")</f>
        <v>5919</v>
      </c>
      <c r="TV15">
        <f ca="1">DATEDIF(TV9,TV13, "d")</f>
        <v>4788</v>
      </c>
      <c r="TW15">
        <f ca="1">DATEDIF(TW9,TW13, "d")</f>
        <v>7357</v>
      </c>
      <c r="TX15">
        <f ca="1">DATEDIF(TX9,TX13, "d")</f>
        <v>5320</v>
      </c>
      <c r="TY15">
        <f ca="1">DATEDIF(TY9,TY13, "d")</f>
        <v>5994</v>
      </c>
      <c r="TZ15">
        <f ca="1">DATEDIF(TZ9,TZ13, "d")</f>
        <v>2984</v>
      </c>
      <c r="UA15">
        <f ca="1">DATEDIF(UA9,UA13, "d")</f>
        <v>3789</v>
      </c>
      <c r="UB15">
        <f ca="1">DATEDIF(UB9,UB13, "d")</f>
        <v>3541</v>
      </c>
      <c r="UC15">
        <f ca="1">DATEDIF(UC9,UC13, "d")</f>
        <v>8557</v>
      </c>
      <c r="UD15">
        <f ca="1">DATEDIF(UD9,UD13, "d")</f>
        <v>6421</v>
      </c>
      <c r="UE15">
        <f ca="1">DATEDIF(UE9,UE13, "d")</f>
        <v>4398</v>
      </c>
      <c r="UF15">
        <f ca="1">DATEDIF(UF9,UF13, "d")</f>
        <v>5984</v>
      </c>
      <c r="UG15">
        <f ca="1">DATEDIF(UG9,UG13, "d")</f>
        <v>5367</v>
      </c>
      <c r="UH15">
        <f ca="1">DATEDIF(UH9,UH13, "d")</f>
        <v>5505</v>
      </c>
      <c r="UI15">
        <f ca="1">DATEDIF(UI9,UI13, "d")</f>
        <v>9527</v>
      </c>
      <c r="UJ15">
        <f ca="1">DATEDIF(UJ9,UJ13, "d")</f>
        <v>5911</v>
      </c>
      <c r="UK15">
        <f ca="1">DATEDIF(UK9,UK13, "d")</f>
        <v>3568</v>
      </c>
      <c r="UL15">
        <f ca="1">DATEDIF(UL9,UL13, "d")</f>
        <v>5103</v>
      </c>
      <c r="UM15">
        <f ca="1">DATEDIF(UM9,UM13, "d")</f>
        <v>8747</v>
      </c>
      <c r="UN15">
        <f ca="1">DATEDIF(UN9,UN13, "d")</f>
        <v>3398</v>
      </c>
      <c r="UO15">
        <f ca="1">DATEDIF(UO9,UO13, "d")</f>
        <v>2927</v>
      </c>
      <c r="UP15">
        <f ca="1">DATEDIF(UP9,UP13, "d")</f>
        <v>4852</v>
      </c>
      <c r="UQ15">
        <f ca="1">DATEDIF(UQ9,UQ13, "d")</f>
        <v>3559</v>
      </c>
      <c r="UR15">
        <f ca="1">DATEDIF(UR9,UR13, "d")</f>
        <v>4452</v>
      </c>
      <c r="US15">
        <f ca="1">DATEDIF(US9,US13, "d")</f>
        <v>3587</v>
      </c>
      <c r="UT15">
        <f ca="1">DATEDIF(UT9,UT13, "d")</f>
        <v>7485</v>
      </c>
      <c r="UU15">
        <f ca="1">DATEDIF(UU9,UU13, "d")</f>
        <v>7518</v>
      </c>
      <c r="UV15">
        <f ca="1">DATEDIF(UV9,UV13, "d")</f>
        <v>2431</v>
      </c>
      <c r="UW15">
        <f ca="1">DATEDIF(UW9,UW13, "d")</f>
        <v>8756</v>
      </c>
      <c r="UX15">
        <f ca="1">DATEDIF(UX9,UX13, "d")</f>
        <v>4822</v>
      </c>
      <c r="UY15">
        <f ca="1">DATEDIF(UY9,UY13, "d")</f>
        <v>5590</v>
      </c>
      <c r="UZ15">
        <f ca="1">DATEDIF(UZ9,UZ13, "d")</f>
        <v>5894</v>
      </c>
      <c r="VA15">
        <f ca="1">DATEDIF(VA9,VA13, "d")</f>
        <v>7763</v>
      </c>
      <c r="VB15">
        <f ca="1">DATEDIF(VB9,VB13, "d")</f>
        <v>4689</v>
      </c>
      <c r="VC15">
        <f ca="1">DATEDIF(VC9,VC13, "d")</f>
        <v>4019</v>
      </c>
      <c r="VD15">
        <f ca="1">DATEDIF(VD9,VD13, "d")</f>
        <v>2380</v>
      </c>
      <c r="VE15">
        <f ca="1">DATEDIF(VE9,VE13, "d")</f>
        <v>6460</v>
      </c>
      <c r="VF15">
        <f ca="1">DATEDIF(VF9,VF13, "d")</f>
        <v>4324</v>
      </c>
      <c r="VG15">
        <f ca="1">DATEDIF(VG9,VG13, "d")</f>
        <v>7945</v>
      </c>
      <c r="VH15">
        <f ca="1">DATEDIF(VH9,VH13, "d")</f>
        <v>8031</v>
      </c>
      <c r="VI15">
        <f ca="1">DATEDIF(VI9,VI13, "d")</f>
        <v>2833</v>
      </c>
      <c r="VJ15">
        <f ca="1">DATEDIF(VJ9,VJ13, "d")</f>
        <v>5995</v>
      </c>
      <c r="VK15">
        <f ca="1">DATEDIF(VK9,VK13, "d")</f>
        <v>3805</v>
      </c>
      <c r="VL15">
        <f ca="1">DATEDIF(VL9,VL13, "d")</f>
        <v>7670</v>
      </c>
      <c r="VM15">
        <f ca="1">DATEDIF(VM9,VM13, "d")</f>
        <v>8138</v>
      </c>
      <c r="VN15">
        <f ca="1">DATEDIF(VN9,VN13, "d")</f>
        <v>4543</v>
      </c>
      <c r="VO15">
        <f ca="1">DATEDIF(VO9,VO13, "d")</f>
        <v>6257</v>
      </c>
      <c r="VP15">
        <f ca="1">DATEDIF(VP9,VP13, "d")</f>
        <v>6054</v>
      </c>
      <c r="VQ15">
        <f ca="1">DATEDIF(VQ9,VQ13, "d")</f>
        <v>6515</v>
      </c>
      <c r="VR15">
        <f ca="1">DATEDIF(VR9,VR13, "d")</f>
        <v>5458</v>
      </c>
      <c r="VS15">
        <f ca="1">DATEDIF(VS9,VS13, "d")</f>
        <v>8576</v>
      </c>
      <c r="VT15">
        <f ca="1">DATEDIF(VT9,VT13, "d")</f>
        <v>8143</v>
      </c>
      <c r="VU15">
        <f ca="1">DATEDIF(VU9,VU13, "d")</f>
        <v>5022</v>
      </c>
      <c r="VV15">
        <f ca="1">DATEDIF(VV9,VV13, "d")</f>
        <v>4011</v>
      </c>
      <c r="VW15">
        <f ca="1">DATEDIF(VW9,VW13, "d")</f>
        <v>3451</v>
      </c>
      <c r="VX15">
        <f ca="1">DATEDIF(VX9,VX13, "d")</f>
        <v>6513</v>
      </c>
      <c r="VY15">
        <f ca="1">DATEDIF(VY9,VY13, "d")</f>
        <v>9310</v>
      </c>
      <c r="VZ15">
        <f ca="1">DATEDIF(VZ9,VZ13, "d")</f>
        <v>5843</v>
      </c>
      <c r="WA15">
        <f ca="1">DATEDIF(WA9,WA13, "d")</f>
        <v>3247</v>
      </c>
      <c r="WB15">
        <f ca="1">DATEDIF(WB9,WB13, "d")</f>
        <v>7300</v>
      </c>
      <c r="WC15">
        <f ca="1">DATEDIF(WC9,WC13, "d")</f>
        <v>5699</v>
      </c>
      <c r="WD15">
        <f ca="1">DATEDIF(WD9,WD13, "d")</f>
        <v>6257</v>
      </c>
      <c r="WE15">
        <f ca="1">DATEDIF(WE9,WE13, "d")</f>
        <v>7528</v>
      </c>
      <c r="WF15">
        <f ca="1">DATEDIF(WF9,WF13, "d")</f>
        <v>6430</v>
      </c>
      <c r="WG15">
        <f ca="1">DATEDIF(WG9,WG13, "d")</f>
        <v>6353</v>
      </c>
      <c r="WH15">
        <f ca="1">DATEDIF(WH9,WH13, "d")</f>
        <v>6434</v>
      </c>
      <c r="WI15">
        <f ca="1">DATEDIF(WI9,WI13, "d")</f>
        <v>4510</v>
      </c>
      <c r="WJ15">
        <f ca="1">DATEDIF(WJ9,WJ13, "d")</f>
        <v>4674</v>
      </c>
      <c r="WK15">
        <f ca="1">DATEDIF(WK9,WK13, "d")</f>
        <v>8321</v>
      </c>
      <c r="WL15">
        <f ca="1">DATEDIF(WL9,WL13, "d")</f>
        <v>8852</v>
      </c>
      <c r="WM15">
        <f ca="1">DATEDIF(WM9,WM13, "d")</f>
        <v>4383</v>
      </c>
      <c r="WN15">
        <f ca="1">DATEDIF(WN9,WN13, "d")</f>
        <v>4477</v>
      </c>
      <c r="WO15">
        <f ca="1">DATEDIF(WO9,WO13, "d")</f>
        <v>2556</v>
      </c>
      <c r="WP15">
        <f ca="1">DATEDIF(WP9,WP13, "d")</f>
        <v>9491</v>
      </c>
      <c r="WQ15">
        <f ca="1">DATEDIF(WQ9,WQ13, "d")</f>
        <v>4739</v>
      </c>
      <c r="WR15">
        <f ca="1">DATEDIF(WR9,WR13, "d")</f>
        <v>6204</v>
      </c>
      <c r="WS15">
        <f ca="1">DATEDIF(WS9,WS13, "d")</f>
        <v>5755</v>
      </c>
      <c r="WT15">
        <f ca="1">DATEDIF(WT9,WT13, "d")</f>
        <v>6210</v>
      </c>
      <c r="WU15">
        <f ca="1">DATEDIF(WU9,WU13, "d")</f>
        <v>7817</v>
      </c>
      <c r="WV15">
        <f ca="1">DATEDIF(WV9,WV13, "d")</f>
        <v>3485</v>
      </c>
      <c r="WW15">
        <f ca="1">DATEDIF(WW9,WW13, "d")</f>
        <v>5256</v>
      </c>
      <c r="WX15">
        <f ca="1">DATEDIF(WX9,WX13, "d")</f>
        <v>2638</v>
      </c>
      <c r="WY15">
        <f ca="1">DATEDIF(WY9,WY13, "d")</f>
        <v>6794</v>
      </c>
      <c r="WZ15">
        <f ca="1">DATEDIF(WZ9,WZ13, "d")</f>
        <v>6287</v>
      </c>
      <c r="XA15">
        <f ca="1">DATEDIF(XA9,XA13, "d")</f>
        <v>7122</v>
      </c>
      <c r="XB15">
        <f ca="1">DATEDIF(XB9,XB13, "d")</f>
        <v>4286</v>
      </c>
      <c r="XC15">
        <f ca="1">DATEDIF(XC9,XC13, "d")</f>
        <v>9246</v>
      </c>
      <c r="XD15">
        <f ca="1">DATEDIF(XD9,XD13, "d")</f>
        <v>9149</v>
      </c>
      <c r="XE15">
        <f ca="1">DATEDIF(XE9,XE13, "d")</f>
        <v>3901</v>
      </c>
      <c r="XF15">
        <f ca="1">DATEDIF(XF9,XF13, "d")</f>
        <v>8805</v>
      </c>
      <c r="XG15">
        <f ca="1">DATEDIF(XG9,XG13, "d")</f>
        <v>4259</v>
      </c>
      <c r="XH15">
        <f ca="1">DATEDIF(XH9,XH13, "d")</f>
        <v>5599</v>
      </c>
      <c r="XI15">
        <f ca="1">DATEDIF(XI9,XI13, "d")</f>
        <v>8967</v>
      </c>
      <c r="XJ15">
        <f ca="1">DATEDIF(XJ9,XJ13, "d")</f>
        <v>7722</v>
      </c>
      <c r="XK15">
        <f ca="1">DATEDIF(XK9,XK13, "d")</f>
        <v>2905</v>
      </c>
      <c r="XL15">
        <f ca="1">DATEDIF(XL9,XL13, "d")</f>
        <v>6902</v>
      </c>
      <c r="XM15">
        <f ca="1">DATEDIF(XM9,XM13, "d")</f>
        <v>7450</v>
      </c>
      <c r="XN15">
        <f ca="1">DATEDIF(XN9,XN13, "d")</f>
        <v>3432</v>
      </c>
      <c r="XO15">
        <f ca="1">DATEDIF(XO9,XO13, "d")</f>
        <v>8274</v>
      </c>
      <c r="XP15">
        <f ca="1">DATEDIF(XP9,XP13, "d")</f>
        <v>4559</v>
      </c>
      <c r="XQ15">
        <f ca="1">DATEDIF(XQ9,XQ13, "d")</f>
        <v>2485</v>
      </c>
      <c r="XR15">
        <f ca="1">DATEDIF(XR9,XR13, "d")</f>
        <v>9109</v>
      </c>
      <c r="XS15">
        <f ca="1">DATEDIF(XS9,XS13, "d")</f>
        <v>7610</v>
      </c>
      <c r="XT15">
        <f ca="1">DATEDIF(XT9,XT13, "d")</f>
        <v>4007</v>
      </c>
      <c r="XU15">
        <f ca="1">DATEDIF(XU9,XU13, "d")</f>
        <v>7629</v>
      </c>
      <c r="XV15">
        <f ca="1">DATEDIF(XV9,XV13, "d")</f>
        <v>4295</v>
      </c>
      <c r="XW15">
        <f ca="1">DATEDIF(XW9,XW13, "d")</f>
        <v>7035</v>
      </c>
      <c r="XX15">
        <f ca="1">DATEDIF(XX9,XX13, "d")</f>
        <v>7214</v>
      </c>
      <c r="XY15">
        <f ca="1">DATEDIF(XY9,XY13, "d")</f>
        <v>3824</v>
      </c>
      <c r="XZ15">
        <f ca="1">DATEDIF(XZ9,XZ13, "d")</f>
        <v>7535</v>
      </c>
      <c r="YA15">
        <f ca="1">DATEDIF(YA9,YA13, "d")</f>
        <v>8390</v>
      </c>
      <c r="YB15">
        <f ca="1">DATEDIF(YB9,YB13, "d")</f>
        <v>3123</v>
      </c>
      <c r="YC15">
        <f ca="1">DATEDIF(YC9,YC13, "d")</f>
        <v>5640</v>
      </c>
      <c r="YD15">
        <f ca="1">DATEDIF(YD9,YD13, "d")</f>
        <v>6357</v>
      </c>
      <c r="YE15">
        <f ca="1">DATEDIF(YE9,YE13, "d")</f>
        <v>3780</v>
      </c>
      <c r="YF15">
        <f ca="1">DATEDIF(YF9,YF13, "d")</f>
        <v>2740</v>
      </c>
      <c r="YG15">
        <f ca="1">DATEDIF(YG9,YG13, "d")</f>
        <v>3342</v>
      </c>
      <c r="YH15">
        <f ca="1">DATEDIF(YH9,YH13, "d")</f>
        <v>6792</v>
      </c>
      <c r="YI15">
        <f ca="1">DATEDIF(YI9,YI13, "d")</f>
        <v>8797</v>
      </c>
      <c r="YJ15">
        <f ca="1">DATEDIF(YJ9,YJ13, "d")</f>
        <v>2680</v>
      </c>
      <c r="YK15">
        <f ca="1">DATEDIF(YK9,YK13, "d")</f>
        <v>6195</v>
      </c>
      <c r="YL15">
        <f ca="1">DATEDIF(YL9,YL13, "d")</f>
        <v>7156</v>
      </c>
      <c r="YM15">
        <f ca="1">DATEDIF(YM9,YM13, "d")</f>
        <v>2980</v>
      </c>
      <c r="YN15">
        <f ca="1">DATEDIF(YN9,YN13, "d")</f>
        <v>5497</v>
      </c>
      <c r="YO15">
        <f ca="1">DATEDIF(YO9,YO13, "d")</f>
        <v>5312</v>
      </c>
      <c r="YP15">
        <f ca="1">DATEDIF(YP9,YP13, "d")</f>
        <v>7135</v>
      </c>
      <c r="YQ15">
        <f ca="1">DATEDIF(YQ9,YQ13, "d")</f>
        <v>4743</v>
      </c>
      <c r="YR15">
        <f ca="1">DATEDIF(YR9,YR13, "d")</f>
        <v>2940</v>
      </c>
      <c r="YS15">
        <f ca="1">DATEDIF(YS9,YS13, "d")</f>
        <v>4554</v>
      </c>
      <c r="YT15">
        <f ca="1">DATEDIF(YT9,YT13, "d")</f>
        <v>4305</v>
      </c>
      <c r="YU15">
        <f ca="1">DATEDIF(YU9,YU13, "d")</f>
        <v>3987</v>
      </c>
      <c r="YV15">
        <f ca="1">DATEDIF(YV9,YV13, "d")</f>
        <v>7585</v>
      </c>
      <c r="YW15">
        <f ca="1">DATEDIF(YW9,YW13, "d")</f>
        <v>8508</v>
      </c>
      <c r="YX15">
        <f ca="1">DATEDIF(YX9,YX13, "d")</f>
        <v>8630</v>
      </c>
      <c r="YY15">
        <f ca="1">DATEDIF(YY9,YY13, "d")</f>
        <v>9546</v>
      </c>
      <c r="YZ15">
        <f ca="1">DATEDIF(YZ9,YZ13, "d")</f>
        <v>7677</v>
      </c>
      <c r="ZA15">
        <f ca="1">DATEDIF(ZA9,ZA13, "d")</f>
        <v>3823</v>
      </c>
      <c r="ZB15">
        <f ca="1">DATEDIF(ZB9,ZB13, "d")</f>
        <v>3606</v>
      </c>
      <c r="ZC15">
        <f ca="1">DATEDIF(ZC9,ZC13, "d")</f>
        <v>4424</v>
      </c>
      <c r="ZD15">
        <f ca="1">DATEDIF(ZD9,ZD13, "d")</f>
        <v>2738</v>
      </c>
      <c r="ZE15">
        <f ca="1">DATEDIF(ZE9,ZE13, "d")</f>
        <v>7877</v>
      </c>
      <c r="ZF15">
        <f ca="1">DATEDIF(ZF9,ZF13, "d")</f>
        <v>3303</v>
      </c>
      <c r="ZG15">
        <f ca="1">DATEDIF(ZG9,ZG13, "d")</f>
        <v>6760</v>
      </c>
      <c r="ZH15">
        <f ca="1">DATEDIF(ZH9,ZH13, "d")</f>
        <v>6209</v>
      </c>
      <c r="ZI15">
        <f ca="1">DATEDIF(ZI9,ZI13, "d")</f>
        <v>7086</v>
      </c>
      <c r="ZJ15">
        <f ca="1">DATEDIF(ZJ9,ZJ13, "d")</f>
        <v>2562</v>
      </c>
      <c r="ZK15">
        <f ca="1">DATEDIF(ZK9,ZK13, "d")</f>
        <v>4067</v>
      </c>
      <c r="ZL15">
        <f ca="1">DATEDIF(ZL9,ZL13, "d")</f>
        <v>3689</v>
      </c>
      <c r="ZM15">
        <f ca="1">DATEDIF(ZM9,ZM13, "d")</f>
        <v>7909</v>
      </c>
      <c r="ZN15">
        <f ca="1">DATEDIF(ZN9,ZN13, "d")</f>
        <v>4955</v>
      </c>
      <c r="ZO15">
        <f ca="1">DATEDIF(ZO9,ZO13, "d")</f>
        <v>8004</v>
      </c>
      <c r="ZP15">
        <f ca="1">DATEDIF(ZP9,ZP13, "d")</f>
        <v>7841</v>
      </c>
      <c r="ZQ15">
        <f ca="1">DATEDIF(ZQ9,ZQ13, "d")</f>
        <v>8815</v>
      </c>
      <c r="ZR15">
        <f ca="1">DATEDIF(ZR9,ZR13, "d")</f>
        <v>7417</v>
      </c>
      <c r="ZS15">
        <f ca="1">DATEDIF(ZS9,ZS13, "d")</f>
        <v>8223</v>
      </c>
      <c r="ZT15">
        <f ca="1">DATEDIF(ZT9,ZT13, "d")</f>
        <v>6098</v>
      </c>
      <c r="ZU15">
        <f ca="1">DATEDIF(ZU9,ZU13, "d")</f>
        <v>8306</v>
      </c>
      <c r="ZV15">
        <f ca="1">DATEDIF(ZV9,ZV13, "d")</f>
        <v>7789</v>
      </c>
      <c r="ZW15">
        <f ca="1">DATEDIF(ZW9,ZW13, "d")</f>
        <v>5625</v>
      </c>
      <c r="ZX15">
        <f ca="1">DATEDIF(ZX9,ZX13, "d")</f>
        <v>3626</v>
      </c>
      <c r="ZY15">
        <f ca="1">DATEDIF(ZY9,ZY13, "d")</f>
        <v>3268</v>
      </c>
      <c r="ZZ15">
        <f ca="1">DATEDIF(ZZ9,ZZ13, "d")</f>
        <v>6967</v>
      </c>
      <c r="AAA15">
        <f ca="1">DATEDIF(AAA9,AAA13, "d")</f>
        <v>9176</v>
      </c>
      <c r="AAB15">
        <f ca="1">DATEDIF(AAB9,AAB13, "d")</f>
        <v>6944</v>
      </c>
      <c r="AAC15">
        <f ca="1">DATEDIF(AAC9,AAC13, "d")</f>
        <v>7128</v>
      </c>
      <c r="AAD15">
        <f ca="1">DATEDIF(AAD9,AAD13, "d")</f>
        <v>7905</v>
      </c>
      <c r="AAE15">
        <f ca="1">DATEDIF(AAE9,AAE13, "d")</f>
        <v>9336</v>
      </c>
      <c r="AAF15">
        <f ca="1">DATEDIF(AAF9,AAF13, "d")</f>
        <v>6038</v>
      </c>
      <c r="AAG15">
        <f ca="1">DATEDIF(AAG9,AAG13, "d")</f>
        <v>3875</v>
      </c>
      <c r="AAH15">
        <f ca="1">DATEDIF(AAH9,AAH13, "d")</f>
        <v>5713</v>
      </c>
      <c r="AAI15">
        <f ca="1">DATEDIF(AAI9,AAI13, "d")</f>
        <v>6471</v>
      </c>
      <c r="AAJ15">
        <f ca="1">DATEDIF(AAJ9,AAJ13, "d")</f>
        <v>8428</v>
      </c>
      <c r="AAK15">
        <f ca="1">DATEDIF(AAK9,AAK13, "d")</f>
        <v>8017</v>
      </c>
      <c r="AAL15">
        <f ca="1">DATEDIF(AAL9,AAL13, "d")</f>
        <v>5836</v>
      </c>
      <c r="AAM15">
        <f ca="1">DATEDIF(AAM9,AAM13, "d")</f>
        <v>7417</v>
      </c>
      <c r="AAN15">
        <f ca="1">DATEDIF(AAN9,AAN13, "d")</f>
        <v>4184</v>
      </c>
      <c r="AAO15">
        <f ca="1">DATEDIF(AAO9,AAO13, "d")</f>
        <v>6123</v>
      </c>
      <c r="AAP15">
        <f ca="1">DATEDIF(AAP9,AAP13, "d")</f>
        <v>9275</v>
      </c>
      <c r="AAQ15">
        <f ca="1">DATEDIF(AAQ9,AAQ13, "d")</f>
        <v>5876</v>
      </c>
      <c r="AAR15">
        <f ca="1">DATEDIF(AAR9,AAR13, "d")</f>
        <v>5521</v>
      </c>
      <c r="AAS15">
        <f ca="1">DATEDIF(AAS9,AAS13, "d")</f>
        <v>2429</v>
      </c>
      <c r="AAT15">
        <f ca="1">DATEDIF(AAT9,AAT13, "d")</f>
        <v>3713</v>
      </c>
      <c r="AAU15">
        <f ca="1">DATEDIF(AAU9,AAU13, "d")</f>
        <v>4715</v>
      </c>
      <c r="AAV15">
        <f ca="1">DATEDIF(AAV9,AAV13, "d")</f>
        <v>9326</v>
      </c>
      <c r="AAW15">
        <f ca="1">DATEDIF(AAW9,AAW13, "d")</f>
        <v>7006</v>
      </c>
      <c r="AAX15">
        <f ca="1">DATEDIF(AAX9,AAX13, "d")</f>
        <v>5445</v>
      </c>
      <c r="AAY15">
        <f ca="1">DATEDIF(AAY9,AAY13, "d")</f>
        <v>5251</v>
      </c>
      <c r="AAZ15">
        <f ca="1">DATEDIF(AAZ9,AAZ13, "d")</f>
        <v>4894</v>
      </c>
      <c r="ABA15">
        <f ca="1">DATEDIF(ABA9,ABA13, "d")</f>
        <v>2473</v>
      </c>
      <c r="ABB15">
        <f ca="1">DATEDIF(ABB9,ABB13, "d")</f>
        <v>6714</v>
      </c>
      <c r="ABC15">
        <f ca="1">DATEDIF(ABC9,ABC13, "d")</f>
        <v>8851</v>
      </c>
      <c r="ABD15">
        <f ca="1">DATEDIF(ABD9,ABD13, "d")</f>
        <v>2847</v>
      </c>
      <c r="ABE15">
        <f ca="1">DATEDIF(ABE9,ABE13, "d")</f>
        <v>9005</v>
      </c>
      <c r="ABF15">
        <f ca="1">DATEDIF(ABF9,ABF13, "d")</f>
        <v>9355</v>
      </c>
      <c r="ABG15">
        <f ca="1">DATEDIF(ABG9,ABG13, "d")</f>
        <v>8180</v>
      </c>
      <c r="ABH15">
        <f ca="1">DATEDIF(ABH9,ABH13, "d")</f>
        <v>6740</v>
      </c>
      <c r="ABI15">
        <f ca="1">DATEDIF(ABI9,ABI13, "d")</f>
        <v>2903</v>
      </c>
      <c r="ABJ15">
        <f ca="1">DATEDIF(ABJ9,ABJ13, "d")</f>
        <v>7452</v>
      </c>
      <c r="ABK15">
        <f ca="1">DATEDIF(ABK9,ABK13, "d")</f>
        <v>3837</v>
      </c>
      <c r="ABL15">
        <f ca="1">DATEDIF(ABL9,ABL13, "d")</f>
        <v>5343</v>
      </c>
      <c r="ABM15">
        <f ca="1">DATEDIF(ABM9,ABM13, "d")</f>
        <v>5574</v>
      </c>
      <c r="ABN15">
        <f ca="1">DATEDIF(ABN9,ABN13, "d")</f>
        <v>3357</v>
      </c>
      <c r="ABO15">
        <f ca="1">DATEDIF(ABO9,ABO13, "d")</f>
        <v>5225</v>
      </c>
      <c r="ABP15">
        <f ca="1">DATEDIF(ABP9,ABP13, "d")</f>
        <v>6485</v>
      </c>
      <c r="ABQ15">
        <f ca="1">DATEDIF(ABQ9,ABQ13, "d")</f>
        <v>3524</v>
      </c>
      <c r="ABR15">
        <f ca="1">DATEDIF(ABR9,ABR13, "d")</f>
        <v>2409</v>
      </c>
      <c r="ABS15">
        <f ca="1">DATEDIF(ABS9,ABS13, "d")</f>
        <v>2364</v>
      </c>
      <c r="ABT15">
        <f ca="1">DATEDIF(ABT9,ABT13, "d")</f>
        <v>9525</v>
      </c>
      <c r="ABU15">
        <f ca="1">DATEDIF(ABU9,ABU13, "d")</f>
        <v>9060</v>
      </c>
      <c r="ABV15">
        <f ca="1">DATEDIF(ABV9,ABV13, "d")</f>
        <v>6783</v>
      </c>
      <c r="ABW15">
        <f ca="1">DATEDIF(ABW9,ABW13, "d")</f>
        <v>6796</v>
      </c>
      <c r="ABX15">
        <f ca="1">DATEDIF(ABX9,ABX13, "d")</f>
        <v>6956</v>
      </c>
      <c r="ABY15">
        <f ca="1">DATEDIF(ABY9,ABY13, "d")</f>
        <v>7737</v>
      </c>
      <c r="ABZ15">
        <f ca="1">DATEDIF(ABZ9,ABZ13, "d")</f>
        <v>4903</v>
      </c>
      <c r="ACA15">
        <f ca="1">DATEDIF(ACA9,ACA13, "d")</f>
        <v>8409</v>
      </c>
      <c r="ACB15">
        <f ca="1">DATEDIF(ACB9,ACB13, "d")</f>
        <v>4576</v>
      </c>
      <c r="ACC15">
        <f ca="1">DATEDIF(ACC9,ACC13, "d")</f>
        <v>7325</v>
      </c>
      <c r="ACD15">
        <f ca="1">DATEDIF(ACD9,ACD13, "d")</f>
        <v>3224</v>
      </c>
      <c r="ACE15">
        <f ca="1">DATEDIF(ACE9,ACE13, "d")</f>
        <v>9160</v>
      </c>
      <c r="ACF15">
        <f ca="1">DATEDIF(ACF9,ACF13, "d")</f>
        <v>7306</v>
      </c>
      <c r="ACG15">
        <f ca="1">DATEDIF(ACG9,ACG13, "d")</f>
        <v>2673</v>
      </c>
      <c r="ACH15">
        <f ca="1">DATEDIF(ACH9,ACH13, "d")</f>
        <v>8470</v>
      </c>
      <c r="ACI15">
        <f ca="1">DATEDIF(ACI9,ACI13, "d")</f>
        <v>4716</v>
      </c>
      <c r="ACJ15">
        <f ca="1">DATEDIF(ACJ9,ACJ13, "d")</f>
        <v>4916</v>
      </c>
      <c r="ACK15">
        <f ca="1">DATEDIF(ACK9,ACK13, "d")</f>
        <v>6218</v>
      </c>
      <c r="ACL15">
        <f ca="1">DATEDIF(ACL9,ACL13, "d")</f>
        <v>7158</v>
      </c>
      <c r="ACM15">
        <f ca="1">DATEDIF(ACM9,ACM13, "d")</f>
        <v>3963</v>
      </c>
      <c r="ACN15">
        <f ca="1">DATEDIF(ACN9,ACN13, "d")</f>
        <v>7640</v>
      </c>
      <c r="ACO15">
        <f ca="1">DATEDIF(ACO9,ACO13, "d")</f>
        <v>2535</v>
      </c>
      <c r="ACP15">
        <f ca="1">DATEDIF(ACP9,ACP13, "d")</f>
        <v>4109</v>
      </c>
      <c r="ACQ15">
        <f ca="1">DATEDIF(ACQ9,ACQ13, "d")</f>
        <v>9371</v>
      </c>
      <c r="ACR15">
        <f ca="1">DATEDIF(ACR9,ACR13, "d")</f>
        <v>2382</v>
      </c>
      <c r="ACS15">
        <f ca="1">DATEDIF(ACS9,ACS13, "d")</f>
        <v>2474</v>
      </c>
      <c r="ACT15">
        <f ca="1">DATEDIF(ACT9,ACT13, "d")</f>
        <v>3902</v>
      </c>
      <c r="ACU15">
        <f ca="1">DATEDIF(ACU9,ACU13, "d")</f>
        <v>9506</v>
      </c>
      <c r="ACV15">
        <f ca="1">DATEDIF(ACV9,ACV13, "d")</f>
        <v>9059</v>
      </c>
      <c r="ACW15">
        <f ca="1">DATEDIF(ACW9,ACW13, "d")</f>
        <v>6011</v>
      </c>
      <c r="ACX15">
        <f ca="1">DATEDIF(ACX9,ACX13, "d")</f>
        <v>3191</v>
      </c>
      <c r="ACY15">
        <f ca="1">DATEDIF(ACY9,ACY13, "d")</f>
        <v>5118</v>
      </c>
      <c r="ACZ15">
        <f ca="1">DATEDIF(ACZ9,ACZ13, "d")</f>
        <v>8110</v>
      </c>
      <c r="ADA15">
        <f ca="1">DATEDIF(ADA9,ADA13, "d")</f>
        <v>4424</v>
      </c>
      <c r="ADB15">
        <f ca="1">DATEDIF(ADB9,ADB13, "d")</f>
        <v>3556</v>
      </c>
      <c r="ADC15">
        <f ca="1">DATEDIF(ADC9,ADC13, "d")</f>
        <v>7922</v>
      </c>
      <c r="ADD15">
        <f ca="1">DATEDIF(ADD9,ADD13, "d")</f>
        <v>8868</v>
      </c>
      <c r="ADE15">
        <f ca="1">DATEDIF(ADE9,ADE13, "d")</f>
        <v>7949</v>
      </c>
      <c r="ADF15">
        <f ca="1">DATEDIF(ADF9,ADF13, "d")</f>
        <v>2741</v>
      </c>
      <c r="ADG15">
        <f ca="1">DATEDIF(ADG9,ADG13, "d")</f>
        <v>4822</v>
      </c>
      <c r="ADH15">
        <f ca="1">DATEDIF(ADH9,ADH13, "d")</f>
        <v>5789</v>
      </c>
      <c r="ADI15">
        <f ca="1">DATEDIF(ADI9,ADI13, "d")</f>
        <v>8229</v>
      </c>
      <c r="ADJ15">
        <f ca="1">DATEDIF(ADJ9,ADJ13, "d")</f>
        <v>9231</v>
      </c>
      <c r="ADK15">
        <f ca="1">DATEDIF(ADK9,ADK13, "d")</f>
        <v>5788</v>
      </c>
      <c r="ADL15">
        <f ca="1">DATEDIF(ADL9,ADL13, "d")</f>
        <v>9039</v>
      </c>
      <c r="ADM15">
        <f ca="1">DATEDIF(ADM9,ADM13, "d")</f>
        <v>9220</v>
      </c>
      <c r="ADN15">
        <f ca="1">DATEDIF(ADN9,ADN13, "d")</f>
        <v>6032</v>
      </c>
      <c r="ADO15">
        <f ca="1">DATEDIF(ADO9,ADO13, "d")</f>
        <v>4551</v>
      </c>
      <c r="ADP15">
        <f ca="1">DATEDIF(ADP9,ADP13, "d")</f>
        <v>8592</v>
      </c>
      <c r="ADQ15">
        <f ca="1">DATEDIF(ADQ9,ADQ13, "d")</f>
        <v>3461</v>
      </c>
      <c r="ADR15">
        <f ca="1">DATEDIF(ADR9,ADR13, "d")</f>
        <v>3326</v>
      </c>
      <c r="ADS15">
        <f ca="1">DATEDIF(ADS9,ADS13, "d")</f>
        <v>8229</v>
      </c>
      <c r="ADT15">
        <f ca="1">DATEDIF(ADT9,ADT13, "d")</f>
        <v>3883</v>
      </c>
      <c r="ADU15">
        <f ca="1">DATEDIF(ADU9,ADU13, "d")</f>
        <v>3572</v>
      </c>
      <c r="ADV15">
        <f ca="1">DATEDIF(ADV9,ADV13, "d")</f>
        <v>6565</v>
      </c>
      <c r="ADW15">
        <f ca="1">DATEDIF(ADW9,ADW13, "d")</f>
        <v>9048</v>
      </c>
      <c r="ADX15">
        <f ca="1">DATEDIF(ADX9,ADX13, "d")</f>
        <v>2927</v>
      </c>
      <c r="ADY15">
        <f ca="1">DATEDIF(ADY9,ADY13, "d")</f>
        <v>2322</v>
      </c>
      <c r="ADZ15">
        <f ca="1">DATEDIF(ADZ9,ADZ13, "d")</f>
        <v>8644</v>
      </c>
      <c r="AEA15">
        <f ca="1">DATEDIF(AEA9,AEA13, "d")</f>
        <v>6818</v>
      </c>
      <c r="AEB15">
        <f ca="1">DATEDIF(AEB9,AEB13, "d")</f>
        <v>7292</v>
      </c>
      <c r="AEC15">
        <f ca="1">DATEDIF(AEC9,AEC13, "d")</f>
        <v>7628</v>
      </c>
      <c r="AED15">
        <f ca="1">DATEDIF(AED9,AED13, "d")</f>
        <v>5647</v>
      </c>
      <c r="AEE15">
        <f ca="1">DATEDIF(AEE9,AEE13, "d")</f>
        <v>4192</v>
      </c>
      <c r="AEF15">
        <f ca="1">DATEDIF(AEF9,AEF13, "d")</f>
        <v>2401</v>
      </c>
      <c r="AEG15">
        <f ca="1">DATEDIF(AEG9,AEG13, "d")</f>
        <v>7033</v>
      </c>
      <c r="AEH15">
        <f ca="1">DATEDIF(AEH9,AEH13, "d")</f>
        <v>7658</v>
      </c>
      <c r="AEI15">
        <f ca="1">DATEDIF(AEI9,AEI13, "d")</f>
        <v>6214</v>
      </c>
      <c r="AEJ15">
        <f ca="1">DATEDIF(AEJ9,AEJ13, "d")</f>
        <v>7981</v>
      </c>
      <c r="AEK15">
        <f ca="1">DATEDIF(AEK9,AEK13, "d")</f>
        <v>6649</v>
      </c>
      <c r="AEL15">
        <f ca="1">DATEDIF(AEL9,AEL13, "d")</f>
        <v>5949</v>
      </c>
      <c r="AEM15">
        <f ca="1">DATEDIF(AEM9,AEM13, "d")</f>
        <v>4105</v>
      </c>
      <c r="AEN15">
        <f ca="1">DATEDIF(AEN9,AEN13, "d")</f>
        <v>8351</v>
      </c>
      <c r="AEO15">
        <f ca="1">DATEDIF(AEO9,AEO13, "d")</f>
        <v>7615</v>
      </c>
      <c r="AEP15">
        <f ca="1">DATEDIF(AEP9,AEP13, "d")</f>
        <v>2464</v>
      </c>
      <c r="AEQ15">
        <f ca="1">DATEDIF(AEQ9,AEQ13, "d")</f>
        <v>8609</v>
      </c>
      <c r="AER15">
        <f ca="1">DATEDIF(AER9,AER13, "d")</f>
        <v>4515</v>
      </c>
      <c r="AES15">
        <f ca="1">DATEDIF(AES9,AES13, "d")</f>
        <v>4582</v>
      </c>
      <c r="AET15">
        <f ca="1">DATEDIF(AET9,AET13, "d")</f>
        <v>4120</v>
      </c>
      <c r="AEU15">
        <f ca="1">DATEDIF(AEU9,AEU13, "d")</f>
        <v>5896</v>
      </c>
      <c r="AEV15">
        <f ca="1">DATEDIF(AEV9,AEV13, "d")</f>
        <v>5262</v>
      </c>
      <c r="AEW15">
        <f ca="1">DATEDIF(AEW9,AEW13, "d")</f>
        <v>8952</v>
      </c>
      <c r="AEX15">
        <f ca="1">DATEDIF(AEX9,AEX13, "d")</f>
        <v>5126</v>
      </c>
      <c r="AEY15">
        <f ca="1">DATEDIF(AEY9,AEY13, "d")</f>
        <v>4787</v>
      </c>
      <c r="AEZ15">
        <f ca="1">DATEDIF(AEZ9,AEZ13, "d")</f>
        <v>2756</v>
      </c>
      <c r="AFA15">
        <f ca="1">DATEDIF(AFA9,AFA13, "d")</f>
        <v>4848</v>
      </c>
      <c r="AFB15">
        <f ca="1">DATEDIF(AFB9,AFB13, "d")</f>
        <v>7202</v>
      </c>
      <c r="AFC15">
        <f ca="1">DATEDIF(AFC9,AFC13, "d")</f>
        <v>6626</v>
      </c>
      <c r="AFD15">
        <f ca="1">DATEDIF(AFD9,AFD13, "d")</f>
        <v>6275</v>
      </c>
      <c r="AFE15">
        <f ca="1">DATEDIF(AFE9,AFE13, "d")</f>
        <v>8406</v>
      </c>
      <c r="AFF15">
        <f ca="1">DATEDIF(AFF9,AFF13, "d")</f>
        <v>3123</v>
      </c>
      <c r="AFG15">
        <f ca="1">DATEDIF(AFG9,AFG13, "d")</f>
        <v>4825</v>
      </c>
      <c r="AFH15">
        <f ca="1">DATEDIF(AFH9,AFH13, "d")</f>
        <v>3146</v>
      </c>
      <c r="AFI15">
        <f ca="1">DATEDIF(AFI9,AFI13, "d")</f>
        <v>9183</v>
      </c>
      <c r="AFJ15">
        <f ca="1">DATEDIF(AFJ9,AFJ13, "d")</f>
        <v>5765</v>
      </c>
      <c r="AFK15">
        <f ca="1">DATEDIF(AFK9,AFK13, "d")</f>
        <v>7167</v>
      </c>
      <c r="AFL15">
        <f ca="1">DATEDIF(AFL9,AFL13, "d")</f>
        <v>4710</v>
      </c>
      <c r="AFM15">
        <f ca="1">DATEDIF(AFM9,AFM13, "d")</f>
        <v>4682</v>
      </c>
      <c r="AFN15">
        <f ca="1">DATEDIF(AFN9,AFN13, "d")</f>
        <v>4547</v>
      </c>
      <c r="AFO15">
        <f ca="1">DATEDIF(AFO9,AFO13, "d")</f>
        <v>3508</v>
      </c>
      <c r="AFP15">
        <f ca="1">DATEDIF(AFP9,AFP13, "d")</f>
        <v>5314</v>
      </c>
      <c r="AFQ15">
        <f ca="1">DATEDIF(AFQ9,AFQ13, "d")</f>
        <v>4746</v>
      </c>
      <c r="AFR15">
        <f ca="1">DATEDIF(AFR9,AFR13, "d")</f>
        <v>8994</v>
      </c>
      <c r="AFS15">
        <f ca="1">DATEDIF(AFS9,AFS13, "d")</f>
        <v>8754</v>
      </c>
      <c r="AFT15">
        <f ca="1">DATEDIF(AFT9,AFT13, "d")</f>
        <v>8327</v>
      </c>
      <c r="AFU15">
        <f ca="1">DATEDIF(AFU9,AFU13, "d")</f>
        <v>9451</v>
      </c>
      <c r="AFV15">
        <f ca="1">DATEDIF(AFV9,AFV13, "d")</f>
        <v>3507</v>
      </c>
      <c r="AFW15">
        <f ca="1">DATEDIF(AFW9,AFW13, "d")</f>
        <v>5135</v>
      </c>
      <c r="AFX15">
        <f ca="1">DATEDIF(AFX9,AFX13, "d")</f>
        <v>7700</v>
      </c>
      <c r="AFY15">
        <f ca="1">DATEDIF(AFY9,AFY13, "d")</f>
        <v>9051</v>
      </c>
      <c r="AFZ15">
        <f ca="1">DATEDIF(AFZ9,AFZ13, "d")</f>
        <v>6451</v>
      </c>
      <c r="AGA15">
        <f ca="1">DATEDIF(AGA9,AGA13, "d")</f>
        <v>5350</v>
      </c>
      <c r="AGB15">
        <f ca="1">DATEDIF(AGB9,AGB13, "d")</f>
        <v>4320</v>
      </c>
      <c r="AGC15">
        <f ca="1">DATEDIF(AGC9,AGC13, "d")</f>
        <v>2774</v>
      </c>
      <c r="AGD15">
        <f ca="1">DATEDIF(AGD9,AGD13, "d")</f>
        <v>6376</v>
      </c>
      <c r="AGE15">
        <f ca="1">DATEDIF(AGE9,AGE13, "d")</f>
        <v>6789</v>
      </c>
      <c r="AGF15">
        <f ca="1">DATEDIF(AGF9,AGF13, "d")</f>
        <v>2492</v>
      </c>
      <c r="AGG15">
        <f ca="1">DATEDIF(AGG9,AGG13, "d")</f>
        <v>7456</v>
      </c>
      <c r="AGH15">
        <f ca="1">DATEDIF(AGH9,AGH13, "d")</f>
        <v>3158</v>
      </c>
      <c r="AGI15">
        <f ca="1">DATEDIF(AGI9,AGI13, "d")</f>
        <v>8364</v>
      </c>
      <c r="AGJ15">
        <f ca="1">DATEDIF(AGJ9,AGJ13, "d")</f>
        <v>8548</v>
      </c>
      <c r="AGK15">
        <f ca="1">DATEDIF(AGK9,AGK13, "d")</f>
        <v>4170</v>
      </c>
      <c r="AGL15">
        <f ca="1">DATEDIF(AGL9,AGL13, "d")</f>
        <v>5457</v>
      </c>
      <c r="AGM15">
        <f ca="1">DATEDIF(AGM9,AGM13, "d")</f>
        <v>5313</v>
      </c>
      <c r="AGN15">
        <f ca="1">DATEDIF(AGN9,AGN13, "d")</f>
        <v>4145</v>
      </c>
      <c r="AGO15">
        <f ca="1">DATEDIF(AGO9,AGO13, "d")</f>
        <v>2556</v>
      </c>
      <c r="AGP15">
        <f ca="1">DATEDIF(AGP9,AGP13, "d")</f>
        <v>3978</v>
      </c>
      <c r="AGQ15">
        <f ca="1">DATEDIF(AGQ9,AGQ13, "d")</f>
        <v>9077</v>
      </c>
      <c r="AGR15">
        <f ca="1">DATEDIF(AGR9,AGR13, "d")</f>
        <v>5045</v>
      </c>
      <c r="AGS15">
        <f ca="1">DATEDIF(AGS9,AGS13, "d")</f>
        <v>6769</v>
      </c>
      <c r="AGT15">
        <f ca="1">DATEDIF(AGT9,AGT13, "d")</f>
        <v>46100</v>
      </c>
      <c r="AGU15">
        <f ca="1">DATEDIF(AGU9,AGU13, "d")</f>
        <v>46100</v>
      </c>
      <c r="AGV15">
        <f ca="1">DATEDIF(AGV9,AGV13, "d")</f>
        <v>46100</v>
      </c>
      <c r="AGW15">
        <f ca="1">DATEDIF(AGW9,AGW13, "d")</f>
        <v>46100</v>
      </c>
      <c r="AGX15">
        <f ca="1">DATEDIF(AGX9,AGX13, "d")</f>
        <v>46100</v>
      </c>
      <c r="AGY15">
        <f ca="1">DATEDIF(AGY9,AGY13, "d")</f>
        <v>46100</v>
      </c>
      <c r="AGZ15">
        <f ca="1">DATEDIF(AGZ9,AGZ13, "d")</f>
        <v>46100</v>
      </c>
      <c r="AHA15">
        <f ca="1">DATEDIF(AHA9,AHA13, "d")</f>
        <v>46100</v>
      </c>
    </row>
    <row r="16" spans="1:885" x14ac:dyDescent="0.25">
      <c r="A16" s="1" t="s">
        <v>99</v>
      </c>
      <c r="B16">
        <f ca="1">NETWORKDAYS(B9, B13)</f>
        <v>6134</v>
      </c>
      <c r="C16">
        <f ca="1">NETWORKDAYS(C9, C13)</f>
        <v>4527</v>
      </c>
      <c r="D16">
        <f ca="1">NETWORKDAYS(D9, D13)</f>
        <v>2266</v>
      </c>
      <c r="E16">
        <f ca="1">NETWORKDAYS(E9, E13)</f>
        <v>3039</v>
      </c>
      <c r="F16">
        <f ca="1">NETWORKDAYS(F9, F13)</f>
        <v>4094</v>
      </c>
      <c r="G16">
        <f ca="1">NETWORKDAYS(G9, G13)</f>
        <v>3051</v>
      </c>
      <c r="H16">
        <f ca="1">NETWORKDAYS(H9, H13)</f>
        <v>2339</v>
      </c>
      <c r="I16">
        <f ca="1">NETWORKDAYS(I9, I13)</f>
        <v>4202</v>
      </c>
      <c r="J16">
        <f ca="1">NETWORKDAYS(J9, J13)</f>
        <v>6769</v>
      </c>
      <c r="K16">
        <f ca="1">NETWORKDAYS(K9, K13)</f>
        <v>5205</v>
      </c>
      <c r="L16">
        <f ca="1">NETWORKDAYS(L9, L13)</f>
        <v>5759</v>
      </c>
      <c r="M16">
        <f ca="1">NETWORKDAYS(M9, M13)</f>
        <v>3770</v>
      </c>
      <c r="N16">
        <f ca="1">NETWORKDAYS(N9, N13)</f>
        <v>6388</v>
      </c>
      <c r="O16">
        <f ca="1">NETWORKDAYS(O9, O13)</f>
        <v>1652</v>
      </c>
      <c r="P16">
        <f ca="1">NETWORKDAYS(P9, P13)</f>
        <v>3382</v>
      </c>
      <c r="Q16">
        <f ca="1">NETWORKDAYS(Q9, Q13)</f>
        <v>3564</v>
      </c>
      <c r="R16">
        <f ca="1">NETWORKDAYS(R9, R13)</f>
        <v>6427</v>
      </c>
      <c r="S16">
        <f ca="1">NETWORKDAYS(S9, S13)</f>
        <v>4012</v>
      </c>
      <c r="T16">
        <f ca="1">NETWORKDAYS(T9, T13)</f>
        <v>2075</v>
      </c>
      <c r="U16">
        <f ca="1">NETWORKDAYS(U9, U13)</f>
        <v>6645</v>
      </c>
      <c r="V16">
        <f ca="1">NETWORKDAYS(V9, V13)</f>
        <v>3027</v>
      </c>
      <c r="W16">
        <f ca="1">NETWORKDAYS(W9, W13)</f>
        <v>3354</v>
      </c>
      <c r="X16">
        <f ca="1">NETWORKDAYS(X9, X13)</f>
        <v>4015</v>
      </c>
      <c r="Y16">
        <f ca="1">NETWORKDAYS(Y9, Y13)</f>
        <v>4034</v>
      </c>
      <c r="Z16">
        <f ca="1">NETWORKDAYS(Z9, Z13)</f>
        <v>6517</v>
      </c>
      <c r="AA16">
        <f ca="1">NETWORKDAYS(AA9, AA13)</f>
        <v>6000</v>
      </c>
      <c r="AB16">
        <f ca="1">NETWORKDAYS(AB9, AB13)</f>
        <v>2204</v>
      </c>
      <c r="AC16">
        <f ca="1">NETWORKDAYS(AC9, AC13)</f>
        <v>3332</v>
      </c>
      <c r="AD16">
        <f ca="1">NETWORKDAYS(AD9, AD13)</f>
        <v>6544</v>
      </c>
      <c r="AE16">
        <f ca="1">NETWORKDAYS(AE9, AE13)</f>
        <v>5733</v>
      </c>
      <c r="AF16">
        <f ca="1">NETWORKDAYS(AF9, AF13)</f>
        <v>3607</v>
      </c>
      <c r="AG16">
        <f ca="1">NETWORKDAYS(AG9, AG13)</f>
        <v>2181</v>
      </c>
      <c r="AH16">
        <f ca="1">NETWORKDAYS(AH9, AH13)</f>
        <v>1739</v>
      </c>
      <c r="AI16">
        <f ca="1">NETWORKDAYS(AI9, AI13)</f>
        <v>3275</v>
      </c>
      <c r="AJ16">
        <f ca="1">NETWORKDAYS(AJ9, AJ13)</f>
        <v>2146</v>
      </c>
      <c r="AK16">
        <f ca="1">NETWORKDAYS(AK9, AK13)</f>
        <v>5449</v>
      </c>
      <c r="AL16">
        <f ca="1">NETWORKDAYS(AL9, AL13)</f>
        <v>3124</v>
      </c>
      <c r="AM16">
        <f ca="1">NETWORKDAYS(AM9, AM13)</f>
        <v>6704</v>
      </c>
      <c r="AN16">
        <f ca="1">NETWORKDAYS(AN9, AN13)</f>
        <v>6811</v>
      </c>
      <c r="AO16">
        <f ca="1">NETWORKDAYS(AO9, AO13)</f>
        <v>2566</v>
      </c>
      <c r="AP16">
        <f ca="1">NETWORKDAYS(AP9, AP13)</f>
        <v>5512</v>
      </c>
      <c r="AQ16">
        <f ca="1">NETWORKDAYS(AQ9, AQ13)</f>
        <v>2631</v>
      </c>
      <c r="AR16">
        <f ca="1">NETWORKDAYS(AR9, AR13)</f>
        <v>5889</v>
      </c>
      <c r="AS16">
        <f ca="1">NETWORKDAYS(AS9, AS13)</f>
        <v>4376</v>
      </c>
      <c r="AT16">
        <f ca="1">NETWORKDAYS(AT9, AT13)</f>
        <v>6744</v>
      </c>
      <c r="AU16">
        <f ca="1">NETWORKDAYS(AU9, AU13)</f>
        <v>2619</v>
      </c>
      <c r="AV16">
        <f ca="1">NETWORKDAYS(AV9, AV13)</f>
        <v>3839</v>
      </c>
      <c r="AW16">
        <f ca="1">NETWORKDAYS(AW9, AW13)</f>
        <v>3544</v>
      </c>
      <c r="AX16">
        <f ca="1">NETWORKDAYS(AX9, AX13)</f>
        <v>5454</v>
      </c>
      <c r="AY16">
        <f ca="1">NETWORKDAYS(AY9, AY13)</f>
        <v>1870</v>
      </c>
      <c r="AZ16">
        <f ca="1">NETWORKDAYS(AZ9, AZ13)</f>
        <v>5722</v>
      </c>
      <c r="BA16">
        <f ca="1">NETWORKDAYS(BA9, BA13)</f>
        <v>3824</v>
      </c>
      <c r="BB16">
        <f ca="1">NETWORKDAYS(BB9, BB13)</f>
        <v>2166</v>
      </c>
      <c r="BC16">
        <f ca="1">NETWORKDAYS(BC9, BC13)</f>
        <v>2395</v>
      </c>
      <c r="BD16">
        <f ca="1">NETWORKDAYS(BD9, BD13)</f>
        <v>6563</v>
      </c>
      <c r="BE16">
        <f ca="1">NETWORKDAYS(BE9, BE13)</f>
        <v>5727</v>
      </c>
      <c r="BF16">
        <f ca="1">NETWORKDAYS(BF9, BF13)</f>
        <v>2683</v>
      </c>
      <c r="BG16">
        <f ca="1">NETWORKDAYS(BG9, BG13)</f>
        <v>5324</v>
      </c>
      <c r="BH16">
        <f ca="1">NETWORKDAYS(BH9, BH13)</f>
        <v>6105</v>
      </c>
      <c r="BI16">
        <f ca="1">NETWORKDAYS(BI9, BI13)</f>
        <v>2527</v>
      </c>
      <c r="BJ16">
        <f ca="1">NETWORKDAYS(BJ9, BJ13)</f>
        <v>4315</v>
      </c>
      <c r="BK16">
        <f ca="1">NETWORKDAYS(BK9, BK13)</f>
        <v>6782</v>
      </c>
      <c r="BL16">
        <f ca="1">NETWORKDAYS(BL9, BL13)</f>
        <v>2799</v>
      </c>
      <c r="BM16">
        <f ca="1">NETWORKDAYS(BM9, BM13)</f>
        <v>6286</v>
      </c>
      <c r="BN16">
        <f ca="1">NETWORKDAYS(BN9, BN13)</f>
        <v>4669</v>
      </c>
      <c r="BO16">
        <f ca="1">NETWORKDAYS(BO9, BO13)</f>
        <v>3716</v>
      </c>
      <c r="BP16">
        <f ca="1">NETWORKDAYS(BP9, BP13)</f>
        <v>4778</v>
      </c>
      <c r="BQ16">
        <f ca="1">NETWORKDAYS(BQ9, BQ13)</f>
        <v>5499</v>
      </c>
      <c r="BR16">
        <f ca="1">NETWORKDAYS(BR9, BR13)</f>
        <v>5218</v>
      </c>
      <c r="BS16">
        <f ca="1">NETWORKDAYS(BS9, BS13)</f>
        <v>5692</v>
      </c>
      <c r="BT16">
        <f ca="1">NETWORKDAYS(BT9, BT13)</f>
        <v>4598</v>
      </c>
      <c r="BU16">
        <f ca="1">NETWORKDAYS(BU9, BU13)</f>
        <v>6408</v>
      </c>
      <c r="BV16">
        <f ca="1">NETWORKDAYS(BV9, BV13)</f>
        <v>2439</v>
      </c>
      <c r="BW16">
        <f ca="1">NETWORKDAYS(BW9, BW13)</f>
        <v>3458</v>
      </c>
      <c r="BX16">
        <f ca="1">NETWORKDAYS(BX9, BX13)</f>
        <v>4401</v>
      </c>
      <c r="BY16">
        <f ca="1">NETWORKDAYS(BY9, BY13)</f>
        <v>4222</v>
      </c>
      <c r="BZ16">
        <f ca="1">NETWORKDAYS(BZ9, BZ13)</f>
        <v>2636</v>
      </c>
      <c r="CA16">
        <f ca="1">NETWORKDAYS(CA9, CA13)</f>
        <v>2659</v>
      </c>
      <c r="CB16">
        <f ca="1">NETWORKDAYS(CB9, CB13)</f>
        <v>2939</v>
      </c>
      <c r="CC16">
        <f ca="1">NETWORKDAYS(CC9, CC13)</f>
        <v>5309</v>
      </c>
      <c r="CD16">
        <f ca="1">NETWORKDAYS(CD9, CD13)</f>
        <v>1684</v>
      </c>
      <c r="CE16">
        <f ca="1">NETWORKDAYS(CE9, CE13)</f>
        <v>3789</v>
      </c>
      <c r="CF16">
        <f ca="1">NETWORKDAYS(CF9, CF13)</f>
        <v>4150</v>
      </c>
      <c r="CG16">
        <f ca="1">NETWORKDAYS(CG9, CG13)</f>
        <v>5857</v>
      </c>
      <c r="CH16">
        <f ca="1">NETWORKDAYS(CH9, CH13)</f>
        <v>4367</v>
      </c>
      <c r="CI16">
        <f ca="1">NETWORKDAYS(CI9, CI13)</f>
        <v>1639</v>
      </c>
      <c r="CJ16">
        <f ca="1">NETWORKDAYS(CJ9, CJ13)</f>
        <v>6592</v>
      </c>
      <c r="CK16">
        <f ca="1">NETWORKDAYS(CK9, CK13)</f>
        <v>6839</v>
      </c>
      <c r="CL16">
        <f ca="1">NETWORKDAYS(CL9, CL13)</f>
        <v>6795</v>
      </c>
      <c r="CM16">
        <f ca="1">NETWORKDAYS(CM9, CM13)</f>
        <v>5566</v>
      </c>
      <c r="CN16">
        <f ca="1">NETWORKDAYS(CN9, CN13)</f>
        <v>4115</v>
      </c>
      <c r="CO16">
        <f ca="1">NETWORKDAYS(CO9, CO13)</f>
        <v>6679</v>
      </c>
      <c r="CP16">
        <f ca="1">NETWORKDAYS(CP9, CP13)</f>
        <v>2149</v>
      </c>
      <c r="CQ16">
        <f ca="1">NETWORKDAYS(CQ9, CQ13)</f>
        <v>6095</v>
      </c>
      <c r="CR16">
        <f ca="1">NETWORKDAYS(CR9, CR13)</f>
        <v>2429</v>
      </c>
      <c r="CS16">
        <f ca="1">NETWORKDAYS(CS9, CS13)</f>
        <v>6237</v>
      </c>
      <c r="CT16">
        <f ca="1">NETWORKDAYS(CT9, CT13)</f>
        <v>4925</v>
      </c>
      <c r="CU16">
        <f ca="1">NETWORKDAYS(CU9, CU13)</f>
        <v>3898</v>
      </c>
      <c r="CV16">
        <f ca="1">NETWORKDAYS(CV9, CV13)</f>
        <v>1854</v>
      </c>
      <c r="CW16">
        <f ca="1">NETWORKDAYS(CW9, CW13)</f>
        <v>1749</v>
      </c>
      <c r="CX16">
        <f ca="1">NETWORKDAYS(CX9, CX13)</f>
        <v>5959</v>
      </c>
      <c r="CY16">
        <f ca="1">NETWORKDAYS(CY9, CY13)</f>
        <v>5423</v>
      </c>
      <c r="CZ16">
        <f ca="1">NETWORKDAYS(CZ9, CZ13)</f>
        <v>3799</v>
      </c>
      <c r="DA16">
        <f ca="1">NETWORKDAYS(DA9, DA13)</f>
        <v>5927</v>
      </c>
      <c r="DB16">
        <f ca="1">NETWORKDAYS(DB9, DB13)</f>
        <v>5701</v>
      </c>
      <c r="DC16">
        <f ca="1">NETWORKDAYS(DC9, DC13)</f>
        <v>2370</v>
      </c>
      <c r="DD16">
        <f ca="1">NETWORKDAYS(DD9, DD13)</f>
        <v>5018</v>
      </c>
      <c r="DE16">
        <f ca="1">NETWORKDAYS(DE9, DE13)</f>
        <v>5445</v>
      </c>
      <c r="DF16">
        <f ca="1">NETWORKDAYS(DF9, DF13)</f>
        <v>5629</v>
      </c>
      <c r="DG16">
        <f ca="1">NETWORKDAYS(DG9, DG13)</f>
        <v>6159</v>
      </c>
      <c r="DH16">
        <f ca="1">NETWORKDAYS(DH9, DH13)</f>
        <v>4489</v>
      </c>
      <c r="DI16">
        <f ca="1">NETWORKDAYS(DI9, DI13)</f>
        <v>6585</v>
      </c>
      <c r="DJ16">
        <f ca="1">NETWORKDAYS(DJ9, DJ13)</f>
        <v>2331</v>
      </c>
      <c r="DK16">
        <f ca="1">NETWORKDAYS(DK9, DK13)</f>
        <v>4272</v>
      </c>
      <c r="DL16">
        <f ca="1">NETWORKDAYS(DL9, DL13)</f>
        <v>6149</v>
      </c>
      <c r="DM16">
        <f ca="1">NETWORKDAYS(DM9, DM13)</f>
        <v>6668</v>
      </c>
      <c r="DN16">
        <f ca="1">NETWORKDAYS(DN9, DN13)</f>
        <v>4379</v>
      </c>
      <c r="DO16">
        <f ca="1">NETWORKDAYS(DO9, DO13)</f>
        <v>3815</v>
      </c>
      <c r="DP16">
        <f ca="1">NETWORKDAYS(DP9, DP13)</f>
        <v>5309</v>
      </c>
      <c r="DQ16">
        <f ca="1">NETWORKDAYS(DQ9, DQ13)</f>
        <v>6735</v>
      </c>
      <c r="DR16">
        <f ca="1">NETWORKDAYS(DR9, DR13)</f>
        <v>3143</v>
      </c>
      <c r="DS16">
        <f ca="1">NETWORKDAYS(DS9, DS13)</f>
        <v>3154</v>
      </c>
      <c r="DT16">
        <f ca="1">NETWORKDAYS(DT9, DT13)</f>
        <v>1834</v>
      </c>
      <c r="DU16">
        <f ca="1">NETWORKDAYS(DU9, DU13)</f>
        <v>6453</v>
      </c>
      <c r="DV16">
        <f ca="1">NETWORKDAYS(DV9, DV13)</f>
        <v>6346</v>
      </c>
      <c r="DW16">
        <f ca="1">NETWORKDAYS(DW9, DW13)</f>
        <v>6108</v>
      </c>
      <c r="DX16">
        <f ca="1">NETWORKDAYS(DX9, DX13)</f>
        <v>3947</v>
      </c>
      <c r="DY16">
        <f ca="1">NETWORKDAYS(DY9, DY13)</f>
        <v>3979</v>
      </c>
      <c r="DZ16">
        <f ca="1">NETWORKDAYS(DZ9, DZ13)</f>
        <v>4440</v>
      </c>
      <c r="EA16">
        <f ca="1">NETWORKDAYS(EA9, EA13)</f>
        <v>3084</v>
      </c>
      <c r="EB16">
        <f ca="1">NETWORKDAYS(EB9, EB13)</f>
        <v>2743</v>
      </c>
      <c r="EC16">
        <f ca="1">NETWORKDAYS(EC9, EC13)</f>
        <v>4732</v>
      </c>
      <c r="ED16">
        <f ca="1">NETWORKDAYS(ED9, ED13)</f>
        <v>6319</v>
      </c>
      <c r="EE16">
        <f ca="1">NETWORKDAYS(EE9, EE13)</f>
        <v>2215</v>
      </c>
      <c r="EF16">
        <f ca="1">NETWORKDAYS(EF9, EF13)</f>
        <v>2011</v>
      </c>
      <c r="EG16">
        <f ca="1">NETWORKDAYS(EG9, EG13)</f>
        <v>3626</v>
      </c>
      <c r="EH16">
        <f ca="1">NETWORKDAYS(EH9, EH13)</f>
        <v>5014</v>
      </c>
      <c r="EI16">
        <f ca="1">NETWORKDAYS(EI9, EI13)</f>
        <v>2529</v>
      </c>
      <c r="EJ16">
        <f ca="1">NETWORKDAYS(EJ9, EJ13)</f>
        <v>6019</v>
      </c>
      <c r="EK16">
        <f ca="1">NETWORKDAYS(EK9, EK13)</f>
        <v>5600</v>
      </c>
      <c r="EL16">
        <f ca="1">NETWORKDAYS(EL9, EL13)</f>
        <v>6099</v>
      </c>
      <c r="EM16">
        <f ca="1">NETWORKDAYS(EM9, EM13)</f>
        <v>2290</v>
      </c>
      <c r="EN16">
        <f ca="1">NETWORKDAYS(EN9, EN13)</f>
        <v>1749</v>
      </c>
      <c r="EO16">
        <f ca="1">NETWORKDAYS(EO9, EO13)</f>
        <v>4759</v>
      </c>
      <c r="EP16">
        <f ca="1">NETWORKDAYS(EP9, EP13)</f>
        <v>1645</v>
      </c>
      <c r="EQ16">
        <f ca="1">NETWORKDAYS(EQ9, EQ13)</f>
        <v>3383</v>
      </c>
      <c r="ER16">
        <f ca="1">NETWORKDAYS(ER9, ER13)</f>
        <v>5025</v>
      </c>
      <c r="ES16">
        <f ca="1">NETWORKDAYS(ES9, ES13)</f>
        <v>3687</v>
      </c>
      <c r="ET16">
        <f ca="1">NETWORKDAYS(ET9, ET13)</f>
        <v>5953</v>
      </c>
      <c r="EU16">
        <f ca="1">NETWORKDAYS(EU9, EU13)</f>
        <v>6289</v>
      </c>
      <c r="EV16">
        <f ca="1">NETWORKDAYS(EV9, EV13)</f>
        <v>5471</v>
      </c>
      <c r="EW16">
        <f ca="1">NETWORKDAYS(EW9, EW13)</f>
        <v>4403</v>
      </c>
      <c r="EX16">
        <f ca="1">NETWORKDAYS(EX9, EX13)</f>
        <v>5054</v>
      </c>
      <c r="EY16">
        <f ca="1">NETWORKDAYS(EY9, EY13)</f>
        <v>4383</v>
      </c>
      <c r="EZ16">
        <f ca="1">NETWORKDAYS(EZ9, EZ13)</f>
        <v>3240</v>
      </c>
      <c r="FA16">
        <f ca="1">NETWORKDAYS(FA9, FA13)</f>
        <v>1846</v>
      </c>
      <c r="FB16">
        <f ca="1">NETWORKDAYS(FB9, FB13)</f>
        <v>1725</v>
      </c>
      <c r="FC16">
        <f ca="1">NETWORKDAYS(FC9, FC13)</f>
        <v>2475</v>
      </c>
      <c r="FD16">
        <f ca="1">NETWORKDAYS(FD9, FD13)</f>
        <v>4308</v>
      </c>
      <c r="FE16">
        <f ca="1">NETWORKDAYS(FE9, FE13)</f>
        <v>5974</v>
      </c>
      <c r="FF16">
        <f ca="1">NETWORKDAYS(FF9, FF13)</f>
        <v>4746</v>
      </c>
      <c r="FG16">
        <f ca="1">NETWORKDAYS(FG9, FG13)</f>
        <v>6541</v>
      </c>
      <c r="FH16">
        <f ca="1">NETWORKDAYS(FH9, FH13)</f>
        <v>4139</v>
      </c>
      <c r="FI16">
        <f ca="1">NETWORKDAYS(FI9, FI13)</f>
        <v>3297</v>
      </c>
      <c r="FJ16">
        <f ca="1">NETWORKDAYS(FJ9, FJ13)</f>
        <v>6277</v>
      </c>
      <c r="FK16">
        <f ca="1">NETWORKDAYS(FK9, FK13)</f>
        <v>5504</v>
      </c>
      <c r="FL16">
        <f ca="1">NETWORKDAYS(FL9, FL13)</f>
        <v>3561</v>
      </c>
      <c r="FM16">
        <f ca="1">NETWORKDAYS(FM9, FM13)</f>
        <v>3155</v>
      </c>
      <c r="FN16">
        <f ca="1">NETWORKDAYS(FN9, FN13)</f>
        <v>2336</v>
      </c>
      <c r="FO16">
        <f ca="1">NETWORKDAYS(FO9, FO13)</f>
        <v>5394</v>
      </c>
      <c r="FP16">
        <f ca="1">NETWORKDAYS(FP9, FP13)</f>
        <v>2365</v>
      </c>
      <c r="FQ16">
        <f ca="1">NETWORKDAYS(FQ9, FQ13)</f>
        <v>5093</v>
      </c>
      <c r="FR16">
        <f ca="1">NETWORKDAYS(FR9, FR13)</f>
        <v>2496</v>
      </c>
      <c r="FS16">
        <f ca="1">NETWORKDAYS(FS9, FS13)</f>
        <v>3394</v>
      </c>
      <c r="FT16">
        <f ca="1">NETWORKDAYS(FT9, FT13)</f>
        <v>6439</v>
      </c>
      <c r="FU16">
        <f ca="1">NETWORKDAYS(FU9, FU13)</f>
        <v>4946</v>
      </c>
      <c r="FV16">
        <f ca="1">NETWORKDAYS(FV9, FV13)</f>
        <v>3091</v>
      </c>
      <c r="FW16">
        <f ca="1">NETWORKDAYS(FW9, FW13)</f>
        <v>4051</v>
      </c>
      <c r="FX16">
        <f ca="1">NETWORKDAYS(FX9, FX13)</f>
        <v>6454</v>
      </c>
      <c r="FY16">
        <f ca="1">NETWORKDAYS(FY9, FY13)</f>
        <v>2198</v>
      </c>
      <c r="FZ16">
        <f ca="1">NETWORKDAYS(FZ9, FZ13)</f>
        <v>3444</v>
      </c>
      <c r="GA16">
        <f ca="1">NETWORKDAYS(GA9, GA13)</f>
        <v>2144</v>
      </c>
      <c r="GB16">
        <f ca="1">NETWORKDAYS(GB9, GB13)</f>
        <v>2584</v>
      </c>
      <c r="GC16">
        <f ca="1">NETWORKDAYS(GC9, GC13)</f>
        <v>4599</v>
      </c>
      <c r="GD16">
        <f ca="1">NETWORKDAYS(GD9, GD13)</f>
        <v>4490</v>
      </c>
      <c r="GE16">
        <f ca="1">NETWORKDAYS(GE9, GE13)</f>
        <v>4975</v>
      </c>
      <c r="GF16">
        <f ca="1">NETWORKDAYS(GF9, GF13)</f>
        <v>2879</v>
      </c>
      <c r="GG16">
        <f ca="1">NETWORKDAYS(GG9, GG13)</f>
        <v>3331</v>
      </c>
      <c r="GH16">
        <f ca="1">NETWORKDAYS(GH9, GH13)</f>
        <v>5451</v>
      </c>
      <c r="GI16">
        <f ca="1">NETWORKDAYS(GI9, GI13)</f>
        <v>4594</v>
      </c>
      <c r="GJ16">
        <f ca="1">NETWORKDAYS(GJ9, GJ13)</f>
        <v>4869</v>
      </c>
      <c r="GK16">
        <f ca="1">NETWORKDAYS(GK9, GK13)</f>
        <v>3046</v>
      </c>
      <c r="GL16">
        <f ca="1">NETWORKDAYS(GL9, GL13)</f>
        <v>4511</v>
      </c>
      <c r="GM16">
        <f ca="1">NETWORKDAYS(GM9, GM13)</f>
        <v>3906</v>
      </c>
      <c r="GN16">
        <f ca="1">NETWORKDAYS(GN9, GN13)</f>
        <v>2281</v>
      </c>
      <c r="GO16">
        <f ca="1">NETWORKDAYS(GO9, GO13)</f>
        <v>5486</v>
      </c>
      <c r="GP16">
        <f ca="1">NETWORKDAYS(GP9, GP13)</f>
        <v>5054</v>
      </c>
      <c r="GQ16">
        <f ca="1">NETWORKDAYS(GQ9, GQ13)</f>
        <v>2179</v>
      </c>
      <c r="GR16">
        <f ca="1">NETWORKDAYS(GR9, GR13)</f>
        <v>4819</v>
      </c>
      <c r="GS16">
        <f ca="1">NETWORKDAYS(GS9, GS13)</f>
        <v>4074</v>
      </c>
      <c r="GT16">
        <f ca="1">NETWORKDAYS(GT9, GT13)</f>
        <v>6806</v>
      </c>
      <c r="GU16">
        <f ca="1">NETWORKDAYS(GU9, GU13)</f>
        <v>5151</v>
      </c>
      <c r="GV16">
        <f ca="1">NETWORKDAYS(GV9, GV13)</f>
        <v>5229</v>
      </c>
      <c r="GW16">
        <f ca="1">NETWORKDAYS(GW9, GW13)</f>
        <v>2793</v>
      </c>
      <c r="GX16">
        <f ca="1">NETWORKDAYS(GX9, GX13)</f>
        <v>1635</v>
      </c>
      <c r="GY16">
        <f ca="1">NETWORKDAYS(GY9, GY13)</f>
        <v>3503</v>
      </c>
      <c r="GZ16">
        <f ca="1">NETWORKDAYS(GZ9, GZ13)</f>
        <v>2227</v>
      </c>
      <c r="HA16">
        <f ca="1">NETWORKDAYS(HA9, HA13)</f>
        <v>6302</v>
      </c>
      <c r="HB16">
        <f ca="1">NETWORKDAYS(HB9, HB13)</f>
        <v>3158</v>
      </c>
      <c r="HC16">
        <f ca="1">NETWORKDAYS(HC9, HC13)</f>
        <v>1799</v>
      </c>
      <c r="HD16">
        <f ca="1">NETWORKDAYS(HD9, HD13)</f>
        <v>4839</v>
      </c>
      <c r="HE16">
        <f ca="1">NETWORKDAYS(HE9, HE13)</f>
        <v>3519</v>
      </c>
      <c r="HF16">
        <f ca="1">NETWORKDAYS(HF9, HF13)</f>
        <v>4231</v>
      </c>
      <c r="HG16">
        <f ca="1">NETWORKDAYS(HG9, HG13)</f>
        <v>6553</v>
      </c>
      <c r="HH16">
        <f ca="1">NETWORKDAYS(HH9, HH13)</f>
        <v>3107</v>
      </c>
      <c r="HI16">
        <f ca="1">NETWORKDAYS(HI9, HI13)</f>
        <v>5349</v>
      </c>
      <c r="HJ16">
        <f ca="1">NETWORKDAYS(HJ9, HJ13)</f>
        <v>2037</v>
      </c>
      <c r="HK16">
        <f ca="1">NETWORKDAYS(HK9, HK13)</f>
        <v>5249</v>
      </c>
      <c r="HL16">
        <f ca="1">NETWORKDAYS(HL9, HL13)</f>
        <v>2444</v>
      </c>
      <c r="HM16">
        <f ca="1">NETWORKDAYS(HM9, HM13)</f>
        <v>4404</v>
      </c>
      <c r="HN16">
        <f ca="1">NETWORKDAYS(HN9, HN13)</f>
        <v>4704</v>
      </c>
      <c r="HO16">
        <f ca="1">NETWORKDAYS(HO9, HO13)</f>
        <v>3524</v>
      </c>
      <c r="HP16">
        <f ca="1">NETWORKDAYS(HP9, HP13)</f>
        <v>6019</v>
      </c>
      <c r="HQ16">
        <f ca="1">NETWORKDAYS(HQ9, HQ13)</f>
        <v>6795</v>
      </c>
      <c r="HR16">
        <f ca="1">NETWORKDAYS(HR9, HR13)</f>
        <v>3312</v>
      </c>
      <c r="HS16">
        <f ca="1">NETWORKDAYS(HS9, HS13)</f>
        <v>4588</v>
      </c>
      <c r="HT16">
        <f ca="1">NETWORKDAYS(HT9, HT13)</f>
        <v>6119</v>
      </c>
      <c r="HU16">
        <f ca="1">NETWORKDAYS(HU9, HU13)</f>
        <v>2599</v>
      </c>
      <c r="HV16">
        <f ca="1">NETWORKDAYS(HV9, HV13)</f>
        <v>5389</v>
      </c>
      <c r="HW16">
        <f ca="1">NETWORKDAYS(HW9, HW13)</f>
        <v>5895</v>
      </c>
      <c r="HX16">
        <f ca="1">NETWORKDAYS(HX9, HX13)</f>
        <v>5354</v>
      </c>
      <c r="HY16">
        <f ca="1">NETWORKDAYS(HY9, HY13)</f>
        <v>6304</v>
      </c>
      <c r="HZ16">
        <f ca="1">NETWORKDAYS(HZ9, HZ13)</f>
        <v>3879</v>
      </c>
      <c r="IA16">
        <f ca="1">NETWORKDAYS(IA9, IA13)</f>
        <v>6370</v>
      </c>
      <c r="IB16">
        <f ca="1">NETWORKDAYS(IB9, IB13)</f>
        <v>5654</v>
      </c>
      <c r="IC16">
        <f ca="1">NETWORKDAYS(IC9, IC13)</f>
        <v>6339</v>
      </c>
      <c r="ID16">
        <f ca="1">NETWORKDAYS(ID9, ID13)</f>
        <v>6069</v>
      </c>
      <c r="IE16">
        <f ca="1">NETWORKDAYS(IE9, IE13)</f>
        <v>5299</v>
      </c>
      <c r="IF16">
        <f ca="1">NETWORKDAYS(IF9, IF13)</f>
        <v>5739</v>
      </c>
      <c r="IG16">
        <f ca="1">NETWORKDAYS(IG9, IG13)</f>
        <v>4674</v>
      </c>
      <c r="IH16">
        <f ca="1">NETWORKDAYS(IH9, IH13)</f>
        <v>2434</v>
      </c>
      <c r="II16">
        <f ca="1">NETWORKDAYS(II9, II13)</f>
        <v>2294</v>
      </c>
      <c r="IJ16">
        <f ca="1">NETWORKDAYS(IJ9, IJ13)</f>
        <v>5424</v>
      </c>
      <c r="IK16">
        <f ca="1">NETWORKDAYS(IK9, IK13)</f>
        <v>6615</v>
      </c>
      <c r="IL16">
        <f ca="1">NETWORKDAYS(IL9, IL13)</f>
        <v>2242</v>
      </c>
      <c r="IM16">
        <f ca="1">NETWORKDAYS(IM9, IM13)</f>
        <v>4639</v>
      </c>
      <c r="IN16">
        <f ca="1">NETWORKDAYS(IN9, IN13)</f>
        <v>2699</v>
      </c>
      <c r="IO16">
        <f ca="1">NETWORKDAYS(IO9, IO13)</f>
        <v>1724</v>
      </c>
      <c r="IP16">
        <f ca="1">NETWORKDAYS(IP9, IP13)</f>
        <v>3188</v>
      </c>
      <c r="IQ16">
        <f ca="1">NETWORKDAYS(IQ9, IQ13)</f>
        <v>3459</v>
      </c>
      <c r="IR16">
        <f ca="1">NETWORKDAYS(IR9, IR13)</f>
        <v>5187</v>
      </c>
      <c r="IS16">
        <f ca="1">NETWORKDAYS(IS9, IS13)</f>
        <v>5314</v>
      </c>
      <c r="IT16">
        <f ca="1">NETWORKDAYS(IT9, IT13)</f>
        <v>2127</v>
      </c>
      <c r="IU16">
        <f ca="1">NETWORKDAYS(IU9, IU13)</f>
        <v>5662</v>
      </c>
      <c r="IV16">
        <f ca="1">NETWORKDAYS(IV9, IV13)</f>
        <v>4540</v>
      </c>
      <c r="IW16">
        <f ca="1">NETWORKDAYS(IW9, IW13)</f>
        <v>1911</v>
      </c>
      <c r="IX16">
        <f ca="1">NETWORKDAYS(IX9, IX13)</f>
        <v>4125</v>
      </c>
      <c r="IY16">
        <f ca="1">NETWORKDAYS(IY9, IY13)</f>
        <v>5069</v>
      </c>
      <c r="IZ16">
        <f ca="1">NETWORKDAYS(IZ9, IZ13)</f>
        <v>3934</v>
      </c>
      <c r="JA16">
        <f ca="1">NETWORKDAYS(JA9, JA13)</f>
        <v>5572</v>
      </c>
      <c r="JB16">
        <f ca="1">NETWORKDAYS(JB9, JB13)</f>
        <v>5435</v>
      </c>
      <c r="JC16">
        <f ca="1">NETWORKDAYS(JC9, JC13)</f>
        <v>1801</v>
      </c>
      <c r="JD16">
        <f ca="1">NETWORKDAYS(JD9, JD13)</f>
        <v>2512</v>
      </c>
      <c r="JE16">
        <f ca="1">NETWORKDAYS(JE9, JE13)</f>
        <v>5578</v>
      </c>
      <c r="JF16">
        <f ca="1">NETWORKDAYS(JF9, JF13)</f>
        <v>4114</v>
      </c>
      <c r="JG16">
        <f ca="1">NETWORKDAYS(JG9, JG13)</f>
        <v>6668</v>
      </c>
      <c r="JH16">
        <f ca="1">NETWORKDAYS(JH9, JH13)</f>
        <v>3414</v>
      </c>
      <c r="JI16">
        <f ca="1">NETWORKDAYS(JI9, JI13)</f>
        <v>4734</v>
      </c>
      <c r="JJ16">
        <f ca="1">NETWORKDAYS(JJ9, JJ13)</f>
        <v>3385</v>
      </c>
      <c r="JK16">
        <f ca="1">NETWORKDAYS(JK9, JK13)</f>
        <v>2404</v>
      </c>
      <c r="JL16">
        <f ca="1">NETWORKDAYS(JL9, JL13)</f>
        <v>1758</v>
      </c>
      <c r="JM16">
        <f ca="1">NETWORKDAYS(JM9, JM13)</f>
        <v>2182</v>
      </c>
      <c r="JN16">
        <f ca="1">NETWORKDAYS(JN9, JN13)</f>
        <v>2174</v>
      </c>
      <c r="JO16">
        <f ca="1">NETWORKDAYS(JO9, JO13)</f>
        <v>2619</v>
      </c>
      <c r="JP16">
        <f ca="1">NETWORKDAYS(JP9, JP13)</f>
        <v>3357</v>
      </c>
      <c r="JQ16">
        <f ca="1">NETWORKDAYS(JQ9, JQ13)</f>
        <v>5229</v>
      </c>
      <c r="JR16">
        <f ca="1">NETWORKDAYS(JR9, JR13)</f>
        <v>3904</v>
      </c>
      <c r="JS16">
        <f ca="1">NETWORKDAYS(JS9, JS13)</f>
        <v>4434</v>
      </c>
      <c r="JT16">
        <f ca="1">NETWORKDAYS(JT9, JT13)</f>
        <v>3210</v>
      </c>
      <c r="JU16">
        <f ca="1">NETWORKDAYS(JU9, JU13)</f>
        <v>6579</v>
      </c>
      <c r="JV16">
        <f ca="1">NETWORKDAYS(JV9, JV13)</f>
        <v>4820</v>
      </c>
      <c r="JW16">
        <f ca="1">NETWORKDAYS(JW9, JW13)</f>
        <v>5945</v>
      </c>
      <c r="JX16">
        <f ca="1">NETWORKDAYS(JX9, JX13)</f>
        <v>5064</v>
      </c>
      <c r="JY16">
        <f ca="1">NETWORKDAYS(JY9, JY13)</f>
        <v>3422</v>
      </c>
      <c r="JZ16">
        <f ca="1">NETWORKDAYS(JZ9, JZ13)</f>
        <v>4266</v>
      </c>
      <c r="KA16">
        <f ca="1">NETWORKDAYS(KA9, KA13)</f>
        <v>4324</v>
      </c>
      <c r="KB16">
        <f ca="1">NETWORKDAYS(KB9, KB13)</f>
        <v>3158</v>
      </c>
      <c r="KC16">
        <f ca="1">NETWORKDAYS(KC9, KC13)</f>
        <v>3309</v>
      </c>
      <c r="KD16">
        <f ca="1">NETWORKDAYS(KD9, KD13)</f>
        <v>3614</v>
      </c>
      <c r="KE16">
        <f ca="1">NETWORKDAYS(KE9, KE13)</f>
        <v>5666</v>
      </c>
      <c r="KF16">
        <f ca="1">NETWORKDAYS(KF9, KF13)</f>
        <v>5974</v>
      </c>
      <c r="KG16">
        <f ca="1">NETWORKDAYS(KG9, KG13)</f>
        <v>3480</v>
      </c>
      <c r="KH16">
        <f ca="1">NETWORKDAYS(KH9, KH13)</f>
        <v>2959</v>
      </c>
      <c r="KI16">
        <f ca="1">NETWORKDAYS(KI9, KI13)</f>
        <v>6826</v>
      </c>
      <c r="KJ16">
        <f ca="1">NETWORKDAYS(KJ9, KJ13)</f>
        <v>6358</v>
      </c>
      <c r="KK16">
        <f ca="1">NETWORKDAYS(KK9, KK13)</f>
        <v>3642</v>
      </c>
      <c r="KL16">
        <f ca="1">NETWORKDAYS(KL9, KL13)</f>
        <v>6405</v>
      </c>
      <c r="KM16">
        <f ca="1">NETWORKDAYS(KM9, KM13)</f>
        <v>2349</v>
      </c>
      <c r="KN16">
        <f ca="1">NETWORKDAYS(KN9, KN13)</f>
        <v>6796</v>
      </c>
      <c r="KO16">
        <f ca="1">NETWORKDAYS(KO9, KO13)</f>
        <v>5936</v>
      </c>
      <c r="KP16">
        <f ca="1">NETWORKDAYS(KP9, KP13)</f>
        <v>5208</v>
      </c>
      <c r="KQ16">
        <f ca="1">NETWORKDAYS(KQ9, KQ13)</f>
        <v>6015</v>
      </c>
      <c r="KR16">
        <f ca="1">NETWORKDAYS(KR9, KR13)</f>
        <v>5677</v>
      </c>
      <c r="KS16">
        <f ca="1">NETWORKDAYS(KS9, KS13)</f>
        <v>5679</v>
      </c>
      <c r="KT16">
        <f ca="1">NETWORKDAYS(KT9, KT13)</f>
        <v>4185</v>
      </c>
      <c r="KU16">
        <f ca="1">NETWORKDAYS(KU9, KU13)</f>
        <v>3095</v>
      </c>
      <c r="KV16">
        <f ca="1">NETWORKDAYS(KV9, KV13)</f>
        <v>2869</v>
      </c>
      <c r="KW16">
        <f ca="1">NETWORKDAYS(KW9, KW13)</f>
        <v>3253</v>
      </c>
      <c r="KX16">
        <f ca="1">NETWORKDAYS(KX9, KX13)</f>
        <v>2208</v>
      </c>
      <c r="KY16">
        <f ca="1">NETWORKDAYS(KY9, KY13)</f>
        <v>5809</v>
      </c>
      <c r="KZ16">
        <f ca="1">NETWORKDAYS(KZ9, KZ13)</f>
        <v>5659</v>
      </c>
      <c r="LA16">
        <f ca="1">NETWORKDAYS(LA9, LA13)</f>
        <v>5053</v>
      </c>
      <c r="LB16">
        <f ca="1">NETWORKDAYS(LB9, LB13)</f>
        <v>4504</v>
      </c>
      <c r="LC16">
        <f ca="1">NETWORKDAYS(LC9, LC13)</f>
        <v>6639</v>
      </c>
      <c r="LD16">
        <f ca="1">NETWORKDAYS(LD9, LD13)</f>
        <v>3282</v>
      </c>
      <c r="LE16">
        <f ca="1">NETWORKDAYS(LE9, LE13)</f>
        <v>6109</v>
      </c>
      <c r="LF16">
        <f ca="1">NETWORKDAYS(LF9, LF13)</f>
        <v>3399</v>
      </c>
      <c r="LG16">
        <f ca="1">NETWORKDAYS(LG9, LG13)</f>
        <v>2629</v>
      </c>
      <c r="LH16">
        <f ca="1">NETWORKDAYS(LH9, LH13)</f>
        <v>4409</v>
      </c>
      <c r="LI16">
        <f ca="1">NETWORKDAYS(LI9, LI13)</f>
        <v>5958</v>
      </c>
      <c r="LJ16">
        <f ca="1">NETWORKDAYS(LJ9, LJ13)</f>
        <v>3853</v>
      </c>
      <c r="LK16">
        <f ca="1">NETWORKDAYS(LK9, LK13)</f>
        <v>3439</v>
      </c>
      <c r="LL16">
        <f ca="1">NETWORKDAYS(LL9, LL13)</f>
        <v>3299</v>
      </c>
      <c r="LM16">
        <f ca="1">NETWORKDAYS(LM9, LM13)</f>
        <v>2684</v>
      </c>
      <c r="LN16">
        <f ca="1">NETWORKDAYS(LN9, LN13)</f>
        <v>2409</v>
      </c>
      <c r="LO16">
        <f ca="1">NETWORKDAYS(LO9, LO13)</f>
        <v>1883</v>
      </c>
      <c r="LP16">
        <f ca="1">NETWORKDAYS(LP9, LP13)</f>
        <v>2384</v>
      </c>
      <c r="LQ16">
        <f ca="1">NETWORKDAYS(LQ9, LQ13)</f>
        <v>6279</v>
      </c>
      <c r="LR16">
        <f ca="1">NETWORKDAYS(LR9, LR13)</f>
        <v>2789</v>
      </c>
      <c r="LS16">
        <f ca="1">NETWORKDAYS(LS9, LS13)</f>
        <v>4470</v>
      </c>
      <c r="LT16">
        <f ca="1">NETWORKDAYS(LT9, LT13)</f>
        <v>5649</v>
      </c>
      <c r="LU16">
        <f ca="1">NETWORKDAYS(LU9, LU13)</f>
        <v>4691</v>
      </c>
      <c r="LV16">
        <f ca="1">NETWORKDAYS(LV9, LV13)</f>
        <v>2239</v>
      </c>
      <c r="LW16">
        <f ca="1">NETWORKDAYS(LW9, LW13)</f>
        <v>4559</v>
      </c>
      <c r="LX16">
        <f ca="1">NETWORKDAYS(LX9, LX13)</f>
        <v>3419</v>
      </c>
      <c r="LY16">
        <f ca="1">NETWORKDAYS(LY9, LY13)</f>
        <v>4144</v>
      </c>
      <c r="LZ16">
        <f ca="1">NETWORKDAYS(LZ9, LZ13)</f>
        <v>5093</v>
      </c>
      <c r="MA16">
        <f ca="1">NETWORKDAYS(MA9, MA13)</f>
        <v>4133</v>
      </c>
      <c r="MB16">
        <f ca="1">NETWORKDAYS(MB9, MB13)</f>
        <v>1776</v>
      </c>
      <c r="MC16">
        <f ca="1">NETWORKDAYS(MC9, MC13)</f>
        <v>3019</v>
      </c>
      <c r="MD16">
        <f ca="1">NETWORKDAYS(MD9, MD13)</f>
        <v>6459</v>
      </c>
      <c r="ME16">
        <f ca="1">NETWORKDAYS(ME9, ME13)</f>
        <v>6554</v>
      </c>
      <c r="MF16">
        <f ca="1">NETWORKDAYS(MF9, MF13)</f>
        <v>4224</v>
      </c>
      <c r="MG16">
        <f ca="1">NETWORKDAYS(MG9, MG13)</f>
        <v>6748</v>
      </c>
      <c r="MH16">
        <f ca="1">NETWORKDAYS(MH9, MH13)</f>
        <v>5169</v>
      </c>
      <c r="MI16">
        <f ca="1">NETWORKDAYS(MI9, MI13)</f>
        <v>3718</v>
      </c>
      <c r="MJ16">
        <f ca="1">NETWORKDAYS(MJ9, MJ13)</f>
        <v>4726</v>
      </c>
      <c r="MK16">
        <f ca="1">NETWORKDAYS(MK9, MK13)</f>
        <v>5513</v>
      </c>
      <c r="ML16">
        <f ca="1">NETWORKDAYS(ML9, ML13)</f>
        <v>4716</v>
      </c>
      <c r="MM16">
        <f ca="1">NETWORKDAYS(MM9, MM13)</f>
        <v>3875</v>
      </c>
      <c r="MN16">
        <f ca="1">NETWORKDAYS(MN9, MN13)</f>
        <v>4234</v>
      </c>
      <c r="MO16">
        <f ca="1">NETWORKDAYS(MO9, MO13)</f>
        <v>4849</v>
      </c>
      <c r="MP16">
        <f ca="1">NETWORKDAYS(MP9, MP13)</f>
        <v>4628</v>
      </c>
      <c r="MQ16">
        <f ca="1">NETWORKDAYS(MQ9, MQ13)</f>
        <v>4331</v>
      </c>
      <c r="MR16">
        <f ca="1">NETWORKDAYS(MR9, MR13)</f>
        <v>3369</v>
      </c>
      <c r="MS16">
        <f ca="1">NETWORKDAYS(MS9, MS13)</f>
        <v>5969</v>
      </c>
      <c r="MT16">
        <f ca="1">NETWORKDAYS(MT9, MT13)</f>
        <v>6382</v>
      </c>
      <c r="MU16">
        <f ca="1">NETWORKDAYS(MU9, MU13)</f>
        <v>4473</v>
      </c>
      <c r="MV16">
        <f ca="1">NETWORKDAYS(MV9, MV13)</f>
        <v>2594</v>
      </c>
      <c r="MW16">
        <f ca="1">NETWORKDAYS(MW9, MW13)</f>
        <v>6324</v>
      </c>
      <c r="MX16">
        <f ca="1">NETWORKDAYS(MX9, MX13)</f>
        <v>3048</v>
      </c>
      <c r="MY16">
        <f ca="1">NETWORKDAYS(MY9, MY13)</f>
        <v>3342</v>
      </c>
      <c r="MZ16">
        <f ca="1">NETWORKDAYS(MZ9, MZ13)</f>
        <v>6314</v>
      </c>
      <c r="NA16">
        <f ca="1">NETWORKDAYS(NA9, NA13)</f>
        <v>3374</v>
      </c>
      <c r="NB16">
        <f ca="1">NETWORKDAYS(NB9, NB13)</f>
        <v>2778</v>
      </c>
      <c r="NC16">
        <f ca="1">NETWORKDAYS(NC9, NC13)</f>
        <v>2047</v>
      </c>
      <c r="ND16">
        <f ca="1">NETWORKDAYS(ND9, ND13)</f>
        <v>5912</v>
      </c>
      <c r="NE16">
        <f ca="1">NETWORKDAYS(NE9, NE13)</f>
        <v>2599</v>
      </c>
      <c r="NF16">
        <f ca="1">NETWORKDAYS(NF9, NF13)</f>
        <v>4354</v>
      </c>
      <c r="NG16">
        <f ca="1">NETWORKDAYS(NG9, NG13)</f>
        <v>6598</v>
      </c>
      <c r="NH16">
        <f ca="1">NETWORKDAYS(NH9, NH13)</f>
        <v>6731</v>
      </c>
      <c r="NI16">
        <f ca="1">NETWORKDAYS(NI9, NI13)</f>
        <v>2779</v>
      </c>
      <c r="NJ16">
        <f ca="1">NETWORKDAYS(NJ9, NJ13)</f>
        <v>5824</v>
      </c>
      <c r="NK16">
        <f ca="1">NETWORKDAYS(NK9, NK13)</f>
        <v>2866</v>
      </c>
      <c r="NL16">
        <f ca="1">NETWORKDAYS(NL9, NL13)</f>
        <v>4660</v>
      </c>
      <c r="NM16">
        <f ca="1">NETWORKDAYS(NM9, NM13)</f>
        <v>6535</v>
      </c>
      <c r="NN16">
        <f ca="1">NETWORKDAYS(NN9, NN13)</f>
        <v>1735</v>
      </c>
      <c r="NO16">
        <f ca="1">NETWORKDAYS(NO9, NO13)</f>
        <v>4299</v>
      </c>
      <c r="NP16">
        <f ca="1">NETWORKDAYS(NP9, NP13)</f>
        <v>2306</v>
      </c>
      <c r="NQ16">
        <f ca="1">NETWORKDAYS(NQ9, NQ13)</f>
        <v>6029</v>
      </c>
      <c r="NR16">
        <f ca="1">NETWORKDAYS(NR9, NR13)</f>
        <v>5145</v>
      </c>
      <c r="NS16">
        <f ca="1">NETWORKDAYS(NS9, NS13)</f>
        <v>4462</v>
      </c>
      <c r="NT16">
        <f ca="1">NETWORKDAYS(NT9, NT13)</f>
        <v>6162</v>
      </c>
      <c r="NU16">
        <f ca="1">NETWORKDAYS(NU9, NU13)</f>
        <v>1773</v>
      </c>
      <c r="NV16">
        <f ca="1">NETWORKDAYS(NV9, NV13)</f>
        <v>5859</v>
      </c>
      <c r="NW16">
        <f ca="1">NETWORKDAYS(NW9, NW13)</f>
        <v>2464</v>
      </c>
      <c r="NX16">
        <f ca="1">NETWORKDAYS(NX9, NX13)</f>
        <v>1781</v>
      </c>
      <c r="NY16">
        <f ca="1">NETWORKDAYS(NY9, NY13)</f>
        <v>6157</v>
      </c>
      <c r="NZ16">
        <f ca="1">NETWORKDAYS(NZ9, NZ13)</f>
        <v>5624</v>
      </c>
      <c r="OA16">
        <f ca="1">NETWORKDAYS(OA9, OA13)</f>
        <v>4739</v>
      </c>
      <c r="OB16">
        <f ca="1">NETWORKDAYS(OB9, OB13)</f>
        <v>5067</v>
      </c>
      <c r="OC16">
        <f ca="1">NETWORKDAYS(OC9, OC13)</f>
        <v>5909</v>
      </c>
      <c r="OD16">
        <f ca="1">NETWORKDAYS(OD9, OD13)</f>
        <v>6575</v>
      </c>
      <c r="OE16">
        <f ca="1">NETWORKDAYS(OE9, OE13)</f>
        <v>4711</v>
      </c>
      <c r="OF16">
        <f ca="1">NETWORKDAYS(OF9, OF13)</f>
        <v>5199</v>
      </c>
      <c r="OG16">
        <f ca="1">NETWORKDAYS(OG9, OG13)</f>
        <v>1815</v>
      </c>
      <c r="OH16">
        <f ca="1">NETWORKDAYS(OH9, OH13)</f>
        <v>2323</v>
      </c>
      <c r="OI16">
        <f ca="1">NETWORKDAYS(OI9, OI13)</f>
        <v>3413</v>
      </c>
      <c r="OJ16">
        <f ca="1">NETWORKDAYS(OJ9, OJ13)</f>
        <v>1739</v>
      </c>
      <c r="OK16">
        <f ca="1">NETWORKDAYS(OK9, OK13)</f>
        <v>2719</v>
      </c>
      <c r="OL16">
        <f ca="1">NETWORKDAYS(OL9, OL13)</f>
        <v>5322</v>
      </c>
      <c r="OM16">
        <f ca="1">NETWORKDAYS(OM9, OM13)</f>
        <v>4721</v>
      </c>
      <c r="ON16">
        <f ca="1">NETWORKDAYS(ON9, ON13)</f>
        <v>1819</v>
      </c>
      <c r="OO16">
        <f ca="1">NETWORKDAYS(OO9, OO13)</f>
        <v>2212</v>
      </c>
      <c r="OP16">
        <f ca="1">NETWORKDAYS(OP9, OP13)</f>
        <v>3879</v>
      </c>
      <c r="OQ16">
        <f ca="1">NETWORKDAYS(OQ9, OQ13)</f>
        <v>2391</v>
      </c>
      <c r="OR16">
        <f ca="1">NETWORKDAYS(OR9, OR13)</f>
        <v>4881</v>
      </c>
      <c r="OS16">
        <f ca="1">NETWORKDAYS(OS9, OS13)</f>
        <v>2449</v>
      </c>
      <c r="OT16">
        <f ca="1">NETWORKDAYS(OT9, OT13)</f>
        <v>3205</v>
      </c>
      <c r="OU16">
        <f ca="1">NETWORKDAYS(OU9, OU13)</f>
        <v>3968</v>
      </c>
      <c r="OV16">
        <f ca="1">NETWORKDAYS(OV9, OV13)</f>
        <v>5151</v>
      </c>
      <c r="OW16">
        <f ca="1">NETWORKDAYS(OW9, OW13)</f>
        <v>3104</v>
      </c>
      <c r="OX16">
        <f ca="1">NETWORKDAYS(OX9, OX13)</f>
        <v>2944</v>
      </c>
      <c r="OY16">
        <f ca="1">NETWORKDAYS(OY9, OY13)</f>
        <v>2575</v>
      </c>
      <c r="OZ16">
        <f ca="1">NETWORKDAYS(OZ9, OZ13)</f>
        <v>6295</v>
      </c>
      <c r="PA16">
        <f ca="1">NETWORKDAYS(PA9, PA13)</f>
        <v>2014</v>
      </c>
      <c r="PB16">
        <f ca="1">NETWORKDAYS(PB9, PB13)</f>
        <v>3939</v>
      </c>
      <c r="PC16">
        <f ca="1">NETWORKDAYS(PC9, PC13)</f>
        <v>6123</v>
      </c>
      <c r="PD16">
        <f ca="1">NETWORKDAYS(PD9, PD13)</f>
        <v>1799</v>
      </c>
      <c r="PE16">
        <f ca="1">NETWORKDAYS(PE9, PE13)</f>
        <v>4158</v>
      </c>
      <c r="PF16">
        <f ca="1">NETWORKDAYS(PF9, PF13)</f>
        <v>4807</v>
      </c>
      <c r="PG16">
        <f ca="1">NETWORKDAYS(PG9, PG13)</f>
        <v>2367</v>
      </c>
      <c r="PH16">
        <f ca="1">NETWORKDAYS(PH9, PH13)</f>
        <v>6590</v>
      </c>
      <c r="PI16">
        <f ca="1">NETWORKDAYS(PI9, PI13)</f>
        <v>4723</v>
      </c>
      <c r="PJ16">
        <f ca="1">NETWORKDAYS(PJ9, PJ13)</f>
        <v>6349</v>
      </c>
      <c r="PK16">
        <f ca="1">NETWORKDAYS(PK9, PK13)</f>
        <v>3528</v>
      </c>
      <c r="PL16">
        <f ca="1">NETWORKDAYS(PL9, PL13)</f>
        <v>4607</v>
      </c>
      <c r="PM16">
        <f ca="1">NETWORKDAYS(PM9, PM13)</f>
        <v>3657</v>
      </c>
      <c r="PN16">
        <f ca="1">NETWORKDAYS(PN9, PN13)</f>
        <v>4872</v>
      </c>
      <c r="PO16">
        <f ca="1">NETWORKDAYS(PO9, PO13)</f>
        <v>4323</v>
      </c>
      <c r="PP16">
        <f ca="1">NETWORKDAYS(PP9, PP13)</f>
        <v>4251</v>
      </c>
      <c r="PQ16">
        <f ca="1">NETWORKDAYS(PQ9, PQ13)</f>
        <v>4889</v>
      </c>
      <c r="PR16">
        <f ca="1">NETWORKDAYS(PR9, PR13)</f>
        <v>2216</v>
      </c>
      <c r="PS16">
        <f ca="1">NETWORKDAYS(PS9, PS13)</f>
        <v>2295</v>
      </c>
      <c r="PT16">
        <f ca="1">NETWORKDAYS(PT9, PT13)</f>
        <v>2304</v>
      </c>
      <c r="PU16">
        <f ca="1">NETWORKDAYS(PU9, PU13)</f>
        <v>5630</v>
      </c>
      <c r="PV16">
        <f ca="1">NETWORKDAYS(PV9, PV13)</f>
        <v>4774</v>
      </c>
      <c r="PW16">
        <f ca="1">NETWORKDAYS(PW9, PW13)</f>
        <v>4118</v>
      </c>
      <c r="PX16">
        <f ca="1">NETWORKDAYS(PX9, PX13)</f>
        <v>3854</v>
      </c>
      <c r="PY16">
        <f ca="1">NETWORKDAYS(PY9, PY13)</f>
        <v>6351</v>
      </c>
      <c r="PZ16">
        <f ca="1">NETWORKDAYS(PZ9, PZ13)</f>
        <v>3739</v>
      </c>
      <c r="QA16">
        <f ca="1">NETWORKDAYS(QA9, QA13)</f>
        <v>4754</v>
      </c>
      <c r="QB16">
        <f ca="1">NETWORKDAYS(QB9, QB13)</f>
        <v>1721</v>
      </c>
      <c r="QC16">
        <f ca="1">NETWORKDAYS(QC9, QC13)</f>
        <v>4157</v>
      </c>
      <c r="QD16">
        <f ca="1">NETWORKDAYS(QD9, QD13)</f>
        <v>2944</v>
      </c>
      <c r="QE16">
        <f ca="1">NETWORKDAYS(QE9, QE13)</f>
        <v>4494</v>
      </c>
      <c r="QF16">
        <f ca="1">NETWORKDAYS(QF9, QF13)</f>
        <v>3489</v>
      </c>
      <c r="QG16">
        <f ca="1">NETWORKDAYS(QG9, QG13)</f>
        <v>1963</v>
      </c>
      <c r="QH16">
        <f ca="1">NETWORKDAYS(QH9, QH13)</f>
        <v>3964</v>
      </c>
      <c r="QI16">
        <f ca="1">NETWORKDAYS(QI9, QI13)</f>
        <v>6014</v>
      </c>
      <c r="QJ16">
        <f ca="1">NETWORKDAYS(QJ9, QJ13)</f>
        <v>4654</v>
      </c>
      <c r="QK16">
        <f ca="1">NETWORKDAYS(QK9, QK13)</f>
        <v>1728</v>
      </c>
      <c r="QL16">
        <f ca="1">NETWORKDAYS(QL9, QL13)</f>
        <v>2612</v>
      </c>
      <c r="QM16">
        <f ca="1">NETWORKDAYS(QM9, QM13)</f>
        <v>2630</v>
      </c>
      <c r="QN16">
        <f ca="1">NETWORKDAYS(QN9, QN13)</f>
        <v>3664</v>
      </c>
      <c r="QO16">
        <f ca="1">NETWORKDAYS(QO9, QO13)</f>
        <v>5176</v>
      </c>
      <c r="QP16">
        <f ca="1">NETWORKDAYS(QP9, QP13)</f>
        <v>2243</v>
      </c>
      <c r="QQ16">
        <f ca="1">NETWORKDAYS(QQ9, QQ13)</f>
        <v>5917</v>
      </c>
      <c r="QR16">
        <f ca="1">NETWORKDAYS(QR9, QR13)</f>
        <v>5494</v>
      </c>
      <c r="QS16">
        <f ca="1">NETWORKDAYS(QS9, QS13)</f>
        <v>5725</v>
      </c>
      <c r="QT16">
        <f ca="1">NETWORKDAYS(QT9, QT13)</f>
        <v>6138</v>
      </c>
      <c r="QU16">
        <f ca="1">NETWORKDAYS(QU9, QU13)</f>
        <v>5364</v>
      </c>
      <c r="QV16">
        <f ca="1">NETWORKDAYS(QV9, QV13)</f>
        <v>1909</v>
      </c>
      <c r="QW16">
        <f ca="1">NETWORKDAYS(QW9, QW13)</f>
        <v>5509</v>
      </c>
      <c r="QX16">
        <f ca="1">NETWORKDAYS(QX9, QX13)</f>
        <v>5426</v>
      </c>
      <c r="QY16">
        <f ca="1">NETWORKDAYS(QY9, QY13)</f>
        <v>5599</v>
      </c>
      <c r="QZ16">
        <f ca="1">NETWORKDAYS(QZ9, QZ13)</f>
        <v>5089</v>
      </c>
      <c r="RA16">
        <f ca="1">NETWORKDAYS(RA9, RA13)</f>
        <v>3101</v>
      </c>
      <c r="RB16">
        <f ca="1">NETWORKDAYS(RB9, RB13)</f>
        <v>5469</v>
      </c>
      <c r="RC16">
        <f ca="1">NETWORKDAYS(RC9, RC13)</f>
        <v>6339</v>
      </c>
      <c r="RD16">
        <f ca="1">NETWORKDAYS(RD9, RD13)</f>
        <v>1752</v>
      </c>
      <c r="RE16">
        <f ca="1">NETWORKDAYS(RE9, RE13)</f>
        <v>3949</v>
      </c>
      <c r="RF16">
        <f ca="1">NETWORKDAYS(RF9, RF13)</f>
        <v>5359</v>
      </c>
      <c r="RG16">
        <f ca="1">NETWORKDAYS(RG9, RG13)</f>
        <v>3510</v>
      </c>
      <c r="RH16">
        <f ca="1">NETWORKDAYS(RH9, RH13)</f>
        <v>4159</v>
      </c>
      <c r="RI16">
        <f ca="1">NETWORKDAYS(RI9, RI13)</f>
        <v>6559</v>
      </c>
      <c r="RJ16">
        <f ca="1">NETWORKDAYS(RJ9, RJ13)</f>
        <v>5443</v>
      </c>
      <c r="RK16">
        <f ca="1">NETWORKDAYS(RK9, RK13)</f>
        <v>4663</v>
      </c>
      <c r="RL16">
        <f ca="1">NETWORKDAYS(RL9, RL13)</f>
        <v>4374</v>
      </c>
      <c r="RM16">
        <f ca="1">NETWORKDAYS(RM9, RM13)</f>
        <v>6467</v>
      </c>
      <c r="RN16">
        <f ca="1">NETWORKDAYS(RN9, RN13)</f>
        <v>5724</v>
      </c>
      <c r="RO16">
        <f ca="1">NETWORKDAYS(RO9, RO13)</f>
        <v>4762</v>
      </c>
      <c r="RP16">
        <f ca="1">NETWORKDAYS(RP9, RP13)</f>
        <v>3124</v>
      </c>
      <c r="RQ16">
        <f ca="1">NETWORKDAYS(RQ9, RQ13)</f>
        <v>4804</v>
      </c>
      <c r="RR16">
        <f ca="1">NETWORKDAYS(RR9, RR13)</f>
        <v>6448</v>
      </c>
      <c r="RS16">
        <f ca="1">NETWORKDAYS(RS9, RS13)</f>
        <v>5791</v>
      </c>
      <c r="RT16">
        <f ca="1">NETWORKDAYS(RT9, RT13)</f>
        <v>2389</v>
      </c>
      <c r="RU16">
        <f ca="1">NETWORKDAYS(RU9, RU13)</f>
        <v>6245</v>
      </c>
      <c r="RV16">
        <f ca="1">NETWORKDAYS(RV9, RV13)</f>
        <v>3639</v>
      </c>
      <c r="RW16">
        <f ca="1">NETWORKDAYS(RW9, RW13)</f>
        <v>3227</v>
      </c>
      <c r="RX16">
        <f ca="1">NETWORKDAYS(RX9, RX13)</f>
        <v>1974</v>
      </c>
      <c r="RY16">
        <f ca="1">NETWORKDAYS(RY9, RY13)</f>
        <v>5824</v>
      </c>
      <c r="RZ16">
        <f ca="1">NETWORKDAYS(RZ9, RZ13)</f>
        <v>6636</v>
      </c>
      <c r="SA16">
        <f ca="1">NETWORKDAYS(SA9, SA13)</f>
        <v>4879</v>
      </c>
      <c r="SB16">
        <f ca="1">NETWORKDAYS(SB9, SB13)</f>
        <v>4150</v>
      </c>
      <c r="SC16">
        <f ca="1">NETWORKDAYS(SC9, SC13)</f>
        <v>1763</v>
      </c>
      <c r="SD16">
        <f ca="1">NETWORKDAYS(SD9, SD13)</f>
        <v>3651</v>
      </c>
      <c r="SE16">
        <f ca="1">NETWORKDAYS(SE9, SE13)</f>
        <v>1984</v>
      </c>
      <c r="SF16">
        <f ca="1">NETWORKDAYS(SF9, SF13)</f>
        <v>5808</v>
      </c>
      <c r="SG16">
        <f ca="1">NETWORKDAYS(SG9, SG13)</f>
        <v>2670</v>
      </c>
      <c r="SH16">
        <f ca="1">NETWORKDAYS(SH9, SH13)</f>
        <v>1984</v>
      </c>
      <c r="SI16">
        <f ca="1">NETWORKDAYS(SI9, SI13)</f>
        <v>1954</v>
      </c>
      <c r="SJ16">
        <f ca="1">NETWORKDAYS(SJ9, SJ13)</f>
        <v>5793</v>
      </c>
      <c r="SK16">
        <f ca="1">NETWORKDAYS(SK9, SK13)</f>
        <v>5571</v>
      </c>
      <c r="SL16">
        <f ca="1">NETWORKDAYS(SL9, SL13)</f>
        <v>2812</v>
      </c>
      <c r="SM16">
        <f ca="1">NETWORKDAYS(SM9, SM13)</f>
        <v>1720</v>
      </c>
      <c r="SN16">
        <f ca="1">NETWORKDAYS(SN9, SN13)</f>
        <v>4229</v>
      </c>
      <c r="SO16">
        <f ca="1">NETWORKDAYS(SO9, SO13)</f>
        <v>6187</v>
      </c>
      <c r="SP16">
        <f ca="1">NETWORKDAYS(SP9, SP13)</f>
        <v>6634</v>
      </c>
      <c r="SQ16">
        <f ca="1">NETWORKDAYS(SQ9, SQ13)</f>
        <v>3847</v>
      </c>
      <c r="SR16">
        <f ca="1">NETWORKDAYS(SR9, SR13)</f>
        <v>1974</v>
      </c>
      <c r="SS16">
        <f ca="1">NETWORKDAYS(SS9, SS13)</f>
        <v>5349</v>
      </c>
      <c r="ST16">
        <f ca="1">NETWORKDAYS(ST9, ST13)</f>
        <v>3679</v>
      </c>
      <c r="SU16">
        <f ca="1">NETWORKDAYS(SU9, SU13)</f>
        <v>2603</v>
      </c>
      <c r="SV16">
        <f ca="1">NETWORKDAYS(SV9, SV13)</f>
        <v>5551</v>
      </c>
      <c r="SW16">
        <f ca="1">NETWORKDAYS(SW9, SW13)</f>
        <v>5999</v>
      </c>
      <c r="SX16">
        <f ca="1">NETWORKDAYS(SX9, SX13)</f>
        <v>5018</v>
      </c>
      <c r="SY16">
        <f ca="1">NETWORKDAYS(SY9, SY13)</f>
        <v>3719</v>
      </c>
      <c r="SZ16">
        <f ca="1">NETWORKDAYS(SZ9, SZ13)</f>
        <v>5705</v>
      </c>
      <c r="TA16">
        <f ca="1">NETWORKDAYS(TA9, TA13)</f>
        <v>2324</v>
      </c>
      <c r="TB16">
        <f ca="1">NETWORKDAYS(TB9, TB13)</f>
        <v>5443</v>
      </c>
      <c r="TC16">
        <f ca="1">NETWORKDAYS(TC9, TC13)</f>
        <v>5572</v>
      </c>
      <c r="TD16">
        <f ca="1">NETWORKDAYS(TD9, TD13)</f>
        <v>2354</v>
      </c>
      <c r="TE16">
        <f ca="1">NETWORKDAYS(TE9, TE13)</f>
        <v>3367</v>
      </c>
      <c r="TF16">
        <f ca="1">NETWORKDAYS(TF9, TF13)</f>
        <v>6134</v>
      </c>
      <c r="TG16">
        <f ca="1">NETWORKDAYS(TG9, TG13)</f>
        <v>2658</v>
      </c>
      <c r="TH16">
        <f ca="1">NETWORKDAYS(TH9, TH13)</f>
        <v>5980</v>
      </c>
      <c r="TI16">
        <f ca="1">NETWORKDAYS(TI9, TI13)</f>
        <v>4461</v>
      </c>
      <c r="TJ16">
        <f ca="1">NETWORKDAYS(TJ9, TJ13)</f>
        <v>2279</v>
      </c>
      <c r="TK16">
        <f ca="1">NETWORKDAYS(TK9, TK13)</f>
        <v>6040</v>
      </c>
      <c r="TL16">
        <f ca="1">NETWORKDAYS(TL9, TL13)</f>
        <v>6699</v>
      </c>
      <c r="TM16">
        <f ca="1">NETWORKDAYS(TM9, TM13)</f>
        <v>4000</v>
      </c>
      <c r="TN16">
        <f ca="1">NETWORKDAYS(TN9, TN13)</f>
        <v>6464</v>
      </c>
      <c r="TO16">
        <f ca="1">NETWORKDAYS(TO9, TO13)</f>
        <v>3464</v>
      </c>
      <c r="TP16">
        <f ca="1">NETWORKDAYS(TP9, TP13)</f>
        <v>5833</v>
      </c>
      <c r="TQ16">
        <f ca="1">NETWORKDAYS(TQ9, TQ13)</f>
        <v>3624</v>
      </c>
      <c r="TR16">
        <f ca="1">NETWORKDAYS(TR9, TR13)</f>
        <v>5917</v>
      </c>
      <c r="TS16">
        <f ca="1">NETWORKDAYS(TS9, TS13)</f>
        <v>5987</v>
      </c>
      <c r="TT16">
        <f ca="1">NETWORKDAYS(TT9, TT13)</f>
        <v>5449</v>
      </c>
      <c r="TU16">
        <f ca="1">NETWORKDAYS(TU9, TU13)</f>
        <v>4229</v>
      </c>
      <c r="TV16">
        <f ca="1">NETWORKDAYS(TV9, TV13)</f>
        <v>3421</v>
      </c>
      <c r="TW16">
        <f ca="1">NETWORKDAYS(TW9, TW13)</f>
        <v>5256</v>
      </c>
      <c r="TX16">
        <f ca="1">NETWORKDAYS(TX9, TX13)</f>
        <v>3801</v>
      </c>
      <c r="TY16">
        <f ca="1">NETWORKDAYS(TY9, TY13)</f>
        <v>4283</v>
      </c>
      <c r="TZ16">
        <f ca="1">NETWORKDAYS(TZ9, TZ13)</f>
        <v>2133</v>
      </c>
      <c r="UA16">
        <f ca="1">NETWORKDAYS(UA9, UA13)</f>
        <v>2708</v>
      </c>
      <c r="UB16">
        <f ca="1">NETWORKDAYS(UB9, UB13)</f>
        <v>2530</v>
      </c>
      <c r="UC16">
        <f ca="1">NETWORKDAYS(UC9, UC13)</f>
        <v>6114</v>
      </c>
      <c r="UD16">
        <f ca="1">NETWORKDAYS(UD9, UD13)</f>
        <v>4588</v>
      </c>
      <c r="UE16">
        <f ca="1">NETWORKDAYS(UE9, UE13)</f>
        <v>3143</v>
      </c>
      <c r="UF16">
        <f ca="1">NETWORKDAYS(UF9, UF13)</f>
        <v>4275</v>
      </c>
      <c r="UG16">
        <f ca="1">NETWORKDAYS(UG9, UG13)</f>
        <v>3834</v>
      </c>
      <c r="UH16">
        <f ca="1">NETWORKDAYS(UH9, UH13)</f>
        <v>3934</v>
      </c>
      <c r="UI16">
        <f ca="1">NETWORKDAYS(UI9, UI13)</f>
        <v>6806</v>
      </c>
      <c r="UJ16">
        <f ca="1">NETWORKDAYS(UJ9, UJ13)</f>
        <v>4224</v>
      </c>
      <c r="UK16">
        <f ca="1">NETWORKDAYS(UK9, UK13)</f>
        <v>2549</v>
      </c>
      <c r="UL16">
        <f ca="1">NETWORKDAYS(UL9, UL13)</f>
        <v>3646</v>
      </c>
      <c r="UM16">
        <f ca="1">NETWORKDAYS(UM9, UM13)</f>
        <v>6249</v>
      </c>
      <c r="UN16">
        <f ca="1">NETWORKDAYS(UN9, UN13)</f>
        <v>2429</v>
      </c>
      <c r="UO16">
        <f ca="1">NETWORKDAYS(UO9, UO13)</f>
        <v>2092</v>
      </c>
      <c r="UP16">
        <f ca="1">NETWORKDAYS(UP9, UP13)</f>
        <v>3467</v>
      </c>
      <c r="UQ16">
        <f ca="1">NETWORKDAYS(UQ9, UQ13)</f>
        <v>2544</v>
      </c>
      <c r="UR16">
        <f ca="1">NETWORKDAYS(UR9, UR13)</f>
        <v>3181</v>
      </c>
      <c r="US16">
        <f ca="1">NETWORKDAYS(US9, US13)</f>
        <v>2564</v>
      </c>
      <c r="UT16">
        <f ca="1">NETWORKDAYS(UT9, UT13)</f>
        <v>5348</v>
      </c>
      <c r="UU16">
        <f ca="1">NETWORKDAYS(UU9, UU13)</f>
        <v>5371</v>
      </c>
      <c r="UV16">
        <f ca="1">NETWORKDAYS(UV9, UV13)</f>
        <v>1738</v>
      </c>
      <c r="UW16">
        <f ca="1">NETWORKDAYS(UW9, UW13)</f>
        <v>6255</v>
      </c>
      <c r="UX16">
        <f ca="1">NETWORKDAYS(UX9, UX13)</f>
        <v>3445</v>
      </c>
      <c r="UY16">
        <f ca="1">NETWORKDAYS(UY9, UY13)</f>
        <v>3994</v>
      </c>
      <c r="UZ16">
        <f ca="1">NETWORKDAYS(UZ9, UZ13)</f>
        <v>4211</v>
      </c>
      <c r="VA16">
        <f ca="1">NETWORKDAYS(VA9, VA13)</f>
        <v>5546</v>
      </c>
      <c r="VB16">
        <f ca="1">NETWORKDAYS(VB9, VB13)</f>
        <v>3350</v>
      </c>
      <c r="VC16">
        <f ca="1">NETWORKDAYS(VC9, VC13)</f>
        <v>2872</v>
      </c>
      <c r="VD16">
        <f ca="1">NETWORKDAYS(VD9, VD13)</f>
        <v>1701</v>
      </c>
      <c r="VE16">
        <f ca="1">NETWORKDAYS(VE9, VE13)</f>
        <v>4615</v>
      </c>
      <c r="VF16">
        <f ca="1">NETWORKDAYS(VF9, VF13)</f>
        <v>3089</v>
      </c>
      <c r="VG16">
        <f ca="1">NETWORKDAYS(VG9, VG13)</f>
        <v>5676</v>
      </c>
      <c r="VH16">
        <f ca="1">NETWORKDAYS(VH9, VH13)</f>
        <v>5738</v>
      </c>
      <c r="VI16">
        <f ca="1">NETWORKDAYS(VI9, VI13)</f>
        <v>2024</v>
      </c>
      <c r="VJ16">
        <f ca="1">NETWORKDAYS(VJ9, VJ13)</f>
        <v>4284</v>
      </c>
      <c r="VK16">
        <f ca="1">NETWORKDAYS(VK9, VK13)</f>
        <v>2719</v>
      </c>
      <c r="VL16">
        <f ca="1">NETWORKDAYS(VL9, VL13)</f>
        <v>5479</v>
      </c>
      <c r="VM16">
        <f ca="1">NETWORKDAYS(VM9, VM13)</f>
        <v>5814</v>
      </c>
      <c r="VN16">
        <f ca="1">NETWORKDAYS(VN9, VN13)</f>
        <v>3246</v>
      </c>
      <c r="VO16">
        <f ca="1">NETWORKDAYS(VO9, VO13)</f>
        <v>4470</v>
      </c>
      <c r="VP16">
        <f ca="1">NETWORKDAYS(VP9, VP13)</f>
        <v>4325</v>
      </c>
      <c r="VQ16">
        <f ca="1">NETWORKDAYS(VQ9, VQ13)</f>
        <v>4654</v>
      </c>
      <c r="VR16">
        <f ca="1">NETWORKDAYS(VR9, VR13)</f>
        <v>3899</v>
      </c>
      <c r="VS16">
        <f ca="1">NETWORKDAYS(VS9, VS13)</f>
        <v>6127</v>
      </c>
      <c r="VT16">
        <f ca="1">NETWORKDAYS(VT9, VT13)</f>
        <v>5818</v>
      </c>
      <c r="VU16">
        <f ca="1">NETWORKDAYS(VU9, VU13)</f>
        <v>3589</v>
      </c>
      <c r="VV16">
        <f ca="1">NETWORKDAYS(VV9, VV13)</f>
        <v>2866</v>
      </c>
      <c r="VW16">
        <f ca="1">NETWORKDAYS(VW9, VW13)</f>
        <v>2466</v>
      </c>
      <c r="VX16">
        <f ca="1">NETWORKDAYS(VX9, VX13)</f>
        <v>4654</v>
      </c>
      <c r="VY16">
        <f ca="1">NETWORKDAYS(VY9, VY13)</f>
        <v>6651</v>
      </c>
      <c r="VZ16">
        <f ca="1">NETWORKDAYS(VZ9, VZ13)</f>
        <v>4174</v>
      </c>
      <c r="WA16">
        <f ca="1">NETWORKDAYS(WA9, WA13)</f>
        <v>2320</v>
      </c>
      <c r="WB16">
        <f ca="1">NETWORKDAYS(WB9, WB13)</f>
        <v>5215</v>
      </c>
      <c r="WC16">
        <f ca="1">NETWORKDAYS(WC9, WC13)</f>
        <v>4072</v>
      </c>
      <c r="WD16">
        <f ca="1">NETWORKDAYS(WD9, WD13)</f>
        <v>4470</v>
      </c>
      <c r="WE16">
        <f ca="1">NETWORKDAYS(WE9, WE13)</f>
        <v>5379</v>
      </c>
      <c r="WF16">
        <f ca="1">NETWORKDAYS(WF9, WF13)</f>
        <v>4594</v>
      </c>
      <c r="WG16">
        <f ca="1">NETWORKDAYS(WG9, WG13)</f>
        <v>4539</v>
      </c>
      <c r="WH16">
        <f ca="1">NETWORKDAYS(WH9, WH13)</f>
        <v>4597</v>
      </c>
      <c r="WI16">
        <f ca="1">NETWORKDAYS(WI9, WI13)</f>
        <v>3223</v>
      </c>
      <c r="WJ16">
        <f ca="1">NETWORKDAYS(WJ9, WJ13)</f>
        <v>3339</v>
      </c>
      <c r="WK16">
        <f ca="1">NETWORKDAYS(WK9, WK13)</f>
        <v>5944</v>
      </c>
      <c r="WL16">
        <f ca="1">NETWORKDAYS(WL9, WL13)</f>
        <v>6324</v>
      </c>
      <c r="WM16">
        <f ca="1">NETWORKDAYS(WM9, WM13)</f>
        <v>3132</v>
      </c>
      <c r="WN16">
        <f ca="1">NETWORKDAYS(WN9, WN13)</f>
        <v>3199</v>
      </c>
      <c r="WO16">
        <f ca="1">NETWORKDAYS(WO9, WO13)</f>
        <v>1827</v>
      </c>
      <c r="WP16">
        <f ca="1">NETWORKDAYS(WP9, WP13)</f>
        <v>6780</v>
      </c>
      <c r="WQ16">
        <f ca="1">NETWORKDAYS(WQ9, WQ13)</f>
        <v>3386</v>
      </c>
      <c r="WR16">
        <f ca="1">NETWORKDAYS(WR9, WR13)</f>
        <v>4433</v>
      </c>
      <c r="WS16">
        <f ca="1">NETWORKDAYS(WS9, WS13)</f>
        <v>4112</v>
      </c>
      <c r="WT16">
        <f ca="1">NETWORKDAYS(WT9, WT13)</f>
        <v>4437</v>
      </c>
      <c r="WU16">
        <f ca="1">NETWORKDAYS(WU9, WU13)</f>
        <v>5584</v>
      </c>
      <c r="WV16">
        <f ca="1">NETWORKDAYS(WV9, WV13)</f>
        <v>2490</v>
      </c>
      <c r="WW16">
        <f ca="1">NETWORKDAYS(WW9, WW13)</f>
        <v>3755</v>
      </c>
      <c r="WX16">
        <f ca="1">NETWORKDAYS(WX9, WX13)</f>
        <v>1885</v>
      </c>
      <c r="WY16">
        <f ca="1">NETWORKDAYS(WY9, WY13)</f>
        <v>4854</v>
      </c>
      <c r="WZ16">
        <f ca="1">NETWORKDAYS(WZ9, WZ13)</f>
        <v>4492</v>
      </c>
      <c r="XA16">
        <f ca="1">NETWORKDAYS(XA9, XA13)</f>
        <v>5089</v>
      </c>
      <c r="XB16">
        <f ca="1">NETWORKDAYS(XB9, XB13)</f>
        <v>3063</v>
      </c>
      <c r="XC16">
        <f ca="1">NETWORKDAYS(XC9, XC13)</f>
        <v>6605</v>
      </c>
      <c r="XD16">
        <f ca="1">NETWORKDAYS(XD9, XD13)</f>
        <v>6536</v>
      </c>
      <c r="XE16">
        <f ca="1">NETWORKDAYS(XE9, XE13)</f>
        <v>2788</v>
      </c>
      <c r="XF16">
        <f ca="1">NETWORKDAYS(XF9, XF13)</f>
        <v>6290</v>
      </c>
      <c r="XG16">
        <f ca="1">NETWORKDAYS(XG9, XG13)</f>
        <v>3044</v>
      </c>
      <c r="XH16">
        <f ca="1">NETWORKDAYS(XH9, XH13)</f>
        <v>4000</v>
      </c>
      <c r="XI16">
        <f ca="1">NETWORKDAYS(XI9, XI13)</f>
        <v>6406</v>
      </c>
      <c r="XJ16">
        <f ca="1">NETWORKDAYS(XJ9, XJ13)</f>
        <v>5517</v>
      </c>
      <c r="XK16">
        <f ca="1">NETWORKDAYS(XK9, XK13)</f>
        <v>2076</v>
      </c>
      <c r="XL16">
        <f ca="1">NETWORKDAYS(XL9, XL13)</f>
        <v>4931</v>
      </c>
      <c r="XM16">
        <f ca="1">NETWORKDAYS(XM9, XM13)</f>
        <v>5323</v>
      </c>
      <c r="XN16">
        <f ca="1">NETWORKDAYS(XN9, XN13)</f>
        <v>2453</v>
      </c>
      <c r="XO16">
        <f ca="1">NETWORKDAYS(XO9, XO13)</f>
        <v>5911</v>
      </c>
      <c r="XP16">
        <f ca="1">NETWORKDAYS(XP9, XP13)</f>
        <v>3258</v>
      </c>
      <c r="XQ16">
        <f ca="1">NETWORKDAYS(XQ9, XQ13)</f>
        <v>1776</v>
      </c>
      <c r="XR16">
        <f ca="1">NETWORKDAYS(XR9, XR13)</f>
        <v>6508</v>
      </c>
      <c r="XS16">
        <f ca="1">NETWORKDAYS(XS9, XS13)</f>
        <v>5437</v>
      </c>
      <c r="XT16">
        <f ca="1">NETWORKDAYS(XT9, XT13)</f>
        <v>2864</v>
      </c>
      <c r="XU16">
        <f ca="1">NETWORKDAYS(XU9, XU13)</f>
        <v>5450</v>
      </c>
      <c r="XV16">
        <f ca="1">NETWORKDAYS(XV9, XV13)</f>
        <v>3069</v>
      </c>
      <c r="XW16">
        <f ca="1">NETWORKDAYS(XW9, XW13)</f>
        <v>5026</v>
      </c>
      <c r="XX16">
        <f ca="1">NETWORKDAYS(XX9, XX13)</f>
        <v>5154</v>
      </c>
      <c r="XY16">
        <f ca="1">NETWORKDAYS(XY9, XY13)</f>
        <v>2733</v>
      </c>
      <c r="XZ16">
        <f ca="1">NETWORKDAYS(XZ9, XZ13)</f>
        <v>5384</v>
      </c>
      <c r="YA16">
        <f ca="1">NETWORKDAYS(YA9, YA13)</f>
        <v>5994</v>
      </c>
      <c r="YB16">
        <f ca="1">NETWORKDAYS(YB9, YB13)</f>
        <v>2232</v>
      </c>
      <c r="YC16">
        <f ca="1">NETWORKDAYS(YC9, YC13)</f>
        <v>4029</v>
      </c>
      <c r="YD16">
        <f ca="1">NETWORKDAYS(YD9, YD13)</f>
        <v>4542</v>
      </c>
      <c r="YE16">
        <f ca="1">NETWORKDAYS(YE9, YE13)</f>
        <v>2701</v>
      </c>
      <c r="YF16">
        <f ca="1">NETWORKDAYS(YF9, YF13)</f>
        <v>1959</v>
      </c>
      <c r="YG16">
        <f ca="1">NETWORKDAYS(YG9, YG13)</f>
        <v>2389</v>
      </c>
      <c r="YH16">
        <f ca="1">NETWORKDAYS(YH9, YH13)</f>
        <v>4853</v>
      </c>
      <c r="YI16">
        <f ca="1">NETWORKDAYS(YI9, YI13)</f>
        <v>6284</v>
      </c>
      <c r="YJ16">
        <f ca="1">NETWORKDAYS(YJ9, YJ13)</f>
        <v>1915</v>
      </c>
      <c r="YK16">
        <f ca="1">NETWORKDAYS(YK9, YK13)</f>
        <v>4426</v>
      </c>
      <c r="YL16">
        <f ca="1">NETWORKDAYS(YL9, YL13)</f>
        <v>5113</v>
      </c>
      <c r="YM16">
        <f ca="1">NETWORKDAYS(YM9, YM13)</f>
        <v>2129</v>
      </c>
      <c r="YN16">
        <f ca="1">NETWORKDAYS(YN9, YN13)</f>
        <v>3928</v>
      </c>
      <c r="YO16">
        <f ca="1">NETWORKDAYS(YO9, YO13)</f>
        <v>3795</v>
      </c>
      <c r="YP16">
        <f ca="1">NETWORKDAYS(YP9, YP13)</f>
        <v>5098</v>
      </c>
      <c r="YQ16">
        <f ca="1">NETWORKDAYS(YQ9, YQ13)</f>
        <v>3389</v>
      </c>
      <c r="YR16">
        <f ca="1">NETWORKDAYS(YR9, YR13)</f>
        <v>2101</v>
      </c>
      <c r="YS16">
        <f ca="1">NETWORKDAYS(YS9, YS13)</f>
        <v>3254</v>
      </c>
      <c r="YT16">
        <f ca="1">NETWORKDAYS(YT9, YT13)</f>
        <v>3076</v>
      </c>
      <c r="YU16">
        <f ca="1">NETWORKDAYS(YU9, YU13)</f>
        <v>2849</v>
      </c>
      <c r="YV16">
        <f ca="1">NETWORKDAYS(YV9, YV13)</f>
        <v>5419</v>
      </c>
      <c r="YW16">
        <f ca="1">NETWORKDAYS(YW9, YW13)</f>
        <v>6079</v>
      </c>
      <c r="YX16">
        <f ca="1">NETWORKDAYS(YX9, YX13)</f>
        <v>6165</v>
      </c>
      <c r="YY16">
        <f ca="1">NETWORKDAYS(YY9, YY13)</f>
        <v>6819</v>
      </c>
      <c r="YZ16">
        <f ca="1">NETWORKDAYS(YZ9, YZ13)</f>
        <v>5484</v>
      </c>
      <c r="ZA16">
        <f ca="1">NETWORKDAYS(ZA9, ZA13)</f>
        <v>2732</v>
      </c>
      <c r="ZB16">
        <f ca="1">NETWORKDAYS(ZB9, ZB13)</f>
        <v>2577</v>
      </c>
      <c r="ZC16">
        <f ca="1">NETWORKDAYS(ZC9, ZC13)</f>
        <v>3161</v>
      </c>
      <c r="ZD16">
        <f ca="1">NETWORKDAYS(ZD9, ZD13)</f>
        <v>1957</v>
      </c>
      <c r="ZE16">
        <f ca="1">NETWORKDAYS(ZE9, ZE13)</f>
        <v>5628</v>
      </c>
      <c r="ZF16">
        <f ca="1">NETWORKDAYS(ZF9, ZF13)</f>
        <v>2360</v>
      </c>
      <c r="ZG16">
        <f ca="1">NETWORKDAYS(ZG9, ZG13)</f>
        <v>4829</v>
      </c>
      <c r="ZH16">
        <f ca="1">NETWORKDAYS(ZH9, ZH13)</f>
        <v>4436</v>
      </c>
      <c r="ZI16">
        <f ca="1">NETWORKDAYS(ZI9, ZI13)</f>
        <v>5063</v>
      </c>
      <c r="ZJ16">
        <f ca="1">NETWORKDAYS(ZJ9, ZJ13)</f>
        <v>1831</v>
      </c>
      <c r="ZK16">
        <f ca="1">NETWORKDAYS(ZK9, ZK13)</f>
        <v>2906</v>
      </c>
      <c r="ZL16">
        <f ca="1">NETWORKDAYS(ZL9, ZL13)</f>
        <v>2636</v>
      </c>
      <c r="ZM16">
        <f ca="1">NETWORKDAYS(ZM9, ZM13)</f>
        <v>5650</v>
      </c>
      <c r="ZN16">
        <f ca="1">NETWORKDAYS(ZN9, ZN13)</f>
        <v>3540</v>
      </c>
      <c r="ZO16">
        <f ca="1">NETWORKDAYS(ZO9, ZO13)</f>
        <v>5719</v>
      </c>
      <c r="ZP16">
        <f ca="1">NETWORKDAYS(ZP9, ZP13)</f>
        <v>5602</v>
      </c>
      <c r="ZQ16">
        <f ca="1">NETWORKDAYS(ZQ9, ZQ13)</f>
        <v>6298</v>
      </c>
      <c r="ZR16">
        <f ca="1">NETWORKDAYS(ZR9, ZR13)</f>
        <v>5299</v>
      </c>
      <c r="ZS16">
        <f ca="1">NETWORKDAYS(ZS9, ZS13)</f>
        <v>5874</v>
      </c>
      <c r="ZT16">
        <f ca="1">NETWORKDAYS(ZT9, ZT13)</f>
        <v>4357</v>
      </c>
      <c r="ZU16">
        <f ca="1">NETWORKDAYS(ZU9, ZU13)</f>
        <v>5934</v>
      </c>
      <c r="ZV16">
        <f ca="1">NETWORKDAYS(ZV9, ZV13)</f>
        <v>5564</v>
      </c>
      <c r="ZW16">
        <f ca="1">NETWORKDAYS(ZW9, ZW13)</f>
        <v>4019</v>
      </c>
      <c r="ZX16">
        <f ca="1">NETWORKDAYS(ZX9, ZX13)</f>
        <v>2591</v>
      </c>
      <c r="ZY16">
        <f ca="1">NETWORKDAYS(ZY9, ZY13)</f>
        <v>2335</v>
      </c>
      <c r="ZZ16">
        <f ca="1">NETWORKDAYS(ZZ9, ZZ13)</f>
        <v>4978</v>
      </c>
      <c r="AAA16">
        <f ca="1">NETWORKDAYS(AAA9, AAA13)</f>
        <v>6555</v>
      </c>
      <c r="AAB16">
        <f ca="1">NETWORKDAYS(AAB9, AAB13)</f>
        <v>4961</v>
      </c>
      <c r="AAC16">
        <f ca="1">NETWORKDAYS(AAC9, AAC13)</f>
        <v>5093</v>
      </c>
      <c r="AAD16">
        <f ca="1">NETWORKDAYS(AAD9, AAD13)</f>
        <v>5648</v>
      </c>
      <c r="AAE16">
        <f ca="1">NETWORKDAYS(AAE9, AAE13)</f>
        <v>6669</v>
      </c>
      <c r="AAF16">
        <f ca="1">NETWORKDAYS(AAF9, AAF13)</f>
        <v>4314</v>
      </c>
      <c r="AAG16">
        <f ca="1">NETWORKDAYS(AAG9, AAG13)</f>
        <v>2769</v>
      </c>
      <c r="AAH16">
        <f ca="1">NETWORKDAYS(AAH9, AAH13)</f>
        <v>4082</v>
      </c>
      <c r="AAI16">
        <f ca="1">NETWORKDAYS(AAI9, AAI13)</f>
        <v>4624</v>
      </c>
      <c r="AAJ16">
        <f ca="1">NETWORKDAYS(AAJ9, AAJ13)</f>
        <v>6021</v>
      </c>
      <c r="AAK16">
        <f ca="1">NETWORKDAYS(AAK9, AAK13)</f>
        <v>5728</v>
      </c>
      <c r="AAL16">
        <f ca="1">NETWORKDAYS(AAL9, AAL13)</f>
        <v>4169</v>
      </c>
      <c r="AAM16">
        <f ca="1">NETWORKDAYS(AAM9, AAM13)</f>
        <v>5299</v>
      </c>
      <c r="AAN16">
        <f ca="1">NETWORKDAYS(AAN9, AAN13)</f>
        <v>2989</v>
      </c>
      <c r="AAO16">
        <f ca="1">NETWORKDAYS(AAO9, AAO13)</f>
        <v>4374</v>
      </c>
      <c r="AAP16">
        <f ca="1">NETWORKDAYS(AAP9, AAP13)</f>
        <v>6626</v>
      </c>
      <c r="AAQ16">
        <f ca="1">NETWORKDAYS(AAQ9, AAQ13)</f>
        <v>4199</v>
      </c>
      <c r="AAR16">
        <f ca="1">NETWORKDAYS(AAR9, AAR13)</f>
        <v>3944</v>
      </c>
      <c r="AAS16">
        <f ca="1">NETWORKDAYS(AAS9, AAS13)</f>
        <v>1736</v>
      </c>
      <c r="AAT16">
        <f ca="1">NETWORKDAYS(AAT9, AAT13)</f>
        <v>2654</v>
      </c>
      <c r="AAU16">
        <f ca="1">NETWORKDAYS(AAU9, AAU13)</f>
        <v>3369</v>
      </c>
      <c r="AAV16">
        <f ca="1">NETWORKDAYS(AAV9, AAV13)</f>
        <v>6663</v>
      </c>
      <c r="AAW16">
        <f ca="1">NETWORKDAYS(AAW9, AAW13)</f>
        <v>5005</v>
      </c>
      <c r="AAX16">
        <f ca="1">NETWORKDAYS(AAX9, AAX13)</f>
        <v>3890</v>
      </c>
      <c r="AAY16">
        <f ca="1">NETWORKDAYS(AAY9, AAY13)</f>
        <v>3752</v>
      </c>
      <c r="AAZ16">
        <f ca="1">NETWORKDAYS(AAZ9, AAZ13)</f>
        <v>3497</v>
      </c>
      <c r="ABA16">
        <f ca="1">NETWORKDAYS(ABA9, ABA13)</f>
        <v>1768</v>
      </c>
      <c r="ABB16">
        <f ca="1">NETWORKDAYS(ABB9, ABB13)</f>
        <v>4797</v>
      </c>
      <c r="ABC16">
        <f ca="1">NETWORKDAYS(ABC9, ABC13)</f>
        <v>6324</v>
      </c>
      <c r="ABD16">
        <f ca="1">NETWORKDAYS(ABD9, ABD13)</f>
        <v>2034</v>
      </c>
      <c r="ABE16">
        <f ca="1">NETWORKDAYS(ABE9, ABE13)</f>
        <v>6434</v>
      </c>
      <c r="ABF16">
        <f ca="1">NETWORKDAYS(ABF9, ABF13)</f>
        <v>6684</v>
      </c>
      <c r="ABG16">
        <f ca="1">NETWORKDAYS(ABG9, ABG13)</f>
        <v>5844</v>
      </c>
      <c r="ABH16">
        <f ca="1">NETWORKDAYS(ABH9, ABH13)</f>
        <v>4815</v>
      </c>
      <c r="ABI16">
        <f ca="1">NETWORKDAYS(ABI9, ABI13)</f>
        <v>2074</v>
      </c>
      <c r="ABJ16">
        <f ca="1">NETWORKDAYS(ABJ9, ABJ13)</f>
        <v>5324</v>
      </c>
      <c r="ABK16">
        <f ca="1">NETWORKDAYS(ABK9, ABK13)</f>
        <v>2742</v>
      </c>
      <c r="ABL16">
        <f ca="1">NETWORKDAYS(ABL9, ABL13)</f>
        <v>3818</v>
      </c>
      <c r="ABM16">
        <f ca="1">NETWORKDAYS(ABM9, ABM13)</f>
        <v>3983</v>
      </c>
      <c r="ABN16">
        <f ca="1">NETWORKDAYS(ABN9, ABN13)</f>
        <v>2399</v>
      </c>
      <c r="ABO16">
        <f ca="1">NETWORKDAYS(ABO9, ABO13)</f>
        <v>3734</v>
      </c>
      <c r="ABP16">
        <f ca="1">NETWORKDAYS(ABP9, ABP13)</f>
        <v>4634</v>
      </c>
      <c r="ABQ16">
        <f ca="1">NETWORKDAYS(ABQ9, ABQ13)</f>
        <v>2519</v>
      </c>
      <c r="ABR16">
        <f ca="1">NETWORKDAYS(ABR9, ABR13)</f>
        <v>1722</v>
      </c>
      <c r="ABS16">
        <f ca="1">NETWORKDAYS(ABS9, ABS13)</f>
        <v>1689</v>
      </c>
      <c r="ABT16">
        <f ca="1">NETWORKDAYS(ABT9, ABT13)</f>
        <v>6804</v>
      </c>
      <c r="ABU16">
        <f ca="1">NETWORKDAYS(ABU9, ABU13)</f>
        <v>6473</v>
      </c>
      <c r="ABV16">
        <f ca="1">NETWORKDAYS(ABV9, ABV13)</f>
        <v>4846</v>
      </c>
      <c r="ABW16">
        <f ca="1">NETWORKDAYS(ABW9, ABW13)</f>
        <v>4855</v>
      </c>
      <c r="ABX16">
        <f ca="1">NETWORKDAYS(ABX9, ABX13)</f>
        <v>4969</v>
      </c>
      <c r="ABY16">
        <f ca="1">NETWORKDAYS(ABY9, ABY13)</f>
        <v>5528</v>
      </c>
      <c r="ABZ16">
        <f ca="1">NETWORKDAYS(ABZ9, ABZ13)</f>
        <v>3504</v>
      </c>
      <c r="ACA16">
        <f ca="1">NETWORKDAYS(ACA9, ACA13)</f>
        <v>6008</v>
      </c>
      <c r="ACB16">
        <f ca="1">NETWORKDAYS(ACB9, ACB13)</f>
        <v>3269</v>
      </c>
      <c r="ACC16">
        <f ca="1">NETWORKDAYS(ACC9, ACC13)</f>
        <v>5234</v>
      </c>
      <c r="ACD16">
        <f ca="1">NETWORKDAYS(ACD9, ACD13)</f>
        <v>2304</v>
      </c>
      <c r="ACE16">
        <f ca="1">NETWORKDAYS(ACE9, ACE13)</f>
        <v>6544</v>
      </c>
      <c r="ACF16">
        <f ca="1">NETWORKDAYS(ACF9, ACF13)</f>
        <v>5219</v>
      </c>
      <c r="ACG16">
        <f ca="1">NETWORKDAYS(ACG9, ACG13)</f>
        <v>1910</v>
      </c>
      <c r="ACH16">
        <f ca="1">NETWORKDAYS(ACH9, ACH13)</f>
        <v>6051</v>
      </c>
      <c r="ACI16">
        <f ca="1">NETWORKDAYS(ACI9, ACI13)</f>
        <v>3369</v>
      </c>
      <c r="ACJ16">
        <f ca="1">NETWORKDAYS(ACJ9, ACJ13)</f>
        <v>3513</v>
      </c>
      <c r="ACK16">
        <f ca="1">NETWORKDAYS(ACK9, ACK13)</f>
        <v>4443</v>
      </c>
      <c r="ACL16">
        <f ca="1">NETWORKDAYS(ACL9, ACL13)</f>
        <v>5114</v>
      </c>
      <c r="ACM16">
        <f ca="1">NETWORKDAYS(ACM9, ACM13)</f>
        <v>2832</v>
      </c>
      <c r="ACN16">
        <f ca="1">NETWORKDAYS(ACN9, ACN13)</f>
        <v>5459</v>
      </c>
      <c r="ACO16">
        <f ca="1">NETWORKDAYS(ACO9, ACO13)</f>
        <v>1812</v>
      </c>
      <c r="ACP16">
        <f ca="1">NETWORKDAYS(ACP9, ACP13)</f>
        <v>2936</v>
      </c>
      <c r="ACQ16">
        <f ca="1">NETWORKDAYS(ACQ9, ACQ13)</f>
        <v>6694</v>
      </c>
      <c r="ACR16">
        <f ca="1">NETWORKDAYS(ACR9, ACR13)</f>
        <v>1703</v>
      </c>
      <c r="ACS16">
        <f ca="1">NETWORKDAYS(ACS9, ACS13)</f>
        <v>1769</v>
      </c>
      <c r="ACT16">
        <f ca="1">NETWORKDAYS(ACT9, ACT13)</f>
        <v>2789</v>
      </c>
      <c r="ACU16">
        <f ca="1">NETWORKDAYS(ACU9, ACU13)</f>
        <v>6791</v>
      </c>
      <c r="ACV16">
        <f ca="1">NETWORKDAYS(ACV9, ACV13)</f>
        <v>6472</v>
      </c>
      <c r="ACW16">
        <f ca="1">NETWORKDAYS(ACW9, ACW13)</f>
        <v>4294</v>
      </c>
      <c r="ACX16">
        <f ca="1">NETWORKDAYS(ACX9, ACX13)</f>
        <v>2280</v>
      </c>
      <c r="ACY16">
        <f ca="1">NETWORKDAYS(ACY9, ACY13)</f>
        <v>3657</v>
      </c>
      <c r="ACZ16">
        <f ca="1">NETWORKDAYS(ACZ9, ACZ13)</f>
        <v>5794</v>
      </c>
      <c r="ADA16">
        <f ca="1">NETWORKDAYS(ADA9, ADA13)</f>
        <v>3161</v>
      </c>
      <c r="ADB16">
        <f ca="1">NETWORKDAYS(ADB9, ADB13)</f>
        <v>2541</v>
      </c>
      <c r="ADC16">
        <f ca="1">NETWORKDAYS(ADC9, ADC13)</f>
        <v>5659</v>
      </c>
      <c r="ADD16">
        <f ca="1">NETWORKDAYS(ADD9, ADD13)</f>
        <v>6335</v>
      </c>
      <c r="ADE16">
        <f ca="1">NETWORKDAYS(ADE9, ADE13)</f>
        <v>5679</v>
      </c>
      <c r="ADF16">
        <f ca="1">NETWORKDAYS(ADF9, ADF13)</f>
        <v>1959</v>
      </c>
      <c r="ADG16">
        <f ca="1">NETWORKDAYS(ADG9, ADG13)</f>
        <v>3445</v>
      </c>
      <c r="ADH16">
        <f ca="1">NETWORKDAYS(ADH9, ADH13)</f>
        <v>4136</v>
      </c>
      <c r="ADI16">
        <f ca="1">NETWORKDAYS(ADI9, ADI13)</f>
        <v>5879</v>
      </c>
      <c r="ADJ16">
        <f ca="1">NETWORKDAYS(ADJ9, ADJ13)</f>
        <v>6594</v>
      </c>
      <c r="ADK16">
        <f ca="1">NETWORKDAYS(ADK9, ADK13)</f>
        <v>4135</v>
      </c>
      <c r="ADL16">
        <f ca="1">NETWORKDAYS(ADL9, ADL13)</f>
        <v>6458</v>
      </c>
      <c r="ADM16">
        <f ca="1">NETWORKDAYS(ADM9, ADM13)</f>
        <v>6587</v>
      </c>
      <c r="ADN16">
        <f ca="1">NETWORKDAYS(ADN9, ADN13)</f>
        <v>4309</v>
      </c>
      <c r="ADO16">
        <f ca="1">NETWORKDAYS(ADO9, ADO13)</f>
        <v>3252</v>
      </c>
      <c r="ADP16">
        <f ca="1">NETWORKDAYS(ADP9, ADP13)</f>
        <v>6139</v>
      </c>
      <c r="ADQ16">
        <f ca="1">NETWORKDAYS(ADQ9, ADQ13)</f>
        <v>2474</v>
      </c>
      <c r="ADR16">
        <f ca="1">NETWORKDAYS(ADR9, ADR13)</f>
        <v>2377</v>
      </c>
      <c r="ADS16">
        <f ca="1">NETWORKDAYS(ADS9, ADS13)</f>
        <v>5879</v>
      </c>
      <c r="ADT16">
        <f ca="1">NETWORKDAYS(ADT9, ADT13)</f>
        <v>2774</v>
      </c>
      <c r="ADU16">
        <f ca="1">NETWORKDAYS(ADU9, ADU13)</f>
        <v>2553</v>
      </c>
      <c r="ADV16">
        <f ca="1">NETWORKDAYS(ADV9, ADV13)</f>
        <v>4690</v>
      </c>
      <c r="ADW16">
        <f ca="1">NETWORKDAYS(ADW9, ADW13)</f>
        <v>6464</v>
      </c>
      <c r="ADX16">
        <f ca="1">NETWORKDAYS(ADX9, ADX13)</f>
        <v>2092</v>
      </c>
      <c r="ADY16">
        <f ca="1">NETWORKDAYS(ADY9, ADY13)</f>
        <v>1659</v>
      </c>
      <c r="ADZ16">
        <f ca="1">NETWORKDAYS(ADZ9, ADZ13)</f>
        <v>6175</v>
      </c>
      <c r="AEA16">
        <f ca="1">NETWORKDAYS(AEA9, AEA13)</f>
        <v>4871</v>
      </c>
      <c r="AEB16">
        <f ca="1">NETWORKDAYS(AEB9, AEB13)</f>
        <v>5209</v>
      </c>
      <c r="AEC16">
        <f ca="1">NETWORKDAYS(AEC9, AEC13)</f>
        <v>5449</v>
      </c>
      <c r="AED16">
        <f ca="1">NETWORKDAYS(AED9, AED13)</f>
        <v>4034</v>
      </c>
      <c r="AEE16">
        <f ca="1">NETWORKDAYS(AEE9, AEE13)</f>
        <v>2995</v>
      </c>
      <c r="AEF16">
        <f ca="1">NETWORKDAYS(AEF9, AEF13)</f>
        <v>1716</v>
      </c>
      <c r="AEG16">
        <f ca="1">NETWORKDAYS(AEG9, AEG13)</f>
        <v>5024</v>
      </c>
      <c r="AEH16">
        <f ca="1">NETWORKDAYS(AEH9, AEH13)</f>
        <v>5471</v>
      </c>
      <c r="AEI16">
        <f ca="1">NETWORKDAYS(AEI9, AEI13)</f>
        <v>4439</v>
      </c>
      <c r="AEJ16">
        <f ca="1">NETWORKDAYS(AEJ9, AEJ13)</f>
        <v>5702</v>
      </c>
      <c r="AEK16">
        <f ca="1">NETWORKDAYS(AEK9, AEK13)</f>
        <v>4750</v>
      </c>
      <c r="AEL16">
        <f ca="1">NETWORKDAYS(AEL9, AEL13)</f>
        <v>4250</v>
      </c>
      <c r="AEM16">
        <f ca="1">NETWORKDAYS(AEM9, AEM13)</f>
        <v>2934</v>
      </c>
      <c r="AEN16">
        <f ca="1">NETWORKDAYS(AEN9, AEN13)</f>
        <v>5966</v>
      </c>
      <c r="AEO16">
        <f ca="1">NETWORKDAYS(AEO9, AEO13)</f>
        <v>5440</v>
      </c>
      <c r="AEP16">
        <f ca="1">NETWORKDAYS(AEP9, AEP13)</f>
        <v>1761</v>
      </c>
      <c r="AEQ16">
        <f ca="1">NETWORKDAYS(AEQ9, AEQ13)</f>
        <v>6150</v>
      </c>
      <c r="AER16">
        <f ca="1">NETWORKDAYS(AER9, AER13)</f>
        <v>3226</v>
      </c>
      <c r="AES16">
        <f ca="1">NETWORKDAYS(AES9, AES13)</f>
        <v>3274</v>
      </c>
      <c r="AET16">
        <f ca="1">NETWORKDAYS(AET9, AET13)</f>
        <v>2944</v>
      </c>
      <c r="AEU16">
        <f ca="1">NETWORKDAYS(AEU9, AEU13)</f>
        <v>4213</v>
      </c>
      <c r="AEV16">
        <f ca="1">NETWORKDAYS(AEV9, AEV13)</f>
        <v>3759</v>
      </c>
      <c r="AEW16">
        <f ca="1">NETWORKDAYS(AEW9, AEW13)</f>
        <v>6395</v>
      </c>
      <c r="AEX16">
        <f ca="1">NETWORKDAYS(AEX9, AEX13)</f>
        <v>3663</v>
      </c>
      <c r="AEY16">
        <f ca="1">NETWORKDAYS(AEY9, AEY13)</f>
        <v>3420</v>
      </c>
      <c r="AEZ16">
        <f ca="1">NETWORKDAYS(AEZ9, AEZ13)</f>
        <v>1969</v>
      </c>
      <c r="AFA16">
        <f ca="1">NETWORKDAYS(AFA9, AFA13)</f>
        <v>3464</v>
      </c>
      <c r="AFB16">
        <f ca="1">NETWORKDAYS(AFB9, AFB13)</f>
        <v>5145</v>
      </c>
      <c r="AFC16">
        <f ca="1">NETWORKDAYS(AFC9, AFC13)</f>
        <v>4734</v>
      </c>
      <c r="AFD16">
        <f ca="1">NETWORKDAYS(AFD9, AFD13)</f>
        <v>4484</v>
      </c>
      <c r="AFE16">
        <f ca="1">NETWORKDAYS(AFE9, AFE13)</f>
        <v>6005</v>
      </c>
      <c r="AFF16">
        <f ca="1">NETWORKDAYS(AFF9, AFF13)</f>
        <v>2232</v>
      </c>
      <c r="AFG16">
        <f ca="1">NETWORKDAYS(AFG9, AFG13)</f>
        <v>3448</v>
      </c>
      <c r="AFH16">
        <f ca="1">NETWORKDAYS(AFH9, AFH13)</f>
        <v>2249</v>
      </c>
      <c r="AFI16">
        <f ca="1">NETWORKDAYS(AFI9, AFI13)</f>
        <v>6560</v>
      </c>
      <c r="AFJ16">
        <f ca="1">NETWORKDAYS(AFJ9, AFJ13)</f>
        <v>4119</v>
      </c>
      <c r="AFK16">
        <f ca="1">NETWORKDAYS(AFK9, AFK13)</f>
        <v>5120</v>
      </c>
      <c r="AFL16">
        <f ca="1">NETWORKDAYS(AFL9, AFL13)</f>
        <v>3365</v>
      </c>
      <c r="AFM16">
        <f ca="1">NETWORKDAYS(AFM9, AFM13)</f>
        <v>3345</v>
      </c>
      <c r="AFN16">
        <f ca="1">NETWORKDAYS(AFN9, AFN13)</f>
        <v>3249</v>
      </c>
      <c r="AFO16">
        <f ca="1">NETWORKDAYS(AFO9, AFO13)</f>
        <v>2507</v>
      </c>
      <c r="AFP16">
        <f ca="1">NETWORKDAYS(AFP9, AFP13)</f>
        <v>3797</v>
      </c>
      <c r="AFQ16">
        <f ca="1">NETWORKDAYS(AFQ9, AFQ13)</f>
        <v>3391</v>
      </c>
      <c r="AFR16">
        <f ca="1">NETWORKDAYS(AFR9, AFR13)</f>
        <v>6425</v>
      </c>
      <c r="AFS16">
        <f ca="1">NETWORKDAYS(AFS9, AFS13)</f>
        <v>6254</v>
      </c>
      <c r="AFT16">
        <f ca="1">NETWORKDAYS(AFT9, AFT13)</f>
        <v>5949</v>
      </c>
      <c r="AFU16">
        <f ca="1">NETWORKDAYS(AFU9, AFU13)</f>
        <v>6752</v>
      </c>
      <c r="AFV16">
        <f ca="1">NETWORKDAYS(AFV9, AFV13)</f>
        <v>2506</v>
      </c>
      <c r="AFW16">
        <f ca="1">NETWORKDAYS(AFW9, AFW13)</f>
        <v>3669</v>
      </c>
      <c r="AFX16">
        <f ca="1">NETWORKDAYS(AFX9, AFX13)</f>
        <v>5501</v>
      </c>
      <c r="AFY16">
        <f ca="1">NETWORKDAYS(AFY9, AFY13)</f>
        <v>6466</v>
      </c>
      <c r="AFZ16">
        <f ca="1">NETWORKDAYS(AFZ9, AFZ13)</f>
        <v>4609</v>
      </c>
      <c r="AGA16">
        <f ca="1">NETWORKDAYS(AGA9, AGA13)</f>
        <v>3823</v>
      </c>
      <c r="AGB16">
        <f ca="1">NETWORKDAYS(AGB9, AGB13)</f>
        <v>3087</v>
      </c>
      <c r="AGC16">
        <f ca="1">NETWORKDAYS(AGC9, AGC13)</f>
        <v>1983</v>
      </c>
      <c r="AGD16">
        <f ca="1">NETWORKDAYS(AGD9, AGD13)</f>
        <v>4555</v>
      </c>
      <c r="AGE16">
        <f ca="1">NETWORKDAYS(AGE9, AGE13)</f>
        <v>4850</v>
      </c>
      <c r="AGF16">
        <f ca="1">NETWORKDAYS(AGF9, AGF13)</f>
        <v>1781</v>
      </c>
      <c r="AGG16">
        <f ca="1">NETWORKDAYS(AGG9, AGG13)</f>
        <v>5327</v>
      </c>
      <c r="AGH16">
        <f ca="1">NETWORKDAYS(AGH9, AGH13)</f>
        <v>2257</v>
      </c>
      <c r="AGI16">
        <f ca="1">NETWORKDAYS(AGI9, AGI13)</f>
        <v>5975</v>
      </c>
      <c r="AGJ16">
        <f ca="1">NETWORKDAYS(AGJ9, AGJ13)</f>
        <v>6107</v>
      </c>
      <c r="AGK16">
        <f ca="1">NETWORKDAYS(AGK9, AGK13)</f>
        <v>2979</v>
      </c>
      <c r="AGL16">
        <f ca="1">NETWORKDAYS(AGL9, AGL13)</f>
        <v>3899</v>
      </c>
      <c r="AGM16">
        <f ca="1">NETWORKDAYS(AGM9, AGM13)</f>
        <v>3796</v>
      </c>
      <c r="AGN16">
        <f ca="1">NETWORKDAYS(AGN9, AGN13)</f>
        <v>2962</v>
      </c>
      <c r="AGO16">
        <f ca="1">NETWORKDAYS(AGO9, AGO13)</f>
        <v>1827</v>
      </c>
      <c r="AGP16">
        <f ca="1">NETWORKDAYS(AGP9, AGP13)</f>
        <v>2843</v>
      </c>
      <c r="AGQ16">
        <f ca="1">NETWORKDAYS(AGQ9, AGQ13)</f>
        <v>6484</v>
      </c>
      <c r="AGR16">
        <f ca="1">NETWORKDAYS(AGR9, AGR13)</f>
        <v>3604</v>
      </c>
      <c r="AGS16">
        <f ca="1">NETWORKDAYS(AGS9, AGS13)</f>
        <v>4836</v>
      </c>
      <c r="AGT16">
        <f ca="1">NETWORKDAYS(AGT9, AGT13)</f>
        <v>32929</v>
      </c>
      <c r="AGU16">
        <f ca="1">NETWORKDAYS(AGU9, AGU13)</f>
        <v>32929</v>
      </c>
      <c r="AGV16">
        <f ca="1">NETWORKDAYS(AGV9, AGV13)</f>
        <v>32929</v>
      </c>
      <c r="AGW16">
        <f ca="1">NETWORKDAYS(AGW9, AGW13)</f>
        <v>32929</v>
      </c>
      <c r="AGX16">
        <f ca="1">NETWORKDAYS(AGX9, AGX13)</f>
        <v>32929</v>
      </c>
      <c r="AGY16">
        <f ca="1">NETWORKDAYS(AGY9, AGY13)</f>
        <v>32929</v>
      </c>
      <c r="AGZ16">
        <f ca="1">NETWORKDAYS(AGZ9, AGZ13)</f>
        <v>32929</v>
      </c>
      <c r="AHA16">
        <f ca="1">NETWORKDAYS(AHA9, AHA13)</f>
        <v>32929</v>
      </c>
    </row>
    <row r="17" spans="1:885" x14ac:dyDescent="0.25">
      <c r="A17" s="1" t="s">
        <v>6</v>
      </c>
      <c r="B17">
        <v>48</v>
      </c>
      <c r="C17">
        <v>53</v>
      </c>
      <c r="D17">
        <v>33</v>
      </c>
      <c r="E17">
        <v>26</v>
      </c>
      <c r="F17">
        <v>28</v>
      </c>
      <c r="G17">
        <v>43</v>
      </c>
      <c r="H17">
        <v>48</v>
      </c>
      <c r="I17">
        <v>36</v>
      </c>
      <c r="J17">
        <v>60</v>
      </c>
      <c r="K17">
        <v>56</v>
      </c>
      <c r="L17">
        <v>47</v>
      </c>
      <c r="M17">
        <v>44</v>
      </c>
      <c r="N17">
        <v>34</v>
      </c>
      <c r="O17">
        <v>47</v>
      </c>
      <c r="P17">
        <v>24</v>
      </c>
      <c r="Q17">
        <v>50</v>
      </c>
      <c r="R17">
        <v>23</v>
      </c>
      <c r="S17">
        <v>49</v>
      </c>
      <c r="T17">
        <v>44</v>
      </c>
      <c r="U17">
        <v>57</v>
      </c>
      <c r="V17">
        <v>27</v>
      </c>
      <c r="W17">
        <v>32</v>
      </c>
      <c r="X17">
        <v>59</v>
      </c>
      <c r="Y17">
        <v>55</v>
      </c>
      <c r="Z17">
        <v>38</v>
      </c>
      <c r="AA17">
        <v>24</v>
      </c>
      <c r="AB17">
        <v>55</v>
      </c>
      <c r="AC17">
        <v>43</v>
      </c>
      <c r="AD17">
        <v>50</v>
      </c>
      <c r="AE17">
        <v>50</v>
      </c>
      <c r="AF17">
        <v>26</v>
      </c>
      <c r="AG17">
        <v>31</v>
      </c>
      <c r="AH17">
        <v>31</v>
      </c>
      <c r="AI17">
        <v>30</v>
      </c>
      <c r="AJ17">
        <v>42</v>
      </c>
      <c r="AK17">
        <v>34</v>
      </c>
      <c r="AL17">
        <v>31</v>
      </c>
      <c r="AM17">
        <v>59</v>
      </c>
      <c r="AN17">
        <v>32</v>
      </c>
      <c r="AO17">
        <v>25</v>
      </c>
      <c r="AP17">
        <v>52</v>
      </c>
      <c r="AQ17">
        <v>55</v>
      </c>
      <c r="AR17">
        <v>63</v>
      </c>
      <c r="AS17">
        <v>56</v>
      </c>
      <c r="AT17">
        <v>60</v>
      </c>
      <c r="AU17">
        <v>60</v>
      </c>
      <c r="AV17">
        <v>54</v>
      </c>
      <c r="AW17">
        <v>29</v>
      </c>
      <c r="AX17">
        <v>53</v>
      </c>
      <c r="AY17">
        <v>54</v>
      </c>
      <c r="AZ17">
        <v>29</v>
      </c>
      <c r="BA17">
        <v>35</v>
      </c>
      <c r="BB17">
        <v>55</v>
      </c>
      <c r="BC17">
        <v>29</v>
      </c>
      <c r="BD17">
        <v>63</v>
      </c>
      <c r="BE17">
        <v>28</v>
      </c>
      <c r="BF17">
        <v>34</v>
      </c>
      <c r="BG17">
        <v>42</v>
      </c>
      <c r="BH17">
        <v>53</v>
      </c>
      <c r="BI17">
        <v>32</v>
      </c>
      <c r="BJ17">
        <v>35</v>
      </c>
      <c r="BK17">
        <v>32</v>
      </c>
      <c r="BL17">
        <v>23</v>
      </c>
      <c r="BM17">
        <v>55</v>
      </c>
      <c r="BN17">
        <v>38</v>
      </c>
      <c r="BO17">
        <v>35</v>
      </c>
      <c r="BP17">
        <v>46</v>
      </c>
      <c r="BQ17">
        <v>48</v>
      </c>
      <c r="BR17">
        <v>29</v>
      </c>
      <c r="BS17">
        <v>38</v>
      </c>
      <c r="BT17">
        <v>26</v>
      </c>
      <c r="BU17">
        <v>33</v>
      </c>
      <c r="BV17">
        <v>59</v>
      </c>
      <c r="BW17">
        <v>39</v>
      </c>
      <c r="BX17">
        <v>47</v>
      </c>
      <c r="BY17">
        <v>52</v>
      </c>
      <c r="BZ17">
        <v>58</v>
      </c>
      <c r="CA17">
        <v>27</v>
      </c>
      <c r="CB17">
        <v>62</v>
      </c>
      <c r="CC17">
        <v>36</v>
      </c>
      <c r="CD17">
        <v>63</v>
      </c>
      <c r="CE17">
        <v>47</v>
      </c>
      <c r="CF17">
        <v>33</v>
      </c>
      <c r="CG17">
        <v>62</v>
      </c>
      <c r="CH17">
        <v>35</v>
      </c>
      <c r="CI17">
        <v>22</v>
      </c>
      <c r="CJ17">
        <v>38</v>
      </c>
      <c r="CK17">
        <v>54</v>
      </c>
      <c r="CL17">
        <v>50</v>
      </c>
      <c r="CM17">
        <v>52</v>
      </c>
      <c r="CN17">
        <v>29</v>
      </c>
      <c r="CO17">
        <v>51</v>
      </c>
      <c r="CP17">
        <v>34</v>
      </c>
      <c r="CQ17">
        <v>37</v>
      </c>
      <c r="CR17">
        <v>23</v>
      </c>
      <c r="CS17">
        <v>39</v>
      </c>
      <c r="CT17">
        <v>56</v>
      </c>
      <c r="CU17">
        <v>40</v>
      </c>
      <c r="CV17">
        <v>34</v>
      </c>
      <c r="CW17">
        <v>25</v>
      </c>
      <c r="CX17">
        <v>40</v>
      </c>
      <c r="CY17">
        <v>46</v>
      </c>
      <c r="CZ17">
        <v>59</v>
      </c>
      <c r="DA17">
        <v>52</v>
      </c>
      <c r="DB17">
        <v>57</v>
      </c>
      <c r="DC17">
        <v>25</v>
      </c>
      <c r="DD17">
        <v>60</v>
      </c>
      <c r="DE17">
        <v>28</v>
      </c>
      <c r="DF17">
        <v>37</v>
      </c>
      <c r="DG17">
        <v>26</v>
      </c>
      <c r="DH17">
        <v>44</v>
      </c>
      <c r="DI17">
        <v>57</v>
      </c>
      <c r="DJ17">
        <v>53</v>
      </c>
      <c r="DK17">
        <v>45</v>
      </c>
      <c r="DL17">
        <v>46</v>
      </c>
      <c r="DM17">
        <v>49</v>
      </c>
      <c r="DN17">
        <v>40</v>
      </c>
      <c r="DO17">
        <v>28</v>
      </c>
      <c r="DP17">
        <v>62</v>
      </c>
      <c r="DQ17">
        <v>38</v>
      </c>
      <c r="DR17">
        <v>23</v>
      </c>
      <c r="DS17">
        <v>37</v>
      </c>
      <c r="DT17">
        <v>60</v>
      </c>
      <c r="DU17">
        <v>39</v>
      </c>
      <c r="DV17">
        <v>60</v>
      </c>
      <c r="DW17">
        <v>22</v>
      </c>
      <c r="DX17">
        <v>24</v>
      </c>
      <c r="DY17">
        <v>42</v>
      </c>
      <c r="DZ17">
        <v>51</v>
      </c>
      <c r="EA17">
        <v>32</v>
      </c>
      <c r="EB17">
        <v>43</v>
      </c>
      <c r="EC17">
        <v>46</v>
      </c>
      <c r="ED17">
        <v>24</v>
      </c>
      <c r="EE17">
        <v>51</v>
      </c>
      <c r="EF17">
        <v>45</v>
      </c>
      <c r="EG17">
        <v>57</v>
      </c>
      <c r="EH17">
        <v>44</v>
      </c>
      <c r="EI17">
        <v>29</v>
      </c>
      <c r="EJ17">
        <v>25</v>
      </c>
      <c r="EK17">
        <v>60</v>
      </c>
      <c r="EL17">
        <v>64</v>
      </c>
      <c r="EM17">
        <v>52</v>
      </c>
      <c r="EN17">
        <v>50</v>
      </c>
      <c r="EO17">
        <v>57</v>
      </c>
      <c r="EP17">
        <v>34</v>
      </c>
      <c r="EQ17">
        <v>62</v>
      </c>
      <c r="ER17">
        <v>30</v>
      </c>
      <c r="ES17">
        <v>42</v>
      </c>
      <c r="ET17">
        <v>24</v>
      </c>
      <c r="EU17">
        <v>46</v>
      </c>
      <c r="EV17">
        <v>46</v>
      </c>
      <c r="EW17">
        <v>33</v>
      </c>
      <c r="EX17">
        <v>50</v>
      </c>
      <c r="EY17">
        <v>32</v>
      </c>
      <c r="EZ17">
        <v>32</v>
      </c>
      <c r="FA17">
        <v>47</v>
      </c>
      <c r="FB17">
        <v>35</v>
      </c>
      <c r="FC17">
        <v>37</v>
      </c>
      <c r="FD17">
        <v>31</v>
      </c>
      <c r="FE17">
        <v>52</v>
      </c>
      <c r="FF17">
        <v>52</v>
      </c>
      <c r="FG17">
        <v>57</v>
      </c>
      <c r="FH17">
        <v>31</v>
      </c>
      <c r="FI17">
        <v>47</v>
      </c>
      <c r="FJ17">
        <v>41</v>
      </c>
      <c r="FK17">
        <v>30</v>
      </c>
      <c r="FL17">
        <v>36</v>
      </c>
      <c r="FM17">
        <v>30</v>
      </c>
      <c r="FN17">
        <v>28</v>
      </c>
      <c r="FO17">
        <v>47</v>
      </c>
      <c r="FP17">
        <v>45</v>
      </c>
      <c r="FQ17">
        <v>33</v>
      </c>
      <c r="FR17">
        <v>41</v>
      </c>
      <c r="FS17">
        <v>35</v>
      </c>
      <c r="FT17">
        <v>43</v>
      </c>
      <c r="FU17">
        <v>37</v>
      </c>
      <c r="FV17">
        <v>50</v>
      </c>
      <c r="FW17">
        <v>53</v>
      </c>
      <c r="FX17">
        <v>40</v>
      </c>
      <c r="FY17">
        <v>56</v>
      </c>
      <c r="FZ17">
        <v>64</v>
      </c>
      <c r="GA17">
        <v>53</v>
      </c>
      <c r="GB17">
        <v>41</v>
      </c>
      <c r="GC17">
        <v>61</v>
      </c>
      <c r="GD17">
        <v>41</v>
      </c>
      <c r="GE17">
        <v>29</v>
      </c>
      <c r="GF17">
        <v>56</v>
      </c>
      <c r="GG17">
        <v>63</v>
      </c>
      <c r="GH17">
        <v>34</v>
      </c>
      <c r="GI17">
        <v>62</v>
      </c>
      <c r="GJ17">
        <v>27</v>
      </c>
      <c r="GK17">
        <v>37</v>
      </c>
      <c r="GL17">
        <v>26</v>
      </c>
      <c r="GM17">
        <v>55</v>
      </c>
      <c r="GN17">
        <v>27</v>
      </c>
      <c r="GO17">
        <v>54</v>
      </c>
      <c r="GP17">
        <v>36</v>
      </c>
      <c r="GQ17">
        <v>36</v>
      </c>
      <c r="GR17">
        <v>35</v>
      </c>
      <c r="GS17">
        <v>60</v>
      </c>
      <c r="GT17">
        <v>26</v>
      </c>
      <c r="GU17">
        <v>47</v>
      </c>
      <c r="GV17">
        <v>38</v>
      </c>
      <c r="GW17">
        <v>64</v>
      </c>
      <c r="GX17">
        <v>37</v>
      </c>
      <c r="GY17">
        <v>56</v>
      </c>
      <c r="GZ17">
        <v>59</v>
      </c>
      <c r="HA17">
        <v>44</v>
      </c>
      <c r="HB17">
        <v>34</v>
      </c>
      <c r="HC17">
        <v>54</v>
      </c>
      <c r="HD17">
        <v>50</v>
      </c>
      <c r="HE17">
        <v>55</v>
      </c>
      <c r="HF17">
        <v>55</v>
      </c>
      <c r="HG17">
        <v>48</v>
      </c>
      <c r="HH17">
        <v>36</v>
      </c>
      <c r="HI17">
        <v>30</v>
      </c>
      <c r="HJ17">
        <v>47</v>
      </c>
      <c r="HK17">
        <v>24</v>
      </c>
      <c r="HL17">
        <v>57</v>
      </c>
      <c r="HM17">
        <v>26</v>
      </c>
      <c r="HN17">
        <v>41</v>
      </c>
      <c r="HO17">
        <v>41</v>
      </c>
      <c r="HP17">
        <v>26</v>
      </c>
      <c r="HQ17">
        <v>31</v>
      </c>
      <c r="HR17">
        <v>37</v>
      </c>
      <c r="HS17">
        <v>46</v>
      </c>
      <c r="HT17">
        <v>46</v>
      </c>
      <c r="HU17">
        <v>51</v>
      </c>
      <c r="HV17">
        <v>35</v>
      </c>
      <c r="HW17">
        <v>43</v>
      </c>
      <c r="HX17">
        <v>64</v>
      </c>
      <c r="HY17">
        <v>49</v>
      </c>
      <c r="HZ17">
        <v>51</v>
      </c>
      <c r="IA17">
        <v>40</v>
      </c>
      <c r="IB17">
        <v>59</v>
      </c>
      <c r="IC17">
        <v>63</v>
      </c>
      <c r="ID17">
        <v>41</v>
      </c>
      <c r="IE17">
        <v>56</v>
      </c>
      <c r="IF17">
        <v>43</v>
      </c>
      <c r="IG17">
        <v>36</v>
      </c>
      <c r="IH17">
        <v>32</v>
      </c>
      <c r="II17">
        <v>55</v>
      </c>
      <c r="IJ17">
        <v>45</v>
      </c>
      <c r="IK17">
        <v>27</v>
      </c>
      <c r="IL17">
        <v>38</v>
      </c>
      <c r="IM17">
        <v>49</v>
      </c>
      <c r="IN17">
        <v>52</v>
      </c>
      <c r="IO17">
        <v>57</v>
      </c>
      <c r="IP17">
        <v>30</v>
      </c>
      <c r="IQ17">
        <v>31</v>
      </c>
      <c r="IR17">
        <v>42</v>
      </c>
      <c r="IS17">
        <v>55</v>
      </c>
      <c r="IT17">
        <v>52</v>
      </c>
      <c r="IU17">
        <v>50</v>
      </c>
      <c r="IV17">
        <v>64</v>
      </c>
      <c r="IW17">
        <v>64</v>
      </c>
      <c r="IX17">
        <v>32</v>
      </c>
      <c r="IY17">
        <v>54</v>
      </c>
      <c r="IZ17">
        <v>22</v>
      </c>
      <c r="JA17">
        <v>42</v>
      </c>
      <c r="JB17">
        <v>44</v>
      </c>
      <c r="JC17">
        <v>30</v>
      </c>
      <c r="JD17">
        <v>22</v>
      </c>
      <c r="JE17">
        <v>42</v>
      </c>
      <c r="JF17">
        <v>43</v>
      </c>
      <c r="JG17">
        <v>25</v>
      </c>
      <c r="JH17">
        <v>22</v>
      </c>
      <c r="JI17">
        <v>31</v>
      </c>
      <c r="JJ17">
        <v>36</v>
      </c>
      <c r="JK17">
        <v>57</v>
      </c>
      <c r="JL17">
        <v>50</v>
      </c>
      <c r="JM17">
        <v>26</v>
      </c>
      <c r="JN17">
        <v>50</v>
      </c>
      <c r="JO17">
        <v>48</v>
      </c>
      <c r="JP17">
        <v>46</v>
      </c>
      <c r="JQ17">
        <v>37</v>
      </c>
      <c r="JR17">
        <v>37</v>
      </c>
      <c r="JS17">
        <v>57</v>
      </c>
      <c r="JT17">
        <v>46</v>
      </c>
      <c r="JU17">
        <v>62</v>
      </c>
      <c r="JV17">
        <v>22</v>
      </c>
      <c r="JW17">
        <v>26</v>
      </c>
      <c r="JX17">
        <v>62</v>
      </c>
      <c r="JY17">
        <v>41</v>
      </c>
      <c r="JZ17">
        <v>26</v>
      </c>
      <c r="KA17">
        <v>57</v>
      </c>
      <c r="KB17">
        <v>50</v>
      </c>
      <c r="KC17">
        <v>55</v>
      </c>
      <c r="KD17">
        <v>39</v>
      </c>
      <c r="KE17">
        <v>23</v>
      </c>
      <c r="KF17">
        <v>37</v>
      </c>
      <c r="KG17">
        <v>50</v>
      </c>
      <c r="KH17">
        <v>54</v>
      </c>
      <c r="KI17">
        <v>37</v>
      </c>
      <c r="KJ17">
        <v>56</v>
      </c>
      <c r="KK17">
        <v>64</v>
      </c>
      <c r="KL17">
        <v>63</v>
      </c>
      <c r="KM17">
        <v>38</v>
      </c>
      <c r="KN17">
        <v>25</v>
      </c>
      <c r="KO17">
        <v>25</v>
      </c>
      <c r="KP17">
        <v>46</v>
      </c>
      <c r="KQ17">
        <v>54</v>
      </c>
      <c r="KR17">
        <v>35</v>
      </c>
      <c r="KS17">
        <v>45</v>
      </c>
      <c r="KT17">
        <v>32</v>
      </c>
      <c r="KU17">
        <v>46</v>
      </c>
      <c r="KV17">
        <v>49</v>
      </c>
      <c r="KW17">
        <v>28</v>
      </c>
      <c r="KX17">
        <v>57</v>
      </c>
      <c r="KY17">
        <v>31</v>
      </c>
      <c r="KZ17">
        <v>57</v>
      </c>
      <c r="LA17">
        <v>52</v>
      </c>
      <c r="LB17">
        <v>40</v>
      </c>
      <c r="LC17">
        <v>39</v>
      </c>
      <c r="LD17">
        <v>27</v>
      </c>
      <c r="LE17">
        <v>49</v>
      </c>
      <c r="LF17">
        <v>28</v>
      </c>
      <c r="LG17">
        <v>59</v>
      </c>
      <c r="LH17">
        <v>33</v>
      </c>
      <c r="LI17">
        <v>62</v>
      </c>
      <c r="LJ17">
        <v>55</v>
      </c>
      <c r="LK17">
        <v>46</v>
      </c>
      <c r="LL17">
        <v>38</v>
      </c>
      <c r="LM17">
        <v>54</v>
      </c>
      <c r="LN17">
        <v>44</v>
      </c>
      <c r="LO17">
        <v>30</v>
      </c>
      <c r="LP17">
        <v>27</v>
      </c>
      <c r="LQ17">
        <v>23</v>
      </c>
      <c r="LR17">
        <v>59</v>
      </c>
      <c r="LS17">
        <v>30</v>
      </c>
      <c r="LT17">
        <v>24</v>
      </c>
      <c r="LU17">
        <v>37</v>
      </c>
      <c r="LV17">
        <v>46</v>
      </c>
      <c r="LW17">
        <v>45</v>
      </c>
      <c r="LX17">
        <v>50</v>
      </c>
      <c r="LY17">
        <v>61</v>
      </c>
      <c r="LZ17">
        <v>47</v>
      </c>
      <c r="MA17">
        <v>59</v>
      </c>
      <c r="MB17">
        <v>56</v>
      </c>
      <c r="MC17">
        <v>44</v>
      </c>
      <c r="MD17">
        <v>25</v>
      </c>
      <c r="ME17">
        <v>63</v>
      </c>
      <c r="MF17">
        <v>35</v>
      </c>
      <c r="MG17">
        <v>60</v>
      </c>
      <c r="MH17">
        <v>28</v>
      </c>
      <c r="MI17">
        <v>29</v>
      </c>
      <c r="MJ17">
        <v>63</v>
      </c>
      <c r="MK17">
        <v>40</v>
      </c>
      <c r="ML17">
        <v>23</v>
      </c>
      <c r="MM17">
        <v>22</v>
      </c>
      <c r="MN17">
        <v>63</v>
      </c>
      <c r="MO17">
        <v>59</v>
      </c>
      <c r="MP17">
        <v>34</v>
      </c>
      <c r="MQ17">
        <v>63</v>
      </c>
      <c r="MR17">
        <v>45</v>
      </c>
      <c r="MS17">
        <v>53</v>
      </c>
      <c r="MT17">
        <v>51</v>
      </c>
      <c r="MU17">
        <v>27</v>
      </c>
      <c r="MV17">
        <v>59</v>
      </c>
      <c r="MW17">
        <v>54</v>
      </c>
      <c r="MX17">
        <v>44</v>
      </c>
      <c r="MY17">
        <v>31</v>
      </c>
      <c r="MZ17">
        <v>36</v>
      </c>
      <c r="NA17">
        <v>44</v>
      </c>
      <c r="NB17">
        <v>57</v>
      </c>
      <c r="NC17">
        <v>22</v>
      </c>
      <c r="ND17">
        <v>29</v>
      </c>
      <c r="NE17">
        <v>24</v>
      </c>
      <c r="NF17">
        <v>35</v>
      </c>
      <c r="NG17">
        <v>38</v>
      </c>
      <c r="NH17">
        <v>55</v>
      </c>
      <c r="NI17">
        <v>27</v>
      </c>
      <c r="NJ17">
        <v>26</v>
      </c>
      <c r="NK17">
        <v>62</v>
      </c>
      <c r="NL17">
        <v>61</v>
      </c>
      <c r="NM17">
        <v>50</v>
      </c>
      <c r="NN17">
        <v>56</v>
      </c>
      <c r="NO17">
        <v>39</v>
      </c>
      <c r="NP17">
        <v>61</v>
      </c>
      <c r="NQ17">
        <v>51</v>
      </c>
      <c r="NR17">
        <v>36</v>
      </c>
      <c r="NS17">
        <v>36</v>
      </c>
      <c r="NT17">
        <v>37</v>
      </c>
      <c r="NU17">
        <v>54</v>
      </c>
      <c r="NV17">
        <v>31</v>
      </c>
      <c r="NW17">
        <v>40</v>
      </c>
      <c r="NX17">
        <v>58</v>
      </c>
      <c r="NY17">
        <v>24</v>
      </c>
      <c r="NZ17">
        <v>57</v>
      </c>
      <c r="OA17">
        <v>25</v>
      </c>
      <c r="OB17">
        <v>32</v>
      </c>
      <c r="OC17">
        <v>62</v>
      </c>
      <c r="OD17">
        <v>54</v>
      </c>
      <c r="OE17">
        <v>49</v>
      </c>
      <c r="OF17">
        <v>53</v>
      </c>
      <c r="OG17">
        <v>37</v>
      </c>
      <c r="OH17">
        <v>30</v>
      </c>
      <c r="OI17">
        <v>32</v>
      </c>
      <c r="OJ17">
        <v>27</v>
      </c>
      <c r="OK17">
        <v>48</v>
      </c>
      <c r="OL17">
        <v>33</v>
      </c>
      <c r="OM17">
        <v>43</v>
      </c>
      <c r="ON17">
        <v>61</v>
      </c>
      <c r="OO17">
        <v>58</v>
      </c>
      <c r="OP17">
        <v>42</v>
      </c>
      <c r="OQ17">
        <v>54</v>
      </c>
      <c r="OR17">
        <v>38</v>
      </c>
      <c r="OS17">
        <v>50</v>
      </c>
      <c r="OT17">
        <v>61</v>
      </c>
      <c r="OU17">
        <v>31</v>
      </c>
      <c r="OV17">
        <v>39</v>
      </c>
      <c r="OW17">
        <v>34</v>
      </c>
      <c r="OX17">
        <v>48</v>
      </c>
      <c r="OY17">
        <v>31</v>
      </c>
      <c r="OZ17">
        <v>53</v>
      </c>
      <c r="PA17">
        <v>62</v>
      </c>
      <c r="PB17">
        <v>24</v>
      </c>
      <c r="PC17">
        <v>43</v>
      </c>
      <c r="PD17">
        <v>48</v>
      </c>
      <c r="PE17">
        <v>24</v>
      </c>
      <c r="PF17">
        <v>54</v>
      </c>
      <c r="PG17">
        <v>23</v>
      </c>
      <c r="PH17">
        <v>32</v>
      </c>
      <c r="PI17">
        <v>31</v>
      </c>
      <c r="PJ17">
        <v>60</v>
      </c>
      <c r="PK17">
        <v>54</v>
      </c>
      <c r="PL17">
        <v>28</v>
      </c>
      <c r="PM17">
        <v>36</v>
      </c>
      <c r="PN17">
        <v>47</v>
      </c>
      <c r="PO17">
        <v>32</v>
      </c>
      <c r="PP17">
        <v>59</v>
      </c>
      <c r="PQ17">
        <v>48</v>
      </c>
      <c r="PR17">
        <v>60</v>
      </c>
      <c r="PS17">
        <v>28</v>
      </c>
      <c r="PT17">
        <v>22</v>
      </c>
      <c r="PU17">
        <v>31</v>
      </c>
      <c r="PV17">
        <v>42</v>
      </c>
      <c r="PW17">
        <v>36</v>
      </c>
      <c r="PX17">
        <v>51</v>
      </c>
      <c r="PY17">
        <v>51</v>
      </c>
      <c r="PZ17">
        <v>29</v>
      </c>
      <c r="QA17">
        <v>45</v>
      </c>
      <c r="QB17">
        <v>40</v>
      </c>
      <c r="QC17">
        <v>24</v>
      </c>
      <c r="QD17">
        <v>36</v>
      </c>
      <c r="QE17">
        <v>57</v>
      </c>
      <c r="QF17">
        <v>27</v>
      </c>
      <c r="QG17">
        <v>63</v>
      </c>
      <c r="QH17">
        <v>39</v>
      </c>
      <c r="QI17">
        <v>59</v>
      </c>
      <c r="QJ17">
        <v>40</v>
      </c>
      <c r="QK17">
        <v>51</v>
      </c>
      <c r="QL17">
        <v>34</v>
      </c>
      <c r="QM17">
        <v>60</v>
      </c>
      <c r="QN17">
        <v>33</v>
      </c>
      <c r="QO17">
        <v>55</v>
      </c>
      <c r="QP17">
        <v>33</v>
      </c>
      <c r="QQ17">
        <v>45</v>
      </c>
      <c r="QR17">
        <v>25</v>
      </c>
      <c r="QS17">
        <v>57</v>
      </c>
      <c r="QT17">
        <v>35</v>
      </c>
      <c r="QU17">
        <v>38</v>
      </c>
      <c r="QV17">
        <v>24</v>
      </c>
      <c r="QW17">
        <v>59</v>
      </c>
      <c r="QX17">
        <v>44</v>
      </c>
      <c r="QY17">
        <v>34</v>
      </c>
      <c r="QZ17">
        <v>30</v>
      </c>
      <c r="RA17">
        <v>42</v>
      </c>
      <c r="RB17">
        <v>62</v>
      </c>
      <c r="RC17">
        <v>29</v>
      </c>
      <c r="RD17">
        <v>38</v>
      </c>
      <c r="RE17">
        <v>37</v>
      </c>
      <c r="RF17">
        <v>37</v>
      </c>
      <c r="RG17">
        <v>49</v>
      </c>
      <c r="RH17">
        <v>37</v>
      </c>
      <c r="RI17">
        <v>35</v>
      </c>
      <c r="RJ17">
        <v>59</v>
      </c>
      <c r="RK17">
        <v>41</v>
      </c>
      <c r="RL17">
        <v>62</v>
      </c>
      <c r="RM17">
        <v>55</v>
      </c>
      <c r="RN17">
        <v>50</v>
      </c>
      <c r="RO17">
        <v>24</v>
      </c>
      <c r="RP17">
        <v>31</v>
      </c>
      <c r="RQ17">
        <v>41</v>
      </c>
      <c r="RR17">
        <v>23</v>
      </c>
      <c r="RS17">
        <v>48</v>
      </c>
      <c r="RT17">
        <v>53</v>
      </c>
      <c r="RU17">
        <v>31</v>
      </c>
      <c r="RV17">
        <v>61</v>
      </c>
      <c r="RW17">
        <v>38</v>
      </c>
      <c r="RX17">
        <v>54</v>
      </c>
      <c r="RY17">
        <v>27</v>
      </c>
      <c r="RZ17">
        <v>60</v>
      </c>
      <c r="SA17">
        <v>39</v>
      </c>
      <c r="SB17">
        <v>30</v>
      </c>
      <c r="SC17">
        <v>29</v>
      </c>
      <c r="SD17">
        <v>46</v>
      </c>
      <c r="SE17">
        <v>52</v>
      </c>
      <c r="SF17">
        <v>63</v>
      </c>
      <c r="SG17">
        <v>25</v>
      </c>
      <c r="SH17">
        <v>41</v>
      </c>
      <c r="SI17">
        <v>49</v>
      </c>
      <c r="SJ17">
        <v>61</v>
      </c>
      <c r="SK17">
        <v>22</v>
      </c>
      <c r="SL17">
        <v>61</v>
      </c>
      <c r="SM17">
        <v>44</v>
      </c>
      <c r="SN17">
        <v>34</v>
      </c>
      <c r="SO17">
        <v>37</v>
      </c>
      <c r="SP17">
        <v>47</v>
      </c>
      <c r="SQ17">
        <v>52</v>
      </c>
      <c r="SR17">
        <v>22</v>
      </c>
      <c r="SS17">
        <v>38</v>
      </c>
      <c r="ST17">
        <v>37</v>
      </c>
      <c r="SU17">
        <v>58</v>
      </c>
      <c r="SV17">
        <v>31</v>
      </c>
      <c r="SW17">
        <v>59</v>
      </c>
      <c r="SX17">
        <v>52</v>
      </c>
      <c r="SY17">
        <v>31</v>
      </c>
      <c r="SZ17">
        <v>55</v>
      </c>
      <c r="TA17">
        <v>27</v>
      </c>
      <c r="TB17">
        <v>49</v>
      </c>
      <c r="TC17">
        <v>49</v>
      </c>
      <c r="TD17">
        <v>34</v>
      </c>
      <c r="TE17">
        <v>62</v>
      </c>
      <c r="TF17">
        <v>33</v>
      </c>
      <c r="TG17">
        <v>61</v>
      </c>
      <c r="TH17">
        <v>23</v>
      </c>
      <c r="TI17">
        <v>29</v>
      </c>
      <c r="TJ17">
        <v>63</v>
      </c>
      <c r="TK17">
        <v>30</v>
      </c>
      <c r="TL17">
        <v>29</v>
      </c>
      <c r="TM17">
        <v>24</v>
      </c>
      <c r="TN17">
        <v>30</v>
      </c>
      <c r="TO17">
        <v>34</v>
      </c>
      <c r="TP17">
        <v>30</v>
      </c>
      <c r="TQ17">
        <v>52</v>
      </c>
      <c r="TR17">
        <v>46</v>
      </c>
      <c r="TS17">
        <v>29</v>
      </c>
      <c r="TT17">
        <v>52</v>
      </c>
      <c r="TU17">
        <v>52</v>
      </c>
      <c r="TV17">
        <v>38</v>
      </c>
      <c r="TW17">
        <v>40</v>
      </c>
      <c r="TX17">
        <v>24</v>
      </c>
      <c r="TY17">
        <v>51</v>
      </c>
      <c r="TZ17">
        <v>31</v>
      </c>
      <c r="UA17">
        <v>50</v>
      </c>
      <c r="UB17">
        <v>61</v>
      </c>
      <c r="UC17">
        <v>39</v>
      </c>
      <c r="UD17">
        <v>33</v>
      </c>
      <c r="UE17">
        <v>44</v>
      </c>
      <c r="UF17">
        <v>32</v>
      </c>
      <c r="UG17">
        <v>30</v>
      </c>
      <c r="UH17">
        <v>45</v>
      </c>
      <c r="UI17">
        <v>46</v>
      </c>
      <c r="UJ17">
        <v>46</v>
      </c>
      <c r="UK17">
        <v>30</v>
      </c>
      <c r="UL17">
        <v>33</v>
      </c>
      <c r="UM17">
        <v>32</v>
      </c>
      <c r="UN17">
        <v>59</v>
      </c>
      <c r="UO17">
        <v>49</v>
      </c>
      <c r="UP17">
        <v>29</v>
      </c>
      <c r="UQ17">
        <v>31</v>
      </c>
      <c r="UR17">
        <v>46</v>
      </c>
      <c r="US17">
        <v>57</v>
      </c>
      <c r="UT17">
        <v>64</v>
      </c>
      <c r="UU17">
        <v>30</v>
      </c>
      <c r="UV17">
        <v>62</v>
      </c>
      <c r="UW17">
        <v>29</v>
      </c>
      <c r="UX17">
        <v>24</v>
      </c>
      <c r="UY17">
        <v>39</v>
      </c>
      <c r="UZ17">
        <v>56</v>
      </c>
      <c r="VA17">
        <v>38</v>
      </c>
      <c r="VB17">
        <v>57</v>
      </c>
      <c r="VC17">
        <v>49</v>
      </c>
      <c r="VD17">
        <v>36</v>
      </c>
      <c r="VE17">
        <v>40</v>
      </c>
      <c r="VF17">
        <v>43</v>
      </c>
      <c r="VG17">
        <v>27</v>
      </c>
      <c r="VH17">
        <v>28</v>
      </c>
      <c r="VI17">
        <v>30</v>
      </c>
      <c r="VJ17">
        <v>41</v>
      </c>
      <c r="VK17">
        <v>58</v>
      </c>
      <c r="VL17">
        <v>32</v>
      </c>
      <c r="VM17">
        <v>23</v>
      </c>
      <c r="VN17">
        <v>43</v>
      </c>
      <c r="VO17">
        <v>57</v>
      </c>
      <c r="VP17">
        <v>26</v>
      </c>
      <c r="VQ17">
        <v>28</v>
      </c>
      <c r="VR17">
        <v>27</v>
      </c>
      <c r="VS17">
        <v>43</v>
      </c>
      <c r="VT17">
        <v>31</v>
      </c>
      <c r="VU17">
        <v>61</v>
      </c>
      <c r="VV17">
        <v>41</v>
      </c>
      <c r="VW17">
        <v>49</v>
      </c>
      <c r="VX17">
        <v>44</v>
      </c>
      <c r="VY17">
        <v>56</v>
      </c>
      <c r="VZ17">
        <v>22</v>
      </c>
      <c r="WA17">
        <v>50</v>
      </c>
      <c r="WB17">
        <v>30</v>
      </c>
      <c r="WC17">
        <v>30</v>
      </c>
      <c r="WD17">
        <v>43</v>
      </c>
      <c r="WE17">
        <v>23</v>
      </c>
      <c r="WF17">
        <v>37</v>
      </c>
      <c r="WG17">
        <v>61</v>
      </c>
      <c r="WH17">
        <v>27</v>
      </c>
      <c r="WI17">
        <v>34</v>
      </c>
      <c r="WJ17">
        <v>54</v>
      </c>
      <c r="WK17">
        <v>40</v>
      </c>
      <c r="WL17">
        <v>36</v>
      </c>
      <c r="WM17">
        <v>54</v>
      </c>
      <c r="WN17">
        <v>31</v>
      </c>
      <c r="WO17">
        <v>22</v>
      </c>
      <c r="WP17">
        <v>33</v>
      </c>
      <c r="WQ17">
        <v>64</v>
      </c>
      <c r="WR17">
        <v>50</v>
      </c>
      <c r="WS17">
        <v>38</v>
      </c>
      <c r="WT17">
        <v>25</v>
      </c>
      <c r="WU17">
        <v>50</v>
      </c>
      <c r="WV17">
        <v>28</v>
      </c>
      <c r="WW17">
        <v>34</v>
      </c>
      <c r="WX17">
        <v>26</v>
      </c>
      <c r="WY17">
        <v>27</v>
      </c>
      <c r="WZ17">
        <v>55</v>
      </c>
      <c r="XA17">
        <v>28</v>
      </c>
      <c r="XB17">
        <v>49</v>
      </c>
      <c r="XC17">
        <v>31</v>
      </c>
      <c r="XD17">
        <v>25</v>
      </c>
      <c r="XE17">
        <v>24</v>
      </c>
      <c r="XF17">
        <v>46</v>
      </c>
      <c r="XG17">
        <v>44</v>
      </c>
      <c r="XH17">
        <v>48</v>
      </c>
      <c r="XI17">
        <v>35</v>
      </c>
      <c r="XJ17">
        <v>59</v>
      </c>
      <c r="XK17">
        <v>53</v>
      </c>
      <c r="XL17">
        <v>44</v>
      </c>
      <c r="XM17">
        <v>61</v>
      </c>
      <c r="XN17">
        <v>58</v>
      </c>
      <c r="XO17">
        <v>24</v>
      </c>
      <c r="XP17">
        <v>56</v>
      </c>
      <c r="XQ17">
        <v>34</v>
      </c>
      <c r="XR17">
        <v>55</v>
      </c>
      <c r="XS17">
        <v>45</v>
      </c>
      <c r="XT17">
        <v>22</v>
      </c>
      <c r="XU17">
        <v>33</v>
      </c>
      <c r="XV17">
        <v>29</v>
      </c>
      <c r="XW17">
        <v>40</v>
      </c>
      <c r="XX17">
        <v>30</v>
      </c>
      <c r="XY17">
        <v>49</v>
      </c>
      <c r="XZ17">
        <v>35</v>
      </c>
      <c r="YA17">
        <v>48</v>
      </c>
      <c r="YB17">
        <v>39</v>
      </c>
      <c r="YC17">
        <v>63</v>
      </c>
      <c r="YD17">
        <v>62</v>
      </c>
      <c r="YE17">
        <v>27</v>
      </c>
      <c r="YF17">
        <v>54</v>
      </c>
      <c r="YG17">
        <v>58</v>
      </c>
      <c r="YH17">
        <v>63</v>
      </c>
      <c r="YI17">
        <v>46</v>
      </c>
      <c r="YJ17">
        <v>34</v>
      </c>
      <c r="YK17">
        <v>44</v>
      </c>
      <c r="YL17">
        <v>57</v>
      </c>
      <c r="YM17">
        <v>54</v>
      </c>
      <c r="YN17">
        <v>42</v>
      </c>
      <c r="YO17">
        <v>55</v>
      </c>
      <c r="YP17">
        <v>57</v>
      </c>
      <c r="YQ17">
        <v>38</v>
      </c>
      <c r="YR17">
        <v>31</v>
      </c>
      <c r="YS17">
        <v>44</v>
      </c>
      <c r="YT17">
        <v>23</v>
      </c>
      <c r="YU17">
        <v>56</v>
      </c>
      <c r="YV17">
        <v>35</v>
      </c>
      <c r="YW17">
        <v>62</v>
      </c>
      <c r="YX17">
        <v>23</v>
      </c>
      <c r="YY17">
        <v>40</v>
      </c>
      <c r="YZ17">
        <v>37</v>
      </c>
      <c r="ZA17">
        <v>64</v>
      </c>
      <c r="ZB17">
        <v>46</v>
      </c>
      <c r="ZC17">
        <v>22</v>
      </c>
      <c r="ZD17">
        <v>23</v>
      </c>
      <c r="ZE17">
        <v>48</v>
      </c>
      <c r="ZF17">
        <v>23</v>
      </c>
      <c r="ZG17">
        <v>51</v>
      </c>
      <c r="ZH17">
        <v>31</v>
      </c>
      <c r="ZI17">
        <v>40</v>
      </c>
      <c r="ZJ17">
        <v>63</v>
      </c>
      <c r="ZK17">
        <v>37</v>
      </c>
      <c r="ZL17">
        <v>34</v>
      </c>
      <c r="ZM17">
        <v>29</v>
      </c>
      <c r="ZN17">
        <v>52</v>
      </c>
      <c r="ZO17">
        <v>46</v>
      </c>
      <c r="ZP17">
        <v>60</v>
      </c>
      <c r="ZQ17">
        <v>42</v>
      </c>
      <c r="ZR17">
        <v>59</v>
      </c>
      <c r="ZS17">
        <v>62</v>
      </c>
      <c r="ZT17">
        <v>50</v>
      </c>
      <c r="ZU17">
        <v>27</v>
      </c>
      <c r="ZV17">
        <v>39</v>
      </c>
      <c r="ZW17">
        <v>56</v>
      </c>
      <c r="ZX17">
        <v>48</v>
      </c>
      <c r="ZY17">
        <v>26</v>
      </c>
      <c r="ZZ17">
        <v>28</v>
      </c>
      <c r="AAA17">
        <v>31</v>
      </c>
      <c r="AAB17">
        <v>31</v>
      </c>
      <c r="AAC17">
        <v>49</v>
      </c>
      <c r="AAD17">
        <v>57</v>
      </c>
      <c r="AAE17">
        <v>31</v>
      </c>
      <c r="AAF17">
        <v>56</v>
      </c>
      <c r="AAG17">
        <v>56</v>
      </c>
      <c r="AAH17">
        <v>58</v>
      </c>
      <c r="AAI17">
        <v>41</v>
      </c>
      <c r="AAJ17">
        <v>34</v>
      </c>
      <c r="AAK17">
        <v>32</v>
      </c>
      <c r="AAL17">
        <v>40</v>
      </c>
      <c r="AAM17">
        <v>49</v>
      </c>
      <c r="AAN17">
        <v>59</v>
      </c>
      <c r="AAO17">
        <v>25</v>
      </c>
      <c r="AAP17">
        <v>58</v>
      </c>
      <c r="AAQ17">
        <v>40</v>
      </c>
      <c r="AAR17">
        <v>58</v>
      </c>
      <c r="AAS17">
        <v>35</v>
      </c>
      <c r="AAT17">
        <v>52</v>
      </c>
      <c r="AAU17">
        <v>49</v>
      </c>
      <c r="AAV17">
        <v>57</v>
      </c>
      <c r="AAW17">
        <v>59</v>
      </c>
      <c r="AAX17">
        <v>40</v>
      </c>
      <c r="AAY17">
        <v>63</v>
      </c>
      <c r="AAZ17">
        <v>22</v>
      </c>
      <c r="ABA17">
        <v>44</v>
      </c>
      <c r="ABB17">
        <v>49</v>
      </c>
      <c r="ABC17">
        <v>25</v>
      </c>
      <c r="ABD17">
        <v>62</v>
      </c>
      <c r="ABE17">
        <v>39</v>
      </c>
      <c r="ABF17">
        <v>60</v>
      </c>
      <c r="ABG17">
        <v>46</v>
      </c>
      <c r="ABH17">
        <v>39</v>
      </c>
      <c r="ABI17">
        <v>27</v>
      </c>
      <c r="ABJ17">
        <v>40</v>
      </c>
      <c r="ABK17">
        <v>33</v>
      </c>
      <c r="ABL17">
        <v>46</v>
      </c>
      <c r="ABM17">
        <v>56</v>
      </c>
      <c r="ABN17">
        <v>22</v>
      </c>
      <c r="ABO17">
        <v>26</v>
      </c>
      <c r="ABP17">
        <v>22</v>
      </c>
      <c r="ABQ17">
        <v>29</v>
      </c>
      <c r="ABR17">
        <v>60</v>
      </c>
      <c r="ABS17">
        <v>64</v>
      </c>
      <c r="ABT17">
        <v>39</v>
      </c>
      <c r="ABU17">
        <v>30</v>
      </c>
      <c r="ABV17">
        <v>26</v>
      </c>
      <c r="ABW17">
        <v>25</v>
      </c>
      <c r="ABX17">
        <v>50</v>
      </c>
      <c r="ABY17">
        <v>22</v>
      </c>
      <c r="ABZ17">
        <v>51</v>
      </c>
      <c r="ACA17">
        <v>22</v>
      </c>
      <c r="ACB17">
        <v>24</v>
      </c>
      <c r="ACC17">
        <v>43</v>
      </c>
      <c r="ACD17">
        <v>29</v>
      </c>
      <c r="ACE17">
        <v>39</v>
      </c>
      <c r="ACF17">
        <v>46</v>
      </c>
      <c r="ACG17">
        <v>41</v>
      </c>
      <c r="ACH17">
        <v>52</v>
      </c>
      <c r="ACI17">
        <v>51</v>
      </c>
      <c r="ACJ17">
        <v>37</v>
      </c>
      <c r="ACK17">
        <v>23</v>
      </c>
      <c r="ACL17">
        <v>38</v>
      </c>
      <c r="ACM17">
        <v>31</v>
      </c>
      <c r="ACN17">
        <v>28</v>
      </c>
      <c r="ACO17">
        <v>63</v>
      </c>
      <c r="ACP17">
        <v>30</v>
      </c>
      <c r="ACQ17">
        <v>38</v>
      </c>
      <c r="ACR17">
        <v>30</v>
      </c>
      <c r="ACS17">
        <v>30</v>
      </c>
      <c r="ACT17">
        <v>58</v>
      </c>
      <c r="ACU17">
        <v>45</v>
      </c>
      <c r="ACV17">
        <v>60</v>
      </c>
      <c r="ACW17">
        <v>32</v>
      </c>
      <c r="ACX17">
        <v>29</v>
      </c>
      <c r="ACY17">
        <v>46</v>
      </c>
      <c r="ACZ17">
        <v>23</v>
      </c>
      <c r="ADA17">
        <v>31</v>
      </c>
      <c r="ADB17">
        <v>45</v>
      </c>
      <c r="ADC17">
        <v>37</v>
      </c>
      <c r="ADD17">
        <v>40</v>
      </c>
      <c r="ADE17">
        <v>52</v>
      </c>
      <c r="ADF17">
        <v>32</v>
      </c>
      <c r="ADG17">
        <v>27</v>
      </c>
      <c r="ADH17">
        <v>27</v>
      </c>
      <c r="ADI17">
        <v>53</v>
      </c>
      <c r="ADJ17">
        <v>60</v>
      </c>
      <c r="ADK17">
        <v>34</v>
      </c>
      <c r="ADL17">
        <v>24</v>
      </c>
      <c r="ADM17">
        <v>62</v>
      </c>
      <c r="ADN17">
        <v>56</v>
      </c>
      <c r="ADO17">
        <v>59</v>
      </c>
      <c r="ADP17">
        <v>38</v>
      </c>
      <c r="ADQ17">
        <v>24</v>
      </c>
      <c r="ADR17">
        <v>55</v>
      </c>
      <c r="ADS17">
        <v>33</v>
      </c>
      <c r="ADT17">
        <v>45</v>
      </c>
      <c r="ADU17">
        <v>27</v>
      </c>
      <c r="ADV17">
        <v>63</v>
      </c>
      <c r="ADW17">
        <v>32</v>
      </c>
      <c r="ADX17">
        <v>48</v>
      </c>
      <c r="ADY17">
        <v>45</v>
      </c>
      <c r="ADZ17">
        <v>39</v>
      </c>
      <c r="AEA17">
        <v>48</v>
      </c>
      <c r="AEB17">
        <v>62</v>
      </c>
      <c r="AEC17">
        <v>42</v>
      </c>
      <c r="AED17">
        <v>55</v>
      </c>
      <c r="AEE17">
        <v>54</v>
      </c>
      <c r="AEF17">
        <v>39</v>
      </c>
      <c r="AEG17">
        <v>24</v>
      </c>
      <c r="AEH17">
        <v>45</v>
      </c>
      <c r="AEI17">
        <v>22</v>
      </c>
      <c r="AEJ17">
        <v>27</v>
      </c>
      <c r="AEK17">
        <v>40</v>
      </c>
      <c r="AEL17">
        <v>43</v>
      </c>
      <c r="AEM17">
        <v>64</v>
      </c>
      <c r="AEN17">
        <v>29</v>
      </c>
      <c r="AEO17">
        <v>26</v>
      </c>
      <c r="AEP17">
        <v>30</v>
      </c>
      <c r="AEQ17">
        <v>42</v>
      </c>
      <c r="AER17">
        <v>49</v>
      </c>
      <c r="AES17">
        <v>25</v>
      </c>
      <c r="AET17">
        <v>45</v>
      </c>
      <c r="AEU17">
        <v>29</v>
      </c>
      <c r="AEV17">
        <v>38</v>
      </c>
      <c r="AEW17">
        <v>55</v>
      </c>
      <c r="AEX17">
        <v>41</v>
      </c>
      <c r="AEY17">
        <v>37</v>
      </c>
      <c r="AEZ17">
        <v>31</v>
      </c>
      <c r="AFA17">
        <v>55</v>
      </c>
      <c r="AFB17">
        <v>64</v>
      </c>
      <c r="AFC17">
        <v>31</v>
      </c>
      <c r="AFD17">
        <v>51</v>
      </c>
      <c r="AFE17">
        <v>51</v>
      </c>
      <c r="AFF17">
        <v>46</v>
      </c>
      <c r="AFG17">
        <v>64</v>
      </c>
      <c r="AFH17">
        <v>62</v>
      </c>
      <c r="AFI17">
        <v>28</v>
      </c>
      <c r="AFJ17">
        <v>41</v>
      </c>
      <c r="AFK17">
        <v>38</v>
      </c>
      <c r="AFL17">
        <v>24</v>
      </c>
      <c r="AFM17">
        <v>61</v>
      </c>
      <c r="AFN17">
        <v>57</v>
      </c>
      <c r="AFO17">
        <v>47</v>
      </c>
      <c r="AFP17">
        <v>31</v>
      </c>
      <c r="AFQ17">
        <v>55</v>
      </c>
      <c r="AFR17">
        <v>35</v>
      </c>
      <c r="AFS17">
        <v>29</v>
      </c>
      <c r="AFT17">
        <v>48</v>
      </c>
      <c r="AFU17">
        <v>31</v>
      </c>
      <c r="AFV17">
        <v>36</v>
      </c>
      <c r="AFW17">
        <v>58</v>
      </c>
      <c r="AFX17">
        <v>43</v>
      </c>
      <c r="AFY17">
        <v>52</v>
      </c>
      <c r="AFZ17">
        <v>23</v>
      </c>
      <c r="AGA17">
        <v>52</v>
      </c>
      <c r="AGB17">
        <v>35</v>
      </c>
      <c r="AGC17">
        <v>31</v>
      </c>
      <c r="AGD17">
        <v>51</v>
      </c>
      <c r="AGE17">
        <v>57</v>
      </c>
      <c r="AGF17">
        <v>61</v>
      </c>
      <c r="AGG17">
        <v>36</v>
      </c>
      <c r="AGH17">
        <v>35</v>
      </c>
      <c r="AGI17">
        <v>52</v>
      </c>
      <c r="AGJ17">
        <v>50</v>
      </c>
      <c r="AGK17">
        <v>48</v>
      </c>
      <c r="AGL17">
        <v>42</v>
      </c>
      <c r="AGM17">
        <v>30</v>
      </c>
      <c r="AGN17">
        <v>41</v>
      </c>
      <c r="AGO17">
        <v>56</v>
      </c>
      <c r="AGP17">
        <v>36</v>
      </c>
      <c r="AGQ17">
        <v>45</v>
      </c>
      <c r="AGR17">
        <v>37</v>
      </c>
      <c r="AGS17">
        <v>57</v>
      </c>
      <c r="AGT17">
        <f>MAX(B17:AGS17)</f>
        <v>64</v>
      </c>
    </row>
    <row r="18" spans="1:885" x14ac:dyDescent="0.25">
      <c r="A18" s="1" t="s">
        <v>100</v>
      </c>
      <c r="B18" t="str">
        <f>IF(B17&gt;30, "Old", "Young")</f>
        <v>Old</v>
      </c>
      <c r="C18" t="str">
        <f>IF(C17&gt;30, "Old", "Young")</f>
        <v>Old</v>
      </c>
      <c r="D18" t="str">
        <f>IF(D17&gt;30, "Old", "Young")</f>
        <v>Old</v>
      </c>
      <c r="E18" t="str">
        <f>IF(E17&gt;30, "Old", "Young")</f>
        <v>Young</v>
      </c>
      <c r="F18" t="str">
        <f>IF(F17&gt;30, "Old", "Young")</f>
        <v>Young</v>
      </c>
      <c r="G18" t="str">
        <f>IF(G17&gt;30, "Old", "Young")</f>
        <v>Old</v>
      </c>
      <c r="H18" t="str">
        <f>IF(H17&gt;30, "Old", "Young")</f>
        <v>Old</v>
      </c>
      <c r="I18" t="str">
        <f>IF(I17&gt;30, "Old", "Young")</f>
        <v>Old</v>
      </c>
      <c r="J18" t="str">
        <f>IF(J17&gt;30, "Old", "Young")</f>
        <v>Old</v>
      </c>
      <c r="K18" t="str">
        <f>IF(K17&gt;30, "Old", "Young")</f>
        <v>Old</v>
      </c>
      <c r="L18" t="str">
        <f>IF(L17&gt;30, "Old", "Young")</f>
        <v>Old</v>
      </c>
      <c r="M18" t="str">
        <f>IF(M17&gt;30, "Old", "Young")</f>
        <v>Old</v>
      </c>
      <c r="N18" t="str">
        <f>IF(N17&gt;30, "Old", "Young")</f>
        <v>Old</v>
      </c>
      <c r="O18" t="str">
        <f>IF(O17&gt;30, "Old", "Young")</f>
        <v>Old</v>
      </c>
      <c r="P18" t="str">
        <f>IF(P17&gt;30, "Old", "Young")</f>
        <v>Young</v>
      </c>
      <c r="Q18" t="str">
        <f>IF(Q17&gt;30, "Old", "Young")</f>
        <v>Old</v>
      </c>
      <c r="R18" t="str">
        <f>IF(R17&gt;30, "Old", "Young")</f>
        <v>Young</v>
      </c>
      <c r="S18" t="str">
        <f>IF(S17&gt;30, "Old", "Young")</f>
        <v>Old</v>
      </c>
      <c r="T18" t="str">
        <f>IF(T17&gt;30, "Old", "Young")</f>
        <v>Old</v>
      </c>
      <c r="U18" t="str">
        <f>IF(U17&gt;30, "Old", "Young")</f>
        <v>Old</v>
      </c>
      <c r="V18" t="str">
        <f>IF(V17&gt;30, "Old", "Young")</f>
        <v>Young</v>
      </c>
      <c r="W18" t="str">
        <f>IF(W17&gt;30, "Old", "Young")</f>
        <v>Old</v>
      </c>
      <c r="X18" t="str">
        <f>IF(X17&gt;30, "Old", "Young")</f>
        <v>Old</v>
      </c>
      <c r="Y18" t="str">
        <f>IF(Y17&gt;30, "Old", "Young")</f>
        <v>Old</v>
      </c>
      <c r="Z18" t="str">
        <f>IF(Z17&gt;30, "Old", "Young")</f>
        <v>Old</v>
      </c>
      <c r="AA18" t="str">
        <f>IF(AA17&gt;30, "Old", "Young")</f>
        <v>Young</v>
      </c>
      <c r="AB18" t="str">
        <f>IF(AB17&gt;30, "Old", "Young")</f>
        <v>Old</v>
      </c>
      <c r="AC18" t="str">
        <f>IF(AC17&gt;30, "Old", "Young")</f>
        <v>Old</v>
      </c>
      <c r="AD18" t="str">
        <f>IF(AD17&gt;30, "Old", "Young")</f>
        <v>Old</v>
      </c>
      <c r="AE18" t="str">
        <f>IF(AE17&gt;30, "Old", "Young")</f>
        <v>Old</v>
      </c>
      <c r="AF18" t="str">
        <f>IF(AF17&gt;30, "Old", "Young")</f>
        <v>Young</v>
      </c>
      <c r="AG18" t="str">
        <f>IF(AG17&gt;30, "Old", "Young")</f>
        <v>Old</v>
      </c>
      <c r="AH18" t="str">
        <f>IF(AH17&gt;30, "Old", "Young")</f>
        <v>Old</v>
      </c>
      <c r="AI18" t="str">
        <f>IF(AI17&gt;30, "Old", "Young")</f>
        <v>Young</v>
      </c>
      <c r="AJ18" t="str">
        <f>IF(AJ17&gt;30, "Old", "Young")</f>
        <v>Old</v>
      </c>
      <c r="AK18" t="str">
        <f>IF(AK17&gt;30, "Old", "Young")</f>
        <v>Old</v>
      </c>
      <c r="AL18" t="str">
        <f>IF(AL17&gt;30, "Old", "Young")</f>
        <v>Old</v>
      </c>
      <c r="AM18" t="str">
        <f>IF(AM17&gt;30, "Old", "Young")</f>
        <v>Old</v>
      </c>
      <c r="AN18" t="str">
        <f>IF(AN17&gt;30, "Old", "Young")</f>
        <v>Old</v>
      </c>
      <c r="AO18" t="str">
        <f>IF(AO17&gt;30, "Old", "Young")</f>
        <v>Young</v>
      </c>
      <c r="AP18" t="str">
        <f>IF(AP17&gt;30, "Old", "Young")</f>
        <v>Old</v>
      </c>
      <c r="AQ18" t="str">
        <f>IF(AQ17&gt;30, "Old", "Young")</f>
        <v>Old</v>
      </c>
      <c r="AR18" t="str">
        <f>IF(AR17&gt;30, "Old", "Young")</f>
        <v>Old</v>
      </c>
      <c r="AS18" t="str">
        <f>IF(AS17&gt;30, "Old", "Young")</f>
        <v>Old</v>
      </c>
      <c r="AT18" t="str">
        <f>IF(AT17&gt;30, "Old", "Young")</f>
        <v>Old</v>
      </c>
      <c r="AU18" t="str">
        <f>IF(AU17&gt;30, "Old", "Young")</f>
        <v>Old</v>
      </c>
      <c r="AV18" t="str">
        <f>IF(AV17&gt;30, "Old", "Young")</f>
        <v>Old</v>
      </c>
      <c r="AW18" t="str">
        <f>IF(AW17&gt;30, "Old", "Young")</f>
        <v>Young</v>
      </c>
      <c r="AX18" t="str">
        <f>IF(AX17&gt;30, "Old", "Young")</f>
        <v>Old</v>
      </c>
      <c r="AY18" t="str">
        <f>IF(AY17&gt;30, "Old", "Young")</f>
        <v>Old</v>
      </c>
      <c r="AZ18" t="str">
        <f>IF(AZ17&gt;30, "Old", "Young")</f>
        <v>Young</v>
      </c>
      <c r="BA18" t="str">
        <f>IF(BA17&gt;30, "Old", "Young")</f>
        <v>Old</v>
      </c>
      <c r="BB18" t="str">
        <f>IF(BB17&gt;30, "Old", "Young")</f>
        <v>Old</v>
      </c>
      <c r="BC18" t="str">
        <f>IF(BC17&gt;30, "Old", "Young")</f>
        <v>Young</v>
      </c>
      <c r="BD18" t="str">
        <f>IF(BD17&gt;30, "Old", "Young")</f>
        <v>Old</v>
      </c>
      <c r="BE18" t="str">
        <f>IF(BE17&gt;30, "Old", "Young")</f>
        <v>Young</v>
      </c>
      <c r="BF18" t="str">
        <f>IF(BF17&gt;30, "Old", "Young")</f>
        <v>Old</v>
      </c>
      <c r="BG18" t="str">
        <f>IF(BG17&gt;30, "Old", "Young")</f>
        <v>Old</v>
      </c>
      <c r="BH18" t="str">
        <f>IF(BH17&gt;30, "Old", "Young")</f>
        <v>Old</v>
      </c>
      <c r="BI18" t="str">
        <f>IF(BI17&gt;30, "Old", "Young")</f>
        <v>Old</v>
      </c>
      <c r="BJ18" t="str">
        <f>IF(BJ17&gt;30, "Old", "Young")</f>
        <v>Old</v>
      </c>
      <c r="BK18" t="str">
        <f>IF(BK17&gt;30, "Old", "Young")</f>
        <v>Old</v>
      </c>
      <c r="BL18" t="str">
        <f>IF(BL17&gt;30, "Old", "Young")</f>
        <v>Young</v>
      </c>
      <c r="BM18" t="str">
        <f>IF(BM17&gt;30, "Old", "Young")</f>
        <v>Old</v>
      </c>
      <c r="BN18" t="str">
        <f>IF(BN17&gt;30, "Old", "Young")</f>
        <v>Old</v>
      </c>
      <c r="BO18" t="str">
        <f>IF(BO17&gt;30, "Old", "Young")</f>
        <v>Old</v>
      </c>
      <c r="BP18" t="str">
        <f>IF(BP17&gt;30, "Old", "Young")</f>
        <v>Old</v>
      </c>
      <c r="BQ18" t="str">
        <f>IF(BQ17&gt;30, "Old", "Young")</f>
        <v>Old</v>
      </c>
      <c r="BR18" t="str">
        <f>IF(BR17&gt;30, "Old", "Young")</f>
        <v>Young</v>
      </c>
      <c r="BS18" t="str">
        <f>IF(BS17&gt;30, "Old", "Young")</f>
        <v>Old</v>
      </c>
      <c r="BT18" t="str">
        <f>IF(BT17&gt;30, "Old", "Young")</f>
        <v>Young</v>
      </c>
      <c r="BU18" t="str">
        <f>IF(BU17&gt;30, "Old", "Young")</f>
        <v>Old</v>
      </c>
      <c r="BV18" t="str">
        <f>IF(BV17&gt;30, "Old", "Young")</f>
        <v>Old</v>
      </c>
      <c r="BW18" t="str">
        <f>IF(BW17&gt;30, "Old", "Young")</f>
        <v>Old</v>
      </c>
      <c r="BX18" t="str">
        <f>IF(BX17&gt;30, "Old", "Young")</f>
        <v>Old</v>
      </c>
      <c r="BY18" t="str">
        <f>IF(BY17&gt;30, "Old", "Young")</f>
        <v>Old</v>
      </c>
      <c r="BZ18" t="str">
        <f>IF(BZ17&gt;30, "Old", "Young")</f>
        <v>Old</v>
      </c>
      <c r="CA18" t="str">
        <f>IF(CA17&gt;30, "Old", "Young")</f>
        <v>Young</v>
      </c>
      <c r="CB18" t="str">
        <f>IF(CB17&gt;30, "Old", "Young")</f>
        <v>Old</v>
      </c>
      <c r="CC18" t="str">
        <f>IF(CC17&gt;30, "Old", "Young")</f>
        <v>Old</v>
      </c>
      <c r="CD18" t="str">
        <f>IF(CD17&gt;30, "Old", "Young")</f>
        <v>Old</v>
      </c>
      <c r="CE18" t="str">
        <f>IF(CE17&gt;30, "Old", "Young")</f>
        <v>Old</v>
      </c>
      <c r="CF18" t="str">
        <f>IF(CF17&gt;30, "Old", "Young")</f>
        <v>Old</v>
      </c>
      <c r="CG18" t="str">
        <f>IF(CG17&gt;30, "Old", "Young")</f>
        <v>Old</v>
      </c>
      <c r="CH18" t="str">
        <f>IF(CH17&gt;30, "Old", "Young")</f>
        <v>Old</v>
      </c>
      <c r="CI18" t="str">
        <f>IF(CI17&gt;30, "Old", "Young")</f>
        <v>Young</v>
      </c>
      <c r="CJ18" t="str">
        <f>IF(CJ17&gt;30, "Old", "Young")</f>
        <v>Old</v>
      </c>
      <c r="CK18" t="str">
        <f>IF(CK17&gt;30, "Old", "Young")</f>
        <v>Old</v>
      </c>
      <c r="CL18" t="str">
        <f>IF(CL17&gt;30, "Old", "Young")</f>
        <v>Old</v>
      </c>
      <c r="CM18" t="str">
        <f>IF(CM17&gt;30, "Old", "Young")</f>
        <v>Old</v>
      </c>
      <c r="CN18" t="str">
        <f>IF(CN17&gt;30, "Old", "Young")</f>
        <v>Young</v>
      </c>
      <c r="CO18" t="str">
        <f>IF(CO17&gt;30, "Old", "Young")</f>
        <v>Old</v>
      </c>
      <c r="CP18" t="str">
        <f>IF(CP17&gt;30, "Old", "Young")</f>
        <v>Old</v>
      </c>
      <c r="CQ18" t="str">
        <f>IF(CQ17&gt;30, "Old", "Young")</f>
        <v>Old</v>
      </c>
      <c r="CR18" t="str">
        <f>IF(CR17&gt;30, "Old", "Young")</f>
        <v>Young</v>
      </c>
      <c r="CS18" t="str">
        <f>IF(CS17&gt;30, "Old", "Young")</f>
        <v>Old</v>
      </c>
      <c r="CT18" t="str">
        <f>IF(CT17&gt;30, "Old", "Young")</f>
        <v>Old</v>
      </c>
      <c r="CU18" t="str">
        <f>IF(CU17&gt;30, "Old", "Young")</f>
        <v>Old</v>
      </c>
      <c r="CV18" t="str">
        <f>IF(CV17&gt;30, "Old", "Young")</f>
        <v>Old</v>
      </c>
      <c r="CW18" t="str">
        <f>IF(CW17&gt;30, "Old", "Young")</f>
        <v>Young</v>
      </c>
      <c r="CX18" t="str">
        <f>IF(CX17&gt;30, "Old", "Young")</f>
        <v>Old</v>
      </c>
      <c r="CY18" t="str">
        <f>IF(CY17&gt;30, "Old", "Young")</f>
        <v>Old</v>
      </c>
      <c r="CZ18" t="str">
        <f>IF(CZ17&gt;30, "Old", "Young")</f>
        <v>Old</v>
      </c>
      <c r="DA18" t="str">
        <f>IF(DA17&gt;30, "Old", "Young")</f>
        <v>Old</v>
      </c>
      <c r="DB18" t="str">
        <f>IF(DB17&gt;30, "Old", "Young")</f>
        <v>Old</v>
      </c>
      <c r="DC18" t="str">
        <f>IF(DC17&gt;30, "Old", "Young")</f>
        <v>Young</v>
      </c>
      <c r="DD18" t="str">
        <f>IF(DD17&gt;30, "Old", "Young")</f>
        <v>Old</v>
      </c>
      <c r="DE18" t="str">
        <f>IF(DE17&gt;30, "Old", "Young")</f>
        <v>Young</v>
      </c>
      <c r="DF18" t="str">
        <f>IF(DF17&gt;30, "Old", "Young")</f>
        <v>Old</v>
      </c>
      <c r="DG18" t="str">
        <f>IF(DG17&gt;30, "Old", "Young")</f>
        <v>Young</v>
      </c>
      <c r="DH18" t="str">
        <f>IF(DH17&gt;30, "Old", "Young")</f>
        <v>Old</v>
      </c>
      <c r="DI18" t="str">
        <f>IF(DI17&gt;30, "Old", "Young")</f>
        <v>Old</v>
      </c>
      <c r="DJ18" t="str">
        <f>IF(DJ17&gt;30, "Old", "Young")</f>
        <v>Old</v>
      </c>
      <c r="DK18" t="str">
        <f>IF(DK17&gt;30, "Old", "Young")</f>
        <v>Old</v>
      </c>
      <c r="DL18" t="str">
        <f>IF(DL17&gt;30, "Old", "Young")</f>
        <v>Old</v>
      </c>
      <c r="DM18" t="str">
        <f>IF(DM17&gt;30, "Old", "Young")</f>
        <v>Old</v>
      </c>
      <c r="DN18" t="str">
        <f>IF(DN17&gt;30, "Old", "Young")</f>
        <v>Old</v>
      </c>
      <c r="DO18" t="str">
        <f>IF(DO17&gt;30, "Old", "Young")</f>
        <v>Young</v>
      </c>
      <c r="DP18" t="str">
        <f>IF(DP17&gt;30, "Old", "Young")</f>
        <v>Old</v>
      </c>
      <c r="DQ18" t="str">
        <f>IF(DQ17&gt;30, "Old", "Young")</f>
        <v>Old</v>
      </c>
      <c r="DR18" t="str">
        <f>IF(DR17&gt;30, "Old", "Young")</f>
        <v>Young</v>
      </c>
      <c r="DS18" t="str">
        <f>IF(DS17&gt;30, "Old", "Young")</f>
        <v>Old</v>
      </c>
      <c r="DT18" t="str">
        <f>IF(DT17&gt;30, "Old", "Young")</f>
        <v>Old</v>
      </c>
      <c r="DU18" t="str">
        <f>IF(DU17&gt;30, "Old", "Young")</f>
        <v>Old</v>
      </c>
      <c r="DV18" t="str">
        <f>IF(DV17&gt;30, "Old", "Young")</f>
        <v>Old</v>
      </c>
      <c r="DW18" t="str">
        <f>IF(DW17&gt;30, "Old", "Young")</f>
        <v>Young</v>
      </c>
      <c r="DX18" t="str">
        <f>IF(DX17&gt;30, "Old", "Young")</f>
        <v>Young</v>
      </c>
      <c r="DY18" t="str">
        <f>IF(DY17&gt;30, "Old", "Young")</f>
        <v>Old</v>
      </c>
      <c r="DZ18" t="str">
        <f>IF(DZ17&gt;30, "Old", "Young")</f>
        <v>Old</v>
      </c>
      <c r="EA18" t="str">
        <f>IF(EA17&gt;30, "Old", "Young")</f>
        <v>Old</v>
      </c>
      <c r="EB18" t="str">
        <f>IF(EB17&gt;30, "Old", "Young")</f>
        <v>Old</v>
      </c>
      <c r="EC18" t="str">
        <f>IF(EC17&gt;30, "Old", "Young")</f>
        <v>Old</v>
      </c>
      <c r="ED18" t="str">
        <f>IF(ED17&gt;30, "Old", "Young")</f>
        <v>Young</v>
      </c>
      <c r="EE18" t="str">
        <f>IF(EE17&gt;30, "Old", "Young")</f>
        <v>Old</v>
      </c>
      <c r="EF18" t="str">
        <f>IF(EF17&gt;30, "Old", "Young")</f>
        <v>Old</v>
      </c>
      <c r="EG18" t="str">
        <f>IF(EG17&gt;30, "Old", "Young")</f>
        <v>Old</v>
      </c>
      <c r="EH18" t="str">
        <f>IF(EH17&gt;30, "Old", "Young")</f>
        <v>Old</v>
      </c>
      <c r="EI18" t="str">
        <f>IF(EI17&gt;30, "Old", "Young")</f>
        <v>Young</v>
      </c>
      <c r="EJ18" t="str">
        <f>IF(EJ17&gt;30, "Old", "Young")</f>
        <v>Young</v>
      </c>
      <c r="EK18" t="str">
        <f>IF(EK17&gt;30, "Old", "Young")</f>
        <v>Old</v>
      </c>
      <c r="EL18" t="str">
        <f>IF(EL17&gt;30, "Old", "Young")</f>
        <v>Old</v>
      </c>
      <c r="EM18" t="str">
        <f>IF(EM17&gt;30, "Old", "Young")</f>
        <v>Old</v>
      </c>
      <c r="EN18" t="str">
        <f>IF(EN17&gt;30, "Old", "Young")</f>
        <v>Old</v>
      </c>
      <c r="EO18" t="str">
        <f>IF(EO17&gt;30, "Old", "Young")</f>
        <v>Old</v>
      </c>
      <c r="EP18" t="str">
        <f>IF(EP17&gt;30, "Old", "Young")</f>
        <v>Old</v>
      </c>
      <c r="EQ18" t="str">
        <f>IF(EQ17&gt;30, "Old", "Young")</f>
        <v>Old</v>
      </c>
      <c r="ER18" t="str">
        <f>IF(ER17&gt;30, "Old", "Young")</f>
        <v>Young</v>
      </c>
      <c r="ES18" t="str">
        <f>IF(ES17&gt;30, "Old", "Young")</f>
        <v>Old</v>
      </c>
      <c r="ET18" t="str">
        <f>IF(ET17&gt;30, "Old", "Young")</f>
        <v>Young</v>
      </c>
      <c r="EU18" t="str">
        <f>IF(EU17&gt;30, "Old", "Young")</f>
        <v>Old</v>
      </c>
      <c r="EV18" t="str">
        <f>IF(EV17&gt;30, "Old", "Young")</f>
        <v>Old</v>
      </c>
      <c r="EW18" t="str">
        <f>IF(EW17&gt;30, "Old", "Young")</f>
        <v>Old</v>
      </c>
      <c r="EX18" t="str">
        <f>IF(EX17&gt;30, "Old", "Young")</f>
        <v>Old</v>
      </c>
      <c r="EY18" t="str">
        <f>IF(EY17&gt;30, "Old", "Young")</f>
        <v>Old</v>
      </c>
      <c r="EZ18" t="str">
        <f>IF(EZ17&gt;30, "Old", "Young")</f>
        <v>Old</v>
      </c>
      <c r="FA18" t="str">
        <f>IF(FA17&gt;30, "Old", "Young")</f>
        <v>Old</v>
      </c>
      <c r="FB18" t="str">
        <f>IF(FB17&gt;30, "Old", "Young")</f>
        <v>Old</v>
      </c>
      <c r="FC18" t="str">
        <f>IF(FC17&gt;30, "Old", "Young")</f>
        <v>Old</v>
      </c>
      <c r="FD18" t="str">
        <f>IF(FD17&gt;30, "Old", "Young")</f>
        <v>Old</v>
      </c>
      <c r="FE18" t="str">
        <f>IF(FE17&gt;30, "Old", "Young")</f>
        <v>Old</v>
      </c>
      <c r="FF18" t="str">
        <f>IF(FF17&gt;30, "Old", "Young")</f>
        <v>Old</v>
      </c>
      <c r="FG18" t="str">
        <f>IF(FG17&gt;30, "Old", "Young")</f>
        <v>Old</v>
      </c>
      <c r="FH18" t="str">
        <f>IF(FH17&gt;30, "Old", "Young")</f>
        <v>Old</v>
      </c>
      <c r="FI18" t="str">
        <f>IF(FI17&gt;30, "Old", "Young")</f>
        <v>Old</v>
      </c>
      <c r="FJ18" t="str">
        <f>IF(FJ17&gt;30, "Old", "Young")</f>
        <v>Old</v>
      </c>
      <c r="FK18" t="str">
        <f>IF(FK17&gt;30, "Old", "Young")</f>
        <v>Young</v>
      </c>
      <c r="FL18" t="str">
        <f>IF(FL17&gt;30, "Old", "Young")</f>
        <v>Old</v>
      </c>
      <c r="FM18" t="str">
        <f>IF(FM17&gt;30, "Old", "Young")</f>
        <v>Young</v>
      </c>
      <c r="FN18" t="str">
        <f>IF(FN17&gt;30, "Old", "Young")</f>
        <v>Young</v>
      </c>
      <c r="FO18" t="str">
        <f>IF(FO17&gt;30, "Old", "Young")</f>
        <v>Old</v>
      </c>
      <c r="FP18" t="str">
        <f>IF(FP17&gt;30, "Old", "Young")</f>
        <v>Old</v>
      </c>
      <c r="FQ18" t="str">
        <f>IF(FQ17&gt;30, "Old", "Young")</f>
        <v>Old</v>
      </c>
      <c r="FR18" t="str">
        <f>IF(FR17&gt;30, "Old", "Young")</f>
        <v>Old</v>
      </c>
      <c r="FS18" t="str">
        <f>IF(FS17&gt;30, "Old", "Young")</f>
        <v>Old</v>
      </c>
      <c r="FT18" t="str">
        <f>IF(FT17&gt;30, "Old", "Young")</f>
        <v>Old</v>
      </c>
      <c r="FU18" t="str">
        <f>IF(FU17&gt;30, "Old", "Young")</f>
        <v>Old</v>
      </c>
      <c r="FV18" t="str">
        <f>IF(FV17&gt;30, "Old", "Young")</f>
        <v>Old</v>
      </c>
      <c r="FW18" t="str">
        <f>IF(FW17&gt;30, "Old", "Young")</f>
        <v>Old</v>
      </c>
      <c r="FX18" t="str">
        <f>IF(FX17&gt;30, "Old", "Young")</f>
        <v>Old</v>
      </c>
      <c r="FY18" t="str">
        <f>IF(FY17&gt;30, "Old", "Young")</f>
        <v>Old</v>
      </c>
      <c r="FZ18" t="str">
        <f>IF(FZ17&gt;30, "Old", "Young")</f>
        <v>Old</v>
      </c>
      <c r="GA18" t="str">
        <f>IF(GA17&gt;30, "Old", "Young")</f>
        <v>Old</v>
      </c>
      <c r="GB18" t="str">
        <f>IF(GB17&gt;30, "Old", "Young")</f>
        <v>Old</v>
      </c>
      <c r="GC18" t="str">
        <f>IF(GC17&gt;30, "Old", "Young")</f>
        <v>Old</v>
      </c>
      <c r="GD18" t="str">
        <f>IF(GD17&gt;30, "Old", "Young")</f>
        <v>Old</v>
      </c>
      <c r="GE18" t="str">
        <f>IF(GE17&gt;30, "Old", "Young")</f>
        <v>Young</v>
      </c>
      <c r="GF18" t="str">
        <f>IF(GF17&gt;30, "Old", "Young")</f>
        <v>Old</v>
      </c>
      <c r="GG18" t="str">
        <f>IF(GG17&gt;30, "Old", "Young")</f>
        <v>Old</v>
      </c>
      <c r="GH18" t="str">
        <f>IF(GH17&gt;30, "Old", "Young")</f>
        <v>Old</v>
      </c>
      <c r="GI18" t="str">
        <f>IF(GI17&gt;30, "Old", "Young")</f>
        <v>Old</v>
      </c>
      <c r="GJ18" t="str">
        <f>IF(GJ17&gt;30, "Old", "Young")</f>
        <v>Young</v>
      </c>
      <c r="GK18" t="str">
        <f>IF(GK17&gt;30, "Old", "Young")</f>
        <v>Old</v>
      </c>
      <c r="GL18" t="str">
        <f>IF(GL17&gt;30, "Old", "Young")</f>
        <v>Young</v>
      </c>
      <c r="GM18" t="str">
        <f>IF(GM17&gt;30, "Old", "Young")</f>
        <v>Old</v>
      </c>
      <c r="GN18" t="str">
        <f>IF(GN17&gt;30, "Old", "Young")</f>
        <v>Young</v>
      </c>
      <c r="GO18" t="str">
        <f>IF(GO17&gt;30, "Old", "Young")</f>
        <v>Old</v>
      </c>
      <c r="GP18" t="str">
        <f>IF(GP17&gt;30, "Old", "Young")</f>
        <v>Old</v>
      </c>
      <c r="GQ18" t="str">
        <f>IF(GQ17&gt;30, "Old", "Young")</f>
        <v>Old</v>
      </c>
      <c r="GR18" t="str">
        <f>IF(GR17&gt;30, "Old", "Young")</f>
        <v>Old</v>
      </c>
      <c r="GS18" t="str">
        <f>IF(GS17&gt;30, "Old", "Young")</f>
        <v>Old</v>
      </c>
      <c r="GT18" t="str">
        <f>IF(GT17&gt;30, "Old", "Young")</f>
        <v>Young</v>
      </c>
      <c r="GU18" t="str">
        <f>IF(GU17&gt;30, "Old", "Young")</f>
        <v>Old</v>
      </c>
      <c r="GV18" t="str">
        <f>IF(GV17&gt;30, "Old", "Young")</f>
        <v>Old</v>
      </c>
      <c r="GW18" t="str">
        <f>IF(GW17&gt;30, "Old", "Young")</f>
        <v>Old</v>
      </c>
      <c r="GX18" t="str">
        <f>IF(GX17&gt;30, "Old", "Young")</f>
        <v>Old</v>
      </c>
      <c r="GY18" t="str">
        <f>IF(GY17&gt;30, "Old", "Young")</f>
        <v>Old</v>
      </c>
      <c r="GZ18" t="str">
        <f>IF(GZ17&gt;30, "Old", "Young")</f>
        <v>Old</v>
      </c>
      <c r="HA18" t="str">
        <f>IF(HA17&gt;30, "Old", "Young")</f>
        <v>Old</v>
      </c>
      <c r="HB18" t="str">
        <f>IF(HB17&gt;30, "Old", "Young")</f>
        <v>Old</v>
      </c>
      <c r="HC18" t="str">
        <f>IF(HC17&gt;30, "Old", "Young")</f>
        <v>Old</v>
      </c>
      <c r="HD18" t="str">
        <f>IF(HD17&gt;30, "Old", "Young")</f>
        <v>Old</v>
      </c>
      <c r="HE18" t="str">
        <f>IF(HE17&gt;30, "Old", "Young")</f>
        <v>Old</v>
      </c>
      <c r="HF18" t="str">
        <f>IF(HF17&gt;30, "Old", "Young")</f>
        <v>Old</v>
      </c>
      <c r="HG18" t="str">
        <f>IF(HG17&gt;30, "Old", "Young")</f>
        <v>Old</v>
      </c>
      <c r="HH18" t="str">
        <f>IF(HH17&gt;30, "Old", "Young")</f>
        <v>Old</v>
      </c>
      <c r="HI18" t="str">
        <f>IF(HI17&gt;30, "Old", "Young")</f>
        <v>Young</v>
      </c>
      <c r="HJ18" t="str">
        <f>IF(HJ17&gt;30, "Old", "Young")</f>
        <v>Old</v>
      </c>
      <c r="HK18" t="str">
        <f>IF(HK17&gt;30, "Old", "Young")</f>
        <v>Young</v>
      </c>
      <c r="HL18" t="str">
        <f>IF(HL17&gt;30, "Old", "Young")</f>
        <v>Old</v>
      </c>
      <c r="HM18" t="str">
        <f>IF(HM17&gt;30, "Old", "Young")</f>
        <v>Young</v>
      </c>
      <c r="HN18" t="str">
        <f>IF(HN17&gt;30, "Old", "Young")</f>
        <v>Old</v>
      </c>
      <c r="HO18" t="str">
        <f>IF(HO17&gt;30, "Old", "Young")</f>
        <v>Old</v>
      </c>
      <c r="HP18" t="str">
        <f>IF(HP17&gt;30, "Old", "Young")</f>
        <v>Young</v>
      </c>
      <c r="HQ18" t="str">
        <f>IF(HQ17&gt;30, "Old", "Young")</f>
        <v>Old</v>
      </c>
      <c r="HR18" t="str">
        <f>IF(HR17&gt;30, "Old", "Young")</f>
        <v>Old</v>
      </c>
      <c r="HS18" t="str">
        <f>IF(HS17&gt;30, "Old", "Young")</f>
        <v>Old</v>
      </c>
      <c r="HT18" t="str">
        <f>IF(HT17&gt;30, "Old", "Young")</f>
        <v>Old</v>
      </c>
      <c r="HU18" t="str">
        <f>IF(HU17&gt;30, "Old", "Young")</f>
        <v>Old</v>
      </c>
      <c r="HV18" t="str">
        <f>IF(HV17&gt;30, "Old", "Young")</f>
        <v>Old</v>
      </c>
      <c r="HW18" t="str">
        <f>IF(HW17&gt;30, "Old", "Young")</f>
        <v>Old</v>
      </c>
      <c r="HX18" t="str">
        <f>IF(HX17&gt;30, "Old", "Young")</f>
        <v>Old</v>
      </c>
      <c r="HY18" t="str">
        <f>IF(HY17&gt;30, "Old", "Young")</f>
        <v>Old</v>
      </c>
      <c r="HZ18" t="str">
        <f>IF(HZ17&gt;30, "Old", "Young")</f>
        <v>Old</v>
      </c>
      <c r="IA18" t="str">
        <f>IF(IA17&gt;30, "Old", "Young")</f>
        <v>Old</v>
      </c>
      <c r="IB18" t="str">
        <f>IF(IB17&gt;30, "Old", "Young")</f>
        <v>Old</v>
      </c>
      <c r="IC18" t="str">
        <f>IF(IC17&gt;30, "Old", "Young")</f>
        <v>Old</v>
      </c>
      <c r="ID18" t="str">
        <f>IF(ID17&gt;30, "Old", "Young")</f>
        <v>Old</v>
      </c>
      <c r="IE18" t="str">
        <f>IF(IE17&gt;30, "Old", "Young")</f>
        <v>Old</v>
      </c>
      <c r="IF18" t="str">
        <f>IF(IF17&gt;30, "Old", "Young")</f>
        <v>Old</v>
      </c>
      <c r="IG18" t="str">
        <f>IF(IG17&gt;30, "Old", "Young")</f>
        <v>Old</v>
      </c>
      <c r="IH18" t="str">
        <f>IF(IH17&gt;30, "Old", "Young")</f>
        <v>Old</v>
      </c>
      <c r="II18" t="str">
        <f>IF(II17&gt;30, "Old", "Young")</f>
        <v>Old</v>
      </c>
      <c r="IJ18" t="str">
        <f>IF(IJ17&gt;30, "Old", "Young")</f>
        <v>Old</v>
      </c>
      <c r="IK18" t="str">
        <f>IF(IK17&gt;30, "Old", "Young")</f>
        <v>Young</v>
      </c>
      <c r="IL18" t="str">
        <f>IF(IL17&gt;30, "Old", "Young")</f>
        <v>Old</v>
      </c>
      <c r="IM18" t="str">
        <f>IF(IM17&gt;30, "Old", "Young")</f>
        <v>Old</v>
      </c>
      <c r="IN18" t="str">
        <f>IF(IN17&gt;30, "Old", "Young")</f>
        <v>Old</v>
      </c>
      <c r="IO18" t="str">
        <f>IF(IO17&gt;30, "Old", "Young")</f>
        <v>Old</v>
      </c>
      <c r="IP18" t="str">
        <f>IF(IP17&gt;30, "Old", "Young")</f>
        <v>Young</v>
      </c>
      <c r="IQ18" t="str">
        <f>IF(IQ17&gt;30, "Old", "Young")</f>
        <v>Old</v>
      </c>
      <c r="IR18" t="str">
        <f>IF(IR17&gt;30, "Old", "Young")</f>
        <v>Old</v>
      </c>
      <c r="IS18" t="str">
        <f>IF(IS17&gt;30, "Old", "Young")</f>
        <v>Old</v>
      </c>
      <c r="IT18" t="str">
        <f>IF(IT17&gt;30, "Old", "Young")</f>
        <v>Old</v>
      </c>
      <c r="IU18" t="str">
        <f>IF(IU17&gt;30, "Old", "Young")</f>
        <v>Old</v>
      </c>
      <c r="IV18" t="str">
        <f>IF(IV17&gt;30, "Old", "Young")</f>
        <v>Old</v>
      </c>
      <c r="IW18" t="str">
        <f>IF(IW17&gt;30, "Old", "Young")</f>
        <v>Old</v>
      </c>
      <c r="IX18" t="str">
        <f>IF(IX17&gt;30, "Old", "Young")</f>
        <v>Old</v>
      </c>
      <c r="IY18" t="str">
        <f>IF(IY17&gt;30, "Old", "Young")</f>
        <v>Old</v>
      </c>
      <c r="IZ18" t="str">
        <f>IF(IZ17&gt;30, "Old", "Young")</f>
        <v>Young</v>
      </c>
      <c r="JA18" t="str">
        <f>IF(JA17&gt;30, "Old", "Young")</f>
        <v>Old</v>
      </c>
      <c r="JB18" t="str">
        <f>IF(JB17&gt;30, "Old", "Young")</f>
        <v>Old</v>
      </c>
      <c r="JC18" t="str">
        <f>IF(JC17&gt;30, "Old", "Young")</f>
        <v>Young</v>
      </c>
      <c r="JD18" t="str">
        <f>IF(JD17&gt;30, "Old", "Young")</f>
        <v>Young</v>
      </c>
      <c r="JE18" t="str">
        <f>IF(JE17&gt;30, "Old", "Young")</f>
        <v>Old</v>
      </c>
      <c r="JF18" t="str">
        <f>IF(JF17&gt;30, "Old", "Young")</f>
        <v>Old</v>
      </c>
      <c r="JG18" t="str">
        <f>IF(JG17&gt;30, "Old", "Young")</f>
        <v>Young</v>
      </c>
      <c r="JH18" t="str">
        <f>IF(JH17&gt;30, "Old", "Young")</f>
        <v>Young</v>
      </c>
      <c r="JI18" t="str">
        <f>IF(JI17&gt;30, "Old", "Young")</f>
        <v>Old</v>
      </c>
      <c r="JJ18" t="str">
        <f>IF(JJ17&gt;30, "Old", "Young")</f>
        <v>Old</v>
      </c>
      <c r="JK18" t="str">
        <f>IF(JK17&gt;30, "Old", "Young")</f>
        <v>Old</v>
      </c>
      <c r="JL18" t="str">
        <f>IF(JL17&gt;30, "Old", "Young")</f>
        <v>Old</v>
      </c>
      <c r="JM18" t="str">
        <f>IF(JM17&gt;30, "Old", "Young")</f>
        <v>Young</v>
      </c>
      <c r="JN18" t="str">
        <f>IF(JN17&gt;30, "Old", "Young")</f>
        <v>Old</v>
      </c>
      <c r="JO18" t="str">
        <f>IF(JO17&gt;30, "Old", "Young")</f>
        <v>Old</v>
      </c>
      <c r="JP18" t="str">
        <f>IF(JP17&gt;30, "Old", "Young")</f>
        <v>Old</v>
      </c>
      <c r="JQ18" t="str">
        <f>IF(JQ17&gt;30, "Old", "Young")</f>
        <v>Old</v>
      </c>
      <c r="JR18" t="str">
        <f>IF(JR17&gt;30, "Old", "Young")</f>
        <v>Old</v>
      </c>
      <c r="JS18" t="str">
        <f>IF(JS17&gt;30, "Old", "Young")</f>
        <v>Old</v>
      </c>
      <c r="JT18" t="str">
        <f>IF(JT17&gt;30, "Old", "Young")</f>
        <v>Old</v>
      </c>
      <c r="JU18" t="str">
        <f>IF(JU17&gt;30, "Old", "Young")</f>
        <v>Old</v>
      </c>
      <c r="JV18" t="str">
        <f>IF(JV17&gt;30, "Old", "Young")</f>
        <v>Young</v>
      </c>
      <c r="JW18" t="str">
        <f>IF(JW17&gt;30, "Old", "Young")</f>
        <v>Young</v>
      </c>
      <c r="JX18" t="str">
        <f>IF(JX17&gt;30, "Old", "Young")</f>
        <v>Old</v>
      </c>
      <c r="JY18" t="str">
        <f>IF(JY17&gt;30, "Old", "Young")</f>
        <v>Old</v>
      </c>
      <c r="JZ18" t="str">
        <f>IF(JZ17&gt;30, "Old", "Young")</f>
        <v>Young</v>
      </c>
      <c r="KA18" t="str">
        <f>IF(KA17&gt;30, "Old", "Young")</f>
        <v>Old</v>
      </c>
      <c r="KB18" t="str">
        <f>IF(KB17&gt;30, "Old", "Young")</f>
        <v>Old</v>
      </c>
      <c r="KC18" t="str">
        <f>IF(KC17&gt;30, "Old", "Young")</f>
        <v>Old</v>
      </c>
      <c r="KD18" t="str">
        <f>IF(KD17&gt;30, "Old", "Young")</f>
        <v>Old</v>
      </c>
      <c r="KE18" t="str">
        <f>IF(KE17&gt;30, "Old", "Young")</f>
        <v>Young</v>
      </c>
      <c r="KF18" t="str">
        <f>IF(KF17&gt;30, "Old", "Young")</f>
        <v>Old</v>
      </c>
      <c r="KG18" t="str">
        <f>IF(KG17&gt;30, "Old", "Young")</f>
        <v>Old</v>
      </c>
      <c r="KH18" t="str">
        <f>IF(KH17&gt;30, "Old", "Young")</f>
        <v>Old</v>
      </c>
      <c r="KI18" t="str">
        <f>IF(KI17&gt;30, "Old", "Young")</f>
        <v>Old</v>
      </c>
      <c r="KJ18" t="str">
        <f>IF(KJ17&gt;30, "Old", "Young")</f>
        <v>Old</v>
      </c>
      <c r="KK18" t="str">
        <f>IF(KK17&gt;30, "Old", "Young")</f>
        <v>Old</v>
      </c>
      <c r="KL18" t="str">
        <f>IF(KL17&gt;30, "Old", "Young")</f>
        <v>Old</v>
      </c>
      <c r="KM18" t="str">
        <f>IF(KM17&gt;30, "Old", "Young")</f>
        <v>Old</v>
      </c>
      <c r="KN18" t="str">
        <f>IF(KN17&gt;30, "Old", "Young")</f>
        <v>Young</v>
      </c>
      <c r="KO18" t="str">
        <f>IF(KO17&gt;30, "Old", "Young")</f>
        <v>Young</v>
      </c>
      <c r="KP18" t="str">
        <f>IF(KP17&gt;30, "Old", "Young")</f>
        <v>Old</v>
      </c>
      <c r="KQ18" t="str">
        <f>IF(KQ17&gt;30, "Old", "Young")</f>
        <v>Old</v>
      </c>
      <c r="KR18" t="str">
        <f>IF(KR17&gt;30, "Old", "Young")</f>
        <v>Old</v>
      </c>
      <c r="KS18" t="str">
        <f>IF(KS17&gt;30, "Old", "Young")</f>
        <v>Old</v>
      </c>
      <c r="KT18" t="str">
        <f>IF(KT17&gt;30, "Old", "Young")</f>
        <v>Old</v>
      </c>
      <c r="KU18" t="str">
        <f>IF(KU17&gt;30, "Old", "Young")</f>
        <v>Old</v>
      </c>
      <c r="KV18" t="str">
        <f>IF(KV17&gt;30, "Old", "Young")</f>
        <v>Old</v>
      </c>
      <c r="KW18" t="str">
        <f>IF(KW17&gt;30, "Old", "Young")</f>
        <v>Young</v>
      </c>
      <c r="KX18" t="str">
        <f>IF(KX17&gt;30, "Old", "Young")</f>
        <v>Old</v>
      </c>
      <c r="KY18" t="str">
        <f>IF(KY17&gt;30, "Old", "Young")</f>
        <v>Old</v>
      </c>
      <c r="KZ18" t="str">
        <f>IF(KZ17&gt;30, "Old", "Young")</f>
        <v>Old</v>
      </c>
      <c r="LA18" t="str">
        <f>IF(LA17&gt;30, "Old", "Young")</f>
        <v>Old</v>
      </c>
      <c r="LB18" t="str">
        <f>IF(LB17&gt;30, "Old", "Young")</f>
        <v>Old</v>
      </c>
      <c r="LC18" t="str">
        <f>IF(LC17&gt;30, "Old", "Young")</f>
        <v>Old</v>
      </c>
      <c r="LD18" t="str">
        <f>IF(LD17&gt;30, "Old", "Young")</f>
        <v>Young</v>
      </c>
      <c r="LE18" t="str">
        <f>IF(LE17&gt;30, "Old", "Young")</f>
        <v>Old</v>
      </c>
      <c r="LF18" t="str">
        <f>IF(LF17&gt;30, "Old", "Young")</f>
        <v>Young</v>
      </c>
      <c r="LG18" t="str">
        <f>IF(LG17&gt;30, "Old", "Young")</f>
        <v>Old</v>
      </c>
      <c r="LH18" t="str">
        <f>IF(LH17&gt;30, "Old", "Young")</f>
        <v>Old</v>
      </c>
      <c r="LI18" t="str">
        <f>IF(LI17&gt;30, "Old", "Young")</f>
        <v>Old</v>
      </c>
      <c r="LJ18" t="str">
        <f>IF(LJ17&gt;30, "Old", "Young")</f>
        <v>Old</v>
      </c>
      <c r="LK18" t="str">
        <f>IF(LK17&gt;30, "Old", "Young")</f>
        <v>Old</v>
      </c>
      <c r="LL18" t="str">
        <f>IF(LL17&gt;30, "Old", "Young")</f>
        <v>Old</v>
      </c>
      <c r="LM18" t="str">
        <f>IF(LM17&gt;30, "Old", "Young")</f>
        <v>Old</v>
      </c>
      <c r="LN18" t="str">
        <f>IF(LN17&gt;30, "Old", "Young")</f>
        <v>Old</v>
      </c>
      <c r="LO18" t="str">
        <f>IF(LO17&gt;30, "Old", "Young")</f>
        <v>Young</v>
      </c>
      <c r="LP18" t="str">
        <f>IF(LP17&gt;30, "Old", "Young")</f>
        <v>Young</v>
      </c>
      <c r="LQ18" t="str">
        <f>IF(LQ17&gt;30, "Old", "Young")</f>
        <v>Young</v>
      </c>
      <c r="LR18" t="str">
        <f>IF(LR17&gt;30, "Old", "Young")</f>
        <v>Old</v>
      </c>
      <c r="LS18" t="str">
        <f>IF(LS17&gt;30, "Old", "Young")</f>
        <v>Young</v>
      </c>
      <c r="LT18" t="str">
        <f>IF(LT17&gt;30, "Old", "Young")</f>
        <v>Young</v>
      </c>
      <c r="LU18" t="str">
        <f>IF(LU17&gt;30, "Old", "Young")</f>
        <v>Old</v>
      </c>
      <c r="LV18" t="str">
        <f>IF(LV17&gt;30, "Old", "Young")</f>
        <v>Old</v>
      </c>
      <c r="LW18" t="str">
        <f>IF(LW17&gt;30, "Old", "Young")</f>
        <v>Old</v>
      </c>
      <c r="LX18" t="str">
        <f>IF(LX17&gt;30, "Old", "Young")</f>
        <v>Old</v>
      </c>
      <c r="LY18" t="str">
        <f>IF(LY17&gt;30, "Old", "Young")</f>
        <v>Old</v>
      </c>
      <c r="LZ18" t="str">
        <f>IF(LZ17&gt;30, "Old", "Young")</f>
        <v>Old</v>
      </c>
      <c r="MA18" t="str">
        <f>IF(MA17&gt;30, "Old", "Young")</f>
        <v>Old</v>
      </c>
      <c r="MB18" t="str">
        <f>IF(MB17&gt;30, "Old", "Young")</f>
        <v>Old</v>
      </c>
      <c r="MC18" t="str">
        <f>IF(MC17&gt;30, "Old", "Young")</f>
        <v>Old</v>
      </c>
      <c r="MD18" t="str">
        <f>IF(MD17&gt;30, "Old", "Young")</f>
        <v>Young</v>
      </c>
      <c r="ME18" t="str">
        <f>IF(ME17&gt;30, "Old", "Young")</f>
        <v>Old</v>
      </c>
      <c r="MF18" t="str">
        <f>IF(MF17&gt;30, "Old", "Young")</f>
        <v>Old</v>
      </c>
      <c r="MG18" t="str">
        <f>IF(MG17&gt;30, "Old", "Young")</f>
        <v>Old</v>
      </c>
      <c r="MH18" t="str">
        <f>IF(MH17&gt;30, "Old", "Young")</f>
        <v>Young</v>
      </c>
      <c r="MI18" t="str">
        <f>IF(MI17&gt;30, "Old", "Young")</f>
        <v>Young</v>
      </c>
      <c r="MJ18" t="str">
        <f>IF(MJ17&gt;30, "Old", "Young")</f>
        <v>Old</v>
      </c>
      <c r="MK18" t="str">
        <f>IF(MK17&gt;30, "Old", "Young")</f>
        <v>Old</v>
      </c>
      <c r="ML18" t="str">
        <f>IF(ML17&gt;30, "Old", "Young")</f>
        <v>Young</v>
      </c>
      <c r="MM18" t="str">
        <f>IF(MM17&gt;30, "Old", "Young")</f>
        <v>Young</v>
      </c>
      <c r="MN18" t="str">
        <f>IF(MN17&gt;30, "Old", "Young")</f>
        <v>Old</v>
      </c>
      <c r="MO18" t="str">
        <f>IF(MO17&gt;30, "Old", "Young")</f>
        <v>Old</v>
      </c>
      <c r="MP18" t="str">
        <f>IF(MP17&gt;30, "Old", "Young")</f>
        <v>Old</v>
      </c>
      <c r="MQ18" t="str">
        <f>IF(MQ17&gt;30, "Old", "Young")</f>
        <v>Old</v>
      </c>
      <c r="MR18" t="str">
        <f>IF(MR17&gt;30, "Old", "Young")</f>
        <v>Old</v>
      </c>
      <c r="MS18" t="str">
        <f>IF(MS17&gt;30, "Old", "Young")</f>
        <v>Old</v>
      </c>
      <c r="MT18" t="str">
        <f>IF(MT17&gt;30, "Old", "Young")</f>
        <v>Old</v>
      </c>
      <c r="MU18" t="str">
        <f>IF(MU17&gt;30, "Old", "Young")</f>
        <v>Young</v>
      </c>
      <c r="MV18" t="str">
        <f>IF(MV17&gt;30, "Old", "Young")</f>
        <v>Old</v>
      </c>
      <c r="MW18" t="str">
        <f>IF(MW17&gt;30, "Old", "Young")</f>
        <v>Old</v>
      </c>
      <c r="MX18" t="str">
        <f>IF(MX17&gt;30, "Old", "Young")</f>
        <v>Old</v>
      </c>
      <c r="MY18" t="str">
        <f>IF(MY17&gt;30, "Old", "Young")</f>
        <v>Old</v>
      </c>
      <c r="MZ18" t="str">
        <f>IF(MZ17&gt;30, "Old", "Young")</f>
        <v>Old</v>
      </c>
      <c r="NA18" t="str">
        <f>IF(NA17&gt;30, "Old", "Young")</f>
        <v>Old</v>
      </c>
      <c r="NB18" t="str">
        <f>IF(NB17&gt;30, "Old", "Young")</f>
        <v>Old</v>
      </c>
      <c r="NC18" t="str">
        <f>IF(NC17&gt;30, "Old", "Young")</f>
        <v>Young</v>
      </c>
      <c r="ND18" t="str">
        <f>IF(ND17&gt;30, "Old", "Young")</f>
        <v>Young</v>
      </c>
      <c r="NE18" t="str">
        <f>IF(NE17&gt;30, "Old", "Young")</f>
        <v>Young</v>
      </c>
      <c r="NF18" t="str">
        <f>IF(NF17&gt;30, "Old", "Young")</f>
        <v>Old</v>
      </c>
      <c r="NG18" t="str">
        <f>IF(NG17&gt;30, "Old", "Young")</f>
        <v>Old</v>
      </c>
      <c r="NH18" t="str">
        <f>IF(NH17&gt;30, "Old", "Young")</f>
        <v>Old</v>
      </c>
      <c r="NI18" t="str">
        <f>IF(NI17&gt;30, "Old", "Young")</f>
        <v>Young</v>
      </c>
      <c r="NJ18" t="str">
        <f>IF(NJ17&gt;30, "Old", "Young")</f>
        <v>Young</v>
      </c>
      <c r="NK18" t="str">
        <f>IF(NK17&gt;30, "Old", "Young")</f>
        <v>Old</v>
      </c>
      <c r="NL18" t="str">
        <f>IF(NL17&gt;30, "Old", "Young")</f>
        <v>Old</v>
      </c>
      <c r="NM18" t="str">
        <f>IF(NM17&gt;30, "Old", "Young")</f>
        <v>Old</v>
      </c>
      <c r="NN18" t="str">
        <f>IF(NN17&gt;30, "Old", "Young")</f>
        <v>Old</v>
      </c>
      <c r="NO18" t="str">
        <f>IF(NO17&gt;30, "Old", "Young")</f>
        <v>Old</v>
      </c>
      <c r="NP18" t="str">
        <f>IF(NP17&gt;30, "Old", "Young")</f>
        <v>Old</v>
      </c>
      <c r="NQ18" t="str">
        <f>IF(NQ17&gt;30, "Old", "Young")</f>
        <v>Old</v>
      </c>
      <c r="NR18" t="str">
        <f>IF(NR17&gt;30, "Old", "Young")</f>
        <v>Old</v>
      </c>
      <c r="NS18" t="str">
        <f>IF(NS17&gt;30, "Old", "Young")</f>
        <v>Old</v>
      </c>
      <c r="NT18" t="str">
        <f>IF(NT17&gt;30, "Old", "Young")</f>
        <v>Old</v>
      </c>
      <c r="NU18" t="str">
        <f>IF(NU17&gt;30, "Old", "Young")</f>
        <v>Old</v>
      </c>
      <c r="NV18" t="str">
        <f>IF(NV17&gt;30, "Old", "Young")</f>
        <v>Old</v>
      </c>
      <c r="NW18" t="str">
        <f>IF(NW17&gt;30, "Old", "Young")</f>
        <v>Old</v>
      </c>
      <c r="NX18" t="str">
        <f>IF(NX17&gt;30, "Old", "Young")</f>
        <v>Old</v>
      </c>
      <c r="NY18" t="str">
        <f>IF(NY17&gt;30, "Old", "Young")</f>
        <v>Young</v>
      </c>
      <c r="NZ18" t="str">
        <f>IF(NZ17&gt;30, "Old", "Young")</f>
        <v>Old</v>
      </c>
      <c r="OA18" t="str">
        <f>IF(OA17&gt;30, "Old", "Young")</f>
        <v>Young</v>
      </c>
      <c r="OB18" t="str">
        <f>IF(OB17&gt;30, "Old", "Young")</f>
        <v>Old</v>
      </c>
      <c r="OC18" t="str">
        <f>IF(OC17&gt;30, "Old", "Young")</f>
        <v>Old</v>
      </c>
      <c r="OD18" t="str">
        <f>IF(OD17&gt;30, "Old", "Young")</f>
        <v>Old</v>
      </c>
      <c r="OE18" t="str">
        <f>IF(OE17&gt;30, "Old", "Young")</f>
        <v>Old</v>
      </c>
      <c r="OF18" t="str">
        <f>IF(OF17&gt;30, "Old", "Young")</f>
        <v>Old</v>
      </c>
      <c r="OG18" t="str">
        <f>IF(OG17&gt;30, "Old", "Young")</f>
        <v>Old</v>
      </c>
      <c r="OH18" t="str">
        <f>IF(OH17&gt;30, "Old", "Young")</f>
        <v>Young</v>
      </c>
      <c r="OI18" t="str">
        <f>IF(OI17&gt;30, "Old", "Young")</f>
        <v>Old</v>
      </c>
      <c r="OJ18" t="str">
        <f>IF(OJ17&gt;30, "Old", "Young")</f>
        <v>Young</v>
      </c>
      <c r="OK18" t="str">
        <f>IF(OK17&gt;30, "Old", "Young")</f>
        <v>Old</v>
      </c>
      <c r="OL18" t="str">
        <f>IF(OL17&gt;30, "Old", "Young")</f>
        <v>Old</v>
      </c>
      <c r="OM18" t="str">
        <f>IF(OM17&gt;30, "Old", "Young")</f>
        <v>Old</v>
      </c>
      <c r="ON18" t="str">
        <f>IF(ON17&gt;30, "Old", "Young")</f>
        <v>Old</v>
      </c>
      <c r="OO18" t="str">
        <f>IF(OO17&gt;30, "Old", "Young")</f>
        <v>Old</v>
      </c>
      <c r="OP18" t="str">
        <f>IF(OP17&gt;30, "Old", "Young")</f>
        <v>Old</v>
      </c>
      <c r="OQ18" t="str">
        <f>IF(OQ17&gt;30, "Old", "Young")</f>
        <v>Old</v>
      </c>
      <c r="OR18" t="str">
        <f>IF(OR17&gt;30, "Old", "Young")</f>
        <v>Old</v>
      </c>
      <c r="OS18" t="str">
        <f>IF(OS17&gt;30, "Old", "Young")</f>
        <v>Old</v>
      </c>
      <c r="OT18" t="str">
        <f>IF(OT17&gt;30, "Old", "Young")</f>
        <v>Old</v>
      </c>
      <c r="OU18" t="str">
        <f>IF(OU17&gt;30, "Old", "Young")</f>
        <v>Old</v>
      </c>
      <c r="OV18" t="str">
        <f>IF(OV17&gt;30, "Old", "Young")</f>
        <v>Old</v>
      </c>
      <c r="OW18" t="str">
        <f>IF(OW17&gt;30, "Old", "Young")</f>
        <v>Old</v>
      </c>
      <c r="OX18" t="str">
        <f>IF(OX17&gt;30, "Old", "Young")</f>
        <v>Old</v>
      </c>
      <c r="OY18" t="str">
        <f>IF(OY17&gt;30, "Old", "Young")</f>
        <v>Old</v>
      </c>
      <c r="OZ18" t="str">
        <f>IF(OZ17&gt;30, "Old", "Young")</f>
        <v>Old</v>
      </c>
      <c r="PA18" t="str">
        <f>IF(PA17&gt;30, "Old", "Young")</f>
        <v>Old</v>
      </c>
      <c r="PB18" t="str">
        <f>IF(PB17&gt;30, "Old", "Young")</f>
        <v>Young</v>
      </c>
      <c r="PC18" t="str">
        <f>IF(PC17&gt;30, "Old", "Young")</f>
        <v>Old</v>
      </c>
      <c r="PD18" t="str">
        <f>IF(PD17&gt;30, "Old", "Young")</f>
        <v>Old</v>
      </c>
      <c r="PE18" t="str">
        <f>IF(PE17&gt;30, "Old", "Young")</f>
        <v>Young</v>
      </c>
      <c r="PF18" t="str">
        <f>IF(PF17&gt;30, "Old", "Young")</f>
        <v>Old</v>
      </c>
      <c r="PG18" t="str">
        <f>IF(PG17&gt;30, "Old", "Young")</f>
        <v>Young</v>
      </c>
      <c r="PH18" t="str">
        <f>IF(PH17&gt;30, "Old", "Young")</f>
        <v>Old</v>
      </c>
      <c r="PI18" t="str">
        <f>IF(PI17&gt;30, "Old", "Young")</f>
        <v>Old</v>
      </c>
      <c r="PJ18" t="str">
        <f>IF(PJ17&gt;30, "Old", "Young")</f>
        <v>Old</v>
      </c>
      <c r="PK18" t="str">
        <f>IF(PK17&gt;30, "Old", "Young")</f>
        <v>Old</v>
      </c>
      <c r="PL18" t="str">
        <f>IF(PL17&gt;30, "Old", "Young")</f>
        <v>Young</v>
      </c>
      <c r="PM18" t="str">
        <f>IF(PM17&gt;30, "Old", "Young")</f>
        <v>Old</v>
      </c>
      <c r="PN18" t="str">
        <f>IF(PN17&gt;30, "Old", "Young")</f>
        <v>Old</v>
      </c>
      <c r="PO18" t="str">
        <f>IF(PO17&gt;30, "Old", "Young")</f>
        <v>Old</v>
      </c>
      <c r="PP18" t="str">
        <f>IF(PP17&gt;30, "Old", "Young")</f>
        <v>Old</v>
      </c>
      <c r="PQ18" t="str">
        <f>IF(PQ17&gt;30, "Old", "Young")</f>
        <v>Old</v>
      </c>
      <c r="PR18" t="str">
        <f>IF(PR17&gt;30, "Old", "Young")</f>
        <v>Old</v>
      </c>
      <c r="PS18" t="str">
        <f>IF(PS17&gt;30, "Old", "Young")</f>
        <v>Young</v>
      </c>
      <c r="PT18" t="str">
        <f>IF(PT17&gt;30, "Old", "Young")</f>
        <v>Young</v>
      </c>
      <c r="PU18" t="str">
        <f>IF(PU17&gt;30, "Old", "Young")</f>
        <v>Old</v>
      </c>
      <c r="PV18" t="str">
        <f>IF(PV17&gt;30, "Old", "Young")</f>
        <v>Old</v>
      </c>
      <c r="PW18" t="str">
        <f>IF(PW17&gt;30, "Old", "Young")</f>
        <v>Old</v>
      </c>
      <c r="PX18" t="str">
        <f>IF(PX17&gt;30, "Old", "Young")</f>
        <v>Old</v>
      </c>
      <c r="PY18" t="str">
        <f>IF(PY17&gt;30, "Old", "Young")</f>
        <v>Old</v>
      </c>
      <c r="PZ18" t="str">
        <f>IF(PZ17&gt;30, "Old", "Young")</f>
        <v>Young</v>
      </c>
      <c r="QA18" t="str">
        <f>IF(QA17&gt;30, "Old", "Young")</f>
        <v>Old</v>
      </c>
      <c r="QB18" t="str">
        <f>IF(QB17&gt;30, "Old", "Young")</f>
        <v>Old</v>
      </c>
      <c r="QC18" t="str">
        <f>IF(QC17&gt;30, "Old", "Young")</f>
        <v>Young</v>
      </c>
      <c r="QD18" t="str">
        <f>IF(QD17&gt;30, "Old", "Young")</f>
        <v>Old</v>
      </c>
      <c r="QE18" t="str">
        <f>IF(QE17&gt;30, "Old", "Young")</f>
        <v>Old</v>
      </c>
      <c r="QF18" t="str">
        <f>IF(QF17&gt;30, "Old", "Young")</f>
        <v>Young</v>
      </c>
      <c r="QG18" t="str">
        <f>IF(QG17&gt;30, "Old", "Young")</f>
        <v>Old</v>
      </c>
      <c r="QH18" t="str">
        <f>IF(QH17&gt;30, "Old", "Young")</f>
        <v>Old</v>
      </c>
      <c r="QI18" t="str">
        <f>IF(QI17&gt;30, "Old", "Young")</f>
        <v>Old</v>
      </c>
      <c r="QJ18" t="str">
        <f>IF(QJ17&gt;30, "Old", "Young")</f>
        <v>Old</v>
      </c>
      <c r="QK18" t="str">
        <f>IF(QK17&gt;30, "Old", "Young")</f>
        <v>Old</v>
      </c>
      <c r="QL18" t="str">
        <f>IF(QL17&gt;30, "Old", "Young")</f>
        <v>Old</v>
      </c>
      <c r="QM18" t="str">
        <f>IF(QM17&gt;30, "Old", "Young")</f>
        <v>Old</v>
      </c>
      <c r="QN18" t="str">
        <f>IF(QN17&gt;30, "Old", "Young")</f>
        <v>Old</v>
      </c>
      <c r="QO18" t="str">
        <f>IF(QO17&gt;30, "Old", "Young")</f>
        <v>Old</v>
      </c>
      <c r="QP18" t="str">
        <f>IF(QP17&gt;30, "Old", "Young")</f>
        <v>Old</v>
      </c>
      <c r="QQ18" t="str">
        <f>IF(QQ17&gt;30, "Old", "Young")</f>
        <v>Old</v>
      </c>
      <c r="QR18" t="str">
        <f>IF(QR17&gt;30, "Old", "Young")</f>
        <v>Young</v>
      </c>
      <c r="QS18" t="str">
        <f>IF(QS17&gt;30, "Old", "Young")</f>
        <v>Old</v>
      </c>
      <c r="QT18" t="str">
        <f>IF(QT17&gt;30, "Old", "Young")</f>
        <v>Old</v>
      </c>
      <c r="QU18" t="str">
        <f>IF(QU17&gt;30, "Old", "Young")</f>
        <v>Old</v>
      </c>
      <c r="QV18" t="str">
        <f>IF(QV17&gt;30, "Old", "Young")</f>
        <v>Young</v>
      </c>
      <c r="QW18" t="str">
        <f>IF(QW17&gt;30, "Old", "Young")</f>
        <v>Old</v>
      </c>
      <c r="QX18" t="str">
        <f>IF(QX17&gt;30, "Old", "Young")</f>
        <v>Old</v>
      </c>
      <c r="QY18" t="str">
        <f>IF(QY17&gt;30, "Old", "Young")</f>
        <v>Old</v>
      </c>
      <c r="QZ18" t="str">
        <f>IF(QZ17&gt;30, "Old", "Young")</f>
        <v>Young</v>
      </c>
      <c r="RA18" t="str">
        <f>IF(RA17&gt;30, "Old", "Young")</f>
        <v>Old</v>
      </c>
      <c r="RB18" t="str">
        <f>IF(RB17&gt;30, "Old", "Young")</f>
        <v>Old</v>
      </c>
      <c r="RC18" t="str">
        <f>IF(RC17&gt;30, "Old", "Young")</f>
        <v>Young</v>
      </c>
      <c r="RD18" t="str">
        <f>IF(RD17&gt;30, "Old", "Young")</f>
        <v>Old</v>
      </c>
      <c r="RE18" t="str">
        <f>IF(RE17&gt;30, "Old", "Young")</f>
        <v>Old</v>
      </c>
      <c r="RF18" t="str">
        <f>IF(RF17&gt;30, "Old", "Young")</f>
        <v>Old</v>
      </c>
      <c r="RG18" t="str">
        <f>IF(RG17&gt;30, "Old", "Young")</f>
        <v>Old</v>
      </c>
      <c r="RH18" t="str">
        <f>IF(RH17&gt;30, "Old", "Young")</f>
        <v>Old</v>
      </c>
      <c r="RI18" t="str">
        <f>IF(RI17&gt;30, "Old", "Young")</f>
        <v>Old</v>
      </c>
      <c r="RJ18" t="str">
        <f>IF(RJ17&gt;30, "Old", "Young")</f>
        <v>Old</v>
      </c>
      <c r="RK18" t="str">
        <f>IF(RK17&gt;30, "Old", "Young")</f>
        <v>Old</v>
      </c>
      <c r="RL18" t="str">
        <f>IF(RL17&gt;30, "Old", "Young")</f>
        <v>Old</v>
      </c>
      <c r="RM18" t="str">
        <f>IF(RM17&gt;30, "Old", "Young")</f>
        <v>Old</v>
      </c>
      <c r="RN18" t="str">
        <f>IF(RN17&gt;30, "Old", "Young")</f>
        <v>Old</v>
      </c>
      <c r="RO18" t="str">
        <f>IF(RO17&gt;30, "Old", "Young")</f>
        <v>Young</v>
      </c>
      <c r="RP18" t="str">
        <f>IF(RP17&gt;30, "Old", "Young")</f>
        <v>Old</v>
      </c>
      <c r="RQ18" t="str">
        <f>IF(RQ17&gt;30, "Old", "Young")</f>
        <v>Old</v>
      </c>
      <c r="RR18" t="str">
        <f>IF(RR17&gt;30, "Old", "Young")</f>
        <v>Young</v>
      </c>
      <c r="RS18" t="str">
        <f>IF(RS17&gt;30, "Old", "Young")</f>
        <v>Old</v>
      </c>
      <c r="RT18" t="str">
        <f>IF(RT17&gt;30, "Old", "Young")</f>
        <v>Old</v>
      </c>
      <c r="RU18" t="str">
        <f>IF(RU17&gt;30, "Old", "Young")</f>
        <v>Old</v>
      </c>
      <c r="RV18" t="str">
        <f>IF(RV17&gt;30, "Old", "Young")</f>
        <v>Old</v>
      </c>
      <c r="RW18" t="str">
        <f>IF(RW17&gt;30, "Old", "Young")</f>
        <v>Old</v>
      </c>
      <c r="RX18" t="str">
        <f>IF(RX17&gt;30, "Old", "Young")</f>
        <v>Old</v>
      </c>
      <c r="RY18" t="str">
        <f>IF(RY17&gt;30, "Old", "Young")</f>
        <v>Young</v>
      </c>
      <c r="RZ18" t="str">
        <f>IF(RZ17&gt;30, "Old", "Young")</f>
        <v>Old</v>
      </c>
      <c r="SA18" t="str">
        <f>IF(SA17&gt;30, "Old", "Young")</f>
        <v>Old</v>
      </c>
      <c r="SB18" t="str">
        <f>IF(SB17&gt;30, "Old", "Young")</f>
        <v>Young</v>
      </c>
      <c r="SC18" t="str">
        <f>IF(SC17&gt;30, "Old", "Young")</f>
        <v>Young</v>
      </c>
      <c r="SD18" t="str">
        <f>IF(SD17&gt;30, "Old", "Young")</f>
        <v>Old</v>
      </c>
      <c r="SE18" t="str">
        <f>IF(SE17&gt;30, "Old", "Young")</f>
        <v>Old</v>
      </c>
      <c r="SF18" t="str">
        <f>IF(SF17&gt;30, "Old", "Young")</f>
        <v>Old</v>
      </c>
      <c r="SG18" t="str">
        <f>IF(SG17&gt;30, "Old", "Young")</f>
        <v>Young</v>
      </c>
      <c r="SH18" t="str">
        <f>IF(SH17&gt;30, "Old", "Young")</f>
        <v>Old</v>
      </c>
      <c r="SI18" t="str">
        <f>IF(SI17&gt;30, "Old", "Young")</f>
        <v>Old</v>
      </c>
      <c r="SJ18" t="str">
        <f>IF(SJ17&gt;30, "Old", "Young")</f>
        <v>Old</v>
      </c>
      <c r="SK18" t="str">
        <f>IF(SK17&gt;30, "Old", "Young")</f>
        <v>Young</v>
      </c>
      <c r="SL18" t="str">
        <f>IF(SL17&gt;30, "Old", "Young")</f>
        <v>Old</v>
      </c>
      <c r="SM18" t="str">
        <f>IF(SM17&gt;30, "Old", "Young")</f>
        <v>Old</v>
      </c>
      <c r="SN18" t="str">
        <f>IF(SN17&gt;30, "Old", "Young")</f>
        <v>Old</v>
      </c>
      <c r="SO18" t="str">
        <f>IF(SO17&gt;30, "Old", "Young")</f>
        <v>Old</v>
      </c>
      <c r="SP18" t="str">
        <f>IF(SP17&gt;30, "Old", "Young")</f>
        <v>Old</v>
      </c>
      <c r="SQ18" t="str">
        <f>IF(SQ17&gt;30, "Old", "Young")</f>
        <v>Old</v>
      </c>
      <c r="SR18" t="str">
        <f>IF(SR17&gt;30, "Old", "Young")</f>
        <v>Young</v>
      </c>
      <c r="SS18" t="str">
        <f>IF(SS17&gt;30, "Old", "Young")</f>
        <v>Old</v>
      </c>
      <c r="ST18" t="str">
        <f>IF(ST17&gt;30, "Old", "Young")</f>
        <v>Old</v>
      </c>
      <c r="SU18" t="str">
        <f>IF(SU17&gt;30, "Old", "Young")</f>
        <v>Old</v>
      </c>
      <c r="SV18" t="str">
        <f>IF(SV17&gt;30, "Old", "Young")</f>
        <v>Old</v>
      </c>
      <c r="SW18" t="str">
        <f>IF(SW17&gt;30, "Old", "Young")</f>
        <v>Old</v>
      </c>
      <c r="SX18" t="str">
        <f>IF(SX17&gt;30, "Old", "Young")</f>
        <v>Old</v>
      </c>
      <c r="SY18" t="str">
        <f>IF(SY17&gt;30, "Old", "Young")</f>
        <v>Old</v>
      </c>
      <c r="SZ18" t="str">
        <f>IF(SZ17&gt;30, "Old", "Young")</f>
        <v>Old</v>
      </c>
      <c r="TA18" t="str">
        <f>IF(TA17&gt;30, "Old", "Young")</f>
        <v>Young</v>
      </c>
      <c r="TB18" t="str">
        <f>IF(TB17&gt;30, "Old", "Young")</f>
        <v>Old</v>
      </c>
      <c r="TC18" t="str">
        <f>IF(TC17&gt;30, "Old", "Young")</f>
        <v>Old</v>
      </c>
      <c r="TD18" t="str">
        <f>IF(TD17&gt;30, "Old", "Young")</f>
        <v>Old</v>
      </c>
      <c r="TE18" t="str">
        <f>IF(TE17&gt;30, "Old", "Young")</f>
        <v>Old</v>
      </c>
      <c r="TF18" t="str">
        <f>IF(TF17&gt;30, "Old", "Young")</f>
        <v>Old</v>
      </c>
      <c r="TG18" t="str">
        <f>IF(TG17&gt;30, "Old", "Young")</f>
        <v>Old</v>
      </c>
      <c r="TH18" t="str">
        <f>IF(TH17&gt;30, "Old", "Young")</f>
        <v>Young</v>
      </c>
      <c r="TI18" t="str">
        <f>IF(TI17&gt;30, "Old", "Young")</f>
        <v>Young</v>
      </c>
      <c r="TJ18" t="str">
        <f>IF(TJ17&gt;30, "Old", "Young")</f>
        <v>Old</v>
      </c>
      <c r="TK18" t="str">
        <f>IF(TK17&gt;30, "Old", "Young")</f>
        <v>Young</v>
      </c>
      <c r="TL18" t="str">
        <f>IF(TL17&gt;30, "Old", "Young")</f>
        <v>Young</v>
      </c>
      <c r="TM18" t="str">
        <f>IF(TM17&gt;30, "Old", "Young")</f>
        <v>Young</v>
      </c>
      <c r="TN18" t="str">
        <f>IF(TN17&gt;30, "Old", "Young")</f>
        <v>Young</v>
      </c>
      <c r="TO18" t="str">
        <f>IF(TO17&gt;30, "Old", "Young")</f>
        <v>Old</v>
      </c>
      <c r="TP18" t="str">
        <f>IF(TP17&gt;30, "Old", "Young")</f>
        <v>Young</v>
      </c>
      <c r="TQ18" t="str">
        <f>IF(TQ17&gt;30, "Old", "Young")</f>
        <v>Old</v>
      </c>
      <c r="TR18" t="str">
        <f>IF(TR17&gt;30, "Old", "Young")</f>
        <v>Old</v>
      </c>
      <c r="TS18" t="str">
        <f>IF(TS17&gt;30, "Old", "Young")</f>
        <v>Young</v>
      </c>
      <c r="TT18" t="str">
        <f>IF(TT17&gt;30, "Old", "Young")</f>
        <v>Old</v>
      </c>
      <c r="TU18" t="str">
        <f>IF(TU17&gt;30, "Old", "Young")</f>
        <v>Old</v>
      </c>
      <c r="TV18" t="str">
        <f>IF(TV17&gt;30, "Old", "Young")</f>
        <v>Old</v>
      </c>
      <c r="TW18" t="str">
        <f>IF(TW17&gt;30, "Old", "Young")</f>
        <v>Old</v>
      </c>
      <c r="TX18" t="str">
        <f>IF(TX17&gt;30, "Old", "Young")</f>
        <v>Young</v>
      </c>
      <c r="TY18" t="str">
        <f>IF(TY17&gt;30, "Old", "Young")</f>
        <v>Old</v>
      </c>
      <c r="TZ18" t="str">
        <f>IF(TZ17&gt;30, "Old", "Young")</f>
        <v>Old</v>
      </c>
      <c r="UA18" t="str">
        <f>IF(UA17&gt;30, "Old", "Young")</f>
        <v>Old</v>
      </c>
      <c r="UB18" t="str">
        <f>IF(UB17&gt;30, "Old", "Young")</f>
        <v>Old</v>
      </c>
      <c r="UC18" t="str">
        <f>IF(UC17&gt;30, "Old", "Young")</f>
        <v>Old</v>
      </c>
      <c r="UD18" t="str">
        <f>IF(UD17&gt;30, "Old", "Young")</f>
        <v>Old</v>
      </c>
      <c r="UE18" t="str">
        <f>IF(UE17&gt;30, "Old", "Young")</f>
        <v>Old</v>
      </c>
      <c r="UF18" t="str">
        <f>IF(UF17&gt;30, "Old", "Young")</f>
        <v>Old</v>
      </c>
      <c r="UG18" t="str">
        <f>IF(UG17&gt;30, "Old", "Young")</f>
        <v>Young</v>
      </c>
      <c r="UH18" t="str">
        <f>IF(UH17&gt;30, "Old", "Young")</f>
        <v>Old</v>
      </c>
      <c r="UI18" t="str">
        <f>IF(UI17&gt;30, "Old", "Young")</f>
        <v>Old</v>
      </c>
      <c r="UJ18" t="str">
        <f>IF(UJ17&gt;30, "Old", "Young")</f>
        <v>Old</v>
      </c>
      <c r="UK18" t="str">
        <f>IF(UK17&gt;30, "Old", "Young")</f>
        <v>Young</v>
      </c>
      <c r="UL18" t="str">
        <f>IF(UL17&gt;30, "Old", "Young")</f>
        <v>Old</v>
      </c>
      <c r="UM18" t="str">
        <f>IF(UM17&gt;30, "Old", "Young")</f>
        <v>Old</v>
      </c>
      <c r="UN18" t="str">
        <f>IF(UN17&gt;30, "Old", "Young")</f>
        <v>Old</v>
      </c>
      <c r="UO18" t="str">
        <f>IF(UO17&gt;30, "Old", "Young")</f>
        <v>Old</v>
      </c>
      <c r="UP18" t="str">
        <f>IF(UP17&gt;30, "Old", "Young")</f>
        <v>Young</v>
      </c>
      <c r="UQ18" t="str">
        <f>IF(UQ17&gt;30, "Old", "Young")</f>
        <v>Old</v>
      </c>
      <c r="UR18" t="str">
        <f>IF(UR17&gt;30, "Old", "Young")</f>
        <v>Old</v>
      </c>
      <c r="US18" t="str">
        <f>IF(US17&gt;30, "Old", "Young")</f>
        <v>Old</v>
      </c>
      <c r="UT18" t="str">
        <f>IF(UT17&gt;30, "Old", "Young")</f>
        <v>Old</v>
      </c>
      <c r="UU18" t="str">
        <f>IF(UU17&gt;30, "Old", "Young")</f>
        <v>Young</v>
      </c>
      <c r="UV18" t="str">
        <f>IF(UV17&gt;30, "Old", "Young")</f>
        <v>Old</v>
      </c>
      <c r="UW18" t="str">
        <f>IF(UW17&gt;30, "Old", "Young")</f>
        <v>Young</v>
      </c>
      <c r="UX18" t="str">
        <f>IF(UX17&gt;30, "Old", "Young")</f>
        <v>Young</v>
      </c>
      <c r="UY18" t="str">
        <f>IF(UY17&gt;30, "Old", "Young")</f>
        <v>Old</v>
      </c>
      <c r="UZ18" t="str">
        <f>IF(UZ17&gt;30, "Old", "Young")</f>
        <v>Old</v>
      </c>
      <c r="VA18" t="str">
        <f>IF(VA17&gt;30, "Old", "Young")</f>
        <v>Old</v>
      </c>
      <c r="VB18" t="str">
        <f>IF(VB17&gt;30, "Old", "Young")</f>
        <v>Old</v>
      </c>
      <c r="VC18" t="str">
        <f>IF(VC17&gt;30, "Old", "Young")</f>
        <v>Old</v>
      </c>
      <c r="VD18" t="str">
        <f>IF(VD17&gt;30, "Old", "Young")</f>
        <v>Old</v>
      </c>
      <c r="VE18" t="str">
        <f>IF(VE17&gt;30, "Old", "Young")</f>
        <v>Old</v>
      </c>
      <c r="VF18" t="str">
        <f>IF(VF17&gt;30, "Old", "Young")</f>
        <v>Old</v>
      </c>
      <c r="VG18" t="str">
        <f>IF(VG17&gt;30, "Old", "Young")</f>
        <v>Young</v>
      </c>
      <c r="VH18" t="str">
        <f>IF(VH17&gt;30, "Old", "Young")</f>
        <v>Young</v>
      </c>
      <c r="VI18" t="str">
        <f>IF(VI17&gt;30, "Old", "Young")</f>
        <v>Young</v>
      </c>
      <c r="VJ18" t="str">
        <f>IF(VJ17&gt;30, "Old", "Young")</f>
        <v>Old</v>
      </c>
      <c r="VK18" t="str">
        <f>IF(VK17&gt;30, "Old", "Young")</f>
        <v>Old</v>
      </c>
      <c r="VL18" t="str">
        <f>IF(VL17&gt;30, "Old", "Young")</f>
        <v>Old</v>
      </c>
      <c r="VM18" t="str">
        <f>IF(VM17&gt;30, "Old", "Young")</f>
        <v>Young</v>
      </c>
      <c r="VN18" t="str">
        <f>IF(VN17&gt;30, "Old", "Young")</f>
        <v>Old</v>
      </c>
      <c r="VO18" t="str">
        <f>IF(VO17&gt;30, "Old", "Young")</f>
        <v>Old</v>
      </c>
      <c r="VP18" t="str">
        <f>IF(VP17&gt;30, "Old", "Young")</f>
        <v>Young</v>
      </c>
      <c r="VQ18" t="str">
        <f>IF(VQ17&gt;30, "Old", "Young")</f>
        <v>Young</v>
      </c>
      <c r="VR18" t="str">
        <f>IF(VR17&gt;30, "Old", "Young")</f>
        <v>Young</v>
      </c>
      <c r="VS18" t="str">
        <f>IF(VS17&gt;30, "Old", "Young")</f>
        <v>Old</v>
      </c>
      <c r="VT18" t="str">
        <f>IF(VT17&gt;30, "Old", "Young")</f>
        <v>Old</v>
      </c>
      <c r="VU18" t="str">
        <f>IF(VU17&gt;30, "Old", "Young")</f>
        <v>Old</v>
      </c>
      <c r="VV18" t="str">
        <f>IF(VV17&gt;30, "Old", "Young")</f>
        <v>Old</v>
      </c>
      <c r="VW18" t="str">
        <f>IF(VW17&gt;30, "Old", "Young")</f>
        <v>Old</v>
      </c>
      <c r="VX18" t="str">
        <f>IF(VX17&gt;30, "Old", "Young")</f>
        <v>Old</v>
      </c>
      <c r="VY18" t="str">
        <f>IF(VY17&gt;30, "Old", "Young")</f>
        <v>Old</v>
      </c>
      <c r="VZ18" t="str">
        <f>IF(VZ17&gt;30, "Old", "Young")</f>
        <v>Young</v>
      </c>
      <c r="WA18" t="str">
        <f>IF(WA17&gt;30, "Old", "Young")</f>
        <v>Old</v>
      </c>
      <c r="WB18" t="str">
        <f>IF(WB17&gt;30, "Old", "Young")</f>
        <v>Young</v>
      </c>
      <c r="WC18" t="str">
        <f>IF(WC17&gt;30, "Old", "Young")</f>
        <v>Young</v>
      </c>
      <c r="WD18" t="str">
        <f>IF(WD17&gt;30, "Old", "Young")</f>
        <v>Old</v>
      </c>
      <c r="WE18" t="str">
        <f>IF(WE17&gt;30, "Old", "Young")</f>
        <v>Young</v>
      </c>
      <c r="WF18" t="str">
        <f>IF(WF17&gt;30, "Old", "Young")</f>
        <v>Old</v>
      </c>
      <c r="WG18" t="str">
        <f>IF(WG17&gt;30, "Old", "Young")</f>
        <v>Old</v>
      </c>
      <c r="WH18" t="str">
        <f>IF(WH17&gt;30, "Old", "Young")</f>
        <v>Young</v>
      </c>
      <c r="WI18" t="str">
        <f>IF(WI17&gt;30, "Old", "Young")</f>
        <v>Old</v>
      </c>
      <c r="WJ18" t="str">
        <f>IF(WJ17&gt;30, "Old", "Young")</f>
        <v>Old</v>
      </c>
      <c r="WK18" t="str">
        <f>IF(WK17&gt;30, "Old", "Young")</f>
        <v>Old</v>
      </c>
      <c r="WL18" t="str">
        <f>IF(WL17&gt;30, "Old", "Young")</f>
        <v>Old</v>
      </c>
      <c r="WM18" t="str">
        <f>IF(WM17&gt;30, "Old", "Young")</f>
        <v>Old</v>
      </c>
      <c r="WN18" t="str">
        <f>IF(WN17&gt;30, "Old", "Young")</f>
        <v>Old</v>
      </c>
      <c r="WO18" t="str">
        <f>IF(WO17&gt;30, "Old", "Young")</f>
        <v>Young</v>
      </c>
      <c r="WP18" t="str">
        <f>IF(WP17&gt;30, "Old", "Young")</f>
        <v>Old</v>
      </c>
      <c r="WQ18" t="str">
        <f>IF(WQ17&gt;30, "Old", "Young")</f>
        <v>Old</v>
      </c>
      <c r="WR18" t="str">
        <f>IF(WR17&gt;30, "Old", "Young")</f>
        <v>Old</v>
      </c>
      <c r="WS18" t="str">
        <f>IF(WS17&gt;30, "Old", "Young")</f>
        <v>Old</v>
      </c>
      <c r="WT18" t="str">
        <f>IF(WT17&gt;30, "Old", "Young")</f>
        <v>Young</v>
      </c>
      <c r="WU18" t="str">
        <f>IF(WU17&gt;30, "Old", "Young")</f>
        <v>Old</v>
      </c>
      <c r="WV18" t="str">
        <f>IF(WV17&gt;30, "Old", "Young")</f>
        <v>Young</v>
      </c>
      <c r="WW18" t="str">
        <f>IF(WW17&gt;30, "Old", "Young")</f>
        <v>Old</v>
      </c>
      <c r="WX18" t="str">
        <f>IF(WX17&gt;30, "Old", "Young")</f>
        <v>Young</v>
      </c>
      <c r="WY18" t="str">
        <f>IF(WY17&gt;30, "Old", "Young")</f>
        <v>Young</v>
      </c>
      <c r="WZ18" t="str">
        <f>IF(WZ17&gt;30, "Old", "Young")</f>
        <v>Old</v>
      </c>
      <c r="XA18" t="str">
        <f>IF(XA17&gt;30, "Old", "Young")</f>
        <v>Young</v>
      </c>
      <c r="XB18" t="str">
        <f>IF(XB17&gt;30, "Old", "Young")</f>
        <v>Old</v>
      </c>
      <c r="XC18" t="str">
        <f>IF(XC17&gt;30, "Old", "Young")</f>
        <v>Old</v>
      </c>
      <c r="XD18" t="str">
        <f>IF(XD17&gt;30, "Old", "Young")</f>
        <v>Young</v>
      </c>
      <c r="XE18" t="str">
        <f>IF(XE17&gt;30, "Old", "Young")</f>
        <v>Young</v>
      </c>
      <c r="XF18" t="str">
        <f>IF(XF17&gt;30, "Old", "Young")</f>
        <v>Old</v>
      </c>
      <c r="XG18" t="str">
        <f>IF(XG17&gt;30, "Old", "Young")</f>
        <v>Old</v>
      </c>
      <c r="XH18" t="str">
        <f>IF(XH17&gt;30, "Old", "Young")</f>
        <v>Old</v>
      </c>
      <c r="XI18" t="str">
        <f>IF(XI17&gt;30, "Old", "Young")</f>
        <v>Old</v>
      </c>
      <c r="XJ18" t="str">
        <f>IF(XJ17&gt;30, "Old", "Young")</f>
        <v>Old</v>
      </c>
      <c r="XK18" t="str">
        <f>IF(XK17&gt;30, "Old", "Young")</f>
        <v>Old</v>
      </c>
      <c r="XL18" t="str">
        <f>IF(XL17&gt;30, "Old", "Young")</f>
        <v>Old</v>
      </c>
      <c r="XM18" t="str">
        <f>IF(XM17&gt;30, "Old", "Young")</f>
        <v>Old</v>
      </c>
      <c r="XN18" t="str">
        <f>IF(XN17&gt;30, "Old", "Young")</f>
        <v>Old</v>
      </c>
      <c r="XO18" t="str">
        <f>IF(XO17&gt;30, "Old", "Young")</f>
        <v>Young</v>
      </c>
      <c r="XP18" t="str">
        <f>IF(XP17&gt;30, "Old", "Young")</f>
        <v>Old</v>
      </c>
      <c r="XQ18" t="str">
        <f>IF(XQ17&gt;30, "Old", "Young")</f>
        <v>Old</v>
      </c>
      <c r="XR18" t="str">
        <f>IF(XR17&gt;30, "Old", "Young")</f>
        <v>Old</v>
      </c>
      <c r="XS18" t="str">
        <f>IF(XS17&gt;30, "Old", "Young")</f>
        <v>Old</v>
      </c>
      <c r="XT18" t="str">
        <f>IF(XT17&gt;30, "Old", "Young")</f>
        <v>Young</v>
      </c>
      <c r="XU18" t="str">
        <f>IF(XU17&gt;30, "Old", "Young")</f>
        <v>Old</v>
      </c>
      <c r="XV18" t="str">
        <f>IF(XV17&gt;30, "Old", "Young")</f>
        <v>Young</v>
      </c>
      <c r="XW18" t="str">
        <f>IF(XW17&gt;30, "Old", "Young")</f>
        <v>Old</v>
      </c>
      <c r="XX18" t="str">
        <f>IF(XX17&gt;30, "Old", "Young")</f>
        <v>Young</v>
      </c>
      <c r="XY18" t="str">
        <f>IF(XY17&gt;30, "Old", "Young")</f>
        <v>Old</v>
      </c>
      <c r="XZ18" t="str">
        <f>IF(XZ17&gt;30, "Old", "Young")</f>
        <v>Old</v>
      </c>
      <c r="YA18" t="str">
        <f>IF(YA17&gt;30, "Old", "Young")</f>
        <v>Old</v>
      </c>
      <c r="YB18" t="str">
        <f>IF(YB17&gt;30, "Old", "Young")</f>
        <v>Old</v>
      </c>
      <c r="YC18" t="str">
        <f>IF(YC17&gt;30, "Old", "Young")</f>
        <v>Old</v>
      </c>
      <c r="YD18" t="str">
        <f>IF(YD17&gt;30, "Old", "Young")</f>
        <v>Old</v>
      </c>
      <c r="YE18" t="str">
        <f>IF(YE17&gt;30, "Old", "Young")</f>
        <v>Young</v>
      </c>
      <c r="YF18" t="str">
        <f>IF(YF17&gt;30, "Old", "Young")</f>
        <v>Old</v>
      </c>
      <c r="YG18" t="str">
        <f>IF(YG17&gt;30, "Old", "Young")</f>
        <v>Old</v>
      </c>
      <c r="YH18" t="str">
        <f>IF(YH17&gt;30, "Old", "Young")</f>
        <v>Old</v>
      </c>
      <c r="YI18" t="str">
        <f>IF(YI17&gt;30, "Old", "Young")</f>
        <v>Old</v>
      </c>
      <c r="YJ18" t="str">
        <f>IF(YJ17&gt;30, "Old", "Young")</f>
        <v>Old</v>
      </c>
      <c r="YK18" t="str">
        <f>IF(YK17&gt;30, "Old", "Young")</f>
        <v>Old</v>
      </c>
      <c r="YL18" t="str">
        <f>IF(YL17&gt;30, "Old", "Young")</f>
        <v>Old</v>
      </c>
      <c r="YM18" t="str">
        <f>IF(YM17&gt;30, "Old", "Young")</f>
        <v>Old</v>
      </c>
      <c r="YN18" t="str">
        <f>IF(YN17&gt;30, "Old", "Young")</f>
        <v>Old</v>
      </c>
      <c r="YO18" t="str">
        <f>IF(YO17&gt;30, "Old", "Young")</f>
        <v>Old</v>
      </c>
      <c r="YP18" t="str">
        <f>IF(YP17&gt;30, "Old", "Young")</f>
        <v>Old</v>
      </c>
      <c r="YQ18" t="str">
        <f>IF(YQ17&gt;30, "Old", "Young")</f>
        <v>Old</v>
      </c>
      <c r="YR18" t="str">
        <f>IF(YR17&gt;30, "Old", "Young")</f>
        <v>Old</v>
      </c>
      <c r="YS18" t="str">
        <f>IF(YS17&gt;30, "Old", "Young")</f>
        <v>Old</v>
      </c>
      <c r="YT18" t="str">
        <f>IF(YT17&gt;30, "Old", "Young")</f>
        <v>Young</v>
      </c>
      <c r="YU18" t="str">
        <f>IF(YU17&gt;30, "Old", "Young")</f>
        <v>Old</v>
      </c>
      <c r="YV18" t="str">
        <f>IF(YV17&gt;30, "Old", "Young")</f>
        <v>Old</v>
      </c>
      <c r="YW18" t="str">
        <f>IF(YW17&gt;30, "Old", "Young")</f>
        <v>Old</v>
      </c>
      <c r="YX18" t="str">
        <f>IF(YX17&gt;30, "Old", "Young")</f>
        <v>Young</v>
      </c>
      <c r="YY18" t="str">
        <f>IF(YY17&gt;30, "Old", "Young")</f>
        <v>Old</v>
      </c>
      <c r="YZ18" t="str">
        <f>IF(YZ17&gt;30, "Old", "Young")</f>
        <v>Old</v>
      </c>
      <c r="ZA18" t="str">
        <f>IF(ZA17&gt;30, "Old", "Young")</f>
        <v>Old</v>
      </c>
      <c r="ZB18" t="str">
        <f>IF(ZB17&gt;30, "Old", "Young")</f>
        <v>Old</v>
      </c>
      <c r="ZC18" t="str">
        <f>IF(ZC17&gt;30, "Old", "Young")</f>
        <v>Young</v>
      </c>
      <c r="ZD18" t="str">
        <f>IF(ZD17&gt;30, "Old", "Young")</f>
        <v>Young</v>
      </c>
      <c r="ZE18" t="str">
        <f>IF(ZE17&gt;30, "Old", "Young")</f>
        <v>Old</v>
      </c>
      <c r="ZF18" t="str">
        <f>IF(ZF17&gt;30, "Old", "Young")</f>
        <v>Young</v>
      </c>
      <c r="ZG18" t="str">
        <f>IF(ZG17&gt;30, "Old", "Young")</f>
        <v>Old</v>
      </c>
      <c r="ZH18" t="str">
        <f>IF(ZH17&gt;30, "Old", "Young")</f>
        <v>Old</v>
      </c>
      <c r="ZI18" t="str">
        <f>IF(ZI17&gt;30, "Old", "Young")</f>
        <v>Old</v>
      </c>
      <c r="ZJ18" t="str">
        <f>IF(ZJ17&gt;30, "Old", "Young")</f>
        <v>Old</v>
      </c>
      <c r="ZK18" t="str">
        <f>IF(ZK17&gt;30, "Old", "Young")</f>
        <v>Old</v>
      </c>
      <c r="ZL18" t="str">
        <f>IF(ZL17&gt;30, "Old", "Young")</f>
        <v>Old</v>
      </c>
      <c r="ZM18" t="str">
        <f>IF(ZM17&gt;30, "Old", "Young")</f>
        <v>Young</v>
      </c>
      <c r="ZN18" t="str">
        <f>IF(ZN17&gt;30, "Old", "Young")</f>
        <v>Old</v>
      </c>
      <c r="ZO18" t="str">
        <f>IF(ZO17&gt;30, "Old", "Young")</f>
        <v>Old</v>
      </c>
      <c r="ZP18" t="str">
        <f>IF(ZP17&gt;30, "Old", "Young")</f>
        <v>Old</v>
      </c>
      <c r="ZQ18" t="str">
        <f>IF(ZQ17&gt;30, "Old", "Young")</f>
        <v>Old</v>
      </c>
      <c r="ZR18" t="str">
        <f>IF(ZR17&gt;30, "Old", "Young")</f>
        <v>Old</v>
      </c>
      <c r="ZS18" t="str">
        <f>IF(ZS17&gt;30, "Old", "Young")</f>
        <v>Old</v>
      </c>
      <c r="ZT18" t="str">
        <f>IF(ZT17&gt;30, "Old", "Young")</f>
        <v>Old</v>
      </c>
      <c r="ZU18" t="str">
        <f>IF(ZU17&gt;30, "Old", "Young")</f>
        <v>Young</v>
      </c>
      <c r="ZV18" t="str">
        <f>IF(ZV17&gt;30, "Old", "Young")</f>
        <v>Old</v>
      </c>
      <c r="ZW18" t="str">
        <f>IF(ZW17&gt;30, "Old", "Young")</f>
        <v>Old</v>
      </c>
      <c r="ZX18" t="str">
        <f>IF(ZX17&gt;30, "Old", "Young")</f>
        <v>Old</v>
      </c>
      <c r="ZY18" t="str">
        <f>IF(ZY17&gt;30, "Old", "Young")</f>
        <v>Young</v>
      </c>
      <c r="ZZ18" t="str">
        <f>IF(ZZ17&gt;30, "Old", "Young")</f>
        <v>Young</v>
      </c>
      <c r="AAA18" t="str">
        <f>IF(AAA17&gt;30, "Old", "Young")</f>
        <v>Old</v>
      </c>
      <c r="AAB18" t="str">
        <f>IF(AAB17&gt;30, "Old", "Young")</f>
        <v>Old</v>
      </c>
      <c r="AAC18" t="str">
        <f>IF(AAC17&gt;30, "Old", "Young")</f>
        <v>Old</v>
      </c>
      <c r="AAD18" t="str">
        <f>IF(AAD17&gt;30, "Old", "Young")</f>
        <v>Old</v>
      </c>
      <c r="AAE18" t="str">
        <f>IF(AAE17&gt;30, "Old", "Young")</f>
        <v>Old</v>
      </c>
      <c r="AAF18" t="str">
        <f>IF(AAF17&gt;30, "Old", "Young")</f>
        <v>Old</v>
      </c>
      <c r="AAG18" t="str">
        <f>IF(AAG17&gt;30, "Old", "Young")</f>
        <v>Old</v>
      </c>
      <c r="AAH18" t="str">
        <f>IF(AAH17&gt;30, "Old", "Young")</f>
        <v>Old</v>
      </c>
      <c r="AAI18" t="str">
        <f>IF(AAI17&gt;30, "Old", "Young")</f>
        <v>Old</v>
      </c>
      <c r="AAJ18" t="str">
        <f>IF(AAJ17&gt;30, "Old", "Young")</f>
        <v>Old</v>
      </c>
      <c r="AAK18" t="str">
        <f>IF(AAK17&gt;30, "Old", "Young")</f>
        <v>Old</v>
      </c>
      <c r="AAL18" t="str">
        <f>IF(AAL17&gt;30, "Old", "Young")</f>
        <v>Old</v>
      </c>
      <c r="AAM18" t="str">
        <f>IF(AAM17&gt;30, "Old", "Young")</f>
        <v>Old</v>
      </c>
      <c r="AAN18" t="str">
        <f>IF(AAN17&gt;30, "Old", "Young")</f>
        <v>Old</v>
      </c>
      <c r="AAO18" t="str">
        <f>IF(AAO17&gt;30, "Old", "Young")</f>
        <v>Young</v>
      </c>
      <c r="AAP18" t="str">
        <f>IF(AAP17&gt;30, "Old", "Young")</f>
        <v>Old</v>
      </c>
      <c r="AAQ18" t="str">
        <f>IF(AAQ17&gt;30, "Old", "Young")</f>
        <v>Old</v>
      </c>
      <c r="AAR18" t="str">
        <f>IF(AAR17&gt;30, "Old", "Young")</f>
        <v>Old</v>
      </c>
      <c r="AAS18" t="str">
        <f>IF(AAS17&gt;30, "Old", "Young")</f>
        <v>Old</v>
      </c>
      <c r="AAT18" t="str">
        <f>IF(AAT17&gt;30, "Old", "Young")</f>
        <v>Old</v>
      </c>
      <c r="AAU18" t="str">
        <f>IF(AAU17&gt;30, "Old", "Young")</f>
        <v>Old</v>
      </c>
      <c r="AAV18" t="str">
        <f>IF(AAV17&gt;30, "Old", "Young")</f>
        <v>Old</v>
      </c>
      <c r="AAW18" t="str">
        <f>IF(AAW17&gt;30, "Old", "Young")</f>
        <v>Old</v>
      </c>
      <c r="AAX18" t="str">
        <f>IF(AAX17&gt;30, "Old", "Young")</f>
        <v>Old</v>
      </c>
      <c r="AAY18" t="str">
        <f>IF(AAY17&gt;30, "Old", "Young")</f>
        <v>Old</v>
      </c>
      <c r="AAZ18" t="str">
        <f>IF(AAZ17&gt;30, "Old", "Young")</f>
        <v>Young</v>
      </c>
      <c r="ABA18" t="str">
        <f>IF(ABA17&gt;30, "Old", "Young")</f>
        <v>Old</v>
      </c>
      <c r="ABB18" t="str">
        <f>IF(ABB17&gt;30, "Old", "Young")</f>
        <v>Old</v>
      </c>
      <c r="ABC18" t="str">
        <f>IF(ABC17&gt;30, "Old", "Young")</f>
        <v>Young</v>
      </c>
      <c r="ABD18" t="str">
        <f>IF(ABD17&gt;30, "Old", "Young")</f>
        <v>Old</v>
      </c>
      <c r="ABE18" t="str">
        <f>IF(ABE17&gt;30, "Old", "Young")</f>
        <v>Old</v>
      </c>
      <c r="ABF18" t="str">
        <f>IF(ABF17&gt;30, "Old", "Young")</f>
        <v>Old</v>
      </c>
      <c r="ABG18" t="str">
        <f>IF(ABG17&gt;30, "Old", "Young")</f>
        <v>Old</v>
      </c>
      <c r="ABH18" t="str">
        <f>IF(ABH17&gt;30, "Old", "Young")</f>
        <v>Old</v>
      </c>
      <c r="ABI18" t="str">
        <f>IF(ABI17&gt;30, "Old", "Young")</f>
        <v>Young</v>
      </c>
      <c r="ABJ18" t="str">
        <f>IF(ABJ17&gt;30, "Old", "Young")</f>
        <v>Old</v>
      </c>
      <c r="ABK18" t="str">
        <f>IF(ABK17&gt;30, "Old", "Young")</f>
        <v>Old</v>
      </c>
      <c r="ABL18" t="str">
        <f>IF(ABL17&gt;30, "Old", "Young")</f>
        <v>Old</v>
      </c>
      <c r="ABM18" t="str">
        <f>IF(ABM17&gt;30, "Old", "Young")</f>
        <v>Old</v>
      </c>
      <c r="ABN18" t="str">
        <f>IF(ABN17&gt;30, "Old", "Young")</f>
        <v>Young</v>
      </c>
      <c r="ABO18" t="str">
        <f>IF(ABO17&gt;30, "Old", "Young")</f>
        <v>Young</v>
      </c>
      <c r="ABP18" t="str">
        <f>IF(ABP17&gt;30, "Old", "Young")</f>
        <v>Young</v>
      </c>
      <c r="ABQ18" t="str">
        <f>IF(ABQ17&gt;30, "Old", "Young")</f>
        <v>Young</v>
      </c>
      <c r="ABR18" t="str">
        <f>IF(ABR17&gt;30, "Old", "Young")</f>
        <v>Old</v>
      </c>
      <c r="ABS18" t="str">
        <f>IF(ABS17&gt;30, "Old", "Young")</f>
        <v>Old</v>
      </c>
      <c r="ABT18" t="str">
        <f>IF(ABT17&gt;30, "Old", "Young")</f>
        <v>Old</v>
      </c>
      <c r="ABU18" t="str">
        <f>IF(ABU17&gt;30, "Old", "Young")</f>
        <v>Young</v>
      </c>
      <c r="ABV18" t="str">
        <f>IF(ABV17&gt;30, "Old", "Young")</f>
        <v>Young</v>
      </c>
      <c r="ABW18" t="str">
        <f>IF(ABW17&gt;30, "Old", "Young")</f>
        <v>Young</v>
      </c>
      <c r="ABX18" t="str">
        <f>IF(ABX17&gt;30, "Old", "Young")</f>
        <v>Old</v>
      </c>
      <c r="ABY18" t="str">
        <f>IF(ABY17&gt;30, "Old", "Young")</f>
        <v>Young</v>
      </c>
      <c r="ABZ18" t="str">
        <f>IF(ABZ17&gt;30, "Old", "Young")</f>
        <v>Old</v>
      </c>
      <c r="ACA18" t="str">
        <f>IF(ACA17&gt;30, "Old", "Young")</f>
        <v>Young</v>
      </c>
      <c r="ACB18" t="str">
        <f>IF(ACB17&gt;30, "Old", "Young")</f>
        <v>Young</v>
      </c>
      <c r="ACC18" t="str">
        <f>IF(ACC17&gt;30, "Old", "Young")</f>
        <v>Old</v>
      </c>
      <c r="ACD18" t="str">
        <f>IF(ACD17&gt;30, "Old", "Young")</f>
        <v>Young</v>
      </c>
      <c r="ACE18" t="str">
        <f>IF(ACE17&gt;30, "Old", "Young")</f>
        <v>Old</v>
      </c>
      <c r="ACF18" t="str">
        <f>IF(ACF17&gt;30, "Old", "Young")</f>
        <v>Old</v>
      </c>
      <c r="ACG18" t="str">
        <f>IF(ACG17&gt;30, "Old", "Young")</f>
        <v>Old</v>
      </c>
      <c r="ACH18" t="str">
        <f>IF(ACH17&gt;30, "Old", "Young")</f>
        <v>Old</v>
      </c>
      <c r="ACI18" t="str">
        <f>IF(ACI17&gt;30, "Old", "Young")</f>
        <v>Old</v>
      </c>
      <c r="ACJ18" t="str">
        <f>IF(ACJ17&gt;30, "Old", "Young")</f>
        <v>Old</v>
      </c>
      <c r="ACK18" t="str">
        <f>IF(ACK17&gt;30, "Old", "Young")</f>
        <v>Young</v>
      </c>
      <c r="ACL18" t="str">
        <f>IF(ACL17&gt;30, "Old", "Young")</f>
        <v>Old</v>
      </c>
      <c r="ACM18" t="str">
        <f>IF(ACM17&gt;30, "Old", "Young")</f>
        <v>Old</v>
      </c>
      <c r="ACN18" t="str">
        <f>IF(ACN17&gt;30, "Old", "Young")</f>
        <v>Young</v>
      </c>
      <c r="ACO18" t="str">
        <f>IF(ACO17&gt;30, "Old", "Young")</f>
        <v>Old</v>
      </c>
      <c r="ACP18" t="str">
        <f>IF(ACP17&gt;30, "Old", "Young")</f>
        <v>Young</v>
      </c>
      <c r="ACQ18" t="str">
        <f>IF(ACQ17&gt;30, "Old", "Young")</f>
        <v>Old</v>
      </c>
      <c r="ACR18" t="str">
        <f>IF(ACR17&gt;30, "Old", "Young")</f>
        <v>Young</v>
      </c>
      <c r="ACS18" t="str">
        <f>IF(ACS17&gt;30, "Old", "Young")</f>
        <v>Young</v>
      </c>
      <c r="ACT18" t="str">
        <f>IF(ACT17&gt;30, "Old", "Young")</f>
        <v>Old</v>
      </c>
      <c r="ACU18" t="str">
        <f>IF(ACU17&gt;30, "Old", "Young")</f>
        <v>Old</v>
      </c>
      <c r="ACV18" t="str">
        <f>IF(ACV17&gt;30, "Old", "Young")</f>
        <v>Old</v>
      </c>
      <c r="ACW18" t="str">
        <f>IF(ACW17&gt;30, "Old", "Young")</f>
        <v>Old</v>
      </c>
      <c r="ACX18" t="str">
        <f>IF(ACX17&gt;30, "Old", "Young")</f>
        <v>Young</v>
      </c>
      <c r="ACY18" t="str">
        <f>IF(ACY17&gt;30, "Old", "Young")</f>
        <v>Old</v>
      </c>
      <c r="ACZ18" t="str">
        <f>IF(ACZ17&gt;30, "Old", "Young")</f>
        <v>Young</v>
      </c>
      <c r="ADA18" t="str">
        <f>IF(ADA17&gt;30, "Old", "Young")</f>
        <v>Old</v>
      </c>
      <c r="ADB18" t="str">
        <f>IF(ADB17&gt;30, "Old", "Young")</f>
        <v>Old</v>
      </c>
      <c r="ADC18" t="str">
        <f>IF(ADC17&gt;30, "Old", "Young")</f>
        <v>Old</v>
      </c>
      <c r="ADD18" t="str">
        <f>IF(ADD17&gt;30, "Old", "Young")</f>
        <v>Old</v>
      </c>
      <c r="ADE18" t="str">
        <f>IF(ADE17&gt;30, "Old", "Young")</f>
        <v>Old</v>
      </c>
      <c r="ADF18" t="str">
        <f>IF(ADF17&gt;30, "Old", "Young")</f>
        <v>Old</v>
      </c>
      <c r="ADG18" t="str">
        <f>IF(ADG17&gt;30, "Old", "Young")</f>
        <v>Young</v>
      </c>
      <c r="ADH18" t="str">
        <f>IF(ADH17&gt;30, "Old", "Young")</f>
        <v>Young</v>
      </c>
      <c r="ADI18" t="str">
        <f>IF(ADI17&gt;30, "Old", "Young")</f>
        <v>Old</v>
      </c>
      <c r="ADJ18" t="str">
        <f>IF(ADJ17&gt;30, "Old", "Young")</f>
        <v>Old</v>
      </c>
      <c r="ADK18" t="str">
        <f>IF(ADK17&gt;30, "Old", "Young")</f>
        <v>Old</v>
      </c>
      <c r="ADL18" t="str">
        <f>IF(ADL17&gt;30, "Old", "Young")</f>
        <v>Young</v>
      </c>
      <c r="ADM18" t="str">
        <f>IF(ADM17&gt;30, "Old", "Young")</f>
        <v>Old</v>
      </c>
      <c r="ADN18" t="str">
        <f>IF(ADN17&gt;30, "Old", "Young")</f>
        <v>Old</v>
      </c>
      <c r="ADO18" t="str">
        <f>IF(ADO17&gt;30, "Old", "Young")</f>
        <v>Old</v>
      </c>
      <c r="ADP18" t="str">
        <f>IF(ADP17&gt;30, "Old", "Young")</f>
        <v>Old</v>
      </c>
      <c r="ADQ18" t="str">
        <f>IF(ADQ17&gt;30, "Old", "Young")</f>
        <v>Young</v>
      </c>
      <c r="ADR18" t="str">
        <f>IF(ADR17&gt;30, "Old", "Young")</f>
        <v>Old</v>
      </c>
      <c r="ADS18" t="str">
        <f>IF(ADS17&gt;30, "Old", "Young")</f>
        <v>Old</v>
      </c>
      <c r="ADT18" t="str">
        <f>IF(ADT17&gt;30, "Old", "Young")</f>
        <v>Old</v>
      </c>
      <c r="ADU18" t="str">
        <f>IF(ADU17&gt;30, "Old", "Young")</f>
        <v>Young</v>
      </c>
      <c r="ADV18" t="str">
        <f>IF(ADV17&gt;30, "Old", "Young")</f>
        <v>Old</v>
      </c>
      <c r="ADW18" t="str">
        <f>IF(ADW17&gt;30, "Old", "Young")</f>
        <v>Old</v>
      </c>
      <c r="ADX18" t="str">
        <f>IF(ADX17&gt;30, "Old", "Young")</f>
        <v>Old</v>
      </c>
      <c r="ADY18" t="str">
        <f>IF(ADY17&gt;30, "Old", "Young")</f>
        <v>Old</v>
      </c>
      <c r="ADZ18" t="str">
        <f>IF(ADZ17&gt;30, "Old", "Young")</f>
        <v>Old</v>
      </c>
      <c r="AEA18" t="str">
        <f>IF(AEA17&gt;30, "Old", "Young")</f>
        <v>Old</v>
      </c>
      <c r="AEB18" t="str">
        <f>IF(AEB17&gt;30, "Old", "Young")</f>
        <v>Old</v>
      </c>
      <c r="AEC18" t="str">
        <f>IF(AEC17&gt;30, "Old", "Young")</f>
        <v>Old</v>
      </c>
      <c r="AED18" t="str">
        <f>IF(AED17&gt;30, "Old", "Young")</f>
        <v>Old</v>
      </c>
      <c r="AEE18" t="str">
        <f>IF(AEE17&gt;30, "Old", "Young")</f>
        <v>Old</v>
      </c>
      <c r="AEF18" t="str">
        <f>IF(AEF17&gt;30, "Old", "Young")</f>
        <v>Old</v>
      </c>
      <c r="AEG18" t="str">
        <f>IF(AEG17&gt;30, "Old", "Young")</f>
        <v>Young</v>
      </c>
      <c r="AEH18" t="str">
        <f>IF(AEH17&gt;30, "Old", "Young")</f>
        <v>Old</v>
      </c>
      <c r="AEI18" t="str">
        <f>IF(AEI17&gt;30, "Old", "Young")</f>
        <v>Young</v>
      </c>
      <c r="AEJ18" t="str">
        <f>IF(AEJ17&gt;30, "Old", "Young")</f>
        <v>Young</v>
      </c>
      <c r="AEK18" t="str">
        <f>IF(AEK17&gt;30, "Old", "Young")</f>
        <v>Old</v>
      </c>
      <c r="AEL18" t="str">
        <f>IF(AEL17&gt;30, "Old", "Young")</f>
        <v>Old</v>
      </c>
      <c r="AEM18" t="str">
        <f>IF(AEM17&gt;30, "Old", "Young")</f>
        <v>Old</v>
      </c>
      <c r="AEN18" t="str">
        <f>IF(AEN17&gt;30, "Old", "Young")</f>
        <v>Young</v>
      </c>
      <c r="AEO18" t="str">
        <f>IF(AEO17&gt;30, "Old", "Young")</f>
        <v>Young</v>
      </c>
      <c r="AEP18" t="str">
        <f>IF(AEP17&gt;30, "Old", "Young")</f>
        <v>Young</v>
      </c>
      <c r="AEQ18" t="str">
        <f>IF(AEQ17&gt;30, "Old", "Young")</f>
        <v>Old</v>
      </c>
      <c r="AER18" t="str">
        <f>IF(AER17&gt;30, "Old", "Young")</f>
        <v>Old</v>
      </c>
      <c r="AES18" t="str">
        <f>IF(AES17&gt;30, "Old", "Young")</f>
        <v>Young</v>
      </c>
      <c r="AET18" t="str">
        <f>IF(AET17&gt;30, "Old", "Young")</f>
        <v>Old</v>
      </c>
      <c r="AEU18" t="str">
        <f>IF(AEU17&gt;30, "Old", "Young")</f>
        <v>Young</v>
      </c>
      <c r="AEV18" t="str">
        <f>IF(AEV17&gt;30, "Old", "Young")</f>
        <v>Old</v>
      </c>
      <c r="AEW18" t="str">
        <f>IF(AEW17&gt;30, "Old", "Young")</f>
        <v>Old</v>
      </c>
      <c r="AEX18" t="str">
        <f>IF(AEX17&gt;30, "Old", "Young")</f>
        <v>Old</v>
      </c>
      <c r="AEY18" t="str">
        <f>IF(AEY17&gt;30, "Old", "Young")</f>
        <v>Old</v>
      </c>
      <c r="AEZ18" t="str">
        <f>IF(AEZ17&gt;30, "Old", "Young")</f>
        <v>Old</v>
      </c>
      <c r="AFA18" t="str">
        <f>IF(AFA17&gt;30, "Old", "Young")</f>
        <v>Old</v>
      </c>
      <c r="AFB18" t="str">
        <f>IF(AFB17&gt;30, "Old", "Young")</f>
        <v>Old</v>
      </c>
      <c r="AFC18" t="str">
        <f>IF(AFC17&gt;30, "Old", "Young")</f>
        <v>Old</v>
      </c>
      <c r="AFD18" t="str">
        <f>IF(AFD17&gt;30, "Old", "Young")</f>
        <v>Old</v>
      </c>
      <c r="AFE18" t="str">
        <f>IF(AFE17&gt;30, "Old", "Young")</f>
        <v>Old</v>
      </c>
      <c r="AFF18" t="str">
        <f>IF(AFF17&gt;30, "Old", "Young")</f>
        <v>Old</v>
      </c>
      <c r="AFG18" t="str">
        <f>IF(AFG17&gt;30, "Old", "Young")</f>
        <v>Old</v>
      </c>
      <c r="AFH18" t="str">
        <f>IF(AFH17&gt;30, "Old", "Young")</f>
        <v>Old</v>
      </c>
      <c r="AFI18" t="str">
        <f>IF(AFI17&gt;30, "Old", "Young")</f>
        <v>Young</v>
      </c>
      <c r="AFJ18" t="str">
        <f>IF(AFJ17&gt;30, "Old", "Young")</f>
        <v>Old</v>
      </c>
      <c r="AFK18" t="str">
        <f>IF(AFK17&gt;30, "Old", "Young")</f>
        <v>Old</v>
      </c>
      <c r="AFL18" t="str">
        <f>IF(AFL17&gt;30, "Old", "Young")</f>
        <v>Young</v>
      </c>
      <c r="AFM18" t="str">
        <f>IF(AFM17&gt;30, "Old", "Young")</f>
        <v>Old</v>
      </c>
      <c r="AFN18" t="str">
        <f>IF(AFN17&gt;30, "Old", "Young")</f>
        <v>Old</v>
      </c>
      <c r="AFO18" t="str">
        <f>IF(AFO17&gt;30, "Old", "Young")</f>
        <v>Old</v>
      </c>
      <c r="AFP18" t="str">
        <f>IF(AFP17&gt;30, "Old", "Young")</f>
        <v>Old</v>
      </c>
      <c r="AFQ18" t="str">
        <f>IF(AFQ17&gt;30, "Old", "Young")</f>
        <v>Old</v>
      </c>
      <c r="AFR18" t="str">
        <f>IF(AFR17&gt;30, "Old", "Young")</f>
        <v>Old</v>
      </c>
      <c r="AFS18" t="str">
        <f>IF(AFS17&gt;30, "Old", "Young")</f>
        <v>Young</v>
      </c>
      <c r="AFT18" t="str">
        <f>IF(AFT17&gt;30, "Old", "Young")</f>
        <v>Old</v>
      </c>
      <c r="AFU18" t="str">
        <f>IF(AFU17&gt;30, "Old", "Young")</f>
        <v>Old</v>
      </c>
      <c r="AFV18" t="str">
        <f>IF(AFV17&gt;30, "Old", "Young")</f>
        <v>Old</v>
      </c>
      <c r="AFW18" t="str">
        <f>IF(AFW17&gt;30, "Old", "Young")</f>
        <v>Old</v>
      </c>
      <c r="AFX18" t="str">
        <f>IF(AFX17&gt;30, "Old", "Young")</f>
        <v>Old</v>
      </c>
      <c r="AFY18" t="str">
        <f>IF(AFY17&gt;30, "Old", "Young")</f>
        <v>Old</v>
      </c>
      <c r="AFZ18" t="str">
        <f>IF(AFZ17&gt;30, "Old", "Young")</f>
        <v>Young</v>
      </c>
      <c r="AGA18" t="str">
        <f>IF(AGA17&gt;30, "Old", "Young")</f>
        <v>Old</v>
      </c>
      <c r="AGB18" t="str">
        <f>IF(AGB17&gt;30, "Old", "Young")</f>
        <v>Old</v>
      </c>
      <c r="AGC18" t="str">
        <f>IF(AGC17&gt;30, "Old", "Young")</f>
        <v>Old</v>
      </c>
      <c r="AGD18" t="str">
        <f>IF(AGD17&gt;30, "Old", "Young")</f>
        <v>Old</v>
      </c>
      <c r="AGE18" t="str">
        <f>IF(AGE17&gt;30, "Old", "Young")</f>
        <v>Old</v>
      </c>
      <c r="AGF18" t="str">
        <f>IF(AGF17&gt;30, "Old", "Young")</f>
        <v>Old</v>
      </c>
      <c r="AGG18" t="str">
        <f>IF(AGG17&gt;30, "Old", "Young")</f>
        <v>Old</v>
      </c>
      <c r="AGH18" t="str">
        <f>IF(AGH17&gt;30, "Old", "Young")</f>
        <v>Old</v>
      </c>
      <c r="AGI18" t="str">
        <f>IF(AGI17&gt;30, "Old", "Young")</f>
        <v>Old</v>
      </c>
      <c r="AGJ18" t="str">
        <f>IF(AGJ17&gt;30, "Old", "Young")</f>
        <v>Old</v>
      </c>
      <c r="AGK18" t="str">
        <f>IF(AGK17&gt;30, "Old", "Young")</f>
        <v>Old</v>
      </c>
      <c r="AGL18" t="str">
        <f>IF(AGL17&gt;30, "Old", "Young")</f>
        <v>Old</v>
      </c>
      <c r="AGM18" t="str">
        <f>IF(AGM17&gt;30, "Old", "Young")</f>
        <v>Young</v>
      </c>
      <c r="AGN18" t="str">
        <f>IF(AGN17&gt;30, "Old", "Young")</f>
        <v>Old</v>
      </c>
      <c r="AGO18" t="str">
        <f>IF(AGO17&gt;30, "Old", "Young")</f>
        <v>Old</v>
      </c>
      <c r="AGP18" t="str">
        <f>IF(AGP17&gt;30, "Old", "Young")</f>
        <v>Old</v>
      </c>
      <c r="AGQ18" t="str">
        <f>IF(AGQ17&gt;30, "Old", "Young")</f>
        <v>Old</v>
      </c>
      <c r="AGR18" t="str">
        <f>IF(AGR17&gt;30, "Old", "Young")</f>
        <v>Old</v>
      </c>
      <c r="AGS18" t="str">
        <f>IF(AGS17&gt;30, "Old", "Young")</f>
        <v>Old</v>
      </c>
      <c r="AGT18" t="str">
        <f>IF(AGT17&gt;30, "Old", "Young")</f>
        <v>Old</v>
      </c>
      <c r="AGU18" t="str">
        <f>IF(AGU17&gt;30, "Old", "Young")</f>
        <v>Young</v>
      </c>
      <c r="AGV18" t="str">
        <f>IF(AGV17&gt;30, "Old", "Young")</f>
        <v>Young</v>
      </c>
      <c r="AGW18" t="str">
        <f>IF(AGW17&gt;30, "Old", "Young")</f>
        <v>Young</v>
      </c>
      <c r="AGX18" t="str">
        <f>IF(AGX17&gt;30, "Old", "Young")</f>
        <v>Young</v>
      </c>
      <c r="AGY18" t="str">
        <f>IF(AGY17&gt;30, "Old", "Young")</f>
        <v>Young</v>
      </c>
      <c r="AGZ18" t="str">
        <f>IF(AGZ17&gt;30, "Old", "Young")</f>
        <v>Young</v>
      </c>
      <c r="AHA18" t="str">
        <f>IF(AHA17&gt;30, "Old", "Young")</f>
        <v>Young</v>
      </c>
    </row>
    <row r="19" spans="1:885" x14ac:dyDescent="0.25">
      <c r="A19" s="1" t="s">
        <v>7</v>
      </c>
      <c r="B19" t="s">
        <v>24</v>
      </c>
      <c r="C19" t="s">
        <v>34</v>
      </c>
      <c r="D19" t="s">
        <v>34</v>
      </c>
      <c r="E19" t="s">
        <v>24</v>
      </c>
      <c r="F19" t="s">
        <v>34</v>
      </c>
      <c r="G19" t="s">
        <v>34</v>
      </c>
      <c r="H19" t="s">
        <v>24</v>
      </c>
      <c r="I19" t="s">
        <v>24</v>
      </c>
      <c r="J19" t="s">
        <v>34</v>
      </c>
      <c r="K19" t="s">
        <v>24</v>
      </c>
      <c r="L19" t="s">
        <v>34</v>
      </c>
      <c r="M19" t="s">
        <v>34</v>
      </c>
      <c r="N19" t="s">
        <v>34</v>
      </c>
      <c r="O19" t="s">
        <v>34</v>
      </c>
      <c r="P19" t="s">
        <v>24</v>
      </c>
      <c r="Q19" t="s">
        <v>24</v>
      </c>
      <c r="R19" t="s">
        <v>34</v>
      </c>
      <c r="S19" t="s">
        <v>24</v>
      </c>
      <c r="T19" t="s">
        <v>34</v>
      </c>
      <c r="U19" t="s">
        <v>34</v>
      </c>
      <c r="V19" t="s">
        <v>24</v>
      </c>
      <c r="W19" t="s">
        <v>24</v>
      </c>
      <c r="X19" t="s">
        <v>34</v>
      </c>
      <c r="Y19" t="s">
        <v>24</v>
      </c>
      <c r="Z19" t="s">
        <v>34</v>
      </c>
      <c r="AA19" t="s">
        <v>24</v>
      </c>
      <c r="AB19" t="s">
        <v>24</v>
      </c>
      <c r="AC19" t="s">
        <v>34</v>
      </c>
      <c r="AD19" t="s">
        <v>24</v>
      </c>
      <c r="AE19" t="s">
        <v>24</v>
      </c>
      <c r="AF19" t="s">
        <v>34</v>
      </c>
      <c r="AG19" t="s">
        <v>34</v>
      </c>
      <c r="AH19" t="s">
        <v>34</v>
      </c>
      <c r="AI19" t="s">
        <v>34</v>
      </c>
      <c r="AJ19" t="s">
        <v>34</v>
      </c>
      <c r="AK19" t="s">
        <v>34</v>
      </c>
      <c r="AL19" t="s">
        <v>24</v>
      </c>
      <c r="AM19" t="s">
        <v>34</v>
      </c>
      <c r="AN19" t="s">
        <v>34</v>
      </c>
      <c r="AO19" t="s">
        <v>34</v>
      </c>
      <c r="AP19" t="s">
        <v>24</v>
      </c>
      <c r="AQ19" t="s">
        <v>34</v>
      </c>
      <c r="AR19" t="s">
        <v>34</v>
      </c>
      <c r="AS19" t="s">
        <v>24</v>
      </c>
      <c r="AT19" t="s">
        <v>24</v>
      </c>
      <c r="AU19" t="s">
        <v>34</v>
      </c>
      <c r="AV19" t="s">
        <v>24</v>
      </c>
      <c r="AW19" t="s">
        <v>24</v>
      </c>
      <c r="AX19" t="s">
        <v>34</v>
      </c>
      <c r="AY19" t="s">
        <v>34</v>
      </c>
      <c r="AZ19" t="s">
        <v>34</v>
      </c>
      <c r="BA19" t="s">
        <v>24</v>
      </c>
      <c r="BB19" t="s">
        <v>34</v>
      </c>
      <c r="BC19" t="s">
        <v>24</v>
      </c>
      <c r="BD19" t="s">
        <v>34</v>
      </c>
      <c r="BE19" t="s">
        <v>24</v>
      </c>
      <c r="BF19" t="s">
        <v>34</v>
      </c>
      <c r="BG19" t="s">
        <v>24</v>
      </c>
      <c r="BH19" t="s">
        <v>34</v>
      </c>
      <c r="BI19" t="s">
        <v>34</v>
      </c>
      <c r="BJ19" t="s">
        <v>34</v>
      </c>
      <c r="BK19" t="s">
        <v>24</v>
      </c>
      <c r="BL19" t="s">
        <v>24</v>
      </c>
      <c r="BM19" t="s">
        <v>34</v>
      </c>
      <c r="BN19" t="s">
        <v>24</v>
      </c>
      <c r="BO19" t="s">
        <v>34</v>
      </c>
      <c r="BP19" t="s">
        <v>24</v>
      </c>
      <c r="BQ19" t="s">
        <v>34</v>
      </c>
      <c r="BR19" t="s">
        <v>24</v>
      </c>
      <c r="BS19" t="s">
        <v>24</v>
      </c>
      <c r="BT19" t="s">
        <v>24</v>
      </c>
      <c r="BU19" t="s">
        <v>24</v>
      </c>
      <c r="BV19" t="s">
        <v>24</v>
      </c>
      <c r="BW19" t="s">
        <v>34</v>
      </c>
      <c r="BX19" t="s">
        <v>24</v>
      </c>
      <c r="BY19" t="s">
        <v>24</v>
      </c>
      <c r="BZ19" t="s">
        <v>24</v>
      </c>
      <c r="CA19" t="s">
        <v>24</v>
      </c>
      <c r="CB19" t="s">
        <v>34</v>
      </c>
      <c r="CC19" t="s">
        <v>24</v>
      </c>
      <c r="CD19" t="s">
        <v>24</v>
      </c>
      <c r="CE19" t="s">
        <v>34</v>
      </c>
      <c r="CF19" t="s">
        <v>34</v>
      </c>
      <c r="CG19" t="s">
        <v>24</v>
      </c>
      <c r="CH19" t="s">
        <v>34</v>
      </c>
      <c r="CI19" t="s">
        <v>24</v>
      </c>
      <c r="CJ19" t="s">
        <v>24</v>
      </c>
      <c r="CK19" t="s">
        <v>34</v>
      </c>
      <c r="CL19" t="s">
        <v>24</v>
      </c>
      <c r="CM19" t="s">
        <v>34</v>
      </c>
      <c r="CN19" t="s">
        <v>34</v>
      </c>
      <c r="CO19" t="s">
        <v>24</v>
      </c>
      <c r="CP19" t="s">
        <v>24</v>
      </c>
      <c r="CQ19" t="s">
        <v>34</v>
      </c>
      <c r="CR19" t="s">
        <v>24</v>
      </c>
      <c r="CS19" t="s">
        <v>34</v>
      </c>
      <c r="CT19" t="s">
        <v>34</v>
      </c>
      <c r="CU19" t="s">
        <v>34</v>
      </c>
      <c r="CV19" t="s">
        <v>34</v>
      </c>
      <c r="CW19" t="s">
        <v>24</v>
      </c>
      <c r="CX19" t="s">
        <v>24</v>
      </c>
      <c r="CY19" t="s">
        <v>24</v>
      </c>
      <c r="CZ19" t="s">
        <v>24</v>
      </c>
      <c r="DA19" t="s">
        <v>24</v>
      </c>
      <c r="DB19" t="s">
        <v>24</v>
      </c>
      <c r="DC19" t="s">
        <v>34</v>
      </c>
      <c r="DD19" t="s">
        <v>24</v>
      </c>
      <c r="DE19" t="s">
        <v>34</v>
      </c>
      <c r="DF19" t="s">
        <v>34</v>
      </c>
      <c r="DG19" t="s">
        <v>34</v>
      </c>
      <c r="DH19" t="s">
        <v>24</v>
      </c>
      <c r="DI19" t="s">
        <v>34</v>
      </c>
      <c r="DJ19" t="s">
        <v>24</v>
      </c>
      <c r="DK19" t="s">
        <v>34</v>
      </c>
      <c r="DL19" t="s">
        <v>24</v>
      </c>
      <c r="DM19" t="s">
        <v>24</v>
      </c>
      <c r="DN19" t="s">
        <v>24</v>
      </c>
      <c r="DO19" t="s">
        <v>24</v>
      </c>
      <c r="DP19" t="s">
        <v>24</v>
      </c>
      <c r="DQ19" t="s">
        <v>34</v>
      </c>
      <c r="DR19" t="s">
        <v>24</v>
      </c>
      <c r="DS19" t="s">
        <v>24</v>
      </c>
      <c r="DT19" t="s">
        <v>34</v>
      </c>
      <c r="DU19" t="s">
        <v>24</v>
      </c>
      <c r="DV19" t="s">
        <v>24</v>
      </c>
      <c r="DW19" t="s">
        <v>24</v>
      </c>
      <c r="DX19" t="s">
        <v>24</v>
      </c>
      <c r="DY19" t="s">
        <v>24</v>
      </c>
      <c r="DZ19" t="s">
        <v>34</v>
      </c>
      <c r="EA19" t="s">
        <v>24</v>
      </c>
      <c r="EB19" t="s">
        <v>34</v>
      </c>
      <c r="EC19" t="s">
        <v>24</v>
      </c>
      <c r="ED19" t="s">
        <v>34</v>
      </c>
      <c r="EE19" t="s">
        <v>34</v>
      </c>
      <c r="EF19" t="s">
        <v>34</v>
      </c>
      <c r="EG19" t="s">
        <v>24</v>
      </c>
      <c r="EH19" t="s">
        <v>24</v>
      </c>
      <c r="EI19" t="s">
        <v>34</v>
      </c>
      <c r="EJ19" t="s">
        <v>24</v>
      </c>
      <c r="EK19" t="s">
        <v>24</v>
      </c>
      <c r="EL19" t="s">
        <v>34</v>
      </c>
      <c r="EM19" t="s">
        <v>24</v>
      </c>
      <c r="EN19" t="s">
        <v>34</v>
      </c>
      <c r="EO19" t="s">
        <v>24</v>
      </c>
      <c r="EP19" t="s">
        <v>34</v>
      </c>
      <c r="EQ19" t="s">
        <v>24</v>
      </c>
      <c r="ER19" t="s">
        <v>24</v>
      </c>
      <c r="ES19" t="s">
        <v>34</v>
      </c>
      <c r="ET19" t="s">
        <v>34</v>
      </c>
      <c r="EU19" t="s">
        <v>24</v>
      </c>
      <c r="EV19" t="s">
        <v>34</v>
      </c>
      <c r="EW19" t="s">
        <v>34</v>
      </c>
      <c r="EX19" t="s">
        <v>34</v>
      </c>
      <c r="EY19" t="s">
        <v>34</v>
      </c>
      <c r="EZ19" t="s">
        <v>34</v>
      </c>
      <c r="FA19" t="s">
        <v>24</v>
      </c>
      <c r="FB19" t="s">
        <v>34</v>
      </c>
      <c r="FC19" t="s">
        <v>34</v>
      </c>
      <c r="FD19" t="s">
        <v>34</v>
      </c>
      <c r="FE19" t="s">
        <v>34</v>
      </c>
      <c r="FF19" t="s">
        <v>24</v>
      </c>
      <c r="FG19" t="s">
        <v>34</v>
      </c>
      <c r="FH19" t="s">
        <v>24</v>
      </c>
      <c r="FI19" t="s">
        <v>24</v>
      </c>
      <c r="FJ19" t="s">
        <v>34</v>
      </c>
      <c r="FK19" t="s">
        <v>34</v>
      </c>
      <c r="FL19" t="s">
        <v>24</v>
      </c>
      <c r="FM19" t="s">
        <v>24</v>
      </c>
      <c r="FN19" t="s">
        <v>24</v>
      </c>
      <c r="FO19" t="s">
        <v>34</v>
      </c>
      <c r="FP19" t="s">
        <v>24</v>
      </c>
      <c r="FQ19" t="s">
        <v>34</v>
      </c>
      <c r="FR19" t="s">
        <v>24</v>
      </c>
      <c r="FS19" t="s">
        <v>24</v>
      </c>
      <c r="FT19" t="s">
        <v>34</v>
      </c>
      <c r="FU19" t="s">
        <v>34</v>
      </c>
      <c r="FV19" t="s">
        <v>24</v>
      </c>
      <c r="FW19" t="s">
        <v>34</v>
      </c>
      <c r="FX19" t="s">
        <v>34</v>
      </c>
      <c r="FY19" t="s">
        <v>24</v>
      </c>
      <c r="FZ19" t="s">
        <v>34</v>
      </c>
      <c r="GA19" t="s">
        <v>34</v>
      </c>
      <c r="GB19" t="s">
        <v>24</v>
      </c>
      <c r="GC19" t="s">
        <v>24</v>
      </c>
      <c r="GD19" t="s">
        <v>34</v>
      </c>
      <c r="GE19" t="s">
        <v>34</v>
      </c>
      <c r="GF19" t="s">
        <v>34</v>
      </c>
      <c r="GG19" t="s">
        <v>24</v>
      </c>
      <c r="GH19" t="s">
        <v>24</v>
      </c>
      <c r="GI19" t="s">
        <v>34</v>
      </c>
      <c r="GJ19" t="s">
        <v>34</v>
      </c>
      <c r="GK19" t="s">
        <v>34</v>
      </c>
      <c r="GL19" t="s">
        <v>24</v>
      </c>
      <c r="GM19" t="s">
        <v>24</v>
      </c>
      <c r="GN19" t="s">
        <v>34</v>
      </c>
      <c r="GO19" t="s">
        <v>34</v>
      </c>
      <c r="GP19" t="s">
        <v>34</v>
      </c>
      <c r="GQ19" t="s">
        <v>34</v>
      </c>
      <c r="GR19" t="s">
        <v>24</v>
      </c>
      <c r="GS19" t="s">
        <v>34</v>
      </c>
      <c r="GT19" t="s">
        <v>34</v>
      </c>
      <c r="GU19" t="s">
        <v>24</v>
      </c>
      <c r="GV19" t="s">
        <v>34</v>
      </c>
      <c r="GW19" t="s">
        <v>34</v>
      </c>
      <c r="GX19" t="s">
        <v>34</v>
      </c>
      <c r="GY19" t="s">
        <v>34</v>
      </c>
      <c r="GZ19" t="s">
        <v>34</v>
      </c>
      <c r="HA19" t="s">
        <v>34</v>
      </c>
      <c r="HB19" t="s">
        <v>24</v>
      </c>
      <c r="HC19" t="s">
        <v>34</v>
      </c>
      <c r="HD19" t="s">
        <v>24</v>
      </c>
      <c r="HE19" t="s">
        <v>24</v>
      </c>
      <c r="HF19" t="s">
        <v>24</v>
      </c>
      <c r="HG19" t="s">
        <v>24</v>
      </c>
      <c r="HH19" t="s">
        <v>34</v>
      </c>
      <c r="HI19" t="s">
        <v>34</v>
      </c>
      <c r="HJ19" t="s">
        <v>34</v>
      </c>
      <c r="HK19" t="s">
        <v>34</v>
      </c>
      <c r="HL19" t="s">
        <v>24</v>
      </c>
      <c r="HM19" t="s">
        <v>24</v>
      </c>
      <c r="HN19" t="s">
        <v>24</v>
      </c>
      <c r="HO19" t="s">
        <v>34</v>
      </c>
      <c r="HP19" t="s">
        <v>24</v>
      </c>
      <c r="HQ19" t="s">
        <v>34</v>
      </c>
      <c r="HR19" t="s">
        <v>24</v>
      </c>
      <c r="HS19" t="s">
        <v>34</v>
      </c>
      <c r="HT19" t="s">
        <v>24</v>
      </c>
      <c r="HU19" t="s">
        <v>24</v>
      </c>
      <c r="HV19" t="s">
        <v>34</v>
      </c>
      <c r="HW19" t="s">
        <v>24</v>
      </c>
      <c r="HX19" t="s">
        <v>24</v>
      </c>
      <c r="HY19" t="s">
        <v>34</v>
      </c>
      <c r="HZ19" t="s">
        <v>24</v>
      </c>
      <c r="IA19" t="s">
        <v>24</v>
      </c>
      <c r="IB19" t="s">
        <v>24</v>
      </c>
      <c r="IC19" t="s">
        <v>24</v>
      </c>
      <c r="ID19" t="s">
        <v>34</v>
      </c>
      <c r="IE19" t="s">
        <v>34</v>
      </c>
      <c r="IF19" t="s">
        <v>24</v>
      </c>
      <c r="IG19" t="s">
        <v>34</v>
      </c>
      <c r="IH19" t="s">
        <v>24</v>
      </c>
      <c r="II19" t="s">
        <v>34</v>
      </c>
      <c r="IJ19" t="s">
        <v>24</v>
      </c>
      <c r="IK19" t="s">
        <v>24</v>
      </c>
      <c r="IL19" t="s">
        <v>34</v>
      </c>
      <c r="IM19" t="s">
        <v>24</v>
      </c>
      <c r="IN19" t="s">
        <v>24</v>
      </c>
      <c r="IO19" t="s">
        <v>24</v>
      </c>
      <c r="IP19" t="s">
        <v>24</v>
      </c>
      <c r="IQ19" t="s">
        <v>34</v>
      </c>
      <c r="IR19" t="s">
        <v>34</v>
      </c>
      <c r="IS19" t="s">
        <v>34</v>
      </c>
      <c r="IT19" t="s">
        <v>34</v>
      </c>
      <c r="IU19" t="s">
        <v>24</v>
      </c>
      <c r="IV19" t="s">
        <v>24</v>
      </c>
      <c r="IW19" t="s">
        <v>24</v>
      </c>
      <c r="IX19" t="s">
        <v>24</v>
      </c>
      <c r="IY19" t="s">
        <v>34</v>
      </c>
      <c r="IZ19" t="s">
        <v>34</v>
      </c>
      <c r="JA19" t="s">
        <v>34</v>
      </c>
      <c r="JB19" t="s">
        <v>24</v>
      </c>
      <c r="JC19" t="s">
        <v>24</v>
      </c>
      <c r="JD19" t="s">
        <v>24</v>
      </c>
      <c r="JE19" t="s">
        <v>24</v>
      </c>
      <c r="JF19" t="s">
        <v>34</v>
      </c>
      <c r="JG19" t="s">
        <v>34</v>
      </c>
      <c r="JH19" t="s">
        <v>34</v>
      </c>
      <c r="JI19" t="s">
        <v>24</v>
      </c>
      <c r="JJ19" t="s">
        <v>34</v>
      </c>
      <c r="JK19" t="s">
        <v>24</v>
      </c>
      <c r="JL19" t="s">
        <v>34</v>
      </c>
      <c r="JM19" t="s">
        <v>34</v>
      </c>
      <c r="JN19" t="s">
        <v>24</v>
      </c>
      <c r="JO19" t="s">
        <v>24</v>
      </c>
      <c r="JP19" t="s">
        <v>24</v>
      </c>
      <c r="JQ19" t="s">
        <v>34</v>
      </c>
      <c r="JR19" t="s">
        <v>34</v>
      </c>
      <c r="JS19" t="s">
        <v>34</v>
      </c>
      <c r="JT19" t="s">
        <v>34</v>
      </c>
      <c r="JU19" t="s">
        <v>24</v>
      </c>
      <c r="JV19" t="s">
        <v>34</v>
      </c>
      <c r="JW19" t="s">
        <v>24</v>
      </c>
      <c r="JX19" t="s">
        <v>34</v>
      </c>
      <c r="JY19" t="s">
        <v>24</v>
      </c>
      <c r="JZ19" t="s">
        <v>24</v>
      </c>
      <c r="KA19" t="s">
        <v>34</v>
      </c>
      <c r="KB19" t="s">
        <v>34</v>
      </c>
      <c r="KC19" t="s">
        <v>24</v>
      </c>
      <c r="KD19" t="s">
        <v>34</v>
      </c>
      <c r="KE19" t="s">
        <v>24</v>
      </c>
      <c r="KF19" t="s">
        <v>34</v>
      </c>
      <c r="KG19" t="s">
        <v>34</v>
      </c>
      <c r="KH19" t="s">
        <v>34</v>
      </c>
      <c r="KI19" t="s">
        <v>34</v>
      </c>
      <c r="KJ19" t="s">
        <v>34</v>
      </c>
      <c r="KK19" t="s">
        <v>24</v>
      </c>
      <c r="KL19" t="s">
        <v>34</v>
      </c>
      <c r="KM19" t="s">
        <v>24</v>
      </c>
      <c r="KN19" t="s">
        <v>24</v>
      </c>
      <c r="KO19" t="s">
        <v>24</v>
      </c>
      <c r="KP19" t="s">
        <v>34</v>
      </c>
      <c r="KQ19" t="s">
        <v>24</v>
      </c>
      <c r="KR19" t="s">
        <v>24</v>
      </c>
      <c r="KS19" t="s">
        <v>24</v>
      </c>
      <c r="KT19" t="s">
        <v>24</v>
      </c>
      <c r="KU19" t="s">
        <v>24</v>
      </c>
      <c r="KV19" t="s">
        <v>24</v>
      </c>
      <c r="KW19" t="s">
        <v>34</v>
      </c>
      <c r="KX19" t="s">
        <v>24</v>
      </c>
      <c r="KY19" t="s">
        <v>24</v>
      </c>
      <c r="KZ19" t="s">
        <v>34</v>
      </c>
      <c r="LA19" t="s">
        <v>24</v>
      </c>
      <c r="LB19" t="s">
        <v>34</v>
      </c>
      <c r="LC19" t="s">
        <v>34</v>
      </c>
      <c r="LD19" t="s">
        <v>24</v>
      </c>
      <c r="LE19" t="s">
        <v>24</v>
      </c>
      <c r="LF19" t="s">
        <v>34</v>
      </c>
      <c r="LG19" t="s">
        <v>34</v>
      </c>
      <c r="LH19" t="s">
        <v>34</v>
      </c>
      <c r="LI19" t="s">
        <v>34</v>
      </c>
      <c r="LJ19" t="s">
        <v>24</v>
      </c>
      <c r="LK19" t="s">
        <v>34</v>
      </c>
      <c r="LL19" t="s">
        <v>34</v>
      </c>
      <c r="LM19" t="s">
        <v>34</v>
      </c>
      <c r="LN19" t="s">
        <v>24</v>
      </c>
      <c r="LO19" t="s">
        <v>34</v>
      </c>
      <c r="LP19" t="s">
        <v>34</v>
      </c>
      <c r="LQ19" t="s">
        <v>24</v>
      </c>
      <c r="LR19" t="s">
        <v>24</v>
      </c>
      <c r="LS19" t="s">
        <v>34</v>
      </c>
      <c r="LT19" t="s">
        <v>34</v>
      </c>
      <c r="LU19" t="s">
        <v>34</v>
      </c>
      <c r="LV19" t="s">
        <v>24</v>
      </c>
      <c r="LW19" t="s">
        <v>24</v>
      </c>
      <c r="LX19" t="s">
        <v>34</v>
      </c>
      <c r="LY19" t="s">
        <v>34</v>
      </c>
      <c r="LZ19" t="s">
        <v>34</v>
      </c>
      <c r="MA19" t="s">
        <v>24</v>
      </c>
      <c r="MB19" t="s">
        <v>34</v>
      </c>
      <c r="MC19" t="s">
        <v>34</v>
      </c>
      <c r="MD19" t="s">
        <v>24</v>
      </c>
      <c r="ME19" t="s">
        <v>34</v>
      </c>
      <c r="MF19" t="s">
        <v>24</v>
      </c>
      <c r="MG19" t="s">
        <v>24</v>
      </c>
      <c r="MH19" t="s">
        <v>34</v>
      </c>
      <c r="MI19" t="s">
        <v>24</v>
      </c>
      <c r="MJ19" t="s">
        <v>24</v>
      </c>
      <c r="MK19" t="s">
        <v>34</v>
      </c>
      <c r="ML19" t="s">
        <v>24</v>
      </c>
      <c r="MM19" t="s">
        <v>24</v>
      </c>
      <c r="MN19" t="s">
        <v>34</v>
      </c>
      <c r="MO19" t="s">
        <v>34</v>
      </c>
      <c r="MP19" t="s">
        <v>34</v>
      </c>
      <c r="MQ19" t="s">
        <v>34</v>
      </c>
      <c r="MR19" t="s">
        <v>34</v>
      </c>
      <c r="MS19" t="s">
        <v>24</v>
      </c>
      <c r="MT19" t="s">
        <v>24</v>
      </c>
      <c r="MU19" t="s">
        <v>24</v>
      </c>
      <c r="MV19" t="s">
        <v>24</v>
      </c>
      <c r="MW19" t="s">
        <v>24</v>
      </c>
      <c r="MX19" t="s">
        <v>34</v>
      </c>
      <c r="MY19" t="s">
        <v>34</v>
      </c>
      <c r="MZ19" t="s">
        <v>34</v>
      </c>
      <c r="NA19" t="s">
        <v>34</v>
      </c>
      <c r="NB19" t="s">
        <v>24</v>
      </c>
      <c r="NC19" t="s">
        <v>34</v>
      </c>
      <c r="ND19" t="s">
        <v>34</v>
      </c>
      <c r="NE19" t="s">
        <v>24</v>
      </c>
      <c r="NF19" t="s">
        <v>24</v>
      </c>
      <c r="NG19" t="s">
        <v>34</v>
      </c>
      <c r="NH19" t="s">
        <v>24</v>
      </c>
      <c r="NI19" t="s">
        <v>24</v>
      </c>
      <c r="NJ19" t="s">
        <v>34</v>
      </c>
      <c r="NK19" t="s">
        <v>24</v>
      </c>
      <c r="NL19" t="s">
        <v>34</v>
      </c>
      <c r="NM19" t="s">
        <v>24</v>
      </c>
      <c r="NN19" t="s">
        <v>24</v>
      </c>
      <c r="NO19" t="s">
        <v>24</v>
      </c>
      <c r="NP19" t="s">
        <v>24</v>
      </c>
      <c r="NQ19" t="s">
        <v>34</v>
      </c>
      <c r="NR19" t="s">
        <v>24</v>
      </c>
      <c r="NS19" t="s">
        <v>34</v>
      </c>
      <c r="NT19" t="s">
        <v>34</v>
      </c>
      <c r="NU19" t="s">
        <v>24</v>
      </c>
      <c r="NV19" t="s">
        <v>24</v>
      </c>
      <c r="NW19" t="s">
        <v>34</v>
      </c>
      <c r="NX19" t="s">
        <v>24</v>
      </c>
      <c r="NY19" t="s">
        <v>24</v>
      </c>
      <c r="NZ19" t="s">
        <v>34</v>
      </c>
      <c r="OA19" t="s">
        <v>24</v>
      </c>
      <c r="OB19" t="s">
        <v>34</v>
      </c>
      <c r="OC19" t="s">
        <v>24</v>
      </c>
      <c r="OD19" t="s">
        <v>24</v>
      </c>
      <c r="OE19" t="s">
        <v>24</v>
      </c>
      <c r="OF19" t="s">
        <v>24</v>
      </c>
      <c r="OG19" t="s">
        <v>24</v>
      </c>
      <c r="OH19" t="s">
        <v>24</v>
      </c>
      <c r="OI19" t="s">
        <v>34</v>
      </c>
      <c r="OJ19" t="s">
        <v>34</v>
      </c>
      <c r="OK19" t="s">
        <v>24</v>
      </c>
      <c r="OL19" t="s">
        <v>24</v>
      </c>
      <c r="OM19" t="s">
        <v>34</v>
      </c>
      <c r="ON19" t="s">
        <v>34</v>
      </c>
      <c r="OO19" t="s">
        <v>34</v>
      </c>
      <c r="OP19" t="s">
        <v>24</v>
      </c>
      <c r="OQ19" t="s">
        <v>24</v>
      </c>
      <c r="OR19" t="s">
        <v>24</v>
      </c>
      <c r="OS19" t="s">
        <v>34</v>
      </c>
      <c r="OT19" t="s">
        <v>34</v>
      </c>
      <c r="OU19" t="s">
        <v>24</v>
      </c>
      <c r="OV19" t="s">
        <v>34</v>
      </c>
      <c r="OW19" t="s">
        <v>24</v>
      </c>
      <c r="OX19" t="s">
        <v>24</v>
      </c>
      <c r="OY19" t="s">
        <v>34</v>
      </c>
      <c r="OZ19" t="s">
        <v>24</v>
      </c>
      <c r="PA19" t="s">
        <v>34</v>
      </c>
      <c r="PB19" t="s">
        <v>34</v>
      </c>
      <c r="PC19" t="s">
        <v>24</v>
      </c>
      <c r="PD19" t="s">
        <v>24</v>
      </c>
      <c r="PE19" t="s">
        <v>34</v>
      </c>
      <c r="PF19" t="s">
        <v>24</v>
      </c>
      <c r="PG19" t="s">
        <v>34</v>
      </c>
      <c r="PH19" t="s">
        <v>24</v>
      </c>
      <c r="PI19" t="s">
        <v>34</v>
      </c>
      <c r="PJ19" t="s">
        <v>34</v>
      </c>
      <c r="PK19" t="s">
        <v>24</v>
      </c>
      <c r="PL19" t="s">
        <v>24</v>
      </c>
      <c r="PM19" t="s">
        <v>34</v>
      </c>
      <c r="PN19" t="s">
        <v>34</v>
      </c>
      <c r="PO19" t="s">
        <v>34</v>
      </c>
      <c r="PP19" t="s">
        <v>34</v>
      </c>
      <c r="PQ19" t="s">
        <v>24</v>
      </c>
      <c r="PR19" t="s">
        <v>24</v>
      </c>
      <c r="PS19" t="s">
        <v>24</v>
      </c>
      <c r="PT19" t="s">
        <v>34</v>
      </c>
      <c r="PU19" t="s">
        <v>24</v>
      </c>
      <c r="PV19" t="s">
        <v>34</v>
      </c>
      <c r="PW19" t="s">
        <v>34</v>
      </c>
      <c r="PX19" t="s">
        <v>24</v>
      </c>
      <c r="PY19" t="s">
        <v>24</v>
      </c>
      <c r="PZ19" t="s">
        <v>34</v>
      </c>
      <c r="QA19" t="s">
        <v>34</v>
      </c>
      <c r="QB19" t="s">
        <v>24</v>
      </c>
      <c r="QC19" t="s">
        <v>34</v>
      </c>
      <c r="QD19" t="s">
        <v>24</v>
      </c>
      <c r="QE19" t="s">
        <v>24</v>
      </c>
      <c r="QF19" t="s">
        <v>34</v>
      </c>
      <c r="QG19" t="s">
        <v>34</v>
      </c>
      <c r="QH19" t="s">
        <v>34</v>
      </c>
      <c r="QI19" t="s">
        <v>34</v>
      </c>
      <c r="QJ19" t="s">
        <v>34</v>
      </c>
      <c r="QK19" t="s">
        <v>24</v>
      </c>
      <c r="QL19" t="s">
        <v>24</v>
      </c>
      <c r="QM19" t="s">
        <v>24</v>
      </c>
      <c r="QN19" t="s">
        <v>24</v>
      </c>
      <c r="QO19" t="s">
        <v>34</v>
      </c>
      <c r="QP19" t="s">
        <v>24</v>
      </c>
      <c r="QQ19" t="s">
        <v>34</v>
      </c>
      <c r="QR19" t="s">
        <v>34</v>
      </c>
      <c r="QS19" t="s">
        <v>34</v>
      </c>
      <c r="QT19" t="s">
        <v>34</v>
      </c>
      <c r="QU19" t="s">
        <v>34</v>
      </c>
      <c r="QV19" t="s">
        <v>24</v>
      </c>
      <c r="QW19" t="s">
        <v>34</v>
      </c>
      <c r="QX19" t="s">
        <v>34</v>
      </c>
      <c r="QY19" t="s">
        <v>24</v>
      </c>
      <c r="QZ19" t="s">
        <v>24</v>
      </c>
      <c r="RA19" t="s">
        <v>24</v>
      </c>
      <c r="RB19" t="s">
        <v>34</v>
      </c>
      <c r="RC19" t="s">
        <v>34</v>
      </c>
      <c r="RD19" t="s">
        <v>34</v>
      </c>
      <c r="RE19" t="s">
        <v>34</v>
      </c>
      <c r="RF19" t="s">
        <v>24</v>
      </c>
      <c r="RG19" t="s">
        <v>24</v>
      </c>
      <c r="RH19" t="s">
        <v>24</v>
      </c>
      <c r="RI19" t="s">
        <v>24</v>
      </c>
      <c r="RJ19" t="s">
        <v>24</v>
      </c>
      <c r="RK19" t="s">
        <v>24</v>
      </c>
      <c r="RL19" t="s">
        <v>34</v>
      </c>
      <c r="RM19" t="s">
        <v>34</v>
      </c>
      <c r="RN19" t="s">
        <v>24</v>
      </c>
      <c r="RO19" t="s">
        <v>24</v>
      </c>
      <c r="RP19" t="s">
        <v>24</v>
      </c>
      <c r="RQ19" t="s">
        <v>24</v>
      </c>
      <c r="RR19" t="s">
        <v>34</v>
      </c>
      <c r="RS19" t="s">
        <v>34</v>
      </c>
      <c r="RT19" t="s">
        <v>34</v>
      </c>
      <c r="RU19" t="s">
        <v>24</v>
      </c>
      <c r="RV19" t="s">
        <v>24</v>
      </c>
      <c r="RW19" t="s">
        <v>24</v>
      </c>
      <c r="RX19" t="s">
        <v>34</v>
      </c>
      <c r="RY19" t="s">
        <v>34</v>
      </c>
      <c r="RZ19" t="s">
        <v>34</v>
      </c>
      <c r="SA19" t="s">
        <v>24</v>
      </c>
      <c r="SB19" t="s">
        <v>34</v>
      </c>
      <c r="SC19" t="s">
        <v>34</v>
      </c>
      <c r="SD19" t="s">
        <v>24</v>
      </c>
      <c r="SE19" t="s">
        <v>34</v>
      </c>
      <c r="SF19" t="s">
        <v>24</v>
      </c>
      <c r="SG19" t="s">
        <v>24</v>
      </c>
      <c r="SH19" t="s">
        <v>24</v>
      </c>
      <c r="SI19" t="s">
        <v>34</v>
      </c>
      <c r="SJ19" t="s">
        <v>34</v>
      </c>
      <c r="SK19" t="s">
        <v>24</v>
      </c>
      <c r="SL19" t="s">
        <v>34</v>
      </c>
      <c r="SM19" t="s">
        <v>24</v>
      </c>
      <c r="SN19" t="s">
        <v>34</v>
      </c>
      <c r="SO19" t="s">
        <v>24</v>
      </c>
      <c r="SP19" t="s">
        <v>24</v>
      </c>
      <c r="SQ19" t="s">
        <v>34</v>
      </c>
      <c r="SR19" t="s">
        <v>24</v>
      </c>
      <c r="SS19" t="s">
        <v>24</v>
      </c>
      <c r="ST19" t="s">
        <v>24</v>
      </c>
      <c r="SU19" t="s">
        <v>24</v>
      </c>
      <c r="SV19" t="s">
        <v>24</v>
      </c>
      <c r="SW19" t="s">
        <v>34</v>
      </c>
      <c r="SX19" t="s">
        <v>34</v>
      </c>
      <c r="SY19" t="s">
        <v>24</v>
      </c>
      <c r="SZ19" t="s">
        <v>34</v>
      </c>
      <c r="TA19" t="s">
        <v>24</v>
      </c>
      <c r="TB19" t="s">
        <v>24</v>
      </c>
      <c r="TC19" t="s">
        <v>24</v>
      </c>
      <c r="TD19" t="s">
        <v>24</v>
      </c>
      <c r="TE19" t="s">
        <v>24</v>
      </c>
      <c r="TF19" t="s">
        <v>34</v>
      </c>
      <c r="TG19" t="s">
        <v>34</v>
      </c>
      <c r="TH19" t="s">
        <v>34</v>
      </c>
      <c r="TI19" t="s">
        <v>34</v>
      </c>
      <c r="TJ19" t="s">
        <v>34</v>
      </c>
      <c r="TK19" t="s">
        <v>34</v>
      </c>
      <c r="TL19" t="s">
        <v>24</v>
      </c>
      <c r="TM19" t="s">
        <v>34</v>
      </c>
      <c r="TN19" t="s">
        <v>24</v>
      </c>
      <c r="TO19" t="s">
        <v>24</v>
      </c>
      <c r="TP19" t="s">
        <v>34</v>
      </c>
      <c r="TQ19" t="s">
        <v>34</v>
      </c>
      <c r="TR19" t="s">
        <v>24</v>
      </c>
      <c r="TS19" t="s">
        <v>24</v>
      </c>
      <c r="TT19" t="s">
        <v>24</v>
      </c>
      <c r="TU19" t="s">
        <v>24</v>
      </c>
      <c r="TV19" t="s">
        <v>24</v>
      </c>
      <c r="TW19" t="s">
        <v>34</v>
      </c>
      <c r="TX19" t="s">
        <v>34</v>
      </c>
      <c r="TY19" t="s">
        <v>24</v>
      </c>
      <c r="TZ19" t="s">
        <v>24</v>
      </c>
      <c r="UA19" t="s">
        <v>24</v>
      </c>
      <c r="UB19" t="s">
        <v>24</v>
      </c>
      <c r="UC19" t="s">
        <v>24</v>
      </c>
      <c r="UD19" t="s">
        <v>24</v>
      </c>
      <c r="UE19" t="s">
        <v>24</v>
      </c>
      <c r="UF19" t="s">
        <v>24</v>
      </c>
      <c r="UG19" t="s">
        <v>34</v>
      </c>
      <c r="UH19" t="s">
        <v>24</v>
      </c>
      <c r="UI19" t="s">
        <v>24</v>
      </c>
      <c r="UJ19" t="s">
        <v>34</v>
      </c>
      <c r="UK19" t="s">
        <v>24</v>
      </c>
      <c r="UL19" t="s">
        <v>24</v>
      </c>
      <c r="UM19" t="s">
        <v>24</v>
      </c>
      <c r="UN19" t="s">
        <v>24</v>
      </c>
      <c r="UO19" t="s">
        <v>34</v>
      </c>
      <c r="UP19" t="s">
        <v>24</v>
      </c>
      <c r="UQ19" t="s">
        <v>24</v>
      </c>
      <c r="UR19" t="s">
        <v>24</v>
      </c>
      <c r="US19" t="s">
        <v>34</v>
      </c>
      <c r="UT19" t="s">
        <v>24</v>
      </c>
      <c r="UU19" t="s">
        <v>24</v>
      </c>
      <c r="UV19" t="s">
        <v>34</v>
      </c>
      <c r="UW19" t="s">
        <v>34</v>
      </c>
      <c r="UX19" t="s">
        <v>34</v>
      </c>
      <c r="UY19" t="s">
        <v>34</v>
      </c>
      <c r="UZ19" t="s">
        <v>24</v>
      </c>
      <c r="VA19" t="s">
        <v>34</v>
      </c>
      <c r="VB19" t="s">
        <v>34</v>
      </c>
      <c r="VC19" t="s">
        <v>34</v>
      </c>
      <c r="VD19" t="s">
        <v>24</v>
      </c>
      <c r="VE19" t="s">
        <v>34</v>
      </c>
      <c r="VF19" t="s">
        <v>24</v>
      </c>
      <c r="VG19" t="s">
        <v>24</v>
      </c>
      <c r="VH19" t="s">
        <v>34</v>
      </c>
      <c r="VI19" t="s">
        <v>24</v>
      </c>
      <c r="VJ19" t="s">
        <v>34</v>
      </c>
      <c r="VK19" t="s">
        <v>34</v>
      </c>
      <c r="VL19" t="s">
        <v>24</v>
      </c>
      <c r="VM19" t="s">
        <v>24</v>
      </c>
      <c r="VN19" t="s">
        <v>24</v>
      </c>
      <c r="VO19" t="s">
        <v>24</v>
      </c>
      <c r="VP19" t="s">
        <v>34</v>
      </c>
      <c r="VQ19" t="s">
        <v>24</v>
      </c>
      <c r="VR19" t="s">
        <v>24</v>
      </c>
      <c r="VS19" t="s">
        <v>24</v>
      </c>
      <c r="VT19" t="s">
        <v>24</v>
      </c>
      <c r="VU19" t="s">
        <v>34</v>
      </c>
      <c r="VV19" t="s">
        <v>34</v>
      </c>
      <c r="VW19" t="s">
        <v>24</v>
      </c>
      <c r="VX19" t="s">
        <v>24</v>
      </c>
      <c r="VY19" t="s">
        <v>34</v>
      </c>
      <c r="VZ19" t="s">
        <v>34</v>
      </c>
      <c r="WA19" t="s">
        <v>34</v>
      </c>
      <c r="WB19" t="s">
        <v>34</v>
      </c>
      <c r="WC19" t="s">
        <v>24</v>
      </c>
      <c r="WD19" t="s">
        <v>24</v>
      </c>
      <c r="WE19" t="s">
        <v>34</v>
      </c>
      <c r="WF19" t="s">
        <v>34</v>
      </c>
      <c r="WG19" t="s">
        <v>24</v>
      </c>
      <c r="WH19" t="s">
        <v>24</v>
      </c>
      <c r="WI19" t="s">
        <v>34</v>
      </c>
      <c r="WJ19" t="s">
        <v>24</v>
      </c>
      <c r="WK19" t="s">
        <v>34</v>
      </c>
      <c r="WL19" t="s">
        <v>24</v>
      </c>
      <c r="WM19" t="s">
        <v>24</v>
      </c>
      <c r="WN19" t="s">
        <v>34</v>
      </c>
      <c r="WO19" t="s">
        <v>24</v>
      </c>
      <c r="WP19" t="s">
        <v>34</v>
      </c>
      <c r="WQ19" t="s">
        <v>24</v>
      </c>
      <c r="WR19" t="s">
        <v>34</v>
      </c>
      <c r="WS19" t="s">
        <v>34</v>
      </c>
      <c r="WT19" t="s">
        <v>34</v>
      </c>
      <c r="WU19" t="s">
        <v>24</v>
      </c>
      <c r="WV19" t="s">
        <v>34</v>
      </c>
      <c r="WW19" t="s">
        <v>34</v>
      </c>
      <c r="WX19" t="s">
        <v>24</v>
      </c>
      <c r="WY19" t="s">
        <v>24</v>
      </c>
      <c r="WZ19" t="s">
        <v>34</v>
      </c>
      <c r="XA19" t="s">
        <v>34</v>
      </c>
      <c r="XB19" t="s">
        <v>24</v>
      </c>
      <c r="XC19" t="s">
        <v>24</v>
      </c>
      <c r="XD19" t="s">
        <v>24</v>
      </c>
      <c r="XE19" t="s">
        <v>34</v>
      </c>
      <c r="XF19" t="s">
        <v>24</v>
      </c>
      <c r="XG19" t="s">
        <v>34</v>
      </c>
      <c r="XH19" t="s">
        <v>34</v>
      </c>
      <c r="XI19" t="s">
        <v>34</v>
      </c>
      <c r="XJ19" t="s">
        <v>24</v>
      </c>
      <c r="XK19" t="s">
        <v>24</v>
      </c>
      <c r="XL19" t="s">
        <v>24</v>
      </c>
      <c r="XM19" t="s">
        <v>34</v>
      </c>
      <c r="XN19" t="s">
        <v>34</v>
      </c>
      <c r="XO19" t="s">
        <v>24</v>
      </c>
      <c r="XP19" t="s">
        <v>24</v>
      </c>
      <c r="XQ19" t="s">
        <v>34</v>
      </c>
      <c r="XR19" t="s">
        <v>34</v>
      </c>
      <c r="XS19" t="s">
        <v>34</v>
      </c>
      <c r="XT19" t="s">
        <v>34</v>
      </c>
      <c r="XU19" t="s">
        <v>24</v>
      </c>
      <c r="XV19" t="s">
        <v>34</v>
      </c>
      <c r="XW19" t="s">
        <v>34</v>
      </c>
      <c r="XX19" t="s">
        <v>24</v>
      </c>
      <c r="XY19" t="s">
        <v>24</v>
      </c>
      <c r="XZ19" t="s">
        <v>24</v>
      </c>
      <c r="YA19" t="s">
        <v>24</v>
      </c>
      <c r="YB19" t="s">
        <v>34</v>
      </c>
      <c r="YC19" t="s">
        <v>34</v>
      </c>
      <c r="YD19" t="s">
        <v>34</v>
      </c>
      <c r="YE19" t="s">
        <v>34</v>
      </c>
      <c r="YF19" t="s">
        <v>34</v>
      </c>
      <c r="YG19" t="s">
        <v>24</v>
      </c>
      <c r="YH19" t="s">
        <v>24</v>
      </c>
      <c r="YI19" t="s">
        <v>34</v>
      </c>
      <c r="YJ19" t="s">
        <v>24</v>
      </c>
      <c r="YK19" t="s">
        <v>34</v>
      </c>
      <c r="YL19" t="s">
        <v>34</v>
      </c>
      <c r="YM19" t="s">
        <v>34</v>
      </c>
      <c r="YN19" t="s">
        <v>34</v>
      </c>
      <c r="YO19" t="s">
        <v>34</v>
      </c>
      <c r="YP19" t="s">
        <v>24</v>
      </c>
      <c r="YQ19" t="s">
        <v>24</v>
      </c>
      <c r="YR19" t="s">
        <v>34</v>
      </c>
      <c r="YS19" t="s">
        <v>34</v>
      </c>
      <c r="YT19" t="s">
        <v>24</v>
      </c>
      <c r="YU19" t="s">
        <v>34</v>
      </c>
      <c r="YV19" t="s">
        <v>34</v>
      </c>
      <c r="YW19" t="s">
        <v>34</v>
      </c>
      <c r="YX19" t="s">
        <v>24</v>
      </c>
      <c r="YY19" t="s">
        <v>34</v>
      </c>
      <c r="YZ19" t="s">
        <v>34</v>
      </c>
      <c r="ZA19" t="s">
        <v>24</v>
      </c>
      <c r="ZB19" t="s">
        <v>34</v>
      </c>
      <c r="ZC19" t="s">
        <v>34</v>
      </c>
      <c r="ZD19" t="s">
        <v>24</v>
      </c>
      <c r="ZE19" t="s">
        <v>24</v>
      </c>
      <c r="ZF19" t="s">
        <v>34</v>
      </c>
      <c r="ZG19" t="s">
        <v>24</v>
      </c>
      <c r="ZH19" t="s">
        <v>34</v>
      </c>
      <c r="ZI19" t="s">
        <v>34</v>
      </c>
      <c r="ZJ19" t="s">
        <v>24</v>
      </c>
      <c r="ZK19" t="s">
        <v>34</v>
      </c>
      <c r="ZL19" t="s">
        <v>24</v>
      </c>
      <c r="ZM19" t="s">
        <v>24</v>
      </c>
      <c r="ZN19" t="s">
        <v>24</v>
      </c>
      <c r="ZO19" t="s">
        <v>34</v>
      </c>
      <c r="ZP19" t="s">
        <v>24</v>
      </c>
      <c r="ZQ19" t="s">
        <v>34</v>
      </c>
      <c r="ZR19" t="s">
        <v>24</v>
      </c>
      <c r="ZS19" t="s">
        <v>24</v>
      </c>
      <c r="ZT19" t="s">
        <v>34</v>
      </c>
      <c r="ZU19" t="s">
        <v>34</v>
      </c>
      <c r="ZV19" t="s">
        <v>24</v>
      </c>
      <c r="ZW19" t="s">
        <v>34</v>
      </c>
      <c r="ZX19" t="s">
        <v>34</v>
      </c>
      <c r="ZY19" t="s">
        <v>24</v>
      </c>
      <c r="ZZ19" t="s">
        <v>24</v>
      </c>
      <c r="AAA19" t="s">
        <v>34</v>
      </c>
      <c r="AAB19" t="s">
        <v>24</v>
      </c>
      <c r="AAC19" t="s">
        <v>24</v>
      </c>
      <c r="AAD19" t="s">
        <v>24</v>
      </c>
      <c r="AAE19" t="s">
        <v>34</v>
      </c>
      <c r="AAF19" t="s">
        <v>34</v>
      </c>
      <c r="AAG19" t="s">
        <v>34</v>
      </c>
      <c r="AAH19" t="s">
        <v>24</v>
      </c>
      <c r="AAI19" t="s">
        <v>34</v>
      </c>
      <c r="AAJ19" t="s">
        <v>24</v>
      </c>
      <c r="AAK19" t="s">
        <v>24</v>
      </c>
      <c r="AAL19" t="s">
        <v>24</v>
      </c>
      <c r="AAM19" t="s">
        <v>24</v>
      </c>
      <c r="AAN19" t="s">
        <v>34</v>
      </c>
      <c r="AAO19" t="s">
        <v>24</v>
      </c>
      <c r="AAP19" t="s">
        <v>24</v>
      </c>
      <c r="AAQ19" t="s">
        <v>34</v>
      </c>
      <c r="AAR19" t="s">
        <v>24</v>
      </c>
      <c r="AAS19" t="s">
        <v>34</v>
      </c>
      <c r="AAT19" t="s">
        <v>34</v>
      </c>
      <c r="AAU19" t="s">
        <v>34</v>
      </c>
      <c r="AAV19" t="s">
        <v>24</v>
      </c>
      <c r="AAW19" t="s">
        <v>34</v>
      </c>
      <c r="AAX19" t="s">
        <v>24</v>
      </c>
      <c r="AAY19" t="s">
        <v>34</v>
      </c>
      <c r="AAZ19" t="s">
        <v>34</v>
      </c>
      <c r="ABA19" t="s">
        <v>34</v>
      </c>
      <c r="ABB19" t="s">
        <v>34</v>
      </c>
      <c r="ABC19" t="s">
        <v>24</v>
      </c>
      <c r="ABD19" t="s">
        <v>24</v>
      </c>
      <c r="ABE19" t="s">
        <v>34</v>
      </c>
      <c r="ABF19" t="s">
        <v>34</v>
      </c>
      <c r="ABG19" t="s">
        <v>34</v>
      </c>
      <c r="ABH19" t="s">
        <v>24</v>
      </c>
      <c r="ABI19" t="s">
        <v>34</v>
      </c>
      <c r="ABJ19" t="s">
        <v>34</v>
      </c>
      <c r="ABK19" t="s">
        <v>24</v>
      </c>
      <c r="ABL19" t="s">
        <v>34</v>
      </c>
      <c r="ABM19" t="s">
        <v>34</v>
      </c>
      <c r="ABN19" t="s">
        <v>34</v>
      </c>
      <c r="ABO19" t="s">
        <v>34</v>
      </c>
      <c r="ABP19" t="s">
        <v>24</v>
      </c>
      <c r="ABQ19" t="s">
        <v>24</v>
      </c>
      <c r="ABR19" t="s">
        <v>24</v>
      </c>
      <c r="ABS19" t="s">
        <v>34</v>
      </c>
      <c r="ABT19" t="s">
        <v>34</v>
      </c>
      <c r="ABU19" t="s">
        <v>24</v>
      </c>
      <c r="ABV19" t="s">
        <v>34</v>
      </c>
      <c r="ABW19" t="s">
        <v>34</v>
      </c>
      <c r="ABX19" t="s">
        <v>24</v>
      </c>
      <c r="ABY19" t="s">
        <v>24</v>
      </c>
      <c r="ABZ19" t="s">
        <v>34</v>
      </c>
      <c r="ACA19" t="s">
        <v>24</v>
      </c>
      <c r="ACB19" t="s">
        <v>34</v>
      </c>
      <c r="ACC19" t="s">
        <v>24</v>
      </c>
      <c r="ACD19" t="s">
        <v>24</v>
      </c>
      <c r="ACE19" t="s">
        <v>34</v>
      </c>
      <c r="ACF19" t="s">
        <v>34</v>
      </c>
      <c r="ACG19" t="s">
        <v>24</v>
      </c>
      <c r="ACH19" t="s">
        <v>34</v>
      </c>
      <c r="ACI19" t="s">
        <v>34</v>
      </c>
      <c r="ACJ19" t="s">
        <v>34</v>
      </c>
      <c r="ACK19" t="s">
        <v>24</v>
      </c>
      <c r="ACL19" t="s">
        <v>34</v>
      </c>
      <c r="ACM19" t="s">
        <v>34</v>
      </c>
      <c r="ACN19" t="s">
        <v>24</v>
      </c>
      <c r="ACO19" t="s">
        <v>24</v>
      </c>
      <c r="ACP19" t="s">
        <v>24</v>
      </c>
      <c r="ACQ19" t="s">
        <v>24</v>
      </c>
      <c r="ACR19" t="s">
        <v>34</v>
      </c>
      <c r="ACS19" t="s">
        <v>34</v>
      </c>
      <c r="ACT19" t="s">
        <v>24</v>
      </c>
      <c r="ACU19" t="s">
        <v>24</v>
      </c>
      <c r="ACV19" t="s">
        <v>34</v>
      </c>
      <c r="ACW19" t="s">
        <v>34</v>
      </c>
      <c r="ACX19" t="s">
        <v>24</v>
      </c>
      <c r="ACY19" t="s">
        <v>34</v>
      </c>
      <c r="ACZ19" t="s">
        <v>34</v>
      </c>
      <c r="ADA19" t="s">
        <v>24</v>
      </c>
      <c r="ADB19" t="s">
        <v>24</v>
      </c>
      <c r="ADC19" t="s">
        <v>24</v>
      </c>
      <c r="ADD19" t="s">
        <v>24</v>
      </c>
      <c r="ADE19" t="s">
        <v>34</v>
      </c>
      <c r="ADF19" t="s">
        <v>24</v>
      </c>
      <c r="ADG19" t="s">
        <v>34</v>
      </c>
      <c r="ADH19" t="s">
        <v>34</v>
      </c>
      <c r="ADI19" t="s">
        <v>34</v>
      </c>
      <c r="ADJ19" t="s">
        <v>24</v>
      </c>
      <c r="ADK19" t="s">
        <v>34</v>
      </c>
      <c r="ADL19" t="s">
        <v>24</v>
      </c>
      <c r="ADM19" t="s">
        <v>24</v>
      </c>
      <c r="ADN19" t="s">
        <v>24</v>
      </c>
      <c r="ADO19" t="s">
        <v>34</v>
      </c>
      <c r="ADP19" t="s">
        <v>24</v>
      </c>
      <c r="ADQ19" t="s">
        <v>24</v>
      </c>
      <c r="ADR19" t="s">
        <v>34</v>
      </c>
      <c r="ADS19" t="s">
        <v>24</v>
      </c>
      <c r="ADT19" t="s">
        <v>34</v>
      </c>
      <c r="ADU19" t="s">
        <v>34</v>
      </c>
      <c r="ADV19" t="s">
        <v>24</v>
      </c>
      <c r="ADW19" t="s">
        <v>24</v>
      </c>
      <c r="ADX19" t="s">
        <v>24</v>
      </c>
      <c r="ADY19" t="s">
        <v>24</v>
      </c>
      <c r="ADZ19" t="s">
        <v>34</v>
      </c>
      <c r="AEA19" t="s">
        <v>24</v>
      </c>
      <c r="AEB19" t="s">
        <v>24</v>
      </c>
      <c r="AEC19" t="s">
        <v>34</v>
      </c>
      <c r="AED19" t="s">
        <v>24</v>
      </c>
      <c r="AEE19" t="s">
        <v>24</v>
      </c>
      <c r="AEF19" t="s">
        <v>24</v>
      </c>
      <c r="AEG19" t="s">
        <v>24</v>
      </c>
      <c r="AEH19" t="s">
        <v>24</v>
      </c>
      <c r="AEI19" t="s">
        <v>34</v>
      </c>
      <c r="AEJ19" t="s">
        <v>24</v>
      </c>
      <c r="AEK19" t="s">
        <v>34</v>
      </c>
      <c r="AEL19" t="s">
        <v>34</v>
      </c>
      <c r="AEM19" t="s">
        <v>34</v>
      </c>
      <c r="AEN19" t="s">
        <v>34</v>
      </c>
      <c r="AEO19" t="s">
        <v>24</v>
      </c>
      <c r="AEP19" t="s">
        <v>24</v>
      </c>
      <c r="AEQ19" t="s">
        <v>34</v>
      </c>
      <c r="AER19" t="s">
        <v>24</v>
      </c>
      <c r="AES19" t="s">
        <v>24</v>
      </c>
      <c r="AET19" t="s">
        <v>34</v>
      </c>
      <c r="AEU19" t="s">
        <v>24</v>
      </c>
      <c r="AEV19" t="s">
        <v>34</v>
      </c>
      <c r="AEW19" t="s">
        <v>34</v>
      </c>
      <c r="AEX19" t="s">
        <v>24</v>
      </c>
      <c r="AEY19" t="s">
        <v>24</v>
      </c>
      <c r="AEZ19" t="s">
        <v>24</v>
      </c>
      <c r="AFA19" t="s">
        <v>34</v>
      </c>
      <c r="AFB19" t="s">
        <v>34</v>
      </c>
      <c r="AFC19" t="s">
        <v>24</v>
      </c>
      <c r="AFD19" t="s">
        <v>34</v>
      </c>
      <c r="AFE19" t="s">
        <v>24</v>
      </c>
      <c r="AFF19" t="s">
        <v>24</v>
      </c>
      <c r="AFG19" t="s">
        <v>24</v>
      </c>
      <c r="AFH19" t="s">
        <v>24</v>
      </c>
      <c r="AFI19" t="s">
        <v>34</v>
      </c>
      <c r="AFJ19" t="s">
        <v>24</v>
      </c>
      <c r="AFK19" t="s">
        <v>34</v>
      </c>
      <c r="AFL19" t="s">
        <v>34</v>
      </c>
      <c r="AFM19" t="s">
        <v>34</v>
      </c>
      <c r="AFN19" t="s">
        <v>34</v>
      </c>
      <c r="AFO19" t="s">
        <v>34</v>
      </c>
      <c r="AFP19" t="s">
        <v>34</v>
      </c>
      <c r="AFQ19" t="s">
        <v>24</v>
      </c>
      <c r="AFR19" t="s">
        <v>34</v>
      </c>
      <c r="AFS19" t="s">
        <v>24</v>
      </c>
      <c r="AFT19" t="s">
        <v>34</v>
      </c>
      <c r="AFU19" t="s">
        <v>24</v>
      </c>
      <c r="AFV19" t="s">
        <v>24</v>
      </c>
      <c r="AFW19" t="s">
        <v>34</v>
      </c>
      <c r="AFX19" t="s">
        <v>24</v>
      </c>
      <c r="AFY19" t="s">
        <v>24</v>
      </c>
      <c r="AFZ19" t="s">
        <v>34</v>
      </c>
      <c r="AGA19" t="s">
        <v>34</v>
      </c>
      <c r="AGB19" t="s">
        <v>34</v>
      </c>
      <c r="AGC19" t="s">
        <v>34</v>
      </c>
      <c r="AGD19" t="s">
        <v>34</v>
      </c>
      <c r="AGE19" t="s">
        <v>34</v>
      </c>
      <c r="AGF19" t="s">
        <v>34</v>
      </c>
      <c r="AGG19" t="s">
        <v>34</v>
      </c>
      <c r="AGH19" t="s">
        <v>24</v>
      </c>
      <c r="AGI19" t="s">
        <v>34</v>
      </c>
      <c r="AGJ19" t="s">
        <v>24</v>
      </c>
      <c r="AGK19" t="s">
        <v>34</v>
      </c>
      <c r="AGL19" t="s">
        <v>34</v>
      </c>
      <c r="AGM19" t="s">
        <v>34</v>
      </c>
      <c r="AGN19" t="s">
        <v>34</v>
      </c>
      <c r="AGO19" t="s">
        <v>24</v>
      </c>
      <c r="AGP19" t="s">
        <v>24</v>
      </c>
      <c r="AGQ19" t="s">
        <v>34</v>
      </c>
      <c r="AGR19" t="s">
        <v>24</v>
      </c>
      <c r="AGS19" t="s">
        <v>34</v>
      </c>
    </row>
    <row r="20" spans="1:885" x14ac:dyDescent="0.25">
      <c r="A20" s="1" t="s">
        <v>8</v>
      </c>
      <c r="B20">
        <v>9</v>
      </c>
      <c r="C20">
        <v>7</v>
      </c>
      <c r="D20">
        <v>7</v>
      </c>
      <c r="E20">
        <v>8</v>
      </c>
      <c r="F20">
        <v>4</v>
      </c>
      <c r="G20">
        <v>6</v>
      </c>
      <c r="H20">
        <v>5</v>
      </c>
      <c r="I20">
        <v>1</v>
      </c>
      <c r="J20">
        <v>9</v>
      </c>
      <c r="K20">
        <v>2</v>
      </c>
      <c r="L20">
        <v>6</v>
      </c>
      <c r="M20">
        <v>8</v>
      </c>
      <c r="N20">
        <v>3</v>
      </c>
      <c r="O20">
        <v>5</v>
      </c>
      <c r="P20">
        <v>7</v>
      </c>
      <c r="Q20">
        <v>4</v>
      </c>
      <c r="R20">
        <v>5</v>
      </c>
      <c r="S20">
        <v>1</v>
      </c>
      <c r="T20">
        <v>4</v>
      </c>
      <c r="U20">
        <v>7</v>
      </c>
      <c r="V20">
        <v>7</v>
      </c>
      <c r="W20">
        <v>4</v>
      </c>
      <c r="X20">
        <v>6</v>
      </c>
      <c r="Y20">
        <v>5</v>
      </c>
      <c r="Z20">
        <v>1</v>
      </c>
      <c r="AA20">
        <v>8</v>
      </c>
      <c r="AB20">
        <v>7</v>
      </c>
      <c r="AC20">
        <v>5</v>
      </c>
      <c r="AD20">
        <v>7</v>
      </c>
      <c r="AE20">
        <v>3</v>
      </c>
      <c r="AF20">
        <v>8</v>
      </c>
      <c r="AG20">
        <v>5</v>
      </c>
      <c r="AH20">
        <v>2</v>
      </c>
      <c r="AI20">
        <v>2</v>
      </c>
      <c r="AJ20">
        <v>4</v>
      </c>
      <c r="AK20">
        <v>7</v>
      </c>
      <c r="AL20">
        <v>4</v>
      </c>
      <c r="AM20">
        <v>9</v>
      </c>
      <c r="AN20">
        <v>2</v>
      </c>
      <c r="AO20">
        <v>6</v>
      </c>
      <c r="AP20">
        <v>4</v>
      </c>
      <c r="AQ20">
        <v>6</v>
      </c>
      <c r="AR20">
        <v>9</v>
      </c>
      <c r="AS20">
        <v>9</v>
      </c>
      <c r="AT20">
        <v>9</v>
      </c>
      <c r="AU20">
        <v>9</v>
      </c>
      <c r="AV20">
        <v>3</v>
      </c>
      <c r="AW20">
        <v>9</v>
      </c>
      <c r="AX20">
        <v>3</v>
      </c>
      <c r="AY20">
        <v>3</v>
      </c>
      <c r="AZ20">
        <v>5</v>
      </c>
      <c r="BA20">
        <v>6</v>
      </c>
      <c r="BB20">
        <v>9</v>
      </c>
      <c r="BC20">
        <v>1</v>
      </c>
      <c r="BD20">
        <v>8</v>
      </c>
      <c r="BE20">
        <v>4</v>
      </c>
      <c r="BF20">
        <v>7</v>
      </c>
      <c r="BG20">
        <v>6</v>
      </c>
      <c r="BH20">
        <v>6</v>
      </c>
      <c r="BI20">
        <v>7</v>
      </c>
      <c r="BJ20">
        <v>4</v>
      </c>
      <c r="BK20">
        <v>6</v>
      </c>
      <c r="BL20">
        <v>3</v>
      </c>
      <c r="BM20">
        <v>5</v>
      </c>
      <c r="BN20">
        <v>2</v>
      </c>
      <c r="BO20">
        <v>3</v>
      </c>
      <c r="BP20">
        <v>9</v>
      </c>
      <c r="BQ20">
        <v>6</v>
      </c>
      <c r="BR20">
        <v>3</v>
      </c>
      <c r="BS20">
        <v>2</v>
      </c>
      <c r="BT20">
        <v>5</v>
      </c>
      <c r="BU20">
        <v>5</v>
      </c>
      <c r="BV20">
        <v>1</v>
      </c>
      <c r="BW20">
        <v>3</v>
      </c>
      <c r="BX20">
        <v>7</v>
      </c>
      <c r="BY20">
        <v>9</v>
      </c>
      <c r="BZ20">
        <v>5</v>
      </c>
      <c r="CA20">
        <v>4</v>
      </c>
      <c r="CB20">
        <v>3</v>
      </c>
      <c r="CC20">
        <v>9</v>
      </c>
      <c r="CD20">
        <v>7</v>
      </c>
      <c r="CE20">
        <v>7</v>
      </c>
      <c r="CF20">
        <v>8</v>
      </c>
      <c r="CG20">
        <v>1</v>
      </c>
      <c r="CH20">
        <v>4</v>
      </c>
      <c r="CI20">
        <v>5</v>
      </c>
      <c r="CJ20">
        <v>5</v>
      </c>
      <c r="CK20">
        <v>1</v>
      </c>
      <c r="CL20">
        <v>3</v>
      </c>
      <c r="CM20">
        <v>2</v>
      </c>
      <c r="CN20">
        <v>7</v>
      </c>
      <c r="CO20">
        <v>5</v>
      </c>
      <c r="CP20">
        <v>3</v>
      </c>
      <c r="CQ20">
        <v>8</v>
      </c>
      <c r="CR20">
        <v>1</v>
      </c>
      <c r="CS20">
        <v>1</v>
      </c>
      <c r="CT20">
        <v>6</v>
      </c>
      <c r="CU20">
        <v>1</v>
      </c>
      <c r="CV20">
        <v>4</v>
      </c>
      <c r="CW20">
        <v>6</v>
      </c>
      <c r="CX20">
        <v>1</v>
      </c>
      <c r="CY20">
        <v>9</v>
      </c>
      <c r="CZ20">
        <v>4</v>
      </c>
      <c r="DA20">
        <v>9</v>
      </c>
      <c r="DB20">
        <v>9</v>
      </c>
      <c r="DC20">
        <v>6</v>
      </c>
      <c r="DD20">
        <v>7</v>
      </c>
      <c r="DE20">
        <v>1</v>
      </c>
      <c r="DF20">
        <v>5</v>
      </c>
      <c r="DG20">
        <v>3</v>
      </c>
      <c r="DH20">
        <v>6</v>
      </c>
      <c r="DI20">
        <v>4</v>
      </c>
      <c r="DJ20">
        <v>9</v>
      </c>
      <c r="DK20">
        <v>7</v>
      </c>
      <c r="DL20">
        <v>4</v>
      </c>
      <c r="DM20">
        <v>6</v>
      </c>
      <c r="DN20">
        <v>2</v>
      </c>
      <c r="DO20">
        <v>3</v>
      </c>
      <c r="DP20">
        <v>7</v>
      </c>
      <c r="DQ20">
        <v>4</v>
      </c>
      <c r="DR20">
        <v>7</v>
      </c>
      <c r="DS20">
        <v>9</v>
      </c>
      <c r="DT20">
        <v>5</v>
      </c>
      <c r="DU20">
        <v>1</v>
      </c>
      <c r="DV20">
        <v>5</v>
      </c>
      <c r="DW20">
        <v>6</v>
      </c>
      <c r="DX20">
        <v>2</v>
      </c>
      <c r="DY20">
        <v>8</v>
      </c>
      <c r="DZ20">
        <v>2</v>
      </c>
      <c r="EA20">
        <v>9</v>
      </c>
      <c r="EB20">
        <v>2</v>
      </c>
      <c r="EC20">
        <v>3</v>
      </c>
      <c r="ED20">
        <v>8</v>
      </c>
      <c r="EE20">
        <v>6</v>
      </c>
      <c r="EF20">
        <v>1</v>
      </c>
      <c r="EG20">
        <v>4</v>
      </c>
      <c r="EH20">
        <v>5</v>
      </c>
      <c r="EI20">
        <v>3</v>
      </c>
      <c r="EJ20">
        <v>1</v>
      </c>
      <c r="EK20">
        <v>3</v>
      </c>
      <c r="EL20">
        <v>9</v>
      </c>
      <c r="EM20">
        <v>2</v>
      </c>
      <c r="EN20">
        <v>1</v>
      </c>
      <c r="EO20">
        <v>7</v>
      </c>
      <c r="EP20">
        <v>7</v>
      </c>
      <c r="EQ20">
        <v>5</v>
      </c>
      <c r="ER20">
        <v>2</v>
      </c>
      <c r="ES20">
        <v>1</v>
      </c>
      <c r="ET20">
        <v>5</v>
      </c>
      <c r="EU20">
        <v>4</v>
      </c>
      <c r="EV20">
        <v>9</v>
      </c>
      <c r="EW20">
        <v>5</v>
      </c>
      <c r="EX20">
        <v>2</v>
      </c>
      <c r="EY20">
        <v>4</v>
      </c>
      <c r="EZ20">
        <v>9</v>
      </c>
      <c r="FA20">
        <v>8</v>
      </c>
      <c r="FB20">
        <v>3</v>
      </c>
      <c r="FC20">
        <v>8</v>
      </c>
      <c r="FD20">
        <v>2</v>
      </c>
      <c r="FE20">
        <v>3</v>
      </c>
      <c r="FF20">
        <v>5</v>
      </c>
      <c r="FG20">
        <v>8</v>
      </c>
      <c r="FH20">
        <v>1</v>
      </c>
      <c r="FI20">
        <v>4</v>
      </c>
      <c r="FJ20">
        <v>1</v>
      </c>
      <c r="FK20">
        <v>1</v>
      </c>
      <c r="FL20">
        <v>5</v>
      </c>
      <c r="FM20">
        <v>6</v>
      </c>
      <c r="FN20">
        <v>1</v>
      </c>
      <c r="FO20">
        <v>6</v>
      </c>
      <c r="FP20">
        <v>5</v>
      </c>
      <c r="FQ20">
        <v>4</v>
      </c>
      <c r="FR20">
        <v>5</v>
      </c>
      <c r="FS20">
        <v>8</v>
      </c>
      <c r="FT20">
        <v>9</v>
      </c>
      <c r="FU20">
        <v>2</v>
      </c>
      <c r="FV20">
        <v>6</v>
      </c>
      <c r="FW20">
        <v>3</v>
      </c>
      <c r="FX20">
        <v>2</v>
      </c>
      <c r="FY20">
        <v>1</v>
      </c>
      <c r="FZ20">
        <v>4</v>
      </c>
      <c r="GA20">
        <v>8</v>
      </c>
      <c r="GB20">
        <v>3</v>
      </c>
      <c r="GC20">
        <v>5</v>
      </c>
      <c r="GD20">
        <v>5</v>
      </c>
      <c r="GE20">
        <v>5</v>
      </c>
      <c r="GF20">
        <v>9</v>
      </c>
      <c r="GG20">
        <v>8</v>
      </c>
      <c r="GH20">
        <v>8</v>
      </c>
      <c r="GI20">
        <v>1</v>
      </c>
      <c r="GJ20">
        <v>1</v>
      </c>
      <c r="GK20">
        <v>2</v>
      </c>
      <c r="GL20">
        <v>8</v>
      </c>
      <c r="GM20">
        <v>1</v>
      </c>
      <c r="GN20">
        <v>4</v>
      </c>
      <c r="GO20">
        <v>9</v>
      </c>
      <c r="GP20">
        <v>2</v>
      </c>
      <c r="GQ20">
        <v>3</v>
      </c>
      <c r="GR20">
        <v>6</v>
      </c>
      <c r="GS20">
        <v>3</v>
      </c>
      <c r="GT20">
        <v>4</v>
      </c>
      <c r="GU20">
        <v>9</v>
      </c>
      <c r="GV20">
        <v>9</v>
      </c>
      <c r="GW20">
        <v>5</v>
      </c>
      <c r="GX20">
        <v>7</v>
      </c>
      <c r="GY20">
        <v>9</v>
      </c>
      <c r="GZ20">
        <v>8</v>
      </c>
      <c r="HA20">
        <v>7</v>
      </c>
      <c r="HB20">
        <v>8</v>
      </c>
      <c r="HC20">
        <v>5</v>
      </c>
      <c r="HD20">
        <v>5</v>
      </c>
      <c r="HE20">
        <v>5</v>
      </c>
      <c r="HF20">
        <v>1</v>
      </c>
      <c r="HG20">
        <v>6</v>
      </c>
      <c r="HH20">
        <v>5</v>
      </c>
      <c r="HI20">
        <v>8</v>
      </c>
      <c r="HJ20">
        <v>8</v>
      </c>
      <c r="HK20">
        <v>2</v>
      </c>
      <c r="HL20">
        <v>6</v>
      </c>
      <c r="HM20">
        <v>6</v>
      </c>
      <c r="HN20">
        <v>3</v>
      </c>
      <c r="HO20">
        <v>1</v>
      </c>
      <c r="HP20">
        <v>7</v>
      </c>
      <c r="HQ20">
        <v>5</v>
      </c>
      <c r="HR20">
        <v>5</v>
      </c>
      <c r="HS20">
        <v>8</v>
      </c>
      <c r="HT20">
        <v>5</v>
      </c>
      <c r="HU20">
        <v>5</v>
      </c>
      <c r="HV20">
        <v>1</v>
      </c>
      <c r="HW20">
        <v>2</v>
      </c>
      <c r="HX20">
        <v>5</v>
      </c>
      <c r="HY20">
        <v>7</v>
      </c>
      <c r="HZ20">
        <v>3</v>
      </c>
      <c r="IA20">
        <v>1</v>
      </c>
      <c r="IB20">
        <v>2</v>
      </c>
      <c r="IC20">
        <v>3</v>
      </c>
      <c r="ID20">
        <v>9</v>
      </c>
      <c r="IE20">
        <v>8</v>
      </c>
      <c r="IF20">
        <v>4</v>
      </c>
      <c r="IG20">
        <v>8</v>
      </c>
      <c r="IH20">
        <v>9</v>
      </c>
      <c r="II20">
        <v>3</v>
      </c>
      <c r="IJ20">
        <v>6</v>
      </c>
      <c r="IK20">
        <v>8</v>
      </c>
      <c r="IL20">
        <v>7</v>
      </c>
      <c r="IM20">
        <v>9</v>
      </c>
      <c r="IN20">
        <v>7</v>
      </c>
      <c r="IO20">
        <v>1</v>
      </c>
      <c r="IP20">
        <v>9</v>
      </c>
      <c r="IQ20">
        <v>5</v>
      </c>
      <c r="IR20">
        <v>6</v>
      </c>
      <c r="IS20">
        <v>2</v>
      </c>
      <c r="IT20">
        <v>2</v>
      </c>
      <c r="IU20">
        <v>4</v>
      </c>
      <c r="IV20">
        <v>4</v>
      </c>
      <c r="IW20">
        <v>5</v>
      </c>
      <c r="IX20">
        <v>7</v>
      </c>
      <c r="IY20">
        <v>1</v>
      </c>
      <c r="IZ20">
        <v>4</v>
      </c>
      <c r="JA20">
        <v>9</v>
      </c>
      <c r="JB20">
        <v>8</v>
      </c>
      <c r="JC20">
        <v>3</v>
      </c>
      <c r="JD20">
        <v>6</v>
      </c>
      <c r="JE20">
        <v>9</v>
      </c>
      <c r="JF20">
        <v>8</v>
      </c>
      <c r="JG20">
        <v>7</v>
      </c>
      <c r="JH20">
        <v>7</v>
      </c>
      <c r="JI20">
        <v>1</v>
      </c>
      <c r="JJ20">
        <v>5</v>
      </c>
      <c r="JK20">
        <v>7</v>
      </c>
      <c r="JL20">
        <v>2</v>
      </c>
      <c r="JM20">
        <v>6</v>
      </c>
      <c r="JN20">
        <v>2</v>
      </c>
      <c r="JO20">
        <v>3</v>
      </c>
      <c r="JP20">
        <v>1</v>
      </c>
      <c r="JQ20">
        <v>3</v>
      </c>
      <c r="JR20">
        <v>7</v>
      </c>
      <c r="JS20">
        <v>5</v>
      </c>
      <c r="JT20">
        <v>4</v>
      </c>
      <c r="JU20">
        <v>8</v>
      </c>
      <c r="JV20">
        <v>8</v>
      </c>
      <c r="JW20">
        <v>1</v>
      </c>
      <c r="JX20">
        <v>9</v>
      </c>
      <c r="JY20">
        <v>9</v>
      </c>
      <c r="JZ20">
        <v>2</v>
      </c>
      <c r="KA20">
        <v>2</v>
      </c>
      <c r="KB20">
        <v>8</v>
      </c>
      <c r="KC20">
        <v>6</v>
      </c>
      <c r="KD20">
        <v>3</v>
      </c>
      <c r="KE20">
        <v>2</v>
      </c>
      <c r="KF20">
        <v>5</v>
      </c>
      <c r="KG20">
        <v>8</v>
      </c>
      <c r="KH20">
        <v>6</v>
      </c>
      <c r="KI20">
        <v>3</v>
      </c>
      <c r="KJ20">
        <v>9</v>
      </c>
      <c r="KK20">
        <v>8</v>
      </c>
      <c r="KL20">
        <v>6</v>
      </c>
      <c r="KM20">
        <v>1</v>
      </c>
      <c r="KN20">
        <v>2</v>
      </c>
      <c r="KO20">
        <v>4</v>
      </c>
      <c r="KP20">
        <v>2</v>
      </c>
      <c r="KQ20">
        <v>3</v>
      </c>
      <c r="KR20">
        <v>8</v>
      </c>
      <c r="KS20">
        <v>9</v>
      </c>
      <c r="KT20">
        <v>6</v>
      </c>
      <c r="KU20">
        <v>4</v>
      </c>
      <c r="KV20">
        <v>2</v>
      </c>
      <c r="KW20">
        <v>7</v>
      </c>
      <c r="KX20">
        <v>7</v>
      </c>
      <c r="KY20">
        <v>9</v>
      </c>
      <c r="KZ20">
        <v>5</v>
      </c>
      <c r="LA20">
        <v>4</v>
      </c>
      <c r="LB20">
        <v>6</v>
      </c>
      <c r="LC20">
        <v>2</v>
      </c>
      <c r="LD20">
        <v>2</v>
      </c>
      <c r="LE20">
        <v>9</v>
      </c>
      <c r="LF20">
        <v>7</v>
      </c>
      <c r="LG20">
        <v>7</v>
      </c>
      <c r="LH20">
        <v>5</v>
      </c>
      <c r="LI20">
        <v>7</v>
      </c>
      <c r="LJ20">
        <v>9</v>
      </c>
      <c r="LK20">
        <v>5</v>
      </c>
      <c r="LL20">
        <v>9</v>
      </c>
      <c r="LM20">
        <v>1</v>
      </c>
      <c r="LN20">
        <v>3</v>
      </c>
      <c r="LO20">
        <v>7</v>
      </c>
      <c r="LP20">
        <v>4</v>
      </c>
      <c r="LQ20">
        <v>2</v>
      </c>
      <c r="LR20">
        <v>3</v>
      </c>
      <c r="LS20">
        <v>7</v>
      </c>
      <c r="LT20">
        <v>8</v>
      </c>
      <c r="LU20">
        <v>9</v>
      </c>
      <c r="LV20">
        <v>6</v>
      </c>
      <c r="LW20">
        <v>9</v>
      </c>
      <c r="LX20">
        <v>4</v>
      </c>
      <c r="LY20">
        <v>5</v>
      </c>
      <c r="LZ20">
        <v>1</v>
      </c>
      <c r="MA20">
        <v>9</v>
      </c>
      <c r="MB20">
        <v>9</v>
      </c>
      <c r="MC20">
        <v>9</v>
      </c>
      <c r="MD20">
        <v>3</v>
      </c>
      <c r="ME20">
        <v>8</v>
      </c>
      <c r="MF20">
        <v>3</v>
      </c>
      <c r="MG20">
        <v>6</v>
      </c>
      <c r="MH20">
        <v>5</v>
      </c>
      <c r="MI20">
        <v>8</v>
      </c>
      <c r="MJ20">
        <v>3</v>
      </c>
      <c r="MK20">
        <v>1</v>
      </c>
      <c r="ML20">
        <v>9</v>
      </c>
      <c r="MM20">
        <v>9</v>
      </c>
      <c r="MN20">
        <v>3</v>
      </c>
      <c r="MO20">
        <v>2</v>
      </c>
      <c r="MP20">
        <v>4</v>
      </c>
      <c r="MQ20">
        <v>8</v>
      </c>
      <c r="MR20">
        <v>6</v>
      </c>
      <c r="MS20">
        <v>1</v>
      </c>
      <c r="MT20">
        <v>8</v>
      </c>
      <c r="MU20">
        <v>5</v>
      </c>
      <c r="MV20">
        <v>6</v>
      </c>
      <c r="MW20">
        <v>5</v>
      </c>
      <c r="MX20">
        <v>5</v>
      </c>
      <c r="MY20">
        <v>3</v>
      </c>
      <c r="MZ20">
        <v>4</v>
      </c>
      <c r="NA20">
        <v>5</v>
      </c>
      <c r="NB20">
        <v>2</v>
      </c>
      <c r="NC20">
        <v>6</v>
      </c>
      <c r="ND20">
        <v>2</v>
      </c>
      <c r="NE20">
        <v>4</v>
      </c>
      <c r="NF20">
        <v>1</v>
      </c>
      <c r="NG20">
        <v>4</v>
      </c>
      <c r="NH20">
        <v>7</v>
      </c>
      <c r="NI20">
        <v>8</v>
      </c>
      <c r="NJ20">
        <v>2</v>
      </c>
      <c r="NK20">
        <v>3</v>
      </c>
      <c r="NL20">
        <v>1</v>
      </c>
      <c r="NM20">
        <v>7</v>
      </c>
      <c r="NN20">
        <v>4</v>
      </c>
      <c r="NO20">
        <v>8</v>
      </c>
      <c r="NP20">
        <v>5</v>
      </c>
      <c r="NQ20">
        <v>9</v>
      </c>
      <c r="NR20">
        <v>6</v>
      </c>
      <c r="NS20">
        <v>2</v>
      </c>
      <c r="NT20">
        <v>1</v>
      </c>
      <c r="NU20">
        <v>1</v>
      </c>
      <c r="NV20">
        <v>9</v>
      </c>
      <c r="NW20">
        <v>1</v>
      </c>
      <c r="NX20">
        <v>3</v>
      </c>
      <c r="NY20">
        <v>2</v>
      </c>
      <c r="NZ20">
        <v>4</v>
      </c>
      <c r="OA20">
        <v>1</v>
      </c>
      <c r="OB20">
        <v>1</v>
      </c>
      <c r="OC20">
        <v>4</v>
      </c>
      <c r="OD20">
        <v>4</v>
      </c>
      <c r="OE20">
        <v>7</v>
      </c>
      <c r="OF20">
        <v>8</v>
      </c>
      <c r="OG20">
        <v>8</v>
      </c>
      <c r="OH20">
        <v>8</v>
      </c>
      <c r="OI20">
        <v>9</v>
      </c>
      <c r="OJ20">
        <v>1</v>
      </c>
      <c r="OK20">
        <v>9</v>
      </c>
      <c r="OL20">
        <v>8</v>
      </c>
      <c r="OM20">
        <v>1</v>
      </c>
      <c r="ON20">
        <v>7</v>
      </c>
      <c r="OO20">
        <v>9</v>
      </c>
      <c r="OP20">
        <v>4</v>
      </c>
      <c r="OQ20">
        <v>9</v>
      </c>
      <c r="OR20">
        <v>1</v>
      </c>
      <c r="OS20">
        <v>9</v>
      </c>
      <c r="OT20">
        <v>6</v>
      </c>
      <c r="OU20">
        <v>4</v>
      </c>
      <c r="OV20">
        <v>5</v>
      </c>
      <c r="OW20">
        <v>7</v>
      </c>
      <c r="OX20">
        <v>4</v>
      </c>
      <c r="OY20">
        <v>8</v>
      </c>
      <c r="OZ20">
        <v>3</v>
      </c>
      <c r="PA20">
        <v>2</v>
      </c>
      <c r="PB20">
        <v>1</v>
      </c>
      <c r="PC20">
        <v>6</v>
      </c>
      <c r="PD20">
        <v>2</v>
      </c>
      <c r="PE20">
        <v>8</v>
      </c>
      <c r="PF20">
        <v>4</v>
      </c>
      <c r="PG20">
        <v>9</v>
      </c>
      <c r="PH20">
        <v>4</v>
      </c>
      <c r="PI20">
        <v>4</v>
      </c>
      <c r="PJ20">
        <v>8</v>
      </c>
      <c r="PK20">
        <v>8</v>
      </c>
      <c r="PL20">
        <v>5</v>
      </c>
      <c r="PM20">
        <v>3</v>
      </c>
      <c r="PN20">
        <v>2</v>
      </c>
      <c r="PO20">
        <v>9</v>
      </c>
      <c r="PP20">
        <v>9</v>
      </c>
      <c r="PQ20">
        <v>5</v>
      </c>
      <c r="PR20">
        <v>8</v>
      </c>
      <c r="PS20">
        <v>7</v>
      </c>
      <c r="PT20">
        <v>3</v>
      </c>
      <c r="PU20">
        <v>5</v>
      </c>
      <c r="PV20">
        <v>9</v>
      </c>
      <c r="PW20">
        <v>4</v>
      </c>
      <c r="PX20">
        <v>3</v>
      </c>
      <c r="PY20">
        <v>7</v>
      </c>
      <c r="PZ20">
        <v>8</v>
      </c>
      <c r="QA20">
        <v>5</v>
      </c>
      <c r="QB20">
        <v>8</v>
      </c>
      <c r="QC20">
        <v>5</v>
      </c>
      <c r="QD20">
        <v>9</v>
      </c>
      <c r="QE20">
        <v>7</v>
      </c>
      <c r="QF20">
        <v>5</v>
      </c>
      <c r="QG20">
        <v>9</v>
      </c>
      <c r="QH20">
        <v>5</v>
      </c>
      <c r="QI20">
        <v>8</v>
      </c>
      <c r="QJ20">
        <v>4</v>
      </c>
      <c r="QK20">
        <v>9</v>
      </c>
      <c r="QL20">
        <v>6</v>
      </c>
      <c r="QM20">
        <v>6</v>
      </c>
      <c r="QN20">
        <v>3</v>
      </c>
      <c r="QO20">
        <v>3</v>
      </c>
      <c r="QP20">
        <v>4</v>
      </c>
      <c r="QQ20">
        <v>1</v>
      </c>
      <c r="QR20">
        <v>6</v>
      </c>
      <c r="QS20">
        <v>1</v>
      </c>
      <c r="QT20">
        <v>4</v>
      </c>
      <c r="QU20">
        <v>7</v>
      </c>
      <c r="QV20">
        <v>6</v>
      </c>
      <c r="QW20">
        <v>8</v>
      </c>
      <c r="QX20">
        <v>4</v>
      </c>
      <c r="QY20">
        <v>9</v>
      </c>
      <c r="QZ20">
        <v>8</v>
      </c>
      <c r="RA20">
        <v>5</v>
      </c>
      <c r="RB20">
        <v>6</v>
      </c>
      <c r="RC20">
        <v>5</v>
      </c>
      <c r="RD20">
        <v>6</v>
      </c>
      <c r="RE20">
        <v>1</v>
      </c>
      <c r="RF20">
        <v>4</v>
      </c>
      <c r="RG20">
        <v>9</v>
      </c>
      <c r="RH20">
        <v>4</v>
      </c>
      <c r="RI20">
        <v>2</v>
      </c>
      <c r="RJ20">
        <v>6</v>
      </c>
      <c r="RK20">
        <v>2</v>
      </c>
      <c r="RL20">
        <v>3</v>
      </c>
      <c r="RM20">
        <v>7</v>
      </c>
      <c r="RN20">
        <v>4</v>
      </c>
      <c r="RO20">
        <v>1</v>
      </c>
      <c r="RP20">
        <v>9</v>
      </c>
      <c r="RQ20">
        <v>6</v>
      </c>
      <c r="RR20">
        <v>9</v>
      </c>
      <c r="RS20">
        <v>3</v>
      </c>
      <c r="RT20">
        <v>5</v>
      </c>
      <c r="RU20">
        <v>9</v>
      </c>
      <c r="RV20">
        <v>6</v>
      </c>
      <c r="RW20">
        <v>2</v>
      </c>
      <c r="RX20">
        <v>1</v>
      </c>
      <c r="RY20">
        <v>9</v>
      </c>
      <c r="RZ20">
        <v>1</v>
      </c>
      <c r="SA20">
        <v>5</v>
      </c>
      <c r="SB20">
        <v>1</v>
      </c>
      <c r="SC20">
        <v>5</v>
      </c>
      <c r="SD20">
        <v>5</v>
      </c>
      <c r="SE20">
        <v>7</v>
      </c>
      <c r="SF20">
        <v>7</v>
      </c>
      <c r="SG20">
        <v>1</v>
      </c>
      <c r="SH20">
        <v>9</v>
      </c>
      <c r="SI20">
        <v>1</v>
      </c>
      <c r="SJ20">
        <v>5</v>
      </c>
      <c r="SK20">
        <v>7</v>
      </c>
      <c r="SL20">
        <v>8</v>
      </c>
      <c r="SM20">
        <v>2</v>
      </c>
      <c r="SN20">
        <v>1</v>
      </c>
      <c r="SO20">
        <v>4</v>
      </c>
      <c r="SP20">
        <v>4</v>
      </c>
      <c r="SQ20">
        <v>6</v>
      </c>
      <c r="SR20">
        <v>1</v>
      </c>
      <c r="SS20">
        <v>1</v>
      </c>
      <c r="ST20">
        <v>3</v>
      </c>
      <c r="SU20">
        <v>5</v>
      </c>
      <c r="SV20">
        <v>6</v>
      </c>
      <c r="SW20">
        <v>5</v>
      </c>
      <c r="SX20">
        <v>5</v>
      </c>
      <c r="SY20">
        <v>9</v>
      </c>
      <c r="SZ20">
        <v>2</v>
      </c>
      <c r="TA20">
        <v>1</v>
      </c>
      <c r="TB20">
        <v>6</v>
      </c>
      <c r="TC20">
        <v>9</v>
      </c>
      <c r="TD20">
        <v>7</v>
      </c>
      <c r="TE20">
        <v>8</v>
      </c>
      <c r="TF20">
        <v>5</v>
      </c>
      <c r="TG20">
        <v>4</v>
      </c>
      <c r="TH20">
        <v>6</v>
      </c>
      <c r="TI20">
        <v>3</v>
      </c>
      <c r="TJ20">
        <v>1</v>
      </c>
      <c r="TK20">
        <v>4</v>
      </c>
      <c r="TL20">
        <v>9</v>
      </c>
      <c r="TM20">
        <v>4</v>
      </c>
      <c r="TN20">
        <v>1</v>
      </c>
      <c r="TO20">
        <v>4</v>
      </c>
      <c r="TP20">
        <v>7</v>
      </c>
      <c r="TQ20">
        <v>3</v>
      </c>
      <c r="TR20">
        <v>6</v>
      </c>
      <c r="TS20">
        <v>1</v>
      </c>
      <c r="TT20">
        <v>4</v>
      </c>
      <c r="TU20">
        <v>3</v>
      </c>
      <c r="TV20">
        <v>1</v>
      </c>
      <c r="TW20">
        <v>3</v>
      </c>
      <c r="TX20">
        <v>4</v>
      </c>
      <c r="TY20">
        <v>5</v>
      </c>
      <c r="TZ20">
        <v>6</v>
      </c>
      <c r="UA20">
        <v>2</v>
      </c>
      <c r="UB20">
        <v>2</v>
      </c>
      <c r="UC20">
        <v>6</v>
      </c>
      <c r="UD20">
        <v>5</v>
      </c>
      <c r="UE20">
        <v>1</v>
      </c>
      <c r="UF20">
        <v>3</v>
      </c>
      <c r="UG20">
        <v>5</v>
      </c>
      <c r="UH20">
        <v>2</v>
      </c>
      <c r="UI20">
        <v>1</v>
      </c>
      <c r="UJ20">
        <v>9</v>
      </c>
      <c r="UK20">
        <v>5</v>
      </c>
      <c r="UL20">
        <v>2</v>
      </c>
      <c r="UM20">
        <v>4</v>
      </c>
      <c r="UN20">
        <v>3</v>
      </c>
      <c r="UO20">
        <v>7</v>
      </c>
      <c r="UP20">
        <v>1</v>
      </c>
      <c r="UQ20">
        <v>4</v>
      </c>
      <c r="UR20">
        <v>7</v>
      </c>
      <c r="US20">
        <v>5</v>
      </c>
      <c r="UT20">
        <v>4</v>
      </c>
      <c r="UU20">
        <v>4</v>
      </c>
      <c r="UV20">
        <v>2</v>
      </c>
      <c r="UW20">
        <v>8</v>
      </c>
      <c r="UX20">
        <v>4</v>
      </c>
      <c r="UY20">
        <v>2</v>
      </c>
      <c r="UZ20">
        <v>9</v>
      </c>
      <c r="VA20">
        <v>7</v>
      </c>
      <c r="VB20">
        <v>3</v>
      </c>
      <c r="VC20">
        <v>7</v>
      </c>
      <c r="VD20">
        <v>1</v>
      </c>
      <c r="VE20">
        <v>1</v>
      </c>
      <c r="VF20">
        <v>4</v>
      </c>
      <c r="VG20">
        <v>4</v>
      </c>
      <c r="VH20">
        <v>4</v>
      </c>
      <c r="VI20">
        <v>9</v>
      </c>
      <c r="VJ20">
        <v>6</v>
      </c>
      <c r="VK20">
        <v>3</v>
      </c>
      <c r="VL20">
        <v>6</v>
      </c>
      <c r="VM20">
        <v>2</v>
      </c>
      <c r="VN20">
        <v>2</v>
      </c>
      <c r="VO20">
        <v>7</v>
      </c>
      <c r="VP20">
        <v>3</v>
      </c>
      <c r="VQ20">
        <v>7</v>
      </c>
      <c r="VR20">
        <v>3</v>
      </c>
      <c r="VS20">
        <v>2</v>
      </c>
      <c r="VT20">
        <v>4</v>
      </c>
      <c r="VU20">
        <v>4</v>
      </c>
      <c r="VV20">
        <v>3</v>
      </c>
      <c r="VW20">
        <v>9</v>
      </c>
      <c r="VX20">
        <v>6</v>
      </c>
      <c r="VY20">
        <v>5</v>
      </c>
      <c r="VZ20">
        <v>6</v>
      </c>
      <c r="WA20">
        <v>8</v>
      </c>
      <c r="WB20">
        <v>5</v>
      </c>
      <c r="WC20">
        <v>4</v>
      </c>
      <c r="WD20">
        <v>7</v>
      </c>
      <c r="WE20">
        <v>5</v>
      </c>
      <c r="WF20">
        <v>4</v>
      </c>
      <c r="WG20">
        <v>5</v>
      </c>
      <c r="WH20">
        <v>4</v>
      </c>
      <c r="WI20">
        <v>8</v>
      </c>
      <c r="WJ20">
        <v>8</v>
      </c>
      <c r="WK20">
        <v>1</v>
      </c>
      <c r="WL20">
        <v>3</v>
      </c>
      <c r="WM20">
        <v>4</v>
      </c>
      <c r="WN20">
        <v>2</v>
      </c>
      <c r="WO20">
        <v>5</v>
      </c>
      <c r="WP20">
        <v>8</v>
      </c>
      <c r="WQ20">
        <v>2</v>
      </c>
      <c r="WR20">
        <v>9</v>
      </c>
      <c r="WS20">
        <v>7</v>
      </c>
      <c r="WT20">
        <v>6</v>
      </c>
      <c r="WU20">
        <v>8</v>
      </c>
      <c r="WV20">
        <v>2</v>
      </c>
      <c r="WW20">
        <v>5</v>
      </c>
      <c r="WX20">
        <v>4</v>
      </c>
      <c r="WY20">
        <v>8</v>
      </c>
      <c r="WZ20">
        <v>1</v>
      </c>
      <c r="XA20">
        <v>3</v>
      </c>
      <c r="XB20">
        <v>8</v>
      </c>
      <c r="XC20">
        <v>5</v>
      </c>
      <c r="XD20">
        <v>4</v>
      </c>
      <c r="XE20">
        <v>6</v>
      </c>
      <c r="XF20">
        <v>5</v>
      </c>
      <c r="XG20">
        <v>3</v>
      </c>
      <c r="XH20">
        <v>5</v>
      </c>
      <c r="XI20">
        <v>4</v>
      </c>
      <c r="XJ20">
        <v>1</v>
      </c>
      <c r="XK20">
        <v>1</v>
      </c>
      <c r="XL20">
        <v>7</v>
      </c>
      <c r="XM20">
        <v>4</v>
      </c>
      <c r="XN20">
        <v>1</v>
      </c>
      <c r="XO20">
        <v>6</v>
      </c>
      <c r="XP20">
        <v>1</v>
      </c>
      <c r="XQ20">
        <v>8</v>
      </c>
      <c r="XR20">
        <v>9</v>
      </c>
      <c r="XS20">
        <v>3</v>
      </c>
      <c r="XT20">
        <v>7</v>
      </c>
      <c r="XU20">
        <v>5</v>
      </c>
      <c r="XV20">
        <v>3</v>
      </c>
      <c r="XW20">
        <v>5</v>
      </c>
      <c r="XX20">
        <v>7</v>
      </c>
      <c r="XY20">
        <v>7</v>
      </c>
      <c r="XZ20">
        <v>9</v>
      </c>
      <c r="YA20">
        <v>8</v>
      </c>
      <c r="YB20">
        <v>4</v>
      </c>
      <c r="YC20">
        <v>5</v>
      </c>
      <c r="YD20">
        <v>5</v>
      </c>
      <c r="YE20">
        <v>2</v>
      </c>
      <c r="YF20">
        <v>7</v>
      </c>
      <c r="YG20">
        <v>7</v>
      </c>
      <c r="YH20">
        <v>9</v>
      </c>
      <c r="YI20">
        <v>9</v>
      </c>
      <c r="YJ20">
        <v>4</v>
      </c>
      <c r="YK20">
        <v>5</v>
      </c>
      <c r="YL20">
        <v>7</v>
      </c>
      <c r="YM20">
        <v>7</v>
      </c>
      <c r="YN20">
        <v>8</v>
      </c>
      <c r="YO20">
        <v>8</v>
      </c>
      <c r="YP20">
        <v>2</v>
      </c>
      <c r="YQ20">
        <v>9</v>
      </c>
      <c r="YR20">
        <v>4</v>
      </c>
      <c r="YS20">
        <v>1</v>
      </c>
      <c r="YT20">
        <v>1</v>
      </c>
      <c r="YU20">
        <v>5</v>
      </c>
      <c r="YV20">
        <v>7</v>
      </c>
      <c r="YW20">
        <v>5</v>
      </c>
      <c r="YX20">
        <v>3</v>
      </c>
      <c r="YY20">
        <v>7</v>
      </c>
      <c r="YZ20">
        <v>1</v>
      </c>
      <c r="ZA20">
        <v>1</v>
      </c>
      <c r="ZB20">
        <v>2</v>
      </c>
      <c r="ZC20">
        <v>1</v>
      </c>
      <c r="ZD20">
        <v>9</v>
      </c>
      <c r="ZE20">
        <v>4</v>
      </c>
      <c r="ZF20">
        <v>7</v>
      </c>
      <c r="ZG20">
        <v>5</v>
      </c>
      <c r="ZH20">
        <v>7</v>
      </c>
      <c r="ZI20">
        <v>7</v>
      </c>
      <c r="ZJ20">
        <v>1</v>
      </c>
      <c r="ZK20">
        <v>1</v>
      </c>
      <c r="ZL20">
        <v>3</v>
      </c>
      <c r="ZM20">
        <v>2</v>
      </c>
      <c r="ZN20">
        <v>7</v>
      </c>
      <c r="ZO20">
        <v>3</v>
      </c>
      <c r="ZP20">
        <v>7</v>
      </c>
      <c r="ZQ20">
        <v>9</v>
      </c>
      <c r="ZR20">
        <v>1</v>
      </c>
      <c r="ZS20">
        <v>3</v>
      </c>
      <c r="ZT20">
        <v>6</v>
      </c>
      <c r="ZU20">
        <v>9</v>
      </c>
      <c r="ZV20">
        <v>5</v>
      </c>
      <c r="ZW20">
        <v>3</v>
      </c>
      <c r="ZX20">
        <v>8</v>
      </c>
      <c r="ZY20">
        <v>5</v>
      </c>
      <c r="ZZ20">
        <v>6</v>
      </c>
      <c r="AAA20">
        <v>2</v>
      </c>
      <c r="AAB20">
        <v>4</v>
      </c>
      <c r="AAC20">
        <v>1</v>
      </c>
      <c r="AAD20">
        <v>4</v>
      </c>
      <c r="AAE20">
        <v>1</v>
      </c>
      <c r="AAF20">
        <v>4</v>
      </c>
      <c r="AAG20">
        <v>2</v>
      </c>
      <c r="AAH20">
        <v>6</v>
      </c>
      <c r="AAI20">
        <v>6</v>
      </c>
      <c r="AAJ20">
        <v>8</v>
      </c>
      <c r="AAK20">
        <v>9</v>
      </c>
      <c r="AAL20">
        <v>8</v>
      </c>
      <c r="AAM20">
        <v>1</v>
      </c>
      <c r="AAN20">
        <v>3</v>
      </c>
      <c r="AAO20">
        <v>6</v>
      </c>
      <c r="AAP20">
        <v>1</v>
      </c>
      <c r="AAQ20">
        <v>8</v>
      </c>
      <c r="AAR20">
        <v>6</v>
      </c>
      <c r="AAS20">
        <v>1</v>
      </c>
      <c r="AAT20">
        <v>2</v>
      </c>
      <c r="AAU20">
        <v>6</v>
      </c>
      <c r="AAV20">
        <v>8</v>
      </c>
      <c r="AAW20">
        <v>5</v>
      </c>
      <c r="AAX20">
        <v>1</v>
      </c>
      <c r="AAY20">
        <v>2</v>
      </c>
      <c r="AAZ20">
        <v>4</v>
      </c>
      <c r="ABA20">
        <v>4</v>
      </c>
      <c r="ABB20">
        <v>7</v>
      </c>
      <c r="ABC20">
        <v>2</v>
      </c>
      <c r="ABD20">
        <v>7</v>
      </c>
      <c r="ABE20">
        <v>7</v>
      </c>
      <c r="ABF20">
        <v>7</v>
      </c>
      <c r="ABG20">
        <v>3</v>
      </c>
      <c r="ABH20">
        <v>6</v>
      </c>
      <c r="ABI20">
        <v>6</v>
      </c>
      <c r="ABJ20">
        <v>4</v>
      </c>
      <c r="ABK20">
        <v>1</v>
      </c>
      <c r="ABL20">
        <v>9</v>
      </c>
      <c r="ABM20">
        <v>2</v>
      </c>
      <c r="ABN20">
        <v>9</v>
      </c>
      <c r="ABO20">
        <v>8</v>
      </c>
      <c r="ABP20">
        <v>1</v>
      </c>
      <c r="ABQ20">
        <v>7</v>
      </c>
      <c r="ABR20">
        <v>3</v>
      </c>
      <c r="ABS20">
        <v>9</v>
      </c>
      <c r="ABT20">
        <v>5</v>
      </c>
      <c r="ABU20">
        <v>3</v>
      </c>
      <c r="ABV20">
        <v>8</v>
      </c>
      <c r="ABW20">
        <v>3</v>
      </c>
      <c r="ABX20">
        <v>7</v>
      </c>
      <c r="ABY20">
        <v>7</v>
      </c>
      <c r="ABZ20">
        <v>7</v>
      </c>
      <c r="ACA20">
        <v>1</v>
      </c>
      <c r="ACB20">
        <v>5</v>
      </c>
      <c r="ACC20">
        <v>1</v>
      </c>
      <c r="ACD20">
        <v>7</v>
      </c>
      <c r="ACE20">
        <v>8</v>
      </c>
      <c r="ACF20">
        <v>7</v>
      </c>
      <c r="ACG20">
        <v>1</v>
      </c>
      <c r="ACH20">
        <v>3</v>
      </c>
      <c r="ACI20">
        <v>3</v>
      </c>
      <c r="ACJ20">
        <v>7</v>
      </c>
      <c r="ACK20">
        <v>4</v>
      </c>
      <c r="ACL20">
        <v>3</v>
      </c>
      <c r="ACM20">
        <v>6</v>
      </c>
      <c r="ACN20">
        <v>6</v>
      </c>
      <c r="ACO20">
        <v>5</v>
      </c>
      <c r="ACP20">
        <v>6</v>
      </c>
      <c r="ACQ20">
        <v>3</v>
      </c>
      <c r="ACR20">
        <v>5</v>
      </c>
      <c r="ACS20">
        <v>9</v>
      </c>
      <c r="ACT20">
        <v>4</v>
      </c>
      <c r="ACU20">
        <v>2</v>
      </c>
      <c r="ACV20">
        <v>5</v>
      </c>
      <c r="ACW20">
        <v>3</v>
      </c>
      <c r="ACX20">
        <v>3</v>
      </c>
      <c r="ACY20">
        <v>4</v>
      </c>
      <c r="ACZ20">
        <v>4</v>
      </c>
      <c r="ADA20">
        <v>5</v>
      </c>
      <c r="ADB20">
        <v>7</v>
      </c>
      <c r="ADC20">
        <v>4</v>
      </c>
      <c r="ADD20">
        <v>7</v>
      </c>
      <c r="ADE20">
        <v>9</v>
      </c>
      <c r="ADF20">
        <v>3</v>
      </c>
      <c r="ADG20">
        <v>5</v>
      </c>
      <c r="ADH20">
        <v>4</v>
      </c>
      <c r="ADI20">
        <v>9</v>
      </c>
      <c r="ADJ20">
        <v>5</v>
      </c>
      <c r="ADK20">
        <v>2</v>
      </c>
      <c r="ADL20">
        <v>1</v>
      </c>
      <c r="ADM20">
        <v>7</v>
      </c>
      <c r="ADN20">
        <v>1</v>
      </c>
      <c r="ADO20">
        <v>8</v>
      </c>
      <c r="ADP20">
        <v>9</v>
      </c>
      <c r="ADQ20">
        <v>7</v>
      </c>
      <c r="ADR20">
        <v>9</v>
      </c>
      <c r="ADS20">
        <v>6</v>
      </c>
      <c r="ADT20">
        <v>7</v>
      </c>
      <c r="ADU20">
        <v>3</v>
      </c>
      <c r="ADV20">
        <v>9</v>
      </c>
      <c r="ADW20">
        <v>3</v>
      </c>
      <c r="ADX20">
        <v>6</v>
      </c>
      <c r="ADY20">
        <v>4</v>
      </c>
      <c r="ADZ20">
        <v>9</v>
      </c>
      <c r="AEA20">
        <v>1</v>
      </c>
      <c r="AEB20">
        <v>9</v>
      </c>
      <c r="AEC20">
        <v>4</v>
      </c>
      <c r="AED20">
        <v>5</v>
      </c>
      <c r="AEE20">
        <v>1</v>
      </c>
      <c r="AEF20">
        <v>1</v>
      </c>
      <c r="AEG20">
        <v>6</v>
      </c>
      <c r="AEH20">
        <v>1</v>
      </c>
      <c r="AEI20">
        <v>2</v>
      </c>
      <c r="AEJ20">
        <v>3</v>
      </c>
      <c r="AEK20">
        <v>7</v>
      </c>
      <c r="AEL20">
        <v>2</v>
      </c>
      <c r="AEM20">
        <v>5</v>
      </c>
      <c r="AEN20">
        <v>9</v>
      </c>
      <c r="AEO20">
        <v>8</v>
      </c>
      <c r="AEP20">
        <v>8</v>
      </c>
      <c r="AEQ20">
        <v>2</v>
      </c>
      <c r="AER20">
        <v>1</v>
      </c>
      <c r="AES20">
        <v>9</v>
      </c>
      <c r="AET20">
        <v>4</v>
      </c>
      <c r="AEU20">
        <v>9</v>
      </c>
      <c r="AEV20">
        <v>7</v>
      </c>
      <c r="AEW20">
        <v>6</v>
      </c>
      <c r="AEX20">
        <v>9</v>
      </c>
      <c r="AEY20">
        <v>4</v>
      </c>
      <c r="AEZ20">
        <v>1</v>
      </c>
      <c r="AFA20">
        <v>5</v>
      </c>
      <c r="AFB20">
        <v>6</v>
      </c>
      <c r="AFC20">
        <v>6</v>
      </c>
      <c r="AFD20">
        <v>1</v>
      </c>
      <c r="AFE20">
        <v>7</v>
      </c>
      <c r="AFF20">
        <v>8</v>
      </c>
      <c r="AFG20">
        <v>5</v>
      </c>
      <c r="AFH20">
        <v>2</v>
      </c>
      <c r="AFI20">
        <v>2</v>
      </c>
      <c r="AFJ20">
        <v>5</v>
      </c>
      <c r="AFK20">
        <v>7</v>
      </c>
      <c r="AFL20">
        <v>7</v>
      </c>
      <c r="AFM20">
        <v>4</v>
      </c>
      <c r="AFN20">
        <v>3</v>
      </c>
      <c r="AFO20">
        <v>9</v>
      </c>
      <c r="AFP20">
        <v>7</v>
      </c>
      <c r="AFQ20">
        <v>2</v>
      </c>
      <c r="AFR20">
        <v>1</v>
      </c>
      <c r="AFS20">
        <v>2</v>
      </c>
      <c r="AFT20">
        <v>3</v>
      </c>
      <c r="AFU20">
        <v>5</v>
      </c>
      <c r="AFV20">
        <v>3</v>
      </c>
      <c r="AFW20">
        <v>9</v>
      </c>
      <c r="AFX20">
        <v>4</v>
      </c>
      <c r="AFY20">
        <v>7</v>
      </c>
      <c r="AFZ20">
        <v>4</v>
      </c>
      <c r="AGA20">
        <v>3</v>
      </c>
      <c r="AGB20">
        <v>1</v>
      </c>
      <c r="AGC20">
        <v>9</v>
      </c>
      <c r="AGD20">
        <v>1</v>
      </c>
      <c r="AGE20">
        <v>1</v>
      </c>
      <c r="AGF20">
        <v>1</v>
      </c>
      <c r="AGG20">
        <v>5</v>
      </c>
      <c r="AGH20">
        <v>7</v>
      </c>
      <c r="AGI20">
        <v>7</v>
      </c>
      <c r="AGJ20">
        <v>1</v>
      </c>
      <c r="AGK20">
        <v>6</v>
      </c>
      <c r="AGL20">
        <v>9</v>
      </c>
      <c r="AGM20">
        <v>6</v>
      </c>
      <c r="AGN20">
        <v>4</v>
      </c>
      <c r="AGO20">
        <v>9</v>
      </c>
      <c r="AGP20">
        <v>3</v>
      </c>
      <c r="AGQ20">
        <v>4</v>
      </c>
      <c r="AGR20">
        <v>4</v>
      </c>
      <c r="AGS20">
        <v>4</v>
      </c>
      <c r="AGT20">
        <f>MIN(B20:AGS20)</f>
        <v>1</v>
      </c>
      <c r="AGW20" t="s">
        <v>88</v>
      </c>
      <c r="AGX20" t="s">
        <v>89</v>
      </c>
      <c r="AGY20" t="s">
        <v>90</v>
      </c>
      <c r="AGZ20" t="s">
        <v>91</v>
      </c>
      <c r="AHA20" t="s">
        <v>92</v>
      </c>
    </row>
    <row r="21" spans="1:885" x14ac:dyDescent="0.25">
      <c r="A21" s="1" t="s">
        <v>9</v>
      </c>
      <c r="B21" t="s">
        <v>25</v>
      </c>
      <c r="C21" t="s">
        <v>25</v>
      </c>
      <c r="D21" t="s">
        <v>25</v>
      </c>
      <c r="E21" t="s">
        <v>45</v>
      </c>
      <c r="F21" t="s">
        <v>45</v>
      </c>
      <c r="G21" t="s">
        <v>25</v>
      </c>
      <c r="H21" t="s">
        <v>45</v>
      </c>
      <c r="I21" t="s">
        <v>45</v>
      </c>
      <c r="J21" t="s">
        <v>45</v>
      </c>
      <c r="K21" t="s">
        <v>45</v>
      </c>
      <c r="L21" t="s">
        <v>25</v>
      </c>
      <c r="M21" t="s">
        <v>25</v>
      </c>
      <c r="N21" t="s">
        <v>45</v>
      </c>
      <c r="O21" t="s">
        <v>25</v>
      </c>
      <c r="P21" t="s">
        <v>25</v>
      </c>
      <c r="Q21" t="s">
        <v>25</v>
      </c>
      <c r="R21" t="s">
        <v>25</v>
      </c>
      <c r="S21" t="s">
        <v>45</v>
      </c>
      <c r="T21" t="s">
        <v>45</v>
      </c>
      <c r="U21" t="s">
        <v>45</v>
      </c>
      <c r="V21" t="s">
        <v>25</v>
      </c>
      <c r="W21" t="s">
        <v>45</v>
      </c>
      <c r="X21" t="s">
        <v>45</v>
      </c>
      <c r="Y21" t="s">
        <v>45</v>
      </c>
      <c r="Z21" t="s">
        <v>45</v>
      </c>
      <c r="AA21" t="s">
        <v>25</v>
      </c>
      <c r="AB21" t="s">
        <v>45</v>
      </c>
      <c r="AC21" t="s">
        <v>25</v>
      </c>
      <c r="AD21" t="s">
        <v>25</v>
      </c>
      <c r="AE21" t="s">
        <v>45</v>
      </c>
      <c r="AF21" t="s">
        <v>25</v>
      </c>
      <c r="AG21" t="s">
        <v>25</v>
      </c>
      <c r="AH21" t="s">
        <v>45</v>
      </c>
      <c r="AI21" t="s">
        <v>45</v>
      </c>
      <c r="AJ21" t="s">
        <v>45</v>
      </c>
      <c r="AK21" t="s">
        <v>45</v>
      </c>
      <c r="AL21" t="s">
        <v>45</v>
      </c>
      <c r="AM21" t="s">
        <v>25</v>
      </c>
      <c r="AN21" t="s">
        <v>45</v>
      </c>
      <c r="AO21" t="s">
        <v>25</v>
      </c>
      <c r="AP21" t="s">
        <v>25</v>
      </c>
      <c r="AQ21" t="s">
        <v>45</v>
      </c>
      <c r="AR21" t="s">
        <v>25</v>
      </c>
      <c r="AS21" t="s">
        <v>25</v>
      </c>
      <c r="AT21" t="s">
        <v>45</v>
      </c>
      <c r="AU21" t="s">
        <v>45</v>
      </c>
      <c r="AV21" t="s">
        <v>25</v>
      </c>
      <c r="AW21" t="s">
        <v>25</v>
      </c>
      <c r="AX21" t="s">
        <v>25</v>
      </c>
      <c r="AY21" t="s">
        <v>25</v>
      </c>
      <c r="AZ21" t="s">
        <v>25</v>
      </c>
      <c r="BA21" t="s">
        <v>45</v>
      </c>
      <c r="BB21" t="s">
        <v>45</v>
      </c>
      <c r="BC21" t="s">
        <v>45</v>
      </c>
      <c r="BD21" t="s">
        <v>45</v>
      </c>
      <c r="BE21" t="s">
        <v>25</v>
      </c>
      <c r="BF21" t="s">
        <v>45</v>
      </c>
      <c r="BG21" t="s">
        <v>45</v>
      </c>
      <c r="BH21" t="s">
        <v>25</v>
      </c>
      <c r="BI21" t="s">
        <v>25</v>
      </c>
      <c r="BJ21" t="s">
        <v>25</v>
      </c>
      <c r="BK21" t="s">
        <v>45</v>
      </c>
      <c r="BL21" t="s">
        <v>45</v>
      </c>
      <c r="BM21" t="s">
        <v>25</v>
      </c>
      <c r="BN21" t="s">
        <v>25</v>
      </c>
      <c r="BO21" t="s">
        <v>45</v>
      </c>
      <c r="BP21" t="s">
        <v>25</v>
      </c>
      <c r="BQ21" t="s">
        <v>25</v>
      </c>
      <c r="BR21" t="s">
        <v>25</v>
      </c>
      <c r="BS21" t="s">
        <v>45</v>
      </c>
      <c r="BT21" t="s">
        <v>45</v>
      </c>
      <c r="BU21" t="s">
        <v>45</v>
      </c>
      <c r="BV21" t="s">
        <v>25</v>
      </c>
      <c r="BW21" t="s">
        <v>25</v>
      </c>
      <c r="BX21" t="s">
        <v>45</v>
      </c>
      <c r="BY21" t="s">
        <v>25</v>
      </c>
      <c r="BZ21" t="s">
        <v>25</v>
      </c>
      <c r="CA21" t="s">
        <v>45</v>
      </c>
      <c r="CB21" t="s">
        <v>25</v>
      </c>
      <c r="CC21" t="s">
        <v>25</v>
      </c>
      <c r="CD21" t="s">
        <v>25</v>
      </c>
      <c r="CE21" t="s">
        <v>25</v>
      </c>
      <c r="CF21" t="s">
        <v>45</v>
      </c>
      <c r="CG21" t="s">
        <v>25</v>
      </c>
      <c r="CH21" t="s">
        <v>45</v>
      </c>
      <c r="CI21" t="s">
        <v>45</v>
      </c>
      <c r="CJ21" t="s">
        <v>45</v>
      </c>
      <c r="CK21" t="s">
        <v>45</v>
      </c>
      <c r="CL21" t="s">
        <v>25</v>
      </c>
      <c r="CM21" t="s">
        <v>25</v>
      </c>
      <c r="CN21" t="s">
        <v>45</v>
      </c>
      <c r="CO21" t="s">
        <v>45</v>
      </c>
      <c r="CP21" t="s">
        <v>45</v>
      </c>
      <c r="CQ21" t="s">
        <v>45</v>
      </c>
      <c r="CR21" t="s">
        <v>25</v>
      </c>
      <c r="CS21" t="s">
        <v>45</v>
      </c>
      <c r="CT21" t="s">
        <v>45</v>
      </c>
      <c r="CU21" t="s">
        <v>25</v>
      </c>
      <c r="CV21" t="s">
        <v>45</v>
      </c>
      <c r="CW21" t="s">
        <v>25</v>
      </c>
      <c r="CX21" t="s">
        <v>25</v>
      </c>
      <c r="CY21" t="s">
        <v>25</v>
      </c>
      <c r="CZ21" t="s">
        <v>45</v>
      </c>
      <c r="DA21" t="s">
        <v>25</v>
      </c>
      <c r="DB21" t="s">
        <v>25</v>
      </c>
      <c r="DC21" t="s">
        <v>45</v>
      </c>
      <c r="DD21" t="s">
        <v>45</v>
      </c>
      <c r="DE21" t="s">
        <v>45</v>
      </c>
      <c r="DF21" t="s">
        <v>45</v>
      </c>
      <c r="DG21" t="s">
        <v>25</v>
      </c>
      <c r="DH21" t="s">
        <v>45</v>
      </c>
      <c r="DI21" t="s">
        <v>25</v>
      </c>
      <c r="DJ21" t="s">
        <v>25</v>
      </c>
      <c r="DK21" t="s">
        <v>45</v>
      </c>
      <c r="DL21" t="s">
        <v>45</v>
      </c>
      <c r="DM21" t="s">
        <v>45</v>
      </c>
      <c r="DN21" t="s">
        <v>45</v>
      </c>
      <c r="DO21" t="s">
        <v>25</v>
      </c>
      <c r="DP21" t="s">
        <v>45</v>
      </c>
      <c r="DQ21" t="s">
        <v>25</v>
      </c>
      <c r="DR21" t="s">
        <v>25</v>
      </c>
      <c r="DS21" t="s">
        <v>45</v>
      </c>
      <c r="DT21" t="s">
        <v>45</v>
      </c>
      <c r="DU21" t="s">
        <v>45</v>
      </c>
      <c r="DV21" t="s">
        <v>25</v>
      </c>
      <c r="DW21" t="s">
        <v>25</v>
      </c>
      <c r="DX21" t="s">
        <v>25</v>
      </c>
      <c r="DY21" t="s">
        <v>45</v>
      </c>
      <c r="DZ21" t="s">
        <v>45</v>
      </c>
      <c r="EA21" t="s">
        <v>45</v>
      </c>
      <c r="EB21" t="s">
        <v>45</v>
      </c>
      <c r="EC21" t="s">
        <v>45</v>
      </c>
      <c r="ED21" t="s">
        <v>45</v>
      </c>
      <c r="EE21" t="s">
        <v>45</v>
      </c>
      <c r="EF21" t="s">
        <v>25</v>
      </c>
      <c r="EG21" t="s">
        <v>25</v>
      </c>
      <c r="EH21" t="s">
        <v>25</v>
      </c>
      <c r="EI21" t="s">
        <v>25</v>
      </c>
      <c r="EJ21" t="s">
        <v>45</v>
      </c>
      <c r="EK21" t="s">
        <v>45</v>
      </c>
      <c r="EL21" t="s">
        <v>45</v>
      </c>
      <c r="EM21" t="s">
        <v>25</v>
      </c>
      <c r="EN21" t="s">
        <v>45</v>
      </c>
      <c r="EO21" t="s">
        <v>25</v>
      </c>
      <c r="EP21" t="s">
        <v>25</v>
      </c>
      <c r="EQ21" t="s">
        <v>25</v>
      </c>
      <c r="ER21" t="s">
        <v>45</v>
      </c>
      <c r="ES21" t="s">
        <v>45</v>
      </c>
      <c r="ET21" t="s">
        <v>25</v>
      </c>
      <c r="EU21" t="s">
        <v>25</v>
      </c>
      <c r="EV21" t="s">
        <v>45</v>
      </c>
      <c r="EW21" t="s">
        <v>25</v>
      </c>
      <c r="EX21" t="s">
        <v>45</v>
      </c>
      <c r="EY21" t="s">
        <v>25</v>
      </c>
      <c r="EZ21" t="s">
        <v>45</v>
      </c>
      <c r="FA21" t="s">
        <v>25</v>
      </c>
      <c r="FB21" t="s">
        <v>45</v>
      </c>
      <c r="FC21" t="s">
        <v>25</v>
      </c>
      <c r="FD21" t="s">
        <v>45</v>
      </c>
      <c r="FE21" t="s">
        <v>25</v>
      </c>
      <c r="FF21" t="s">
        <v>45</v>
      </c>
      <c r="FG21" t="s">
        <v>25</v>
      </c>
      <c r="FH21" t="s">
        <v>25</v>
      </c>
      <c r="FI21" t="s">
        <v>25</v>
      </c>
      <c r="FJ21" t="s">
        <v>25</v>
      </c>
      <c r="FK21" t="s">
        <v>25</v>
      </c>
      <c r="FL21" t="s">
        <v>25</v>
      </c>
      <c r="FM21" t="s">
        <v>45</v>
      </c>
      <c r="FN21" t="s">
        <v>45</v>
      </c>
      <c r="FO21" t="s">
        <v>25</v>
      </c>
      <c r="FP21" t="s">
        <v>45</v>
      </c>
      <c r="FQ21" t="s">
        <v>25</v>
      </c>
      <c r="FR21" t="s">
        <v>25</v>
      </c>
      <c r="FS21" t="s">
        <v>45</v>
      </c>
      <c r="FT21" t="s">
        <v>25</v>
      </c>
      <c r="FU21" t="s">
        <v>25</v>
      </c>
      <c r="FV21" t="s">
        <v>45</v>
      </c>
      <c r="FW21" t="s">
        <v>25</v>
      </c>
      <c r="FX21" t="s">
        <v>25</v>
      </c>
      <c r="FY21" t="s">
        <v>45</v>
      </c>
      <c r="FZ21" t="s">
        <v>45</v>
      </c>
      <c r="GA21" t="s">
        <v>25</v>
      </c>
      <c r="GB21" t="s">
        <v>25</v>
      </c>
      <c r="GC21" t="s">
        <v>25</v>
      </c>
      <c r="GD21" t="s">
        <v>25</v>
      </c>
      <c r="GE21" t="s">
        <v>25</v>
      </c>
      <c r="GF21" t="s">
        <v>25</v>
      </c>
      <c r="GG21" t="s">
        <v>25</v>
      </c>
      <c r="GH21" t="s">
        <v>45</v>
      </c>
      <c r="GI21" t="s">
        <v>25</v>
      </c>
      <c r="GJ21" t="s">
        <v>25</v>
      </c>
      <c r="GK21" t="s">
        <v>45</v>
      </c>
      <c r="GL21" t="s">
        <v>25</v>
      </c>
      <c r="GM21" t="s">
        <v>25</v>
      </c>
      <c r="GN21" t="s">
        <v>45</v>
      </c>
      <c r="GO21" t="s">
        <v>25</v>
      </c>
      <c r="GP21" t="s">
        <v>45</v>
      </c>
      <c r="GQ21" t="s">
        <v>45</v>
      </c>
      <c r="GR21" t="s">
        <v>45</v>
      </c>
      <c r="GS21" t="s">
        <v>45</v>
      </c>
      <c r="GT21" t="s">
        <v>45</v>
      </c>
      <c r="GU21" t="s">
        <v>45</v>
      </c>
      <c r="GV21" t="s">
        <v>45</v>
      </c>
      <c r="GW21" t="s">
        <v>25</v>
      </c>
      <c r="GX21" t="s">
        <v>45</v>
      </c>
      <c r="GY21" t="s">
        <v>45</v>
      </c>
      <c r="GZ21" t="s">
        <v>25</v>
      </c>
      <c r="HA21" t="s">
        <v>25</v>
      </c>
      <c r="HB21" t="s">
        <v>45</v>
      </c>
      <c r="HC21" t="s">
        <v>45</v>
      </c>
      <c r="HD21" t="s">
        <v>45</v>
      </c>
      <c r="HE21" t="s">
        <v>45</v>
      </c>
      <c r="HF21" t="s">
        <v>25</v>
      </c>
      <c r="HG21" t="s">
        <v>25</v>
      </c>
      <c r="HH21" t="s">
        <v>45</v>
      </c>
      <c r="HI21" t="s">
        <v>25</v>
      </c>
      <c r="HJ21" t="s">
        <v>25</v>
      </c>
      <c r="HK21" t="s">
        <v>25</v>
      </c>
      <c r="HL21" t="s">
        <v>25</v>
      </c>
      <c r="HM21" t="s">
        <v>45</v>
      </c>
      <c r="HN21" t="s">
        <v>25</v>
      </c>
      <c r="HO21" t="s">
        <v>25</v>
      </c>
      <c r="HP21" t="s">
        <v>45</v>
      </c>
      <c r="HQ21" t="s">
        <v>25</v>
      </c>
      <c r="HR21" t="s">
        <v>45</v>
      </c>
      <c r="HS21" t="s">
        <v>45</v>
      </c>
      <c r="HT21" t="s">
        <v>25</v>
      </c>
      <c r="HU21" t="s">
        <v>25</v>
      </c>
      <c r="HV21" t="s">
        <v>45</v>
      </c>
      <c r="HW21" t="s">
        <v>25</v>
      </c>
      <c r="HX21" t="s">
        <v>45</v>
      </c>
      <c r="HY21" t="s">
        <v>45</v>
      </c>
      <c r="HZ21" t="s">
        <v>25</v>
      </c>
      <c r="IA21" t="s">
        <v>45</v>
      </c>
      <c r="IB21" t="s">
        <v>45</v>
      </c>
      <c r="IC21" t="s">
        <v>25</v>
      </c>
      <c r="ID21" t="s">
        <v>25</v>
      </c>
      <c r="IE21" t="s">
        <v>45</v>
      </c>
      <c r="IF21" t="s">
        <v>25</v>
      </c>
      <c r="IG21" t="s">
        <v>45</v>
      </c>
      <c r="IH21" t="s">
        <v>25</v>
      </c>
      <c r="II21" t="s">
        <v>45</v>
      </c>
      <c r="IJ21" t="s">
        <v>25</v>
      </c>
      <c r="IK21" t="s">
        <v>25</v>
      </c>
      <c r="IL21" t="s">
        <v>25</v>
      </c>
      <c r="IM21" t="s">
        <v>25</v>
      </c>
      <c r="IN21" t="s">
        <v>25</v>
      </c>
      <c r="IO21" t="s">
        <v>45</v>
      </c>
      <c r="IP21" t="s">
        <v>45</v>
      </c>
      <c r="IQ21" t="s">
        <v>25</v>
      </c>
      <c r="IR21" t="s">
        <v>45</v>
      </c>
      <c r="IS21" t="s">
        <v>25</v>
      </c>
      <c r="IT21" t="s">
        <v>45</v>
      </c>
      <c r="IU21" t="s">
        <v>45</v>
      </c>
      <c r="IV21" t="s">
        <v>45</v>
      </c>
      <c r="IW21" t="s">
        <v>25</v>
      </c>
      <c r="IX21" t="s">
        <v>25</v>
      </c>
      <c r="IY21" t="s">
        <v>45</v>
      </c>
      <c r="IZ21" t="s">
        <v>45</v>
      </c>
      <c r="JA21" t="s">
        <v>45</v>
      </c>
      <c r="JB21" t="s">
        <v>45</v>
      </c>
      <c r="JC21" t="s">
        <v>25</v>
      </c>
      <c r="JD21" t="s">
        <v>25</v>
      </c>
      <c r="JE21" t="s">
        <v>45</v>
      </c>
      <c r="JF21" t="s">
        <v>25</v>
      </c>
      <c r="JG21" t="s">
        <v>45</v>
      </c>
      <c r="JH21" t="s">
        <v>25</v>
      </c>
      <c r="JI21" t="s">
        <v>45</v>
      </c>
      <c r="JJ21" t="s">
        <v>25</v>
      </c>
      <c r="JK21" t="s">
        <v>45</v>
      </c>
      <c r="JL21" t="s">
        <v>25</v>
      </c>
      <c r="JM21" t="s">
        <v>45</v>
      </c>
      <c r="JN21" t="s">
        <v>25</v>
      </c>
      <c r="JO21" t="s">
        <v>45</v>
      </c>
      <c r="JP21" t="s">
        <v>45</v>
      </c>
      <c r="JQ21" t="s">
        <v>25</v>
      </c>
      <c r="JR21" t="s">
        <v>25</v>
      </c>
      <c r="JS21" t="s">
        <v>25</v>
      </c>
      <c r="JT21" t="s">
        <v>45</v>
      </c>
      <c r="JU21" t="s">
        <v>45</v>
      </c>
      <c r="JV21" t="s">
        <v>45</v>
      </c>
      <c r="JW21" t="s">
        <v>25</v>
      </c>
      <c r="JX21" t="s">
        <v>45</v>
      </c>
      <c r="JY21" t="s">
        <v>25</v>
      </c>
      <c r="JZ21" t="s">
        <v>45</v>
      </c>
      <c r="KA21" t="s">
        <v>45</v>
      </c>
      <c r="KB21" t="s">
        <v>45</v>
      </c>
      <c r="KC21" t="s">
        <v>25</v>
      </c>
      <c r="KD21" t="s">
        <v>45</v>
      </c>
      <c r="KE21" t="s">
        <v>45</v>
      </c>
      <c r="KF21" t="s">
        <v>25</v>
      </c>
      <c r="KG21" t="s">
        <v>45</v>
      </c>
      <c r="KH21" t="s">
        <v>25</v>
      </c>
      <c r="KI21" t="s">
        <v>45</v>
      </c>
      <c r="KJ21" t="s">
        <v>45</v>
      </c>
      <c r="KK21" t="s">
        <v>25</v>
      </c>
      <c r="KL21" t="s">
        <v>45</v>
      </c>
      <c r="KM21" t="s">
        <v>25</v>
      </c>
      <c r="KN21" t="s">
        <v>25</v>
      </c>
      <c r="KO21" t="s">
        <v>45</v>
      </c>
      <c r="KP21" t="s">
        <v>45</v>
      </c>
      <c r="KQ21" t="s">
        <v>45</v>
      </c>
      <c r="KR21" t="s">
        <v>45</v>
      </c>
      <c r="KS21" t="s">
        <v>45</v>
      </c>
      <c r="KT21" t="s">
        <v>25</v>
      </c>
      <c r="KU21" t="s">
        <v>25</v>
      </c>
      <c r="KV21" t="s">
        <v>25</v>
      </c>
      <c r="KW21" t="s">
        <v>25</v>
      </c>
      <c r="KX21" t="s">
        <v>25</v>
      </c>
      <c r="KY21" t="s">
        <v>45</v>
      </c>
      <c r="KZ21" t="s">
        <v>25</v>
      </c>
      <c r="LA21" t="s">
        <v>25</v>
      </c>
      <c r="LB21" t="s">
        <v>45</v>
      </c>
      <c r="LC21" t="s">
        <v>45</v>
      </c>
      <c r="LD21" t="s">
        <v>45</v>
      </c>
      <c r="LE21" t="s">
        <v>45</v>
      </c>
      <c r="LF21" t="s">
        <v>25</v>
      </c>
      <c r="LG21" t="s">
        <v>45</v>
      </c>
      <c r="LH21" t="s">
        <v>25</v>
      </c>
      <c r="LI21" t="s">
        <v>45</v>
      </c>
      <c r="LJ21" t="s">
        <v>45</v>
      </c>
      <c r="LK21" t="s">
        <v>25</v>
      </c>
      <c r="LL21" t="s">
        <v>25</v>
      </c>
      <c r="LM21" t="s">
        <v>45</v>
      </c>
      <c r="LN21" t="s">
        <v>25</v>
      </c>
      <c r="LO21" t="s">
        <v>45</v>
      </c>
      <c r="LP21" t="s">
        <v>45</v>
      </c>
      <c r="LQ21" t="s">
        <v>25</v>
      </c>
      <c r="LR21" t="s">
        <v>25</v>
      </c>
      <c r="LS21" t="s">
        <v>25</v>
      </c>
      <c r="LT21" t="s">
        <v>45</v>
      </c>
      <c r="LU21" t="s">
        <v>25</v>
      </c>
      <c r="LV21" t="s">
        <v>25</v>
      </c>
      <c r="LW21" t="s">
        <v>45</v>
      </c>
      <c r="LX21" t="s">
        <v>25</v>
      </c>
      <c r="LY21" t="s">
        <v>25</v>
      </c>
      <c r="LZ21" t="s">
        <v>25</v>
      </c>
      <c r="MA21" t="s">
        <v>25</v>
      </c>
      <c r="MB21" t="s">
        <v>45</v>
      </c>
      <c r="MC21" t="s">
        <v>25</v>
      </c>
      <c r="MD21" t="s">
        <v>45</v>
      </c>
      <c r="ME21" t="s">
        <v>45</v>
      </c>
      <c r="MF21" t="s">
        <v>25</v>
      </c>
      <c r="MG21" t="s">
        <v>45</v>
      </c>
      <c r="MH21" t="s">
        <v>25</v>
      </c>
      <c r="MI21" t="s">
        <v>45</v>
      </c>
      <c r="MJ21" t="s">
        <v>25</v>
      </c>
      <c r="MK21" t="s">
        <v>45</v>
      </c>
      <c r="ML21" t="s">
        <v>45</v>
      </c>
      <c r="MM21" t="s">
        <v>45</v>
      </c>
      <c r="MN21" t="s">
        <v>45</v>
      </c>
      <c r="MO21" t="s">
        <v>45</v>
      </c>
      <c r="MP21" t="s">
        <v>45</v>
      </c>
      <c r="MQ21" t="s">
        <v>25</v>
      </c>
      <c r="MR21" t="s">
        <v>45</v>
      </c>
      <c r="MS21" t="s">
        <v>25</v>
      </c>
      <c r="MT21" t="s">
        <v>45</v>
      </c>
      <c r="MU21" t="s">
        <v>25</v>
      </c>
      <c r="MV21" t="s">
        <v>45</v>
      </c>
      <c r="MW21" t="s">
        <v>45</v>
      </c>
      <c r="MX21" t="s">
        <v>45</v>
      </c>
      <c r="MY21" t="s">
        <v>45</v>
      </c>
      <c r="MZ21" t="s">
        <v>45</v>
      </c>
      <c r="NA21" t="s">
        <v>45</v>
      </c>
      <c r="NB21" t="s">
        <v>45</v>
      </c>
      <c r="NC21" t="s">
        <v>45</v>
      </c>
      <c r="ND21" t="s">
        <v>25</v>
      </c>
      <c r="NE21" t="s">
        <v>25</v>
      </c>
      <c r="NF21" t="s">
        <v>45</v>
      </c>
      <c r="NG21" t="s">
        <v>25</v>
      </c>
      <c r="NH21" t="s">
        <v>45</v>
      </c>
      <c r="NI21" t="s">
        <v>25</v>
      </c>
      <c r="NJ21" t="s">
        <v>45</v>
      </c>
      <c r="NK21" t="s">
        <v>25</v>
      </c>
      <c r="NL21" t="s">
        <v>25</v>
      </c>
      <c r="NM21" t="s">
        <v>45</v>
      </c>
      <c r="NN21" t="s">
        <v>25</v>
      </c>
      <c r="NO21" t="s">
        <v>45</v>
      </c>
      <c r="NP21" t="s">
        <v>45</v>
      </c>
      <c r="NQ21" t="s">
        <v>25</v>
      </c>
      <c r="NR21" t="s">
        <v>45</v>
      </c>
      <c r="NS21" t="s">
        <v>25</v>
      </c>
      <c r="NT21" t="s">
        <v>25</v>
      </c>
      <c r="NU21" t="s">
        <v>25</v>
      </c>
      <c r="NV21" t="s">
        <v>25</v>
      </c>
      <c r="NW21" t="s">
        <v>25</v>
      </c>
      <c r="NX21" t="s">
        <v>25</v>
      </c>
      <c r="NY21" t="s">
        <v>45</v>
      </c>
      <c r="NZ21" t="s">
        <v>25</v>
      </c>
      <c r="OA21" t="s">
        <v>25</v>
      </c>
      <c r="OB21" t="s">
        <v>25</v>
      </c>
      <c r="OC21" t="s">
        <v>45</v>
      </c>
      <c r="OD21" t="s">
        <v>45</v>
      </c>
      <c r="OE21" t="s">
        <v>45</v>
      </c>
      <c r="OF21" t="s">
        <v>25</v>
      </c>
      <c r="OG21" t="s">
        <v>25</v>
      </c>
      <c r="OH21" t="s">
        <v>25</v>
      </c>
      <c r="OI21" t="s">
        <v>45</v>
      </c>
      <c r="OJ21" t="s">
        <v>45</v>
      </c>
      <c r="OK21" t="s">
        <v>45</v>
      </c>
      <c r="OL21" t="s">
        <v>25</v>
      </c>
      <c r="OM21" t="s">
        <v>25</v>
      </c>
      <c r="ON21" t="s">
        <v>45</v>
      </c>
      <c r="OO21" t="s">
        <v>25</v>
      </c>
      <c r="OP21" t="s">
        <v>45</v>
      </c>
      <c r="OQ21" t="s">
        <v>45</v>
      </c>
      <c r="OR21" t="s">
        <v>45</v>
      </c>
      <c r="OS21" t="s">
        <v>25</v>
      </c>
      <c r="OT21" t="s">
        <v>45</v>
      </c>
      <c r="OU21" t="s">
        <v>45</v>
      </c>
      <c r="OV21" t="s">
        <v>25</v>
      </c>
      <c r="OW21" t="s">
        <v>25</v>
      </c>
      <c r="OX21" t="s">
        <v>45</v>
      </c>
      <c r="OY21" t="s">
        <v>25</v>
      </c>
      <c r="OZ21" t="s">
        <v>25</v>
      </c>
      <c r="PA21" t="s">
        <v>25</v>
      </c>
      <c r="PB21" t="s">
        <v>25</v>
      </c>
      <c r="PC21" t="s">
        <v>45</v>
      </c>
      <c r="PD21" t="s">
        <v>25</v>
      </c>
      <c r="PE21" t="s">
        <v>45</v>
      </c>
      <c r="PF21" t="s">
        <v>25</v>
      </c>
      <c r="PG21" t="s">
        <v>25</v>
      </c>
      <c r="PH21" t="s">
        <v>45</v>
      </c>
      <c r="PI21" t="s">
        <v>25</v>
      </c>
      <c r="PJ21" t="s">
        <v>25</v>
      </c>
      <c r="PK21" t="s">
        <v>45</v>
      </c>
      <c r="PL21" t="s">
        <v>45</v>
      </c>
      <c r="PM21" t="s">
        <v>45</v>
      </c>
      <c r="PN21" t="s">
        <v>25</v>
      </c>
      <c r="PO21" t="s">
        <v>25</v>
      </c>
      <c r="PP21" t="s">
        <v>25</v>
      </c>
      <c r="PQ21" t="s">
        <v>45</v>
      </c>
      <c r="PR21" t="s">
        <v>25</v>
      </c>
      <c r="PS21" t="s">
        <v>45</v>
      </c>
      <c r="PT21" t="s">
        <v>45</v>
      </c>
      <c r="PU21" t="s">
        <v>45</v>
      </c>
      <c r="PV21" t="s">
        <v>45</v>
      </c>
      <c r="PW21" t="s">
        <v>45</v>
      </c>
      <c r="PX21" t="s">
        <v>25</v>
      </c>
      <c r="PY21" t="s">
        <v>45</v>
      </c>
      <c r="PZ21" t="s">
        <v>45</v>
      </c>
      <c r="QA21" t="s">
        <v>45</v>
      </c>
      <c r="QB21" t="s">
        <v>45</v>
      </c>
      <c r="QC21" t="s">
        <v>25</v>
      </c>
      <c r="QD21" t="s">
        <v>25</v>
      </c>
      <c r="QE21" t="s">
        <v>25</v>
      </c>
      <c r="QF21" t="s">
        <v>45</v>
      </c>
      <c r="QG21" t="s">
        <v>25</v>
      </c>
      <c r="QH21" t="s">
        <v>25</v>
      </c>
      <c r="QI21" t="s">
        <v>45</v>
      </c>
      <c r="QJ21" t="s">
        <v>45</v>
      </c>
      <c r="QK21" t="s">
        <v>45</v>
      </c>
      <c r="QL21" t="s">
        <v>45</v>
      </c>
      <c r="QM21" t="s">
        <v>45</v>
      </c>
      <c r="QN21" t="s">
        <v>25</v>
      </c>
      <c r="QO21" t="s">
        <v>25</v>
      </c>
      <c r="QP21" t="s">
        <v>25</v>
      </c>
      <c r="QQ21" t="s">
        <v>25</v>
      </c>
      <c r="QR21" t="s">
        <v>25</v>
      </c>
      <c r="QS21" t="s">
        <v>45</v>
      </c>
      <c r="QT21" t="s">
        <v>25</v>
      </c>
      <c r="QU21" t="s">
        <v>25</v>
      </c>
      <c r="QV21" t="s">
        <v>25</v>
      </c>
      <c r="QW21" t="s">
        <v>25</v>
      </c>
      <c r="QX21" t="s">
        <v>25</v>
      </c>
      <c r="QY21" t="s">
        <v>45</v>
      </c>
      <c r="QZ21" t="s">
        <v>45</v>
      </c>
      <c r="RA21" t="s">
        <v>25</v>
      </c>
      <c r="RB21" t="s">
        <v>45</v>
      </c>
      <c r="RC21" t="s">
        <v>25</v>
      </c>
      <c r="RD21" t="s">
        <v>25</v>
      </c>
      <c r="RE21" t="s">
        <v>45</v>
      </c>
      <c r="RF21" t="s">
        <v>45</v>
      </c>
      <c r="RG21" t="s">
        <v>45</v>
      </c>
      <c r="RH21" t="s">
        <v>25</v>
      </c>
      <c r="RI21" t="s">
        <v>25</v>
      </c>
      <c r="RJ21" t="s">
        <v>25</v>
      </c>
      <c r="RK21" t="s">
        <v>45</v>
      </c>
      <c r="RL21" t="s">
        <v>45</v>
      </c>
      <c r="RM21" t="s">
        <v>25</v>
      </c>
      <c r="RN21" t="s">
        <v>45</v>
      </c>
      <c r="RO21" t="s">
        <v>45</v>
      </c>
      <c r="RP21" t="s">
        <v>25</v>
      </c>
      <c r="RQ21" t="s">
        <v>45</v>
      </c>
      <c r="RR21" t="s">
        <v>45</v>
      </c>
      <c r="RS21" t="s">
        <v>25</v>
      </c>
      <c r="RT21" t="s">
        <v>25</v>
      </c>
      <c r="RU21" t="s">
        <v>25</v>
      </c>
      <c r="RV21" t="s">
        <v>45</v>
      </c>
      <c r="RW21" t="s">
        <v>25</v>
      </c>
      <c r="RX21" t="s">
        <v>45</v>
      </c>
      <c r="RY21" t="s">
        <v>25</v>
      </c>
      <c r="RZ21" t="s">
        <v>25</v>
      </c>
      <c r="SA21" t="s">
        <v>25</v>
      </c>
      <c r="SB21" t="s">
        <v>45</v>
      </c>
      <c r="SC21" t="s">
        <v>25</v>
      </c>
      <c r="SD21" t="s">
        <v>25</v>
      </c>
      <c r="SE21" t="s">
        <v>45</v>
      </c>
      <c r="SF21" t="s">
        <v>45</v>
      </c>
      <c r="SG21" t="s">
        <v>25</v>
      </c>
      <c r="SH21" t="s">
        <v>25</v>
      </c>
      <c r="SI21" t="s">
        <v>25</v>
      </c>
      <c r="SJ21" t="s">
        <v>45</v>
      </c>
      <c r="SK21" t="s">
        <v>45</v>
      </c>
      <c r="SL21" t="s">
        <v>25</v>
      </c>
      <c r="SM21" t="s">
        <v>25</v>
      </c>
      <c r="SN21" t="s">
        <v>25</v>
      </c>
      <c r="SO21" t="s">
        <v>25</v>
      </c>
      <c r="SP21" t="s">
        <v>45</v>
      </c>
      <c r="SQ21" t="s">
        <v>45</v>
      </c>
      <c r="SR21" t="s">
        <v>45</v>
      </c>
      <c r="SS21" t="s">
        <v>25</v>
      </c>
      <c r="ST21" t="s">
        <v>25</v>
      </c>
      <c r="SU21" t="s">
        <v>45</v>
      </c>
      <c r="SV21" t="s">
        <v>25</v>
      </c>
      <c r="SW21" t="s">
        <v>45</v>
      </c>
      <c r="SX21" t="s">
        <v>25</v>
      </c>
      <c r="SY21" t="s">
        <v>25</v>
      </c>
      <c r="SZ21" t="s">
        <v>25</v>
      </c>
      <c r="TA21" t="s">
        <v>45</v>
      </c>
      <c r="TB21" t="s">
        <v>25</v>
      </c>
      <c r="TC21" t="s">
        <v>25</v>
      </c>
      <c r="TD21" t="s">
        <v>45</v>
      </c>
      <c r="TE21" t="s">
        <v>25</v>
      </c>
      <c r="TF21" t="s">
        <v>25</v>
      </c>
      <c r="TG21" t="s">
        <v>45</v>
      </c>
      <c r="TH21" t="s">
        <v>25</v>
      </c>
      <c r="TI21" t="s">
        <v>45</v>
      </c>
      <c r="TJ21" t="s">
        <v>25</v>
      </c>
      <c r="TK21" t="s">
        <v>25</v>
      </c>
      <c r="TL21" t="s">
        <v>45</v>
      </c>
      <c r="TM21" t="s">
        <v>25</v>
      </c>
      <c r="TN21" t="s">
        <v>45</v>
      </c>
      <c r="TO21" t="s">
        <v>25</v>
      </c>
      <c r="TP21" t="s">
        <v>45</v>
      </c>
      <c r="TQ21" t="s">
        <v>25</v>
      </c>
      <c r="TR21" t="s">
        <v>25</v>
      </c>
      <c r="TS21" t="s">
        <v>25</v>
      </c>
      <c r="TT21" t="s">
        <v>25</v>
      </c>
      <c r="TU21" t="s">
        <v>25</v>
      </c>
      <c r="TV21" t="s">
        <v>45</v>
      </c>
      <c r="TW21" t="s">
        <v>25</v>
      </c>
      <c r="TX21" t="s">
        <v>45</v>
      </c>
      <c r="TY21" t="s">
        <v>45</v>
      </c>
      <c r="TZ21" t="s">
        <v>25</v>
      </c>
      <c r="UA21" t="s">
        <v>25</v>
      </c>
      <c r="UB21" t="s">
        <v>25</v>
      </c>
      <c r="UC21" t="s">
        <v>45</v>
      </c>
      <c r="UD21" t="s">
        <v>25</v>
      </c>
      <c r="UE21" t="s">
        <v>25</v>
      </c>
      <c r="UF21" t="s">
        <v>25</v>
      </c>
      <c r="UG21" t="s">
        <v>25</v>
      </c>
      <c r="UH21" t="s">
        <v>25</v>
      </c>
      <c r="UI21" t="s">
        <v>25</v>
      </c>
      <c r="UJ21" t="s">
        <v>45</v>
      </c>
      <c r="UK21" t="s">
        <v>25</v>
      </c>
      <c r="UL21" t="s">
        <v>45</v>
      </c>
      <c r="UM21" t="s">
        <v>45</v>
      </c>
      <c r="UN21" t="s">
        <v>25</v>
      </c>
      <c r="UO21" t="s">
        <v>25</v>
      </c>
      <c r="UP21" t="s">
        <v>45</v>
      </c>
      <c r="UQ21" t="s">
        <v>25</v>
      </c>
      <c r="UR21" t="s">
        <v>25</v>
      </c>
      <c r="US21" t="s">
        <v>25</v>
      </c>
      <c r="UT21" t="s">
        <v>25</v>
      </c>
      <c r="UU21" t="s">
        <v>45</v>
      </c>
      <c r="UV21" t="s">
        <v>45</v>
      </c>
      <c r="UW21" t="s">
        <v>45</v>
      </c>
      <c r="UX21" t="s">
        <v>25</v>
      </c>
      <c r="UY21" t="s">
        <v>45</v>
      </c>
      <c r="UZ21" t="s">
        <v>45</v>
      </c>
      <c r="VA21" t="s">
        <v>45</v>
      </c>
      <c r="VB21" t="s">
        <v>25</v>
      </c>
      <c r="VC21" t="s">
        <v>25</v>
      </c>
      <c r="VD21" t="s">
        <v>25</v>
      </c>
      <c r="VE21" t="s">
        <v>25</v>
      </c>
      <c r="VF21" t="s">
        <v>25</v>
      </c>
      <c r="VG21" t="s">
        <v>45</v>
      </c>
      <c r="VH21" t="s">
        <v>45</v>
      </c>
      <c r="VI21" t="s">
        <v>25</v>
      </c>
      <c r="VJ21" t="s">
        <v>25</v>
      </c>
      <c r="VK21" t="s">
        <v>45</v>
      </c>
      <c r="VL21" t="s">
        <v>45</v>
      </c>
      <c r="VM21" t="s">
        <v>25</v>
      </c>
      <c r="VN21" t="s">
        <v>25</v>
      </c>
      <c r="VO21" t="s">
        <v>25</v>
      </c>
      <c r="VP21" t="s">
        <v>45</v>
      </c>
      <c r="VQ21" t="s">
        <v>45</v>
      </c>
      <c r="VR21" t="s">
        <v>25</v>
      </c>
      <c r="VS21" t="s">
        <v>25</v>
      </c>
      <c r="VT21" t="s">
        <v>45</v>
      </c>
      <c r="VU21" t="s">
        <v>45</v>
      </c>
      <c r="VV21" t="s">
        <v>45</v>
      </c>
      <c r="VW21" t="s">
        <v>25</v>
      </c>
      <c r="VX21" t="s">
        <v>25</v>
      </c>
      <c r="VY21" t="s">
        <v>25</v>
      </c>
      <c r="VZ21" t="s">
        <v>25</v>
      </c>
      <c r="WA21" t="s">
        <v>45</v>
      </c>
      <c r="WB21" t="s">
        <v>45</v>
      </c>
      <c r="WC21" t="s">
        <v>25</v>
      </c>
      <c r="WD21" t="s">
        <v>25</v>
      </c>
      <c r="WE21" t="s">
        <v>25</v>
      </c>
      <c r="WF21" t="s">
        <v>25</v>
      </c>
      <c r="WG21" t="s">
        <v>25</v>
      </c>
      <c r="WH21" t="s">
        <v>25</v>
      </c>
      <c r="WI21" t="s">
        <v>25</v>
      </c>
      <c r="WJ21" t="s">
        <v>25</v>
      </c>
      <c r="WK21" t="s">
        <v>25</v>
      </c>
      <c r="WL21" t="s">
        <v>25</v>
      </c>
      <c r="WM21" t="s">
        <v>45</v>
      </c>
      <c r="WN21" t="s">
        <v>45</v>
      </c>
      <c r="WO21" t="s">
        <v>45</v>
      </c>
      <c r="WP21" t="s">
        <v>45</v>
      </c>
      <c r="WQ21" t="s">
        <v>25</v>
      </c>
      <c r="WR21" t="s">
        <v>45</v>
      </c>
      <c r="WS21" t="s">
        <v>45</v>
      </c>
      <c r="WT21" t="s">
        <v>45</v>
      </c>
      <c r="WU21" t="s">
        <v>45</v>
      </c>
      <c r="WV21" t="s">
        <v>45</v>
      </c>
      <c r="WW21" t="s">
        <v>25</v>
      </c>
      <c r="WX21" t="s">
        <v>45</v>
      </c>
      <c r="WY21" t="s">
        <v>45</v>
      </c>
      <c r="WZ21" t="s">
        <v>25</v>
      </c>
      <c r="XA21" t="s">
        <v>45</v>
      </c>
      <c r="XB21" t="s">
        <v>25</v>
      </c>
      <c r="XC21" t="s">
        <v>45</v>
      </c>
      <c r="XD21" t="s">
        <v>25</v>
      </c>
      <c r="XE21" t="s">
        <v>25</v>
      </c>
      <c r="XF21" t="s">
        <v>25</v>
      </c>
      <c r="XG21" t="s">
        <v>45</v>
      </c>
      <c r="XH21" t="s">
        <v>45</v>
      </c>
      <c r="XI21" t="s">
        <v>25</v>
      </c>
      <c r="XJ21" t="s">
        <v>25</v>
      </c>
      <c r="XK21" t="s">
        <v>25</v>
      </c>
      <c r="XL21" t="s">
        <v>25</v>
      </c>
      <c r="XM21" t="s">
        <v>25</v>
      </c>
      <c r="XN21" t="s">
        <v>25</v>
      </c>
      <c r="XO21" t="s">
        <v>25</v>
      </c>
      <c r="XP21" t="s">
        <v>25</v>
      </c>
      <c r="XQ21" t="s">
        <v>25</v>
      </c>
      <c r="XR21" t="s">
        <v>25</v>
      </c>
      <c r="XS21" t="s">
        <v>45</v>
      </c>
      <c r="XT21" t="s">
        <v>25</v>
      </c>
      <c r="XU21" t="s">
        <v>45</v>
      </c>
      <c r="XV21" t="s">
        <v>25</v>
      </c>
      <c r="XW21" t="s">
        <v>45</v>
      </c>
      <c r="XX21" t="s">
        <v>25</v>
      </c>
      <c r="XY21" t="s">
        <v>45</v>
      </c>
      <c r="XZ21" t="s">
        <v>25</v>
      </c>
      <c r="YA21" t="s">
        <v>25</v>
      </c>
      <c r="YB21" t="s">
        <v>25</v>
      </c>
      <c r="YC21" t="s">
        <v>45</v>
      </c>
      <c r="YD21" t="s">
        <v>25</v>
      </c>
      <c r="YE21" t="s">
        <v>25</v>
      </c>
      <c r="YF21" t="s">
        <v>25</v>
      </c>
      <c r="YG21" t="s">
        <v>45</v>
      </c>
      <c r="YH21" t="s">
        <v>45</v>
      </c>
      <c r="YI21" t="s">
        <v>25</v>
      </c>
      <c r="YJ21" t="s">
        <v>25</v>
      </c>
      <c r="YK21" t="s">
        <v>45</v>
      </c>
      <c r="YL21" t="s">
        <v>45</v>
      </c>
      <c r="YM21" t="s">
        <v>25</v>
      </c>
      <c r="YN21" t="s">
        <v>25</v>
      </c>
      <c r="YO21" t="s">
        <v>25</v>
      </c>
      <c r="YP21" t="s">
        <v>45</v>
      </c>
      <c r="YQ21" t="s">
        <v>45</v>
      </c>
      <c r="YR21" t="s">
        <v>25</v>
      </c>
      <c r="YS21" t="s">
        <v>45</v>
      </c>
      <c r="YT21" t="s">
        <v>45</v>
      </c>
      <c r="YU21" t="s">
        <v>25</v>
      </c>
      <c r="YV21" t="s">
        <v>25</v>
      </c>
      <c r="YW21" t="s">
        <v>25</v>
      </c>
      <c r="YX21" t="s">
        <v>45</v>
      </c>
      <c r="YY21" t="s">
        <v>45</v>
      </c>
      <c r="YZ21" t="s">
        <v>25</v>
      </c>
      <c r="ZA21" t="s">
        <v>45</v>
      </c>
      <c r="ZB21" t="s">
        <v>45</v>
      </c>
      <c r="ZC21" t="s">
        <v>45</v>
      </c>
      <c r="ZD21" t="s">
        <v>45</v>
      </c>
      <c r="ZE21" t="s">
        <v>25</v>
      </c>
      <c r="ZF21" t="s">
        <v>45</v>
      </c>
      <c r="ZG21" t="s">
        <v>25</v>
      </c>
      <c r="ZH21" t="s">
        <v>45</v>
      </c>
      <c r="ZI21" t="s">
        <v>25</v>
      </c>
      <c r="ZJ21" t="s">
        <v>45</v>
      </c>
      <c r="ZK21" t="s">
        <v>25</v>
      </c>
      <c r="ZL21" t="s">
        <v>25</v>
      </c>
      <c r="ZM21" t="s">
        <v>45</v>
      </c>
      <c r="ZN21" t="s">
        <v>45</v>
      </c>
      <c r="ZO21" t="s">
        <v>25</v>
      </c>
      <c r="ZP21" t="s">
        <v>45</v>
      </c>
      <c r="ZQ21" t="s">
        <v>25</v>
      </c>
      <c r="ZR21" t="s">
        <v>25</v>
      </c>
      <c r="ZS21" t="s">
        <v>25</v>
      </c>
      <c r="ZT21" t="s">
        <v>25</v>
      </c>
      <c r="ZU21" t="s">
        <v>45</v>
      </c>
      <c r="ZV21" t="s">
        <v>45</v>
      </c>
      <c r="ZW21" t="s">
        <v>45</v>
      </c>
      <c r="ZX21" t="s">
        <v>45</v>
      </c>
      <c r="ZY21" t="s">
        <v>45</v>
      </c>
      <c r="ZZ21" t="s">
        <v>25</v>
      </c>
      <c r="AAA21" t="s">
        <v>45</v>
      </c>
      <c r="AAB21" t="s">
        <v>45</v>
      </c>
      <c r="AAC21" t="s">
        <v>45</v>
      </c>
      <c r="AAD21" t="s">
        <v>25</v>
      </c>
      <c r="AAE21" t="s">
        <v>45</v>
      </c>
      <c r="AAF21" t="s">
        <v>45</v>
      </c>
      <c r="AAG21" t="s">
        <v>45</v>
      </c>
      <c r="AAH21" t="s">
        <v>45</v>
      </c>
      <c r="AAI21" t="s">
        <v>45</v>
      </c>
      <c r="AAJ21" t="s">
        <v>25</v>
      </c>
      <c r="AAK21" t="s">
        <v>45</v>
      </c>
      <c r="AAL21" t="s">
        <v>45</v>
      </c>
      <c r="AAM21" t="s">
        <v>45</v>
      </c>
      <c r="AAN21" t="s">
        <v>25</v>
      </c>
      <c r="AAO21" t="s">
        <v>45</v>
      </c>
      <c r="AAP21" t="s">
        <v>45</v>
      </c>
      <c r="AAQ21" t="s">
        <v>25</v>
      </c>
      <c r="AAR21" t="s">
        <v>45</v>
      </c>
      <c r="AAS21" t="s">
        <v>25</v>
      </c>
      <c r="AAT21" t="s">
        <v>45</v>
      </c>
      <c r="AAU21" t="s">
        <v>25</v>
      </c>
      <c r="AAV21" t="s">
        <v>25</v>
      </c>
      <c r="AAW21" t="s">
        <v>25</v>
      </c>
      <c r="AAX21" t="s">
        <v>25</v>
      </c>
      <c r="AAY21" t="s">
        <v>45</v>
      </c>
      <c r="AAZ21" t="s">
        <v>25</v>
      </c>
      <c r="ABA21" t="s">
        <v>25</v>
      </c>
      <c r="ABB21" t="s">
        <v>45</v>
      </c>
      <c r="ABC21" t="s">
        <v>45</v>
      </c>
      <c r="ABD21" t="s">
        <v>25</v>
      </c>
      <c r="ABE21" t="s">
        <v>25</v>
      </c>
      <c r="ABF21" t="s">
        <v>45</v>
      </c>
      <c r="ABG21" t="s">
        <v>25</v>
      </c>
      <c r="ABH21" t="s">
        <v>45</v>
      </c>
      <c r="ABI21" t="s">
        <v>45</v>
      </c>
      <c r="ABJ21" t="s">
        <v>25</v>
      </c>
      <c r="ABK21" t="s">
        <v>45</v>
      </c>
      <c r="ABL21" t="s">
        <v>45</v>
      </c>
      <c r="ABM21" t="s">
        <v>25</v>
      </c>
      <c r="ABN21" t="s">
        <v>45</v>
      </c>
      <c r="ABO21" t="s">
        <v>45</v>
      </c>
      <c r="ABP21" t="s">
        <v>25</v>
      </c>
      <c r="ABQ21" t="s">
        <v>45</v>
      </c>
      <c r="ABR21" t="s">
        <v>45</v>
      </c>
      <c r="ABS21" t="s">
        <v>25</v>
      </c>
      <c r="ABT21" t="s">
        <v>45</v>
      </c>
      <c r="ABU21" t="s">
        <v>45</v>
      </c>
      <c r="ABV21" t="s">
        <v>45</v>
      </c>
      <c r="ABW21" t="s">
        <v>45</v>
      </c>
      <c r="ABX21" t="s">
        <v>25</v>
      </c>
      <c r="ABY21" t="s">
        <v>45</v>
      </c>
      <c r="ABZ21" t="s">
        <v>25</v>
      </c>
      <c r="ACA21" t="s">
        <v>45</v>
      </c>
      <c r="ACB21" t="s">
        <v>25</v>
      </c>
      <c r="ACC21" t="s">
        <v>45</v>
      </c>
      <c r="ACD21" t="s">
        <v>25</v>
      </c>
      <c r="ACE21" t="s">
        <v>25</v>
      </c>
      <c r="ACF21" t="s">
        <v>45</v>
      </c>
      <c r="ACG21" t="s">
        <v>45</v>
      </c>
      <c r="ACH21" t="s">
        <v>25</v>
      </c>
      <c r="ACI21" t="s">
        <v>25</v>
      </c>
      <c r="ACJ21" t="s">
        <v>25</v>
      </c>
      <c r="ACK21" t="s">
        <v>25</v>
      </c>
      <c r="ACL21" t="s">
        <v>25</v>
      </c>
      <c r="ACM21" t="s">
        <v>25</v>
      </c>
      <c r="ACN21" t="s">
        <v>45</v>
      </c>
      <c r="ACO21" t="s">
        <v>45</v>
      </c>
      <c r="ACP21" t="s">
        <v>25</v>
      </c>
      <c r="ACQ21" t="s">
        <v>25</v>
      </c>
      <c r="ACR21" t="s">
        <v>45</v>
      </c>
      <c r="ACS21" t="s">
        <v>25</v>
      </c>
      <c r="ACT21" t="s">
        <v>25</v>
      </c>
      <c r="ACU21" t="s">
        <v>45</v>
      </c>
      <c r="ACV21" t="s">
        <v>45</v>
      </c>
      <c r="ACW21" t="s">
        <v>25</v>
      </c>
      <c r="ACX21" t="s">
        <v>45</v>
      </c>
      <c r="ACY21" t="s">
        <v>25</v>
      </c>
      <c r="ACZ21" t="s">
        <v>45</v>
      </c>
      <c r="ADA21" t="s">
        <v>25</v>
      </c>
      <c r="ADB21" t="s">
        <v>25</v>
      </c>
      <c r="ADC21" t="s">
        <v>25</v>
      </c>
      <c r="ADD21" t="s">
        <v>25</v>
      </c>
      <c r="ADE21" t="s">
        <v>45</v>
      </c>
      <c r="ADF21" t="s">
        <v>45</v>
      </c>
      <c r="ADG21" t="s">
        <v>45</v>
      </c>
      <c r="ADH21" t="s">
        <v>25</v>
      </c>
      <c r="ADI21" t="s">
        <v>45</v>
      </c>
      <c r="ADJ21" t="s">
        <v>25</v>
      </c>
      <c r="ADK21" t="s">
        <v>25</v>
      </c>
      <c r="ADL21" t="s">
        <v>45</v>
      </c>
      <c r="ADM21" t="s">
        <v>45</v>
      </c>
      <c r="ADN21" t="s">
        <v>25</v>
      </c>
      <c r="ADO21" t="s">
        <v>25</v>
      </c>
      <c r="ADP21" t="s">
        <v>45</v>
      </c>
      <c r="ADQ21" t="s">
        <v>45</v>
      </c>
      <c r="ADR21" t="s">
        <v>45</v>
      </c>
      <c r="ADS21" t="s">
        <v>45</v>
      </c>
      <c r="ADT21" t="s">
        <v>45</v>
      </c>
      <c r="ADU21" t="s">
        <v>25</v>
      </c>
      <c r="ADV21" t="s">
        <v>25</v>
      </c>
      <c r="ADW21" t="s">
        <v>25</v>
      </c>
      <c r="ADX21" t="s">
        <v>45</v>
      </c>
      <c r="ADY21" t="s">
        <v>25</v>
      </c>
      <c r="ADZ21" t="s">
        <v>45</v>
      </c>
      <c r="AEA21" t="s">
        <v>45</v>
      </c>
      <c r="AEB21" t="s">
        <v>45</v>
      </c>
      <c r="AEC21" t="s">
        <v>25</v>
      </c>
      <c r="AED21" t="s">
        <v>25</v>
      </c>
      <c r="AEE21" t="s">
        <v>25</v>
      </c>
      <c r="AEF21" t="s">
        <v>25</v>
      </c>
      <c r="AEG21" t="s">
        <v>45</v>
      </c>
      <c r="AEH21" t="s">
        <v>45</v>
      </c>
      <c r="AEI21" t="s">
        <v>25</v>
      </c>
      <c r="AEJ21" t="s">
        <v>25</v>
      </c>
      <c r="AEK21" t="s">
        <v>45</v>
      </c>
      <c r="AEL21" t="s">
        <v>25</v>
      </c>
      <c r="AEM21" t="s">
        <v>25</v>
      </c>
      <c r="AEN21" t="s">
        <v>45</v>
      </c>
      <c r="AEO21" t="s">
        <v>25</v>
      </c>
      <c r="AEP21" t="s">
        <v>25</v>
      </c>
      <c r="AEQ21" t="s">
        <v>25</v>
      </c>
      <c r="AER21" t="s">
        <v>45</v>
      </c>
      <c r="AES21" t="s">
        <v>25</v>
      </c>
      <c r="AET21" t="s">
        <v>25</v>
      </c>
      <c r="AEU21" t="s">
        <v>45</v>
      </c>
      <c r="AEV21" t="s">
        <v>45</v>
      </c>
      <c r="AEW21" t="s">
        <v>45</v>
      </c>
      <c r="AEX21" t="s">
        <v>45</v>
      </c>
      <c r="AEY21" t="s">
        <v>45</v>
      </c>
      <c r="AEZ21" t="s">
        <v>45</v>
      </c>
      <c r="AFA21" t="s">
        <v>45</v>
      </c>
      <c r="AFB21" t="s">
        <v>25</v>
      </c>
      <c r="AFC21" t="s">
        <v>45</v>
      </c>
      <c r="AFD21" t="s">
        <v>45</v>
      </c>
      <c r="AFE21" t="s">
        <v>45</v>
      </c>
      <c r="AFF21" t="s">
        <v>25</v>
      </c>
      <c r="AFG21" t="s">
        <v>25</v>
      </c>
      <c r="AFH21" t="s">
        <v>45</v>
      </c>
      <c r="AFI21" t="s">
        <v>45</v>
      </c>
      <c r="AFJ21" t="s">
        <v>45</v>
      </c>
      <c r="AFK21" t="s">
        <v>25</v>
      </c>
      <c r="AFL21" t="s">
        <v>45</v>
      </c>
      <c r="AFM21" t="s">
        <v>25</v>
      </c>
      <c r="AFN21" t="s">
        <v>25</v>
      </c>
      <c r="AFO21" t="s">
        <v>45</v>
      </c>
      <c r="AFP21" t="s">
        <v>25</v>
      </c>
      <c r="AFQ21" t="s">
        <v>45</v>
      </c>
      <c r="AFR21" t="s">
        <v>25</v>
      </c>
      <c r="AFS21" t="s">
        <v>25</v>
      </c>
      <c r="AFT21" t="s">
        <v>25</v>
      </c>
      <c r="AFU21" t="s">
        <v>45</v>
      </c>
      <c r="AFV21" t="s">
        <v>25</v>
      </c>
      <c r="AFW21" t="s">
        <v>25</v>
      </c>
      <c r="AFX21" t="s">
        <v>45</v>
      </c>
      <c r="AFY21" t="s">
        <v>25</v>
      </c>
      <c r="AFZ21" t="s">
        <v>25</v>
      </c>
      <c r="AGA21" t="s">
        <v>45</v>
      </c>
      <c r="AGB21" t="s">
        <v>45</v>
      </c>
      <c r="AGC21" t="s">
        <v>45</v>
      </c>
      <c r="AGD21" t="s">
        <v>25</v>
      </c>
      <c r="AGE21" t="s">
        <v>25</v>
      </c>
      <c r="AGF21" t="s">
        <v>25</v>
      </c>
      <c r="AGG21" t="s">
        <v>25</v>
      </c>
      <c r="AGH21" t="s">
        <v>25</v>
      </c>
      <c r="AGI21" t="s">
        <v>45</v>
      </c>
      <c r="AGJ21" t="s">
        <v>25</v>
      </c>
      <c r="AGK21" t="s">
        <v>45</v>
      </c>
      <c r="AGL21" t="s">
        <v>25</v>
      </c>
      <c r="AGM21" t="s">
        <v>25</v>
      </c>
      <c r="AGN21" t="s">
        <v>45</v>
      </c>
      <c r="AGO21" t="s">
        <v>25</v>
      </c>
      <c r="AGP21" t="s">
        <v>25</v>
      </c>
      <c r="AGQ21" t="s">
        <v>45</v>
      </c>
      <c r="AGR21" t="s">
        <v>45</v>
      </c>
      <c r="AGS21" t="s">
        <v>25</v>
      </c>
      <c r="AGW21" s="7">
        <f ca="1">TODAY()</f>
        <v>46100</v>
      </c>
      <c r="AGX21" s="8">
        <f ca="1">NOW()</f>
        <v>46100.563045486109</v>
      </c>
      <c r="AGY21">
        <f ca="1">YEAR(AGW21)</f>
        <v>2026</v>
      </c>
      <c r="AGZ21">
        <f ca="1">MONTH(AGW21)</f>
        <v>3</v>
      </c>
      <c r="AHA21">
        <f ca="1">DAY(AGW21)</f>
        <v>19</v>
      </c>
    </row>
    <row r="22" spans="1:885" x14ac:dyDescent="0.25">
      <c r="A22" s="1" t="s">
        <v>10</v>
      </c>
      <c r="B22">
        <v>5324.53</v>
      </c>
      <c r="C22">
        <v>5037.68</v>
      </c>
      <c r="D22">
        <v>1087.8599999999999</v>
      </c>
      <c r="E22">
        <v>4817.13</v>
      </c>
      <c r="F22">
        <v>3231.82</v>
      </c>
      <c r="G22">
        <v>3108.36</v>
      </c>
      <c r="H22">
        <v>2612.63</v>
      </c>
      <c r="I22">
        <v>3659.02</v>
      </c>
      <c r="J22">
        <v>3854.76</v>
      </c>
      <c r="K22">
        <v>3433.37</v>
      </c>
      <c r="L22">
        <v>9798.15</v>
      </c>
      <c r="M22">
        <v>9360.9500000000007</v>
      </c>
      <c r="N22">
        <v>5957.85</v>
      </c>
      <c r="O22">
        <v>9820.02</v>
      </c>
      <c r="P22">
        <v>9916.3799999999992</v>
      </c>
      <c r="Q22">
        <v>3881.43</v>
      </c>
      <c r="R22">
        <v>4729.28</v>
      </c>
      <c r="S22">
        <v>9611.09</v>
      </c>
      <c r="T22">
        <v>6281.95</v>
      </c>
      <c r="U22">
        <v>2522.83</v>
      </c>
      <c r="V22">
        <v>7049.12</v>
      </c>
      <c r="W22">
        <v>2454.59</v>
      </c>
      <c r="X22">
        <v>3723.9</v>
      </c>
      <c r="Y22">
        <v>2661.82</v>
      </c>
      <c r="Z22">
        <v>2827.31</v>
      </c>
      <c r="AA22">
        <v>544.23</v>
      </c>
      <c r="AB22">
        <v>8866.73</v>
      </c>
      <c r="AC22">
        <v>3311.91</v>
      </c>
      <c r="AD22">
        <v>1320.56</v>
      </c>
      <c r="AE22">
        <v>1326.38</v>
      </c>
      <c r="AF22">
        <v>5782.17</v>
      </c>
      <c r="AG22">
        <v>9932.75</v>
      </c>
      <c r="AH22">
        <v>1877.71</v>
      </c>
      <c r="AI22">
        <v>1446.41</v>
      </c>
      <c r="AJ22">
        <v>4663.8900000000003</v>
      </c>
      <c r="AK22">
        <v>5851.65</v>
      </c>
      <c r="AL22">
        <v>3296.61</v>
      </c>
      <c r="AM22">
        <v>3373.96</v>
      </c>
      <c r="AN22">
        <v>4532.53</v>
      </c>
      <c r="AO22">
        <v>3484.38</v>
      </c>
      <c r="AP22">
        <v>9195.65</v>
      </c>
      <c r="AQ22">
        <v>898.57</v>
      </c>
      <c r="AR22">
        <v>2728.42</v>
      </c>
      <c r="AS22">
        <v>8181.25</v>
      </c>
      <c r="AT22">
        <v>8422.6</v>
      </c>
      <c r="AU22">
        <v>1559.77</v>
      </c>
      <c r="AV22">
        <v>9750.75</v>
      </c>
      <c r="AW22">
        <v>7086.87</v>
      </c>
      <c r="AX22">
        <v>3089.63</v>
      </c>
      <c r="AY22">
        <v>4832.3599999999997</v>
      </c>
      <c r="AZ22">
        <v>3322.82</v>
      </c>
      <c r="BA22">
        <v>1925.21</v>
      </c>
      <c r="BB22">
        <v>3266.19</v>
      </c>
      <c r="BC22">
        <v>6010.87</v>
      </c>
      <c r="BD22">
        <v>8346.7099999999991</v>
      </c>
      <c r="BE22">
        <v>3953.53</v>
      </c>
      <c r="BF22">
        <v>3805.06</v>
      </c>
      <c r="BG22">
        <v>4946.01</v>
      </c>
      <c r="BH22">
        <v>6623.28</v>
      </c>
      <c r="BI22">
        <v>7640.35</v>
      </c>
      <c r="BJ22">
        <v>3604.6</v>
      </c>
      <c r="BK22">
        <v>6070.35</v>
      </c>
      <c r="BL22">
        <v>4198.93</v>
      </c>
      <c r="BM22">
        <v>7305.8</v>
      </c>
      <c r="BN22">
        <v>2064.41</v>
      </c>
      <c r="BO22">
        <v>2940.79</v>
      </c>
      <c r="BP22">
        <v>4547.57</v>
      </c>
      <c r="BQ22">
        <v>8949.44</v>
      </c>
      <c r="BR22">
        <v>5946.59</v>
      </c>
      <c r="BS22">
        <v>9671.26</v>
      </c>
      <c r="BT22">
        <v>1481.14</v>
      </c>
      <c r="BU22">
        <v>4871.67</v>
      </c>
      <c r="BV22">
        <v>4481.25</v>
      </c>
      <c r="BW22">
        <v>6201.96</v>
      </c>
      <c r="BX22">
        <v>8213.66</v>
      </c>
      <c r="BY22">
        <v>8493.76</v>
      </c>
      <c r="BZ22">
        <v>6866.85</v>
      </c>
      <c r="CA22">
        <v>6594.6</v>
      </c>
      <c r="CB22">
        <v>9515.7800000000007</v>
      </c>
      <c r="CC22">
        <v>4145.03</v>
      </c>
      <c r="CD22">
        <v>8411.44</v>
      </c>
      <c r="CE22">
        <v>9254.2900000000009</v>
      </c>
      <c r="CF22">
        <v>5169.62</v>
      </c>
      <c r="CG22">
        <v>7426.47</v>
      </c>
      <c r="CH22">
        <v>4081.69</v>
      </c>
      <c r="CI22">
        <v>2009.35</v>
      </c>
      <c r="CJ22">
        <v>6071.79</v>
      </c>
      <c r="CK22">
        <v>2366.48</v>
      </c>
      <c r="CL22">
        <v>4847.1899999999996</v>
      </c>
      <c r="CM22">
        <v>8792.35</v>
      </c>
      <c r="CN22">
        <v>1317.17</v>
      </c>
      <c r="CO22">
        <v>789.07</v>
      </c>
      <c r="CP22">
        <v>6261.54</v>
      </c>
      <c r="CQ22">
        <v>3645.08</v>
      </c>
      <c r="CR22">
        <v>4470.41</v>
      </c>
      <c r="CS22">
        <v>4354.25</v>
      </c>
      <c r="CT22">
        <v>1322.89</v>
      </c>
      <c r="CU22">
        <v>533.88</v>
      </c>
      <c r="CV22">
        <v>9035.02</v>
      </c>
      <c r="CW22">
        <v>2569.09</v>
      </c>
      <c r="CX22">
        <v>4547.75</v>
      </c>
      <c r="CY22">
        <v>9733.2999999999993</v>
      </c>
      <c r="CZ22">
        <v>8354.24</v>
      </c>
      <c r="DA22">
        <v>1525.34</v>
      </c>
      <c r="DB22">
        <v>5330.93</v>
      </c>
      <c r="DC22">
        <v>7435.75</v>
      </c>
      <c r="DD22">
        <v>7134.73</v>
      </c>
      <c r="DE22">
        <v>7728</v>
      </c>
      <c r="DF22">
        <v>4845.82</v>
      </c>
      <c r="DG22">
        <v>2171.27</v>
      </c>
      <c r="DH22">
        <v>4916.29</v>
      </c>
      <c r="DI22">
        <v>6654.93</v>
      </c>
      <c r="DJ22">
        <v>6281.62</v>
      </c>
      <c r="DK22">
        <v>1169.96</v>
      </c>
      <c r="DL22">
        <v>1117.05</v>
      </c>
      <c r="DM22">
        <v>9669.9500000000007</v>
      </c>
      <c r="DN22">
        <v>1942.15</v>
      </c>
      <c r="DO22">
        <v>3297.39</v>
      </c>
      <c r="DP22">
        <v>7792.53</v>
      </c>
      <c r="DQ22">
        <v>4391.93</v>
      </c>
      <c r="DR22">
        <v>2223.92</v>
      </c>
      <c r="DS22">
        <v>4938.71</v>
      </c>
      <c r="DT22">
        <v>5905.02</v>
      </c>
      <c r="DU22">
        <v>4801.28</v>
      </c>
      <c r="DV22">
        <v>9229.99</v>
      </c>
      <c r="DW22">
        <v>3204.64</v>
      </c>
      <c r="DX22">
        <v>6782.66</v>
      </c>
      <c r="DY22">
        <v>1566.8</v>
      </c>
      <c r="DZ22">
        <v>4226.71</v>
      </c>
      <c r="EA22">
        <v>7539.44</v>
      </c>
      <c r="EB22">
        <v>2635.76</v>
      </c>
      <c r="EC22">
        <v>6102.82</v>
      </c>
      <c r="ED22">
        <v>1957.65</v>
      </c>
      <c r="EE22">
        <v>1475.67</v>
      </c>
      <c r="EF22">
        <v>5470.71</v>
      </c>
      <c r="EG22">
        <v>6912.6</v>
      </c>
      <c r="EH22">
        <v>1576.99</v>
      </c>
      <c r="EI22">
        <v>9218.8700000000008</v>
      </c>
      <c r="EJ22">
        <v>2644.84</v>
      </c>
      <c r="EK22">
        <v>1639.77</v>
      </c>
      <c r="EL22">
        <v>2425.64</v>
      </c>
      <c r="EM22">
        <v>2110.94</v>
      </c>
      <c r="EN22">
        <v>1361.41</v>
      </c>
      <c r="EO22">
        <v>8079.47</v>
      </c>
      <c r="EP22">
        <v>5207.6099999999997</v>
      </c>
      <c r="EQ22">
        <v>4190.93</v>
      </c>
      <c r="ER22">
        <v>9530.9699999999993</v>
      </c>
      <c r="ES22">
        <v>4024.58</v>
      </c>
      <c r="ET22">
        <v>2086.2399999999998</v>
      </c>
      <c r="EU22">
        <v>3103.41</v>
      </c>
      <c r="EV22">
        <v>2770.18</v>
      </c>
      <c r="EW22">
        <v>5238.04</v>
      </c>
      <c r="EX22">
        <v>3269.3</v>
      </c>
      <c r="EY22">
        <v>5402.58</v>
      </c>
      <c r="EZ22">
        <v>6858.29</v>
      </c>
      <c r="FA22">
        <v>7884.34</v>
      </c>
      <c r="FB22">
        <v>7246.5</v>
      </c>
      <c r="FC22">
        <v>2453.11</v>
      </c>
      <c r="FD22">
        <v>1601.05</v>
      </c>
      <c r="FE22">
        <v>5653.28</v>
      </c>
      <c r="FF22">
        <v>2389.66</v>
      </c>
      <c r="FG22">
        <v>1306.8699999999999</v>
      </c>
      <c r="FH22">
        <v>5507.4</v>
      </c>
      <c r="FI22">
        <v>3604.54</v>
      </c>
      <c r="FJ22">
        <v>7683.42</v>
      </c>
      <c r="FK22">
        <v>3484.82</v>
      </c>
      <c r="FL22">
        <v>9797.81</v>
      </c>
      <c r="FM22">
        <v>7705.97</v>
      </c>
      <c r="FN22">
        <v>1048.0899999999999</v>
      </c>
      <c r="FO22">
        <v>5334.29</v>
      </c>
      <c r="FP22">
        <v>5844.89</v>
      </c>
      <c r="FQ22">
        <v>7105.38</v>
      </c>
      <c r="FR22">
        <v>5229.07</v>
      </c>
      <c r="FS22">
        <v>5092.71</v>
      </c>
      <c r="FT22">
        <v>3995.42</v>
      </c>
      <c r="FU22">
        <v>3078.88</v>
      </c>
      <c r="FV22">
        <v>9488.9</v>
      </c>
      <c r="FW22">
        <v>3517.17</v>
      </c>
      <c r="FX22">
        <v>1102.5</v>
      </c>
      <c r="FY22">
        <v>2089.21</v>
      </c>
      <c r="FZ22">
        <v>8644.1299999999992</v>
      </c>
      <c r="GA22">
        <v>6073.02</v>
      </c>
      <c r="GB22">
        <v>7898.42</v>
      </c>
      <c r="GC22">
        <v>8183.42</v>
      </c>
      <c r="GD22">
        <v>8320.75</v>
      </c>
      <c r="GE22">
        <v>5730.83</v>
      </c>
      <c r="GF22">
        <v>2182.65</v>
      </c>
      <c r="GG22">
        <v>1908.21</v>
      </c>
      <c r="GH22">
        <v>5952.85</v>
      </c>
      <c r="GI22">
        <v>3981.89</v>
      </c>
      <c r="GJ22">
        <v>5801.46</v>
      </c>
      <c r="GK22">
        <v>5235.54</v>
      </c>
      <c r="GL22">
        <v>6220.88</v>
      </c>
      <c r="GM22">
        <v>805.06</v>
      </c>
      <c r="GN22">
        <v>811.95</v>
      </c>
      <c r="GO22">
        <v>7355.15</v>
      </c>
      <c r="GP22">
        <v>2334.71</v>
      </c>
      <c r="GQ22">
        <v>6695.89</v>
      </c>
      <c r="GR22">
        <v>5692.47</v>
      </c>
      <c r="GS22">
        <v>9827.0499999999993</v>
      </c>
      <c r="GT22">
        <v>8436.36</v>
      </c>
      <c r="GU22">
        <v>4424.78</v>
      </c>
      <c r="GV22">
        <v>6355.92</v>
      </c>
      <c r="GW22">
        <v>1614.25</v>
      </c>
      <c r="GX22">
        <v>4170.67</v>
      </c>
      <c r="GY22">
        <v>7471.93</v>
      </c>
      <c r="GZ22">
        <v>6415.38</v>
      </c>
      <c r="HA22">
        <v>5102.4799999999996</v>
      </c>
      <c r="HB22">
        <v>2177.0300000000002</v>
      </c>
      <c r="HC22">
        <v>8129.89</v>
      </c>
      <c r="HD22">
        <v>3095.08</v>
      </c>
      <c r="HE22">
        <v>8294.5499999999993</v>
      </c>
      <c r="HF22">
        <v>6310.29</v>
      </c>
      <c r="HG22">
        <v>4040.95</v>
      </c>
      <c r="HH22">
        <v>885.75</v>
      </c>
      <c r="HI22">
        <v>2707.98</v>
      </c>
      <c r="HJ22">
        <v>8946.17</v>
      </c>
      <c r="HK22">
        <v>8270.76</v>
      </c>
      <c r="HL22">
        <v>5961.11</v>
      </c>
      <c r="HM22">
        <v>4930.0600000000004</v>
      </c>
      <c r="HN22">
        <v>6647.86</v>
      </c>
      <c r="HO22">
        <v>4929.3599999999997</v>
      </c>
      <c r="HP22">
        <v>6620.9</v>
      </c>
      <c r="HQ22">
        <v>3420.34</v>
      </c>
      <c r="HR22">
        <v>8465.7199999999993</v>
      </c>
      <c r="HS22">
        <v>7168.22</v>
      </c>
      <c r="HT22">
        <v>3634.77</v>
      </c>
      <c r="HU22">
        <v>8391.33</v>
      </c>
      <c r="HV22">
        <v>5129.75</v>
      </c>
      <c r="HW22">
        <v>2159.0700000000002</v>
      </c>
      <c r="HX22">
        <v>1238.27</v>
      </c>
      <c r="HY22">
        <v>7146.25</v>
      </c>
      <c r="HZ22">
        <v>8718.65</v>
      </c>
      <c r="IA22">
        <v>8170.7</v>
      </c>
      <c r="IB22">
        <v>6728.68</v>
      </c>
      <c r="IC22">
        <v>1843.06</v>
      </c>
      <c r="ID22">
        <v>1393.42</v>
      </c>
      <c r="IE22">
        <v>3777.78</v>
      </c>
      <c r="IF22">
        <v>8621.65</v>
      </c>
      <c r="IG22">
        <v>9636.49</v>
      </c>
      <c r="IH22">
        <v>2792.93</v>
      </c>
      <c r="II22">
        <v>7739.91</v>
      </c>
      <c r="IJ22">
        <v>5951.76</v>
      </c>
      <c r="IK22">
        <v>802.17</v>
      </c>
      <c r="IL22">
        <v>5657.71</v>
      </c>
      <c r="IM22">
        <v>8156.43</v>
      </c>
      <c r="IN22">
        <v>3123.17</v>
      </c>
      <c r="IO22">
        <v>9024.94</v>
      </c>
      <c r="IP22">
        <v>2744.47</v>
      </c>
      <c r="IQ22">
        <v>1226.49</v>
      </c>
      <c r="IR22">
        <v>2019.42</v>
      </c>
      <c r="IS22">
        <v>8451.5300000000007</v>
      </c>
      <c r="IT22">
        <v>4464.41</v>
      </c>
      <c r="IU22">
        <v>8070.98</v>
      </c>
      <c r="IV22">
        <v>5546.71</v>
      </c>
      <c r="IW22">
        <v>5065.3100000000004</v>
      </c>
      <c r="IX22">
        <v>8165.67</v>
      </c>
      <c r="IY22">
        <v>4523.13</v>
      </c>
      <c r="IZ22">
        <v>8119.31</v>
      </c>
      <c r="JA22">
        <v>1456.29</v>
      </c>
      <c r="JB22">
        <v>6544.95</v>
      </c>
      <c r="JC22">
        <v>7174.58</v>
      </c>
      <c r="JD22">
        <v>9041.43</v>
      </c>
      <c r="JE22">
        <v>2631.08</v>
      </c>
      <c r="JF22">
        <v>6240.09</v>
      </c>
      <c r="JG22">
        <v>4615.9399999999996</v>
      </c>
      <c r="JH22">
        <v>4136.33</v>
      </c>
      <c r="JI22">
        <v>1513.78</v>
      </c>
      <c r="JJ22">
        <v>1775.22</v>
      </c>
      <c r="JK22">
        <v>8451.39</v>
      </c>
      <c r="JL22">
        <v>7622.66</v>
      </c>
      <c r="JM22">
        <v>4132.24</v>
      </c>
      <c r="JN22">
        <v>8370.6200000000008</v>
      </c>
      <c r="JO22">
        <v>1267.28</v>
      </c>
      <c r="JP22">
        <v>6435.35</v>
      </c>
      <c r="JQ22">
        <v>8747.67</v>
      </c>
      <c r="JR22">
        <v>8469.2099999999991</v>
      </c>
      <c r="JS22">
        <v>4041.44</v>
      </c>
      <c r="JT22">
        <v>7579.72</v>
      </c>
      <c r="JU22">
        <v>4560.95</v>
      </c>
      <c r="JV22">
        <v>8481.31</v>
      </c>
      <c r="JW22">
        <v>5542.24</v>
      </c>
      <c r="JX22">
        <v>7766.14</v>
      </c>
      <c r="JY22">
        <v>1246.43</v>
      </c>
      <c r="JZ22">
        <v>6105.25</v>
      </c>
      <c r="KA22">
        <v>5727.7</v>
      </c>
      <c r="KB22">
        <v>6294.78</v>
      </c>
      <c r="KC22">
        <v>7108.6</v>
      </c>
      <c r="KD22">
        <v>9222.0400000000009</v>
      </c>
      <c r="KE22">
        <v>7963.98</v>
      </c>
      <c r="KF22">
        <v>2586.56</v>
      </c>
      <c r="KG22">
        <v>8346.01</v>
      </c>
      <c r="KH22">
        <v>1659.76</v>
      </c>
      <c r="KI22">
        <v>6410.89</v>
      </c>
      <c r="KJ22">
        <v>8886.16</v>
      </c>
      <c r="KK22">
        <v>1460.66</v>
      </c>
      <c r="KL22">
        <v>8572.08</v>
      </c>
      <c r="KM22">
        <v>8086.9</v>
      </c>
      <c r="KN22">
        <v>5285.87</v>
      </c>
      <c r="KO22">
        <v>3434.53</v>
      </c>
      <c r="KP22">
        <v>4351.66</v>
      </c>
      <c r="KQ22">
        <v>9702.25</v>
      </c>
      <c r="KR22">
        <v>2416.13</v>
      </c>
      <c r="KS22">
        <v>6006.24</v>
      </c>
      <c r="KT22">
        <v>1290.79</v>
      </c>
      <c r="KU22">
        <v>2569.98</v>
      </c>
      <c r="KV22">
        <v>7751.51</v>
      </c>
      <c r="KW22">
        <v>3374.69</v>
      </c>
      <c r="KX22">
        <v>9864.7800000000007</v>
      </c>
      <c r="KY22">
        <v>5257.76</v>
      </c>
      <c r="KZ22">
        <v>5407.12</v>
      </c>
      <c r="LA22">
        <v>844.99</v>
      </c>
      <c r="LB22">
        <v>9587</v>
      </c>
      <c r="LC22">
        <v>2155.2199999999998</v>
      </c>
      <c r="LD22">
        <v>5614.24</v>
      </c>
      <c r="LE22">
        <v>4258.91</v>
      </c>
      <c r="LF22">
        <v>4448.05</v>
      </c>
      <c r="LG22">
        <v>6611.35</v>
      </c>
      <c r="LH22">
        <v>6789.84</v>
      </c>
      <c r="LI22">
        <v>1965.74</v>
      </c>
      <c r="LJ22">
        <v>5246.07</v>
      </c>
      <c r="LK22">
        <v>8009.54</v>
      </c>
      <c r="LL22">
        <v>4711.22</v>
      </c>
      <c r="LM22">
        <v>2075.14</v>
      </c>
      <c r="LN22">
        <v>3475.56</v>
      </c>
      <c r="LO22">
        <v>2517.61</v>
      </c>
      <c r="LP22">
        <v>1695.27</v>
      </c>
      <c r="LQ22">
        <v>4087.02</v>
      </c>
      <c r="LR22">
        <v>5638.89</v>
      </c>
      <c r="LS22">
        <v>1191.1400000000001</v>
      </c>
      <c r="LT22">
        <v>6236.32</v>
      </c>
      <c r="LU22">
        <v>9933.73</v>
      </c>
      <c r="LV22">
        <v>9659.19</v>
      </c>
      <c r="LW22">
        <v>8377.15</v>
      </c>
      <c r="LX22">
        <v>3030.24</v>
      </c>
      <c r="LY22">
        <v>712.87</v>
      </c>
      <c r="LZ22">
        <v>8418.65</v>
      </c>
      <c r="MA22">
        <v>1029.3399999999999</v>
      </c>
      <c r="MB22">
        <v>2453.4699999999998</v>
      </c>
      <c r="MC22">
        <v>5672.31</v>
      </c>
      <c r="MD22">
        <v>2194.59</v>
      </c>
      <c r="ME22">
        <v>8420.99</v>
      </c>
      <c r="MF22">
        <v>7883.02</v>
      </c>
      <c r="MG22">
        <v>7679.81</v>
      </c>
      <c r="MH22">
        <v>8253.2099999999991</v>
      </c>
      <c r="MI22">
        <v>2587.17</v>
      </c>
      <c r="MJ22">
        <v>7424.48</v>
      </c>
      <c r="MK22">
        <v>3875.17</v>
      </c>
      <c r="ML22">
        <v>6835.03</v>
      </c>
      <c r="MM22">
        <v>1659.21</v>
      </c>
      <c r="MN22">
        <v>7203.07</v>
      </c>
      <c r="MO22">
        <v>9735.02</v>
      </c>
      <c r="MP22">
        <v>914.2</v>
      </c>
      <c r="MQ22">
        <v>1391.37</v>
      </c>
      <c r="MR22">
        <v>1674.55</v>
      </c>
      <c r="MS22">
        <v>4590.3599999999997</v>
      </c>
      <c r="MT22">
        <v>3262.41</v>
      </c>
      <c r="MU22">
        <v>8165.74</v>
      </c>
      <c r="MV22">
        <v>5000.9799999999996</v>
      </c>
      <c r="MW22">
        <v>5103.1000000000004</v>
      </c>
      <c r="MX22">
        <v>7311.86</v>
      </c>
      <c r="MY22">
        <v>3938.71</v>
      </c>
      <c r="MZ22">
        <v>3855.47</v>
      </c>
      <c r="NA22">
        <v>7690.8</v>
      </c>
      <c r="NB22">
        <v>7910.4</v>
      </c>
      <c r="NC22">
        <v>636.79</v>
      </c>
      <c r="ND22">
        <v>1866.01</v>
      </c>
      <c r="NE22">
        <v>2524.4299999999998</v>
      </c>
      <c r="NF22">
        <v>3840.2</v>
      </c>
      <c r="NG22">
        <v>3268.76</v>
      </c>
      <c r="NH22">
        <v>6850.94</v>
      </c>
      <c r="NI22">
        <v>8367.2800000000007</v>
      </c>
      <c r="NJ22">
        <v>2324.83</v>
      </c>
      <c r="NK22">
        <v>5848.31</v>
      </c>
      <c r="NL22">
        <v>3994.25</v>
      </c>
      <c r="NM22">
        <v>5304.89</v>
      </c>
      <c r="NN22">
        <v>6397.2</v>
      </c>
      <c r="NO22">
        <v>8989.2000000000007</v>
      </c>
      <c r="NP22">
        <v>2326.7800000000002</v>
      </c>
      <c r="NQ22">
        <v>1326.56</v>
      </c>
      <c r="NR22">
        <v>6458.51</v>
      </c>
      <c r="NS22">
        <v>4244.24</v>
      </c>
      <c r="NT22">
        <v>2047.58</v>
      </c>
      <c r="NU22">
        <v>1612.33</v>
      </c>
      <c r="NV22">
        <v>5809.64</v>
      </c>
      <c r="NW22">
        <v>3354.47</v>
      </c>
      <c r="NX22">
        <v>9975.5499999999993</v>
      </c>
      <c r="NY22">
        <v>4356.0600000000004</v>
      </c>
      <c r="NZ22">
        <v>2516.7199999999998</v>
      </c>
      <c r="OA22">
        <v>6474.07</v>
      </c>
      <c r="OB22">
        <v>2820.42</v>
      </c>
      <c r="OC22">
        <v>5193.82</v>
      </c>
      <c r="OD22">
        <v>5084.47</v>
      </c>
      <c r="OE22">
        <v>4808.8</v>
      </c>
      <c r="OF22">
        <v>8062.81</v>
      </c>
      <c r="OG22">
        <v>2557.8200000000002</v>
      </c>
      <c r="OH22">
        <v>9090.92</v>
      </c>
      <c r="OI22">
        <v>8017.73</v>
      </c>
      <c r="OJ22">
        <v>3664.66</v>
      </c>
      <c r="OK22">
        <v>2215.7199999999998</v>
      </c>
      <c r="OL22">
        <v>3155.58</v>
      </c>
      <c r="OM22">
        <v>3660.04</v>
      </c>
      <c r="ON22">
        <v>5790.87</v>
      </c>
      <c r="OO22">
        <v>940.5</v>
      </c>
      <c r="OP22">
        <v>9186.41</v>
      </c>
      <c r="OQ22">
        <v>1437.41</v>
      </c>
      <c r="OR22">
        <v>3153.1</v>
      </c>
      <c r="OS22">
        <v>1538.23</v>
      </c>
      <c r="OT22">
        <v>2938.39</v>
      </c>
      <c r="OU22">
        <v>8457.9</v>
      </c>
      <c r="OV22">
        <v>6344.17</v>
      </c>
      <c r="OW22">
        <v>2659.57</v>
      </c>
      <c r="OX22">
        <v>8781.7099999999991</v>
      </c>
      <c r="OY22">
        <v>8106.76</v>
      </c>
      <c r="OZ22">
        <v>7659.67</v>
      </c>
      <c r="PA22">
        <v>8552.51</v>
      </c>
      <c r="PB22">
        <v>6386.67</v>
      </c>
      <c r="PC22">
        <v>5263.65</v>
      </c>
      <c r="PD22">
        <v>4052.38</v>
      </c>
      <c r="PE22">
        <v>2625.76</v>
      </c>
      <c r="PF22">
        <v>5795.41</v>
      </c>
      <c r="PG22">
        <v>8950.18</v>
      </c>
      <c r="PH22">
        <v>6142.83</v>
      </c>
      <c r="PI22">
        <v>9236.27</v>
      </c>
      <c r="PJ22">
        <v>3890.72</v>
      </c>
      <c r="PK22">
        <v>7103.81</v>
      </c>
      <c r="PL22">
        <v>6662.32</v>
      </c>
      <c r="PM22">
        <v>6869.12</v>
      </c>
      <c r="PN22">
        <v>6627.9</v>
      </c>
      <c r="PO22">
        <v>2605.7199999999998</v>
      </c>
      <c r="PP22">
        <v>1864.11</v>
      </c>
      <c r="PQ22">
        <v>9796.9699999999993</v>
      </c>
      <c r="PR22">
        <v>930.3</v>
      </c>
      <c r="PS22">
        <v>4943.5</v>
      </c>
      <c r="PT22">
        <v>4538.26</v>
      </c>
      <c r="PU22">
        <v>3920.18</v>
      </c>
      <c r="PV22">
        <v>7928.85</v>
      </c>
      <c r="PW22">
        <v>7580.83</v>
      </c>
      <c r="PX22">
        <v>9099.64</v>
      </c>
      <c r="PY22">
        <v>4257.13</v>
      </c>
      <c r="PZ22">
        <v>5859.71</v>
      </c>
      <c r="QA22">
        <v>8976.92</v>
      </c>
      <c r="QB22">
        <v>9941.56</v>
      </c>
      <c r="QC22">
        <v>9708.2999999999993</v>
      </c>
      <c r="QD22">
        <v>7319.52</v>
      </c>
      <c r="QE22">
        <v>1860.66</v>
      </c>
      <c r="QF22">
        <v>720.27</v>
      </c>
      <c r="QG22">
        <v>8339.57</v>
      </c>
      <c r="QH22">
        <v>8488.9500000000007</v>
      </c>
      <c r="QI22">
        <v>7590.43</v>
      </c>
      <c r="QJ22">
        <v>3159.27</v>
      </c>
      <c r="QK22">
        <v>6578.27</v>
      </c>
      <c r="QL22">
        <v>3504.36</v>
      </c>
      <c r="QM22">
        <v>4781.16</v>
      </c>
      <c r="QN22">
        <v>4133.13</v>
      </c>
      <c r="QO22">
        <v>9179.58</v>
      </c>
      <c r="QP22">
        <v>2724.49</v>
      </c>
      <c r="QQ22">
        <v>5987.3</v>
      </c>
      <c r="QR22">
        <v>3929.32</v>
      </c>
      <c r="QS22">
        <v>6799.18</v>
      </c>
      <c r="QT22">
        <v>5863.35</v>
      </c>
      <c r="QU22">
        <v>9277.7900000000009</v>
      </c>
      <c r="QV22">
        <v>1465.32</v>
      </c>
      <c r="QW22">
        <v>2596.09</v>
      </c>
      <c r="QX22">
        <v>7780.31</v>
      </c>
      <c r="QY22">
        <v>4003.47</v>
      </c>
      <c r="QZ22">
        <v>2074.9499999999998</v>
      </c>
      <c r="RA22">
        <v>5281.55</v>
      </c>
      <c r="RB22">
        <v>6695.35</v>
      </c>
      <c r="RC22">
        <v>925.85</v>
      </c>
      <c r="RD22">
        <v>3270.41</v>
      </c>
      <c r="RE22">
        <v>8189.51</v>
      </c>
      <c r="RF22">
        <v>5442.32</v>
      </c>
      <c r="RG22">
        <v>836.1</v>
      </c>
      <c r="RH22">
        <v>3178.53</v>
      </c>
      <c r="RI22">
        <v>6571.84</v>
      </c>
      <c r="RJ22">
        <v>2393.91</v>
      </c>
      <c r="RK22">
        <v>8360.2199999999993</v>
      </c>
      <c r="RL22">
        <v>6927.47</v>
      </c>
      <c r="RM22">
        <v>4978.1000000000004</v>
      </c>
      <c r="RN22">
        <v>9198.43</v>
      </c>
      <c r="RO22">
        <v>4222.1099999999997</v>
      </c>
      <c r="RP22">
        <v>2733.2</v>
      </c>
      <c r="RQ22">
        <v>6783.33</v>
      </c>
      <c r="RR22">
        <v>5946.3</v>
      </c>
      <c r="RS22">
        <v>3684.86</v>
      </c>
      <c r="RT22">
        <v>3764.81</v>
      </c>
      <c r="RU22">
        <v>4283</v>
      </c>
      <c r="RV22">
        <v>3265.82</v>
      </c>
      <c r="RW22">
        <v>7247.29</v>
      </c>
      <c r="RX22">
        <v>6687.9</v>
      </c>
      <c r="RY22">
        <v>4687.3900000000003</v>
      </c>
      <c r="RZ22">
        <v>4279.62</v>
      </c>
      <c r="SA22">
        <v>3967.99</v>
      </c>
      <c r="SB22">
        <v>3192.95</v>
      </c>
      <c r="SC22">
        <v>1314.12</v>
      </c>
      <c r="SD22">
        <v>3047.94</v>
      </c>
      <c r="SE22">
        <v>3551.41</v>
      </c>
      <c r="SF22">
        <v>5703</v>
      </c>
      <c r="SG22">
        <v>7850.99</v>
      </c>
      <c r="SH22">
        <v>4259.17</v>
      </c>
      <c r="SI22">
        <v>9475.19</v>
      </c>
      <c r="SJ22">
        <v>8359.82</v>
      </c>
      <c r="SK22">
        <v>9855.6200000000008</v>
      </c>
      <c r="SL22">
        <v>8823.93</v>
      </c>
      <c r="SM22">
        <v>6358.9</v>
      </c>
      <c r="SN22">
        <v>6185.55</v>
      </c>
      <c r="SO22">
        <v>1730.5</v>
      </c>
      <c r="SP22">
        <v>7362.79</v>
      </c>
      <c r="SQ22">
        <v>6201.97</v>
      </c>
      <c r="SR22">
        <v>5315.85</v>
      </c>
      <c r="SS22">
        <v>7086.23</v>
      </c>
      <c r="ST22">
        <v>4718.45</v>
      </c>
      <c r="SU22">
        <v>5476.67</v>
      </c>
      <c r="SV22">
        <v>4284.3500000000004</v>
      </c>
      <c r="SW22">
        <v>7315.02</v>
      </c>
      <c r="SX22">
        <v>8827.7999999999993</v>
      </c>
      <c r="SY22">
        <v>8488.0300000000007</v>
      </c>
      <c r="SZ22">
        <v>7967.24</v>
      </c>
      <c r="TA22">
        <v>630.98</v>
      </c>
      <c r="TB22">
        <v>9162.86</v>
      </c>
      <c r="TC22">
        <v>3111.32</v>
      </c>
      <c r="TD22">
        <v>8935.75</v>
      </c>
      <c r="TE22">
        <v>2371.1999999999998</v>
      </c>
      <c r="TF22">
        <v>4676.63</v>
      </c>
      <c r="TG22">
        <v>7619.29</v>
      </c>
      <c r="TH22">
        <v>6582.65</v>
      </c>
      <c r="TI22">
        <v>4451.26</v>
      </c>
      <c r="TJ22">
        <v>6946.93</v>
      </c>
      <c r="TK22">
        <v>5715.02</v>
      </c>
      <c r="TL22">
        <v>3119.49</v>
      </c>
      <c r="TM22">
        <v>6640.13</v>
      </c>
      <c r="TN22">
        <v>2440.35</v>
      </c>
      <c r="TO22">
        <v>7092.89</v>
      </c>
      <c r="TP22">
        <v>529.54999999999995</v>
      </c>
      <c r="TQ22">
        <v>5713.34</v>
      </c>
      <c r="TR22">
        <v>4310.1400000000003</v>
      </c>
      <c r="TS22">
        <v>3379.49</v>
      </c>
      <c r="TT22">
        <v>5399.23</v>
      </c>
      <c r="TU22">
        <v>6630.46</v>
      </c>
      <c r="TV22">
        <v>9670.4699999999993</v>
      </c>
      <c r="TW22">
        <v>8414.11</v>
      </c>
      <c r="TX22">
        <v>7312.92</v>
      </c>
      <c r="TY22">
        <v>5050.1899999999996</v>
      </c>
      <c r="TZ22">
        <v>4225.37</v>
      </c>
      <c r="UA22">
        <v>809.03</v>
      </c>
      <c r="UB22">
        <v>3911.42</v>
      </c>
      <c r="UC22">
        <v>8559.58</v>
      </c>
      <c r="UD22">
        <v>4148.2299999999996</v>
      </c>
      <c r="UE22">
        <v>4885.0600000000004</v>
      </c>
      <c r="UF22">
        <v>3082.43</v>
      </c>
      <c r="UG22">
        <v>3104.26</v>
      </c>
      <c r="UH22">
        <v>1087.78</v>
      </c>
      <c r="UI22">
        <v>6331.14</v>
      </c>
      <c r="UJ22">
        <v>4756.66</v>
      </c>
      <c r="UK22">
        <v>6256.63</v>
      </c>
      <c r="UL22">
        <v>5695.43</v>
      </c>
      <c r="UM22">
        <v>8089.02</v>
      </c>
      <c r="UN22">
        <v>7634.61</v>
      </c>
      <c r="UO22">
        <v>7828.81</v>
      </c>
      <c r="UP22">
        <v>5242.7700000000004</v>
      </c>
      <c r="UQ22">
        <v>3861.87</v>
      </c>
      <c r="UR22">
        <v>9367.65</v>
      </c>
      <c r="US22">
        <v>1015.56</v>
      </c>
      <c r="UT22">
        <v>1949.9</v>
      </c>
      <c r="UU22">
        <v>4486.1899999999996</v>
      </c>
      <c r="UV22">
        <v>6332.6</v>
      </c>
      <c r="UW22">
        <v>577.9</v>
      </c>
      <c r="UX22">
        <v>7333.57</v>
      </c>
      <c r="UY22">
        <v>5807.9</v>
      </c>
      <c r="UZ22">
        <v>5104.68</v>
      </c>
      <c r="VA22">
        <v>4523.2</v>
      </c>
      <c r="VB22">
        <v>5435.13</v>
      </c>
      <c r="VC22">
        <v>2036.96</v>
      </c>
      <c r="VD22">
        <v>1532.76</v>
      </c>
      <c r="VE22">
        <v>3251.56</v>
      </c>
      <c r="VF22">
        <v>7240.3</v>
      </c>
      <c r="VG22">
        <v>6088.73</v>
      </c>
      <c r="VH22">
        <v>5061.17</v>
      </c>
      <c r="VI22">
        <v>5929.45</v>
      </c>
      <c r="VJ22">
        <v>5812.95</v>
      </c>
      <c r="VK22">
        <v>3416.9</v>
      </c>
      <c r="VL22">
        <v>1425.83</v>
      </c>
      <c r="VM22">
        <v>9019.43</v>
      </c>
      <c r="VN22">
        <v>6199.16</v>
      </c>
      <c r="VO22">
        <v>7128.61</v>
      </c>
      <c r="VP22">
        <v>4907.97</v>
      </c>
      <c r="VQ22">
        <v>7686.57</v>
      </c>
      <c r="VR22">
        <v>6052.72</v>
      </c>
      <c r="VS22">
        <v>1011.11</v>
      </c>
      <c r="VT22">
        <v>8955.92</v>
      </c>
      <c r="VU22">
        <v>3402.59</v>
      </c>
      <c r="VV22">
        <v>1809.96</v>
      </c>
      <c r="VW22">
        <v>1336.39</v>
      </c>
      <c r="VX22">
        <v>7344.18</v>
      </c>
      <c r="VY22">
        <v>7187.7</v>
      </c>
      <c r="VZ22">
        <v>7151.54</v>
      </c>
      <c r="WA22">
        <v>9199.65</v>
      </c>
      <c r="WB22">
        <v>3814.96</v>
      </c>
      <c r="WC22">
        <v>5830.76</v>
      </c>
      <c r="WD22">
        <v>6385.21</v>
      </c>
      <c r="WE22">
        <v>9805.08</v>
      </c>
      <c r="WF22">
        <v>3467.29</v>
      </c>
      <c r="WG22">
        <v>9585.15</v>
      </c>
      <c r="WH22">
        <v>1912.98</v>
      </c>
      <c r="WI22">
        <v>7758.01</v>
      </c>
      <c r="WJ22">
        <v>6512.42</v>
      </c>
      <c r="WK22">
        <v>8260.51</v>
      </c>
      <c r="WL22">
        <v>772.51</v>
      </c>
      <c r="WM22">
        <v>1242.24</v>
      </c>
      <c r="WN22">
        <v>1162.1099999999999</v>
      </c>
      <c r="WO22">
        <v>6133.11</v>
      </c>
      <c r="WP22">
        <v>6227.89</v>
      </c>
      <c r="WQ22">
        <v>9108</v>
      </c>
      <c r="WR22">
        <v>4942.2299999999996</v>
      </c>
      <c r="WS22">
        <v>1146.47</v>
      </c>
      <c r="WT22">
        <v>2490.5300000000002</v>
      </c>
      <c r="WU22">
        <v>576.69000000000005</v>
      </c>
      <c r="WV22">
        <v>7878.79</v>
      </c>
      <c r="WW22">
        <v>8248.19</v>
      </c>
      <c r="WX22">
        <v>9980.43</v>
      </c>
      <c r="WY22">
        <v>4415.8500000000004</v>
      </c>
      <c r="WZ22">
        <v>683.33</v>
      </c>
      <c r="XA22">
        <v>2729.93</v>
      </c>
      <c r="XB22">
        <v>6083.8</v>
      </c>
      <c r="XC22">
        <v>9638.4599999999991</v>
      </c>
      <c r="XD22">
        <v>1484</v>
      </c>
      <c r="XE22">
        <v>1654.94</v>
      </c>
      <c r="XF22">
        <v>7166.71</v>
      </c>
      <c r="XG22">
        <v>6838.47</v>
      </c>
      <c r="XH22">
        <v>2879.81</v>
      </c>
      <c r="XI22">
        <v>8224.8799999999992</v>
      </c>
      <c r="XJ22">
        <v>1723.4</v>
      </c>
      <c r="XK22">
        <v>9294.5499999999993</v>
      </c>
      <c r="XL22">
        <v>2409.8000000000002</v>
      </c>
      <c r="XM22">
        <v>1272.8499999999999</v>
      </c>
      <c r="XN22">
        <v>3725.46</v>
      </c>
      <c r="XO22">
        <v>2284.4899999999998</v>
      </c>
      <c r="XP22">
        <v>5505.94</v>
      </c>
      <c r="XQ22">
        <v>7025.04</v>
      </c>
      <c r="XR22">
        <v>5163.75</v>
      </c>
      <c r="XS22">
        <v>6775.77</v>
      </c>
      <c r="XT22">
        <v>3966.74</v>
      </c>
      <c r="XU22">
        <v>765.26</v>
      </c>
      <c r="XV22">
        <v>9753.61</v>
      </c>
      <c r="XW22">
        <v>8284.43</v>
      </c>
      <c r="XX22">
        <v>1197.48</v>
      </c>
      <c r="XY22">
        <v>4767.18</v>
      </c>
      <c r="XZ22">
        <v>6532.68</v>
      </c>
      <c r="YA22">
        <v>2310.65</v>
      </c>
      <c r="YB22">
        <v>5990.89</v>
      </c>
      <c r="YC22">
        <v>5569.66</v>
      </c>
      <c r="YD22">
        <v>2478.52</v>
      </c>
      <c r="YE22">
        <v>1841.5</v>
      </c>
      <c r="YF22">
        <v>7710.14</v>
      </c>
      <c r="YG22">
        <v>3564.57</v>
      </c>
      <c r="YH22">
        <v>2818.39</v>
      </c>
      <c r="YI22">
        <v>7509.84</v>
      </c>
      <c r="YJ22">
        <v>7492.65</v>
      </c>
      <c r="YK22">
        <v>3125.82</v>
      </c>
      <c r="YL22">
        <v>8789.4</v>
      </c>
      <c r="YM22">
        <v>7038.38</v>
      </c>
      <c r="YN22">
        <v>3784.76</v>
      </c>
      <c r="YO22">
        <v>4561.1499999999996</v>
      </c>
      <c r="YP22">
        <v>7403.74</v>
      </c>
      <c r="YQ22">
        <v>2510.0500000000002</v>
      </c>
      <c r="YR22">
        <v>4953.2299999999996</v>
      </c>
      <c r="YS22">
        <v>6708.8</v>
      </c>
      <c r="YT22">
        <v>5625.24</v>
      </c>
      <c r="YU22">
        <v>6279.12</v>
      </c>
      <c r="YV22">
        <v>5689.02</v>
      </c>
      <c r="YW22">
        <v>2392.66</v>
      </c>
      <c r="YX22">
        <v>4396.95</v>
      </c>
      <c r="YY22">
        <v>5553.86</v>
      </c>
      <c r="YZ22">
        <v>7910.6</v>
      </c>
      <c r="ZA22">
        <v>6712.09</v>
      </c>
      <c r="ZB22">
        <v>4552.6099999999997</v>
      </c>
      <c r="ZC22">
        <v>9756.7999999999993</v>
      </c>
      <c r="ZD22">
        <v>1524.06</v>
      </c>
      <c r="ZE22">
        <v>2464.65</v>
      </c>
      <c r="ZF22">
        <v>3742.47</v>
      </c>
      <c r="ZG22">
        <v>2671.43</v>
      </c>
      <c r="ZH22">
        <v>6441.7</v>
      </c>
      <c r="ZI22">
        <v>875.73</v>
      </c>
      <c r="ZJ22">
        <v>2185.65</v>
      </c>
      <c r="ZK22">
        <v>3286.8</v>
      </c>
      <c r="ZL22">
        <v>6991.78</v>
      </c>
      <c r="ZM22">
        <v>8820.7199999999993</v>
      </c>
      <c r="ZN22">
        <v>8085.67</v>
      </c>
      <c r="ZO22">
        <v>2229.77</v>
      </c>
      <c r="ZP22">
        <v>5871.35</v>
      </c>
      <c r="ZQ22">
        <v>785.22</v>
      </c>
      <c r="ZR22">
        <v>3450.1</v>
      </c>
      <c r="ZS22">
        <v>8156.85</v>
      </c>
      <c r="ZT22">
        <v>4838.32</v>
      </c>
      <c r="ZU22">
        <v>1924.44</v>
      </c>
      <c r="ZV22">
        <v>4666.26</v>
      </c>
      <c r="ZW22">
        <v>2381.31</v>
      </c>
      <c r="ZX22">
        <v>4235.32</v>
      </c>
      <c r="ZY22">
        <v>5134.42</v>
      </c>
      <c r="ZZ22">
        <v>3820.8</v>
      </c>
      <c r="AAA22">
        <v>9401.2099999999991</v>
      </c>
      <c r="AAB22">
        <v>5844.04</v>
      </c>
      <c r="AAC22">
        <v>8507.48</v>
      </c>
      <c r="AAD22">
        <v>7726.92</v>
      </c>
      <c r="AAE22">
        <v>6781.08</v>
      </c>
      <c r="AAF22">
        <v>5220.4399999999996</v>
      </c>
      <c r="AAG22">
        <v>520.65</v>
      </c>
      <c r="AAH22">
        <v>6327.94</v>
      </c>
      <c r="AAI22">
        <v>3881.6</v>
      </c>
      <c r="AAJ22">
        <v>1618.74</v>
      </c>
      <c r="AAK22">
        <v>4723.95</v>
      </c>
      <c r="AAL22">
        <v>7487.76</v>
      </c>
      <c r="AAM22">
        <v>9635.94</v>
      </c>
      <c r="AAN22">
        <v>4054</v>
      </c>
      <c r="AAO22">
        <v>5655.87</v>
      </c>
      <c r="AAP22">
        <v>8586.82</v>
      </c>
      <c r="AAQ22">
        <v>3672.99</v>
      </c>
      <c r="AAR22">
        <v>1851.44</v>
      </c>
      <c r="AAS22">
        <v>3177.88</v>
      </c>
      <c r="AAT22">
        <v>9041.67</v>
      </c>
      <c r="AAU22">
        <v>2014.23</v>
      </c>
      <c r="AAV22">
        <v>3627.6</v>
      </c>
      <c r="AAW22">
        <v>4914.08</v>
      </c>
      <c r="AAX22">
        <v>8547.58</v>
      </c>
      <c r="AAY22">
        <v>9408.2800000000007</v>
      </c>
      <c r="AAZ22">
        <v>4545.2</v>
      </c>
      <c r="ABA22">
        <v>9353.56</v>
      </c>
      <c r="ABB22">
        <v>2033.86</v>
      </c>
      <c r="ABC22">
        <v>1990.1</v>
      </c>
      <c r="ABD22">
        <v>9517.8799999999992</v>
      </c>
      <c r="ABE22">
        <v>5341.96</v>
      </c>
      <c r="ABF22">
        <v>2266.12</v>
      </c>
      <c r="ABG22">
        <v>5135.91</v>
      </c>
      <c r="ABH22">
        <v>7940.51</v>
      </c>
      <c r="ABI22">
        <v>8355.74</v>
      </c>
      <c r="ABJ22">
        <v>8707.7099999999991</v>
      </c>
      <c r="ABK22">
        <v>5910.92</v>
      </c>
      <c r="ABL22">
        <v>8735.99</v>
      </c>
      <c r="ABM22">
        <v>5345.29</v>
      </c>
      <c r="ABN22">
        <v>6267.07</v>
      </c>
      <c r="ABO22">
        <v>7707.84</v>
      </c>
      <c r="ABP22">
        <v>4541.6400000000003</v>
      </c>
      <c r="ABQ22">
        <v>1199.02</v>
      </c>
      <c r="ABR22">
        <v>3826.58</v>
      </c>
      <c r="ABS22">
        <v>6427.47</v>
      </c>
      <c r="ABT22">
        <v>2327.16</v>
      </c>
      <c r="ABU22">
        <v>1909.66</v>
      </c>
      <c r="ABV22">
        <v>3284.27</v>
      </c>
      <c r="ABW22">
        <v>805.06</v>
      </c>
      <c r="ABX22">
        <v>7562.52</v>
      </c>
      <c r="ABY22">
        <v>2957.8</v>
      </c>
      <c r="ABZ22">
        <v>1680.26</v>
      </c>
      <c r="ACA22">
        <v>7141.73</v>
      </c>
      <c r="ACB22">
        <v>8507.82</v>
      </c>
      <c r="ACC22">
        <v>688.82</v>
      </c>
      <c r="ACD22">
        <v>2719.2</v>
      </c>
      <c r="ACE22">
        <v>9479.7099999999991</v>
      </c>
      <c r="ACF22">
        <v>4159.91</v>
      </c>
      <c r="ACG22">
        <v>9416.6200000000008</v>
      </c>
      <c r="ACH22">
        <v>3105.02</v>
      </c>
      <c r="ACI22">
        <v>2571.64</v>
      </c>
      <c r="ACJ22">
        <v>2534.0300000000002</v>
      </c>
      <c r="ACK22">
        <v>1309.67</v>
      </c>
      <c r="ACL22">
        <v>9016.11</v>
      </c>
      <c r="ACM22">
        <v>9808.43</v>
      </c>
      <c r="ACN22">
        <v>9567.83</v>
      </c>
      <c r="ACO22">
        <v>8594.27</v>
      </c>
      <c r="ACP22">
        <v>8545.44</v>
      </c>
      <c r="ACQ22">
        <v>6780.31</v>
      </c>
      <c r="ACR22">
        <v>8349.0300000000007</v>
      </c>
      <c r="ACS22">
        <v>2479.25</v>
      </c>
      <c r="ACT22">
        <v>4185.17</v>
      </c>
      <c r="ACU22">
        <v>6587.94</v>
      </c>
      <c r="ACV22">
        <v>8810.33</v>
      </c>
      <c r="ACW22">
        <v>6774.46</v>
      </c>
      <c r="ACX22">
        <v>8470.7099999999991</v>
      </c>
      <c r="ACY22">
        <v>5002.5200000000004</v>
      </c>
      <c r="ACZ22">
        <v>7314.39</v>
      </c>
      <c r="ADA22">
        <v>9809.82</v>
      </c>
      <c r="ADB22">
        <v>1958.14</v>
      </c>
      <c r="ADC22">
        <v>9305.75</v>
      </c>
      <c r="ADD22">
        <v>5462.46</v>
      </c>
      <c r="ADE22">
        <v>6610.57</v>
      </c>
      <c r="ADF22">
        <v>8839.76</v>
      </c>
      <c r="ADG22">
        <v>4391.71</v>
      </c>
      <c r="ADH22">
        <v>4477.58</v>
      </c>
      <c r="ADI22">
        <v>5508.23</v>
      </c>
      <c r="ADJ22">
        <v>681.47</v>
      </c>
      <c r="ADK22">
        <v>5218.33</v>
      </c>
      <c r="ADL22">
        <v>3265.33</v>
      </c>
      <c r="ADM22">
        <v>9315.56</v>
      </c>
      <c r="ADN22">
        <v>1333.49</v>
      </c>
      <c r="ADO22">
        <v>4863.54</v>
      </c>
      <c r="ADP22">
        <v>9500.9500000000007</v>
      </c>
      <c r="ADQ22">
        <v>9059.83</v>
      </c>
      <c r="ADR22">
        <v>7162.81</v>
      </c>
      <c r="ADS22">
        <v>6098.93</v>
      </c>
      <c r="ADT22">
        <v>3166.94</v>
      </c>
      <c r="ADU22">
        <v>3986.09</v>
      </c>
      <c r="ADV22">
        <v>1356.28</v>
      </c>
      <c r="ADW22">
        <v>7968.03</v>
      </c>
      <c r="ADX22">
        <v>3576.76</v>
      </c>
      <c r="ADY22">
        <v>6843.93</v>
      </c>
      <c r="ADZ22">
        <v>3897.15</v>
      </c>
      <c r="AEA22">
        <v>4911.1400000000003</v>
      </c>
      <c r="AEB22">
        <v>5772.52</v>
      </c>
      <c r="AEC22">
        <v>8117.6</v>
      </c>
      <c r="AED22">
        <v>2505.9899999999998</v>
      </c>
      <c r="AEE22">
        <v>4288.2700000000004</v>
      </c>
      <c r="AEF22">
        <v>1735.77</v>
      </c>
      <c r="AEG22">
        <v>1219.72</v>
      </c>
      <c r="AEH22">
        <v>6244.41</v>
      </c>
      <c r="AEI22">
        <v>2296.36</v>
      </c>
      <c r="AEJ22">
        <v>1068.0899999999999</v>
      </c>
      <c r="AEK22">
        <v>9022.43</v>
      </c>
      <c r="AEL22">
        <v>5575.99</v>
      </c>
      <c r="AEM22">
        <v>1778.97</v>
      </c>
      <c r="AEN22">
        <v>1007.55</v>
      </c>
      <c r="AEO22">
        <v>1638.67</v>
      </c>
      <c r="AEP22">
        <v>4977.7</v>
      </c>
      <c r="AEQ22">
        <v>6850.42</v>
      </c>
      <c r="AER22">
        <v>6592.16</v>
      </c>
      <c r="AES22">
        <v>1872.02</v>
      </c>
      <c r="AET22">
        <v>6518.15</v>
      </c>
      <c r="AEU22">
        <v>4346.22</v>
      </c>
      <c r="AEV22">
        <v>4915.07</v>
      </c>
      <c r="AEW22">
        <v>8113.59</v>
      </c>
      <c r="AEX22">
        <v>3658.74</v>
      </c>
      <c r="AEY22">
        <v>1896.49</v>
      </c>
      <c r="AEZ22">
        <v>8797.7999999999993</v>
      </c>
      <c r="AFA22">
        <v>2515.2399999999998</v>
      </c>
      <c r="AFB22">
        <v>3293.28</v>
      </c>
      <c r="AFC22">
        <v>7212.61</v>
      </c>
      <c r="AFD22">
        <v>6993.73</v>
      </c>
      <c r="AFE22">
        <v>8103.8</v>
      </c>
      <c r="AFF22">
        <v>2246.73</v>
      </c>
      <c r="AFG22">
        <v>3846.66</v>
      </c>
      <c r="AFH22">
        <v>1695.89</v>
      </c>
      <c r="AFI22">
        <v>5639.87</v>
      </c>
      <c r="AFJ22">
        <v>3279.42</v>
      </c>
      <c r="AFK22">
        <v>7044.89</v>
      </c>
      <c r="AFL22">
        <v>503.27</v>
      </c>
      <c r="AFM22">
        <v>1066.99</v>
      </c>
      <c r="AFN22">
        <v>4609.32</v>
      </c>
      <c r="AFO22">
        <v>9602.75</v>
      </c>
      <c r="AFP22">
        <v>8963.09</v>
      </c>
      <c r="AFQ22">
        <v>9943.09</v>
      </c>
      <c r="AFR22">
        <v>4459.8900000000003</v>
      </c>
      <c r="AFS22">
        <v>942.4</v>
      </c>
      <c r="AFT22">
        <v>3406.58</v>
      </c>
      <c r="AFU22">
        <v>6919.82</v>
      </c>
      <c r="AFV22">
        <v>1784.06</v>
      </c>
      <c r="AFW22">
        <v>3349.74</v>
      </c>
      <c r="AFX22">
        <v>1033.58</v>
      </c>
      <c r="AFY22">
        <v>5012.1899999999996</v>
      </c>
      <c r="AFZ22">
        <v>2484.75</v>
      </c>
      <c r="AGA22">
        <v>1366.86</v>
      </c>
      <c r="AGB22">
        <v>4406.55</v>
      </c>
      <c r="AGC22">
        <v>3836.64</v>
      </c>
      <c r="AGD22">
        <v>5606.42</v>
      </c>
      <c r="AGE22">
        <v>7615.87</v>
      </c>
      <c r="AGF22">
        <v>1569.4</v>
      </c>
      <c r="AGG22">
        <v>8015.69</v>
      </c>
      <c r="AGH22">
        <v>749.75</v>
      </c>
      <c r="AGI22">
        <v>4709.47</v>
      </c>
      <c r="AGJ22">
        <v>6080.59</v>
      </c>
      <c r="AGK22">
        <v>9591.49</v>
      </c>
      <c r="AGL22">
        <v>5952.27</v>
      </c>
      <c r="AGM22">
        <v>2008.12</v>
      </c>
      <c r="AGN22">
        <v>5416.65</v>
      </c>
      <c r="AGO22">
        <v>4259.95</v>
      </c>
      <c r="AGP22">
        <v>5053.88</v>
      </c>
      <c r="AGQ22">
        <v>2372.42</v>
      </c>
      <c r="AGR22">
        <v>5257.86</v>
      </c>
      <c r="AGS22">
        <v>1925.38</v>
      </c>
      <c r="AGT22">
        <f>SUM(B22:AGS22)</f>
        <v>4513212.0900000008</v>
      </c>
    </row>
    <row r="23" spans="1:885" x14ac:dyDescent="0.25">
      <c r="A23" s="1" t="s">
        <v>11</v>
      </c>
      <c r="B23" t="s">
        <v>26</v>
      </c>
      <c r="C23" t="s">
        <v>35</v>
      </c>
      <c r="D23" t="s">
        <v>26</v>
      </c>
      <c r="E23" t="s">
        <v>46</v>
      </c>
      <c r="F23" t="s">
        <v>46</v>
      </c>
      <c r="G23" t="s">
        <v>26</v>
      </c>
      <c r="H23" t="s">
        <v>26</v>
      </c>
      <c r="I23" t="s">
        <v>46</v>
      </c>
      <c r="J23" t="s">
        <v>58</v>
      </c>
      <c r="K23" t="s">
        <v>58</v>
      </c>
      <c r="L23" t="s">
        <v>58</v>
      </c>
      <c r="M23" t="s">
        <v>26</v>
      </c>
      <c r="N23" t="s">
        <v>26</v>
      </c>
      <c r="O23" t="s">
        <v>46</v>
      </c>
      <c r="P23" t="s">
        <v>35</v>
      </c>
      <c r="Q23" t="s">
        <v>58</v>
      </c>
      <c r="R23" t="s">
        <v>58</v>
      </c>
      <c r="S23" t="s">
        <v>58</v>
      </c>
      <c r="T23" t="s">
        <v>46</v>
      </c>
      <c r="U23" t="s">
        <v>35</v>
      </c>
      <c r="V23" t="s">
        <v>35</v>
      </c>
      <c r="W23" t="s">
        <v>35</v>
      </c>
      <c r="X23" t="s">
        <v>58</v>
      </c>
      <c r="Y23" t="s">
        <v>26</v>
      </c>
      <c r="Z23" t="s">
        <v>58</v>
      </c>
      <c r="AA23" t="s">
        <v>35</v>
      </c>
      <c r="AB23" t="s">
        <v>46</v>
      </c>
      <c r="AC23" t="s">
        <v>35</v>
      </c>
      <c r="AD23" t="s">
        <v>58</v>
      </c>
      <c r="AE23" t="s">
        <v>26</v>
      </c>
      <c r="AF23" t="s">
        <v>35</v>
      </c>
      <c r="AG23" t="s">
        <v>26</v>
      </c>
      <c r="AH23" t="s">
        <v>35</v>
      </c>
      <c r="AI23" t="s">
        <v>26</v>
      </c>
      <c r="AJ23" t="s">
        <v>26</v>
      </c>
      <c r="AK23" t="s">
        <v>35</v>
      </c>
      <c r="AL23" t="s">
        <v>46</v>
      </c>
      <c r="AM23" t="s">
        <v>58</v>
      </c>
      <c r="AN23" t="s">
        <v>58</v>
      </c>
      <c r="AO23" t="s">
        <v>35</v>
      </c>
      <c r="AP23" t="s">
        <v>26</v>
      </c>
      <c r="AQ23" t="s">
        <v>58</v>
      </c>
      <c r="AR23" t="s">
        <v>26</v>
      </c>
      <c r="AS23" t="s">
        <v>46</v>
      </c>
      <c r="AT23" t="s">
        <v>35</v>
      </c>
      <c r="AU23" t="s">
        <v>46</v>
      </c>
      <c r="AV23" t="s">
        <v>26</v>
      </c>
      <c r="AW23" t="s">
        <v>26</v>
      </c>
      <c r="AX23" t="s">
        <v>35</v>
      </c>
      <c r="AY23" t="s">
        <v>26</v>
      </c>
      <c r="AZ23" t="s">
        <v>35</v>
      </c>
      <c r="BA23" t="s">
        <v>35</v>
      </c>
      <c r="BB23" t="s">
        <v>46</v>
      </c>
      <c r="BC23" t="s">
        <v>58</v>
      </c>
      <c r="BD23" t="s">
        <v>58</v>
      </c>
      <c r="BE23" t="s">
        <v>26</v>
      </c>
      <c r="BF23" t="s">
        <v>58</v>
      </c>
      <c r="BG23" t="s">
        <v>26</v>
      </c>
      <c r="BH23" t="s">
        <v>58</v>
      </c>
      <c r="BI23" t="s">
        <v>46</v>
      </c>
      <c r="BJ23" t="s">
        <v>58</v>
      </c>
      <c r="BK23" t="s">
        <v>26</v>
      </c>
      <c r="BL23" t="s">
        <v>26</v>
      </c>
      <c r="BM23" t="s">
        <v>58</v>
      </c>
      <c r="BN23" t="s">
        <v>35</v>
      </c>
      <c r="BO23" t="s">
        <v>46</v>
      </c>
      <c r="BP23" t="s">
        <v>35</v>
      </c>
      <c r="BQ23" t="s">
        <v>58</v>
      </c>
      <c r="BR23" t="s">
        <v>35</v>
      </c>
      <c r="BS23" t="s">
        <v>58</v>
      </c>
      <c r="BT23" t="s">
        <v>26</v>
      </c>
      <c r="BU23" t="s">
        <v>35</v>
      </c>
      <c r="BV23" t="s">
        <v>46</v>
      </c>
      <c r="BW23" t="s">
        <v>35</v>
      </c>
      <c r="BX23" t="s">
        <v>26</v>
      </c>
      <c r="BY23" t="s">
        <v>26</v>
      </c>
      <c r="BZ23" t="s">
        <v>26</v>
      </c>
      <c r="CA23" t="s">
        <v>35</v>
      </c>
      <c r="CB23" t="s">
        <v>26</v>
      </c>
      <c r="CC23" t="s">
        <v>26</v>
      </c>
      <c r="CD23" t="s">
        <v>35</v>
      </c>
      <c r="CE23" t="s">
        <v>35</v>
      </c>
      <c r="CF23" t="s">
        <v>58</v>
      </c>
      <c r="CG23" t="s">
        <v>35</v>
      </c>
      <c r="CH23" t="s">
        <v>26</v>
      </c>
      <c r="CI23" t="s">
        <v>46</v>
      </c>
      <c r="CJ23" t="s">
        <v>26</v>
      </c>
      <c r="CK23" t="s">
        <v>26</v>
      </c>
      <c r="CL23" t="s">
        <v>26</v>
      </c>
      <c r="CM23" t="s">
        <v>35</v>
      </c>
      <c r="CN23" t="s">
        <v>46</v>
      </c>
      <c r="CO23" t="s">
        <v>26</v>
      </c>
      <c r="CP23" t="s">
        <v>35</v>
      </c>
      <c r="CQ23" t="s">
        <v>58</v>
      </c>
      <c r="CR23" t="s">
        <v>46</v>
      </c>
      <c r="CS23" t="s">
        <v>46</v>
      </c>
      <c r="CT23" t="s">
        <v>35</v>
      </c>
      <c r="CU23" t="s">
        <v>58</v>
      </c>
      <c r="CV23" t="s">
        <v>26</v>
      </c>
      <c r="CW23" t="s">
        <v>58</v>
      </c>
      <c r="CX23" t="s">
        <v>46</v>
      </c>
      <c r="CY23" t="s">
        <v>35</v>
      </c>
      <c r="CZ23" t="s">
        <v>58</v>
      </c>
      <c r="DA23" t="s">
        <v>26</v>
      </c>
      <c r="DB23" t="s">
        <v>58</v>
      </c>
      <c r="DC23" t="s">
        <v>58</v>
      </c>
      <c r="DD23" t="s">
        <v>35</v>
      </c>
      <c r="DE23" t="s">
        <v>35</v>
      </c>
      <c r="DF23" t="s">
        <v>46</v>
      </c>
      <c r="DG23" t="s">
        <v>35</v>
      </c>
      <c r="DH23" t="s">
        <v>58</v>
      </c>
      <c r="DI23" t="s">
        <v>26</v>
      </c>
      <c r="DJ23" t="s">
        <v>46</v>
      </c>
      <c r="DK23" t="s">
        <v>35</v>
      </c>
      <c r="DL23" t="s">
        <v>58</v>
      </c>
      <c r="DM23" t="s">
        <v>58</v>
      </c>
      <c r="DN23" t="s">
        <v>46</v>
      </c>
      <c r="DO23" t="s">
        <v>46</v>
      </c>
      <c r="DP23" t="s">
        <v>35</v>
      </c>
      <c r="DQ23" t="s">
        <v>35</v>
      </c>
      <c r="DR23" t="s">
        <v>26</v>
      </c>
      <c r="DS23" t="s">
        <v>46</v>
      </c>
      <c r="DT23" t="s">
        <v>46</v>
      </c>
      <c r="DU23" t="s">
        <v>58</v>
      </c>
      <c r="DV23" t="s">
        <v>26</v>
      </c>
      <c r="DW23" t="s">
        <v>35</v>
      </c>
      <c r="DX23" t="s">
        <v>26</v>
      </c>
      <c r="DY23" t="s">
        <v>26</v>
      </c>
      <c r="DZ23" t="s">
        <v>58</v>
      </c>
      <c r="EA23" t="s">
        <v>46</v>
      </c>
      <c r="EB23" t="s">
        <v>46</v>
      </c>
      <c r="EC23" t="s">
        <v>46</v>
      </c>
      <c r="ED23" t="s">
        <v>35</v>
      </c>
      <c r="EE23" t="s">
        <v>46</v>
      </c>
      <c r="EF23" t="s">
        <v>26</v>
      </c>
      <c r="EG23" t="s">
        <v>26</v>
      </c>
      <c r="EH23" t="s">
        <v>46</v>
      </c>
      <c r="EI23" t="s">
        <v>26</v>
      </c>
      <c r="EJ23" t="s">
        <v>35</v>
      </c>
      <c r="EK23" t="s">
        <v>46</v>
      </c>
      <c r="EL23" t="s">
        <v>35</v>
      </c>
      <c r="EM23" t="s">
        <v>46</v>
      </c>
      <c r="EN23" t="s">
        <v>35</v>
      </c>
      <c r="EO23" t="s">
        <v>35</v>
      </c>
      <c r="EP23" t="s">
        <v>35</v>
      </c>
      <c r="EQ23" t="s">
        <v>26</v>
      </c>
      <c r="ER23" t="s">
        <v>35</v>
      </c>
      <c r="ES23" t="s">
        <v>58</v>
      </c>
      <c r="ET23" t="s">
        <v>35</v>
      </c>
      <c r="EU23" t="s">
        <v>35</v>
      </c>
      <c r="EV23" t="s">
        <v>35</v>
      </c>
      <c r="EW23" t="s">
        <v>35</v>
      </c>
      <c r="EX23" t="s">
        <v>46</v>
      </c>
      <c r="EY23" t="s">
        <v>26</v>
      </c>
      <c r="EZ23" t="s">
        <v>26</v>
      </c>
      <c r="FA23" t="s">
        <v>26</v>
      </c>
      <c r="FB23" t="s">
        <v>46</v>
      </c>
      <c r="FC23" t="s">
        <v>35</v>
      </c>
      <c r="FD23" t="s">
        <v>35</v>
      </c>
      <c r="FE23" t="s">
        <v>26</v>
      </c>
      <c r="FF23" t="s">
        <v>58</v>
      </c>
      <c r="FG23" t="s">
        <v>35</v>
      </c>
      <c r="FH23" t="s">
        <v>35</v>
      </c>
      <c r="FI23" t="s">
        <v>35</v>
      </c>
      <c r="FJ23" t="s">
        <v>46</v>
      </c>
      <c r="FK23" t="s">
        <v>35</v>
      </c>
      <c r="FL23" t="s">
        <v>26</v>
      </c>
      <c r="FM23" t="s">
        <v>35</v>
      </c>
      <c r="FN23" t="s">
        <v>26</v>
      </c>
      <c r="FO23" t="s">
        <v>58</v>
      </c>
      <c r="FP23" t="s">
        <v>46</v>
      </c>
      <c r="FQ23" t="s">
        <v>58</v>
      </c>
      <c r="FR23" t="s">
        <v>35</v>
      </c>
      <c r="FS23" t="s">
        <v>58</v>
      </c>
      <c r="FT23" t="s">
        <v>35</v>
      </c>
      <c r="FU23" t="s">
        <v>26</v>
      </c>
      <c r="FV23" t="s">
        <v>35</v>
      </c>
      <c r="FW23" t="s">
        <v>46</v>
      </c>
      <c r="FX23" t="s">
        <v>58</v>
      </c>
      <c r="FY23" t="s">
        <v>35</v>
      </c>
      <c r="FZ23" t="s">
        <v>26</v>
      </c>
      <c r="GA23" t="s">
        <v>58</v>
      </c>
      <c r="GB23" t="s">
        <v>46</v>
      </c>
      <c r="GC23" t="s">
        <v>35</v>
      </c>
      <c r="GD23" t="s">
        <v>46</v>
      </c>
      <c r="GE23" t="s">
        <v>26</v>
      </c>
      <c r="GF23" t="s">
        <v>58</v>
      </c>
      <c r="GG23" t="s">
        <v>58</v>
      </c>
      <c r="GH23" t="s">
        <v>58</v>
      </c>
      <c r="GI23" t="s">
        <v>26</v>
      </c>
      <c r="GJ23" t="s">
        <v>35</v>
      </c>
      <c r="GK23" t="s">
        <v>35</v>
      </c>
      <c r="GL23" t="s">
        <v>35</v>
      </c>
      <c r="GM23" t="s">
        <v>46</v>
      </c>
      <c r="GN23" t="s">
        <v>26</v>
      </c>
      <c r="GO23" t="s">
        <v>58</v>
      </c>
      <c r="GP23" t="s">
        <v>26</v>
      </c>
      <c r="GQ23" t="s">
        <v>26</v>
      </c>
      <c r="GR23" t="s">
        <v>26</v>
      </c>
      <c r="GS23" t="s">
        <v>58</v>
      </c>
      <c r="GT23" t="s">
        <v>58</v>
      </c>
      <c r="GU23" t="s">
        <v>46</v>
      </c>
      <c r="GV23" t="s">
        <v>26</v>
      </c>
      <c r="GW23" t="s">
        <v>35</v>
      </c>
      <c r="GX23" t="s">
        <v>46</v>
      </c>
      <c r="GY23" t="s">
        <v>58</v>
      </c>
      <c r="GZ23" t="s">
        <v>58</v>
      </c>
      <c r="HA23" t="s">
        <v>46</v>
      </c>
      <c r="HB23" t="s">
        <v>35</v>
      </c>
      <c r="HC23" t="s">
        <v>26</v>
      </c>
      <c r="HD23" t="s">
        <v>26</v>
      </c>
      <c r="HE23" t="s">
        <v>35</v>
      </c>
      <c r="HF23" t="s">
        <v>26</v>
      </c>
      <c r="HG23" t="s">
        <v>58</v>
      </c>
      <c r="HH23" t="s">
        <v>46</v>
      </c>
      <c r="HI23" t="s">
        <v>35</v>
      </c>
      <c r="HJ23" t="s">
        <v>46</v>
      </c>
      <c r="HK23" t="s">
        <v>26</v>
      </c>
      <c r="HL23" t="s">
        <v>26</v>
      </c>
      <c r="HM23" t="s">
        <v>58</v>
      </c>
      <c r="HN23" t="s">
        <v>58</v>
      </c>
      <c r="HO23" t="s">
        <v>26</v>
      </c>
      <c r="HP23" t="s">
        <v>26</v>
      </c>
      <c r="HQ23" t="s">
        <v>58</v>
      </c>
      <c r="HR23" t="s">
        <v>58</v>
      </c>
      <c r="HS23" t="s">
        <v>35</v>
      </c>
      <c r="HT23" t="s">
        <v>58</v>
      </c>
      <c r="HU23" t="s">
        <v>35</v>
      </c>
      <c r="HV23" t="s">
        <v>35</v>
      </c>
      <c r="HW23" t="s">
        <v>46</v>
      </c>
      <c r="HX23" t="s">
        <v>58</v>
      </c>
      <c r="HY23" t="s">
        <v>35</v>
      </c>
      <c r="HZ23" t="s">
        <v>46</v>
      </c>
      <c r="IA23" t="s">
        <v>46</v>
      </c>
      <c r="IB23" t="s">
        <v>58</v>
      </c>
      <c r="IC23" t="s">
        <v>58</v>
      </c>
      <c r="ID23" t="s">
        <v>46</v>
      </c>
      <c r="IE23" t="s">
        <v>35</v>
      </c>
      <c r="IF23" t="s">
        <v>58</v>
      </c>
      <c r="IG23" t="s">
        <v>46</v>
      </c>
      <c r="IH23" t="s">
        <v>46</v>
      </c>
      <c r="II23" t="s">
        <v>35</v>
      </c>
      <c r="IJ23" t="s">
        <v>26</v>
      </c>
      <c r="IK23" t="s">
        <v>35</v>
      </c>
      <c r="IL23" t="s">
        <v>46</v>
      </c>
      <c r="IM23" t="s">
        <v>35</v>
      </c>
      <c r="IN23" t="s">
        <v>58</v>
      </c>
      <c r="IO23" t="s">
        <v>46</v>
      </c>
      <c r="IP23" t="s">
        <v>35</v>
      </c>
      <c r="IQ23" t="s">
        <v>35</v>
      </c>
      <c r="IR23" t="s">
        <v>35</v>
      </c>
      <c r="IS23" t="s">
        <v>35</v>
      </c>
      <c r="IT23" t="s">
        <v>46</v>
      </c>
      <c r="IU23" t="s">
        <v>35</v>
      </c>
      <c r="IV23" t="s">
        <v>58</v>
      </c>
      <c r="IW23" t="s">
        <v>26</v>
      </c>
      <c r="IX23" t="s">
        <v>26</v>
      </c>
      <c r="IY23" t="s">
        <v>26</v>
      </c>
      <c r="IZ23" t="s">
        <v>58</v>
      </c>
      <c r="JA23" t="s">
        <v>26</v>
      </c>
      <c r="JB23" t="s">
        <v>46</v>
      </c>
      <c r="JC23" t="s">
        <v>46</v>
      </c>
      <c r="JD23" t="s">
        <v>58</v>
      </c>
      <c r="JE23" t="s">
        <v>58</v>
      </c>
      <c r="JF23" t="s">
        <v>46</v>
      </c>
      <c r="JG23" t="s">
        <v>58</v>
      </c>
      <c r="JH23" t="s">
        <v>58</v>
      </c>
      <c r="JI23" t="s">
        <v>46</v>
      </c>
      <c r="JJ23" t="s">
        <v>46</v>
      </c>
      <c r="JK23" t="s">
        <v>35</v>
      </c>
      <c r="JL23" t="s">
        <v>35</v>
      </c>
      <c r="JM23" t="s">
        <v>26</v>
      </c>
      <c r="JN23" t="s">
        <v>58</v>
      </c>
      <c r="JO23" t="s">
        <v>46</v>
      </c>
      <c r="JP23" t="s">
        <v>26</v>
      </c>
      <c r="JQ23" t="s">
        <v>35</v>
      </c>
      <c r="JR23" t="s">
        <v>58</v>
      </c>
      <c r="JS23" t="s">
        <v>26</v>
      </c>
      <c r="JT23" t="s">
        <v>58</v>
      </c>
      <c r="JU23" t="s">
        <v>26</v>
      </c>
      <c r="JV23" t="s">
        <v>58</v>
      </c>
      <c r="JW23" t="s">
        <v>58</v>
      </c>
      <c r="JX23" t="s">
        <v>46</v>
      </c>
      <c r="JY23" t="s">
        <v>58</v>
      </c>
      <c r="JZ23" t="s">
        <v>35</v>
      </c>
      <c r="KA23" t="s">
        <v>46</v>
      </c>
      <c r="KB23" t="s">
        <v>58</v>
      </c>
      <c r="KC23" t="s">
        <v>35</v>
      </c>
      <c r="KD23" t="s">
        <v>35</v>
      </c>
      <c r="KE23" t="s">
        <v>26</v>
      </c>
      <c r="KF23" t="s">
        <v>46</v>
      </c>
      <c r="KG23" t="s">
        <v>46</v>
      </c>
      <c r="KH23" t="s">
        <v>26</v>
      </c>
      <c r="KI23" t="s">
        <v>26</v>
      </c>
      <c r="KJ23" t="s">
        <v>26</v>
      </c>
      <c r="KK23" t="s">
        <v>46</v>
      </c>
      <c r="KL23" t="s">
        <v>35</v>
      </c>
      <c r="KM23" t="s">
        <v>35</v>
      </c>
      <c r="KN23" t="s">
        <v>58</v>
      </c>
      <c r="KO23" t="s">
        <v>46</v>
      </c>
      <c r="KP23" t="s">
        <v>46</v>
      </c>
      <c r="KQ23" t="s">
        <v>26</v>
      </c>
      <c r="KR23" t="s">
        <v>46</v>
      </c>
      <c r="KS23" t="s">
        <v>46</v>
      </c>
      <c r="KT23" t="s">
        <v>35</v>
      </c>
      <c r="KU23" t="s">
        <v>46</v>
      </c>
      <c r="KV23" t="s">
        <v>35</v>
      </c>
      <c r="KW23" t="s">
        <v>35</v>
      </c>
      <c r="KX23" t="s">
        <v>46</v>
      </c>
      <c r="KY23" t="s">
        <v>35</v>
      </c>
      <c r="KZ23" t="s">
        <v>26</v>
      </c>
      <c r="LA23" t="s">
        <v>35</v>
      </c>
      <c r="LB23" t="s">
        <v>46</v>
      </c>
      <c r="LC23" t="s">
        <v>26</v>
      </c>
      <c r="LD23" t="s">
        <v>26</v>
      </c>
      <c r="LE23" t="s">
        <v>46</v>
      </c>
      <c r="LF23" t="s">
        <v>58</v>
      </c>
      <c r="LG23" t="s">
        <v>35</v>
      </c>
      <c r="LH23" t="s">
        <v>35</v>
      </c>
      <c r="LI23" t="s">
        <v>58</v>
      </c>
      <c r="LJ23" t="s">
        <v>26</v>
      </c>
      <c r="LK23" t="s">
        <v>58</v>
      </c>
      <c r="LL23" t="s">
        <v>46</v>
      </c>
      <c r="LM23" t="s">
        <v>58</v>
      </c>
      <c r="LN23" t="s">
        <v>26</v>
      </c>
      <c r="LO23" t="s">
        <v>46</v>
      </c>
      <c r="LP23" t="s">
        <v>46</v>
      </c>
      <c r="LQ23" t="s">
        <v>46</v>
      </c>
      <c r="LR23" t="s">
        <v>35</v>
      </c>
      <c r="LS23" t="s">
        <v>35</v>
      </c>
      <c r="LT23" t="s">
        <v>46</v>
      </c>
      <c r="LU23" t="s">
        <v>58</v>
      </c>
      <c r="LV23" t="s">
        <v>35</v>
      </c>
      <c r="LW23" t="s">
        <v>26</v>
      </c>
      <c r="LX23" t="s">
        <v>35</v>
      </c>
      <c r="LY23" t="s">
        <v>58</v>
      </c>
      <c r="LZ23" t="s">
        <v>35</v>
      </c>
      <c r="MA23" t="s">
        <v>58</v>
      </c>
      <c r="MB23" t="s">
        <v>58</v>
      </c>
      <c r="MC23" t="s">
        <v>35</v>
      </c>
      <c r="MD23" t="s">
        <v>58</v>
      </c>
      <c r="ME23" t="s">
        <v>58</v>
      </c>
      <c r="MF23" t="s">
        <v>26</v>
      </c>
      <c r="MG23" t="s">
        <v>46</v>
      </c>
      <c r="MH23" t="s">
        <v>46</v>
      </c>
      <c r="MI23" t="s">
        <v>35</v>
      </c>
      <c r="MJ23" t="s">
        <v>58</v>
      </c>
      <c r="MK23" t="s">
        <v>35</v>
      </c>
      <c r="ML23" t="s">
        <v>35</v>
      </c>
      <c r="MM23" t="s">
        <v>46</v>
      </c>
      <c r="MN23" t="s">
        <v>58</v>
      </c>
      <c r="MO23" t="s">
        <v>35</v>
      </c>
      <c r="MP23" t="s">
        <v>35</v>
      </c>
      <c r="MQ23" t="s">
        <v>46</v>
      </c>
      <c r="MR23" t="s">
        <v>46</v>
      </c>
      <c r="MS23" t="s">
        <v>46</v>
      </c>
      <c r="MT23" t="s">
        <v>35</v>
      </c>
      <c r="MU23" t="s">
        <v>58</v>
      </c>
      <c r="MV23" t="s">
        <v>46</v>
      </c>
      <c r="MW23" t="s">
        <v>46</v>
      </c>
      <c r="MX23" t="s">
        <v>58</v>
      </c>
      <c r="MY23" t="s">
        <v>35</v>
      </c>
      <c r="MZ23" t="s">
        <v>35</v>
      </c>
      <c r="NA23" t="s">
        <v>58</v>
      </c>
      <c r="NB23" t="s">
        <v>46</v>
      </c>
      <c r="NC23" t="s">
        <v>26</v>
      </c>
      <c r="ND23" t="s">
        <v>58</v>
      </c>
      <c r="NE23" t="s">
        <v>26</v>
      </c>
      <c r="NF23" t="s">
        <v>35</v>
      </c>
      <c r="NG23" t="s">
        <v>35</v>
      </c>
      <c r="NH23" t="s">
        <v>26</v>
      </c>
      <c r="NI23" t="s">
        <v>46</v>
      </c>
      <c r="NJ23" t="s">
        <v>26</v>
      </c>
      <c r="NK23" t="s">
        <v>46</v>
      </c>
      <c r="NL23" t="s">
        <v>58</v>
      </c>
      <c r="NM23" t="s">
        <v>35</v>
      </c>
      <c r="NN23" t="s">
        <v>35</v>
      </c>
      <c r="NO23" t="s">
        <v>26</v>
      </c>
      <c r="NP23" t="s">
        <v>58</v>
      </c>
      <c r="NQ23" t="s">
        <v>26</v>
      </c>
      <c r="NR23" t="s">
        <v>26</v>
      </c>
      <c r="NS23" t="s">
        <v>26</v>
      </c>
      <c r="NT23" t="s">
        <v>46</v>
      </c>
      <c r="NU23" t="s">
        <v>35</v>
      </c>
      <c r="NV23" t="s">
        <v>35</v>
      </c>
      <c r="NW23" t="s">
        <v>26</v>
      </c>
      <c r="NX23" t="s">
        <v>46</v>
      </c>
      <c r="NY23" t="s">
        <v>35</v>
      </c>
      <c r="NZ23" t="s">
        <v>46</v>
      </c>
      <c r="OA23" t="s">
        <v>58</v>
      </c>
      <c r="OB23" t="s">
        <v>46</v>
      </c>
      <c r="OC23" t="s">
        <v>46</v>
      </c>
      <c r="OD23" t="s">
        <v>58</v>
      </c>
      <c r="OE23" t="s">
        <v>35</v>
      </c>
      <c r="OF23" t="s">
        <v>35</v>
      </c>
      <c r="OG23" t="s">
        <v>46</v>
      </c>
      <c r="OH23" t="s">
        <v>46</v>
      </c>
      <c r="OI23" t="s">
        <v>58</v>
      </c>
      <c r="OJ23" t="s">
        <v>58</v>
      </c>
      <c r="OK23" t="s">
        <v>35</v>
      </c>
      <c r="OL23" t="s">
        <v>35</v>
      </c>
      <c r="OM23" t="s">
        <v>58</v>
      </c>
      <c r="ON23" t="s">
        <v>46</v>
      </c>
      <c r="OO23" t="s">
        <v>58</v>
      </c>
      <c r="OP23" t="s">
        <v>35</v>
      </c>
      <c r="OQ23" t="s">
        <v>46</v>
      </c>
      <c r="OR23" t="s">
        <v>26</v>
      </c>
      <c r="OS23" t="s">
        <v>26</v>
      </c>
      <c r="OT23" t="s">
        <v>58</v>
      </c>
      <c r="OU23" t="s">
        <v>35</v>
      </c>
      <c r="OV23" t="s">
        <v>46</v>
      </c>
      <c r="OW23" t="s">
        <v>26</v>
      </c>
      <c r="OX23" t="s">
        <v>46</v>
      </c>
      <c r="OY23" t="s">
        <v>46</v>
      </c>
      <c r="OZ23" t="s">
        <v>46</v>
      </c>
      <c r="PA23" t="s">
        <v>46</v>
      </c>
      <c r="PB23" t="s">
        <v>58</v>
      </c>
      <c r="PC23" t="s">
        <v>46</v>
      </c>
      <c r="PD23" t="s">
        <v>26</v>
      </c>
      <c r="PE23" t="s">
        <v>26</v>
      </c>
      <c r="PF23" t="s">
        <v>58</v>
      </c>
      <c r="PG23" t="s">
        <v>26</v>
      </c>
      <c r="PH23" t="s">
        <v>46</v>
      </c>
      <c r="PI23" t="s">
        <v>26</v>
      </c>
      <c r="PJ23" t="s">
        <v>35</v>
      </c>
      <c r="PK23" t="s">
        <v>46</v>
      </c>
      <c r="PL23" t="s">
        <v>58</v>
      </c>
      <c r="PM23" t="s">
        <v>35</v>
      </c>
      <c r="PN23" t="s">
        <v>26</v>
      </c>
      <c r="PO23" t="s">
        <v>35</v>
      </c>
      <c r="PP23" t="s">
        <v>26</v>
      </c>
      <c r="PQ23" t="s">
        <v>26</v>
      </c>
      <c r="PR23" t="s">
        <v>26</v>
      </c>
      <c r="PS23" t="s">
        <v>58</v>
      </c>
      <c r="PT23" t="s">
        <v>35</v>
      </c>
      <c r="PU23" t="s">
        <v>58</v>
      </c>
      <c r="PV23" t="s">
        <v>26</v>
      </c>
      <c r="PW23" t="s">
        <v>46</v>
      </c>
      <c r="PX23" t="s">
        <v>46</v>
      </c>
      <c r="PY23" t="s">
        <v>58</v>
      </c>
      <c r="PZ23" t="s">
        <v>46</v>
      </c>
      <c r="QA23" t="s">
        <v>35</v>
      </c>
      <c r="QB23" t="s">
        <v>46</v>
      </c>
      <c r="QC23" t="s">
        <v>46</v>
      </c>
      <c r="QD23" t="s">
        <v>26</v>
      </c>
      <c r="QE23" t="s">
        <v>35</v>
      </c>
      <c r="QF23" t="s">
        <v>35</v>
      </c>
      <c r="QG23" t="s">
        <v>46</v>
      </c>
      <c r="QH23" t="s">
        <v>26</v>
      </c>
      <c r="QI23" t="s">
        <v>46</v>
      </c>
      <c r="QJ23" t="s">
        <v>46</v>
      </c>
      <c r="QK23" t="s">
        <v>58</v>
      </c>
      <c r="QL23" t="s">
        <v>26</v>
      </c>
      <c r="QM23" t="s">
        <v>58</v>
      </c>
      <c r="QN23" t="s">
        <v>46</v>
      </c>
      <c r="QO23" t="s">
        <v>46</v>
      </c>
      <c r="QP23" t="s">
        <v>26</v>
      </c>
      <c r="QQ23" t="s">
        <v>35</v>
      </c>
      <c r="QR23" t="s">
        <v>46</v>
      </c>
      <c r="QS23" t="s">
        <v>46</v>
      </c>
      <c r="QT23" t="s">
        <v>58</v>
      </c>
      <c r="QU23" t="s">
        <v>58</v>
      </c>
      <c r="QV23" t="s">
        <v>26</v>
      </c>
      <c r="QW23" t="s">
        <v>58</v>
      </c>
      <c r="QX23" t="s">
        <v>35</v>
      </c>
      <c r="QY23" t="s">
        <v>46</v>
      </c>
      <c r="QZ23" t="s">
        <v>58</v>
      </c>
      <c r="RA23" t="s">
        <v>35</v>
      </c>
      <c r="RB23" t="s">
        <v>46</v>
      </c>
      <c r="RC23" t="s">
        <v>46</v>
      </c>
      <c r="RD23" t="s">
        <v>35</v>
      </c>
      <c r="RE23" t="s">
        <v>46</v>
      </c>
      <c r="RF23" t="s">
        <v>35</v>
      </c>
      <c r="RG23" t="s">
        <v>35</v>
      </c>
      <c r="RH23" t="s">
        <v>58</v>
      </c>
      <c r="RI23" t="s">
        <v>26</v>
      </c>
      <c r="RJ23" t="s">
        <v>35</v>
      </c>
      <c r="RK23" t="s">
        <v>58</v>
      </c>
      <c r="RL23" t="s">
        <v>46</v>
      </c>
      <c r="RM23" t="s">
        <v>58</v>
      </c>
      <c r="RN23" t="s">
        <v>35</v>
      </c>
      <c r="RO23" t="s">
        <v>58</v>
      </c>
      <c r="RP23" t="s">
        <v>26</v>
      </c>
      <c r="RQ23" t="s">
        <v>46</v>
      </c>
      <c r="RR23" t="s">
        <v>58</v>
      </c>
      <c r="RS23" t="s">
        <v>46</v>
      </c>
      <c r="RT23" t="s">
        <v>35</v>
      </c>
      <c r="RU23" t="s">
        <v>26</v>
      </c>
      <c r="RV23" t="s">
        <v>26</v>
      </c>
      <c r="RW23" t="s">
        <v>58</v>
      </c>
      <c r="RX23" t="s">
        <v>46</v>
      </c>
      <c r="RY23" t="s">
        <v>46</v>
      </c>
      <c r="RZ23" t="s">
        <v>58</v>
      </c>
      <c r="SA23" t="s">
        <v>58</v>
      </c>
      <c r="SB23" t="s">
        <v>58</v>
      </c>
      <c r="SC23" t="s">
        <v>58</v>
      </c>
      <c r="SD23" t="s">
        <v>26</v>
      </c>
      <c r="SE23" t="s">
        <v>58</v>
      </c>
      <c r="SF23" t="s">
        <v>46</v>
      </c>
      <c r="SG23" t="s">
        <v>35</v>
      </c>
      <c r="SH23" t="s">
        <v>46</v>
      </c>
      <c r="SI23" t="s">
        <v>58</v>
      </c>
      <c r="SJ23" t="s">
        <v>26</v>
      </c>
      <c r="SK23" t="s">
        <v>58</v>
      </c>
      <c r="SL23" t="s">
        <v>35</v>
      </c>
      <c r="SM23" t="s">
        <v>58</v>
      </c>
      <c r="SN23" t="s">
        <v>35</v>
      </c>
      <c r="SO23" t="s">
        <v>58</v>
      </c>
      <c r="SP23" t="s">
        <v>26</v>
      </c>
      <c r="SQ23" t="s">
        <v>46</v>
      </c>
      <c r="SR23" t="s">
        <v>35</v>
      </c>
      <c r="SS23" t="s">
        <v>46</v>
      </c>
      <c r="ST23" t="s">
        <v>58</v>
      </c>
      <c r="SU23" t="s">
        <v>46</v>
      </c>
      <c r="SV23" t="s">
        <v>26</v>
      </c>
      <c r="SW23" t="s">
        <v>26</v>
      </c>
      <c r="SX23" t="s">
        <v>46</v>
      </c>
      <c r="SY23" t="s">
        <v>46</v>
      </c>
      <c r="SZ23" t="s">
        <v>26</v>
      </c>
      <c r="TA23" t="s">
        <v>35</v>
      </c>
      <c r="TB23" t="s">
        <v>35</v>
      </c>
      <c r="TC23" t="s">
        <v>26</v>
      </c>
      <c r="TD23" t="s">
        <v>26</v>
      </c>
      <c r="TE23" t="s">
        <v>35</v>
      </c>
      <c r="TF23" t="s">
        <v>46</v>
      </c>
      <c r="TG23" t="s">
        <v>46</v>
      </c>
      <c r="TH23" t="s">
        <v>58</v>
      </c>
      <c r="TI23" t="s">
        <v>35</v>
      </c>
      <c r="TJ23" t="s">
        <v>26</v>
      </c>
      <c r="TK23" t="s">
        <v>58</v>
      </c>
      <c r="TL23" t="s">
        <v>46</v>
      </c>
      <c r="TM23" t="s">
        <v>35</v>
      </c>
      <c r="TN23" t="s">
        <v>58</v>
      </c>
      <c r="TO23" t="s">
        <v>46</v>
      </c>
      <c r="TP23" t="s">
        <v>26</v>
      </c>
      <c r="TQ23" t="s">
        <v>46</v>
      </c>
      <c r="TR23" t="s">
        <v>46</v>
      </c>
      <c r="TS23" t="s">
        <v>35</v>
      </c>
      <c r="TT23" t="s">
        <v>26</v>
      </c>
      <c r="TU23" t="s">
        <v>35</v>
      </c>
      <c r="TV23" t="s">
        <v>26</v>
      </c>
      <c r="TW23" t="s">
        <v>58</v>
      </c>
      <c r="TX23" t="s">
        <v>46</v>
      </c>
      <c r="TY23" t="s">
        <v>35</v>
      </c>
      <c r="TZ23" t="s">
        <v>26</v>
      </c>
      <c r="UA23" t="s">
        <v>35</v>
      </c>
      <c r="UB23" t="s">
        <v>46</v>
      </c>
      <c r="UC23" t="s">
        <v>46</v>
      </c>
      <c r="UD23" t="s">
        <v>58</v>
      </c>
      <c r="UE23" t="s">
        <v>26</v>
      </c>
      <c r="UF23" t="s">
        <v>26</v>
      </c>
      <c r="UG23" t="s">
        <v>58</v>
      </c>
      <c r="UH23" t="s">
        <v>58</v>
      </c>
      <c r="UI23" t="s">
        <v>26</v>
      </c>
      <c r="UJ23" t="s">
        <v>26</v>
      </c>
      <c r="UK23" t="s">
        <v>35</v>
      </c>
      <c r="UL23" t="s">
        <v>26</v>
      </c>
      <c r="UM23" t="s">
        <v>35</v>
      </c>
      <c r="UN23" t="s">
        <v>35</v>
      </c>
      <c r="UO23" t="s">
        <v>35</v>
      </c>
      <c r="UP23" t="s">
        <v>35</v>
      </c>
      <c r="UQ23" t="s">
        <v>46</v>
      </c>
      <c r="UR23" t="s">
        <v>58</v>
      </c>
      <c r="US23" t="s">
        <v>58</v>
      </c>
      <c r="UT23" t="s">
        <v>26</v>
      </c>
      <c r="UU23" t="s">
        <v>58</v>
      </c>
      <c r="UV23" t="s">
        <v>58</v>
      </c>
      <c r="UW23" t="s">
        <v>46</v>
      </c>
      <c r="UX23" t="s">
        <v>35</v>
      </c>
      <c r="UY23" t="s">
        <v>35</v>
      </c>
      <c r="UZ23" t="s">
        <v>35</v>
      </c>
      <c r="VA23" t="s">
        <v>58</v>
      </c>
      <c r="VB23" t="s">
        <v>58</v>
      </c>
      <c r="VC23" t="s">
        <v>26</v>
      </c>
      <c r="VD23" t="s">
        <v>46</v>
      </c>
      <c r="VE23" t="s">
        <v>46</v>
      </c>
      <c r="VF23" t="s">
        <v>26</v>
      </c>
      <c r="VG23" t="s">
        <v>26</v>
      </c>
      <c r="VH23" t="s">
        <v>26</v>
      </c>
      <c r="VI23" t="s">
        <v>35</v>
      </c>
      <c r="VJ23" t="s">
        <v>35</v>
      </c>
      <c r="VK23" t="s">
        <v>35</v>
      </c>
      <c r="VL23" t="s">
        <v>35</v>
      </c>
      <c r="VM23" t="s">
        <v>26</v>
      </c>
      <c r="VN23" t="s">
        <v>26</v>
      </c>
      <c r="VO23" t="s">
        <v>26</v>
      </c>
      <c r="VP23" t="s">
        <v>35</v>
      </c>
      <c r="VQ23" t="s">
        <v>35</v>
      </c>
      <c r="VR23" t="s">
        <v>58</v>
      </c>
      <c r="VS23" t="s">
        <v>26</v>
      </c>
      <c r="VT23" t="s">
        <v>46</v>
      </c>
      <c r="VU23" t="s">
        <v>46</v>
      </c>
      <c r="VV23" t="s">
        <v>58</v>
      </c>
      <c r="VW23" t="s">
        <v>35</v>
      </c>
      <c r="VX23" t="s">
        <v>26</v>
      </c>
      <c r="VY23" t="s">
        <v>35</v>
      </c>
      <c r="VZ23" t="s">
        <v>35</v>
      </c>
      <c r="WA23" t="s">
        <v>46</v>
      </c>
      <c r="WB23" t="s">
        <v>46</v>
      </c>
      <c r="WC23" t="s">
        <v>26</v>
      </c>
      <c r="WD23" t="s">
        <v>26</v>
      </c>
      <c r="WE23" t="s">
        <v>35</v>
      </c>
      <c r="WF23" t="s">
        <v>35</v>
      </c>
      <c r="WG23" t="s">
        <v>58</v>
      </c>
      <c r="WH23" t="s">
        <v>35</v>
      </c>
      <c r="WI23" t="s">
        <v>58</v>
      </c>
      <c r="WJ23" t="s">
        <v>35</v>
      </c>
      <c r="WK23" t="s">
        <v>35</v>
      </c>
      <c r="WL23" t="s">
        <v>35</v>
      </c>
      <c r="WM23" t="s">
        <v>26</v>
      </c>
      <c r="WN23" t="s">
        <v>26</v>
      </c>
      <c r="WO23" t="s">
        <v>26</v>
      </c>
      <c r="WP23" t="s">
        <v>58</v>
      </c>
      <c r="WQ23" t="s">
        <v>58</v>
      </c>
      <c r="WR23" t="s">
        <v>26</v>
      </c>
      <c r="WS23" t="s">
        <v>58</v>
      </c>
      <c r="WT23" t="s">
        <v>26</v>
      </c>
      <c r="WU23" t="s">
        <v>46</v>
      </c>
      <c r="WV23" t="s">
        <v>26</v>
      </c>
      <c r="WW23" t="s">
        <v>46</v>
      </c>
      <c r="WX23" t="s">
        <v>35</v>
      </c>
      <c r="WY23" t="s">
        <v>58</v>
      </c>
      <c r="WZ23" t="s">
        <v>58</v>
      </c>
      <c r="XA23" t="s">
        <v>26</v>
      </c>
      <c r="XB23" t="s">
        <v>35</v>
      </c>
      <c r="XC23" t="s">
        <v>35</v>
      </c>
      <c r="XD23" t="s">
        <v>35</v>
      </c>
      <c r="XE23" t="s">
        <v>35</v>
      </c>
      <c r="XF23" t="s">
        <v>58</v>
      </c>
      <c r="XG23" t="s">
        <v>26</v>
      </c>
      <c r="XH23" t="s">
        <v>26</v>
      </c>
      <c r="XI23" t="s">
        <v>46</v>
      </c>
      <c r="XJ23" t="s">
        <v>58</v>
      </c>
      <c r="XK23" t="s">
        <v>46</v>
      </c>
      <c r="XL23" t="s">
        <v>35</v>
      </c>
      <c r="XM23" t="s">
        <v>26</v>
      </c>
      <c r="XN23" t="s">
        <v>46</v>
      </c>
      <c r="XO23" t="s">
        <v>58</v>
      </c>
      <c r="XP23" t="s">
        <v>26</v>
      </c>
      <c r="XQ23" t="s">
        <v>58</v>
      </c>
      <c r="XR23" t="s">
        <v>26</v>
      </c>
      <c r="XS23" t="s">
        <v>58</v>
      </c>
      <c r="XT23" t="s">
        <v>58</v>
      </c>
      <c r="XU23" t="s">
        <v>26</v>
      </c>
      <c r="XV23" t="s">
        <v>58</v>
      </c>
      <c r="XW23" t="s">
        <v>58</v>
      </c>
      <c r="XX23" t="s">
        <v>35</v>
      </c>
      <c r="XY23" t="s">
        <v>26</v>
      </c>
      <c r="XZ23" t="s">
        <v>46</v>
      </c>
      <c r="YA23" t="s">
        <v>26</v>
      </c>
      <c r="YB23" t="s">
        <v>26</v>
      </c>
      <c r="YC23" t="s">
        <v>35</v>
      </c>
      <c r="YD23" t="s">
        <v>46</v>
      </c>
      <c r="YE23" t="s">
        <v>46</v>
      </c>
      <c r="YF23" t="s">
        <v>46</v>
      </c>
      <c r="YG23" t="s">
        <v>58</v>
      </c>
      <c r="YH23" t="s">
        <v>58</v>
      </c>
      <c r="YI23" t="s">
        <v>58</v>
      </c>
      <c r="YJ23" t="s">
        <v>46</v>
      </c>
      <c r="YK23" t="s">
        <v>26</v>
      </c>
      <c r="YL23" t="s">
        <v>26</v>
      </c>
      <c r="YM23" t="s">
        <v>46</v>
      </c>
      <c r="YN23" t="s">
        <v>46</v>
      </c>
      <c r="YO23" t="s">
        <v>35</v>
      </c>
      <c r="YP23" t="s">
        <v>58</v>
      </c>
      <c r="YQ23" t="s">
        <v>58</v>
      </c>
      <c r="YR23" t="s">
        <v>58</v>
      </c>
      <c r="YS23" t="s">
        <v>35</v>
      </c>
      <c r="YT23" t="s">
        <v>35</v>
      </c>
      <c r="YU23" t="s">
        <v>35</v>
      </c>
      <c r="YV23" t="s">
        <v>46</v>
      </c>
      <c r="YW23" t="s">
        <v>35</v>
      </c>
      <c r="YX23" t="s">
        <v>26</v>
      </c>
      <c r="YY23" t="s">
        <v>46</v>
      </c>
      <c r="YZ23" t="s">
        <v>46</v>
      </c>
      <c r="ZA23" t="s">
        <v>58</v>
      </c>
      <c r="ZB23" t="s">
        <v>58</v>
      </c>
      <c r="ZC23" t="s">
        <v>35</v>
      </c>
      <c r="ZD23" t="s">
        <v>26</v>
      </c>
      <c r="ZE23" t="s">
        <v>46</v>
      </c>
      <c r="ZF23" t="s">
        <v>46</v>
      </c>
      <c r="ZG23" t="s">
        <v>46</v>
      </c>
      <c r="ZH23" t="s">
        <v>58</v>
      </c>
      <c r="ZI23" t="s">
        <v>58</v>
      </c>
      <c r="ZJ23" t="s">
        <v>26</v>
      </c>
      <c r="ZK23" t="s">
        <v>58</v>
      </c>
      <c r="ZL23" t="s">
        <v>26</v>
      </c>
      <c r="ZM23" t="s">
        <v>58</v>
      </c>
      <c r="ZN23" t="s">
        <v>26</v>
      </c>
      <c r="ZO23" t="s">
        <v>58</v>
      </c>
      <c r="ZP23" t="s">
        <v>58</v>
      </c>
      <c r="ZQ23" t="s">
        <v>35</v>
      </c>
      <c r="ZR23" t="s">
        <v>35</v>
      </c>
      <c r="ZS23" t="s">
        <v>35</v>
      </c>
      <c r="ZT23" t="s">
        <v>26</v>
      </c>
      <c r="ZU23" t="s">
        <v>26</v>
      </c>
      <c r="ZV23" t="s">
        <v>26</v>
      </c>
      <c r="ZW23" t="s">
        <v>26</v>
      </c>
      <c r="ZX23" t="s">
        <v>35</v>
      </c>
      <c r="ZY23" t="s">
        <v>46</v>
      </c>
      <c r="ZZ23" t="s">
        <v>58</v>
      </c>
      <c r="AAA23" t="s">
        <v>58</v>
      </c>
      <c r="AAB23" t="s">
        <v>26</v>
      </c>
      <c r="AAC23" t="s">
        <v>35</v>
      </c>
      <c r="AAD23" t="s">
        <v>46</v>
      </c>
      <c r="AAE23" t="s">
        <v>35</v>
      </c>
      <c r="AAF23" t="s">
        <v>58</v>
      </c>
      <c r="AAG23" t="s">
        <v>26</v>
      </c>
      <c r="AAH23" t="s">
        <v>26</v>
      </c>
      <c r="AAI23" t="s">
        <v>35</v>
      </c>
      <c r="AAJ23" t="s">
        <v>26</v>
      </c>
      <c r="AAK23" t="s">
        <v>46</v>
      </c>
      <c r="AAL23" t="s">
        <v>58</v>
      </c>
      <c r="AAM23" t="s">
        <v>46</v>
      </c>
      <c r="AAN23" t="s">
        <v>35</v>
      </c>
      <c r="AAO23" t="s">
        <v>58</v>
      </c>
      <c r="AAP23" t="s">
        <v>46</v>
      </c>
      <c r="AAQ23" t="s">
        <v>46</v>
      </c>
      <c r="AAR23" t="s">
        <v>46</v>
      </c>
      <c r="AAS23" t="s">
        <v>58</v>
      </c>
      <c r="AAT23" t="s">
        <v>58</v>
      </c>
      <c r="AAU23" t="s">
        <v>26</v>
      </c>
      <c r="AAV23" t="s">
        <v>35</v>
      </c>
      <c r="AAW23" t="s">
        <v>26</v>
      </c>
      <c r="AAX23" t="s">
        <v>35</v>
      </c>
      <c r="AAY23" t="s">
        <v>58</v>
      </c>
      <c r="AAZ23" t="s">
        <v>46</v>
      </c>
      <c r="ABA23" t="s">
        <v>26</v>
      </c>
      <c r="ABB23" t="s">
        <v>58</v>
      </c>
      <c r="ABC23" t="s">
        <v>58</v>
      </c>
      <c r="ABD23" t="s">
        <v>58</v>
      </c>
      <c r="ABE23" t="s">
        <v>26</v>
      </c>
      <c r="ABF23" t="s">
        <v>58</v>
      </c>
      <c r="ABG23" t="s">
        <v>35</v>
      </c>
      <c r="ABH23" t="s">
        <v>35</v>
      </c>
      <c r="ABI23" t="s">
        <v>46</v>
      </c>
      <c r="ABJ23" t="s">
        <v>26</v>
      </c>
      <c r="ABK23" t="s">
        <v>26</v>
      </c>
      <c r="ABL23" t="s">
        <v>26</v>
      </c>
      <c r="ABM23" t="s">
        <v>26</v>
      </c>
      <c r="ABN23" t="s">
        <v>26</v>
      </c>
      <c r="ABO23" t="s">
        <v>58</v>
      </c>
      <c r="ABP23" t="s">
        <v>58</v>
      </c>
      <c r="ABQ23" t="s">
        <v>35</v>
      </c>
      <c r="ABR23" t="s">
        <v>26</v>
      </c>
      <c r="ABS23" t="s">
        <v>26</v>
      </c>
      <c r="ABT23" t="s">
        <v>26</v>
      </c>
      <c r="ABU23" t="s">
        <v>35</v>
      </c>
      <c r="ABV23" t="s">
        <v>26</v>
      </c>
      <c r="ABW23" t="s">
        <v>26</v>
      </c>
      <c r="ABX23" t="s">
        <v>58</v>
      </c>
      <c r="ABY23" t="s">
        <v>35</v>
      </c>
      <c r="ABZ23" t="s">
        <v>58</v>
      </c>
      <c r="ACA23" t="s">
        <v>46</v>
      </c>
      <c r="ACB23" t="s">
        <v>26</v>
      </c>
      <c r="ACC23" t="s">
        <v>46</v>
      </c>
      <c r="ACD23" t="s">
        <v>26</v>
      </c>
      <c r="ACE23" t="s">
        <v>46</v>
      </c>
      <c r="ACF23" t="s">
        <v>58</v>
      </c>
      <c r="ACG23" t="s">
        <v>35</v>
      </c>
      <c r="ACH23" t="s">
        <v>46</v>
      </c>
      <c r="ACI23" t="s">
        <v>58</v>
      </c>
      <c r="ACJ23" t="s">
        <v>46</v>
      </c>
      <c r="ACK23" t="s">
        <v>46</v>
      </c>
      <c r="ACL23" t="s">
        <v>35</v>
      </c>
      <c r="ACM23" t="s">
        <v>58</v>
      </c>
      <c r="ACN23" t="s">
        <v>35</v>
      </c>
      <c r="ACO23" t="s">
        <v>26</v>
      </c>
      <c r="ACP23" t="s">
        <v>35</v>
      </c>
      <c r="ACQ23" t="s">
        <v>35</v>
      </c>
      <c r="ACR23" t="s">
        <v>46</v>
      </c>
      <c r="ACS23" t="s">
        <v>46</v>
      </c>
      <c r="ACT23" t="s">
        <v>46</v>
      </c>
      <c r="ACU23" t="s">
        <v>58</v>
      </c>
      <c r="ACV23" t="s">
        <v>35</v>
      </c>
      <c r="ACW23" t="s">
        <v>26</v>
      </c>
      <c r="ACX23" t="s">
        <v>46</v>
      </c>
      <c r="ACY23" t="s">
        <v>26</v>
      </c>
      <c r="ACZ23" t="s">
        <v>35</v>
      </c>
      <c r="ADA23" t="s">
        <v>35</v>
      </c>
      <c r="ADB23" t="s">
        <v>35</v>
      </c>
      <c r="ADC23" t="s">
        <v>26</v>
      </c>
      <c r="ADD23" t="s">
        <v>26</v>
      </c>
      <c r="ADE23" t="s">
        <v>26</v>
      </c>
      <c r="ADF23" t="s">
        <v>35</v>
      </c>
      <c r="ADG23" t="s">
        <v>35</v>
      </c>
      <c r="ADH23" t="s">
        <v>46</v>
      </c>
      <c r="ADI23" t="s">
        <v>58</v>
      </c>
      <c r="ADJ23" t="s">
        <v>26</v>
      </c>
      <c r="ADK23" t="s">
        <v>58</v>
      </c>
      <c r="ADL23" t="s">
        <v>26</v>
      </c>
      <c r="ADM23" t="s">
        <v>26</v>
      </c>
      <c r="ADN23" t="s">
        <v>58</v>
      </c>
      <c r="ADO23" t="s">
        <v>58</v>
      </c>
      <c r="ADP23" t="s">
        <v>26</v>
      </c>
      <c r="ADQ23" t="s">
        <v>35</v>
      </c>
      <c r="ADR23" t="s">
        <v>46</v>
      </c>
      <c r="ADS23" t="s">
        <v>26</v>
      </c>
      <c r="ADT23" t="s">
        <v>46</v>
      </c>
      <c r="ADU23" t="s">
        <v>35</v>
      </c>
      <c r="ADV23" t="s">
        <v>35</v>
      </c>
      <c r="ADW23" t="s">
        <v>46</v>
      </c>
      <c r="ADX23" t="s">
        <v>26</v>
      </c>
      <c r="ADY23" t="s">
        <v>46</v>
      </c>
      <c r="ADZ23" t="s">
        <v>26</v>
      </c>
      <c r="AEA23" t="s">
        <v>58</v>
      </c>
      <c r="AEB23" t="s">
        <v>26</v>
      </c>
      <c r="AEC23" t="s">
        <v>58</v>
      </c>
      <c r="AED23" t="s">
        <v>58</v>
      </c>
      <c r="AEE23" t="s">
        <v>46</v>
      </c>
      <c r="AEF23" t="s">
        <v>58</v>
      </c>
      <c r="AEG23" t="s">
        <v>46</v>
      </c>
      <c r="AEH23" t="s">
        <v>46</v>
      </c>
      <c r="AEI23" t="s">
        <v>35</v>
      </c>
      <c r="AEJ23" t="s">
        <v>46</v>
      </c>
      <c r="AEK23" t="s">
        <v>35</v>
      </c>
      <c r="AEL23" t="s">
        <v>35</v>
      </c>
      <c r="AEM23" t="s">
        <v>46</v>
      </c>
      <c r="AEN23" t="s">
        <v>26</v>
      </c>
      <c r="AEO23" t="s">
        <v>26</v>
      </c>
      <c r="AEP23" t="s">
        <v>46</v>
      </c>
      <c r="AEQ23" t="s">
        <v>58</v>
      </c>
      <c r="AER23" t="s">
        <v>46</v>
      </c>
      <c r="AES23" t="s">
        <v>58</v>
      </c>
      <c r="AET23" t="s">
        <v>26</v>
      </c>
      <c r="AEU23" t="s">
        <v>58</v>
      </c>
      <c r="AEV23" t="s">
        <v>46</v>
      </c>
      <c r="AEW23" t="s">
        <v>58</v>
      </c>
      <c r="AEX23" t="s">
        <v>35</v>
      </c>
      <c r="AEY23" t="s">
        <v>35</v>
      </c>
      <c r="AEZ23" t="s">
        <v>46</v>
      </c>
      <c r="AFA23" t="s">
        <v>46</v>
      </c>
      <c r="AFB23" t="s">
        <v>46</v>
      </c>
      <c r="AFC23" t="s">
        <v>26</v>
      </c>
      <c r="AFD23" t="s">
        <v>26</v>
      </c>
      <c r="AFE23" t="s">
        <v>26</v>
      </c>
      <c r="AFF23" t="s">
        <v>35</v>
      </c>
      <c r="AFG23" t="s">
        <v>58</v>
      </c>
      <c r="AFH23" t="s">
        <v>35</v>
      </c>
      <c r="AFI23" t="s">
        <v>58</v>
      </c>
      <c r="AFJ23" t="s">
        <v>58</v>
      </c>
      <c r="AFK23" t="s">
        <v>46</v>
      </c>
      <c r="AFL23" t="s">
        <v>46</v>
      </c>
      <c r="AFM23" t="s">
        <v>26</v>
      </c>
      <c r="AFN23" t="s">
        <v>46</v>
      </c>
      <c r="AFO23" t="s">
        <v>35</v>
      </c>
      <c r="AFP23" t="s">
        <v>35</v>
      </c>
      <c r="AFQ23" t="s">
        <v>35</v>
      </c>
      <c r="AFR23" t="s">
        <v>46</v>
      </c>
      <c r="AFS23" t="s">
        <v>46</v>
      </c>
      <c r="AFT23" t="s">
        <v>58</v>
      </c>
      <c r="AFU23" t="s">
        <v>58</v>
      </c>
      <c r="AFV23" t="s">
        <v>46</v>
      </c>
      <c r="AFW23" t="s">
        <v>35</v>
      </c>
      <c r="AFX23" t="s">
        <v>46</v>
      </c>
      <c r="AFY23" t="s">
        <v>26</v>
      </c>
      <c r="AFZ23" t="s">
        <v>26</v>
      </c>
      <c r="AGA23" t="s">
        <v>35</v>
      </c>
      <c r="AGB23" t="s">
        <v>26</v>
      </c>
      <c r="AGC23" t="s">
        <v>46</v>
      </c>
      <c r="AGD23" t="s">
        <v>46</v>
      </c>
      <c r="AGE23" t="s">
        <v>58</v>
      </c>
      <c r="AGF23" t="s">
        <v>26</v>
      </c>
      <c r="AGG23" t="s">
        <v>26</v>
      </c>
      <c r="AGH23" t="s">
        <v>26</v>
      </c>
      <c r="AGI23" t="s">
        <v>26</v>
      </c>
      <c r="AGJ23" t="s">
        <v>35</v>
      </c>
      <c r="AGK23" t="s">
        <v>35</v>
      </c>
      <c r="AGL23" t="s">
        <v>46</v>
      </c>
      <c r="AGM23" t="s">
        <v>26</v>
      </c>
      <c r="AGN23" t="s">
        <v>58</v>
      </c>
      <c r="AGO23" t="s">
        <v>46</v>
      </c>
      <c r="AGP23" t="s">
        <v>46</v>
      </c>
      <c r="AGQ23" t="s">
        <v>35</v>
      </c>
      <c r="AGR23" t="s">
        <v>46</v>
      </c>
      <c r="AGS23" t="s">
        <v>58</v>
      </c>
    </row>
    <row r="24" spans="1:885" x14ac:dyDescent="0.25">
      <c r="A24" s="1" t="s">
        <v>12</v>
      </c>
      <c r="B24" t="s">
        <v>27</v>
      </c>
      <c r="C24" t="s">
        <v>36</v>
      </c>
      <c r="D24" t="s">
        <v>40</v>
      </c>
      <c r="E24" t="s">
        <v>47</v>
      </c>
      <c r="F24" t="s">
        <v>47</v>
      </c>
      <c r="G24" t="s">
        <v>55</v>
      </c>
      <c r="H24" t="s">
        <v>55</v>
      </c>
      <c r="I24" t="s">
        <v>55</v>
      </c>
      <c r="J24" t="s">
        <v>47</v>
      </c>
      <c r="K24" t="s">
        <v>36</v>
      </c>
      <c r="L24" t="s">
        <v>40</v>
      </c>
      <c r="M24" t="s">
        <v>55</v>
      </c>
      <c r="N24" t="s">
        <v>47</v>
      </c>
      <c r="O24" t="s">
        <v>36</v>
      </c>
      <c r="P24" t="s">
        <v>55</v>
      </c>
      <c r="Q24" t="s">
        <v>55</v>
      </c>
      <c r="R24" t="s">
        <v>40</v>
      </c>
      <c r="S24" t="s">
        <v>40</v>
      </c>
      <c r="T24" t="s">
        <v>27</v>
      </c>
      <c r="U24" t="s">
        <v>55</v>
      </c>
      <c r="V24" t="s">
        <v>27</v>
      </c>
      <c r="W24" t="s">
        <v>47</v>
      </c>
      <c r="X24" t="s">
        <v>40</v>
      </c>
      <c r="Y24" t="s">
        <v>36</v>
      </c>
      <c r="Z24" t="s">
        <v>55</v>
      </c>
      <c r="AA24" t="s">
        <v>55</v>
      </c>
      <c r="AB24" t="s">
        <v>27</v>
      </c>
      <c r="AC24" t="s">
        <v>40</v>
      </c>
      <c r="AD24" t="s">
        <v>27</v>
      </c>
      <c r="AE24" t="s">
        <v>55</v>
      </c>
      <c r="AF24" t="s">
        <v>40</v>
      </c>
      <c r="AG24" t="s">
        <v>55</v>
      </c>
      <c r="AH24" t="s">
        <v>40</v>
      </c>
      <c r="AI24" t="s">
        <v>55</v>
      </c>
      <c r="AJ24" t="s">
        <v>36</v>
      </c>
      <c r="AK24" t="s">
        <v>27</v>
      </c>
      <c r="AL24" t="s">
        <v>40</v>
      </c>
      <c r="AM24" t="s">
        <v>27</v>
      </c>
      <c r="AN24" t="s">
        <v>40</v>
      </c>
      <c r="AO24" t="s">
        <v>40</v>
      </c>
      <c r="AP24" t="s">
        <v>40</v>
      </c>
      <c r="AQ24" t="s">
        <v>55</v>
      </c>
      <c r="AR24" t="s">
        <v>47</v>
      </c>
      <c r="AS24" t="s">
        <v>55</v>
      </c>
      <c r="AT24" t="s">
        <v>47</v>
      </c>
      <c r="AU24" t="s">
        <v>55</v>
      </c>
      <c r="AV24" t="s">
        <v>47</v>
      </c>
      <c r="AW24" t="s">
        <v>40</v>
      </c>
      <c r="AX24" t="s">
        <v>40</v>
      </c>
      <c r="AY24" t="s">
        <v>47</v>
      </c>
      <c r="AZ24" t="s">
        <v>47</v>
      </c>
      <c r="BA24" t="s">
        <v>27</v>
      </c>
      <c r="BB24" t="s">
        <v>40</v>
      </c>
      <c r="BC24" t="s">
        <v>55</v>
      </c>
      <c r="BD24" t="s">
        <v>27</v>
      </c>
      <c r="BE24" t="s">
        <v>47</v>
      </c>
      <c r="BF24" t="s">
        <v>55</v>
      </c>
      <c r="BG24" t="s">
        <v>36</v>
      </c>
      <c r="BH24" t="s">
        <v>36</v>
      </c>
      <c r="BI24" t="s">
        <v>36</v>
      </c>
      <c r="BJ24" t="s">
        <v>55</v>
      </c>
      <c r="BK24" t="s">
        <v>47</v>
      </c>
      <c r="BL24" t="s">
        <v>55</v>
      </c>
      <c r="BM24" t="s">
        <v>27</v>
      </c>
      <c r="BN24" t="s">
        <v>27</v>
      </c>
      <c r="BO24" t="s">
        <v>36</v>
      </c>
      <c r="BP24" t="s">
        <v>47</v>
      </c>
      <c r="BQ24" t="s">
        <v>27</v>
      </c>
      <c r="BR24" t="s">
        <v>40</v>
      </c>
      <c r="BS24" t="s">
        <v>40</v>
      </c>
      <c r="BT24" t="s">
        <v>36</v>
      </c>
      <c r="BU24" t="s">
        <v>36</v>
      </c>
      <c r="BV24" t="s">
        <v>36</v>
      </c>
      <c r="BW24" t="s">
        <v>27</v>
      </c>
      <c r="BX24" t="s">
        <v>47</v>
      </c>
      <c r="BY24" t="s">
        <v>36</v>
      </c>
      <c r="BZ24" t="s">
        <v>55</v>
      </c>
      <c r="CA24" t="s">
        <v>36</v>
      </c>
      <c r="CB24" t="s">
        <v>27</v>
      </c>
      <c r="CC24" t="s">
        <v>47</v>
      </c>
      <c r="CD24" t="s">
        <v>36</v>
      </c>
      <c r="CE24" t="s">
        <v>40</v>
      </c>
      <c r="CF24" t="s">
        <v>36</v>
      </c>
      <c r="CG24" t="s">
        <v>36</v>
      </c>
      <c r="CH24" t="s">
        <v>47</v>
      </c>
      <c r="CI24" t="s">
        <v>55</v>
      </c>
      <c r="CJ24" t="s">
        <v>36</v>
      </c>
      <c r="CK24" t="s">
        <v>36</v>
      </c>
      <c r="CL24" t="s">
        <v>27</v>
      </c>
      <c r="CM24" t="s">
        <v>47</v>
      </c>
      <c r="CN24" t="s">
        <v>27</v>
      </c>
      <c r="CO24" t="s">
        <v>36</v>
      </c>
      <c r="CP24" t="s">
        <v>36</v>
      </c>
      <c r="CQ24" t="s">
        <v>40</v>
      </c>
      <c r="CR24" t="s">
        <v>27</v>
      </c>
      <c r="CS24" t="s">
        <v>47</v>
      </c>
      <c r="CT24" t="s">
        <v>36</v>
      </c>
      <c r="CU24" t="s">
        <v>40</v>
      </c>
      <c r="CV24" t="s">
        <v>40</v>
      </c>
      <c r="CW24" t="s">
        <v>55</v>
      </c>
      <c r="CX24" t="s">
        <v>47</v>
      </c>
      <c r="CY24" t="s">
        <v>40</v>
      </c>
      <c r="CZ24" t="s">
        <v>47</v>
      </c>
      <c r="DA24" t="s">
        <v>36</v>
      </c>
      <c r="DB24" t="s">
        <v>55</v>
      </c>
      <c r="DC24" t="s">
        <v>47</v>
      </c>
      <c r="DD24" t="s">
        <v>55</v>
      </c>
      <c r="DE24" t="s">
        <v>47</v>
      </c>
      <c r="DF24" t="s">
        <v>47</v>
      </c>
      <c r="DG24" t="s">
        <v>27</v>
      </c>
      <c r="DH24" t="s">
        <v>55</v>
      </c>
      <c r="DI24" t="s">
        <v>47</v>
      </c>
      <c r="DJ24" t="s">
        <v>27</v>
      </c>
      <c r="DK24" t="s">
        <v>27</v>
      </c>
      <c r="DL24" t="s">
        <v>55</v>
      </c>
      <c r="DM24" t="s">
        <v>36</v>
      </c>
      <c r="DN24" t="s">
        <v>55</v>
      </c>
      <c r="DO24" t="s">
        <v>47</v>
      </c>
      <c r="DP24" t="s">
        <v>36</v>
      </c>
      <c r="DQ24" t="s">
        <v>55</v>
      </c>
      <c r="DR24" t="s">
        <v>55</v>
      </c>
      <c r="DS24" t="s">
        <v>55</v>
      </c>
      <c r="DT24" t="s">
        <v>55</v>
      </c>
      <c r="DU24" t="s">
        <v>36</v>
      </c>
      <c r="DV24" t="s">
        <v>47</v>
      </c>
      <c r="DW24" t="s">
        <v>27</v>
      </c>
      <c r="DX24" t="s">
        <v>55</v>
      </c>
      <c r="DY24" t="s">
        <v>27</v>
      </c>
      <c r="DZ24" t="s">
        <v>27</v>
      </c>
      <c r="EA24" t="s">
        <v>27</v>
      </c>
      <c r="EB24" t="s">
        <v>55</v>
      </c>
      <c r="EC24" t="s">
        <v>55</v>
      </c>
      <c r="ED24" t="s">
        <v>55</v>
      </c>
      <c r="EE24" t="s">
        <v>55</v>
      </c>
      <c r="EF24" t="s">
        <v>40</v>
      </c>
      <c r="EG24" t="s">
        <v>47</v>
      </c>
      <c r="EH24" t="s">
        <v>40</v>
      </c>
      <c r="EI24" t="s">
        <v>36</v>
      </c>
      <c r="EJ24" t="s">
        <v>40</v>
      </c>
      <c r="EK24" t="s">
        <v>40</v>
      </c>
      <c r="EL24" t="s">
        <v>40</v>
      </c>
      <c r="EM24" t="s">
        <v>47</v>
      </c>
      <c r="EN24" t="s">
        <v>27</v>
      </c>
      <c r="EO24" t="s">
        <v>36</v>
      </c>
      <c r="EP24" t="s">
        <v>36</v>
      </c>
      <c r="EQ24" t="s">
        <v>47</v>
      </c>
      <c r="ER24" t="s">
        <v>40</v>
      </c>
      <c r="ES24" t="s">
        <v>27</v>
      </c>
      <c r="ET24" t="s">
        <v>55</v>
      </c>
      <c r="EU24" t="s">
        <v>47</v>
      </c>
      <c r="EV24" t="s">
        <v>27</v>
      </c>
      <c r="EW24" t="s">
        <v>47</v>
      </c>
      <c r="EX24" t="s">
        <v>47</v>
      </c>
      <c r="EY24" t="s">
        <v>55</v>
      </c>
      <c r="EZ24" t="s">
        <v>27</v>
      </c>
      <c r="FA24" t="s">
        <v>40</v>
      </c>
      <c r="FB24" t="s">
        <v>27</v>
      </c>
      <c r="FC24" t="s">
        <v>27</v>
      </c>
      <c r="FD24" t="s">
        <v>40</v>
      </c>
      <c r="FE24" t="s">
        <v>55</v>
      </c>
      <c r="FF24" t="s">
        <v>27</v>
      </c>
      <c r="FG24" t="s">
        <v>40</v>
      </c>
      <c r="FH24" t="s">
        <v>47</v>
      </c>
      <c r="FI24" t="s">
        <v>47</v>
      </c>
      <c r="FJ24" t="s">
        <v>40</v>
      </c>
      <c r="FK24" t="s">
        <v>47</v>
      </c>
      <c r="FL24" t="s">
        <v>27</v>
      </c>
      <c r="FM24" t="s">
        <v>40</v>
      </c>
      <c r="FN24" t="s">
        <v>27</v>
      </c>
      <c r="FO24" t="s">
        <v>36</v>
      </c>
      <c r="FP24" t="s">
        <v>55</v>
      </c>
      <c r="FQ24" t="s">
        <v>55</v>
      </c>
      <c r="FR24" t="s">
        <v>55</v>
      </c>
      <c r="FS24" t="s">
        <v>40</v>
      </c>
      <c r="FT24" t="s">
        <v>36</v>
      </c>
      <c r="FU24" t="s">
        <v>55</v>
      </c>
      <c r="FV24" t="s">
        <v>27</v>
      </c>
      <c r="FW24" t="s">
        <v>55</v>
      </c>
      <c r="FX24" t="s">
        <v>36</v>
      </c>
      <c r="FY24" t="s">
        <v>27</v>
      </c>
      <c r="FZ24" t="s">
        <v>27</v>
      </c>
      <c r="GA24" t="s">
        <v>40</v>
      </c>
      <c r="GB24" t="s">
        <v>40</v>
      </c>
      <c r="GC24" t="s">
        <v>47</v>
      </c>
      <c r="GD24" t="s">
        <v>36</v>
      </c>
      <c r="GE24" t="s">
        <v>27</v>
      </c>
      <c r="GF24" t="s">
        <v>36</v>
      </c>
      <c r="GG24" t="s">
        <v>55</v>
      </c>
      <c r="GH24" t="s">
        <v>55</v>
      </c>
      <c r="GI24" t="s">
        <v>47</v>
      </c>
      <c r="GJ24" t="s">
        <v>27</v>
      </c>
      <c r="GK24" t="s">
        <v>27</v>
      </c>
      <c r="GL24" t="s">
        <v>47</v>
      </c>
      <c r="GM24" t="s">
        <v>55</v>
      </c>
      <c r="GN24" t="s">
        <v>27</v>
      </c>
      <c r="GO24" t="s">
        <v>36</v>
      </c>
      <c r="GP24" t="s">
        <v>27</v>
      </c>
      <c r="GQ24" t="s">
        <v>55</v>
      </c>
      <c r="GR24" t="s">
        <v>27</v>
      </c>
      <c r="GS24" t="s">
        <v>27</v>
      </c>
      <c r="GT24" t="s">
        <v>40</v>
      </c>
      <c r="GU24" t="s">
        <v>27</v>
      </c>
      <c r="GV24" t="s">
        <v>47</v>
      </c>
      <c r="GW24" t="s">
        <v>47</v>
      </c>
      <c r="GX24" t="s">
        <v>36</v>
      </c>
      <c r="GY24" t="s">
        <v>27</v>
      </c>
      <c r="GZ24" t="s">
        <v>36</v>
      </c>
      <c r="HA24" t="s">
        <v>55</v>
      </c>
      <c r="HB24" t="s">
        <v>55</v>
      </c>
      <c r="HC24" t="s">
        <v>40</v>
      </c>
      <c r="HD24" t="s">
        <v>40</v>
      </c>
      <c r="HE24" t="s">
        <v>27</v>
      </c>
      <c r="HF24" t="s">
        <v>27</v>
      </c>
      <c r="HG24" t="s">
        <v>36</v>
      </c>
      <c r="HH24" t="s">
        <v>36</v>
      </c>
      <c r="HI24" t="s">
        <v>27</v>
      </c>
      <c r="HJ24" t="s">
        <v>27</v>
      </c>
      <c r="HK24" t="s">
        <v>40</v>
      </c>
      <c r="HL24" t="s">
        <v>40</v>
      </c>
      <c r="HM24" t="s">
        <v>40</v>
      </c>
      <c r="HN24" t="s">
        <v>27</v>
      </c>
      <c r="HO24" t="s">
        <v>36</v>
      </c>
      <c r="HP24" t="s">
        <v>47</v>
      </c>
      <c r="HQ24" t="s">
        <v>47</v>
      </c>
      <c r="HR24" t="s">
        <v>36</v>
      </c>
      <c r="HS24" t="s">
        <v>36</v>
      </c>
      <c r="HT24" t="s">
        <v>36</v>
      </c>
      <c r="HU24" t="s">
        <v>40</v>
      </c>
      <c r="HV24" t="s">
        <v>55</v>
      </c>
      <c r="HW24" t="s">
        <v>27</v>
      </c>
      <c r="HX24" t="s">
        <v>40</v>
      </c>
      <c r="HY24" t="s">
        <v>47</v>
      </c>
      <c r="HZ24" t="s">
        <v>27</v>
      </c>
      <c r="IA24" t="s">
        <v>36</v>
      </c>
      <c r="IB24" t="s">
        <v>47</v>
      </c>
      <c r="IC24" t="s">
        <v>36</v>
      </c>
      <c r="ID24" t="s">
        <v>36</v>
      </c>
      <c r="IE24" t="s">
        <v>36</v>
      </c>
      <c r="IF24" t="s">
        <v>27</v>
      </c>
      <c r="IG24" t="s">
        <v>47</v>
      </c>
      <c r="IH24" t="s">
        <v>47</v>
      </c>
      <c r="II24" t="s">
        <v>36</v>
      </c>
      <c r="IJ24" t="s">
        <v>40</v>
      </c>
      <c r="IK24" t="s">
        <v>55</v>
      </c>
      <c r="IL24" t="s">
        <v>40</v>
      </c>
      <c r="IM24" t="s">
        <v>27</v>
      </c>
      <c r="IN24" t="s">
        <v>55</v>
      </c>
      <c r="IO24" t="s">
        <v>40</v>
      </c>
      <c r="IP24" t="s">
        <v>47</v>
      </c>
      <c r="IQ24" t="s">
        <v>40</v>
      </c>
      <c r="IR24" t="s">
        <v>36</v>
      </c>
      <c r="IS24" t="s">
        <v>27</v>
      </c>
      <c r="IT24" t="s">
        <v>40</v>
      </c>
      <c r="IU24" t="s">
        <v>40</v>
      </c>
      <c r="IV24" t="s">
        <v>55</v>
      </c>
      <c r="IW24" t="s">
        <v>36</v>
      </c>
      <c r="IX24" t="s">
        <v>55</v>
      </c>
      <c r="IY24" t="s">
        <v>27</v>
      </c>
      <c r="IZ24" t="s">
        <v>27</v>
      </c>
      <c r="JA24" t="s">
        <v>36</v>
      </c>
      <c r="JB24" t="s">
        <v>55</v>
      </c>
      <c r="JC24" t="s">
        <v>36</v>
      </c>
      <c r="JD24" t="s">
        <v>55</v>
      </c>
      <c r="JE24" t="s">
        <v>47</v>
      </c>
      <c r="JF24" t="s">
        <v>36</v>
      </c>
      <c r="JG24" t="s">
        <v>27</v>
      </c>
      <c r="JH24" t="s">
        <v>55</v>
      </c>
      <c r="JI24" t="s">
        <v>47</v>
      </c>
      <c r="JJ24" t="s">
        <v>27</v>
      </c>
      <c r="JK24" t="s">
        <v>55</v>
      </c>
      <c r="JL24" t="s">
        <v>47</v>
      </c>
      <c r="JM24" t="s">
        <v>27</v>
      </c>
      <c r="JN24" t="s">
        <v>27</v>
      </c>
      <c r="JO24" t="s">
        <v>47</v>
      </c>
      <c r="JP24" t="s">
        <v>27</v>
      </c>
      <c r="JQ24" t="s">
        <v>55</v>
      </c>
      <c r="JR24" t="s">
        <v>55</v>
      </c>
      <c r="JS24" t="s">
        <v>27</v>
      </c>
      <c r="JT24" t="s">
        <v>40</v>
      </c>
      <c r="JU24" t="s">
        <v>47</v>
      </c>
      <c r="JV24" t="s">
        <v>40</v>
      </c>
      <c r="JW24" t="s">
        <v>55</v>
      </c>
      <c r="JX24" t="s">
        <v>27</v>
      </c>
      <c r="JY24" t="s">
        <v>36</v>
      </c>
      <c r="JZ24" t="s">
        <v>36</v>
      </c>
      <c r="KA24" t="s">
        <v>40</v>
      </c>
      <c r="KB24" t="s">
        <v>40</v>
      </c>
      <c r="KC24" t="s">
        <v>40</v>
      </c>
      <c r="KD24" t="s">
        <v>55</v>
      </c>
      <c r="KE24" t="s">
        <v>55</v>
      </c>
      <c r="KF24" t="s">
        <v>27</v>
      </c>
      <c r="KG24" t="s">
        <v>55</v>
      </c>
      <c r="KH24" t="s">
        <v>27</v>
      </c>
      <c r="KI24" t="s">
        <v>27</v>
      </c>
      <c r="KJ24" t="s">
        <v>40</v>
      </c>
      <c r="KK24" t="s">
        <v>36</v>
      </c>
      <c r="KL24" t="s">
        <v>40</v>
      </c>
      <c r="KM24" t="s">
        <v>55</v>
      </c>
      <c r="KN24" t="s">
        <v>47</v>
      </c>
      <c r="KO24" t="s">
        <v>55</v>
      </c>
      <c r="KP24" t="s">
        <v>36</v>
      </c>
      <c r="KQ24" t="s">
        <v>55</v>
      </c>
      <c r="KR24" t="s">
        <v>36</v>
      </c>
      <c r="KS24" t="s">
        <v>47</v>
      </c>
      <c r="KT24" t="s">
        <v>47</v>
      </c>
      <c r="KU24" t="s">
        <v>27</v>
      </c>
      <c r="KV24" t="s">
        <v>55</v>
      </c>
      <c r="KW24" t="s">
        <v>27</v>
      </c>
      <c r="KX24" t="s">
        <v>40</v>
      </c>
      <c r="KY24" t="s">
        <v>40</v>
      </c>
      <c r="KZ24" t="s">
        <v>40</v>
      </c>
      <c r="LA24" t="s">
        <v>40</v>
      </c>
      <c r="LB24" t="s">
        <v>40</v>
      </c>
      <c r="LC24" t="s">
        <v>55</v>
      </c>
      <c r="LD24" t="s">
        <v>27</v>
      </c>
      <c r="LE24" t="s">
        <v>27</v>
      </c>
      <c r="LF24" t="s">
        <v>36</v>
      </c>
      <c r="LG24" t="s">
        <v>40</v>
      </c>
      <c r="LH24" t="s">
        <v>47</v>
      </c>
      <c r="LI24" t="s">
        <v>36</v>
      </c>
      <c r="LJ24" t="s">
        <v>36</v>
      </c>
      <c r="LK24" t="s">
        <v>55</v>
      </c>
      <c r="LL24" t="s">
        <v>36</v>
      </c>
      <c r="LM24" t="s">
        <v>47</v>
      </c>
      <c r="LN24" t="s">
        <v>27</v>
      </c>
      <c r="LO24" t="s">
        <v>36</v>
      </c>
      <c r="LP24" t="s">
        <v>55</v>
      </c>
      <c r="LQ24" t="s">
        <v>40</v>
      </c>
      <c r="LR24" t="s">
        <v>47</v>
      </c>
      <c r="LS24" t="s">
        <v>40</v>
      </c>
      <c r="LT24" t="s">
        <v>36</v>
      </c>
      <c r="LU24" t="s">
        <v>27</v>
      </c>
      <c r="LV24" t="s">
        <v>55</v>
      </c>
      <c r="LW24" t="s">
        <v>47</v>
      </c>
      <c r="LX24" t="s">
        <v>27</v>
      </c>
      <c r="LY24" t="s">
        <v>47</v>
      </c>
      <c r="LZ24" t="s">
        <v>55</v>
      </c>
      <c r="MA24" t="s">
        <v>55</v>
      </c>
      <c r="MB24" t="s">
        <v>36</v>
      </c>
      <c r="MC24" t="s">
        <v>47</v>
      </c>
      <c r="MD24" t="s">
        <v>36</v>
      </c>
      <c r="ME24" t="s">
        <v>47</v>
      </c>
      <c r="MF24" t="s">
        <v>47</v>
      </c>
      <c r="MG24" t="s">
        <v>40</v>
      </c>
      <c r="MH24" t="s">
        <v>36</v>
      </c>
      <c r="MI24" t="s">
        <v>47</v>
      </c>
      <c r="MJ24" t="s">
        <v>47</v>
      </c>
      <c r="MK24" t="s">
        <v>55</v>
      </c>
      <c r="ML24" t="s">
        <v>40</v>
      </c>
      <c r="MM24" t="s">
        <v>55</v>
      </c>
      <c r="MN24" t="s">
        <v>36</v>
      </c>
      <c r="MO24" t="s">
        <v>36</v>
      </c>
      <c r="MP24" t="s">
        <v>47</v>
      </c>
      <c r="MQ24" t="s">
        <v>27</v>
      </c>
      <c r="MR24" t="s">
        <v>55</v>
      </c>
      <c r="MS24" t="s">
        <v>36</v>
      </c>
      <c r="MT24" t="s">
        <v>47</v>
      </c>
      <c r="MU24" t="s">
        <v>47</v>
      </c>
      <c r="MV24" t="s">
        <v>55</v>
      </c>
      <c r="MW24" t="s">
        <v>47</v>
      </c>
      <c r="MX24" t="s">
        <v>40</v>
      </c>
      <c r="MY24" t="s">
        <v>27</v>
      </c>
      <c r="MZ24" t="s">
        <v>55</v>
      </c>
      <c r="NA24" t="s">
        <v>55</v>
      </c>
      <c r="NB24" t="s">
        <v>55</v>
      </c>
      <c r="NC24" t="s">
        <v>47</v>
      </c>
      <c r="ND24" t="s">
        <v>47</v>
      </c>
      <c r="NE24" t="s">
        <v>55</v>
      </c>
      <c r="NF24" t="s">
        <v>55</v>
      </c>
      <c r="NG24" t="s">
        <v>40</v>
      </c>
      <c r="NH24" t="s">
        <v>36</v>
      </c>
      <c r="NI24" t="s">
        <v>40</v>
      </c>
      <c r="NJ24" t="s">
        <v>55</v>
      </c>
      <c r="NK24" t="s">
        <v>47</v>
      </c>
      <c r="NL24" t="s">
        <v>47</v>
      </c>
      <c r="NM24" t="s">
        <v>55</v>
      </c>
      <c r="NN24" t="s">
        <v>36</v>
      </c>
      <c r="NO24" t="s">
        <v>27</v>
      </c>
      <c r="NP24" t="s">
        <v>27</v>
      </c>
      <c r="NQ24" t="s">
        <v>40</v>
      </c>
      <c r="NR24" t="s">
        <v>36</v>
      </c>
      <c r="NS24" t="s">
        <v>27</v>
      </c>
      <c r="NT24" t="s">
        <v>36</v>
      </c>
      <c r="NU24" t="s">
        <v>47</v>
      </c>
      <c r="NV24" t="s">
        <v>47</v>
      </c>
      <c r="NW24" t="s">
        <v>36</v>
      </c>
      <c r="NX24" t="s">
        <v>55</v>
      </c>
      <c r="NY24" t="s">
        <v>27</v>
      </c>
      <c r="NZ24" t="s">
        <v>27</v>
      </c>
      <c r="OA24" t="s">
        <v>47</v>
      </c>
      <c r="OB24" t="s">
        <v>40</v>
      </c>
      <c r="OC24" t="s">
        <v>27</v>
      </c>
      <c r="OD24" t="s">
        <v>47</v>
      </c>
      <c r="OE24" t="s">
        <v>47</v>
      </c>
      <c r="OF24" t="s">
        <v>36</v>
      </c>
      <c r="OG24" t="s">
        <v>36</v>
      </c>
      <c r="OH24" t="s">
        <v>36</v>
      </c>
      <c r="OI24" t="s">
        <v>40</v>
      </c>
      <c r="OJ24" t="s">
        <v>27</v>
      </c>
      <c r="OK24" t="s">
        <v>40</v>
      </c>
      <c r="OL24" t="s">
        <v>40</v>
      </c>
      <c r="OM24" t="s">
        <v>36</v>
      </c>
      <c r="ON24" t="s">
        <v>47</v>
      </c>
      <c r="OO24" t="s">
        <v>55</v>
      </c>
      <c r="OP24" t="s">
        <v>47</v>
      </c>
      <c r="OQ24" t="s">
        <v>47</v>
      </c>
      <c r="OR24" t="s">
        <v>47</v>
      </c>
      <c r="OS24" t="s">
        <v>47</v>
      </c>
      <c r="OT24" t="s">
        <v>40</v>
      </c>
      <c r="OU24" t="s">
        <v>36</v>
      </c>
      <c r="OV24" t="s">
        <v>36</v>
      </c>
      <c r="OW24" t="s">
        <v>47</v>
      </c>
      <c r="OX24" t="s">
        <v>55</v>
      </c>
      <c r="OY24" t="s">
        <v>27</v>
      </c>
      <c r="OZ24" t="s">
        <v>47</v>
      </c>
      <c r="PA24" t="s">
        <v>47</v>
      </c>
      <c r="PB24" t="s">
        <v>55</v>
      </c>
      <c r="PC24" t="s">
        <v>40</v>
      </c>
      <c r="PD24" t="s">
        <v>47</v>
      </c>
      <c r="PE24" t="s">
        <v>55</v>
      </c>
      <c r="PF24" t="s">
        <v>40</v>
      </c>
      <c r="PG24" t="s">
        <v>40</v>
      </c>
      <c r="PH24" t="s">
        <v>47</v>
      </c>
      <c r="PI24" t="s">
        <v>40</v>
      </c>
      <c r="PJ24" t="s">
        <v>47</v>
      </c>
      <c r="PK24" t="s">
        <v>47</v>
      </c>
      <c r="PL24" t="s">
        <v>36</v>
      </c>
      <c r="PM24" t="s">
        <v>27</v>
      </c>
      <c r="PN24" t="s">
        <v>27</v>
      </c>
      <c r="PO24" t="s">
        <v>36</v>
      </c>
      <c r="PP24" t="s">
        <v>47</v>
      </c>
      <c r="PQ24" t="s">
        <v>55</v>
      </c>
      <c r="PR24" t="s">
        <v>40</v>
      </c>
      <c r="PS24" t="s">
        <v>36</v>
      </c>
      <c r="PT24" t="s">
        <v>36</v>
      </c>
      <c r="PU24" t="s">
        <v>36</v>
      </c>
      <c r="PV24" t="s">
        <v>36</v>
      </c>
      <c r="PW24" t="s">
        <v>27</v>
      </c>
      <c r="PX24" t="s">
        <v>47</v>
      </c>
      <c r="PY24" t="s">
        <v>36</v>
      </c>
      <c r="PZ24" t="s">
        <v>36</v>
      </c>
      <c r="QA24" t="s">
        <v>36</v>
      </c>
      <c r="QB24" t="s">
        <v>55</v>
      </c>
      <c r="QC24" t="s">
        <v>55</v>
      </c>
      <c r="QD24" t="s">
        <v>40</v>
      </c>
      <c r="QE24" t="s">
        <v>47</v>
      </c>
      <c r="QF24" t="s">
        <v>36</v>
      </c>
      <c r="QG24" t="s">
        <v>40</v>
      </c>
      <c r="QH24" t="s">
        <v>40</v>
      </c>
      <c r="QI24" t="s">
        <v>47</v>
      </c>
      <c r="QJ24" t="s">
        <v>55</v>
      </c>
      <c r="QK24" t="s">
        <v>47</v>
      </c>
      <c r="QL24" t="s">
        <v>40</v>
      </c>
      <c r="QM24" t="s">
        <v>47</v>
      </c>
      <c r="QN24" t="s">
        <v>55</v>
      </c>
      <c r="QO24" t="s">
        <v>40</v>
      </c>
      <c r="QP24" t="s">
        <v>47</v>
      </c>
      <c r="QQ24" t="s">
        <v>36</v>
      </c>
      <c r="QR24" t="s">
        <v>36</v>
      </c>
      <c r="QS24" t="s">
        <v>47</v>
      </c>
      <c r="QT24" t="s">
        <v>47</v>
      </c>
      <c r="QU24" t="s">
        <v>55</v>
      </c>
      <c r="QV24" t="s">
        <v>40</v>
      </c>
      <c r="QW24" t="s">
        <v>47</v>
      </c>
      <c r="QX24" t="s">
        <v>40</v>
      </c>
      <c r="QY24" t="s">
        <v>36</v>
      </c>
      <c r="QZ24" t="s">
        <v>40</v>
      </c>
      <c r="RA24" t="s">
        <v>27</v>
      </c>
      <c r="RB24" t="s">
        <v>55</v>
      </c>
      <c r="RC24" t="s">
        <v>55</v>
      </c>
      <c r="RD24" t="s">
        <v>40</v>
      </c>
      <c r="RE24" t="s">
        <v>55</v>
      </c>
      <c r="RF24" t="s">
        <v>40</v>
      </c>
      <c r="RG24" t="s">
        <v>40</v>
      </c>
      <c r="RH24" t="s">
        <v>36</v>
      </c>
      <c r="RI24" t="s">
        <v>40</v>
      </c>
      <c r="RJ24" t="s">
        <v>55</v>
      </c>
      <c r="RK24" t="s">
        <v>27</v>
      </c>
      <c r="RL24" t="s">
        <v>47</v>
      </c>
      <c r="RM24" t="s">
        <v>55</v>
      </c>
      <c r="RN24" t="s">
        <v>27</v>
      </c>
      <c r="RO24" t="s">
        <v>55</v>
      </c>
      <c r="RP24" t="s">
        <v>27</v>
      </c>
      <c r="RQ24" t="s">
        <v>55</v>
      </c>
      <c r="RR24" t="s">
        <v>47</v>
      </c>
      <c r="RS24" t="s">
        <v>36</v>
      </c>
      <c r="RT24" t="s">
        <v>36</v>
      </c>
      <c r="RU24" t="s">
        <v>47</v>
      </c>
      <c r="RV24" t="s">
        <v>55</v>
      </c>
      <c r="RW24" t="s">
        <v>27</v>
      </c>
      <c r="RX24" t="s">
        <v>40</v>
      </c>
      <c r="RY24" t="s">
        <v>55</v>
      </c>
      <c r="RZ24" t="s">
        <v>47</v>
      </c>
      <c r="SA24" t="s">
        <v>36</v>
      </c>
      <c r="SB24" t="s">
        <v>36</v>
      </c>
      <c r="SC24" t="s">
        <v>55</v>
      </c>
      <c r="SD24" t="s">
        <v>27</v>
      </c>
      <c r="SE24" t="s">
        <v>47</v>
      </c>
      <c r="SF24" t="s">
        <v>47</v>
      </c>
      <c r="SG24" t="s">
        <v>27</v>
      </c>
      <c r="SH24" t="s">
        <v>27</v>
      </c>
      <c r="SI24" t="s">
        <v>55</v>
      </c>
      <c r="SJ24" t="s">
        <v>55</v>
      </c>
      <c r="SK24" t="s">
        <v>36</v>
      </c>
      <c r="SL24" t="s">
        <v>36</v>
      </c>
      <c r="SM24" t="s">
        <v>27</v>
      </c>
      <c r="SN24" t="s">
        <v>40</v>
      </c>
      <c r="SO24" t="s">
        <v>40</v>
      </c>
      <c r="SP24" t="s">
        <v>40</v>
      </c>
      <c r="SQ24" t="s">
        <v>47</v>
      </c>
      <c r="SR24" t="s">
        <v>55</v>
      </c>
      <c r="SS24" t="s">
        <v>27</v>
      </c>
      <c r="ST24" t="s">
        <v>36</v>
      </c>
      <c r="SU24" t="s">
        <v>40</v>
      </c>
      <c r="SV24" t="s">
        <v>36</v>
      </c>
      <c r="SW24" t="s">
        <v>55</v>
      </c>
      <c r="SX24" t="s">
        <v>27</v>
      </c>
      <c r="SY24" t="s">
        <v>40</v>
      </c>
      <c r="SZ24" t="s">
        <v>40</v>
      </c>
      <c r="TA24" t="s">
        <v>27</v>
      </c>
      <c r="TB24" t="s">
        <v>36</v>
      </c>
      <c r="TC24" t="s">
        <v>55</v>
      </c>
      <c r="TD24" t="s">
        <v>55</v>
      </c>
      <c r="TE24" t="s">
        <v>55</v>
      </c>
      <c r="TF24" t="s">
        <v>36</v>
      </c>
      <c r="TG24" t="s">
        <v>36</v>
      </c>
      <c r="TH24" t="s">
        <v>40</v>
      </c>
      <c r="TI24" t="s">
        <v>36</v>
      </c>
      <c r="TJ24" t="s">
        <v>47</v>
      </c>
      <c r="TK24" t="s">
        <v>27</v>
      </c>
      <c r="TL24" t="s">
        <v>36</v>
      </c>
      <c r="TM24" t="s">
        <v>55</v>
      </c>
      <c r="TN24" t="s">
        <v>36</v>
      </c>
      <c r="TO24" t="s">
        <v>40</v>
      </c>
      <c r="TP24" t="s">
        <v>27</v>
      </c>
      <c r="TQ24" t="s">
        <v>27</v>
      </c>
      <c r="TR24" t="s">
        <v>55</v>
      </c>
      <c r="TS24" t="s">
        <v>27</v>
      </c>
      <c r="TT24" t="s">
        <v>47</v>
      </c>
      <c r="TU24" t="s">
        <v>27</v>
      </c>
      <c r="TV24" t="s">
        <v>55</v>
      </c>
      <c r="TW24" t="s">
        <v>27</v>
      </c>
      <c r="TX24" t="s">
        <v>36</v>
      </c>
      <c r="TY24" t="s">
        <v>40</v>
      </c>
      <c r="TZ24" t="s">
        <v>36</v>
      </c>
      <c r="UA24" t="s">
        <v>47</v>
      </c>
      <c r="UB24" t="s">
        <v>47</v>
      </c>
      <c r="UC24" t="s">
        <v>40</v>
      </c>
      <c r="UD24" t="s">
        <v>40</v>
      </c>
      <c r="UE24" t="s">
        <v>40</v>
      </c>
      <c r="UF24" t="s">
        <v>40</v>
      </c>
      <c r="UG24" t="s">
        <v>27</v>
      </c>
      <c r="UH24" t="s">
        <v>36</v>
      </c>
      <c r="UI24" t="s">
        <v>47</v>
      </c>
      <c r="UJ24" t="s">
        <v>27</v>
      </c>
      <c r="UK24" t="s">
        <v>40</v>
      </c>
      <c r="UL24" t="s">
        <v>55</v>
      </c>
      <c r="UM24" t="s">
        <v>55</v>
      </c>
      <c r="UN24" t="s">
        <v>36</v>
      </c>
      <c r="UO24" t="s">
        <v>47</v>
      </c>
      <c r="UP24" t="s">
        <v>47</v>
      </c>
      <c r="UQ24" t="s">
        <v>36</v>
      </c>
      <c r="UR24" t="s">
        <v>40</v>
      </c>
      <c r="US24" t="s">
        <v>40</v>
      </c>
      <c r="UT24" t="s">
        <v>47</v>
      </c>
      <c r="UU24" t="s">
        <v>47</v>
      </c>
      <c r="UV24" t="s">
        <v>47</v>
      </c>
      <c r="UW24" t="s">
        <v>40</v>
      </c>
      <c r="UX24" t="s">
        <v>55</v>
      </c>
      <c r="UY24" t="s">
        <v>36</v>
      </c>
      <c r="UZ24" t="s">
        <v>36</v>
      </c>
      <c r="VA24" t="s">
        <v>27</v>
      </c>
      <c r="VB24" t="s">
        <v>27</v>
      </c>
      <c r="VC24" t="s">
        <v>55</v>
      </c>
      <c r="VD24" t="s">
        <v>47</v>
      </c>
      <c r="VE24" t="s">
        <v>55</v>
      </c>
      <c r="VF24" t="s">
        <v>27</v>
      </c>
      <c r="VG24" t="s">
        <v>27</v>
      </c>
      <c r="VH24" t="s">
        <v>36</v>
      </c>
      <c r="VI24" t="s">
        <v>55</v>
      </c>
      <c r="VJ24" t="s">
        <v>40</v>
      </c>
      <c r="VK24" t="s">
        <v>27</v>
      </c>
      <c r="VL24" t="s">
        <v>36</v>
      </c>
      <c r="VM24" t="s">
        <v>47</v>
      </c>
      <c r="VN24" t="s">
        <v>55</v>
      </c>
      <c r="VO24" t="s">
        <v>27</v>
      </c>
      <c r="VP24" t="s">
        <v>40</v>
      </c>
      <c r="VQ24" t="s">
        <v>27</v>
      </c>
      <c r="VR24" t="s">
        <v>40</v>
      </c>
      <c r="VS24" t="s">
        <v>55</v>
      </c>
      <c r="VT24" t="s">
        <v>40</v>
      </c>
      <c r="VU24" t="s">
        <v>40</v>
      </c>
      <c r="VV24" t="s">
        <v>36</v>
      </c>
      <c r="VW24" t="s">
        <v>55</v>
      </c>
      <c r="VX24" t="s">
        <v>27</v>
      </c>
      <c r="VY24" t="s">
        <v>47</v>
      </c>
      <c r="VZ24" t="s">
        <v>55</v>
      </c>
      <c r="WA24" t="s">
        <v>55</v>
      </c>
      <c r="WB24" t="s">
        <v>47</v>
      </c>
      <c r="WC24" t="s">
        <v>27</v>
      </c>
      <c r="WD24" t="s">
        <v>36</v>
      </c>
      <c r="WE24" t="s">
        <v>27</v>
      </c>
      <c r="WF24" t="s">
        <v>47</v>
      </c>
      <c r="WG24" t="s">
        <v>27</v>
      </c>
      <c r="WH24" t="s">
        <v>55</v>
      </c>
      <c r="WI24" t="s">
        <v>36</v>
      </c>
      <c r="WJ24" t="s">
        <v>40</v>
      </c>
      <c r="WK24" t="s">
        <v>27</v>
      </c>
      <c r="WL24" t="s">
        <v>40</v>
      </c>
      <c r="WM24" t="s">
        <v>36</v>
      </c>
      <c r="WN24" t="s">
        <v>40</v>
      </c>
      <c r="WO24" t="s">
        <v>27</v>
      </c>
      <c r="WP24" t="s">
        <v>47</v>
      </c>
      <c r="WQ24" t="s">
        <v>55</v>
      </c>
      <c r="WR24" t="s">
        <v>55</v>
      </c>
      <c r="WS24" t="s">
        <v>40</v>
      </c>
      <c r="WT24" t="s">
        <v>55</v>
      </c>
      <c r="WU24" t="s">
        <v>55</v>
      </c>
      <c r="WV24" t="s">
        <v>47</v>
      </c>
      <c r="WW24" t="s">
        <v>40</v>
      </c>
      <c r="WX24" t="s">
        <v>47</v>
      </c>
      <c r="WY24" t="s">
        <v>47</v>
      </c>
      <c r="WZ24" t="s">
        <v>36</v>
      </c>
      <c r="XA24" t="s">
        <v>40</v>
      </c>
      <c r="XB24" t="s">
        <v>47</v>
      </c>
      <c r="XC24" t="s">
        <v>27</v>
      </c>
      <c r="XD24" t="s">
        <v>55</v>
      </c>
      <c r="XE24" t="s">
        <v>40</v>
      </c>
      <c r="XF24" t="s">
        <v>36</v>
      </c>
      <c r="XG24" t="s">
        <v>47</v>
      </c>
      <c r="XH24" t="s">
        <v>27</v>
      </c>
      <c r="XI24" t="s">
        <v>55</v>
      </c>
      <c r="XJ24" t="s">
        <v>55</v>
      </c>
      <c r="XK24" t="s">
        <v>27</v>
      </c>
      <c r="XL24" t="s">
        <v>40</v>
      </c>
      <c r="XM24" t="s">
        <v>55</v>
      </c>
      <c r="XN24" t="s">
        <v>55</v>
      </c>
      <c r="XO24" t="s">
        <v>55</v>
      </c>
      <c r="XP24" t="s">
        <v>47</v>
      </c>
      <c r="XQ24" t="s">
        <v>47</v>
      </c>
      <c r="XR24" t="s">
        <v>55</v>
      </c>
      <c r="XS24" t="s">
        <v>36</v>
      </c>
      <c r="XT24" t="s">
        <v>55</v>
      </c>
      <c r="XU24" t="s">
        <v>40</v>
      </c>
      <c r="XV24" t="s">
        <v>36</v>
      </c>
      <c r="XW24" t="s">
        <v>40</v>
      </c>
      <c r="XX24" t="s">
        <v>27</v>
      </c>
      <c r="XY24" t="s">
        <v>27</v>
      </c>
      <c r="XZ24" t="s">
        <v>47</v>
      </c>
      <c r="YA24" t="s">
        <v>47</v>
      </c>
      <c r="YB24" t="s">
        <v>47</v>
      </c>
      <c r="YC24" t="s">
        <v>27</v>
      </c>
      <c r="YD24" t="s">
        <v>40</v>
      </c>
      <c r="YE24" t="s">
        <v>36</v>
      </c>
      <c r="YF24" t="s">
        <v>47</v>
      </c>
      <c r="YG24" t="s">
        <v>27</v>
      </c>
      <c r="YH24" t="s">
        <v>47</v>
      </c>
      <c r="YI24" t="s">
        <v>55</v>
      </c>
      <c r="YJ24" t="s">
        <v>36</v>
      </c>
      <c r="YK24" t="s">
        <v>40</v>
      </c>
      <c r="YL24" t="s">
        <v>47</v>
      </c>
      <c r="YM24" t="s">
        <v>55</v>
      </c>
      <c r="YN24" t="s">
        <v>55</v>
      </c>
      <c r="YO24" t="s">
        <v>36</v>
      </c>
      <c r="YP24" t="s">
        <v>27</v>
      </c>
      <c r="YQ24" t="s">
        <v>27</v>
      </c>
      <c r="YR24" t="s">
        <v>47</v>
      </c>
      <c r="YS24" t="s">
        <v>47</v>
      </c>
      <c r="YT24" t="s">
        <v>27</v>
      </c>
      <c r="YU24" t="s">
        <v>40</v>
      </c>
      <c r="YV24" t="s">
        <v>40</v>
      </c>
      <c r="YW24" t="s">
        <v>55</v>
      </c>
      <c r="YX24" t="s">
        <v>36</v>
      </c>
      <c r="YY24" t="s">
        <v>40</v>
      </c>
      <c r="YZ24" t="s">
        <v>47</v>
      </c>
      <c r="ZA24" t="s">
        <v>40</v>
      </c>
      <c r="ZB24" t="s">
        <v>36</v>
      </c>
      <c r="ZC24" t="s">
        <v>47</v>
      </c>
      <c r="ZD24" t="s">
        <v>36</v>
      </c>
      <c r="ZE24" t="s">
        <v>27</v>
      </c>
      <c r="ZF24" t="s">
        <v>36</v>
      </c>
      <c r="ZG24" t="s">
        <v>36</v>
      </c>
      <c r="ZH24" t="s">
        <v>36</v>
      </c>
      <c r="ZI24" t="s">
        <v>47</v>
      </c>
      <c r="ZJ24" t="s">
        <v>36</v>
      </c>
      <c r="ZK24" t="s">
        <v>36</v>
      </c>
      <c r="ZL24" t="s">
        <v>55</v>
      </c>
      <c r="ZM24" t="s">
        <v>47</v>
      </c>
      <c r="ZN24" t="s">
        <v>36</v>
      </c>
      <c r="ZO24" t="s">
        <v>40</v>
      </c>
      <c r="ZP24" t="s">
        <v>36</v>
      </c>
      <c r="ZQ24" t="s">
        <v>40</v>
      </c>
      <c r="ZR24" t="s">
        <v>27</v>
      </c>
      <c r="ZS24" t="s">
        <v>27</v>
      </c>
      <c r="ZT24" t="s">
        <v>47</v>
      </c>
      <c r="ZU24" t="s">
        <v>47</v>
      </c>
      <c r="ZV24" t="s">
        <v>27</v>
      </c>
      <c r="ZW24" t="s">
        <v>47</v>
      </c>
      <c r="ZX24" t="s">
        <v>40</v>
      </c>
      <c r="ZY24" t="s">
        <v>40</v>
      </c>
      <c r="ZZ24" t="s">
        <v>55</v>
      </c>
      <c r="AAA24" t="s">
        <v>47</v>
      </c>
      <c r="AAB24" t="s">
        <v>47</v>
      </c>
      <c r="AAC24" t="s">
        <v>55</v>
      </c>
      <c r="AAD24" t="s">
        <v>36</v>
      </c>
      <c r="AAE24" t="s">
        <v>40</v>
      </c>
      <c r="AAF24" t="s">
        <v>36</v>
      </c>
      <c r="AAG24" t="s">
        <v>55</v>
      </c>
      <c r="AAH24" t="s">
        <v>47</v>
      </c>
      <c r="AAI24" t="s">
        <v>36</v>
      </c>
      <c r="AAJ24" t="s">
        <v>47</v>
      </c>
      <c r="AAK24" t="s">
        <v>55</v>
      </c>
      <c r="AAL24" t="s">
        <v>27</v>
      </c>
      <c r="AAM24" t="s">
        <v>47</v>
      </c>
      <c r="AAN24" t="s">
        <v>36</v>
      </c>
      <c r="AAO24" t="s">
        <v>36</v>
      </c>
      <c r="AAP24" t="s">
        <v>55</v>
      </c>
      <c r="AAQ24" t="s">
        <v>36</v>
      </c>
      <c r="AAR24" t="s">
        <v>40</v>
      </c>
      <c r="AAS24" t="s">
        <v>47</v>
      </c>
      <c r="AAT24" t="s">
        <v>40</v>
      </c>
      <c r="AAU24" t="s">
        <v>55</v>
      </c>
      <c r="AAV24" t="s">
        <v>40</v>
      </c>
      <c r="AAW24" t="s">
        <v>40</v>
      </c>
      <c r="AAX24" t="s">
        <v>47</v>
      </c>
      <c r="AAY24" t="s">
        <v>47</v>
      </c>
      <c r="AAZ24" t="s">
        <v>27</v>
      </c>
      <c r="ABA24" t="s">
        <v>40</v>
      </c>
      <c r="ABB24" t="s">
        <v>47</v>
      </c>
      <c r="ABC24" t="s">
        <v>40</v>
      </c>
      <c r="ABD24" t="s">
        <v>40</v>
      </c>
      <c r="ABE24" t="s">
        <v>55</v>
      </c>
      <c r="ABF24" t="s">
        <v>55</v>
      </c>
      <c r="ABG24" t="s">
        <v>40</v>
      </c>
      <c r="ABH24" t="s">
        <v>55</v>
      </c>
      <c r="ABI24" t="s">
        <v>47</v>
      </c>
      <c r="ABJ24" t="s">
        <v>40</v>
      </c>
      <c r="ABK24" t="s">
        <v>55</v>
      </c>
      <c r="ABL24" t="s">
        <v>47</v>
      </c>
      <c r="ABM24" t="s">
        <v>40</v>
      </c>
      <c r="ABN24" t="s">
        <v>40</v>
      </c>
      <c r="ABO24" t="s">
        <v>55</v>
      </c>
      <c r="ABP24" t="s">
        <v>47</v>
      </c>
      <c r="ABQ24" t="s">
        <v>40</v>
      </c>
      <c r="ABR24" t="s">
        <v>40</v>
      </c>
      <c r="ABS24" t="s">
        <v>27</v>
      </c>
      <c r="ABT24" t="s">
        <v>40</v>
      </c>
      <c r="ABU24" t="s">
        <v>27</v>
      </c>
      <c r="ABV24" t="s">
        <v>27</v>
      </c>
      <c r="ABW24" t="s">
        <v>47</v>
      </c>
      <c r="ABX24" t="s">
        <v>36</v>
      </c>
      <c r="ABY24" t="s">
        <v>27</v>
      </c>
      <c r="ABZ24" t="s">
        <v>47</v>
      </c>
      <c r="ACA24" t="s">
        <v>55</v>
      </c>
      <c r="ACB24" t="s">
        <v>27</v>
      </c>
      <c r="ACC24" t="s">
        <v>36</v>
      </c>
      <c r="ACD24" t="s">
        <v>55</v>
      </c>
      <c r="ACE24" t="s">
        <v>27</v>
      </c>
      <c r="ACF24" t="s">
        <v>27</v>
      </c>
      <c r="ACG24" t="s">
        <v>36</v>
      </c>
      <c r="ACH24" t="s">
        <v>40</v>
      </c>
      <c r="ACI24" t="s">
        <v>36</v>
      </c>
      <c r="ACJ24" t="s">
        <v>47</v>
      </c>
      <c r="ACK24" t="s">
        <v>47</v>
      </c>
      <c r="ACL24" t="s">
        <v>36</v>
      </c>
      <c r="ACM24" t="s">
        <v>36</v>
      </c>
      <c r="ACN24" t="s">
        <v>36</v>
      </c>
      <c r="ACO24" t="s">
        <v>36</v>
      </c>
      <c r="ACP24" t="s">
        <v>36</v>
      </c>
      <c r="ACQ24" t="s">
        <v>27</v>
      </c>
      <c r="ACR24" t="s">
        <v>55</v>
      </c>
      <c r="ACS24" t="s">
        <v>47</v>
      </c>
      <c r="ACT24" t="s">
        <v>47</v>
      </c>
      <c r="ACU24" t="s">
        <v>55</v>
      </c>
      <c r="ACV24" t="s">
        <v>36</v>
      </c>
      <c r="ACW24" t="s">
        <v>55</v>
      </c>
      <c r="ACX24" t="s">
        <v>36</v>
      </c>
      <c r="ACY24" t="s">
        <v>47</v>
      </c>
      <c r="ACZ24" t="s">
        <v>40</v>
      </c>
      <c r="ADA24" t="s">
        <v>47</v>
      </c>
      <c r="ADB24" t="s">
        <v>47</v>
      </c>
      <c r="ADC24" t="s">
        <v>40</v>
      </c>
      <c r="ADD24" t="s">
        <v>55</v>
      </c>
      <c r="ADE24" t="s">
        <v>27</v>
      </c>
      <c r="ADF24" t="s">
        <v>36</v>
      </c>
      <c r="ADG24" t="s">
        <v>36</v>
      </c>
      <c r="ADH24" t="s">
        <v>47</v>
      </c>
      <c r="ADI24" t="s">
        <v>40</v>
      </c>
      <c r="ADJ24" t="s">
        <v>47</v>
      </c>
      <c r="ADK24" t="s">
        <v>47</v>
      </c>
      <c r="ADL24" t="s">
        <v>55</v>
      </c>
      <c r="ADM24" t="s">
        <v>36</v>
      </c>
      <c r="ADN24" t="s">
        <v>27</v>
      </c>
      <c r="ADO24" t="s">
        <v>40</v>
      </c>
      <c r="ADP24" t="s">
        <v>27</v>
      </c>
      <c r="ADQ24" t="s">
        <v>40</v>
      </c>
      <c r="ADR24" t="s">
        <v>36</v>
      </c>
      <c r="ADS24" t="s">
        <v>55</v>
      </c>
      <c r="ADT24" t="s">
        <v>27</v>
      </c>
      <c r="ADU24" t="s">
        <v>40</v>
      </c>
      <c r="ADV24" t="s">
        <v>47</v>
      </c>
      <c r="ADW24" t="s">
        <v>36</v>
      </c>
      <c r="ADX24" t="s">
        <v>55</v>
      </c>
      <c r="ADY24" t="s">
        <v>47</v>
      </c>
      <c r="ADZ24" t="s">
        <v>55</v>
      </c>
      <c r="AEA24" t="s">
        <v>40</v>
      </c>
      <c r="AEB24" t="s">
        <v>47</v>
      </c>
      <c r="AEC24" t="s">
        <v>55</v>
      </c>
      <c r="AED24" t="s">
        <v>36</v>
      </c>
      <c r="AEE24" t="s">
        <v>27</v>
      </c>
      <c r="AEF24" t="s">
        <v>27</v>
      </c>
      <c r="AEG24" t="s">
        <v>47</v>
      </c>
      <c r="AEH24" t="s">
        <v>36</v>
      </c>
      <c r="AEI24" t="s">
        <v>36</v>
      </c>
      <c r="AEJ24" t="s">
        <v>55</v>
      </c>
      <c r="AEK24" t="s">
        <v>47</v>
      </c>
      <c r="AEL24" t="s">
        <v>36</v>
      </c>
      <c r="AEM24" t="s">
        <v>55</v>
      </c>
      <c r="AEN24" t="s">
        <v>36</v>
      </c>
      <c r="AEO24" t="s">
        <v>47</v>
      </c>
      <c r="AEP24" t="s">
        <v>36</v>
      </c>
      <c r="AEQ24" t="s">
        <v>36</v>
      </c>
      <c r="AER24" t="s">
        <v>36</v>
      </c>
      <c r="AES24" t="s">
        <v>27</v>
      </c>
      <c r="AET24" t="s">
        <v>40</v>
      </c>
      <c r="AEU24" t="s">
        <v>47</v>
      </c>
      <c r="AEV24" t="s">
        <v>27</v>
      </c>
      <c r="AEW24" t="s">
        <v>40</v>
      </c>
      <c r="AEX24" t="s">
        <v>36</v>
      </c>
      <c r="AEY24" t="s">
        <v>36</v>
      </c>
      <c r="AEZ24" t="s">
        <v>27</v>
      </c>
      <c r="AFA24" t="s">
        <v>55</v>
      </c>
      <c r="AFB24" t="s">
        <v>47</v>
      </c>
      <c r="AFC24" t="s">
        <v>40</v>
      </c>
      <c r="AFD24" t="s">
        <v>36</v>
      </c>
      <c r="AFE24" t="s">
        <v>47</v>
      </c>
      <c r="AFF24" t="s">
        <v>36</v>
      </c>
      <c r="AFG24" t="s">
        <v>36</v>
      </c>
      <c r="AFH24" t="s">
        <v>36</v>
      </c>
      <c r="AFI24" t="s">
        <v>47</v>
      </c>
      <c r="AFJ24" t="s">
        <v>27</v>
      </c>
      <c r="AFK24" t="s">
        <v>47</v>
      </c>
      <c r="AFL24" t="s">
        <v>47</v>
      </c>
      <c r="AFM24" t="s">
        <v>55</v>
      </c>
      <c r="AFN24" t="s">
        <v>55</v>
      </c>
      <c r="AFO24" t="s">
        <v>27</v>
      </c>
      <c r="AFP24" t="s">
        <v>55</v>
      </c>
      <c r="AFQ24" t="s">
        <v>27</v>
      </c>
      <c r="AFR24" t="s">
        <v>36</v>
      </c>
      <c r="AFS24" t="s">
        <v>36</v>
      </c>
      <c r="AFT24" t="s">
        <v>47</v>
      </c>
      <c r="AFU24" t="s">
        <v>36</v>
      </c>
      <c r="AFV24" t="s">
        <v>55</v>
      </c>
      <c r="AFW24" t="s">
        <v>40</v>
      </c>
      <c r="AFX24" t="s">
        <v>47</v>
      </c>
      <c r="AFY24" t="s">
        <v>27</v>
      </c>
      <c r="AFZ24" t="s">
        <v>36</v>
      </c>
      <c r="AGA24" t="s">
        <v>47</v>
      </c>
      <c r="AGB24" t="s">
        <v>47</v>
      </c>
      <c r="AGC24" t="s">
        <v>47</v>
      </c>
      <c r="AGD24" t="s">
        <v>36</v>
      </c>
      <c r="AGE24" t="s">
        <v>27</v>
      </c>
      <c r="AGF24" t="s">
        <v>47</v>
      </c>
      <c r="AGG24" t="s">
        <v>47</v>
      </c>
      <c r="AGH24" t="s">
        <v>47</v>
      </c>
      <c r="AGI24" t="s">
        <v>36</v>
      </c>
      <c r="AGJ24" t="s">
        <v>55</v>
      </c>
      <c r="AGK24" t="s">
        <v>27</v>
      </c>
      <c r="AGL24" t="s">
        <v>47</v>
      </c>
      <c r="AGM24" t="s">
        <v>47</v>
      </c>
      <c r="AGN24" t="s">
        <v>47</v>
      </c>
      <c r="AGO24" t="s">
        <v>36</v>
      </c>
      <c r="AGP24" t="s">
        <v>55</v>
      </c>
      <c r="AGQ24" t="s">
        <v>47</v>
      </c>
      <c r="AGR24" t="s">
        <v>47</v>
      </c>
      <c r="AGS24" t="s">
        <v>36</v>
      </c>
      <c r="AGX24">
        <f>SUMIFS(B32:AGS32, B31:AGS31, "London", B23:AGS23, "Single", B19:AGS19, "Female")</f>
        <v>155</v>
      </c>
    </row>
    <row r="25" spans="1:885" x14ac:dyDescent="0.25">
      <c r="A25" s="1" t="s">
        <v>13</v>
      </c>
      <c r="B25">
        <v>13</v>
      </c>
      <c r="C25">
        <v>39</v>
      </c>
      <c r="D25">
        <v>20</v>
      </c>
      <c r="E25">
        <v>32</v>
      </c>
      <c r="F25">
        <v>10</v>
      </c>
      <c r="G25">
        <v>26</v>
      </c>
      <c r="H25">
        <v>19</v>
      </c>
      <c r="I25">
        <v>29</v>
      </c>
      <c r="J25">
        <v>13</v>
      </c>
      <c r="K25">
        <v>34</v>
      </c>
      <c r="L25">
        <v>20</v>
      </c>
      <c r="M25">
        <v>18</v>
      </c>
      <c r="N25">
        <v>34</v>
      </c>
      <c r="O25">
        <v>8</v>
      </c>
      <c r="P25">
        <v>16</v>
      </c>
      <c r="Q25">
        <v>23</v>
      </c>
      <c r="R25">
        <v>32</v>
      </c>
      <c r="S25">
        <v>13</v>
      </c>
      <c r="T25">
        <v>26</v>
      </c>
      <c r="U25">
        <v>38</v>
      </c>
      <c r="V25">
        <v>1</v>
      </c>
      <c r="W25">
        <v>2</v>
      </c>
      <c r="X25">
        <v>39</v>
      </c>
      <c r="Y25">
        <v>13</v>
      </c>
      <c r="Z25">
        <v>27</v>
      </c>
      <c r="AA25">
        <v>4</v>
      </c>
      <c r="AB25">
        <v>20</v>
      </c>
      <c r="AC25">
        <v>3</v>
      </c>
      <c r="AD25">
        <v>23</v>
      </c>
      <c r="AE25">
        <v>2</v>
      </c>
      <c r="AF25">
        <v>16</v>
      </c>
      <c r="AG25">
        <v>10</v>
      </c>
      <c r="AH25">
        <v>28</v>
      </c>
      <c r="AI25">
        <v>18</v>
      </c>
      <c r="AJ25">
        <v>2</v>
      </c>
      <c r="AK25">
        <v>14</v>
      </c>
      <c r="AL25">
        <v>20</v>
      </c>
      <c r="AM25">
        <v>23</v>
      </c>
      <c r="AN25">
        <v>7</v>
      </c>
      <c r="AO25">
        <v>14</v>
      </c>
      <c r="AP25">
        <v>37</v>
      </c>
      <c r="AQ25">
        <v>8</v>
      </c>
      <c r="AR25">
        <v>5</v>
      </c>
      <c r="AS25">
        <v>23</v>
      </c>
      <c r="AT25">
        <v>10</v>
      </c>
      <c r="AU25">
        <v>27</v>
      </c>
      <c r="AV25">
        <v>35</v>
      </c>
      <c r="AW25">
        <v>1</v>
      </c>
      <c r="AX25">
        <v>7</v>
      </c>
      <c r="AY25">
        <v>8</v>
      </c>
      <c r="AZ25">
        <v>11</v>
      </c>
      <c r="BA25">
        <v>34</v>
      </c>
      <c r="BB25">
        <v>28</v>
      </c>
      <c r="BC25">
        <v>34</v>
      </c>
      <c r="BD25">
        <v>20</v>
      </c>
      <c r="BE25">
        <v>28</v>
      </c>
      <c r="BF25">
        <v>37</v>
      </c>
      <c r="BG25">
        <v>3</v>
      </c>
      <c r="BH25">
        <v>9</v>
      </c>
      <c r="BI25">
        <v>22</v>
      </c>
      <c r="BJ25">
        <v>25</v>
      </c>
      <c r="BK25">
        <v>2</v>
      </c>
      <c r="BL25">
        <v>23</v>
      </c>
      <c r="BM25">
        <v>17</v>
      </c>
      <c r="BN25">
        <v>25</v>
      </c>
      <c r="BO25">
        <v>12</v>
      </c>
      <c r="BP25">
        <v>27</v>
      </c>
      <c r="BQ25">
        <v>20</v>
      </c>
      <c r="BR25">
        <v>9</v>
      </c>
      <c r="BS25">
        <v>23</v>
      </c>
      <c r="BT25">
        <v>36</v>
      </c>
      <c r="BU25">
        <v>28</v>
      </c>
      <c r="BV25">
        <v>29</v>
      </c>
      <c r="BW25">
        <v>32</v>
      </c>
      <c r="BX25">
        <v>12</v>
      </c>
      <c r="BY25">
        <v>30</v>
      </c>
      <c r="BZ25">
        <v>11</v>
      </c>
      <c r="CA25">
        <v>37</v>
      </c>
      <c r="CB25">
        <v>20</v>
      </c>
      <c r="CC25">
        <v>11</v>
      </c>
      <c r="CD25">
        <v>38</v>
      </c>
      <c r="CE25">
        <v>16</v>
      </c>
      <c r="CF25">
        <v>35</v>
      </c>
      <c r="CG25">
        <v>1</v>
      </c>
      <c r="CH25">
        <v>25</v>
      </c>
      <c r="CI25">
        <v>27</v>
      </c>
      <c r="CJ25">
        <v>32</v>
      </c>
      <c r="CK25">
        <v>6</v>
      </c>
      <c r="CL25">
        <v>36</v>
      </c>
      <c r="CM25">
        <v>39</v>
      </c>
      <c r="CN25">
        <v>23</v>
      </c>
      <c r="CO25">
        <v>29</v>
      </c>
      <c r="CP25">
        <v>30</v>
      </c>
      <c r="CQ25">
        <v>22</v>
      </c>
      <c r="CR25">
        <v>11</v>
      </c>
      <c r="CS25">
        <v>26</v>
      </c>
      <c r="CT25">
        <v>23</v>
      </c>
      <c r="CU25">
        <v>3</v>
      </c>
      <c r="CV25">
        <v>6</v>
      </c>
      <c r="CW25">
        <v>7</v>
      </c>
      <c r="CX25">
        <v>39</v>
      </c>
      <c r="CY25">
        <v>22</v>
      </c>
      <c r="CZ25">
        <v>33</v>
      </c>
      <c r="DA25">
        <v>3</v>
      </c>
      <c r="DB25">
        <v>30</v>
      </c>
      <c r="DC25">
        <v>24</v>
      </c>
      <c r="DD25">
        <v>3</v>
      </c>
      <c r="DE25">
        <v>2</v>
      </c>
      <c r="DF25">
        <v>19</v>
      </c>
      <c r="DG25">
        <v>24</v>
      </c>
      <c r="DH25">
        <v>20</v>
      </c>
      <c r="DI25">
        <v>31</v>
      </c>
      <c r="DJ25">
        <v>31</v>
      </c>
      <c r="DK25">
        <v>37</v>
      </c>
      <c r="DL25">
        <v>29</v>
      </c>
      <c r="DM25">
        <v>4</v>
      </c>
      <c r="DN25">
        <v>10</v>
      </c>
      <c r="DO25">
        <v>36</v>
      </c>
      <c r="DP25">
        <v>35</v>
      </c>
      <c r="DQ25">
        <v>21</v>
      </c>
      <c r="DR25">
        <v>1</v>
      </c>
      <c r="DS25">
        <v>12</v>
      </c>
      <c r="DT25">
        <v>24</v>
      </c>
      <c r="DU25">
        <v>2</v>
      </c>
      <c r="DV25">
        <v>20</v>
      </c>
      <c r="DW25">
        <v>16</v>
      </c>
      <c r="DX25">
        <v>34</v>
      </c>
      <c r="DY25">
        <v>13</v>
      </c>
      <c r="DZ25">
        <v>18</v>
      </c>
      <c r="EA25">
        <v>29</v>
      </c>
      <c r="EB25">
        <v>14</v>
      </c>
      <c r="EC25">
        <v>30</v>
      </c>
      <c r="ED25">
        <v>35</v>
      </c>
      <c r="EE25">
        <v>9</v>
      </c>
      <c r="EF25">
        <v>37</v>
      </c>
      <c r="EG25">
        <v>39</v>
      </c>
      <c r="EH25">
        <v>12</v>
      </c>
      <c r="EI25">
        <v>21</v>
      </c>
      <c r="EJ25">
        <v>18</v>
      </c>
      <c r="EK25">
        <v>11</v>
      </c>
      <c r="EL25">
        <v>27</v>
      </c>
      <c r="EM25">
        <v>24</v>
      </c>
      <c r="EN25">
        <v>34</v>
      </c>
      <c r="EO25">
        <v>20</v>
      </c>
      <c r="EP25">
        <v>13</v>
      </c>
      <c r="EQ25">
        <v>8</v>
      </c>
      <c r="ER25">
        <v>37</v>
      </c>
      <c r="ES25">
        <v>5</v>
      </c>
      <c r="ET25">
        <v>7</v>
      </c>
      <c r="EU25">
        <v>12</v>
      </c>
      <c r="EV25">
        <v>4</v>
      </c>
      <c r="EW25">
        <v>19</v>
      </c>
      <c r="EX25">
        <v>1</v>
      </c>
      <c r="EY25">
        <v>13</v>
      </c>
      <c r="EZ25">
        <v>25</v>
      </c>
      <c r="FA25">
        <v>34</v>
      </c>
      <c r="FB25">
        <v>35</v>
      </c>
      <c r="FC25">
        <v>17</v>
      </c>
      <c r="FD25">
        <v>26</v>
      </c>
      <c r="FE25">
        <v>21</v>
      </c>
      <c r="FF25">
        <v>12</v>
      </c>
      <c r="FG25">
        <v>16</v>
      </c>
      <c r="FH25">
        <v>20</v>
      </c>
      <c r="FI25">
        <v>10</v>
      </c>
      <c r="FJ25">
        <v>23</v>
      </c>
      <c r="FK25">
        <v>30</v>
      </c>
      <c r="FL25">
        <v>8</v>
      </c>
      <c r="FM25">
        <v>5</v>
      </c>
      <c r="FN25">
        <v>12</v>
      </c>
      <c r="FO25">
        <v>14</v>
      </c>
      <c r="FP25">
        <v>12</v>
      </c>
      <c r="FQ25">
        <v>24</v>
      </c>
      <c r="FR25">
        <v>17</v>
      </c>
      <c r="FS25">
        <v>1</v>
      </c>
      <c r="FT25">
        <v>37</v>
      </c>
      <c r="FU25">
        <v>11</v>
      </c>
      <c r="FV25">
        <v>6</v>
      </c>
      <c r="FW25">
        <v>15</v>
      </c>
      <c r="FX25">
        <v>23</v>
      </c>
      <c r="FY25">
        <v>23</v>
      </c>
      <c r="FZ25">
        <v>38</v>
      </c>
      <c r="GA25">
        <v>38</v>
      </c>
      <c r="GB25">
        <v>12</v>
      </c>
      <c r="GC25">
        <v>7</v>
      </c>
      <c r="GD25">
        <v>37</v>
      </c>
      <c r="GE25">
        <v>16</v>
      </c>
      <c r="GF25">
        <v>38</v>
      </c>
      <c r="GG25">
        <v>35</v>
      </c>
      <c r="GH25">
        <v>29</v>
      </c>
      <c r="GI25">
        <v>39</v>
      </c>
      <c r="GJ25">
        <v>17</v>
      </c>
      <c r="GK25">
        <v>26</v>
      </c>
      <c r="GL25">
        <v>20</v>
      </c>
      <c r="GM25">
        <v>25</v>
      </c>
      <c r="GN25">
        <v>38</v>
      </c>
      <c r="GO25">
        <v>39</v>
      </c>
      <c r="GP25">
        <v>37</v>
      </c>
      <c r="GQ25">
        <v>19</v>
      </c>
      <c r="GR25">
        <v>21</v>
      </c>
      <c r="GS25">
        <v>32</v>
      </c>
      <c r="GT25">
        <v>28</v>
      </c>
      <c r="GU25">
        <v>39</v>
      </c>
      <c r="GV25">
        <v>12</v>
      </c>
      <c r="GW25">
        <v>15</v>
      </c>
      <c r="GX25">
        <v>28</v>
      </c>
      <c r="GY25">
        <v>21</v>
      </c>
      <c r="GZ25">
        <v>16</v>
      </c>
      <c r="HA25">
        <v>23</v>
      </c>
      <c r="HB25">
        <v>26</v>
      </c>
      <c r="HC25">
        <v>15</v>
      </c>
      <c r="HD25">
        <v>37</v>
      </c>
      <c r="HE25">
        <v>12</v>
      </c>
      <c r="HF25">
        <v>4</v>
      </c>
      <c r="HG25">
        <v>35</v>
      </c>
      <c r="HH25">
        <v>31</v>
      </c>
      <c r="HI25">
        <v>27</v>
      </c>
      <c r="HJ25">
        <v>32</v>
      </c>
      <c r="HK25">
        <v>33</v>
      </c>
      <c r="HL25">
        <v>13</v>
      </c>
      <c r="HM25">
        <v>37</v>
      </c>
      <c r="HN25">
        <v>2</v>
      </c>
      <c r="HO25">
        <v>38</v>
      </c>
      <c r="HP25">
        <v>37</v>
      </c>
      <c r="HQ25">
        <v>5</v>
      </c>
      <c r="HR25">
        <v>18</v>
      </c>
      <c r="HS25">
        <v>17</v>
      </c>
      <c r="HT25">
        <v>2</v>
      </c>
      <c r="HU25">
        <v>35</v>
      </c>
      <c r="HV25">
        <v>14</v>
      </c>
      <c r="HW25">
        <v>12</v>
      </c>
      <c r="HX25">
        <v>33</v>
      </c>
      <c r="HY25">
        <v>7</v>
      </c>
      <c r="HZ25">
        <v>39</v>
      </c>
      <c r="IA25">
        <v>9</v>
      </c>
      <c r="IB25">
        <v>5</v>
      </c>
      <c r="IC25">
        <v>4</v>
      </c>
      <c r="ID25">
        <v>32</v>
      </c>
      <c r="IE25">
        <v>5</v>
      </c>
      <c r="IF25">
        <v>8</v>
      </c>
      <c r="IG25">
        <v>13</v>
      </c>
      <c r="IH25">
        <v>4</v>
      </c>
      <c r="II25">
        <v>11</v>
      </c>
      <c r="IJ25">
        <v>15</v>
      </c>
      <c r="IK25">
        <v>18</v>
      </c>
      <c r="IL25">
        <v>20</v>
      </c>
      <c r="IM25">
        <v>1</v>
      </c>
      <c r="IN25">
        <v>1</v>
      </c>
      <c r="IO25">
        <v>11</v>
      </c>
      <c r="IP25">
        <v>29</v>
      </c>
      <c r="IQ25">
        <v>29</v>
      </c>
      <c r="IR25">
        <v>24</v>
      </c>
      <c r="IS25">
        <v>20</v>
      </c>
      <c r="IT25">
        <v>30</v>
      </c>
      <c r="IU25">
        <v>38</v>
      </c>
      <c r="IV25">
        <v>5</v>
      </c>
      <c r="IW25">
        <v>10</v>
      </c>
      <c r="IX25">
        <v>6</v>
      </c>
      <c r="IY25">
        <v>4</v>
      </c>
      <c r="IZ25">
        <v>4</v>
      </c>
      <c r="JA25">
        <v>7</v>
      </c>
      <c r="JB25">
        <v>33</v>
      </c>
      <c r="JC25">
        <v>9</v>
      </c>
      <c r="JD25">
        <v>26</v>
      </c>
      <c r="JE25">
        <v>21</v>
      </c>
      <c r="JF25">
        <v>22</v>
      </c>
      <c r="JG25">
        <v>33</v>
      </c>
      <c r="JH25">
        <v>33</v>
      </c>
      <c r="JI25">
        <v>5</v>
      </c>
      <c r="JJ25">
        <v>21</v>
      </c>
      <c r="JK25">
        <v>27</v>
      </c>
      <c r="JL25">
        <v>1</v>
      </c>
      <c r="JM25">
        <v>16</v>
      </c>
      <c r="JN25">
        <v>35</v>
      </c>
      <c r="JO25">
        <v>36</v>
      </c>
      <c r="JP25">
        <v>32</v>
      </c>
      <c r="JQ25">
        <v>29</v>
      </c>
      <c r="JR25">
        <v>39</v>
      </c>
      <c r="JS25">
        <v>23</v>
      </c>
      <c r="JT25">
        <v>15</v>
      </c>
      <c r="JU25">
        <v>26</v>
      </c>
      <c r="JV25">
        <v>37</v>
      </c>
      <c r="JW25">
        <v>25</v>
      </c>
      <c r="JX25">
        <v>2</v>
      </c>
      <c r="JY25">
        <v>12</v>
      </c>
      <c r="JZ25">
        <v>19</v>
      </c>
      <c r="KA25">
        <v>32</v>
      </c>
      <c r="KB25">
        <v>23</v>
      </c>
      <c r="KC25">
        <v>5</v>
      </c>
      <c r="KD25">
        <v>25</v>
      </c>
      <c r="KE25">
        <v>35</v>
      </c>
      <c r="KF25">
        <v>29</v>
      </c>
      <c r="KG25">
        <v>38</v>
      </c>
      <c r="KH25">
        <v>20</v>
      </c>
      <c r="KI25">
        <v>36</v>
      </c>
      <c r="KJ25">
        <v>7</v>
      </c>
      <c r="KK25">
        <v>22</v>
      </c>
      <c r="KL25">
        <v>18</v>
      </c>
      <c r="KM25">
        <v>21</v>
      </c>
      <c r="KN25">
        <v>22</v>
      </c>
      <c r="KO25">
        <v>39</v>
      </c>
      <c r="KP25">
        <v>12</v>
      </c>
      <c r="KQ25">
        <v>11</v>
      </c>
      <c r="KR25">
        <v>12</v>
      </c>
      <c r="KS25">
        <v>26</v>
      </c>
      <c r="KT25">
        <v>30</v>
      </c>
      <c r="KU25">
        <v>15</v>
      </c>
      <c r="KV25">
        <v>8</v>
      </c>
      <c r="KW25">
        <v>18</v>
      </c>
      <c r="KX25">
        <v>10</v>
      </c>
      <c r="KY25">
        <v>8</v>
      </c>
      <c r="KZ25">
        <v>38</v>
      </c>
      <c r="LA25">
        <v>35</v>
      </c>
      <c r="LB25">
        <v>20</v>
      </c>
      <c r="LC25">
        <v>12</v>
      </c>
      <c r="LD25">
        <v>3</v>
      </c>
      <c r="LE25">
        <v>20</v>
      </c>
      <c r="LF25">
        <v>12</v>
      </c>
      <c r="LG25">
        <v>24</v>
      </c>
      <c r="LH25">
        <v>16</v>
      </c>
      <c r="LI25">
        <v>10</v>
      </c>
      <c r="LJ25">
        <v>19</v>
      </c>
      <c r="LK25">
        <v>14</v>
      </c>
      <c r="LL25">
        <v>14</v>
      </c>
      <c r="LM25">
        <v>22</v>
      </c>
      <c r="LN25">
        <v>4</v>
      </c>
      <c r="LO25">
        <v>34</v>
      </c>
      <c r="LP25">
        <v>18</v>
      </c>
      <c r="LQ25">
        <v>34</v>
      </c>
      <c r="LR25">
        <v>18</v>
      </c>
      <c r="LS25">
        <v>31</v>
      </c>
      <c r="LT25">
        <v>20</v>
      </c>
      <c r="LU25">
        <v>36</v>
      </c>
      <c r="LV25">
        <v>10</v>
      </c>
      <c r="LW25">
        <v>3</v>
      </c>
      <c r="LX25">
        <v>21</v>
      </c>
      <c r="LY25">
        <v>36</v>
      </c>
      <c r="LZ25">
        <v>10</v>
      </c>
      <c r="MA25">
        <v>7</v>
      </c>
      <c r="MB25">
        <v>22</v>
      </c>
      <c r="MC25">
        <v>23</v>
      </c>
      <c r="MD25">
        <v>12</v>
      </c>
      <c r="ME25">
        <v>39</v>
      </c>
      <c r="MF25">
        <v>13</v>
      </c>
      <c r="MG25">
        <v>13</v>
      </c>
      <c r="MH25">
        <v>33</v>
      </c>
      <c r="MI25">
        <v>31</v>
      </c>
      <c r="MJ25">
        <v>28</v>
      </c>
      <c r="MK25">
        <v>19</v>
      </c>
      <c r="ML25">
        <v>21</v>
      </c>
      <c r="MM25">
        <v>32</v>
      </c>
      <c r="MN25">
        <v>26</v>
      </c>
      <c r="MO25">
        <v>13</v>
      </c>
      <c r="MP25">
        <v>29</v>
      </c>
      <c r="MQ25">
        <v>7</v>
      </c>
      <c r="MR25">
        <v>26</v>
      </c>
      <c r="MS25">
        <v>6</v>
      </c>
      <c r="MT25">
        <v>32</v>
      </c>
      <c r="MU25">
        <v>36</v>
      </c>
      <c r="MV25">
        <v>23</v>
      </c>
      <c r="MW25">
        <v>11</v>
      </c>
      <c r="MX25">
        <v>21</v>
      </c>
      <c r="MY25">
        <v>19</v>
      </c>
      <c r="MZ25">
        <v>34</v>
      </c>
      <c r="NA25">
        <v>35</v>
      </c>
      <c r="NB25">
        <v>31</v>
      </c>
      <c r="NC25">
        <v>29</v>
      </c>
      <c r="ND25">
        <v>6</v>
      </c>
      <c r="NE25">
        <v>36</v>
      </c>
      <c r="NF25">
        <v>31</v>
      </c>
      <c r="NG25">
        <v>32</v>
      </c>
      <c r="NH25">
        <v>20</v>
      </c>
      <c r="NI25">
        <v>22</v>
      </c>
      <c r="NJ25">
        <v>3</v>
      </c>
      <c r="NK25">
        <v>8</v>
      </c>
      <c r="NL25">
        <v>19</v>
      </c>
      <c r="NM25">
        <v>31</v>
      </c>
      <c r="NN25">
        <v>32</v>
      </c>
      <c r="NO25">
        <v>15</v>
      </c>
      <c r="NP25">
        <v>39</v>
      </c>
      <c r="NQ25">
        <v>31</v>
      </c>
      <c r="NR25">
        <v>3</v>
      </c>
      <c r="NS25">
        <v>32</v>
      </c>
      <c r="NT25">
        <v>10</v>
      </c>
      <c r="NU25">
        <v>28</v>
      </c>
      <c r="NV25">
        <v>27</v>
      </c>
      <c r="NW25">
        <v>31</v>
      </c>
      <c r="NX25">
        <v>34</v>
      </c>
      <c r="NY25">
        <v>5</v>
      </c>
      <c r="NZ25">
        <v>11</v>
      </c>
      <c r="OA25">
        <v>7</v>
      </c>
      <c r="OB25">
        <v>8</v>
      </c>
      <c r="OC25">
        <v>17</v>
      </c>
      <c r="OD25">
        <v>39</v>
      </c>
      <c r="OE25">
        <v>14</v>
      </c>
      <c r="OF25">
        <v>24</v>
      </c>
      <c r="OG25">
        <v>30</v>
      </c>
      <c r="OH25">
        <v>15</v>
      </c>
      <c r="OI25">
        <v>4</v>
      </c>
      <c r="OJ25">
        <v>13</v>
      </c>
      <c r="OK25">
        <v>5</v>
      </c>
      <c r="OL25">
        <v>31</v>
      </c>
      <c r="OM25">
        <v>12</v>
      </c>
      <c r="ON25">
        <v>30</v>
      </c>
      <c r="OO25">
        <v>10</v>
      </c>
      <c r="OP25">
        <v>30</v>
      </c>
      <c r="OQ25">
        <v>26</v>
      </c>
      <c r="OR25">
        <v>6</v>
      </c>
      <c r="OS25">
        <v>27</v>
      </c>
      <c r="OT25">
        <v>20</v>
      </c>
      <c r="OU25">
        <v>28</v>
      </c>
      <c r="OV25">
        <v>20</v>
      </c>
      <c r="OW25">
        <v>12</v>
      </c>
      <c r="OX25">
        <v>21</v>
      </c>
      <c r="OY25">
        <v>30</v>
      </c>
      <c r="OZ25">
        <v>10</v>
      </c>
      <c r="PA25">
        <v>5</v>
      </c>
      <c r="PB25">
        <v>37</v>
      </c>
      <c r="PC25">
        <v>8</v>
      </c>
      <c r="PD25">
        <v>30</v>
      </c>
      <c r="PE25">
        <v>17</v>
      </c>
      <c r="PF25">
        <v>3</v>
      </c>
      <c r="PG25">
        <v>21</v>
      </c>
      <c r="PH25">
        <v>16</v>
      </c>
      <c r="PI25">
        <v>32</v>
      </c>
      <c r="PJ25">
        <v>27</v>
      </c>
      <c r="PK25">
        <v>6</v>
      </c>
      <c r="PL25">
        <v>16</v>
      </c>
      <c r="PM25">
        <v>3</v>
      </c>
      <c r="PN25">
        <v>20</v>
      </c>
      <c r="PO25">
        <v>7</v>
      </c>
      <c r="PP25">
        <v>11</v>
      </c>
      <c r="PQ25">
        <v>29</v>
      </c>
      <c r="PR25">
        <v>3</v>
      </c>
      <c r="PS25">
        <v>21</v>
      </c>
      <c r="PT25">
        <v>32</v>
      </c>
      <c r="PU25">
        <v>30</v>
      </c>
      <c r="PV25">
        <v>39</v>
      </c>
      <c r="PW25">
        <v>11</v>
      </c>
      <c r="PX25">
        <v>17</v>
      </c>
      <c r="PY25">
        <v>25</v>
      </c>
      <c r="PZ25">
        <v>25</v>
      </c>
      <c r="QA25">
        <v>9</v>
      </c>
      <c r="QB25">
        <v>29</v>
      </c>
      <c r="QC25">
        <v>15</v>
      </c>
      <c r="QD25">
        <v>19</v>
      </c>
      <c r="QE25">
        <v>15</v>
      </c>
      <c r="QF25">
        <v>39</v>
      </c>
      <c r="QG25">
        <v>35</v>
      </c>
      <c r="QH25">
        <v>13</v>
      </c>
      <c r="QI25">
        <v>16</v>
      </c>
      <c r="QJ25">
        <v>3</v>
      </c>
      <c r="QK25">
        <v>31</v>
      </c>
      <c r="QL25">
        <v>1</v>
      </c>
      <c r="QM25">
        <v>35</v>
      </c>
      <c r="QN25">
        <v>16</v>
      </c>
      <c r="QO25">
        <v>1</v>
      </c>
      <c r="QP25">
        <v>14</v>
      </c>
      <c r="QQ25">
        <v>7</v>
      </c>
      <c r="QR25">
        <v>23</v>
      </c>
      <c r="QS25">
        <v>35</v>
      </c>
      <c r="QT25">
        <v>29</v>
      </c>
      <c r="QU25">
        <v>22</v>
      </c>
      <c r="QV25">
        <v>16</v>
      </c>
      <c r="QW25">
        <v>29</v>
      </c>
      <c r="QX25">
        <v>6</v>
      </c>
      <c r="QY25">
        <v>18</v>
      </c>
      <c r="QZ25">
        <v>29</v>
      </c>
      <c r="RA25">
        <v>25</v>
      </c>
      <c r="RB25">
        <v>2</v>
      </c>
      <c r="RC25">
        <v>32</v>
      </c>
      <c r="RD25">
        <v>36</v>
      </c>
      <c r="RE25">
        <v>32</v>
      </c>
      <c r="RF25">
        <v>20</v>
      </c>
      <c r="RG25">
        <v>37</v>
      </c>
      <c r="RH25">
        <v>38</v>
      </c>
      <c r="RI25">
        <v>33</v>
      </c>
      <c r="RJ25">
        <v>5</v>
      </c>
      <c r="RK25">
        <v>6</v>
      </c>
      <c r="RL25">
        <v>22</v>
      </c>
      <c r="RM25">
        <v>21</v>
      </c>
      <c r="RN25">
        <v>19</v>
      </c>
      <c r="RO25">
        <v>15</v>
      </c>
      <c r="RP25">
        <v>34</v>
      </c>
      <c r="RQ25">
        <v>7</v>
      </c>
      <c r="RR25">
        <v>17</v>
      </c>
      <c r="RS25">
        <v>5</v>
      </c>
      <c r="RT25">
        <v>39</v>
      </c>
      <c r="RU25">
        <v>2</v>
      </c>
      <c r="RV25">
        <v>27</v>
      </c>
      <c r="RW25">
        <v>24</v>
      </c>
      <c r="RX25">
        <v>28</v>
      </c>
      <c r="RY25">
        <v>1</v>
      </c>
      <c r="RZ25">
        <v>21</v>
      </c>
      <c r="SA25">
        <v>28</v>
      </c>
      <c r="SB25">
        <v>3</v>
      </c>
      <c r="SC25">
        <v>30</v>
      </c>
      <c r="SD25">
        <v>1</v>
      </c>
      <c r="SE25">
        <v>18</v>
      </c>
      <c r="SF25">
        <v>33</v>
      </c>
      <c r="SG25">
        <v>15</v>
      </c>
      <c r="SH25">
        <v>24</v>
      </c>
      <c r="SI25">
        <v>36</v>
      </c>
      <c r="SJ25">
        <v>34</v>
      </c>
      <c r="SK25">
        <v>26</v>
      </c>
      <c r="SL25">
        <v>22</v>
      </c>
      <c r="SM25">
        <v>16</v>
      </c>
      <c r="SN25">
        <v>16</v>
      </c>
      <c r="SO25">
        <v>5</v>
      </c>
      <c r="SP25">
        <v>6</v>
      </c>
      <c r="SQ25">
        <v>24</v>
      </c>
      <c r="SR25">
        <v>30</v>
      </c>
      <c r="SS25">
        <v>37</v>
      </c>
      <c r="ST25">
        <v>32</v>
      </c>
      <c r="SU25">
        <v>19</v>
      </c>
      <c r="SV25">
        <v>28</v>
      </c>
      <c r="SW25">
        <v>8</v>
      </c>
      <c r="SX25">
        <v>1</v>
      </c>
      <c r="SY25">
        <v>4</v>
      </c>
      <c r="SZ25">
        <v>22</v>
      </c>
      <c r="TA25">
        <v>22</v>
      </c>
      <c r="TB25">
        <v>30</v>
      </c>
      <c r="TC25">
        <v>27</v>
      </c>
      <c r="TD25">
        <v>27</v>
      </c>
      <c r="TE25">
        <v>13</v>
      </c>
      <c r="TF25">
        <v>39</v>
      </c>
      <c r="TG25">
        <v>27</v>
      </c>
      <c r="TH25">
        <v>39</v>
      </c>
      <c r="TI25">
        <v>38</v>
      </c>
      <c r="TJ25">
        <v>8</v>
      </c>
      <c r="TK25">
        <v>12</v>
      </c>
      <c r="TL25">
        <v>24</v>
      </c>
      <c r="TM25">
        <v>18</v>
      </c>
      <c r="TN25">
        <v>15</v>
      </c>
      <c r="TO25">
        <v>16</v>
      </c>
      <c r="TP25">
        <v>33</v>
      </c>
      <c r="TQ25">
        <v>10</v>
      </c>
      <c r="TR25">
        <v>24</v>
      </c>
      <c r="TS25">
        <v>19</v>
      </c>
      <c r="TT25">
        <v>27</v>
      </c>
      <c r="TU25">
        <v>31</v>
      </c>
      <c r="TV25">
        <v>21</v>
      </c>
      <c r="TW25">
        <v>16</v>
      </c>
      <c r="TX25">
        <v>23</v>
      </c>
      <c r="TY25">
        <v>14</v>
      </c>
      <c r="TZ25">
        <v>23</v>
      </c>
      <c r="UA25">
        <v>18</v>
      </c>
      <c r="UB25">
        <v>36</v>
      </c>
      <c r="UC25">
        <v>12</v>
      </c>
      <c r="UD25">
        <v>37</v>
      </c>
      <c r="UE25">
        <v>11</v>
      </c>
      <c r="UF25">
        <v>5</v>
      </c>
      <c r="UG25">
        <v>21</v>
      </c>
      <c r="UH25">
        <v>32</v>
      </c>
      <c r="UI25">
        <v>29</v>
      </c>
      <c r="UJ25">
        <v>7</v>
      </c>
      <c r="UK25">
        <v>36</v>
      </c>
      <c r="UL25">
        <v>27</v>
      </c>
      <c r="UM25">
        <v>6</v>
      </c>
      <c r="UN25">
        <v>38</v>
      </c>
      <c r="UO25">
        <v>4</v>
      </c>
      <c r="UP25">
        <v>35</v>
      </c>
      <c r="UQ25">
        <v>10</v>
      </c>
      <c r="UR25">
        <v>38</v>
      </c>
      <c r="US25">
        <v>30</v>
      </c>
      <c r="UT25">
        <v>9</v>
      </c>
      <c r="UU25">
        <v>16</v>
      </c>
      <c r="UV25">
        <v>4</v>
      </c>
      <c r="UW25">
        <v>26</v>
      </c>
      <c r="UX25">
        <v>29</v>
      </c>
      <c r="UY25">
        <v>28</v>
      </c>
      <c r="UZ25">
        <v>11</v>
      </c>
      <c r="VA25">
        <v>28</v>
      </c>
      <c r="VB25">
        <v>32</v>
      </c>
      <c r="VC25">
        <v>24</v>
      </c>
      <c r="VD25">
        <v>39</v>
      </c>
      <c r="VE25">
        <v>7</v>
      </c>
      <c r="VF25">
        <v>18</v>
      </c>
      <c r="VG25">
        <v>3</v>
      </c>
      <c r="VH25">
        <v>20</v>
      </c>
      <c r="VI25">
        <v>34</v>
      </c>
      <c r="VJ25">
        <v>30</v>
      </c>
      <c r="VK25">
        <v>9</v>
      </c>
      <c r="VL25">
        <v>10</v>
      </c>
      <c r="VM25">
        <v>6</v>
      </c>
      <c r="VN25">
        <v>17</v>
      </c>
      <c r="VO25">
        <v>15</v>
      </c>
      <c r="VP25">
        <v>33</v>
      </c>
      <c r="VQ25">
        <v>13</v>
      </c>
      <c r="VR25">
        <v>22</v>
      </c>
      <c r="VS25">
        <v>16</v>
      </c>
      <c r="VT25">
        <v>34</v>
      </c>
      <c r="VU25">
        <v>3</v>
      </c>
      <c r="VV25">
        <v>8</v>
      </c>
      <c r="VW25">
        <v>20</v>
      </c>
      <c r="VX25">
        <v>24</v>
      </c>
      <c r="VY25">
        <v>18</v>
      </c>
      <c r="VZ25">
        <v>23</v>
      </c>
      <c r="WA25">
        <v>1</v>
      </c>
      <c r="WB25">
        <v>2</v>
      </c>
      <c r="WC25">
        <v>5</v>
      </c>
      <c r="WD25">
        <v>18</v>
      </c>
      <c r="WE25">
        <v>16</v>
      </c>
      <c r="WF25">
        <v>10</v>
      </c>
      <c r="WG25">
        <v>29</v>
      </c>
      <c r="WH25">
        <v>35</v>
      </c>
      <c r="WI25">
        <v>25</v>
      </c>
      <c r="WJ25">
        <v>24</v>
      </c>
      <c r="WK25">
        <v>13</v>
      </c>
      <c r="WL25">
        <v>21</v>
      </c>
      <c r="WM25">
        <v>39</v>
      </c>
      <c r="WN25">
        <v>34</v>
      </c>
      <c r="WO25">
        <v>19</v>
      </c>
      <c r="WP25">
        <v>28</v>
      </c>
      <c r="WQ25">
        <v>27</v>
      </c>
      <c r="WR25">
        <v>26</v>
      </c>
      <c r="WS25">
        <v>11</v>
      </c>
      <c r="WT25">
        <v>35</v>
      </c>
      <c r="WU25">
        <v>20</v>
      </c>
      <c r="WV25">
        <v>12</v>
      </c>
      <c r="WW25">
        <v>28</v>
      </c>
      <c r="WX25">
        <v>2</v>
      </c>
      <c r="WY25">
        <v>1</v>
      </c>
      <c r="WZ25">
        <v>9</v>
      </c>
      <c r="XA25">
        <v>22</v>
      </c>
      <c r="XB25">
        <v>27</v>
      </c>
      <c r="XC25">
        <v>9</v>
      </c>
      <c r="XD25">
        <v>7</v>
      </c>
      <c r="XE25">
        <v>36</v>
      </c>
      <c r="XF25">
        <v>38</v>
      </c>
      <c r="XG25">
        <v>2</v>
      </c>
      <c r="XH25">
        <v>5</v>
      </c>
      <c r="XI25">
        <v>17</v>
      </c>
      <c r="XJ25">
        <v>37</v>
      </c>
      <c r="XK25">
        <v>35</v>
      </c>
      <c r="XL25">
        <v>8</v>
      </c>
      <c r="XM25">
        <v>3</v>
      </c>
      <c r="XN25">
        <v>3</v>
      </c>
      <c r="XO25">
        <v>1</v>
      </c>
      <c r="XP25">
        <v>24</v>
      </c>
      <c r="XQ25">
        <v>30</v>
      </c>
      <c r="XR25">
        <v>26</v>
      </c>
      <c r="XS25">
        <v>38</v>
      </c>
      <c r="XT25">
        <v>38</v>
      </c>
      <c r="XU25">
        <v>3</v>
      </c>
      <c r="XV25">
        <v>13</v>
      </c>
      <c r="XW25">
        <v>36</v>
      </c>
      <c r="XX25">
        <v>12</v>
      </c>
      <c r="XY25">
        <v>20</v>
      </c>
      <c r="XZ25">
        <v>39</v>
      </c>
      <c r="YA25">
        <v>8</v>
      </c>
      <c r="YB25">
        <v>2</v>
      </c>
      <c r="YC25">
        <v>11</v>
      </c>
      <c r="YD25">
        <v>21</v>
      </c>
      <c r="YE25">
        <v>37</v>
      </c>
      <c r="YF25">
        <v>6</v>
      </c>
      <c r="YG25">
        <v>19</v>
      </c>
      <c r="YH25">
        <v>30</v>
      </c>
      <c r="YI25">
        <v>39</v>
      </c>
      <c r="YJ25">
        <v>36</v>
      </c>
      <c r="YK25">
        <v>20</v>
      </c>
      <c r="YL25">
        <v>10</v>
      </c>
      <c r="YM25">
        <v>24</v>
      </c>
      <c r="YN25">
        <v>33</v>
      </c>
      <c r="YO25">
        <v>29</v>
      </c>
      <c r="YP25">
        <v>30</v>
      </c>
      <c r="YQ25">
        <v>36</v>
      </c>
      <c r="YR25">
        <v>6</v>
      </c>
      <c r="YS25">
        <v>14</v>
      </c>
      <c r="YT25">
        <v>3</v>
      </c>
      <c r="YU25">
        <v>24</v>
      </c>
      <c r="YV25">
        <v>19</v>
      </c>
      <c r="YW25">
        <v>38</v>
      </c>
      <c r="YX25">
        <v>34</v>
      </c>
      <c r="YY25">
        <v>9</v>
      </c>
      <c r="YZ25">
        <v>30</v>
      </c>
      <c r="ZA25">
        <v>32</v>
      </c>
      <c r="ZB25">
        <v>13</v>
      </c>
      <c r="ZC25">
        <v>18</v>
      </c>
      <c r="ZD25">
        <v>22</v>
      </c>
      <c r="ZE25">
        <v>4</v>
      </c>
      <c r="ZF25">
        <v>23</v>
      </c>
      <c r="ZG25">
        <v>7</v>
      </c>
      <c r="ZH25">
        <v>11</v>
      </c>
      <c r="ZI25">
        <v>39</v>
      </c>
      <c r="ZJ25">
        <v>34</v>
      </c>
      <c r="ZK25">
        <v>5</v>
      </c>
      <c r="ZL25">
        <v>25</v>
      </c>
      <c r="ZM25">
        <v>28</v>
      </c>
      <c r="ZN25">
        <v>14</v>
      </c>
      <c r="ZO25">
        <v>27</v>
      </c>
      <c r="ZP25">
        <v>16</v>
      </c>
      <c r="ZQ25">
        <v>27</v>
      </c>
      <c r="ZR25">
        <v>2</v>
      </c>
      <c r="ZS25">
        <v>19</v>
      </c>
      <c r="ZT25">
        <v>23</v>
      </c>
      <c r="ZU25">
        <v>14</v>
      </c>
      <c r="ZV25">
        <v>26</v>
      </c>
      <c r="ZW25">
        <v>8</v>
      </c>
      <c r="ZX25">
        <v>27</v>
      </c>
      <c r="ZY25">
        <v>28</v>
      </c>
      <c r="ZZ25">
        <v>4</v>
      </c>
      <c r="AAA25">
        <v>38</v>
      </c>
      <c r="AAB25">
        <v>11</v>
      </c>
      <c r="AAC25">
        <v>24</v>
      </c>
      <c r="AAD25">
        <v>28</v>
      </c>
      <c r="AAE25">
        <v>18</v>
      </c>
      <c r="AAF25">
        <v>21</v>
      </c>
      <c r="AAG25">
        <v>26</v>
      </c>
      <c r="AAH25">
        <v>3</v>
      </c>
      <c r="AAI25">
        <v>13</v>
      </c>
      <c r="AAJ25">
        <v>38</v>
      </c>
      <c r="AAK25">
        <v>28</v>
      </c>
      <c r="AAL25">
        <v>14</v>
      </c>
      <c r="AAM25">
        <v>1</v>
      </c>
      <c r="AAN25">
        <v>28</v>
      </c>
      <c r="AAO25">
        <v>36</v>
      </c>
      <c r="AAP25">
        <v>11</v>
      </c>
      <c r="AAQ25">
        <v>4</v>
      </c>
      <c r="AAR25">
        <v>34</v>
      </c>
      <c r="AAS25">
        <v>1</v>
      </c>
      <c r="AAT25">
        <v>10</v>
      </c>
      <c r="AAU25">
        <v>17</v>
      </c>
      <c r="AAV25">
        <v>7</v>
      </c>
      <c r="AAW25">
        <v>39</v>
      </c>
      <c r="AAX25">
        <v>13</v>
      </c>
      <c r="AAY25">
        <v>22</v>
      </c>
      <c r="AAZ25">
        <v>1</v>
      </c>
      <c r="ABA25">
        <v>28</v>
      </c>
      <c r="ABB25">
        <v>33</v>
      </c>
      <c r="ABC25">
        <v>13</v>
      </c>
      <c r="ABD25">
        <v>1</v>
      </c>
      <c r="ABE25">
        <v>38</v>
      </c>
      <c r="ABF25">
        <v>25</v>
      </c>
      <c r="ABG25">
        <v>21</v>
      </c>
      <c r="ABH25">
        <v>33</v>
      </c>
      <c r="ABI25">
        <v>37</v>
      </c>
      <c r="ABJ25">
        <v>34</v>
      </c>
      <c r="ABK25">
        <v>3</v>
      </c>
      <c r="ABL25">
        <v>30</v>
      </c>
      <c r="ABM25">
        <v>3</v>
      </c>
      <c r="ABN25">
        <v>18</v>
      </c>
      <c r="ABO25">
        <v>23</v>
      </c>
      <c r="ABP25">
        <v>8</v>
      </c>
      <c r="ABQ25">
        <v>9</v>
      </c>
      <c r="ABR25">
        <v>2</v>
      </c>
      <c r="ABS25">
        <v>2</v>
      </c>
      <c r="ABT25">
        <v>27</v>
      </c>
      <c r="ABU25">
        <v>39</v>
      </c>
      <c r="ABV25">
        <v>36</v>
      </c>
      <c r="ABW25">
        <v>5</v>
      </c>
      <c r="ABX25">
        <v>1</v>
      </c>
      <c r="ABY25">
        <v>22</v>
      </c>
      <c r="ABZ25">
        <v>10</v>
      </c>
      <c r="ACA25">
        <v>24</v>
      </c>
      <c r="ACB25">
        <v>15</v>
      </c>
      <c r="ACC25">
        <v>33</v>
      </c>
      <c r="ACD25">
        <v>23</v>
      </c>
      <c r="ACE25">
        <v>14</v>
      </c>
      <c r="ACF25">
        <v>18</v>
      </c>
      <c r="ACG25">
        <v>25</v>
      </c>
      <c r="ACH25">
        <v>22</v>
      </c>
      <c r="ACI25">
        <v>37</v>
      </c>
      <c r="ACJ25">
        <v>7</v>
      </c>
      <c r="ACK25">
        <v>26</v>
      </c>
      <c r="ACL25">
        <v>24</v>
      </c>
      <c r="ACM25">
        <v>13</v>
      </c>
      <c r="ACN25">
        <v>6</v>
      </c>
      <c r="ACO25">
        <v>21</v>
      </c>
      <c r="ACP25">
        <v>7</v>
      </c>
      <c r="ACQ25">
        <v>18</v>
      </c>
      <c r="ACR25">
        <v>15</v>
      </c>
      <c r="ACS25">
        <v>8</v>
      </c>
      <c r="ACT25">
        <v>16</v>
      </c>
      <c r="ACU25">
        <v>3</v>
      </c>
      <c r="ACV25">
        <v>9</v>
      </c>
      <c r="ACW25">
        <v>26</v>
      </c>
      <c r="ACX25">
        <v>26</v>
      </c>
      <c r="ACY25">
        <v>30</v>
      </c>
      <c r="ACZ25">
        <v>27</v>
      </c>
      <c r="ADA25">
        <v>16</v>
      </c>
      <c r="ADB25">
        <v>4</v>
      </c>
      <c r="ADC25">
        <v>19</v>
      </c>
      <c r="ADD25">
        <v>34</v>
      </c>
      <c r="ADE25">
        <v>6</v>
      </c>
      <c r="ADF25">
        <v>15</v>
      </c>
      <c r="ADG25">
        <v>10</v>
      </c>
      <c r="ADH25">
        <v>36</v>
      </c>
      <c r="ADI25">
        <v>6</v>
      </c>
      <c r="ADJ25">
        <v>6</v>
      </c>
      <c r="ADK25">
        <v>15</v>
      </c>
      <c r="ADL25">
        <v>29</v>
      </c>
      <c r="ADM25">
        <v>25</v>
      </c>
      <c r="ADN25">
        <v>19</v>
      </c>
      <c r="ADO25">
        <v>14</v>
      </c>
      <c r="ADP25">
        <v>3</v>
      </c>
      <c r="ADQ25">
        <v>14</v>
      </c>
      <c r="ADR25">
        <v>39</v>
      </c>
      <c r="ADS25">
        <v>39</v>
      </c>
      <c r="ADT25">
        <v>21</v>
      </c>
      <c r="ADU25">
        <v>11</v>
      </c>
      <c r="ADV25">
        <v>10</v>
      </c>
      <c r="ADW25">
        <v>15</v>
      </c>
      <c r="ADX25">
        <v>30</v>
      </c>
      <c r="ADY25">
        <v>17</v>
      </c>
      <c r="ADZ25">
        <v>29</v>
      </c>
      <c r="AEA25">
        <v>17</v>
      </c>
      <c r="AEB25">
        <v>33</v>
      </c>
      <c r="AEC25">
        <v>38</v>
      </c>
      <c r="AED25">
        <v>21</v>
      </c>
      <c r="AEE25">
        <v>14</v>
      </c>
      <c r="AEF25">
        <v>10</v>
      </c>
      <c r="AEG25">
        <v>23</v>
      </c>
      <c r="AEH25">
        <v>39</v>
      </c>
      <c r="AEI25">
        <v>39</v>
      </c>
      <c r="AEJ25">
        <v>14</v>
      </c>
      <c r="AEK25">
        <v>22</v>
      </c>
      <c r="AEL25">
        <v>28</v>
      </c>
      <c r="AEM25">
        <v>9</v>
      </c>
      <c r="AEN25">
        <v>23</v>
      </c>
      <c r="AEO25">
        <v>7</v>
      </c>
      <c r="AEP25">
        <v>24</v>
      </c>
      <c r="AEQ25">
        <v>37</v>
      </c>
      <c r="AER25">
        <v>9</v>
      </c>
      <c r="AES25">
        <v>38</v>
      </c>
      <c r="AET25">
        <v>7</v>
      </c>
      <c r="AEU25">
        <v>23</v>
      </c>
      <c r="AEV25">
        <v>25</v>
      </c>
      <c r="AEW25">
        <v>22</v>
      </c>
      <c r="AEX25">
        <v>7</v>
      </c>
      <c r="AEY25">
        <v>6</v>
      </c>
      <c r="AEZ25">
        <v>36</v>
      </c>
      <c r="AFA25">
        <v>22</v>
      </c>
      <c r="AFB25">
        <v>35</v>
      </c>
      <c r="AFC25">
        <v>33</v>
      </c>
      <c r="AFD25">
        <v>21</v>
      </c>
      <c r="AFE25">
        <v>11</v>
      </c>
      <c r="AFF25">
        <v>13</v>
      </c>
      <c r="AFG25">
        <v>3</v>
      </c>
      <c r="AFH25">
        <v>13</v>
      </c>
      <c r="AFI25">
        <v>34</v>
      </c>
      <c r="AFJ25">
        <v>28</v>
      </c>
      <c r="AFK25">
        <v>34</v>
      </c>
      <c r="AFL25">
        <v>32</v>
      </c>
      <c r="AFM25">
        <v>23</v>
      </c>
      <c r="AFN25">
        <v>24</v>
      </c>
      <c r="AFO25">
        <v>1</v>
      </c>
      <c r="AFP25">
        <v>24</v>
      </c>
      <c r="AFQ25">
        <v>3</v>
      </c>
      <c r="AFR25">
        <v>17</v>
      </c>
      <c r="AFS25">
        <v>7</v>
      </c>
      <c r="AFT25">
        <v>10</v>
      </c>
      <c r="AFU25">
        <v>19</v>
      </c>
      <c r="AFV25">
        <v>24</v>
      </c>
      <c r="AFW25">
        <v>9</v>
      </c>
      <c r="AFX25">
        <v>15</v>
      </c>
      <c r="AFY25">
        <v>22</v>
      </c>
      <c r="AFZ25">
        <v>17</v>
      </c>
      <c r="AGA25">
        <v>19</v>
      </c>
      <c r="AGB25">
        <v>9</v>
      </c>
      <c r="AGC25">
        <v>38</v>
      </c>
      <c r="AGD25">
        <v>19</v>
      </c>
      <c r="AGE25">
        <v>8</v>
      </c>
      <c r="AGF25">
        <v>6</v>
      </c>
      <c r="AGG25">
        <v>38</v>
      </c>
      <c r="AGH25">
        <v>21</v>
      </c>
      <c r="AGI25">
        <v>29</v>
      </c>
      <c r="AGJ25">
        <v>34</v>
      </c>
      <c r="AGK25">
        <v>12</v>
      </c>
      <c r="AGL25">
        <v>39</v>
      </c>
      <c r="AGM25">
        <v>32</v>
      </c>
      <c r="AGN25">
        <v>6</v>
      </c>
      <c r="AGO25">
        <v>17</v>
      </c>
      <c r="AGP25">
        <v>32</v>
      </c>
      <c r="AGQ25">
        <v>8</v>
      </c>
      <c r="AGR25">
        <v>38</v>
      </c>
      <c r="AGS25">
        <v>29</v>
      </c>
      <c r="AGT25">
        <f>AVERAGE(B25:AGS25)</f>
        <v>20.296803652968038</v>
      </c>
      <c r="AGV25">
        <f>COUNTIFS(B31:AGS31, "Nairobi", B23:AGS23, "Single")</f>
        <v>39</v>
      </c>
    </row>
    <row r="26" spans="1:885" x14ac:dyDescent="0.25">
      <c r="A26" s="1" t="s">
        <v>102</v>
      </c>
      <c r="B26" t="str">
        <f xml:space="preserve"> IF(AND(B25&gt;20, B20&gt;6), "Good Employee", "Bad Employee")</f>
        <v>Bad Employee</v>
      </c>
      <c r="C26" t="str">
        <f xml:space="preserve"> IF(AND(C25&gt;20, C20&gt;6), "Good Employee", "Bad Employee")</f>
        <v>Good Employee</v>
      </c>
      <c r="D26" t="str">
        <f xml:space="preserve"> IF(AND(D25&gt;20, D20&gt;6), "Good Employee", "Bad Employee")</f>
        <v>Bad Employee</v>
      </c>
      <c r="E26" t="str">
        <f xml:space="preserve"> IF(AND(E25&gt;20, E20&gt;6), "Good Employee", "Bad Employee")</f>
        <v>Good Employee</v>
      </c>
      <c r="F26" t="str">
        <f xml:space="preserve"> IF(AND(F25&gt;20, F20&gt;6), "Good Employee", "Bad Employee")</f>
        <v>Bad Employee</v>
      </c>
      <c r="G26" t="str">
        <f xml:space="preserve"> IF(AND(G25&gt;20, G20&gt;6), "Good Employee", "Bad Employee")</f>
        <v>Bad Employee</v>
      </c>
      <c r="H26" t="str">
        <f xml:space="preserve"> IF(AND(H25&gt;20, H20&gt;6), "Good Employee", "Bad Employee")</f>
        <v>Bad Employee</v>
      </c>
      <c r="I26" t="str">
        <f xml:space="preserve"> IF(AND(I25&gt;20, I20&gt;6), "Good Employee", "Bad Employee")</f>
        <v>Bad Employee</v>
      </c>
      <c r="J26" t="str">
        <f xml:space="preserve"> IF(AND(J25&gt;20, J20&gt;6), "Good Employee", "Bad Employee")</f>
        <v>Bad Employee</v>
      </c>
      <c r="K26" t="str">
        <f xml:space="preserve"> IF(AND(K25&gt;20, K20&gt;6), "Good Employee", "Bad Employee")</f>
        <v>Bad Employee</v>
      </c>
      <c r="L26" t="str">
        <f xml:space="preserve"> IF(AND(L25&gt;20, L20&gt;6), "Good Employee", "Bad Employee")</f>
        <v>Bad Employee</v>
      </c>
      <c r="M26" t="str">
        <f xml:space="preserve"> IF(AND(M25&gt;20, M20&gt;6), "Good Employee", "Bad Employee")</f>
        <v>Bad Employee</v>
      </c>
      <c r="N26" t="str">
        <f xml:space="preserve"> IF(AND(N25&gt;20, N20&gt;6), "Good Employee", "Bad Employee")</f>
        <v>Bad Employee</v>
      </c>
      <c r="O26" t="str">
        <f xml:space="preserve"> IF(AND(O25&gt;20, O20&gt;6), "Good Employee", "Bad Employee")</f>
        <v>Bad Employee</v>
      </c>
      <c r="P26" t="str">
        <f xml:space="preserve"> IF(AND(P25&gt;20, P20&gt;6), "Good Employee", "Bad Employee")</f>
        <v>Bad Employee</v>
      </c>
      <c r="Q26" t="str">
        <f xml:space="preserve"> IF(AND(Q25&gt;20, Q20&gt;6), "Good Employee", "Bad Employee")</f>
        <v>Bad Employee</v>
      </c>
      <c r="R26" t="str">
        <f xml:space="preserve"> IF(AND(R25&gt;20, R20&gt;6), "Good Employee", "Bad Employee")</f>
        <v>Bad Employee</v>
      </c>
      <c r="S26" t="str">
        <f xml:space="preserve"> IF(AND(S25&gt;20, S20&gt;6), "Good Employee", "Bad Employee")</f>
        <v>Bad Employee</v>
      </c>
      <c r="T26" t="str">
        <f xml:space="preserve"> IF(AND(T25&gt;20, T20&gt;6), "Good Employee", "Bad Employee")</f>
        <v>Bad Employee</v>
      </c>
      <c r="U26" t="str">
        <f xml:space="preserve"> IF(AND(U25&gt;20, U20&gt;6), "Good Employee", "Bad Employee")</f>
        <v>Good Employee</v>
      </c>
      <c r="V26" t="str">
        <f xml:space="preserve"> IF(AND(V25&gt;20, V20&gt;6), "Good Employee", "Bad Employee")</f>
        <v>Bad Employee</v>
      </c>
      <c r="W26" t="str">
        <f xml:space="preserve"> IF(AND(W25&gt;20, W20&gt;6), "Good Employee", "Bad Employee")</f>
        <v>Bad Employee</v>
      </c>
      <c r="X26" t="str">
        <f xml:space="preserve"> IF(AND(X25&gt;20, X20&gt;6), "Good Employee", "Bad Employee")</f>
        <v>Bad Employee</v>
      </c>
      <c r="Y26" t="str">
        <f xml:space="preserve"> IF(AND(Y25&gt;20, Y20&gt;6), "Good Employee", "Bad Employee")</f>
        <v>Bad Employee</v>
      </c>
      <c r="Z26" t="str">
        <f xml:space="preserve"> IF(AND(Z25&gt;20, Z20&gt;6), "Good Employee", "Bad Employee")</f>
        <v>Bad Employee</v>
      </c>
      <c r="AA26" t="str">
        <f xml:space="preserve"> IF(AND(AA25&gt;20, AA20&gt;6), "Good Employee", "Bad Employee")</f>
        <v>Bad Employee</v>
      </c>
      <c r="AB26" t="str">
        <f xml:space="preserve"> IF(AND(AB25&gt;20, AB20&gt;6), "Good Employee", "Bad Employee")</f>
        <v>Bad Employee</v>
      </c>
      <c r="AC26" t="str">
        <f xml:space="preserve"> IF(AND(AC25&gt;20, AC20&gt;6), "Good Employee", "Bad Employee")</f>
        <v>Bad Employee</v>
      </c>
      <c r="AD26" t="str">
        <f xml:space="preserve"> IF(AND(AD25&gt;20, AD20&gt;6), "Good Employee", "Bad Employee")</f>
        <v>Good Employee</v>
      </c>
      <c r="AE26" t="str">
        <f xml:space="preserve"> IF(AND(AE25&gt;20, AE20&gt;6), "Good Employee", "Bad Employee")</f>
        <v>Bad Employee</v>
      </c>
      <c r="AF26" t="str">
        <f xml:space="preserve"> IF(AND(AF25&gt;20, AF20&gt;6), "Good Employee", "Bad Employee")</f>
        <v>Bad Employee</v>
      </c>
      <c r="AG26" t="str">
        <f xml:space="preserve"> IF(AND(AG25&gt;20, AG20&gt;6), "Good Employee", "Bad Employee")</f>
        <v>Bad Employee</v>
      </c>
      <c r="AH26" t="str">
        <f xml:space="preserve"> IF(AND(AH25&gt;20, AH20&gt;6), "Good Employee", "Bad Employee")</f>
        <v>Bad Employee</v>
      </c>
      <c r="AI26" t="str">
        <f xml:space="preserve"> IF(AND(AI25&gt;20, AI20&gt;6), "Good Employee", "Bad Employee")</f>
        <v>Bad Employee</v>
      </c>
      <c r="AJ26" t="str">
        <f xml:space="preserve"> IF(AND(AJ25&gt;20, AJ20&gt;6), "Good Employee", "Bad Employee")</f>
        <v>Bad Employee</v>
      </c>
      <c r="AK26" t="str">
        <f xml:space="preserve"> IF(AND(AK25&gt;20, AK20&gt;6), "Good Employee", "Bad Employee")</f>
        <v>Bad Employee</v>
      </c>
      <c r="AL26" t="str">
        <f xml:space="preserve"> IF(AND(AL25&gt;20, AL20&gt;6), "Good Employee", "Bad Employee")</f>
        <v>Bad Employee</v>
      </c>
      <c r="AM26" t="str">
        <f xml:space="preserve"> IF(AND(AM25&gt;20, AM20&gt;6), "Good Employee", "Bad Employee")</f>
        <v>Good Employee</v>
      </c>
      <c r="AN26" t="str">
        <f xml:space="preserve"> IF(AND(AN25&gt;20, AN20&gt;6), "Good Employee", "Bad Employee")</f>
        <v>Bad Employee</v>
      </c>
      <c r="AO26" t="str">
        <f xml:space="preserve"> IF(AND(AO25&gt;20, AO20&gt;6), "Good Employee", "Bad Employee")</f>
        <v>Bad Employee</v>
      </c>
      <c r="AP26" t="str">
        <f xml:space="preserve"> IF(AND(AP25&gt;20, AP20&gt;6), "Good Employee", "Bad Employee")</f>
        <v>Bad Employee</v>
      </c>
      <c r="AQ26" t="str">
        <f xml:space="preserve"> IF(AND(AQ25&gt;20, AQ20&gt;6), "Good Employee", "Bad Employee")</f>
        <v>Bad Employee</v>
      </c>
      <c r="AR26" t="str">
        <f xml:space="preserve"> IF(AND(AR25&gt;20, AR20&gt;6), "Good Employee", "Bad Employee")</f>
        <v>Bad Employee</v>
      </c>
      <c r="AS26" t="str">
        <f xml:space="preserve"> IF(AND(AS25&gt;20, AS20&gt;6), "Good Employee", "Bad Employee")</f>
        <v>Good Employee</v>
      </c>
      <c r="AT26" t="str">
        <f xml:space="preserve"> IF(AND(AT25&gt;20, AT20&gt;6), "Good Employee", "Bad Employee")</f>
        <v>Bad Employee</v>
      </c>
      <c r="AU26" t="str">
        <f xml:space="preserve"> IF(AND(AU25&gt;20, AU20&gt;6), "Good Employee", "Bad Employee")</f>
        <v>Good Employee</v>
      </c>
      <c r="AV26" t="str">
        <f xml:space="preserve"> IF(AND(AV25&gt;20, AV20&gt;6), "Good Employee", "Bad Employee")</f>
        <v>Bad Employee</v>
      </c>
      <c r="AW26" t="str">
        <f xml:space="preserve"> IF(AND(AW25&gt;20, AW20&gt;6), "Good Employee", "Bad Employee")</f>
        <v>Bad Employee</v>
      </c>
      <c r="AX26" t="str">
        <f xml:space="preserve"> IF(AND(AX25&gt;20, AX20&gt;6), "Good Employee", "Bad Employee")</f>
        <v>Bad Employee</v>
      </c>
      <c r="AY26" t="str">
        <f xml:space="preserve"> IF(AND(AY25&gt;20, AY20&gt;6), "Good Employee", "Bad Employee")</f>
        <v>Bad Employee</v>
      </c>
      <c r="AZ26" t="str">
        <f xml:space="preserve"> IF(AND(AZ25&gt;20, AZ20&gt;6), "Good Employee", "Bad Employee")</f>
        <v>Bad Employee</v>
      </c>
      <c r="BA26" t="str">
        <f xml:space="preserve"> IF(AND(BA25&gt;20, BA20&gt;6), "Good Employee", "Bad Employee")</f>
        <v>Bad Employee</v>
      </c>
      <c r="BB26" t="str">
        <f xml:space="preserve"> IF(AND(BB25&gt;20, BB20&gt;6), "Good Employee", "Bad Employee")</f>
        <v>Good Employee</v>
      </c>
      <c r="BC26" t="str">
        <f xml:space="preserve"> IF(AND(BC25&gt;20, BC20&gt;6), "Good Employee", "Bad Employee")</f>
        <v>Bad Employee</v>
      </c>
      <c r="BD26" t="str">
        <f xml:space="preserve"> IF(AND(BD25&gt;20, BD20&gt;6), "Good Employee", "Bad Employee")</f>
        <v>Bad Employee</v>
      </c>
      <c r="BE26" t="str">
        <f xml:space="preserve"> IF(AND(BE25&gt;20, BE20&gt;6), "Good Employee", "Bad Employee")</f>
        <v>Bad Employee</v>
      </c>
      <c r="BF26" t="str">
        <f xml:space="preserve"> IF(AND(BF25&gt;20, BF20&gt;6), "Good Employee", "Bad Employee")</f>
        <v>Good Employee</v>
      </c>
      <c r="BG26" t="str">
        <f xml:space="preserve"> IF(AND(BG25&gt;20, BG20&gt;6), "Good Employee", "Bad Employee")</f>
        <v>Bad Employee</v>
      </c>
      <c r="BH26" t="str">
        <f xml:space="preserve"> IF(AND(BH25&gt;20, BH20&gt;6), "Good Employee", "Bad Employee")</f>
        <v>Bad Employee</v>
      </c>
      <c r="BI26" t="str">
        <f xml:space="preserve"> IF(AND(BI25&gt;20, BI20&gt;6), "Good Employee", "Bad Employee")</f>
        <v>Good Employee</v>
      </c>
      <c r="BJ26" t="str">
        <f xml:space="preserve"> IF(AND(BJ25&gt;20, BJ20&gt;6), "Good Employee", "Bad Employee")</f>
        <v>Bad Employee</v>
      </c>
      <c r="BK26" t="str">
        <f xml:space="preserve"> IF(AND(BK25&gt;20, BK20&gt;6), "Good Employee", "Bad Employee")</f>
        <v>Bad Employee</v>
      </c>
      <c r="BL26" t="str">
        <f xml:space="preserve"> IF(AND(BL25&gt;20, BL20&gt;6), "Good Employee", "Bad Employee")</f>
        <v>Bad Employee</v>
      </c>
      <c r="BM26" t="str">
        <f xml:space="preserve"> IF(AND(BM25&gt;20, BM20&gt;6), "Good Employee", "Bad Employee")</f>
        <v>Bad Employee</v>
      </c>
      <c r="BN26" t="str">
        <f xml:space="preserve"> IF(AND(BN25&gt;20, BN20&gt;6), "Good Employee", "Bad Employee")</f>
        <v>Bad Employee</v>
      </c>
      <c r="BO26" t="str">
        <f xml:space="preserve"> IF(AND(BO25&gt;20, BO20&gt;6), "Good Employee", "Bad Employee")</f>
        <v>Bad Employee</v>
      </c>
      <c r="BP26" t="str">
        <f xml:space="preserve"> IF(AND(BP25&gt;20, BP20&gt;6), "Good Employee", "Bad Employee")</f>
        <v>Good Employee</v>
      </c>
      <c r="BQ26" t="str">
        <f xml:space="preserve"> IF(AND(BQ25&gt;20, BQ20&gt;6), "Good Employee", "Bad Employee")</f>
        <v>Bad Employee</v>
      </c>
      <c r="BR26" t="str">
        <f xml:space="preserve"> IF(AND(BR25&gt;20, BR20&gt;6), "Good Employee", "Bad Employee")</f>
        <v>Bad Employee</v>
      </c>
      <c r="BS26" t="str">
        <f xml:space="preserve"> IF(AND(BS25&gt;20, BS20&gt;6), "Good Employee", "Bad Employee")</f>
        <v>Bad Employee</v>
      </c>
      <c r="BT26" t="str">
        <f xml:space="preserve"> IF(AND(BT25&gt;20, BT20&gt;6), "Good Employee", "Bad Employee")</f>
        <v>Bad Employee</v>
      </c>
      <c r="BU26" t="str">
        <f xml:space="preserve"> IF(AND(BU25&gt;20, BU20&gt;6), "Good Employee", "Bad Employee")</f>
        <v>Bad Employee</v>
      </c>
      <c r="BV26" t="str">
        <f xml:space="preserve"> IF(AND(BV25&gt;20, BV20&gt;6), "Good Employee", "Bad Employee")</f>
        <v>Bad Employee</v>
      </c>
      <c r="BW26" t="str">
        <f xml:space="preserve"> IF(AND(BW25&gt;20, BW20&gt;6), "Good Employee", "Bad Employee")</f>
        <v>Bad Employee</v>
      </c>
      <c r="BX26" t="str">
        <f xml:space="preserve"> IF(AND(BX25&gt;20, BX20&gt;6), "Good Employee", "Bad Employee")</f>
        <v>Bad Employee</v>
      </c>
      <c r="BY26" t="str">
        <f xml:space="preserve"> IF(AND(BY25&gt;20, BY20&gt;6), "Good Employee", "Bad Employee")</f>
        <v>Good Employee</v>
      </c>
      <c r="BZ26" t="str">
        <f xml:space="preserve"> IF(AND(BZ25&gt;20, BZ20&gt;6), "Good Employee", "Bad Employee")</f>
        <v>Bad Employee</v>
      </c>
      <c r="CA26" t="str">
        <f xml:space="preserve"> IF(AND(CA25&gt;20, CA20&gt;6), "Good Employee", "Bad Employee")</f>
        <v>Bad Employee</v>
      </c>
      <c r="CB26" t="str">
        <f xml:space="preserve"> IF(AND(CB25&gt;20, CB20&gt;6), "Good Employee", "Bad Employee")</f>
        <v>Bad Employee</v>
      </c>
      <c r="CC26" t="str">
        <f xml:space="preserve"> IF(AND(CC25&gt;20, CC20&gt;6), "Good Employee", "Bad Employee")</f>
        <v>Bad Employee</v>
      </c>
      <c r="CD26" t="str">
        <f xml:space="preserve"> IF(AND(CD25&gt;20, CD20&gt;6), "Good Employee", "Bad Employee")</f>
        <v>Good Employee</v>
      </c>
      <c r="CE26" t="str">
        <f xml:space="preserve"> IF(AND(CE25&gt;20, CE20&gt;6), "Good Employee", "Bad Employee")</f>
        <v>Bad Employee</v>
      </c>
      <c r="CF26" t="str">
        <f xml:space="preserve"> IF(AND(CF25&gt;20, CF20&gt;6), "Good Employee", "Bad Employee")</f>
        <v>Good Employee</v>
      </c>
      <c r="CG26" t="str">
        <f xml:space="preserve"> IF(AND(CG25&gt;20, CG20&gt;6), "Good Employee", "Bad Employee")</f>
        <v>Bad Employee</v>
      </c>
      <c r="CH26" t="str">
        <f xml:space="preserve"> IF(AND(CH25&gt;20, CH20&gt;6), "Good Employee", "Bad Employee")</f>
        <v>Bad Employee</v>
      </c>
      <c r="CI26" t="str">
        <f xml:space="preserve"> IF(AND(CI25&gt;20, CI20&gt;6), "Good Employee", "Bad Employee")</f>
        <v>Bad Employee</v>
      </c>
      <c r="CJ26" t="str">
        <f xml:space="preserve"> IF(AND(CJ25&gt;20, CJ20&gt;6), "Good Employee", "Bad Employee")</f>
        <v>Bad Employee</v>
      </c>
      <c r="CK26" t="str">
        <f xml:space="preserve"> IF(AND(CK25&gt;20, CK20&gt;6), "Good Employee", "Bad Employee")</f>
        <v>Bad Employee</v>
      </c>
      <c r="CL26" t="str">
        <f xml:space="preserve"> IF(AND(CL25&gt;20, CL20&gt;6), "Good Employee", "Bad Employee")</f>
        <v>Bad Employee</v>
      </c>
      <c r="CM26" t="str">
        <f xml:space="preserve"> IF(AND(CM25&gt;20, CM20&gt;6), "Good Employee", "Bad Employee")</f>
        <v>Bad Employee</v>
      </c>
      <c r="CN26" t="str">
        <f xml:space="preserve"> IF(AND(CN25&gt;20, CN20&gt;6), "Good Employee", "Bad Employee")</f>
        <v>Good Employee</v>
      </c>
      <c r="CO26" t="str">
        <f xml:space="preserve"> IF(AND(CO25&gt;20, CO20&gt;6), "Good Employee", "Bad Employee")</f>
        <v>Bad Employee</v>
      </c>
      <c r="CP26" t="str">
        <f xml:space="preserve"> IF(AND(CP25&gt;20, CP20&gt;6), "Good Employee", "Bad Employee")</f>
        <v>Bad Employee</v>
      </c>
      <c r="CQ26" t="str">
        <f xml:space="preserve"> IF(AND(CQ25&gt;20, CQ20&gt;6), "Good Employee", "Bad Employee")</f>
        <v>Good Employee</v>
      </c>
      <c r="CR26" t="str">
        <f xml:space="preserve"> IF(AND(CR25&gt;20, CR20&gt;6), "Good Employee", "Bad Employee")</f>
        <v>Bad Employee</v>
      </c>
      <c r="CS26" t="str">
        <f xml:space="preserve"> IF(AND(CS25&gt;20, CS20&gt;6), "Good Employee", "Bad Employee")</f>
        <v>Bad Employee</v>
      </c>
      <c r="CT26" t="str">
        <f xml:space="preserve"> IF(AND(CT25&gt;20, CT20&gt;6), "Good Employee", "Bad Employee")</f>
        <v>Bad Employee</v>
      </c>
      <c r="CU26" t="str">
        <f xml:space="preserve"> IF(AND(CU25&gt;20, CU20&gt;6), "Good Employee", "Bad Employee")</f>
        <v>Bad Employee</v>
      </c>
      <c r="CV26" t="str">
        <f xml:space="preserve"> IF(AND(CV25&gt;20, CV20&gt;6), "Good Employee", "Bad Employee")</f>
        <v>Bad Employee</v>
      </c>
      <c r="CW26" t="str">
        <f xml:space="preserve"> IF(AND(CW25&gt;20, CW20&gt;6), "Good Employee", "Bad Employee")</f>
        <v>Bad Employee</v>
      </c>
      <c r="CX26" t="str">
        <f xml:space="preserve"> IF(AND(CX25&gt;20, CX20&gt;6), "Good Employee", "Bad Employee")</f>
        <v>Bad Employee</v>
      </c>
      <c r="CY26" t="str">
        <f xml:space="preserve"> IF(AND(CY25&gt;20, CY20&gt;6), "Good Employee", "Bad Employee")</f>
        <v>Good Employee</v>
      </c>
      <c r="CZ26" t="str">
        <f xml:space="preserve"> IF(AND(CZ25&gt;20, CZ20&gt;6), "Good Employee", "Bad Employee")</f>
        <v>Bad Employee</v>
      </c>
      <c r="DA26" t="str">
        <f xml:space="preserve"> IF(AND(DA25&gt;20, DA20&gt;6), "Good Employee", "Bad Employee")</f>
        <v>Bad Employee</v>
      </c>
      <c r="DB26" t="str">
        <f xml:space="preserve"> IF(AND(DB25&gt;20, DB20&gt;6), "Good Employee", "Bad Employee")</f>
        <v>Good Employee</v>
      </c>
      <c r="DC26" t="str">
        <f xml:space="preserve"> IF(AND(DC25&gt;20, DC20&gt;6), "Good Employee", "Bad Employee")</f>
        <v>Bad Employee</v>
      </c>
      <c r="DD26" t="str">
        <f xml:space="preserve"> IF(AND(DD25&gt;20, DD20&gt;6), "Good Employee", "Bad Employee")</f>
        <v>Bad Employee</v>
      </c>
      <c r="DE26" t="str">
        <f xml:space="preserve"> IF(AND(DE25&gt;20, DE20&gt;6), "Good Employee", "Bad Employee")</f>
        <v>Bad Employee</v>
      </c>
      <c r="DF26" t="str">
        <f xml:space="preserve"> IF(AND(DF25&gt;20, DF20&gt;6), "Good Employee", "Bad Employee")</f>
        <v>Bad Employee</v>
      </c>
      <c r="DG26" t="str">
        <f xml:space="preserve"> IF(AND(DG25&gt;20, DG20&gt;6), "Good Employee", "Bad Employee")</f>
        <v>Bad Employee</v>
      </c>
      <c r="DH26" t="str">
        <f xml:space="preserve"> IF(AND(DH25&gt;20, DH20&gt;6), "Good Employee", "Bad Employee")</f>
        <v>Bad Employee</v>
      </c>
      <c r="DI26" t="str">
        <f xml:space="preserve"> IF(AND(DI25&gt;20, DI20&gt;6), "Good Employee", "Bad Employee")</f>
        <v>Bad Employee</v>
      </c>
      <c r="DJ26" t="str">
        <f xml:space="preserve"> IF(AND(DJ25&gt;20, DJ20&gt;6), "Good Employee", "Bad Employee")</f>
        <v>Good Employee</v>
      </c>
      <c r="DK26" t="str">
        <f xml:space="preserve"> IF(AND(DK25&gt;20, DK20&gt;6), "Good Employee", "Bad Employee")</f>
        <v>Good Employee</v>
      </c>
      <c r="DL26" t="str">
        <f xml:space="preserve"> IF(AND(DL25&gt;20, DL20&gt;6), "Good Employee", "Bad Employee")</f>
        <v>Bad Employee</v>
      </c>
      <c r="DM26" t="str">
        <f xml:space="preserve"> IF(AND(DM25&gt;20, DM20&gt;6), "Good Employee", "Bad Employee")</f>
        <v>Bad Employee</v>
      </c>
      <c r="DN26" t="str">
        <f xml:space="preserve"> IF(AND(DN25&gt;20, DN20&gt;6), "Good Employee", "Bad Employee")</f>
        <v>Bad Employee</v>
      </c>
      <c r="DO26" t="str">
        <f xml:space="preserve"> IF(AND(DO25&gt;20, DO20&gt;6), "Good Employee", "Bad Employee")</f>
        <v>Bad Employee</v>
      </c>
      <c r="DP26" t="str">
        <f xml:space="preserve"> IF(AND(DP25&gt;20, DP20&gt;6), "Good Employee", "Bad Employee")</f>
        <v>Good Employee</v>
      </c>
      <c r="DQ26" t="str">
        <f xml:space="preserve"> IF(AND(DQ25&gt;20, DQ20&gt;6), "Good Employee", "Bad Employee")</f>
        <v>Bad Employee</v>
      </c>
      <c r="DR26" t="str">
        <f xml:space="preserve"> IF(AND(DR25&gt;20, DR20&gt;6), "Good Employee", "Bad Employee")</f>
        <v>Bad Employee</v>
      </c>
      <c r="DS26" t="str">
        <f xml:space="preserve"> IF(AND(DS25&gt;20, DS20&gt;6), "Good Employee", "Bad Employee")</f>
        <v>Bad Employee</v>
      </c>
      <c r="DT26" t="str">
        <f xml:space="preserve"> IF(AND(DT25&gt;20, DT20&gt;6), "Good Employee", "Bad Employee")</f>
        <v>Bad Employee</v>
      </c>
      <c r="DU26" t="str">
        <f xml:space="preserve"> IF(AND(DU25&gt;20, DU20&gt;6), "Good Employee", "Bad Employee")</f>
        <v>Bad Employee</v>
      </c>
      <c r="DV26" t="str">
        <f xml:space="preserve"> IF(AND(DV25&gt;20, DV20&gt;6), "Good Employee", "Bad Employee")</f>
        <v>Bad Employee</v>
      </c>
      <c r="DW26" t="str">
        <f xml:space="preserve"> IF(AND(DW25&gt;20, DW20&gt;6), "Good Employee", "Bad Employee")</f>
        <v>Bad Employee</v>
      </c>
      <c r="DX26" t="str">
        <f xml:space="preserve"> IF(AND(DX25&gt;20, DX20&gt;6), "Good Employee", "Bad Employee")</f>
        <v>Bad Employee</v>
      </c>
      <c r="DY26" t="str">
        <f xml:space="preserve"> IF(AND(DY25&gt;20, DY20&gt;6), "Good Employee", "Bad Employee")</f>
        <v>Bad Employee</v>
      </c>
      <c r="DZ26" t="str">
        <f xml:space="preserve"> IF(AND(DZ25&gt;20, DZ20&gt;6), "Good Employee", "Bad Employee")</f>
        <v>Bad Employee</v>
      </c>
      <c r="EA26" t="str">
        <f xml:space="preserve"> IF(AND(EA25&gt;20, EA20&gt;6), "Good Employee", "Bad Employee")</f>
        <v>Good Employee</v>
      </c>
      <c r="EB26" t="str">
        <f xml:space="preserve"> IF(AND(EB25&gt;20, EB20&gt;6), "Good Employee", "Bad Employee")</f>
        <v>Bad Employee</v>
      </c>
      <c r="EC26" t="str">
        <f xml:space="preserve"> IF(AND(EC25&gt;20, EC20&gt;6), "Good Employee", "Bad Employee")</f>
        <v>Bad Employee</v>
      </c>
      <c r="ED26" t="str">
        <f xml:space="preserve"> IF(AND(ED25&gt;20, ED20&gt;6), "Good Employee", "Bad Employee")</f>
        <v>Good Employee</v>
      </c>
      <c r="EE26" t="str">
        <f xml:space="preserve"> IF(AND(EE25&gt;20, EE20&gt;6), "Good Employee", "Bad Employee")</f>
        <v>Bad Employee</v>
      </c>
      <c r="EF26" t="str">
        <f xml:space="preserve"> IF(AND(EF25&gt;20, EF20&gt;6), "Good Employee", "Bad Employee")</f>
        <v>Bad Employee</v>
      </c>
      <c r="EG26" t="str">
        <f xml:space="preserve"> IF(AND(EG25&gt;20, EG20&gt;6), "Good Employee", "Bad Employee")</f>
        <v>Bad Employee</v>
      </c>
      <c r="EH26" t="str">
        <f xml:space="preserve"> IF(AND(EH25&gt;20, EH20&gt;6), "Good Employee", "Bad Employee")</f>
        <v>Bad Employee</v>
      </c>
      <c r="EI26" t="str">
        <f xml:space="preserve"> IF(AND(EI25&gt;20, EI20&gt;6), "Good Employee", "Bad Employee")</f>
        <v>Bad Employee</v>
      </c>
      <c r="EJ26" t="str">
        <f xml:space="preserve"> IF(AND(EJ25&gt;20, EJ20&gt;6), "Good Employee", "Bad Employee")</f>
        <v>Bad Employee</v>
      </c>
      <c r="EK26" t="str">
        <f xml:space="preserve"> IF(AND(EK25&gt;20, EK20&gt;6), "Good Employee", "Bad Employee")</f>
        <v>Bad Employee</v>
      </c>
      <c r="EL26" t="str">
        <f xml:space="preserve"> IF(AND(EL25&gt;20, EL20&gt;6), "Good Employee", "Bad Employee")</f>
        <v>Good Employee</v>
      </c>
      <c r="EM26" t="str">
        <f xml:space="preserve"> IF(AND(EM25&gt;20, EM20&gt;6), "Good Employee", "Bad Employee")</f>
        <v>Bad Employee</v>
      </c>
      <c r="EN26" t="str">
        <f xml:space="preserve"> IF(AND(EN25&gt;20, EN20&gt;6), "Good Employee", "Bad Employee")</f>
        <v>Bad Employee</v>
      </c>
      <c r="EO26" t="str">
        <f xml:space="preserve"> IF(AND(EO25&gt;20, EO20&gt;6), "Good Employee", "Bad Employee")</f>
        <v>Bad Employee</v>
      </c>
      <c r="EP26" t="str">
        <f xml:space="preserve"> IF(AND(EP25&gt;20, EP20&gt;6), "Good Employee", "Bad Employee")</f>
        <v>Bad Employee</v>
      </c>
      <c r="EQ26" t="str">
        <f xml:space="preserve"> IF(AND(EQ25&gt;20, EQ20&gt;6), "Good Employee", "Bad Employee")</f>
        <v>Bad Employee</v>
      </c>
      <c r="ER26" t="str">
        <f xml:space="preserve"> IF(AND(ER25&gt;20, ER20&gt;6), "Good Employee", "Bad Employee")</f>
        <v>Bad Employee</v>
      </c>
      <c r="ES26" t="str">
        <f xml:space="preserve"> IF(AND(ES25&gt;20, ES20&gt;6), "Good Employee", "Bad Employee")</f>
        <v>Bad Employee</v>
      </c>
      <c r="ET26" t="str">
        <f xml:space="preserve"> IF(AND(ET25&gt;20, ET20&gt;6), "Good Employee", "Bad Employee")</f>
        <v>Bad Employee</v>
      </c>
      <c r="EU26" t="str">
        <f xml:space="preserve"> IF(AND(EU25&gt;20, EU20&gt;6), "Good Employee", "Bad Employee")</f>
        <v>Bad Employee</v>
      </c>
      <c r="EV26" t="str">
        <f xml:space="preserve"> IF(AND(EV25&gt;20, EV20&gt;6), "Good Employee", "Bad Employee")</f>
        <v>Bad Employee</v>
      </c>
      <c r="EW26" t="str">
        <f xml:space="preserve"> IF(AND(EW25&gt;20, EW20&gt;6), "Good Employee", "Bad Employee")</f>
        <v>Bad Employee</v>
      </c>
      <c r="EX26" t="str">
        <f xml:space="preserve"> IF(AND(EX25&gt;20, EX20&gt;6), "Good Employee", "Bad Employee")</f>
        <v>Bad Employee</v>
      </c>
      <c r="EY26" t="str">
        <f xml:space="preserve"> IF(AND(EY25&gt;20, EY20&gt;6), "Good Employee", "Bad Employee")</f>
        <v>Bad Employee</v>
      </c>
      <c r="EZ26" t="str">
        <f xml:space="preserve"> IF(AND(EZ25&gt;20, EZ20&gt;6), "Good Employee", "Bad Employee")</f>
        <v>Good Employee</v>
      </c>
      <c r="FA26" t="str">
        <f xml:space="preserve"> IF(AND(FA25&gt;20, FA20&gt;6), "Good Employee", "Bad Employee")</f>
        <v>Good Employee</v>
      </c>
      <c r="FB26" t="str">
        <f xml:space="preserve"> IF(AND(FB25&gt;20, FB20&gt;6), "Good Employee", "Bad Employee")</f>
        <v>Bad Employee</v>
      </c>
      <c r="FC26" t="str">
        <f xml:space="preserve"> IF(AND(FC25&gt;20, FC20&gt;6), "Good Employee", "Bad Employee")</f>
        <v>Bad Employee</v>
      </c>
      <c r="FD26" t="str">
        <f xml:space="preserve"> IF(AND(FD25&gt;20, FD20&gt;6), "Good Employee", "Bad Employee")</f>
        <v>Bad Employee</v>
      </c>
      <c r="FE26" t="str">
        <f xml:space="preserve"> IF(AND(FE25&gt;20, FE20&gt;6), "Good Employee", "Bad Employee")</f>
        <v>Bad Employee</v>
      </c>
      <c r="FF26" t="str">
        <f xml:space="preserve"> IF(AND(FF25&gt;20, FF20&gt;6), "Good Employee", "Bad Employee")</f>
        <v>Bad Employee</v>
      </c>
      <c r="FG26" t="str">
        <f xml:space="preserve"> IF(AND(FG25&gt;20, FG20&gt;6), "Good Employee", "Bad Employee")</f>
        <v>Bad Employee</v>
      </c>
      <c r="FH26" t="str">
        <f xml:space="preserve"> IF(AND(FH25&gt;20, FH20&gt;6), "Good Employee", "Bad Employee")</f>
        <v>Bad Employee</v>
      </c>
      <c r="FI26" t="str">
        <f xml:space="preserve"> IF(AND(FI25&gt;20, FI20&gt;6), "Good Employee", "Bad Employee")</f>
        <v>Bad Employee</v>
      </c>
      <c r="FJ26" t="str">
        <f xml:space="preserve"> IF(AND(FJ25&gt;20, FJ20&gt;6), "Good Employee", "Bad Employee")</f>
        <v>Bad Employee</v>
      </c>
      <c r="FK26" t="str">
        <f xml:space="preserve"> IF(AND(FK25&gt;20, FK20&gt;6), "Good Employee", "Bad Employee")</f>
        <v>Bad Employee</v>
      </c>
      <c r="FL26" t="str">
        <f xml:space="preserve"> IF(AND(FL25&gt;20, FL20&gt;6), "Good Employee", "Bad Employee")</f>
        <v>Bad Employee</v>
      </c>
      <c r="FM26" t="str">
        <f xml:space="preserve"> IF(AND(FM25&gt;20, FM20&gt;6), "Good Employee", "Bad Employee")</f>
        <v>Bad Employee</v>
      </c>
      <c r="FN26" t="str">
        <f xml:space="preserve"> IF(AND(FN25&gt;20, FN20&gt;6), "Good Employee", "Bad Employee")</f>
        <v>Bad Employee</v>
      </c>
      <c r="FO26" t="str">
        <f xml:space="preserve"> IF(AND(FO25&gt;20, FO20&gt;6), "Good Employee", "Bad Employee")</f>
        <v>Bad Employee</v>
      </c>
      <c r="FP26" t="str">
        <f xml:space="preserve"> IF(AND(FP25&gt;20, FP20&gt;6), "Good Employee", "Bad Employee")</f>
        <v>Bad Employee</v>
      </c>
      <c r="FQ26" t="str">
        <f xml:space="preserve"> IF(AND(FQ25&gt;20, FQ20&gt;6), "Good Employee", "Bad Employee")</f>
        <v>Bad Employee</v>
      </c>
      <c r="FR26" t="str">
        <f xml:space="preserve"> IF(AND(FR25&gt;20, FR20&gt;6), "Good Employee", "Bad Employee")</f>
        <v>Bad Employee</v>
      </c>
      <c r="FS26" t="str">
        <f xml:space="preserve"> IF(AND(FS25&gt;20, FS20&gt;6), "Good Employee", "Bad Employee")</f>
        <v>Bad Employee</v>
      </c>
      <c r="FT26" t="str">
        <f xml:space="preserve"> IF(AND(FT25&gt;20, FT20&gt;6), "Good Employee", "Bad Employee")</f>
        <v>Good Employee</v>
      </c>
      <c r="FU26" t="str">
        <f xml:space="preserve"> IF(AND(FU25&gt;20, FU20&gt;6), "Good Employee", "Bad Employee")</f>
        <v>Bad Employee</v>
      </c>
      <c r="FV26" t="str">
        <f xml:space="preserve"> IF(AND(FV25&gt;20, FV20&gt;6), "Good Employee", "Bad Employee")</f>
        <v>Bad Employee</v>
      </c>
      <c r="FW26" t="str">
        <f xml:space="preserve"> IF(AND(FW25&gt;20, FW20&gt;6), "Good Employee", "Bad Employee")</f>
        <v>Bad Employee</v>
      </c>
      <c r="FX26" t="str">
        <f xml:space="preserve"> IF(AND(FX25&gt;20, FX20&gt;6), "Good Employee", "Bad Employee")</f>
        <v>Bad Employee</v>
      </c>
      <c r="FY26" t="str">
        <f xml:space="preserve"> IF(AND(FY25&gt;20, FY20&gt;6), "Good Employee", "Bad Employee")</f>
        <v>Bad Employee</v>
      </c>
      <c r="FZ26" t="str">
        <f xml:space="preserve"> IF(AND(FZ25&gt;20, FZ20&gt;6), "Good Employee", "Bad Employee")</f>
        <v>Bad Employee</v>
      </c>
      <c r="GA26" t="str">
        <f xml:space="preserve"> IF(AND(GA25&gt;20, GA20&gt;6), "Good Employee", "Bad Employee")</f>
        <v>Good Employee</v>
      </c>
      <c r="GB26" t="str">
        <f xml:space="preserve"> IF(AND(GB25&gt;20, GB20&gt;6), "Good Employee", "Bad Employee")</f>
        <v>Bad Employee</v>
      </c>
      <c r="GC26" t="str">
        <f xml:space="preserve"> IF(AND(GC25&gt;20, GC20&gt;6), "Good Employee", "Bad Employee")</f>
        <v>Bad Employee</v>
      </c>
      <c r="GD26" t="str">
        <f xml:space="preserve"> IF(AND(GD25&gt;20, GD20&gt;6), "Good Employee", "Bad Employee")</f>
        <v>Bad Employee</v>
      </c>
      <c r="GE26" t="str">
        <f xml:space="preserve"> IF(AND(GE25&gt;20, GE20&gt;6), "Good Employee", "Bad Employee")</f>
        <v>Bad Employee</v>
      </c>
      <c r="GF26" t="str">
        <f xml:space="preserve"> IF(AND(GF25&gt;20, GF20&gt;6), "Good Employee", "Bad Employee")</f>
        <v>Good Employee</v>
      </c>
      <c r="GG26" t="str">
        <f xml:space="preserve"> IF(AND(GG25&gt;20, GG20&gt;6), "Good Employee", "Bad Employee")</f>
        <v>Good Employee</v>
      </c>
      <c r="GH26" t="str">
        <f xml:space="preserve"> IF(AND(GH25&gt;20, GH20&gt;6), "Good Employee", "Bad Employee")</f>
        <v>Good Employee</v>
      </c>
      <c r="GI26" t="str">
        <f xml:space="preserve"> IF(AND(GI25&gt;20, GI20&gt;6), "Good Employee", "Bad Employee")</f>
        <v>Bad Employee</v>
      </c>
      <c r="GJ26" t="str">
        <f xml:space="preserve"> IF(AND(GJ25&gt;20, GJ20&gt;6), "Good Employee", "Bad Employee")</f>
        <v>Bad Employee</v>
      </c>
      <c r="GK26" t="str">
        <f xml:space="preserve"> IF(AND(GK25&gt;20, GK20&gt;6), "Good Employee", "Bad Employee")</f>
        <v>Bad Employee</v>
      </c>
      <c r="GL26" t="str">
        <f xml:space="preserve"> IF(AND(GL25&gt;20, GL20&gt;6), "Good Employee", "Bad Employee")</f>
        <v>Bad Employee</v>
      </c>
      <c r="GM26" t="str">
        <f xml:space="preserve"> IF(AND(GM25&gt;20, GM20&gt;6), "Good Employee", "Bad Employee")</f>
        <v>Bad Employee</v>
      </c>
      <c r="GN26" t="str">
        <f xml:space="preserve"> IF(AND(GN25&gt;20, GN20&gt;6), "Good Employee", "Bad Employee")</f>
        <v>Bad Employee</v>
      </c>
      <c r="GO26" t="str">
        <f xml:space="preserve"> IF(AND(GO25&gt;20, GO20&gt;6), "Good Employee", "Bad Employee")</f>
        <v>Good Employee</v>
      </c>
      <c r="GP26" t="str">
        <f xml:space="preserve"> IF(AND(GP25&gt;20, GP20&gt;6), "Good Employee", "Bad Employee")</f>
        <v>Bad Employee</v>
      </c>
      <c r="GQ26" t="str">
        <f xml:space="preserve"> IF(AND(GQ25&gt;20, GQ20&gt;6), "Good Employee", "Bad Employee")</f>
        <v>Bad Employee</v>
      </c>
      <c r="GR26" t="str">
        <f xml:space="preserve"> IF(AND(GR25&gt;20, GR20&gt;6), "Good Employee", "Bad Employee")</f>
        <v>Bad Employee</v>
      </c>
      <c r="GS26" t="str">
        <f xml:space="preserve"> IF(AND(GS25&gt;20, GS20&gt;6), "Good Employee", "Bad Employee")</f>
        <v>Bad Employee</v>
      </c>
      <c r="GT26" t="str">
        <f xml:space="preserve"> IF(AND(GT25&gt;20, GT20&gt;6), "Good Employee", "Bad Employee")</f>
        <v>Bad Employee</v>
      </c>
      <c r="GU26" t="str">
        <f xml:space="preserve"> IF(AND(GU25&gt;20, GU20&gt;6), "Good Employee", "Bad Employee")</f>
        <v>Good Employee</v>
      </c>
      <c r="GV26" t="str">
        <f xml:space="preserve"> IF(AND(GV25&gt;20, GV20&gt;6), "Good Employee", "Bad Employee")</f>
        <v>Bad Employee</v>
      </c>
      <c r="GW26" t="str">
        <f xml:space="preserve"> IF(AND(GW25&gt;20, GW20&gt;6), "Good Employee", "Bad Employee")</f>
        <v>Bad Employee</v>
      </c>
      <c r="GX26" t="str">
        <f xml:space="preserve"> IF(AND(GX25&gt;20, GX20&gt;6), "Good Employee", "Bad Employee")</f>
        <v>Good Employee</v>
      </c>
      <c r="GY26" t="str">
        <f xml:space="preserve"> IF(AND(GY25&gt;20, GY20&gt;6), "Good Employee", "Bad Employee")</f>
        <v>Good Employee</v>
      </c>
      <c r="GZ26" t="str">
        <f xml:space="preserve"> IF(AND(GZ25&gt;20, GZ20&gt;6), "Good Employee", "Bad Employee")</f>
        <v>Bad Employee</v>
      </c>
      <c r="HA26" t="str">
        <f xml:space="preserve"> IF(AND(HA25&gt;20, HA20&gt;6), "Good Employee", "Bad Employee")</f>
        <v>Good Employee</v>
      </c>
      <c r="HB26" t="str">
        <f xml:space="preserve"> IF(AND(HB25&gt;20, HB20&gt;6), "Good Employee", "Bad Employee")</f>
        <v>Good Employee</v>
      </c>
      <c r="HC26" t="str">
        <f xml:space="preserve"> IF(AND(HC25&gt;20, HC20&gt;6), "Good Employee", "Bad Employee")</f>
        <v>Bad Employee</v>
      </c>
      <c r="HD26" t="str">
        <f xml:space="preserve"> IF(AND(HD25&gt;20, HD20&gt;6), "Good Employee", "Bad Employee")</f>
        <v>Bad Employee</v>
      </c>
      <c r="HE26" t="str">
        <f xml:space="preserve"> IF(AND(HE25&gt;20, HE20&gt;6), "Good Employee", "Bad Employee")</f>
        <v>Bad Employee</v>
      </c>
      <c r="HF26" t="str">
        <f xml:space="preserve"> IF(AND(HF25&gt;20, HF20&gt;6), "Good Employee", "Bad Employee")</f>
        <v>Bad Employee</v>
      </c>
      <c r="HG26" t="str">
        <f xml:space="preserve"> IF(AND(HG25&gt;20, HG20&gt;6), "Good Employee", "Bad Employee")</f>
        <v>Bad Employee</v>
      </c>
      <c r="HH26" t="str">
        <f xml:space="preserve"> IF(AND(HH25&gt;20, HH20&gt;6), "Good Employee", "Bad Employee")</f>
        <v>Bad Employee</v>
      </c>
      <c r="HI26" t="str">
        <f xml:space="preserve"> IF(AND(HI25&gt;20, HI20&gt;6), "Good Employee", "Bad Employee")</f>
        <v>Good Employee</v>
      </c>
      <c r="HJ26" t="str">
        <f xml:space="preserve"> IF(AND(HJ25&gt;20, HJ20&gt;6), "Good Employee", "Bad Employee")</f>
        <v>Good Employee</v>
      </c>
      <c r="HK26" t="str">
        <f xml:space="preserve"> IF(AND(HK25&gt;20, HK20&gt;6), "Good Employee", "Bad Employee")</f>
        <v>Bad Employee</v>
      </c>
      <c r="HL26" t="str">
        <f xml:space="preserve"> IF(AND(HL25&gt;20, HL20&gt;6), "Good Employee", "Bad Employee")</f>
        <v>Bad Employee</v>
      </c>
      <c r="HM26" t="str">
        <f xml:space="preserve"> IF(AND(HM25&gt;20, HM20&gt;6), "Good Employee", "Bad Employee")</f>
        <v>Bad Employee</v>
      </c>
      <c r="HN26" t="str">
        <f xml:space="preserve"> IF(AND(HN25&gt;20, HN20&gt;6), "Good Employee", "Bad Employee")</f>
        <v>Bad Employee</v>
      </c>
      <c r="HO26" t="str">
        <f xml:space="preserve"> IF(AND(HO25&gt;20, HO20&gt;6), "Good Employee", "Bad Employee")</f>
        <v>Bad Employee</v>
      </c>
      <c r="HP26" t="str">
        <f xml:space="preserve"> IF(AND(HP25&gt;20, HP20&gt;6), "Good Employee", "Bad Employee")</f>
        <v>Good Employee</v>
      </c>
      <c r="HQ26" t="str">
        <f xml:space="preserve"> IF(AND(HQ25&gt;20, HQ20&gt;6), "Good Employee", "Bad Employee")</f>
        <v>Bad Employee</v>
      </c>
      <c r="HR26" t="str">
        <f xml:space="preserve"> IF(AND(HR25&gt;20, HR20&gt;6), "Good Employee", "Bad Employee")</f>
        <v>Bad Employee</v>
      </c>
      <c r="HS26" t="str">
        <f xml:space="preserve"> IF(AND(HS25&gt;20, HS20&gt;6), "Good Employee", "Bad Employee")</f>
        <v>Bad Employee</v>
      </c>
      <c r="HT26" t="str">
        <f xml:space="preserve"> IF(AND(HT25&gt;20, HT20&gt;6), "Good Employee", "Bad Employee")</f>
        <v>Bad Employee</v>
      </c>
      <c r="HU26" t="str">
        <f xml:space="preserve"> IF(AND(HU25&gt;20, HU20&gt;6), "Good Employee", "Bad Employee")</f>
        <v>Bad Employee</v>
      </c>
      <c r="HV26" t="str">
        <f xml:space="preserve"> IF(AND(HV25&gt;20, HV20&gt;6), "Good Employee", "Bad Employee")</f>
        <v>Bad Employee</v>
      </c>
      <c r="HW26" t="str">
        <f xml:space="preserve"> IF(AND(HW25&gt;20, HW20&gt;6), "Good Employee", "Bad Employee")</f>
        <v>Bad Employee</v>
      </c>
      <c r="HX26" t="str">
        <f xml:space="preserve"> IF(AND(HX25&gt;20, HX20&gt;6), "Good Employee", "Bad Employee")</f>
        <v>Bad Employee</v>
      </c>
      <c r="HY26" t="str">
        <f xml:space="preserve"> IF(AND(HY25&gt;20, HY20&gt;6), "Good Employee", "Bad Employee")</f>
        <v>Bad Employee</v>
      </c>
      <c r="HZ26" t="str">
        <f xml:space="preserve"> IF(AND(HZ25&gt;20, HZ20&gt;6), "Good Employee", "Bad Employee")</f>
        <v>Bad Employee</v>
      </c>
      <c r="IA26" t="str">
        <f xml:space="preserve"> IF(AND(IA25&gt;20, IA20&gt;6), "Good Employee", "Bad Employee")</f>
        <v>Bad Employee</v>
      </c>
      <c r="IB26" t="str">
        <f xml:space="preserve"> IF(AND(IB25&gt;20, IB20&gt;6), "Good Employee", "Bad Employee")</f>
        <v>Bad Employee</v>
      </c>
      <c r="IC26" t="str">
        <f xml:space="preserve"> IF(AND(IC25&gt;20, IC20&gt;6), "Good Employee", "Bad Employee")</f>
        <v>Bad Employee</v>
      </c>
      <c r="ID26" t="str">
        <f xml:space="preserve"> IF(AND(ID25&gt;20, ID20&gt;6), "Good Employee", "Bad Employee")</f>
        <v>Good Employee</v>
      </c>
      <c r="IE26" t="str">
        <f xml:space="preserve"> IF(AND(IE25&gt;20, IE20&gt;6), "Good Employee", "Bad Employee")</f>
        <v>Bad Employee</v>
      </c>
      <c r="IF26" t="str">
        <f xml:space="preserve"> IF(AND(IF25&gt;20, IF20&gt;6), "Good Employee", "Bad Employee")</f>
        <v>Bad Employee</v>
      </c>
      <c r="IG26" t="str">
        <f xml:space="preserve"> IF(AND(IG25&gt;20, IG20&gt;6), "Good Employee", "Bad Employee")</f>
        <v>Bad Employee</v>
      </c>
      <c r="IH26" t="str">
        <f xml:space="preserve"> IF(AND(IH25&gt;20, IH20&gt;6), "Good Employee", "Bad Employee")</f>
        <v>Bad Employee</v>
      </c>
      <c r="II26" t="str">
        <f xml:space="preserve"> IF(AND(II25&gt;20, II20&gt;6), "Good Employee", "Bad Employee")</f>
        <v>Bad Employee</v>
      </c>
      <c r="IJ26" t="str">
        <f xml:space="preserve"> IF(AND(IJ25&gt;20, IJ20&gt;6), "Good Employee", "Bad Employee")</f>
        <v>Bad Employee</v>
      </c>
      <c r="IK26" t="str">
        <f xml:space="preserve"> IF(AND(IK25&gt;20, IK20&gt;6), "Good Employee", "Bad Employee")</f>
        <v>Bad Employee</v>
      </c>
      <c r="IL26" t="str">
        <f xml:space="preserve"> IF(AND(IL25&gt;20, IL20&gt;6), "Good Employee", "Bad Employee")</f>
        <v>Bad Employee</v>
      </c>
      <c r="IM26" t="str">
        <f xml:space="preserve"> IF(AND(IM25&gt;20, IM20&gt;6), "Good Employee", "Bad Employee")</f>
        <v>Bad Employee</v>
      </c>
      <c r="IN26" t="str">
        <f xml:space="preserve"> IF(AND(IN25&gt;20, IN20&gt;6), "Good Employee", "Bad Employee")</f>
        <v>Bad Employee</v>
      </c>
      <c r="IO26" t="str">
        <f xml:space="preserve"> IF(AND(IO25&gt;20, IO20&gt;6), "Good Employee", "Bad Employee")</f>
        <v>Bad Employee</v>
      </c>
      <c r="IP26" t="str">
        <f xml:space="preserve"> IF(AND(IP25&gt;20, IP20&gt;6), "Good Employee", "Bad Employee")</f>
        <v>Good Employee</v>
      </c>
      <c r="IQ26" t="str">
        <f xml:space="preserve"> IF(AND(IQ25&gt;20, IQ20&gt;6), "Good Employee", "Bad Employee")</f>
        <v>Bad Employee</v>
      </c>
      <c r="IR26" t="str">
        <f xml:space="preserve"> IF(AND(IR25&gt;20, IR20&gt;6), "Good Employee", "Bad Employee")</f>
        <v>Bad Employee</v>
      </c>
      <c r="IS26" t="str">
        <f xml:space="preserve"> IF(AND(IS25&gt;20, IS20&gt;6), "Good Employee", "Bad Employee")</f>
        <v>Bad Employee</v>
      </c>
      <c r="IT26" t="str">
        <f xml:space="preserve"> IF(AND(IT25&gt;20, IT20&gt;6), "Good Employee", "Bad Employee")</f>
        <v>Bad Employee</v>
      </c>
      <c r="IU26" t="str">
        <f xml:space="preserve"> IF(AND(IU25&gt;20, IU20&gt;6), "Good Employee", "Bad Employee")</f>
        <v>Bad Employee</v>
      </c>
      <c r="IV26" t="str">
        <f xml:space="preserve"> IF(AND(IV25&gt;20, IV20&gt;6), "Good Employee", "Bad Employee")</f>
        <v>Bad Employee</v>
      </c>
      <c r="IW26" t="str">
        <f xml:space="preserve"> IF(AND(IW25&gt;20, IW20&gt;6), "Good Employee", "Bad Employee")</f>
        <v>Bad Employee</v>
      </c>
      <c r="IX26" t="str">
        <f xml:space="preserve"> IF(AND(IX25&gt;20, IX20&gt;6), "Good Employee", "Bad Employee")</f>
        <v>Bad Employee</v>
      </c>
      <c r="IY26" t="str">
        <f xml:space="preserve"> IF(AND(IY25&gt;20, IY20&gt;6), "Good Employee", "Bad Employee")</f>
        <v>Bad Employee</v>
      </c>
      <c r="IZ26" t="str">
        <f xml:space="preserve"> IF(AND(IZ25&gt;20, IZ20&gt;6), "Good Employee", "Bad Employee")</f>
        <v>Bad Employee</v>
      </c>
      <c r="JA26" t="str">
        <f xml:space="preserve"> IF(AND(JA25&gt;20, JA20&gt;6), "Good Employee", "Bad Employee")</f>
        <v>Bad Employee</v>
      </c>
      <c r="JB26" t="str">
        <f xml:space="preserve"> IF(AND(JB25&gt;20, JB20&gt;6), "Good Employee", "Bad Employee")</f>
        <v>Good Employee</v>
      </c>
      <c r="JC26" t="str">
        <f xml:space="preserve"> IF(AND(JC25&gt;20, JC20&gt;6), "Good Employee", "Bad Employee")</f>
        <v>Bad Employee</v>
      </c>
      <c r="JD26" t="str">
        <f xml:space="preserve"> IF(AND(JD25&gt;20, JD20&gt;6), "Good Employee", "Bad Employee")</f>
        <v>Bad Employee</v>
      </c>
      <c r="JE26" t="str">
        <f xml:space="preserve"> IF(AND(JE25&gt;20, JE20&gt;6), "Good Employee", "Bad Employee")</f>
        <v>Good Employee</v>
      </c>
      <c r="JF26" t="str">
        <f xml:space="preserve"> IF(AND(JF25&gt;20, JF20&gt;6), "Good Employee", "Bad Employee")</f>
        <v>Good Employee</v>
      </c>
      <c r="JG26" t="str">
        <f xml:space="preserve"> IF(AND(JG25&gt;20, JG20&gt;6), "Good Employee", "Bad Employee")</f>
        <v>Good Employee</v>
      </c>
      <c r="JH26" t="str">
        <f xml:space="preserve"> IF(AND(JH25&gt;20, JH20&gt;6), "Good Employee", "Bad Employee")</f>
        <v>Good Employee</v>
      </c>
      <c r="JI26" t="str">
        <f xml:space="preserve"> IF(AND(JI25&gt;20, JI20&gt;6), "Good Employee", "Bad Employee")</f>
        <v>Bad Employee</v>
      </c>
      <c r="JJ26" t="str">
        <f xml:space="preserve"> IF(AND(JJ25&gt;20, JJ20&gt;6), "Good Employee", "Bad Employee")</f>
        <v>Bad Employee</v>
      </c>
      <c r="JK26" t="str">
        <f xml:space="preserve"> IF(AND(JK25&gt;20, JK20&gt;6), "Good Employee", "Bad Employee")</f>
        <v>Good Employee</v>
      </c>
      <c r="JL26" t="str">
        <f xml:space="preserve"> IF(AND(JL25&gt;20, JL20&gt;6), "Good Employee", "Bad Employee")</f>
        <v>Bad Employee</v>
      </c>
      <c r="JM26" t="str">
        <f xml:space="preserve"> IF(AND(JM25&gt;20, JM20&gt;6), "Good Employee", "Bad Employee")</f>
        <v>Bad Employee</v>
      </c>
      <c r="JN26" t="str">
        <f xml:space="preserve"> IF(AND(JN25&gt;20, JN20&gt;6), "Good Employee", "Bad Employee")</f>
        <v>Bad Employee</v>
      </c>
      <c r="JO26" t="str">
        <f xml:space="preserve"> IF(AND(JO25&gt;20, JO20&gt;6), "Good Employee", "Bad Employee")</f>
        <v>Bad Employee</v>
      </c>
      <c r="JP26" t="str">
        <f xml:space="preserve"> IF(AND(JP25&gt;20, JP20&gt;6), "Good Employee", "Bad Employee")</f>
        <v>Bad Employee</v>
      </c>
      <c r="JQ26" t="str">
        <f xml:space="preserve"> IF(AND(JQ25&gt;20, JQ20&gt;6), "Good Employee", "Bad Employee")</f>
        <v>Bad Employee</v>
      </c>
      <c r="JR26" t="str">
        <f xml:space="preserve"> IF(AND(JR25&gt;20, JR20&gt;6), "Good Employee", "Bad Employee")</f>
        <v>Good Employee</v>
      </c>
      <c r="JS26" t="str">
        <f xml:space="preserve"> IF(AND(JS25&gt;20, JS20&gt;6), "Good Employee", "Bad Employee")</f>
        <v>Bad Employee</v>
      </c>
      <c r="JT26" t="str">
        <f xml:space="preserve"> IF(AND(JT25&gt;20, JT20&gt;6), "Good Employee", "Bad Employee")</f>
        <v>Bad Employee</v>
      </c>
      <c r="JU26" t="str">
        <f xml:space="preserve"> IF(AND(JU25&gt;20, JU20&gt;6), "Good Employee", "Bad Employee")</f>
        <v>Good Employee</v>
      </c>
      <c r="JV26" t="str">
        <f xml:space="preserve"> IF(AND(JV25&gt;20, JV20&gt;6), "Good Employee", "Bad Employee")</f>
        <v>Good Employee</v>
      </c>
      <c r="JW26" t="str">
        <f xml:space="preserve"> IF(AND(JW25&gt;20, JW20&gt;6), "Good Employee", "Bad Employee")</f>
        <v>Bad Employee</v>
      </c>
      <c r="JX26" t="str">
        <f xml:space="preserve"> IF(AND(JX25&gt;20, JX20&gt;6), "Good Employee", "Bad Employee")</f>
        <v>Bad Employee</v>
      </c>
      <c r="JY26" t="str">
        <f xml:space="preserve"> IF(AND(JY25&gt;20, JY20&gt;6), "Good Employee", "Bad Employee")</f>
        <v>Bad Employee</v>
      </c>
      <c r="JZ26" t="str">
        <f xml:space="preserve"> IF(AND(JZ25&gt;20, JZ20&gt;6), "Good Employee", "Bad Employee")</f>
        <v>Bad Employee</v>
      </c>
      <c r="KA26" t="str">
        <f xml:space="preserve"> IF(AND(KA25&gt;20, KA20&gt;6), "Good Employee", "Bad Employee")</f>
        <v>Bad Employee</v>
      </c>
      <c r="KB26" t="str">
        <f xml:space="preserve"> IF(AND(KB25&gt;20, KB20&gt;6), "Good Employee", "Bad Employee")</f>
        <v>Good Employee</v>
      </c>
      <c r="KC26" t="str">
        <f xml:space="preserve"> IF(AND(KC25&gt;20, KC20&gt;6), "Good Employee", "Bad Employee")</f>
        <v>Bad Employee</v>
      </c>
      <c r="KD26" t="str">
        <f xml:space="preserve"> IF(AND(KD25&gt;20, KD20&gt;6), "Good Employee", "Bad Employee")</f>
        <v>Bad Employee</v>
      </c>
      <c r="KE26" t="str">
        <f xml:space="preserve"> IF(AND(KE25&gt;20, KE20&gt;6), "Good Employee", "Bad Employee")</f>
        <v>Bad Employee</v>
      </c>
      <c r="KF26" t="str">
        <f xml:space="preserve"> IF(AND(KF25&gt;20, KF20&gt;6), "Good Employee", "Bad Employee")</f>
        <v>Bad Employee</v>
      </c>
      <c r="KG26" t="str">
        <f xml:space="preserve"> IF(AND(KG25&gt;20, KG20&gt;6), "Good Employee", "Bad Employee")</f>
        <v>Good Employee</v>
      </c>
      <c r="KH26" t="str">
        <f xml:space="preserve"> IF(AND(KH25&gt;20, KH20&gt;6), "Good Employee", "Bad Employee")</f>
        <v>Bad Employee</v>
      </c>
      <c r="KI26" t="str">
        <f xml:space="preserve"> IF(AND(KI25&gt;20, KI20&gt;6), "Good Employee", "Bad Employee")</f>
        <v>Bad Employee</v>
      </c>
      <c r="KJ26" t="str">
        <f xml:space="preserve"> IF(AND(KJ25&gt;20, KJ20&gt;6), "Good Employee", "Bad Employee")</f>
        <v>Bad Employee</v>
      </c>
      <c r="KK26" t="str">
        <f xml:space="preserve"> IF(AND(KK25&gt;20, KK20&gt;6), "Good Employee", "Bad Employee")</f>
        <v>Good Employee</v>
      </c>
      <c r="KL26" t="str">
        <f xml:space="preserve"> IF(AND(KL25&gt;20, KL20&gt;6), "Good Employee", "Bad Employee")</f>
        <v>Bad Employee</v>
      </c>
      <c r="KM26" t="str">
        <f xml:space="preserve"> IF(AND(KM25&gt;20, KM20&gt;6), "Good Employee", "Bad Employee")</f>
        <v>Bad Employee</v>
      </c>
      <c r="KN26" t="str">
        <f xml:space="preserve"> IF(AND(KN25&gt;20, KN20&gt;6), "Good Employee", "Bad Employee")</f>
        <v>Bad Employee</v>
      </c>
      <c r="KO26" t="str">
        <f xml:space="preserve"> IF(AND(KO25&gt;20, KO20&gt;6), "Good Employee", "Bad Employee")</f>
        <v>Bad Employee</v>
      </c>
      <c r="KP26" t="str">
        <f xml:space="preserve"> IF(AND(KP25&gt;20, KP20&gt;6), "Good Employee", "Bad Employee")</f>
        <v>Bad Employee</v>
      </c>
      <c r="KQ26" t="str">
        <f xml:space="preserve"> IF(AND(KQ25&gt;20, KQ20&gt;6), "Good Employee", "Bad Employee")</f>
        <v>Bad Employee</v>
      </c>
      <c r="KR26" t="str">
        <f xml:space="preserve"> IF(AND(KR25&gt;20, KR20&gt;6), "Good Employee", "Bad Employee")</f>
        <v>Bad Employee</v>
      </c>
      <c r="KS26" t="str">
        <f xml:space="preserve"> IF(AND(KS25&gt;20, KS20&gt;6), "Good Employee", "Bad Employee")</f>
        <v>Good Employee</v>
      </c>
      <c r="KT26" t="str">
        <f xml:space="preserve"> IF(AND(KT25&gt;20, KT20&gt;6), "Good Employee", "Bad Employee")</f>
        <v>Bad Employee</v>
      </c>
      <c r="KU26" t="str">
        <f xml:space="preserve"> IF(AND(KU25&gt;20, KU20&gt;6), "Good Employee", "Bad Employee")</f>
        <v>Bad Employee</v>
      </c>
      <c r="KV26" t="str">
        <f xml:space="preserve"> IF(AND(KV25&gt;20, KV20&gt;6), "Good Employee", "Bad Employee")</f>
        <v>Bad Employee</v>
      </c>
      <c r="KW26" t="str">
        <f xml:space="preserve"> IF(AND(KW25&gt;20, KW20&gt;6), "Good Employee", "Bad Employee")</f>
        <v>Bad Employee</v>
      </c>
      <c r="KX26" t="str">
        <f xml:space="preserve"> IF(AND(KX25&gt;20, KX20&gt;6), "Good Employee", "Bad Employee")</f>
        <v>Bad Employee</v>
      </c>
      <c r="KY26" t="str">
        <f xml:space="preserve"> IF(AND(KY25&gt;20, KY20&gt;6), "Good Employee", "Bad Employee")</f>
        <v>Bad Employee</v>
      </c>
      <c r="KZ26" t="str">
        <f xml:space="preserve"> IF(AND(KZ25&gt;20, KZ20&gt;6), "Good Employee", "Bad Employee")</f>
        <v>Bad Employee</v>
      </c>
      <c r="LA26" t="str">
        <f xml:space="preserve"> IF(AND(LA25&gt;20, LA20&gt;6), "Good Employee", "Bad Employee")</f>
        <v>Bad Employee</v>
      </c>
      <c r="LB26" t="str">
        <f xml:space="preserve"> IF(AND(LB25&gt;20, LB20&gt;6), "Good Employee", "Bad Employee")</f>
        <v>Bad Employee</v>
      </c>
      <c r="LC26" t="str">
        <f xml:space="preserve"> IF(AND(LC25&gt;20, LC20&gt;6), "Good Employee", "Bad Employee")</f>
        <v>Bad Employee</v>
      </c>
      <c r="LD26" t="str">
        <f xml:space="preserve"> IF(AND(LD25&gt;20, LD20&gt;6), "Good Employee", "Bad Employee")</f>
        <v>Bad Employee</v>
      </c>
      <c r="LE26" t="str">
        <f xml:space="preserve"> IF(AND(LE25&gt;20, LE20&gt;6), "Good Employee", "Bad Employee")</f>
        <v>Bad Employee</v>
      </c>
      <c r="LF26" t="str">
        <f xml:space="preserve"> IF(AND(LF25&gt;20, LF20&gt;6), "Good Employee", "Bad Employee")</f>
        <v>Bad Employee</v>
      </c>
      <c r="LG26" t="str">
        <f xml:space="preserve"> IF(AND(LG25&gt;20, LG20&gt;6), "Good Employee", "Bad Employee")</f>
        <v>Good Employee</v>
      </c>
      <c r="LH26" t="str">
        <f xml:space="preserve"> IF(AND(LH25&gt;20, LH20&gt;6), "Good Employee", "Bad Employee")</f>
        <v>Bad Employee</v>
      </c>
      <c r="LI26" t="str">
        <f xml:space="preserve"> IF(AND(LI25&gt;20, LI20&gt;6), "Good Employee", "Bad Employee")</f>
        <v>Bad Employee</v>
      </c>
      <c r="LJ26" t="str">
        <f xml:space="preserve"> IF(AND(LJ25&gt;20, LJ20&gt;6), "Good Employee", "Bad Employee")</f>
        <v>Bad Employee</v>
      </c>
      <c r="LK26" t="str">
        <f xml:space="preserve"> IF(AND(LK25&gt;20, LK20&gt;6), "Good Employee", "Bad Employee")</f>
        <v>Bad Employee</v>
      </c>
      <c r="LL26" t="str">
        <f xml:space="preserve"> IF(AND(LL25&gt;20, LL20&gt;6), "Good Employee", "Bad Employee")</f>
        <v>Bad Employee</v>
      </c>
      <c r="LM26" t="str">
        <f xml:space="preserve"> IF(AND(LM25&gt;20, LM20&gt;6), "Good Employee", "Bad Employee")</f>
        <v>Bad Employee</v>
      </c>
      <c r="LN26" t="str">
        <f xml:space="preserve"> IF(AND(LN25&gt;20, LN20&gt;6), "Good Employee", "Bad Employee")</f>
        <v>Bad Employee</v>
      </c>
      <c r="LO26" t="str">
        <f xml:space="preserve"> IF(AND(LO25&gt;20, LO20&gt;6), "Good Employee", "Bad Employee")</f>
        <v>Good Employee</v>
      </c>
      <c r="LP26" t="str">
        <f xml:space="preserve"> IF(AND(LP25&gt;20, LP20&gt;6), "Good Employee", "Bad Employee")</f>
        <v>Bad Employee</v>
      </c>
      <c r="LQ26" t="str">
        <f xml:space="preserve"> IF(AND(LQ25&gt;20, LQ20&gt;6), "Good Employee", "Bad Employee")</f>
        <v>Bad Employee</v>
      </c>
      <c r="LR26" t="str">
        <f xml:space="preserve"> IF(AND(LR25&gt;20, LR20&gt;6), "Good Employee", "Bad Employee")</f>
        <v>Bad Employee</v>
      </c>
      <c r="LS26" t="str">
        <f xml:space="preserve"> IF(AND(LS25&gt;20, LS20&gt;6), "Good Employee", "Bad Employee")</f>
        <v>Good Employee</v>
      </c>
      <c r="LT26" t="str">
        <f xml:space="preserve"> IF(AND(LT25&gt;20, LT20&gt;6), "Good Employee", "Bad Employee")</f>
        <v>Bad Employee</v>
      </c>
      <c r="LU26" t="str">
        <f xml:space="preserve"> IF(AND(LU25&gt;20, LU20&gt;6), "Good Employee", "Bad Employee")</f>
        <v>Good Employee</v>
      </c>
      <c r="LV26" t="str">
        <f xml:space="preserve"> IF(AND(LV25&gt;20, LV20&gt;6), "Good Employee", "Bad Employee")</f>
        <v>Bad Employee</v>
      </c>
      <c r="LW26" t="str">
        <f xml:space="preserve"> IF(AND(LW25&gt;20, LW20&gt;6), "Good Employee", "Bad Employee")</f>
        <v>Bad Employee</v>
      </c>
      <c r="LX26" t="str">
        <f xml:space="preserve"> IF(AND(LX25&gt;20, LX20&gt;6), "Good Employee", "Bad Employee")</f>
        <v>Bad Employee</v>
      </c>
      <c r="LY26" t="str">
        <f xml:space="preserve"> IF(AND(LY25&gt;20, LY20&gt;6), "Good Employee", "Bad Employee")</f>
        <v>Bad Employee</v>
      </c>
      <c r="LZ26" t="str">
        <f xml:space="preserve"> IF(AND(LZ25&gt;20, LZ20&gt;6), "Good Employee", "Bad Employee")</f>
        <v>Bad Employee</v>
      </c>
      <c r="MA26" t="str">
        <f xml:space="preserve"> IF(AND(MA25&gt;20, MA20&gt;6), "Good Employee", "Bad Employee")</f>
        <v>Bad Employee</v>
      </c>
      <c r="MB26" t="str">
        <f xml:space="preserve"> IF(AND(MB25&gt;20, MB20&gt;6), "Good Employee", "Bad Employee")</f>
        <v>Good Employee</v>
      </c>
      <c r="MC26" t="str">
        <f xml:space="preserve"> IF(AND(MC25&gt;20, MC20&gt;6), "Good Employee", "Bad Employee")</f>
        <v>Good Employee</v>
      </c>
      <c r="MD26" t="str">
        <f xml:space="preserve"> IF(AND(MD25&gt;20, MD20&gt;6), "Good Employee", "Bad Employee")</f>
        <v>Bad Employee</v>
      </c>
      <c r="ME26" t="str">
        <f xml:space="preserve"> IF(AND(ME25&gt;20, ME20&gt;6), "Good Employee", "Bad Employee")</f>
        <v>Good Employee</v>
      </c>
      <c r="MF26" t="str">
        <f xml:space="preserve"> IF(AND(MF25&gt;20, MF20&gt;6), "Good Employee", "Bad Employee")</f>
        <v>Bad Employee</v>
      </c>
      <c r="MG26" t="str">
        <f xml:space="preserve"> IF(AND(MG25&gt;20, MG20&gt;6), "Good Employee", "Bad Employee")</f>
        <v>Bad Employee</v>
      </c>
      <c r="MH26" t="str">
        <f xml:space="preserve"> IF(AND(MH25&gt;20, MH20&gt;6), "Good Employee", "Bad Employee")</f>
        <v>Bad Employee</v>
      </c>
      <c r="MI26" t="str">
        <f xml:space="preserve"> IF(AND(MI25&gt;20, MI20&gt;6), "Good Employee", "Bad Employee")</f>
        <v>Good Employee</v>
      </c>
      <c r="MJ26" t="str">
        <f xml:space="preserve"> IF(AND(MJ25&gt;20, MJ20&gt;6), "Good Employee", "Bad Employee")</f>
        <v>Bad Employee</v>
      </c>
      <c r="MK26" t="str">
        <f xml:space="preserve"> IF(AND(MK25&gt;20, MK20&gt;6), "Good Employee", "Bad Employee")</f>
        <v>Bad Employee</v>
      </c>
      <c r="ML26" t="str">
        <f xml:space="preserve"> IF(AND(ML25&gt;20, ML20&gt;6), "Good Employee", "Bad Employee")</f>
        <v>Good Employee</v>
      </c>
      <c r="MM26" t="str">
        <f xml:space="preserve"> IF(AND(MM25&gt;20, MM20&gt;6), "Good Employee", "Bad Employee")</f>
        <v>Good Employee</v>
      </c>
      <c r="MN26" t="str">
        <f xml:space="preserve"> IF(AND(MN25&gt;20, MN20&gt;6), "Good Employee", "Bad Employee")</f>
        <v>Bad Employee</v>
      </c>
      <c r="MO26" t="str">
        <f xml:space="preserve"> IF(AND(MO25&gt;20, MO20&gt;6), "Good Employee", "Bad Employee")</f>
        <v>Bad Employee</v>
      </c>
      <c r="MP26" t="str">
        <f xml:space="preserve"> IF(AND(MP25&gt;20, MP20&gt;6), "Good Employee", "Bad Employee")</f>
        <v>Bad Employee</v>
      </c>
      <c r="MQ26" t="str">
        <f xml:space="preserve"> IF(AND(MQ25&gt;20, MQ20&gt;6), "Good Employee", "Bad Employee")</f>
        <v>Bad Employee</v>
      </c>
      <c r="MR26" t="str">
        <f xml:space="preserve"> IF(AND(MR25&gt;20, MR20&gt;6), "Good Employee", "Bad Employee")</f>
        <v>Bad Employee</v>
      </c>
      <c r="MS26" t="str">
        <f xml:space="preserve"> IF(AND(MS25&gt;20, MS20&gt;6), "Good Employee", "Bad Employee")</f>
        <v>Bad Employee</v>
      </c>
      <c r="MT26" t="str">
        <f xml:space="preserve"> IF(AND(MT25&gt;20, MT20&gt;6), "Good Employee", "Bad Employee")</f>
        <v>Good Employee</v>
      </c>
      <c r="MU26" t="str">
        <f xml:space="preserve"> IF(AND(MU25&gt;20, MU20&gt;6), "Good Employee", "Bad Employee")</f>
        <v>Bad Employee</v>
      </c>
      <c r="MV26" t="str">
        <f xml:space="preserve"> IF(AND(MV25&gt;20, MV20&gt;6), "Good Employee", "Bad Employee")</f>
        <v>Bad Employee</v>
      </c>
      <c r="MW26" t="str">
        <f xml:space="preserve"> IF(AND(MW25&gt;20, MW20&gt;6), "Good Employee", "Bad Employee")</f>
        <v>Bad Employee</v>
      </c>
      <c r="MX26" t="str">
        <f xml:space="preserve"> IF(AND(MX25&gt;20, MX20&gt;6), "Good Employee", "Bad Employee")</f>
        <v>Bad Employee</v>
      </c>
      <c r="MY26" t="str">
        <f xml:space="preserve"> IF(AND(MY25&gt;20, MY20&gt;6), "Good Employee", "Bad Employee")</f>
        <v>Bad Employee</v>
      </c>
      <c r="MZ26" t="str">
        <f xml:space="preserve"> IF(AND(MZ25&gt;20, MZ20&gt;6), "Good Employee", "Bad Employee")</f>
        <v>Bad Employee</v>
      </c>
      <c r="NA26" t="str">
        <f xml:space="preserve"> IF(AND(NA25&gt;20, NA20&gt;6), "Good Employee", "Bad Employee")</f>
        <v>Bad Employee</v>
      </c>
      <c r="NB26" t="str">
        <f xml:space="preserve"> IF(AND(NB25&gt;20, NB20&gt;6), "Good Employee", "Bad Employee")</f>
        <v>Bad Employee</v>
      </c>
      <c r="NC26" t="str">
        <f xml:space="preserve"> IF(AND(NC25&gt;20, NC20&gt;6), "Good Employee", "Bad Employee")</f>
        <v>Bad Employee</v>
      </c>
      <c r="ND26" t="str">
        <f xml:space="preserve"> IF(AND(ND25&gt;20, ND20&gt;6), "Good Employee", "Bad Employee")</f>
        <v>Bad Employee</v>
      </c>
      <c r="NE26" t="str">
        <f xml:space="preserve"> IF(AND(NE25&gt;20, NE20&gt;6), "Good Employee", "Bad Employee")</f>
        <v>Bad Employee</v>
      </c>
      <c r="NF26" t="str">
        <f xml:space="preserve"> IF(AND(NF25&gt;20, NF20&gt;6), "Good Employee", "Bad Employee")</f>
        <v>Bad Employee</v>
      </c>
      <c r="NG26" t="str">
        <f xml:space="preserve"> IF(AND(NG25&gt;20, NG20&gt;6), "Good Employee", "Bad Employee")</f>
        <v>Bad Employee</v>
      </c>
      <c r="NH26" t="str">
        <f xml:space="preserve"> IF(AND(NH25&gt;20, NH20&gt;6), "Good Employee", "Bad Employee")</f>
        <v>Bad Employee</v>
      </c>
      <c r="NI26" t="str">
        <f xml:space="preserve"> IF(AND(NI25&gt;20, NI20&gt;6), "Good Employee", "Bad Employee")</f>
        <v>Good Employee</v>
      </c>
      <c r="NJ26" t="str">
        <f xml:space="preserve"> IF(AND(NJ25&gt;20, NJ20&gt;6), "Good Employee", "Bad Employee")</f>
        <v>Bad Employee</v>
      </c>
      <c r="NK26" t="str">
        <f xml:space="preserve"> IF(AND(NK25&gt;20, NK20&gt;6), "Good Employee", "Bad Employee")</f>
        <v>Bad Employee</v>
      </c>
      <c r="NL26" t="str">
        <f xml:space="preserve"> IF(AND(NL25&gt;20, NL20&gt;6), "Good Employee", "Bad Employee")</f>
        <v>Bad Employee</v>
      </c>
      <c r="NM26" t="str">
        <f xml:space="preserve"> IF(AND(NM25&gt;20, NM20&gt;6), "Good Employee", "Bad Employee")</f>
        <v>Good Employee</v>
      </c>
      <c r="NN26" t="str">
        <f xml:space="preserve"> IF(AND(NN25&gt;20, NN20&gt;6), "Good Employee", "Bad Employee")</f>
        <v>Bad Employee</v>
      </c>
      <c r="NO26" t="str">
        <f xml:space="preserve"> IF(AND(NO25&gt;20, NO20&gt;6), "Good Employee", "Bad Employee")</f>
        <v>Bad Employee</v>
      </c>
      <c r="NP26" t="str">
        <f xml:space="preserve"> IF(AND(NP25&gt;20, NP20&gt;6), "Good Employee", "Bad Employee")</f>
        <v>Bad Employee</v>
      </c>
      <c r="NQ26" t="str">
        <f xml:space="preserve"> IF(AND(NQ25&gt;20, NQ20&gt;6), "Good Employee", "Bad Employee")</f>
        <v>Good Employee</v>
      </c>
      <c r="NR26" t="str">
        <f xml:space="preserve"> IF(AND(NR25&gt;20, NR20&gt;6), "Good Employee", "Bad Employee")</f>
        <v>Bad Employee</v>
      </c>
      <c r="NS26" t="str">
        <f xml:space="preserve"> IF(AND(NS25&gt;20, NS20&gt;6), "Good Employee", "Bad Employee")</f>
        <v>Bad Employee</v>
      </c>
      <c r="NT26" t="str">
        <f xml:space="preserve"> IF(AND(NT25&gt;20, NT20&gt;6), "Good Employee", "Bad Employee")</f>
        <v>Bad Employee</v>
      </c>
      <c r="NU26" t="str">
        <f xml:space="preserve"> IF(AND(NU25&gt;20, NU20&gt;6), "Good Employee", "Bad Employee")</f>
        <v>Bad Employee</v>
      </c>
      <c r="NV26" t="str">
        <f xml:space="preserve"> IF(AND(NV25&gt;20, NV20&gt;6), "Good Employee", "Bad Employee")</f>
        <v>Good Employee</v>
      </c>
      <c r="NW26" t="str">
        <f xml:space="preserve"> IF(AND(NW25&gt;20, NW20&gt;6), "Good Employee", "Bad Employee")</f>
        <v>Bad Employee</v>
      </c>
      <c r="NX26" t="str">
        <f xml:space="preserve"> IF(AND(NX25&gt;20, NX20&gt;6), "Good Employee", "Bad Employee")</f>
        <v>Bad Employee</v>
      </c>
      <c r="NY26" t="str">
        <f xml:space="preserve"> IF(AND(NY25&gt;20, NY20&gt;6), "Good Employee", "Bad Employee")</f>
        <v>Bad Employee</v>
      </c>
      <c r="NZ26" t="str">
        <f xml:space="preserve"> IF(AND(NZ25&gt;20, NZ20&gt;6), "Good Employee", "Bad Employee")</f>
        <v>Bad Employee</v>
      </c>
      <c r="OA26" t="str">
        <f xml:space="preserve"> IF(AND(OA25&gt;20, OA20&gt;6), "Good Employee", "Bad Employee")</f>
        <v>Bad Employee</v>
      </c>
      <c r="OB26" t="str">
        <f xml:space="preserve"> IF(AND(OB25&gt;20, OB20&gt;6), "Good Employee", "Bad Employee")</f>
        <v>Bad Employee</v>
      </c>
      <c r="OC26" t="str">
        <f xml:space="preserve"> IF(AND(OC25&gt;20, OC20&gt;6), "Good Employee", "Bad Employee")</f>
        <v>Bad Employee</v>
      </c>
      <c r="OD26" t="str">
        <f xml:space="preserve"> IF(AND(OD25&gt;20, OD20&gt;6), "Good Employee", "Bad Employee")</f>
        <v>Bad Employee</v>
      </c>
      <c r="OE26" t="str">
        <f xml:space="preserve"> IF(AND(OE25&gt;20, OE20&gt;6), "Good Employee", "Bad Employee")</f>
        <v>Bad Employee</v>
      </c>
      <c r="OF26" t="str">
        <f xml:space="preserve"> IF(AND(OF25&gt;20, OF20&gt;6), "Good Employee", "Bad Employee")</f>
        <v>Good Employee</v>
      </c>
      <c r="OG26" t="str">
        <f xml:space="preserve"> IF(AND(OG25&gt;20, OG20&gt;6), "Good Employee", "Bad Employee")</f>
        <v>Good Employee</v>
      </c>
      <c r="OH26" t="str">
        <f xml:space="preserve"> IF(AND(OH25&gt;20, OH20&gt;6), "Good Employee", "Bad Employee")</f>
        <v>Bad Employee</v>
      </c>
      <c r="OI26" t="str">
        <f xml:space="preserve"> IF(AND(OI25&gt;20, OI20&gt;6), "Good Employee", "Bad Employee")</f>
        <v>Bad Employee</v>
      </c>
      <c r="OJ26" t="str">
        <f xml:space="preserve"> IF(AND(OJ25&gt;20, OJ20&gt;6), "Good Employee", "Bad Employee")</f>
        <v>Bad Employee</v>
      </c>
      <c r="OK26" t="str">
        <f xml:space="preserve"> IF(AND(OK25&gt;20, OK20&gt;6), "Good Employee", "Bad Employee")</f>
        <v>Bad Employee</v>
      </c>
      <c r="OL26" t="str">
        <f xml:space="preserve"> IF(AND(OL25&gt;20, OL20&gt;6), "Good Employee", "Bad Employee")</f>
        <v>Good Employee</v>
      </c>
      <c r="OM26" t="str">
        <f xml:space="preserve"> IF(AND(OM25&gt;20, OM20&gt;6), "Good Employee", "Bad Employee")</f>
        <v>Bad Employee</v>
      </c>
      <c r="ON26" t="str">
        <f xml:space="preserve"> IF(AND(ON25&gt;20, ON20&gt;6), "Good Employee", "Bad Employee")</f>
        <v>Good Employee</v>
      </c>
      <c r="OO26" t="str">
        <f xml:space="preserve"> IF(AND(OO25&gt;20, OO20&gt;6), "Good Employee", "Bad Employee")</f>
        <v>Bad Employee</v>
      </c>
      <c r="OP26" t="str">
        <f xml:space="preserve"> IF(AND(OP25&gt;20, OP20&gt;6), "Good Employee", "Bad Employee")</f>
        <v>Bad Employee</v>
      </c>
      <c r="OQ26" t="str">
        <f xml:space="preserve"> IF(AND(OQ25&gt;20, OQ20&gt;6), "Good Employee", "Bad Employee")</f>
        <v>Good Employee</v>
      </c>
      <c r="OR26" t="str">
        <f xml:space="preserve"> IF(AND(OR25&gt;20, OR20&gt;6), "Good Employee", "Bad Employee")</f>
        <v>Bad Employee</v>
      </c>
      <c r="OS26" t="str">
        <f xml:space="preserve"> IF(AND(OS25&gt;20, OS20&gt;6), "Good Employee", "Bad Employee")</f>
        <v>Good Employee</v>
      </c>
      <c r="OT26" t="str">
        <f xml:space="preserve"> IF(AND(OT25&gt;20, OT20&gt;6), "Good Employee", "Bad Employee")</f>
        <v>Bad Employee</v>
      </c>
      <c r="OU26" t="str">
        <f xml:space="preserve"> IF(AND(OU25&gt;20, OU20&gt;6), "Good Employee", "Bad Employee")</f>
        <v>Bad Employee</v>
      </c>
      <c r="OV26" t="str">
        <f xml:space="preserve"> IF(AND(OV25&gt;20, OV20&gt;6), "Good Employee", "Bad Employee")</f>
        <v>Bad Employee</v>
      </c>
      <c r="OW26" t="str">
        <f xml:space="preserve"> IF(AND(OW25&gt;20, OW20&gt;6), "Good Employee", "Bad Employee")</f>
        <v>Bad Employee</v>
      </c>
      <c r="OX26" t="str">
        <f xml:space="preserve"> IF(AND(OX25&gt;20, OX20&gt;6), "Good Employee", "Bad Employee")</f>
        <v>Bad Employee</v>
      </c>
      <c r="OY26" t="str">
        <f xml:space="preserve"> IF(AND(OY25&gt;20, OY20&gt;6), "Good Employee", "Bad Employee")</f>
        <v>Good Employee</v>
      </c>
      <c r="OZ26" t="str">
        <f xml:space="preserve"> IF(AND(OZ25&gt;20, OZ20&gt;6), "Good Employee", "Bad Employee")</f>
        <v>Bad Employee</v>
      </c>
      <c r="PA26" t="str">
        <f xml:space="preserve"> IF(AND(PA25&gt;20, PA20&gt;6), "Good Employee", "Bad Employee")</f>
        <v>Bad Employee</v>
      </c>
      <c r="PB26" t="str">
        <f xml:space="preserve"> IF(AND(PB25&gt;20, PB20&gt;6), "Good Employee", "Bad Employee")</f>
        <v>Bad Employee</v>
      </c>
      <c r="PC26" t="str">
        <f xml:space="preserve"> IF(AND(PC25&gt;20, PC20&gt;6), "Good Employee", "Bad Employee")</f>
        <v>Bad Employee</v>
      </c>
      <c r="PD26" t="str">
        <f xml:space="preserve"> IF(AND(PD25&gt;20, PD20&gt;6), "Good Employee", "Bad Employee")</f>
        <v>Bad Employee</v>
      </c>
      <c r="PE26" t="str">
        <f xml:space="preserve"> IF(AND(PE25&gt;20, PE20&gt;6), "Good Employee", "Bad Employee")</f>
        <v>Bad Employee</v>
      </c>
      <c r="PF26" t="str">
        <f xml:space="preserve"> IF(AND(PF25&gt;20, PF20&gt;6), "Good Employee", "Bad Employee")</f>
        <v>Bad Employee</v>
      </c>
      <c r="PG26" t="str">
        <f xml:space="preserve"> IF(AND(PG25&gt;20, PG20&gt;6), "Good Employee", "Bad Employee")</f>
        <v>Good Employee</v>
      </c>
      <c r="PH26" t="str">
        <f xml:space="preserve"> IF(AND(PH25&gt;20, PH20&gt;6), "Good Employee", "Bad Employee")</f>
        <v>Bad Employee</v>
      </c>
      <c r="PI26" t="str">
        <f xml:space="preserve"> IF(AND(PI25&gt;20, PI20&gt;6), "Good Employee", "Bad Employee")</f>
        <v>Bad Employee</v>
      </c>
      <c r="PJ26" t="str">
        <f xml:space="preserve"> IF(AND(PJ25&gt;20, PJ20&gt;6), "Good Employee", "Bad Employee")</f>
        <v>Good Employee</v>
      </c>
      <c r="PK26" t="str">
        <f xml:space="preserve"> IF(AND(PK25&gt;20, PK20&gt;6), "Good Employee", "Bad Employee")</f>
        <v>Bad Employee</v>
      </c>
      <c r="PL26" t="str">
        <f xml:space="preserve"> IF(AND(PL25&gt;20, PL20&gt;6), "Good Employee", "Bad Employee")</f>
        <v>Bad Employee</v>
      </c>
      <c r="PM26" t="str">
        <f xml:space="preserve"> IF(AND(PM25&gt;20, PM20&gt;6), "Good Employee", "Bad Employee")</f>
        <v>Bad Employee</v>
      </c>
      <c r="PN26" t="str">
        <f xml:space="preserve"> IF(AND(PN25&gt;20, PN20&gt;6), "Good Employee", "Bad Employee")</f>
        <v>Bad Employee</v>
      </c>
      <c r="PO26" t="str">
        <f xml:space="preserve"> IF(AND(PO25&gt;20, PO20&gt;6), "Good Employee", "Bad Employee")</f>
        <v>Bad Employee</v>
      </c>
      <c r="PP26" t="str">
        <f xml:space="preserve"> IF(AND(PP25&gt;20, PP20&gt;6), "Good Employee", "Bad Employee")</f>
        <v>Bad Employee</v>
      </c>
      <c r="PQ26" t="str">
        <f xml:space="preserve"> IF(AND(PQ25&gt;20, PQ20&gt;6), "Good Employee", "Bad Employee")</f>
        <v>Bad Employee</v>
      </c>
      <c r="PR26" t="str">
        <f xml:space="preserve"> IF(AND(PR25&gt;20, PR20&gt;6), "Good Employee", "Bad Employee")</f>
        <v>Bad Employee</v>
      </c>
      <c r="PS26" t="str">
        <f xml:space="preserve"> IF(AND(PS25&gt;20, PS20&gt;6), "Good Employee", "Bad Employee")</f>
        <v>Good Employee</v>
      </c>
      <c r="PT26" t="str">
        <f xml:space="preserve"> IF(AND(PT25&gt;20, PT20&gt;6), "Good Employee", "Bad Employee")</f>
        <v>Bad Employee</v>
      </c>
      <c r="PU26" t="str">
        <f xml:space="preserve"> IF(AND(PU25&gt;20, PU20&gt;6), "Good Employee", "Bad Employee")</f>
        <v>Bad Employee</v>
      </c>
      <c r="PV26" t="str">
        <f xml:space="preserve"> IF(AND(PV25&gt;20, PV20&gt;6), "Good Employee", "Bad Employee")</f>
        <v>Good Employee</v>
      </c>
      <c r="PW26" t="str">
        <f xml:space="preserve"> IF(AND(PW25&gt;20, PW20&gt;6), "Good Employee", "Bad Employee")</f>
        <v>Bad Employee</v>
      </c>
      <c r="PX26" t="str">
        <f xml:space="preserve"> IF(AND(PX25&gt;20, PX20&gt;6), "Good Employee", "Bad Employee")</f>
        <v>Bad Employee</v>
      </c>
      <c r="PY26" t="str">
        <f xml:space="preserve"> IF(AND(PY25&gt;20, PY20&gt;6), "Good Employee", "Bad Employee")</f>
        <v>Good Employee</v>
      </c>
      <c r="PZ26" t="str">
        <f xml:space="preserve"> IF(AND(PZ25&gt;20, PZ20&gt;6), "Good Employee", "Bad Employee")</f>
        <v>Good Employee</v>
      </c>
      <c r="QA26" t="str">
        <f xml:space="preserve"> IF(AND(QA25&gt;20, QA20&gt;6), "Good Employee", "Bad Employee")</f>
        <v>Bad Employee</v>
      </c>
      <c r="QB26" t="str">
        <f xml:space="preserve"> IF(AND(QB25&gt;20, QB20&gt;6), "Good Employee", "Bad Employee")</f>
        <v>Good Employee</v>
      </c>
      <c r="QC26" t="str">
        <f xml:space="preserve"> IF(AND(QC25&gt;20, QC20&gt;6), "Good Employee", "Bad Employee")</f>
        <v>Bad Employee</v>
      </c>
      <c r="QD26" t="str">
        <f xml:space="preserve"> IF(AND(QD25&gt;20, QD20&gt;6), "Good Employee", "Bad Employee")</f>
        <v>Bad Employee</v>
      </c>
      <c r="QE26" t="str">
        <f xml:space="preserve"> IF(AND(QE25&gt;20, QE20&gt;6), "Good Employee", "Bad Employee")</f>
        <v>Bad Employee</v>
      </c>
      <c r="QF26" t="str">
        <f xml:space="preserve"> IF(AND(QF25&gt;20, QF20&gt;6), "Good Employee", "Bad Employee")</f>
        <v>Bad Employee</v>
      </c>
      <c r="QG26" t="str">
        <f xml:space="preserve"> IF(AND(QG25&gt;20, QG20&gt;6), "Good Employee", "Bad Employee")</f>
        <v>Good Employee</v>
      </c>
      <c r="QH26" t="str">
        <f xml:space="preserve"> IF(AND(QH25&gt;20, QH20&gt;6), "Good Employee", "Bad Employee")</f>
        <v>Bad Employee</v>
      </c>
      <c r="QI26" t="str">
        <f xml:space="preserve"> IF(AND(QI25&gt;20, QI20&gt;6), "Good Employee", "Bad Employee")</f>
        <v>Bad Employee</v>
      </c>
      <c r="QJ26" t="str">
        <f xml:space="preserve"> IF(AND(QJ25&gt;20, QJ20&gt;6), "Good Employee", "Bad Employee")</f>
        <v>Bad Employee</v>
      </c>
      <c r="QK26" t="str">
        <f xml:space="preserve"> IF(AND(QK25&gt;20, QK20&gt;6), "Good Employee", "Bad Employee")</f>
        <v>Good Employee</v>
      </c>
      <c r="QL26" t="str">
        <f xml:space="preserve"> IF(AND(QL25&gt;20, QL20&gt;6), "Good Employee", "Bad Employee")</f>
        <v>Bad Employee</v>
      </c>
      <c r="QM26" t="str">
        <f xml:space="preserve"> IF(AND(QM25&gt;20, QM20&gt;6), "Good Employee", "Bad Employee")</f>
        <v>Bad Employee</v>
      </c>
      <c r="QN26" t="str">
        <f xml:space="preserve"> IF(AND(QN25&gt;20, QN20&gt;6), "Good Employee", "Bad Employee")</f>
        <v>Bad Employee</v>
      </c>
      <c r="QO26" t="str">
        <f xml:space="preserve"> IF(AND(QO25&gt;20, QO20&gt;6), "Good Employee", "Bad Employee")</f>
        <v>Bad Employee</v>
      </c>
      <c r="QP26" t="str">
        <f xml:space="preserve"> IF(AND(QP25&gt;20, QP20&gt;6), "Good Employee", "Bad Employee")</f>
        <v>Bad Employee</v>
      </c>
      <c r="QQ26" t="str">
        <f xml:space="preserve"> IF(AND(QQ25&gt;20, QQ20&gt;6), "Good Employee", "Bad Employee")</f>
        <v>Bad Employee</v>
      </c>
      <c r="QR26" t="str">
        <f xml:space="preserve"> IF(AND(QR25&gt;20, QR20&gt;6), "Good Employee", "Bad Employee")</f>
        <v>Bad Employee</v>
      </c>
      <c r="QS26" t="str">
        <f xml:space="preserve"> IF(AND(QS25&gt;20, QS20&gt;6), "Good Employee", "Bad Employee")</f>
        <v>Bad Employee</v>
      </c>
      <c r="QT26" t="str">
        <f xml:space="preserve"> IF(AND(QT25&gt;20, QT20&gt;6), "Good Employee", "Bad Employee")</f>
        <v>Bad Employee</v>
      </c>
      <c r="QU26" t="str">
        <f xml:space="preserve"> IF(AND(QU25&gt;20, QU20&gt;6), "Good Employee", "Bad Employee")</f>
        <v>Good Employee</v>
      </c>
      <c r="QV26" t="str">
        <f xml:space="preserve"> IF(AND(QV25&gt;20, QV20&gt;6), "Good Employee", "Bad Employee")</f>
        <v>Bad Employee</v>
      </c>
      <c r="QW26" t="str">
        <f xml:space="preserve"> IF(AND(QW25&gt;20, QW20&gt;6), "Good Employee", "Bad Employee")</f>
        <v>Good Employee</v>
      </c>
      <c r="QX26" t="str">
        <f xml:space="preserve"> IF(AND(QX25&gt;20, QX20&gt;6), "Good Employee", "Bad Employee")</f>
        <v>Bad Employee</v>
      </c>
      <c r="QY26" t="str">
        <f xml:space="preserve"> IF(AND(QY25&gt;20, QY20&gt;6), "Good Employee", "Bad Employee")</f>
        <v>Bad Employee</v>
      </c>
      <c r="QZ26" t="str">
        <f xml:space="preserve"> IF(AND(QZ25&gt;20, QZ20&gt;6), "Good Employee", "Bad Employee")</f>
        <v>Good Employee</v>
      </c>
      <c r="RA26" t="str">
        <f xml:space="preserve"> IF(AND(RA25&gt;20, RA20&gt;6), "Good Employee", "Bad Employee")</f>
        <v>Bad Employee</v>
      </c>
      <c r="RB26" t="str">
        <f xml:space="preserve"> IF(AND(RB25&gt;20, RB20&gt;6), "Good Employee", "Bad Employee")</f>
        <v>Bad Employee</v>
      </c>
      <c r="RC26" t="str">
        <f xml:space="preserve"> IF(AND(RC25&gt;20, RC20&gt;6), "Good Employee", "Bad Employee")</f>
        <v>Bad Employee</v>
      </c>
      <c r="RD26" t="str">
        <f xml:space="preserve"> IF(AND(RD25&gt;20, RD20&gt;6), "Good Employee", "Bad Employee")</f>
        <v>Bad Employee</v>
      </c>
      <c r="RE26" t="str">
        <f xml:space="preserve"> IF(AND(RE25&gt;20, RE20&gt;6), "Good Employee", "Bad Employee")</f>
        <v>Bad Employee</v>
      </c>
      <c r="RF26" t="str">
        <f xml:space="preserve"> IF(AND(RF25&gt;20, RF20&gt;6), "Good Employee", "Bad Employee")</f>
        <v>Bad Employee</v>
      </c>
      <c r="RG26" t="str">
        <f xml:space="preserve"> IF(AND(RG25&gt;20, RG20&gt;6), "Good Employee", "Bad Employee")</f>
        <v>Good Employee</v>
      </c>
      <c r="RH26" t="str">
        <f xml:space="preserve"> IF(AND(RH25&gt;20, RH20&gt;6), "Good Employee", "Bad Employee")</f>
        <v>Bad Employee</v>
      </c>
      <c r="RI26" t="str">
        <f xml:space="preserve"> IF(AND(RI25&gt;20, RI20&gt;6), "Good Employee", "Bad Employee")</f>
        <v>Bad Employee</v>
      </c>
      <c r="RJ26" t="str">
        <f xml:space="preserve"> IF(AND(RJ25&gt;20, RJ20&gt;6), "Good Employee", "Bad Employee")</f>
        <v>Bad Employee</v>
      </c>
      <c r="RK26" t="str">
        <f xml:space="preserve"> IF(AND(RK25&gt;20, RK20&gt;6), "Good Employee", "Bad Employee")</f>
        <v>Bad Employee</v>
      </c>
      <c r="RL26" t="str">
        <f xml:space="preserve"> IF(AND(RL25&gt;20, RL20&gt;6), "Good Employee", "Bad Employee")</f>
        <v>Bad Employee</v>
      </c>
      <c r="RM26" t="str">
        <f xml:space="preserve"> IF(AND(RM25&gt;20, RM20&gt;6), "Good Employee", "Bad Employee")</f>
        <v>Good Employee</v>
      </c>
      <c r="RN26" t="str">
        <f xml:space="preserve"> IF(AND(RN25&gt;20, RN20&gt;6), "Good Employee", "Bad Employee")</f>
        <v>Bad Employee</v>
      </c>
      <c r="RO26" t="str">
        <f xml:space="preserve"> IF(AND(RO25&gt;20, RO20&gt;6), "Good Employee", "Bad Employee")</f>
        <v>Bad Employee</v>
      </c>
      <c r="RP26" t="str">
        <f xml:space="preserve"> IF(AND(RP25&gt;20, RP20&gt;6), "Good Employee", "Bad Employee")</f>
        <v>Good Employee</v>
      </c>
      <c r="RQ26" t="str">
        <f xml:space="preserve"> IF(AND(RQ25&gt;20, RQ20&gt;6), "Good Employee", "Bad Employee")</f>
        <v>Bad Employee</v>
      </c>
      <c r="RR26" t="str">
        <f xml:space="preserve"> IF(AND(RR25&gt;20, RR20&gt;6), "Good Employee", "Bad Employee")</f>
        <v>Bad Employee</v>
      </c>
      <c r="RS26" t="str">
        <f xml:space="preserve"> IF(AND(RS25&gt;20, RS20&gt;6), "Good Employee", "Bad Employee")</f>
        <v>Bad Employee</v>
      </c>
      <c r="RT26" t="str">
        <f xml:space="preserve"> IF(AND(RT25&gt;20, RT20&gt;6), "Good Employee", "Bad Employee")</f>
        <v>Bad Employee</v>
      </c>
      <c r="RU26" t="str">
        <f xml:space="preserve"> IF(AND(RU25&gt;20, RU20&gt;6), "Good Employee", "Bad Employee")</f>
        <v>Bad Employee</v>
      </c>
      <c r="RV26" t="str">
        <f xml:space="preserve"> IF(AND(RV25&gt;20, RV20&gt;6), "Good Employee", "Bad Employee")</f>
        <v>Bad Employee</v>
      </c>
      <c r="RW26" t="str">
        <f xml:space="preserve"> IF(AND(RW25&gt;20, RW20&gt;6), "Good Employee", "Bad Employee")</f>
        <v>Bad Employee</v>
      </c>
      <c r="RX26" t="str">
        <f xml:space="preserve"> IF(AND(RX25&gt;20, RX20&gt;6), "Good Employee", "Bad Employee")</f>
        <v>Bad Employee</v>
      </c>
      <c r="RY26" t="str">
        <f xml:space="preserve"> IF(AND(RY25&gt;20, RY20&gt;6), "Good Employee", "Bad Employee")</f>
        <v>Bad Employee</v>
      </c>
      <c r="RZ26" t="str">
        <f xml:space="preserve"> IF(AND(RZ25&gt;20, RZ20&gt;6), "Good Employee", "Bad Employee")</f>
        <v>Bad Employee</v>
      </c>
      <c r="SA26" t="str">
        <f xml:space="preserve"> IF(AND(SA25&gt;20, SA20&gt;6), "Good Employee", "Bad Employee")</f>
        <v>Bad Employee</v>
      </c>
      <c r="SB26" t="str">
        <f xml:space="preserve"> IF(AND(SB25&gt;20, SB20&gt;6), "Good Employee", "Bad Employee")</f>
        <v>Bad Employee</v>
      </c>
      <c r="SC26" t="str">
        <f xml:space="preserve"> IF(AND(SC25&gt;20, SC20&gt;6), "Good Employee", "Bad Employee")</f>
        <v>Bad Employee</v>
      </c>
      <c r="SD26" t="str">
        <f xml:space="preserve"> IF(AND(SD25&gt;20, SD20&gt;6), "Good Employee", "Bad Employee")</f>
        <v>Bad Employee</v>
      </c>
      <c r="SE26" t="str">
        <f xml:space="preserve"> IF(AND(SE25&gt;20, SE20&gt;6), "Good Employee", "Bad Employee")</f>
        <v>Bad Employee</v>
      </c>
      <c r="SF26" t="str">
        <f xml:space="preserve"> IF(AND(SF25&gt;20, SF20&gt;6), "Good Employee", "Bad Employee")</f>
        <v>Good Employee</v>
      </c>
      <c r="SG26" t="str">
        <f xml:space="preserve"> IF(AND(SG25&gt;20, SG20&gt;6), "Good Employee", "Bad Employee")</f>
        <v>Bad Employee</v>
      </c>
      <c r="SH26" t="str">
        <f xml:space="preserve"> IF(AND(SH25&gt;20, SH20&gt;6), "Good Employee", "Bad Employee")</f>
        <v>Good Employee</v>
      </c>
      <c r="SI26" t="str">
        <f xml:space="preserve"> IF(AND(SI25&gt;20, SI20&gt;6), "Good Employee", "Bad Employee")</f>
        <v>Bad Employee</v>
      </c>
      <c r="SJ26" t="str">
        <f xml:space="preserve"> IF(AND(SJ25&gt;20, SJ20&gt;6), "Good Employee", "Bad Employee")</f>
        <v>Bad Employee</v>
      </c>
      <c r="SK26" t="str">
        <f xml:space="preserve"> IF(AND(SK25&gt;20, SK20&gt;6), "Good Employee", "Bad Employee")</f>
        <v>Good Employee</v>
      </c>
      <c r="SL26" t="str">
        <f xml:space="preserve"> IF(AND(SL25&gt;20, SL20&gt;6), "Good Employee", "Bad Employee")</f>
        <v>Good Employee</v>
      </c>
      <c r="SM26" t="str">
        <f xml:space="preserve"> IF(AND(SM25&gt;20, SM20&gt;6), "Good Employee", "Bad Employee")</f>
        <v>Bad Employee</v>
      </c>
      <c r="SN26" t="str">
        <f xml:space="preserve"> IF(AND(SN25&gt;20, SN20&gt;6), "Good Employee", "Bad Employee")</f>
        <v>Bad Employee</v>
      </c>
      <c r="SO26" t="str">
        <f xml:space="preserve"> IF(AND(SO25&gt;20, SO20&gt;6), "Good Employee", "Bad Employee")</f>
        <v>Bad Employee</v>
      </c>
      <c r="SP26" t="str">
        <f xml:space="preserve"> IF(AND(SP25&gt;20, SP20&gt;6), "Good Employee", "Bad Employee")</f>
        <v>Bad Employee</v>
      </c>
      <c r="SQ26" t="str">
        <f xml:space="preserve"> IF(AND(SQ25&gt;20, SQ20&gt;6), "Good Employee", "Bad Employee")</f>
        <v>Bad Employee</v>
      </c>
      <c r="SR26" t="str">
        <f xml:space="preserve"> IF(AND(SR25&gt;20, SR20&gt;6), "Good Employee", "Bad Employee")</f>
        <v>Bad Employee</v>
      </c>
      <c r="SS26" t="str">
        <f xml:space="preserve"> IF(AND(SS25&gt;20, SS20&gt;6), "Good Employee", "Bad Employee")</f>
        <v>Bad Employee</v>
      </c>
      <c r="ST26" t="str">
        <f xml:space="preserve"> IF(AND(ST25&gt;20, ST20&gt;6), "Good Employee", "Bad Employee")</f>
        <v>Bad Employee</v>
      </c>
      <c r="SU26" t="str">
        <f xml:space="preserve"> IF(AND(SU25&gt;20, SU20&gt;6), "Good Employee", "Bad Employee")</f>
        <v>Bad Employee</v>
      </c>
      <c r="SV26" t="str">
        <f xml:space="preserve"> IF(AND(SV25&gt;20, SV20&gt;6), "Good Employee", "Bad Employee")</f>
        <v>Bad Employee</v>
      </c>
      <c r="SW26" t="str">
        <f xml:space="preserve"> IF(AND(SW25&gt;20, SW20&gt;6), "Good Employee", "Bad Employee")</f>
        <v>Bad Employee</v>
      </c>
      <c r="SX26" t="str">
        <f xml:space="preserve"> IF(AND(SX25&gt;20, SX20&gt;6), "Good Employee", "Bad Employee")</f>
        <v>Bad Employee</v>
      </c>
      <c r="SY26" t="str">
        <f xml:space="preserve"> IF(AND(SY25&gt;20, SY20&gt;6), "Good Employee", "Bad Employee")</f>
        <v>Bad Employee</v>
      </c>
      <c r="SZ26" t="str">
        <f xml:space="preserve"> IF(AND(SZ25&gt;20, SZ20&gt;6), "Good Employee", "Bad Employee")</f>
        <v>Bad Employee</v>
      </c>
      <c r="TA26" t="str">
        <f xml:space="preserve"> IF(AND(TA25&gt;20, TA20&gt;6), "Good Employee", "Bad Employee")</f>
        <v>Bad Employee</v>
      </c>
      <c r="TB26" t="str">
        <f xml:space="preserve"> IF(AND(TB25&gt;20, TB20&gt;6), "Good Employee", "Bad Employee")</f>
        <v>Bad Employee</v>
      </c>
      <c r="TC26" t="str">
        <f xml:space="preserve"> IF(AND(TC25&gt;20, TC20&gt;6), "Good Employee", "Bad Employee")</f>
        <v>Good Employee</v>
      </c>
      <c r="TD26" t="str">
        <f xml:space="preserve"> IF(AND(TD25&gt;20, TD20&gt;6), "Good Employee", "Bad Employee")</f>
        <v>Good Employee</v>
      </c>
      <c r="TE26" t="str">
        <f xml:space="preserve"> IF(AND(TE25&gt;20, TE20&gt;6), "Good Employee", "Bad Employee")</f>
        <v>Bad Employee</v>
      </c>
      <c r="TF26" t="str">
        <f xml:space="preserve"> IF(AND(TF25&gt;20, TF20&gt;6), "Good Employee", "Bad Employee")</f>
        <v>Bad Employee</v>
      </c>
      <c r="TG26" t="str">
        <f xml:space="preserve"> IF(AND(TG25&gt;20, TG20&gt;6), "Good Employee", "Bad Employee")</f>
        <v>Bad Employee</v>
      </c>
      <c r="TH26" t="str">
        <f xml:space="preserve"> IF(AND(TH25&gt;20, TH20&gt;6), "Good Employee", "Bad Employee")</f>
        <v>Bad Employee</v>
      </c>
      <c r="TI26" t="str">
        <f xml:space="preserve"> IF(AND(TI25&gt;20, TI20&gt;6), "Good Employee", "Bad Employee")</f>
        <v>Bad Employee</v>
      </c>
      <c r="TJ26" t="str">
        <f xml:space="preserve"> IF(AND(TJ25&gt;20, TJ20&gt;6), "Good Employee", "Bad Employee")</f>
        <v>Bad Employee</v>
      </c>
      <c r="TK26" t="str">
        <f xml:space="preserve"> IF(AND(TK25&gt;20, TK20&gt;6), "Good Employee", "Bad Employee")</f>
        <v>Bad Employee</v>
      </c>
      <c r="TL26" t="str">
        <f xml:space="preserve"> IF(AND(TL25&gt;20, TL20&gt;6), "Good Employee", "Bad Employee")</f>
        <v>Good Employee</v>
      </c>
      <c r="TM26" t="str">
        <f xml:space="preserve"> IF(AND(TM25&gt;20, TM20&gt;6), "Good Employee", "Bad Employee")</f>
        <v>Bad Employee</v>
      </c>
      <c r="TN26" t="str">
        <f xml:space="preserve"> IF(AND(TN25&gt;20, TN20&gt;6), "Good Employee", "Bad Employee")</f>
        <v>Bad Employee</v>
      </c>
      <c r="TO26" t="str">
        <f xml:space="preserve"> IF(AND(TO25&gt;20, TO20&gt;6), "Good Employee", "Bad Employee")</f>
        <v>Bad Employee</v>
      </c>
      <c r="TP26" t="str">
        <f xml:space="preserve"> IF(AND(TP25&gt;20, TP20&gt;6), "Good Employee", "Bad Employee")</f>
        <v>Good Employee</v>
      </c>
      <c r="TQ26" t="str">
        <f xml:space="preserve"> IF(AND(TQ25&gt;20, TQ20&gt;6), "Good Employee", "Bad Employee")</f>
        <v>Bad Employee</v>
      </c>
      <c r="TR26" t="str">
        <f xml:space="preserve"> IF(AND(TR25&gt;20, TR20&gt;6), "Good Employee", "Bad Employee")</f>
        <v>Bad Employee</v>
      </c>
      <c r="TS26" t="str">
        <f xml:space="preserve"> IF(AND(TS25&gt;20, TS20&gt;6), "Good Employee", "Bad Employee")</f>
        <v>Bad Employee</v>
      </c>
      <c r="TT26" t="str">
        <f xml:space="preserve"> IF(AND(TT25&gt;20, TT20&gt;6), "Good Employee", "Bad Employee")</f>
        <v>Bad Employee</v>
      </c>
      <c r="TU26" t="str">
        <f xml:space="preserve"> IF(AND(TU25&gt;20, TU20&gt;6), "Good Employee", "Bad Employee")</f>
        <v>Bad Employee</v>
      </c>
      <c r="TV26" t="str">
        <f xml:space="preserve"> IF(AND(TV25&gt;20, TV20&gt;6), "Good Employee", "Bad Employee")</f>
        <v>Bad Employee</v>
      </c>
      <c r="TW26" t="str">
        <f xml:space="preserve"> IF(AND(TW25&gt;20, TW20&gt;6), "Good Employee", "Bad Employee")</f>
        <v>Bad Employee</v>
      </c>
      <c r="TX26" t="str">
        <f xml:space="preserve"> IF(AND(TX25&gt;20, TX20&gt;6), "Good Employee", "Bad Employee")</f>
        <v>Bad Employee</v>
      </c>
      <c r="TY26" t="str">
        <f xml:space="preserve"> IF(AND(TY25&gt;20, TY20&gt;6), "Good Employee", "Bad Employee")</f>
        <v>Bad Employee</v>
      </c>
      <c r="TZ26" t="str">
        <f xml:space="preserve"> IF(AND(TZ25&gt;20, TZ20&gt;6), "Good Employee", "Bad Employee")</f>
        <v>Bad Employee</v>
      </c>
      <c r="UA26" t="str">
        <f xml:space="preserve"> IF(AND(UA25&gt;20, UA20&gt;6), "Good Employee", "Bad Employee")</f>
        <v>Bad Employee</v>
      </c>
      <c r="UB26" t="str">
        <f xml:space="preserve"> IF(AND(UB25&gt;20, UB20&gt;6), "Good Employee", "Bad Employee")</f>
        <v>Bad Employee</v>
      </c>
      <c r="UC26" t="str">
        <f xml:space="preserve"> IF(AND(UC25&gt;20, UC20&gt;6), "Good Employee", "Bad Employee")</f>
        <v>Bad Employee</v>
      </c>
      <c r="UD26" t="str">
        <f xml:space="preserve"> IF(AND(UD25&gt;20, UD20&gt;6), "Good Employee", "Bad Employee")</f>
        <v>Bad Employee</v>
      </c>
      <c r="UE26" t="str">
        <f xml:space="preserve"> IF(AND(UE25&gt;20, UE20&gt;6), "Good Employee", "Bad Employee")</f>
        <v>Bad Employee</v>
      </c>
      <c r="UF26" t="str">
        <f xml:space="preserve"> IF(AND(UF25&gt;20, UF20&gt;6), "Good Employee", "Bad Employee")</f>
        <v>Bad Employee</v>
      </c>
      <c r="UG26" t="str">
        <f xml:space="preserve"> IF(AND(UG25&gt;20, UG20&gt;6), "Good Employee", "Bad Employee")</f>
        <v>Bad Employee</v>
      </c>
      <c r="UH26" t="str">
        <f xml:space="preserve"> IF(AND(UH25&gt;20, UH20&gt;6), "Good Employee", "Bad Employee")</f>
        <v>Bad Employee</v>
      </c>
      <c r="UI26" t="str">
        <f xml:space="preserve"> IF(AND(UI25&gt;20, UI20&gt;6), "Good Employee", "Bad Employee")</f>
        <v>Bad Employee</v>
      </c>
      <c r="UJ26" t="str">
        <f xml:space="preserve"> IF(AND(UJ25&gt;20, UJ20&gt;6), "Good Employee", "Bad Employee")</f>
        <v>Bad Employee</v>
      </c>
      <c r="UK26" t="str">
        <f xml:space="preserve"> IF(AND(UK25&gt;20, UK20&gt;6), "Good Employee", "Bad Employee")</f>
        <v>Bad Employee</v>
      </c>
      <c r="UL26" t="str">
        <f xml:space="preserve"> IF(AND(UL25&gt;20, UL20&gt;6), "Good Employee", "Bad Employee")</f>
        <v>Bad Employee</v>
      </c>
      <c r="UM26" t="str">
        <f xml:space="preserve"> IF(AND(UM25&gt;20, UM20&gt;6), "Good Employee", "Bad Employee")</f>
        <v>Bad Employee</v>
      </c>
      <c r="UN26" t="str">
        <f xml:space="preserve"> IF(AND(UN25&gt;20, UN20&gt;6), "Good Employee", "Bad Employee")</f>
        <v>Bad Employee</v>
      </c>
      <c r="UO26" t="str">
        <f xml:space="preserve"> IF(AND(UO25&gt;20, UO20&gt;6), "Good Employee", "Bad Employee")</f>
        <v>Bad Employee</v>
      </c>
      <c r="UP26" t="str">
        <f xml:space="preserve"> IF(AND(UP25&gt;20, UP20&gt;6), "Good Employee", "Bad Employee")</f>
        <v>Bad Employee</v>
      </c>
      <c r="UQ26" t="str">
        <f xml:space="preserve"> IF(AND(UQ25&gt;20, UQ20&gt;6), "Good Employee", "Bad Employee")</f>
        <v>Bad Employee</v>
      </c>
      <c r="UR26" t="str">
        <f xml:space="preserve"> IF(AND(UR25&gt;20, UR20&gt;6), "Good Employee", "Bad Employee")</f>
        <v>Good Employee</v>
      </c>
      <c r="US26" t="str">
        <f xml:space="preserve"> IF(AND(US25&gt;20, US20&gt;6), "Good Employee", "Bad Employee")</f>
        <v>Bad Employee</v>
      </c>
      <c r="UT26" t="str">
        <f xml:space="preserve"> IF(AND(UT25&gt;20, UT20&gt;6), "Good Employee", "Bad Employee")</f>
        <v>Bad Employee</v>
      </c>
      <c r="UU26" t="str">
        <f xml:space="preserve"> IF(AND(UU25&gt;20, UU20&gt;6), "Good Employee", "Bad Employee")</f>
        <v>Bad Employee</v>
      </c>
      <c r="UV26" t="str">
        <f xml:space="preserve"> IF(AND(UV25&gt;20, UV20&gt;6), "Good Employee", "Bad Employee")</f>
        <v>Bad Employee</v>
      </c>
      <c r="UW26" t="str">
        <f xml:space="preserve"> IF(AND(UW25&gt;20, UW20&gt;6), "Good Employee", "Bad Employee")</f>
        <v>Good Employee</v>
      </c>
      <c r="UX26" t="str">
        <f xml:space="preserve"> IF(AND(UX25&gt;20, UX20&gt;6), "Good Employee", "Bad Employee")</f>
        <v>Bad Employee</v>
      </c>
      <c r="UY26" t="str">
        <f xml:space="preserve"> IF(AND(UY25&gt;20, UY20&gt;6), "Good Employee", "Bad Employee")</f>
        <v>Bad Employee</v>
      </c>
      <c r="UZ26" t="str">
        <f xml:space="preserve"> IF(AND(UZ25&gt;20, UZ20&gt;6), "Good Employee", "Bad Employee")</f>
        <v>Bad Employee</v>
      </c>
      <c r="VA26" t="str">
        <f xml:space="preserve"> IF(AND(VA25&gt;20, VA20&gt;6), "Good Employee", "Bad Employee")</f>
        <v>Good Employee</v>
      </c>
      <c r="VB26" t="str">
        <f xml:space="preserve"> IF(AND(VB25&gt;20, VB20&gt;6), "Good Employee", "Bad Employee")</f>
        <v>Bad Employee</v>
      </c>
      <c r="VC26" t="str">
        <f xml:space="preserve"> IF(AND(VC25&gt;20, VC20&gt;6), "Good Employee", "Bad Employee")</f>
        <v>Good Employee</v>
      </c>
      <c r="VD26" t="str">
        <f xml:space="preserve"> IF(AND(VD25&gt;20, VD20&gt;6), "Good Employee", "Bad Employee")</f>
        <v>Bad Employee</v>
      </c>
      <c r="VE26" t="str">
        <f xml:space="preserve"> IF(AND(VE25&gt;20, VE20&gt;6), "Good Employee", "Bad Employee")</f>
        <v>Bad Employee</v>
      </c>
      <c r="VF26" t="str">
        <f xml:space="preserve"> IF(AND(VF25&gt;20, VF20&gt;6), "Good Employee", "Bad Employee")</f>
        <v>Bad Employee</v>
      </c>
      <c r="VG26" t="str">
        <f xml:space="preserve"> IF(AND(VG25&gt;20, VG20&gt;6), "Good Employee", "Bad Employee")</f>
        <v>Bad Employee</v>
      </c>
      <c r="VH26" t="str">
        <f xml:space="preserve"> IF(AND(VH25&gt;20, VH20&gt;6), "Good Employee", "Bad Employee")</f>
        <v>Bad Employee</v>
      </c>
      <c r="VI26" t="str">
        <f xml:space="preserve"> IF(AND(VI25&gt;20, VI20&gt;6), "Good Employee", "Bad Employee")</f>
        <v>Good Employee</v>
      </c>
      <c r="VJ26" t="str">
        <f xml:space="preserve"> IF(AND(VJ25&gt;20, VJ20&gt;6), "Good Employee", "Bad Employee")</f>
        <v>Bad Employee</v>
      </c>
      <c r="VK26" t="str">
        <f xml:space="preserve"> IF(AND(VK25&gt;20, VK20&gt;6), "Good Employee", "Bad Employee")</f>
        <v>Bad Employee</v>
      </c>
      <c r="VL26" t="str">
        <f xml:space="preserve"> IF(AND(VL25&gt;20, VL20&gt;6), "Good Employee", "Bad Employee")</f>
        <v>Bad Employee</v>
      </c>
      <c r="VM26" t="str">
        <f xml:space="preserve"> IF(AND(VM25&gt;20, VM20&gt;6), "Good Employee", "Bad Employee")</f>
        <v>Bad Employee</v>
      </c>
      <c r="VN26" t="str">
        <f xml:space="preserve"> IF(AND(VN25&gt;20, VN20&gt;6), "Good Employee", "Bad Employee")</f>
        <v>Bad Employee</v>
      </c>
      <c r="VO26" t="str">
        <f xml:space="preserve"> IF(AND(VO25&gt;20, VO20&gt;6), "Good Employee", "Bad Employee")</f>
        <v>Bad Employee</v>
      </c>
      <c r="VP26" t="str">
        <f xml:space="preserve"> IF(AND(VP25&gt;20, VP20&gt;6), "Good Employee", "Bad Employee")</f>
        <v>Bad Employee</v>
      </c>
      <c r="VQ26" t="str">
        <f xml:space="preserve"> IF(AND(VQ25&gt;20, VQ20&gt;6), "Good Employee", "Bad Employee")</f>
        <v>Bad Employee</v>
      </c>
      <c r="VR26" t="str">
        <f xml:space="preserve"> IF(AND(VR25&gt;20, VR20&gt;6), "Good Employee", "Bad Employee")</f>
        <v>Bad Employee</v>
      </c>
      <c r="VS26" t="str">
        <f xml:space="preserve"> IF(AND(VS25&gt;20, VS20&gt;6), "Good Employee", "Bad Employee")</f>
        <v>Bad Employee</v>
      </c>
      <c r="VT26" t="str">
        <f xml:space="preserve"> IF(AND(VT25&gt;20, VT20&gt;6), "Good Employee", "Bad Employee")</f>
        <v>Bad Employee</v>
      </c>
      <c r="VU26" t="str">
        <f xml:space="preserve"> IF(AND(VU25&gt;20, VU20&gt;6), "Good Employee", "Bad Employee")</f>
        <v>Bad Employee</v>
      </c>
      <c r="VV26" t="str">
        <f xml:space="preserve"> IF(AND(VV25&gt;20, VV20&gt;6), "Good Employee", "Bad Employee")</f>
        <v>Bad Employee</v>
      </c>
      <c r="VW26" t="str">
        <f xml:space="preserve"> IF(AND(VW25&gt;20, VW20&gt;6), "Good Employee", "Bad Employee")</f>
        <v>Bad Employee</v>
      </c>
      <c r="VX26" t="str">
        <f xml:space="preserve"> IF(AND(VX25&gt;20, VX20&gt;6), "Good Employee", "Bad Employee")</f>
        <v>Bad Employee</v>
      </c>
      <c r="VY26" t="str">
        <f xml:space="preserve"> IF(AND(VY25&gt;20, VY20&gt;6), "Good Employee", "Bad Employee")</f>
        <v>Bad Employee</v>
      </c>
      <c r="VZ26" t="str">
        <f xml:space="preserve"> IF(AND(VZ25&gt;20, VZ20&gt;6), "Good Employee", "Bad Employee")</f>
        <v>Bad Employee</v>
      </c>
      <c r="WA26" t="str">
        <f xml:space="preserve"> IF(AND(WA25&gt;20, WA20&gt;6), "Good Employee", "Bad Employee")</f>
        <v>Bad Employee</v>
      </c>
      <c r="WB26" t="str">
        <f xml:space="preserve"> IF(AND(WB25&gt;20, WB20&gt;6), "Good Employee", "Bad Employee")</f>
        <v>Bad Employee</v>
      </c>
      <c r="WC26" t="str">
        <f xml:space="preserve"> IF(AND(WC25&gt;20, WC20&gt;6), "Good Employee", "Bad Employee")</f>
        <v>Bad Employee</v>
      </c>
      <c r="WD26" t="str">
        <f xml:space="preserve"> IF(AND(WD25&gt;20, WD20&gt;6), "Good Employee", "Bad Employee")</f>
        <v>Bad Employee</v>
      </c>
      <c r="WE26" t="str">
        <f xml:space="preserve"> IF(AND(WE25&gt;20, WE20&gt;6), "Good Employee", "Bad Employee")</f>
        <v>Bad Employee</v>
      </c>
      <c r="WF26" t="str">
        <f xml:space="preserve"> IF(AND(WF25&gt;20, WF20&gt;6), "Good Employee", "Bad Employee")</f>
        <v>Bad Employee</v>
      </c>
      <c r="WG26" t="str">
        <f xml:space="preserve"> IF(AND(WG25&gt;20, WG20&gt;6), "Good Employee", "Bad Employee")</f>
        <v>Bad Employee</v>
      </c>
      <c r="WH26" t="str">
        <f xml:space="preserve"> IF(AND(WH25&gt;20, WH20&gt;6), "Good Employee", "Bad Employee")</f>
        <v>Bad Employee</v>
      </c>
      <c r="WI26" t="str">
        <f xml:space="preserve"> IF(AND(WI25&gt;20, WI20&gt;6), "Good Employee", "Bad Employee")</f>
        <v>Good Employee</v>
      </c>
      <c r="WJ26" t="str">
        <f xml:space="preserve"> IF(AND(WJ25&gt;20, WJ20&gt;6), "Good Employee", "Bad Employee")</f>
        <v>Good Employee</v>
      </c>
      <c r="WK26" t="str">
        <f xml:space="preserve"> IF(AND(WK25&gt;20, WK20&gt;6), "Good Employee", "Bad Employee")</f>
        <v>Bad Employee</v>
      </c>
      <c r="WL26" t="str">
        <f xml:space="preserve"> IF(AND(WL25&gt;20, WL20&gt;6), "Good Employee", "Bad Employee")</f>
        <v>Bad Employee</v>
      </c>
      <c r="WM26" t="str">
        <f xml:space="preserve"> IF(AND(WM25&gt;20, WM20&gt;6), "Good Employee", "Bad Employee")</f>
        <v>Bad Employee</v>
      </c>
      <c r="WN26" t="str">
        <f xml:space="preserve"> IF(AND(WN25&gt;20, WN20&gt;6), "Good Employee", "Bad Employee")</f>
        <v>Bad Employee</v>
      </c>
      <c r="WO26" t="str">
        <f xml:space="preserve"> IF(AND(WO25&gt;20, WO20&gt;6), "Good Employee", "Bad Employee")</f>
        <v>Bad Employee</v>
      </c>
      <c r="WP26" t="str">
        <f xml:space="preserve"> IF(AND(WP25&gt;20, WP20&gt;6), "Good Employee", "Bad Employee")</f>
        <v>Good Employee</v>
      </c>
      <c r="WQ26" t="str">
        <f xml:space="preserve"> IF(AND(WQ25&gt;20, WQ20&gt;6), "Good Employee", "Bad Employee")</f>
        <v>Bad Employee</v>
      </c>
      <c r="WR26" t="str">
        <f xml:space="preserve"> IF(AND(WR25&gt;20, WR20&gt;6), "Good Employee", "Bad Employee")</f>
        <v>Good Employee</v>
      </c>
      <c r="WS26" t="str">
        <f xml:space="preserve"> IF(AND(WS25&gt;20, WS20&gt;6), "Good Employee", "Bad Employee")</f>
        <v>Bad Employee</v>
      </c>
      <c r="WT26" t="str">
        <f xml:space="preserve"> IF(AND(WT25&gt;20, WT20&gt;6), "Good Employee", "Bad Employee")</f>
        <v>Bad Employee</v>
      </c>
      <c r="WU26" t="str">
        <f xml:space="preserve"> IF(AND(WU25&gt;20, WU20&gt;6), "Good Employee", "Bad Employee")</f>
        <v>Bad Employee</v>
      </c>
      <c r="WV26" t="str">
        <f xml:space="preserve"> IF(AND(WV25&gt;20, WV20&gt;6), "Good Employee", "Bad Employee")</f>
        <v>Bad Employee</v>
      </c>
      <c r="WW26" t="str">
        <f xml:space="preserve"> IF(AND(WW25&gt;20, WW20&gt;6), "Good Employee", "Bad Employee")</f>
        <v>Bad Employee</v>
      </c>
      <c r="WX26" t="str">
        <f xml:space="preserve"> IF(AND(WX25&gt;20, WX20&gt;6), "Good Employee", "Bad Employee")</f>
        <v>Bad Employee</v>
      </c>
      <c r="WY26" t="str">
        <f xml:space="preserve"> IF(AND(WY25&gt;20, WY20&gt;6), "Good Employee", "Bad Employee")</f>
        <v>Bad Employee</v>
      </c>
      <c r="WZ26" t="str">
        <f xml:space="preserve"> IF(AND(WZ25&gt;20, WZ20&gt;6), "Good Employee", "Bad Employee")</f>
        <v>Bad Employee</v>
      </c>
      <c r="XA26" t="str">
        <f xml:space="preserve"> IF(AND(XA25&gt;20, XA20&gt;6), "Good Employee", "Bad Employee")</f>
        <v>Bad Employee</v>
      </c>
      <c r="XB26" t="str">
        <f xml:space="preserve"> IF(AND(XB25&gt;20, XB20&gt;6), "Good Employee", "Bad Employee")</f>
        <v>Good Employee</v>
      </c>
      <c r="XC26" t="str">
        <f xml:space="preserve"> IF(AND(XC25&gt;20, XC20&gt;6), "Good Employee", "Bad Employee")</f>
        <v>Bad Employee</v>
      </c>
      <c r="XD26" t="str">
        <f xml:space="preserve"> IF(AND(XD25&gt;20, XD20&gt;6), "Good Employee", "Bad Employee")</f>
        <v>Bad Employee</v>
      </c>
      <c r="XE26" t="str">
        <f xml:space="preserve"> IF(AND(XE25&gt;20, XE20&gt;6), "Good Employee", "Bad Employee")</f>
        <v>Bad Employee</v>
      </c>
      <c r="XF26" t="str">
        <f xml:space="preserve"> IF(AND(XF25&gt;20, XF20&gt;6), "Good Employee", "Bad Employee")</f>
        <v>Bad Employee</v>
      </c>
      <c r="XG26" t="str">
        <f xml:space="preserve"> IF(AND(XG25&gt;20, XG20&gt;6), "Good Employee", "Bad Employee")</f>
        <v>Bad Employee</v>
      </c>
      <c r="XH26" t="str">
        <f xml:space="preserve"> IF(AND(XH25&gt;20, XH20&gt;6), "Good Employee", "Bad Employee")</f>
        <v>Bad Employee</v>
      </c>
      <c r="XI26" t="str">
        <f xml:space="preserve"> IF(AND(XI25&gt;20, XI20&gt;6), "Good Employee", "Bad Employee")</f>
        <v>Bad Employee</v>
      </c>
      <c r="XJ26" t="str">
        <f xml:space="preserve"> IF(AND(XJ25&gt;20, XJ20&gt;6), "Good Employee", "Bad Employee")</f>
        <v>Bad Employee</v>
      </c>
      <c r="XK26" t="str">
        <f xml:space="preserve"> IF(AND(XK25&gt;20, XK20&gt;6), "Good Employee", "Bad Employee")</f>
        <v>Bad Employee</v>
      </c>
      <c r="XL26" t="str">
        <f xml:space="preserve"> IF(AND(XL25&gt;20, XL20&gt;6), "Good Employee", "Bad Employee")</f>
        <v>Bad Employee</v>
      </c>
      <c r="XM26" t="str">
        <f xml:space="preserve"> IF(AND(XM25&gt;20, XM20&gt;6), "Good Employee", "Bad Employee")</f>
        <v>Bad Employee</v>
      </c>
      <c r="XN26" t="str">
        <f xml:space="preserve"> IF(AND(XN25&gt;20, XN20&gt;6), "Good Employee", "Bad Employee")</f>
        <v>Bad Employee</v>
      </c>
      <c r="XO26" t="str">
        <f xml:space="preserve"> IF(AND(XO25&gt;20, XO20&gt;6), "Good Employee", "Bad Employee")</f>
        <v>Bad Employee</v>
      </c>
      <c r="XP26" t="str">
        <f xml:space="preserve"> IF(AND(XP25&gt;20, XP20&gt;6), "Good Employee", "Bad Employee")</f>
        <v>Bad Employee</v>
      </c>
      <c r="XQ26" t="str">
        <f xml:space="preserve"> IF(AND(XQ25&gt;20, XQ20&gt;6), "Good Employee", "Bad Employee")</f>
        <v>Good Employee</v>
      </c>
      <c r="XR26" t="str">
        <f xml:space="preserve"> IF(AND(XR25&gt;20, XR20&gt;6), "Good Employee", "Bad Employee")</f>
        <v>Good Employee</v>
      </c>
      <c r="XS26" t="str">
        <f xml:space="preserve"> IF(AND(XS25&gt;20, XS20&gt;6), "Good Employee", "Bad Employee")</f>
        <v>Bad Employee</v>
      </c>
      <c r="XT26" t="str">
        <f xml:space="preserve"> IF(AND(XT25&gt;20, XT20&gt;6), "Good Employee", "Bad Employee")</f>
        <v>Good Employee</v>
      </c>
      <c r="XU26" t="str">
        <f xml:space="preserve"> IF(AND(XU25&gt;20, XU20&gt;6), "Good Employee", "Bad Employee")</f>
        <v>Bad Employee</v>
      </c>
      <c r="XV26" t="str">
        <f xml:space="preserve"> IF(AND(XV25&gt;20, XV20&gt;6), "Good Employee", "Bad Employee")</f>
        <v>Bad Employee</v>
      </c>
      <c r="XW26" t="str">
        <f xml:space="preserve"> IF(AND(XW25&gt;20, XW20&gt;6), "Good Employee", "Bad Employee")</f>
        <v>Bad Employee</v>
      </c>
      <c r="XX26" t="str">
        <f xml:space="preserve"> IF(AND(XX25&gt;20, XX20&gt;6), "Good Employee", "Bad Employee")</f>
        <v>Bad Employee</v>
      </c>
      <c r="XY26" t="str">
        <f xml:space="preserve"> IF(AND(XY25&gt;20, XY20&gt;6), "Good Employee", "Bad Employee")</f>
        <v>Bad Employee</v>
      </c>
      <c r="XZ26" t="str">
        <f xml:space="preserve"> IF(AND(XZ25&gt;20, XZ20&gt;6), "Good Employee", "Bad Employee")</f>
        <v>Good Employee</v>
      </c>
      <c r="YA26" t="str">
        <f xml:space="preserve"> IF(AND(YA25&gt;20, YA20&gt;6), "Good Employee", "Bad Employee")</f>
        <v>Bad Employee</v>
      </c>
      <c r="YB26" t="str">
        <f xml:space="preserve"> IF(AND(YB25&gt;20, YB20&gt;6), "Good Employee", "Bad Employee")</f>
        <v>Bad Employee</v>
      </c>
      <c r="YC26" t="str">
        <f xml:space="preserve"> IF(AND(YC25&gt;20, YC20&gt;6), "Good Employee", "Bad Employee")</f>
        <v>Bad Employee</v>
      </c>
      <c r="YD26" t="str">
        <f xml:space="preserve"> IF(AND(YD25&gt;20, YD20&gt;6), "Good Employee", "Bad Employee")</f>
        <v>Bad Employee</v>
      </c>
      <c r="YE26" t="str">
        <f xml:space="preserve"> IF(AND(YE25&gt;20, YE20&gt;6), "Good Employee", "Bad Employee")</f>
        <v>Bad Employee</v>
      </c>
      <c r="YF26" t="str">
        <f xml:space="preserve"> IF(AND(YF25&gt;20, YF20&gt;6), "Good Employee", "Bad Employee")</f>
        <v>Bad Employee</v>
      </c>
      <c r="YG26" t="str">
        <f xml:space="preserve"> IF(AND(YG25&gt;20, YG20&gt;6), "Good Employee", "Bad Employee")</f>
        <v>Bad Employee</v>
      </c>
      <c r="YH26" t="str">
        <f xml:space="preserve"> IF(AND(YH25&gt;20, YH20&gt;6), "Good Employee", "Bad Employee")</f>
        <v>Good Employee</v>
      </c>
      <c r="YI26" t="str">
        <f xml:space="preserve"> IF(AND(YI25&gt;20, YI20&gt;6), "Good Employee", "Bad Employee")</f>
        <v>Good Employee</v>
      </c>
      <c r="YJ26" t="str">
        <f xml:space="preserve"> IF(AND(YJ25&gt;20, YJ20&gt;6), "Good Employee", "Bad Employee")</f>
        <v>Bad Employee</v>
      </c>
      <c r="YK26" t="str">
        <f xml:space="preserve"> IF(AND(YK25&gt;20, YK20&gt;6), "Good Employee", "Bad Employee")</f>
        <v>Bad Employee</v>
      </c>
      <c r="YL26" t="str">
        <f xml:space="preserve"> IF(AND(YL25&gt;20, YL20&gt;6), "Good Employee", "Bad Employee")</f>
        <v>Bad Employee</v>
      </c>
      <c r="YM26" t="str">
        <f xml:space="preserve"> IF(AND(YM25&gt;20, YM20&gt;6), "Good Employee", "Bad Employee")</f>
        <v>Good Employee</v>
      </c>
      <c r="YN26" t="str">
        <f xml:space="preserve"> IF(AND(YN25&gt;20, YN20&gt;6), "Good Employee", "Bad Employee")</f>
        <v>Good Employee</v>
      </c>
      <c r="YO26" t="str">
        <f xml:space="preserve"> IF(AND(YO25&gt;20, YO20&gt;6), "Good Employee", "Bad Employee")</f>
        <v>Good Employee</v>
      </c>
      <c r="YP26" t="str">
        <f xml:space="preserve"> IF(AND(YP25&gt;20, YP20&gt;6), "Good Employee", "Bad Employee")</f>
        <v>Bad Employee</v>
      </c>
      <c r="YQ26" t="str">
        <f xml:space="preserve"> IF(AND(YQ25&gt;20, YQ20&gt;6), "Good Employee", "Bad Employee")</f>
        <v>Good Employee</v>
      </c>
      <c r="YR26" t="str">
        <f xml:space="preserve"> IF(AND(YR25&gt;20, YR20&gt;6), "Good Employee", "Bad Employee")</f>
        <v>Bad Employee</v>
      </c>
      <c r="YS26" t="str">
        <f xml:space="preserve"> IF(AND(YS25&gt;20, YS20&gt;6), "Good Employee", "Bad Employee")</f>
        <v>Bad Employee</v>
      </c>
      <c r="YT26" t="str">
        <f xml:space="preserve"> IF(AND(YT25&gt;20, YT20&gt;6), "Good Employee", "Bad Employee")</f>
        <v>Bad Employee</v>
      </c>
      <c r="YU26" t="str">
        <f xml:space="preserve"> IF(AND(YU25&gt;20, YU20&gt;6), "Good Employee", "Bad Employee")</f>
        <v>Bad Employee</v>
      </c>
      <c r="YV26" t="str">
        <f xml:space="preserve"> IF(AND(YV25&gt;20, YV20&gt;6), "Good Employee", "Bad Employee")</f>
        <v>Bad Employee</v>
      </c>
      <c r="YW26" t="str">
        <f xml:space="preserve"> IF(AND(YW25&gt;20, YW20&gt;6), "Good Employee", "Bad Employee")</f>
        <v>Bad Employee</v>
      </c>
      <c r="YX26" t="str">
        <f xml:space="preserve"> IF(AND(YX25&gt;20, YX20&gt;6), "Good Employee", "Bad Employee")</f>
        <v>Bad Employee</v>
      </c>
      <c r="YY26" t="str">
        <f xml:space="preserve"> IF(AND(YY25&gt;20, YY20&gt;6), "Good Employee", "Bad Employee")</f>
        <v>Bad Employee</v>
      </c>
      <c r="YZ26" t="str">
        <f xml:space="preserve"> IF(AND(YZ25&gt;20, YZ20&gt;6), "Good Employee", "Bad Employee")</f>
        <v>Bad Employee</v>
      </c>
      <c r="ZA26" t="str">
        <f xml:space="preserve"> IF(AND(ZA25&gt;20, ZA20&gt;6), "Good Employee", "Bad Employee")</f>
        <v>Bad Employee</v>
      </c>
      <c r="ZB26" t="str">
        <f xml:space="preserve"> IF(AND(ZB25&gt;20, ZB20&gt;6), "Good Employee", "Bad Employee")</f>
        <v>Bad Employee</v>
      </c>
      <c r="ZC26" t="str">
        <f xml:space="preserve"> IF(AND(ZC25&gt;20, ZC20&gt;6), "Good Employee", "Bad Employee")</f>
        <v>Bad Employee</v>
      </c>
      <c r="ZD26" t="str">
        <f xml:space="preserve"> IF(AND(ZD25&gt;20, ZD20&gt;6), "Good Employee", "Bad Employee")</f>
        <v>Good Employee</v>
      </c>
      <c r="ZE26" t="str">
        <f xml:space="preserve"> IF(AND(ZE25&gt;20, ZE20&gt;6), "Good Employee", "Bad Employee")</f>
        <v>Bad Employee</v>
      </c>
      <c r="ZF26" t="str">
        <f xml:space="preserve"> IF(AND(ZF25&gt;20, ZF20&gt;6), "Good Employee", "Bad Employee")</f>
        <v>Good Employee</v>
      </c>
      <c r="ZG26" t="str">
        <f xml:space="preserve"> IF(AND(ZG25&gt;20, ZG20&gt;6), "Good Employee", "Bad Employee")</f>
        <v>Bad Employee</v>
      </c>
      <c r="ZH26" t="str">
        <f xml:space="preserve"> IF(AND(ZH25&gt;20, ZH20&gt;6), "Good Employee", "Bad Employee")</f>
        <v>Bad Employee</v>
      </c>
      <c r="ZI26" t="str">
        <f xml:space="preserve"> IF(AND(ZI25&gt;20, ZI20&gt;6), "Good Employee", "Bad Employee")</f>
        <v>Good Employee</v>
      </c>
      <c r="ZJ26" t="str">
        <f xml:space="preserve"> IF(AND(ZJ25&gt;20, ZJ20&gt;6), "Good Employee", "Bad Employee")</f>
        <v>Bad Employee</v>
      </c>
      <c r="ZK26" t="str">
        <f xml:space="preserve"> IF(AND(ZK25&gt;20, ZK20&gt;6), "Good Employee", "Bad Employee")</f>
        <v>Bad Employee</v>
      </c>
      <c r="ZL26" t="str">
        <f xml:space="preserve"> IF(AND(ZL25&gt;20, ZL20&gt;6), "Good Employee", "Bad Employee")</f>
        <v>Bad Employee</v>
      </c>
      <c r="ZM26" t="str">
        <f xml:space="preserve"> IF(AND(ZM25&gt;20, ZM20&gt;6), "Good Employee", "Bad Employee")</f>
        <v>Bad Employee</v>
      </c>
      <c r="ZN26" t="str">
        <f xml:space="preserve"> IF(AND(ZN25&gt;20, ZN20&gt;6), "Good Employee", "Bad Employee")</f>
        <v>Bad Employee</v>
      </c>
      <c r="ZO26" t="str">
        <f xml:space="preserve"> IF(AND(ZO25&gt;20, ZO20&gt;6), "Good Employee", "Bad Employee")</f>
        <v>Bad Employee</v>
      </c>
      <c r="ZP26" t="str">
        <f xml:space="preserve"> IF(AND(ZP25&gt;20, ZP20&gt;6), "Good Employee", "Bad Employee")</f>
        <v>Bad Employee</v>
      </c>
      <c r="ZQ26" t="str">
        <f xml:space="preserve"> IF(AND(ZQ25&gt;20, ZQ20&gt;6), "Good Employee", "Bad Employee")</f>
        <v>Good Employee</v>
      </c>
      <c r="ZR26" t="str">
        <f xml:space="preserve"> IF(AND(ZR25&gt;20, ZR20&gt;6), "Good Employee", "Bad Employee")</f>
        <v>Bad Employee</v>
      </c>
      <c r="ZS26" t="str">
        <f xml:space="preserve"> IF(AND(ZS25&gt;20, ZS20&gt;6), "Good Employee", "Bad Employee")</f>
        <v>Bad Employee</v>
      </c>
      <c r="ZT26" t="str">
        <f xml:space="preserve"> IF(AND(ZT25&gt;20, ZT20&gt;6), "Good Employee", "Bad Employee")</f>
        <v>Bad Employee</v>
      </c>
      <c r="ZU26" t="str">
        <f xml:space="preserve"> IF(AND(ZU25&gt;20, ZU20&gt;6), "Good Employee", "Bad Employee")</f>
        <v>Bad Employee</v>
      </c>
      <c r="ZV26" t="str">
        <f xml:space="preserve"> IF(AND(ZV25&gt;20, ZV20&gt;6), "Good Employee", "Bad Employee")</f>
        <v>Bad Employee</v>
      </c>
      <c r="ZW26" t="str">
        <f xml:space="preserve"> IF(AND(ZW25&gt;20, ZW20&gt;6), "Good Employee", "Bad Employee")</f>
        <v>Bad Employee</v>
      </c>
      <c r="ZX26" t="str">
        <f xml:space="preserve"> IF(AND(ZX25&gt;20, ZX20&gt;6), "Good Employee", "Bad Employee")</f>
        <v>Good Employee</v>
      </c>
      <c r="ZY26" t="str">
        <f xml:space="preserve"> IF(AND(ZY25&gt;20, ZY20&gt;6), "Good Employee", "Bad Employee")</f>
        <v>Bad Employee</v>
      </c>
      <c r="ZZ26" t="str">
        <f xml:space="preserve"> IF(AND(ZZ25&gt;20, ZZ20&gt;6), "Good Employee", "Bad Employee")</f>
        <v>Bad Employee</v>
      </c>
      <c r="AAA26" t="str">
        <f xml:space="preserve"> IF(AND(AAA25&gt;20, AAA20&gt;6), "Good Employee", "Bad Employee")</f>
        <v>Bad Employee</v>
      </c>
      <c r="AAB26" t="str">
        <f xml:space="preserve"> IF(AND(AAB25&gt;20, AAB20&gt;6), "Good Employee", "Bad Employee")</f>
        <v>Bad Employee</v>
      </c>
      <c r="AAC26" t="str">
        <f xml:space="preserve"> IF(AND(AAC25&gt;20, AAC20&gt;6), "Good Employee", "Bad Employee")</f>
        <v>Bad Employee</v>
      </c>
      <c r="AAD26" t="str">
        <f xml:space="preserve"> IF(AND(AAD25&gt;20, AAD20&gt;6), "Good Employee", "Bad Employee")</f>
        <v>Bad Employee</v>
      </c>
      <c r="AAE26" t="str">
        <f xml:space="preserve"> IF(AND(AAE25&gt;20, AAE20&gt;6), "Good Employee", "Bad Employee")</f>
        <v>Bad Employee</v>
      </c>
      <c r="AAF26" t="str">
        <f xml:space="preserve"> IF(AND(AAF25&gt;20, AAF20&gt;6), "Good Employee", "Bad Employee")</f>
        <v>Bad Employee</v>
      </c>
      <c r="AAG26" t="str">
        <f xml:space="preserve"> IF(AND(AAG25&gt;20, AAG20&gt;6), "Good Employee", "Bad Employee")</f>
        <v>Bad Employee</v>
      </c>
      <c r="AAH26" t="str">
        <f xml:space="preserve"> IF(AND(AAH25&gt;20, AAH20&gt;6), "Good Employee", "Bad Employee")</f>
        <v>Bad Employee</v>
      </c>
      <c r="AAI26" t="str">
        <f xml:space="preserve"> IF(AND(AAI25&gt;20, AAI20&gt;6), "Good Employee", "Bad Employee")</f>
        <v>Bad Employee</v>
      </c>
      <c r="AAJ26" t="str">
        <f xml:space="preserve"> IF(AND(AAJ25&gt;20, AAJ20&gt;6), "Good Employee", "Bad Employee")</f>
        <v>Good Employee</v>
      </c>
      <c r="AAK26" t="str">
        <f xml:space="preserve"> IF(AND(AAK25&gt;20, AAK20&gt;6), "Good Employee", "Bad Employee")</f>
        <v>Good Employee</v>
      </c>
      <c r="AAL26" t="str">
        <f xml:space="preserve"> IF(AND(AAL25&gt;20, AAL20&gt;6), "Good Employee", "Bad Employee")</f>
        <v>Bad Employee</v>
      </c>
      <c r="AAM26" t="str">
        <f xml:space="preserve"> IF(AND(AAM25&gt;20, AAM20&gt;6), "Good Employee", "Bad Employee")</f>
        <v>Bad Employee</v>
      </c>
      <c r="AAN26" t="str">
        <f xml:space="preserve"> IF(AND(AAN25&gt;20, AAN20&gt;6), "Good Employee", "Bad Employee")</f>
        <v>Bad Employee</v>
      </c>
      <c r="AAO26" t="str">
        <f xml:space="preserve"> IF(AND(AAO25&gt;20, AAO20&gt;6), "Good Employee", "Bad Employee")</f>
        <v>Bad Employee</v>
      </c>
      <c r="AAP26" t="str">
        <f xml:space="preserve"> IF(AND(AAP25&gt;20, AAP20&gt;6), "Good Employee", "Bad Employee")</f>
        <v>Bad Employee</v>
      </c>
      <c r="AAQ26" t="str">
        <f xml:space="preserve"> IF(AND(AAQ25&gt;20, AAQ20&gt;6), "Good Employee", "Bad Employee")</f>
        <v>Bad Employee</v>
      </c>
      <c r="AAR26" t="str">
        <f xml:space="preserve"> IF(AND(AAR25&gt;20, AAR20&gt;6), "Good Employee", "Bad Employee")</f>
        <v>Bad Employee</v>
      </c>
      <c r="AAS26" t="str">
        <f xml:space="preserve"> IF(AND(AAS25&gt;20, AAS20&gt;6), "Good Employee", "Bad Employee")</f>
        <v>Bad Employee</v>
      </c>
      <c r="AAT26" t="str">
        <f xml:space="preserve"> IF(AND(AAT25&gt;20, AAT20&gt;6), "Good Employee", "Bad Employee")</f>
        <v>Bad Employee</v>
      </c>
      <c r="AAU26" t="str">
        <f xml:space="preserve"> IF(AND(AAU25&gt;20, AAU20&gt;6), "Good Employee", "Bad Employee")</f>
        <v>Bad Employee</v>
      </c>
      <c r="AAV26" t="str">
        <f xml:space="preserve"> IF(AND(AAV25&gt;20, AAV20&gt;6), "Good Employee", "Bad Employee")</f>
        <v>Bad Employee</v>
      </c>
      <c r="AAW26" t="str">
        <f xml:space="preserve"> IF(AND(AAW25&gt;20, AAW20&gt;6), "Good Employee", "Bad Employee")</f>
        <v>Bad Employee</v>
      </c>
      <c r="AAX26" t="str">
        <f xml:space="preserve"> IF(AND(AAX25&gt;20, AAX20&gt;6), "Good Employee", "Bad Employee")</f>
        <v>Bad Employee</v>
      </c>
      <c r="AAY26" t="str">
        <f xml:space="preserve"> IF(AND(AAY25&gt;20, AAY20&gt;6), "Good Employee", "Bad Employee")</f>
        <v>Bad Employee</v>
      </c>
      <c r="AAZ26" t="str">
        <f xml:space="preserve"> IF(AND(AAZ25&gt;20, AAZ20&gt;6), "Good Employee", "Bad Employee")</f>
        <v>Bad Employee</v>
      </c>
      <c r="ABA26" t="str">
        <f xml:space="preserve"> IF(AND(ABA25&gt;20, ABA20&gt;6), "Good Employee", "Bad Employee")</f>
        <v>Bad Employee</v>
      </c>
      <c r="ABB26" t="str">
        <f xml:space="preserve"> IF(AND(ABB25&gt;20, ABB20&gt;6), "Good Employee", "Bad Employee")</f>
        <v>Good Employee</v>
      </c>
      <c r="ABC26" t="str">
        <f xml:space="preserve"> IF(AND(ABC25&gt;20, ABC20&gt;6), "Good Employee", "Bad Employee")</f>
        <v>Bad Employee</v>
      </c>
      <c r="ABD26" t="str">
        <f xml:space="preserve"> IF(AND(ABD25&gt;20, ABD20&gt;6), "Good Employee", "Bad Employee")</f>
        <v>Bad Employee</v>
      </c>
      <c r="ABE26" t="str">
        <f xml:space="preserve"> IF(AND(ABE25&gt;20, ABE20&gt;6), "Good Employee", "Bad Employee")</f>
        <v>Good Employee</v>
      </c>
      <c r="ABF26" t="str">
        <f xml:space="preserve"> IF(AND(ABF25&gt;20, ABF20&gt;6), "Good Employee", "Bad Employee")</f>
        <v>Good Employee</v>
      </c>
      <c r="ABG26" t="str">
        <f xml:space="preserve"> IF(AND(ABG25&gt;20, ABG20&gt;6), "Good Employee", "Bad Employee")</f>
        <v>Bad Employee</v>
      </c>
      <c r="ABH26" t="str">
        <f xml:space="preserve"> IF(AND(ABH25&gt;20, ABH20&gt;6), "Good Employee", "Bad Employee")</f>
        <v>Bad Employee</v>
      </c>
      <c r="ABI26" t="str">
        <f xml:space="preserve"> IF(AND(ABI25&gt;20, ABI20&gt;6), "Good Employee", "Bad Employee")</f>
        <v>Bad Employee</v>
      </c>
      <c r="ABJ26" t="str">
        <f xml:space="preserve"> IF(AND(ABJ25&gt;20, ABJ20&gt;6), "Good Employee", "Bad Employee")</f>
        <v>Bad Employee</v>
      </c>
      <c r="ABK26" t="str">
        <f xml:space="preserve"> IF(AND(ABK25&gt;20, ABK20&gt;6), "Good Employee", "Bad Employee")</f>
        <v>Bad Employee</v>
      </c>
      <c r="ABL26" t="str">
        <f xml:space="preserve"> IF(AND(ABL25&gt;20, ABL20&gt;6), "Good Employee", "Bad Employee")</f>
        <v>Good Employee</v>
      </c>
      <c r="ABM26" t="str">
        <f xml:space="preserve"> IF(AND(ABM25&gt;20, ABM20&gt;6), "Good Employee", "Bad Employee")</f>
        <v>Bad Employee</v>
      </c>
      <c r="ABN26" t="str">
        <f xml:space="preserve"> IF(AND(ABN25&gt;20, ABN20&gt;6), "Good Employee", "Bad Employee")</f>
        <v>Bad Employee</v>
      </c>
      <c r="ABO26" t="str">
        <f xml:space="preserve"> IF(AND(ABO25&gt;20, ABO20&gt;6), "Good Employee", "Bad Employee")</f>
        <v>Good Employee</v>
      </c>
      <c r="ABP26" t="str">
        <f xml:space="preserve"> IF(AND(ABP25&gt;20, ABP20&gt;6), "Good Employee", "Bad Employee")</f>
        <v>Bad Employee</v>
      </c>
      <c r="ABQ26" t="str">
        <f xml:space="preserve"> IF(AND(ABQ25&gt;20, ABQ20&gt;6), "Good Employee", "Bad Employee")</f>
        <v>Bad Employee</v>
      </c>
      <c r="ABR26" t="str">
        <f xml:space="preserve"> IF(AND(ABR25&gt;20, ABR20&gt;6), "Good Employee", "Bad Employee")</f>
        <v>Bad Employee</v>
      </c>
      <c r="ABS26" t="str">
        <f xml:space="preserve"> IF(AND(ABS25&gt;20, ABS20&gt;6), "Good Employee", "Bad Employee")</f>
        <v>Bad Employee</v>
      </c>
      <c r="ABT26" t="str">
        <f xml:space="preserve"> IF(AND(ABT25&gt;20, ABT20&gt;6), "Good Employee", "Bad Employee")</f>
        <v>Bad Employee</v>
      </c>
      <c r="ABU26" t="str">
        <f xml:space="preserve"> IF(AND(ABU25&gt;20, ABU20&gt;6), "Good Employee", "Bad Employee")</f>
        <v>Bad Employee</v>
      </c>
      <c r="ABV26" t="str">
        <f xml:space="preserve"> IF(AND(ABV25&gt;20, ABV20&gt;6), "Good Employee", "Bad Employee")</f>
        <v>Good Employee</v>
      </c>
      <c r="ABW26" t="str">
        <f xml:space="preserve"> IF(AND(ABW25&gt;20, ABW20&gt;6), "Good Employee", "Bad Employee")</f>
        <v>Bad Employee</v>
      </c>
      <c r="ABX26" t="str">
        <f xml:space="preserve"> IF(AND(ABX25&gt;20, ABX20&gt;6), "Good Employee", "Bad Employee")</f>
        <v>Bad Employee</v>
      </c>
      <c r="ABY26" t="str">
        <f xml:space="preserve"> IF(AND(ABY25&gt;20, ABY20&gt;6), "Good Employee", "Bad Employee")</f>
        <v>Good Employee</v>
      </c>
      <c r="ABZ26" t="str">
        <f xml:space="preserve"> IF(AND(ABZ25&gt;20, ABZ20&gt;6), "Good Employee", "Bad Employee")</f>
        <v>Bad Employee</v>
      </c>
      <c r="ACA26" t="str">
        <f xml:space="preserve"> IF(AND(ACA25&gt;20, ACA20&gt;6), "Good Employee", "Bad Employee")</f>
        <v>Bad Employee</v>
      </c>
      <c r="ACB26" t="str">
        <f xml:space="preserve"> IF(AND(ACB25&gt;20, ACB20&gt;6), "Good Employee", "Bad Employee")</f>
        <v>Bad Employee</v>
      </c>
      <c r="ACC26" t="str">
        <f xml:space="preserve"> IF(AND(ACC25&gt;20, ACC20&gt;6), "Good Employee", "Bad Employee")</f>
        <v>Bad Employee</v>
      </c>
      <c r="ACD26" t="str">
        <f xml:space="preserve"> IF(AND(ACD25&gt;20, ACD20&gt;6), "Good Employee", "Bad Employee")</f>
        <v>Good Employee</v>
      </c>
      <c r="ACE26" t="str">
        <f xml:space="preserve"> IF(AND(ACE25&gt;20, ACE20&gt;6), "Good Employee", "Bad Employee")</f>
        <v>Bad Employee</v>
      </c>
      <c r="ACF26" t="str">
        <f xml:space="preserve"> IF(AND(ACF25&gt;20, ACF20&gt;6), "Good Employee", "Bad Employee")</f>
        <v>Bad Employee</v>
      </c>
      <c r="ACG26" t="str">
        <f xml:space="preserve"> IF(AND(ACG25&gt;20, ACG20&gt;6), "Good Employee", "Bad Employee")</f>
        <v>Bad Employee</v>
      </c>
      <c r="ACH26" t="str">
        <f xml:space="preserve"> IF(AND(ACH25&gt;20, ACH20&gt;6), "Good Employee", "Bad Employee")</f>
        <v>Bad Employee</v>
      </c>
      <c r="ACI26" t="str">
        <f xml:space="preserve"> IF(AND(ACI25&gt;20, ACI20&gt;6), "Good Employee", "Bad Employee")</f>
        <v>Bad Employee</v>
      </c>
      <c r="ACJ26" t="str">
        <f xml:space="preserve"> IF(AND(ACJ25&gt;20, ACJ20&gt;6), "Good Employee", "Bad Employee")</f>
        <v>Bad Employee</v>
      </c>
      <c r="ACK26" t="str">
        <f xml:space="preserve"> IF(AND(ACK25&gt;20, ACK20&gt;6), "Good Employee", "Bad Employee")</f>
        <v>Bad Employee</v>
      </c>
      <c r="ACL26" t="str">
        <f xml:space="preserve"> IF(AND(ACL25&gt;20, ACL20&gt;6), "Good Employee", "Bad Employee")</f>
        <v>Bad Employee</v>
      </c>
      <c r="ACM26" t="str">
        <f xml:space="preserve"> IF(AND(ACM25&gt;20, ACM20&gt;6), "Good Employee", "Bad Employee")</f>
        <v>Bad Employee</v>
      </c>
      <c r="ACN26" t="str">
        <f xml:space="preserve"> IF(AND(ACN25&gt;20, ACN20&gt;6), "Good Employee", "Bad Employee")</f>
        <v>Bad Employee</v>
      </c>
      <c r="ACO26" t="str">
        <f xml:space="preserve"> IF(AND(ACO25&gt;20, ACO20&gt;6), "Good Employee", "Bad Employee")</f>
        <v>Bad Employee</v>
      </c>
      <c r="ACP26" t="str">
        <f xml:space="preserve"> IF(AND(ACP25&gt;20, ACP20&gt;6), "Good Employee", "Bad Employee")</f>
        <v>Bad Employee</v>
      </c>
      <c r="ACQ26" t="str">
        <f xml:space="preserve"> IF(AND(ACQ25&gt;20, ACQ20&gt;6), "Good Employee", "Bad Employee")</f>
        <v>Bad Employee</v>
      </c>
      <c r="ACR26" t="str">
        <f xml:space="preserve"> IF(AND(ACR25&gt;20, ACR20&gt;6), "Good Employee", "Bad Employee")</f>
        <v>Bad Employee</v>
      </c>
      <c r="ACS26" t="str">
        <f xml:space="preserve"> IF(AND(ACS25&gt;20, ACS20&gt;6), "Good Employee", "Bad Employee")</f>
        <v>Bad Employee</v>
      </c>
      <c r="ACT26" t="str">
        <f xml:space="preserve"> IF(AND(ACT25&gt;20, ACT20&gt;6), "Good Employee", "Bad Employee")</f>
        <v>Bad Employee</v>
      </c>
      <c r="ACU26" t="str">
        <f xml:space="preserve"> IF(AND(ACU25&gt;20, ACU20&gt;6), "Good Employee", "Bad Employee")</f>
        <v>Bad Employee</v>
      </c>
      <c r="ACV26" t="str">
        <f xml:space="preserve"> IF(AND(ACV25&gt;20, ACV20&gt;6), "Good Employee", "Bad Employee")</f>
        <v>Bad Employee</v>
      </c>
      <c r="ACW26" t="str">
        <f xml:space="preserve"> IF(AND(ACW25&gt;20, ACW20&gt;6), "Good Employee", "Bad Employee")</f>
        <v>Bad Employee</v>
      </c>
      <c r="ACX26" t="str">
        <f xml:space="preserve"> IF(AND(ACX25&gt;20, ACX20&gt;6), "Good Employee", "Bad Employee")</f>
        <v>Bad Employee</v>
      </c>
      <c r="ACY26" t="str">
        <f xml:space="preserve"> IF(AND(ACY25&gt;20, ACY20&gt;6), "Good Employee", "Bad Employee")</f>
        <v>Bad Employee</v>
      </c>
      <c r="ACZ26" t="str">
        <f xml:space="preserve"> IF(AND(ACZ25&gt;20, ACZ20&gt;6), "Good Employee", "Bad Employee")</f>
        <v>Bad Employee</v>
      </c>
      <c r="ADA26" t="str">
        <f xml:space="preserve"> IF(AND(ADA25&gt;20, ADA20&gt;6), "Good Employee", "Bad Employee")</f>
        <v>Bad Employee</v>
      </c>
      <c r="ADB26" t="str">
        <f xml:space="preserve"> IF(AND(ADB25&gt;20, ADB20&gt;6), "Good Employee", "Bad Employee")</f>
        <v>Bad Employee</v>
      </c>
      <c r="ADC26" t="str">
        <f xml:space="preserve"> IF(AND(ADC25&gt;20, ADC20&gt;6), "Good Employee", "Bad Employee")</f>
        <v>Bad Employee</v>
      </c>
      <c r="ADD26" t="str">
        <f xml:space="preserve"> IF(AND(ADD25&gt;20, ADD20&gt;6), "Good Employee", "Bad Employee")</f>
        <v>Good Employee</v>
      </c>
      <c r="ADE26" t="str">
        <f xml:space="preserve"> IF(AND(ADE25&gt;20, ADE20&gt;6), "Good Employee", "Bad Employee")</f>
        <v>Bad Employee</v>
      </c>
      <c r="ADF26" t="str">
        <f xml:space="preserve"> IF(AND(ADF25&gt;20, ADF20&gt;6), "Good Employee", "Bad Employee")</f>
        <v>Bad Employee</v>
      </c>
      <c r="ADG26" t="str">
        <f xml:space="preserve"> IF(AND(ADG25&gt;20, ADG20&gt;6), "Good Employee", "Bad Employee")</f>
        <v>Bad Employee</v>
      </c>
      <c r="ADH26" t="str">
        <f xml:space="preserve"> IF(AND(ADH25&gt;20, ADH20&gt;6), "Good Employee", "Bad Employee")</f>
        <v>Bad Employee</v>
      </c>
      <c r="ADI26" t="str">
        <f xml:space="preserve"> IF(AND(ADI25&gt;20, ADI20&gt;6), "Good Employee", "Bad Employee")</f>
        <v>Bad Employee</v>
      </c>
      <c r="ADJ26" t="str">
        <f xml:space="preserve"> IF(AND(ADJ25&gt;20, ADJ20&gt;6), "Good Employee", "Bad Employee")</f>
        <v>Bad Employee</v>
      </c>
      <c r="ADK26" t="str">
        <f xml:space="preserve"> IF(AND(ADK25&gt;20, ADK20&gt;6), "Good Employee", "Bad Employee")</f>
        <v>Bad Employee</v>
      </c>
      <c r="ADL26" t="str">
        <f xml:space="preserve"> IF(AND(ADL25&gt;20, ADL20&gt;6), "Good Employee", "Bad Employee")</f>
        <v>Bad Employee</v>
      </c>
      <c r="ADM26" t="str">
        <f xml:space="preserve"> IF(AND(ADM25&gt;20, ADM20&gt;6), "Good Employee", "Bad Employee")</f>
        <v>Good Employee</v>
      </c>
      <c r="ADN26" t="str">
        <f xml:space="preserve"> IF(AND(ADN25&gt;20, ADN20&gt;6), "Good Employee", "Bad Employee")</f>
        <v>Bad Employee</v>
      </c>
      <c r="ADO26" t="str">
        <f xml:space="preserve"> IF(AND(ADO25&gt;20, ADO20&gt;6), "Good Employee", "Bad Employee")</f>
        <v>Bad Employee</v>
      </c>
      <c r="ADP26" t="str">
        <f xml:space="preserve"> IF(AND(ADP25&gt;20, ADP20&gt;6), "Good Employee", "Bad Employee")</f>
        <v>Bad Employee</v>
      </c>
      <c r="ADQ26" t="str">
        <f xml:space="preserve"> IF(AND(ADQ25&gt;20, ADQ20&gt;6), "Good Employee", "Bad Employee")</f>
        <v>Bad Employee</v>
      </c>
      <c r="ADR26" t="str">
        <f xml:space="preserve"> IF(AND(ADR25&gt;20, ADR20&gt;6), "Good Employee", "Bad Employee")</f>
        <v>Good Employee</v>
      </c>
      <c r="ADS26" t="str">
        <f xml:space="preserve"> IF(AND(ADS25&gt;20, ADS20&gt;6), "Good Employee", "Bad Employee")</f>
        <v>Bad Employee</v>
      </c>
      <c r="ADT26" t="str">
        <f xml:space="preserve"> IF(AND(ADT25&gt;20, ADT20&gt;6), "Good Employee", "Bad Employee")</f>
        <v>Good Employee</v>
      </c>
      <c r="ADU26" t="str">
        <f xml:space="preserve"> IF(AND(ADU25&gt;20, ADU20&gt;6), "Good Employee", "Bad Employee")</f>
        <v>Bad Employee</v>
      </c>
      <c r="ADV26" t="str">
        <f xml:space="preserve"> IF(AND(ADV25&gt;20, ADV20&gt;6), "Good Employee", "Bad Employee")</f>
        <v>Bad Employee</v>
      </c>
      <c r="ADW26" t="str">
        <f xml:space="preserve"> IF(AND(ADW25&gt;20, ADW20&gt;6), "Good Employee", "Bad Employee")</f>
        <v>Bad Employee</v>
      </c>
      <c r="ADX26" t="str">
        <f xml:space="preserve"> IF(AND(ADX25&gt;20, ADX20&gt;6), "Good Employee", "Bad Employee")</f>
        <v>Bad Employee</v>
      </c>
      <c r="ADY26" t="str">
        <f xml:space="preserve"> IF(AND(ADY25&gt;20, ADY20&gt;6), "Good Employee", "Bad Employee")</f>
        <v>Bad Employee</v>
      </c>
      <c r="ADZ26" t="str">
        <f xml:space="preserve"> IF(AND(ADZ25&gt;20, ADZ20&gt;6), "Good Employee", "Bad Employee")</f>
        <v>Good Employee</v>
      </c>
      <c r="AEA26" t="str">
        <f xml:space="preserve"> IF(AND(AEA25&gt;20, AEA20&gt;6), "Good Employee", "Bad Employee")</f>
        <v>Bad Employee</v>
      </c>
      <c r="AEB26" t="str">
        <f xml:space="preserve"> IF(AND(AEB25&gt;20, AEB20&gt;6), "Good Employee", "Bad Employee")</f>
        <v>Good Employee</v>
      </c>
      <c r="AEC26" t="str">
        <f xml:space="preserve"> IF(AND(AEC25&gt;20, AEC20&gt;6), "Good Employee", "Bad Employee")</f>
        <v>Bad Employee</v>
      </c>
      <c r="AED26" t="str">
        <f xml:space="preserve"> IF(AND(AED25&gt;20, AED20&gt;6), "Good Employee", "Bad Employee")</f>
        <v>Bad Employee</v>
      </c>
      <c r="AEE26" t="str">
        <f xml:space="preserve"> IF(AND(AEE25&gt;20, AEE20&gt;6), "Good Employee", "Bad Employee")</f>
        <v>Bad Employee</v>
      </c>
      <c r="AEF26" t="str">
        <f xml:space="preserve"> IF(AND(AEF25&gt;20, AEF20&gt;6), "Good Employee", "Bad Employee")</f>
        <v>Bad Employee</v>
      </c>
      <c r="AEG26" t="str">
        <f xml:space="preserve"> IF(AND(AEG25&gt;20, AEG20&gt;6), "Good Employee", "Bad Employee")</f>
        <v>Bad Employee</v>
      </c>
      <c r="AEH26" t="str">
        <f xml:space="preserve"> IF(AND(AEH25&gt;20, AEH20&gt;6), "Good Employee", "Bad Employee")</f>
        <v>Bad Employee</v>
      </c>
      <c r="AEI26" t="str">
        <f xml:space="preserve"> IF(AND(AEI25&gt;20, AEI20&gt;6), "Good Employee", "Bad Employee")</f>
        <v>Bad Employee</v>
      </c>
      <c r="AEJ26" t="str">
        <f xml:space="preserve"> IF(AND(AEJ25&gt;20, AEJ20&gt;6), "Good Employee", "Bad Employee")</f>
        <v>Bad Employee</v>
      </c>
      <c r="AEK26" t="str">
        <f xml:space="preserve"> IF(AND(AEK25&gt;20, AEK20&gt;6), "Good Employee", "Bad Employee")</f>
        <v>Good Employee</v>
      </c>
      <c r="AEL26" t="str">
        <f xml:space="preserve"> IF(AND(AEL25&gt;20, AEL20&gt;6), "Good Employee", "Bad Employee")</f>
        <v>Bad Employee</v>
      </c>
      <c r="AEM26" t="str">
        <f xml:space="preserve"> IF(AND(AEM25&gt;20, AEM20&gt;6), "Good Employee", "Bad Employee")</f>
        <v>Bad Employee</v>
      </c>
      <c r="AEN26" t="str">
        <f xml:space="preserve"> IF(AND(AEN25&gt;20, AEN20&gt;6), "Good Employee", "Bad Employee")</f>
        <v>Good Employee</v>
      </c>
      <c r="AEO26" t="str">
        <f xml:space="preserve"> IF(AND(AEO25&gt;20, AEO20&gt;6), "Good Employee", "Bad Employee")</f>
        <v>Bad Employee</v>
      </c>
      <c r="AEP26" t="str">
        <f xml:space="preserve"> IF(AND(AEP25&gt;20, AEP20&gt;6), "Good Employee", "Bad Employee")</f>
        <v>Good Employee</v>
      </c>
      <c r="AEQ26" t="str">
        <f xml:space="preserve"> IF(AND(AEQ25&gt;20, AEQ20&gt;6), "Good Employee", "Bad Employee")</f>
        <v>Bad Employee</v>
      </c>
      <c r="AER26" t="str">
        <f xml:space="preserve"> IF(AND(AER25&gt;20, AER20&gt;6), "Good Employee", "Bad Employee")</f>
        <v>Bad Employee</v>
      </c>
      <c r="AES26" t="str">
        <f xml:space="preserve"> IF(AND(AES25&gt;20, AES20&gt;6), "Good Employee", "Bad Employee")</f>
        <v>Good Employee</v>
      </c>
      <c r="AET26" t="str">
        <f xml:space="preserve"> IF(AND(AET25&gt;20, AET20&gt;6), "Good Employee", "Bad Employee")</f>
        <v>Bad Employee</v>
      </c>
      <c r="AEU26" t="str">
        <f xml:space="preserve"> IF(AND(AEU25&gt;20, AEU20&gt;6), "Good Employee", "Bad Employee")</f>
        <v>Good Employee</v>
      </c>
      <c r="AEV26" t="str">
        <f xml:space="preserve"> IF(AND(AEV25&gt;20, AEV20&gt;6), "Good Employee", "Bad Employee")</f>
        <v>Good Employee</v>
      </c>
      <c r="AEW26" t="str">
        <f xml:space="preserve"> IF(AND(AEW25&gt;20, AEW20&gt;6), "Good Employee", "Bad Employee")</f>
        <v>Bad Employee</v>
      </c>
      <c r="AEX26" t="str">
        <f xml:space="preserve"> IF(AND(AEX25&gt;20, AEX20&gt;6), "Good Employee", "Bad Employee")</f>
        <v>Bad Employee</v>
      </c>
      <c r="AEY26" t="str">
        <f xml:space="preserve"> IF(AND(AEY25&gt;20, AEY20&gt;6), "Good Employee", "Bad Employee")</f>
        <v>Bad Employee</v>
      </c>
      <c r="AEZ26" t="str">
        <f xml:space="preserve"> IF(AND(AEZ25&gt;20, AEZ20&gt;6), "Good Employee", "Bad Employee")</f>
        <v>Bad Employee</v>
      </c>
      <c r="AFA26" t="str">
        <f xml:space="preserve"> IF(AND(AFA25&gt;20, AFA20&gt;6), "Good Employee", "Bad Employee")</f>
        <v>Bad Employee</v>
      </c>
      <c r="AFB26" t="str">
        <f xml:space="preserve"> IF(AND(AFB25&gt;20, AFB20&gt;6), "Good Employee", "Bad Employee")</f>
        <v>Bad Employee</v>
      </c>
      <c r="AFC26" t="str">
        <f xml:space="preserve"> IF(AND(AFC25&gt;20, AFC20&gt;6), "Good Employee", "Bad Employee")</f>
        <v>Bad Employee</v>
      </c>
      <c r="AFD26" t="str">
        <f xml:space="preserve"> IF(AND(AFD25&gt;20, AFD20&gt;6), "Good Employee", "Bad Employee")</f>
        <v>Bad Employee</v>
      </c>
      <c r="AFE26" t="str">
        <f xml:space="preserve"> IF(AND(AFE25&gt;20, AFE20&gt;6), "Good Employee", "Bad Employee")</f>
        <v>Bad Employee</v>
      </c>
      <c r="AFF26" t="str">
        <f xml:space="preserve"> IF(AND(AFF25&gt;20, AFF20&gt;6), "Good Employee", "Bad Employee")</f>
        <v>Bad Employee</v>
      </c>
      <c r="AFG26" t="str">
        <f xml:space="preserve"> IF(AND(AFG25&gt;20, AFG20&gt;6), "Good Employee", "Bad Employee")</f>
        <v>Bad Employee</v>
      </c>
      <c r="AFH26" t="str">
        <f xml:space="preserve"> IF(AND(AFH25&gt;20, AFH20&gt;6), "Good Employee", "Bad Employee")</f>
        <v>Bad Employee</v>
      </c>
      <c r="AFI26" t="str">
        <f xml:space="preserve"> IF(AND(AFI25&gt;20, AFI20&gt;6), "Good Employee", "Bad Employee")</f>
        <v>Bad Employee</v>
      </c>
      <c r="AFJ26" t="str">
        <f xml:space="preserve"> IF(AND(AFJ25&gt;20, AFJ20&gt;6), "Good Employee", "Bad Employee")</f>
        <v>Bad Employee</v>
      </c>
      <c r="AFK26" t="str">
        <f xml:space="preserve"> IF(AND(AFK25&gt;20, AFK20&gt;6), "Good Employee", "Bad Employee")</f>
        <v>Good Employee</v>
      </c>
      <c r="AFL26" t="str">
        <f xml:space="preserve"> IF(AND(AFL25&gt;20, AFL20&gt;6), "Good Employee", "Bad Employee")</f>
        <v>Good Employee</v>
      </c>
      <c r="AFM26" t="str">
        <f xml:space="preserve"> IF(AND(AFM25&gt;20, AFM20&gt;6), "Good Employee", "Bad Employee")</f>
        <v>Bad Employee</v>
      </c>
      <c r="AFN26" t="str">
        <f xml:space="preserve"> IF(AND(AFN25&gt;20, AFN20&gt;6), "Good Employee", "Bad Employee")</f>
        <v>Bad Employee</v>
      </c>
      <c r="AFO26" t="str">
        <f xml:space="preserve"> IF(AND(AFO25&gt;20, AFO20&gt;6), "Good Employee", "Bad Employee")</f>
        <v>Bad Employee</v>
      </c>
      <c r="AFP26" t="str">
        <f xml:space="preserve"> IF(AND(AFP25&gt;20, AFP20&gt;6), "Good Employee", "Bad Employee")</f>
        <v>Good Employee</v>
      </c>
      <c r="AFQ26" t="str">
        <f xml:space="preserve"> IF(AND(AFQ25&gt;20, AFQ20&gt;6), "Good Employee", "Bad Employee")</f>
        <v>Bad Employee</v>
      </c>
      <c r="AFR26" t="str">
        <f xml:space="preserve"> IF(AND(AFR25&gt;20, AFR20&gt;6), "Good Employee", "Bad Employee")</f>
        <v>Bad Employee</v>
      </c>
      <c r="AFS26" t="str">
        <f xml:space="preserve"> IF(AND(AFS25&gt;20, AFS20&gt;6), "Good Employee", "Bad Employee")</f>
        <v>Bad Employee</v>
      </c>
      <c r="AFT26" t="str">
        <f xml:space="preserve"> IF(AND(AFT25&gt;20, AFT20&gt;6), "Good Employee", "Bad Employee")</f>
        <v>Bad Employee</v>
      </c>
      <c r="AFU26" t="str">
        <f xml:space="preserve"> IF(AND(AFU25&gt;20, AFU20&gt;6), "Good Employee", "Bad Employee")</f>
        <v>Bad Employee</v>
      </c>
      <c r="AFV26" t="str">
        <f xml:space="preserve"> IF(AND(AFV25&gt;20, AFV20&gt;6), "Good Employee", "Bad Employee")</f>
        <v>Bad Employee</v>
      </c>
      <c r="AFW26" t="str">
        <f xml:space="preserve"> IF(AND(AFW25&gt;20, AFW20&gt;6), "Good Employee", "Bad Employee")</f>
        <v>Bad Employee</v>
      </c>
      <c r="AFX26" t="str">
        <f xml:space="preserve"> IF(AND(AFX25&gt;20, AFX20&gt;6), "Good Employee", "Bad Employee")</f>
        <v>Bad Employee</v>
      </c>
      <c r="AFY26" t="str">
        <f xml:space="preserve"> IF(AND(AFY25&gt;20, AFY20&gt;6), "Good Employee", "Bad Employee")</f>
        <v>Good Employee</v>
      </c>
      <c r="AFZ26" t="str">
        <f xml:space="preserve"> IF(AND(AFZ25&gt;20, AFZ20&gt;6), "Good Employee", "Bad Employee")</f>
        <v>Bad Employee</v>
      </c>
      <c r="AGA26" t="str">
        <f xml:space="preserve"> IF(AND(AGA25&gt;20, AGA20&gt;6), "Good Employee", "Bad Employee")</f>
        <v>Bad Employee</v>
      </c>
      <c r="AGB26" t="str">
        <f xml:space="preserve"> IF(AND(AGB25&gt;20, AGB20&gt;6), "Good Employee", "Bad Employee")</f>
        <v>Bad Employee</v>
      </c>
      <c r="AGC26" t="str">
        <f xml:space="preserve"> IF(AND(AGC25&gt;20, AGC20&gt;6), "Good Employee", "Bad Employee")</f>
        <v>Good Employee</v>
      </c>
      <c r="AGD26" t="str">
        <f xml:space="preserve"> IF(AND(AGD25&gt;20, AGD20&gt;6), "Good Employee", "Bad Employee")</f>
        <v>Bad Employee</v>
      </c>
      <c r="AGE26" t="str">
        <f xml:space="preserve"> IF(AND(AGE25&gt;20, AGE20&gt;6), "Good Employee", "Bad Employee")</f>
        <v>Bad Employee</v>
      </c>
      <c r="AGF26" t="str">
        <f xml:space="preserve"> IF(AND(AGF25&gt;20, AGF20&gt;6), "Good Employee", "Bad Employee")</f>
        <v>Bad Employee</v>
      </c>
      <c r="AGG26" t="str">
        <f xml:space="preserve"> IF(AND(AGG25&gt;20, AGG20&gt;6), "Good Employee", "Bad Employee")</f>
        <v>Bad Employee</v>
      </c>
      <c r="AGH26" t="str">
        <f xml:space="preserve"> IF(AND(AGH25&gt;20, AGH20&gt;6), "Good Employee", "Bad Employee")</f>
        <v>Good Employee</v>
      </c>
      <c r="AGI26" t="str">
        <f xml:space="preserve"> IF(AND(AGI25&gt;20, AGI20&gt;6), "Good Employee", "Bad Employee")</f>
        <v>Good Employee</v>
      </c>
      <c r="AGJ26" t="str">
        <f xml:space="preserve"> IF(AND(AGJ25&gt;20, AGJ20&gt;6), "Good Employee", "Bad Employee")</f>
        <v>Bad Employee</v>
      </c>
      <c r="AGK26" t="str">
        <f xml:space="preserve"> IF(AND(AGK25&gt;20, AGK20&gt;6), "Good Employee", "Bad Employee")</f>
        <v>Bad Employee</v>
      </c>
      <c r="AGL26" t="str">
        <f xml:space="preserve"> IF(AND(AGL25&gt;20, AGL20&gt;6), "Good Employee", "Bad Employee")</f>
        <v>Good Employee</v>
      </c>
      <c r="AGM26" t="str">
        <f xml:space="preserve"> IF(AND(AGM25&gt;20, AGM20&gt;6), "Good Employee", "Bad Employee")</f>
        <v>Bad Employee</v>
      </c>
      <c r="AGN26" t="str">
        <f xml:space="preserve"> IF(AND(AGN25&gt;20, AGN20&gt;6), "Good Employee", "Bad Employee")</f>
        <v>Bad Employee</v>
      </c>
      <c r="AGO26" t="str">
        <f xml:space="preserve"> IF(AND(AGO25&gt;20, AGO20&gt;6), "Good Employee", "Bad Employee")</f>
        <v>Bad Employee</v>
      </c>
      <c r="AGP26" t="str">
        <f xml:space="preserve"> IF(AND(AGP25&gt;20, AGP20&gt;6), "Good Employee", "Bad Employee")</f>
        <v>Bad Employee</v>
      </c>
      <c r="AGQ26" t="str">
        <f xml:space="preserve"> IF(AND(AGQ25&gt;20, AGQ20&gt;6), "Good Employee", "Bad Employee")</f>
        <v>Bad Employee</v>
      </c>
      <c r="AGR26" t="str">
        <f xml:space="preserve"> IF(AND(AGR25&gt;20, AGR20&gt;6), "Good Employee", "Bad Employee")</f>
        <v>Bad Employee</v>
      </c>
      <c r="AGS26" t="str">
        <f xml:space="preserve"> IF(AND(AGS25&gt;20, AGS20&gt;6), "Good Employee", "Bad Employee")</f>
        <v>Bad Employee</v>
      </c>
      <c r="AGT26" t="str">
        <f xml:space="preserve"> IF(AND(AGT25&gt;20, AGT20&gt;6), "Good Employee", "Bad Employee")</f>
        <v>Bad Employee</v>
      </c>
      <c r="AGU26" t="str">
        <f xml:space="preserve"> IF(AND(AGU25&gt;20, AGU20&gt;6), "Good Employee", "Bad Employee")</f>
        <v>Bad Employee</v>
      </c>
      <c r="AGV26" t="str">
        <f xml:space="preserve"> IF(AND(AGV25&gt;20, AGV20&gt;6), "Good Employee", "Bad Employee")</f>
        <v>Bad Employee</v>
      </c>
      <c r="AGW26" t="str">
        <f xml:space="preserve"> IF(AND(AGW25&gt;20, AGW20&gt;6), "Good Employee", "Bad Employee")</f>
        <v>Bad Employee</v>
      </c>
      <c r="AGX26" t="str">
        <f xml:space="preserve"> IF(AND(AGX25&gt;20, AGX20&gt;6), "Good Employee", "Bad Employee")</f>
        <v>Bad Employee</v>
      </c>
      <c r="AGY26" t="str">
        <f xml:space="preserve"> IF(AND(AGY25&gt;20, AGY20&gt;6), "Good Employee", "Bad Employee")</f>
        <v>Bad Employee</v>
      </c>
      <c r="AGZ26" t="str">
        <f xml:space="preserve"> IF(AND(AGZ25&gt;20, AGZ20&gt;6), "Good Employee", "Bad Employee")</f>
        <v>Bad Employee</v>
      </c>
      <c r="AHA26" t="str">
        <f xml:space="preserve"> IF(AND(AHA25&gt;20, AHA20&gt;6), "Good Employee", "Bad Employee")</f>
        <v>Bad Employee</v>
      </c>
    </row>
    <row r="27" spans="1:885" x14ac:dyDescent="0.25">
      <c r="A27" s="1" t="s">
        <v>102</v>
      </c>
      <c r="B27" t="b">
        <f>AND(B25&gt;20, B20&gt;6)</f>
        <v>0</v>
      </c>
      <c r="C27" t="b">
        <f>AND(C25&gt;20, C20&gt;6)</f>
        <v>1</v>
      </c>
      <c r="D27" t="b">
        <f>AND(D25&gt;20, D20&gt;6)</f>
        <v>0</v>
      </c>
      <c r="E27" t="b">
        <f>AND(E25&gt;20, E20&gt;6)</f>
        <v>1</v>
      </c>
      <c r="F27" t="b">
        <f>AND(F25&gt;20, F20&gt;6)</f>
        <v>0</v>
      </c>
      <c r="G27" t="b">
        <f>AND(G25&gt;20, G20&gt;6)</f>
        <v>0</v>
      </c>
      <c r="H27" t="b">
        <f>AND(H25&gt;20, H20&gt;6)</f>
        <v>0</v>
      </c>
      <c r="I27" t="b">
        <f>AND(I25&gt;20, I20&gt;6)</f>
        <v>0</v>
      </c>
      <c r="J27" t="b">
        <f>AND(J25&gt;20, J20&gt;6)</f>
        <v>0</v>
      </c>
      <c r="K27" t="b">
        <f>AND(K25&gt;20, K20&gt;6)</f>
        <v>0</v>
      </c>
      <c r="L27" t="b">
        <f>AND(L25&gt;20, L20&gt;6)</f>
        <v>0</v>
      </c>
      <c r="M27" t="b">
        <f>AND(M25&gt;20, M20&gt;6)</f>
        <v>0</v>
      </c>
      <c r="N27" t="b">
        <f>AND(N25&gt;20, N20&gt;6)</f>
        <v>0</v>
      </c>
      <c r="O27" t="b">
        <f>AND(O25&gt;20, O20&gt;6)</f>
        <v>0</v>
      </c>
      <c r="P27" t="b">
        <f>AND(P25&gt;20, P20&gt;6)</f>
        <v>0</v>
      </c>
      <c r="Q27" t="b">
        <f>AND(Q25&gt;20, Q20&gt;6)</f>
        <v>0</v>
      </c>
      <c r="R27" t="b">
        <f>AND(R25&gt;20, R20&gt;6)</f>
        <v>0</v>
      </c>
      <c r="S27" t="b">
        <f>AND(S25&gt;20, S20&gt;6)</f>
        <v>0</v>
      </c>
      <c r="T27" t="b">
        <f>AND(T25&gt;20, T20&gt;6)</f>
        <v>0</v>
      </c>
      <c r="U27" t="b">
        <f>AND(U25&gt;20, U20&gt;6)</f>
        <v>1</v>
      </c>
      <c r="V27" t="b">
        <f>AND(V25&gt;20, V20&gt;6)</f>
        <v>0</v>
      </c>
      <c r="W27" t="b">
        <f>AND(W25&gt;20, W20&gt;6)</f>
        <v>0</v>
      </c>
      <c r="X27" t="b">
        <f>AND(X25&gt;20, X20&gt;6)</f>
        <v>0</v>
      </c>
      <c r="Y27" t="b">
        <f>AND(Y25&gt;20, Y20&gt;6)</f>
        <v>0</v>
      </c>
      <c r="Z27" t="b">
        <f>AND(Z25&gt;20, Z20&gt;6)</f>
        <v>0</v>
      </c>
      <c r="AA27" t="b">
        <f>AND(AA25&gt;20, AA20&gt;6)</f>
        <v>0</v>
      </c>
      <c r="AB27" t="b">
        <f>AND(AB25&gt;20, AB20&gt;6)</f>
        <v>0</v>
      </c>
      <c r="AC27" t="b">
        <f>AND(AC25&gt;20, AC20&gt;6)</f>
        <v>0</v>
      </c>
      <c r="AD27" t="b">
        <f>AND(AD25&gt;20, AD20&gt;6)</f>
        <v>1</v>
      </c>
      <c r="AE27" t="b">
        <f>AND(AE25&gt;20, AE20&gt;6)</f>
        <v>0</v>
      </c>
      <c r="AF27" t="b">
        <f>AND(AF25&gt;20, AF20&gt;6)</f>
        <v>0</v>
      </c>
      <c r="AG27" t="b">
        <f>AND(AG25&gt;20, AG20&gt;6)</f>
        <v>0</v>
      </c>
      <c r="AH27" t="b">
        <f>AND(AH25&gt;20, AH20&gt;6)</f>
        <v>0</v>
      </c>
      <c r="AI27" t="b">
        <f>AND(AI25&gt;20, AI20&gt;6)</f>
        <v>0</v>
      </c>
      <c r="AJ27" t="b">
        <f>AND(AJ25&gt;20, AJ20&gt;6)</f>
        <v>0</v>
      </c>
      <c r="AK27" t="b">
        <f>AND(AK25&gt;20, AK20&gt;6)</f>
        <v>0</v>
      </c>
      <c r="AL27" t="b">
        <f>AND(AL25&gt;20, AL20&gt;6)</f>
        <v>0</v>
      </c>
      <c r="AM27" t="b">
        <f>AND(AM25&gt;20, AM20&gt;6)</f>
        <v>1</v>
      </c>
      <c r="AN27" t="b">
        <f>AND(AN25&gt;20, AN20&gt;6)</f>
        <v>0</v>
      </c>
      <c r="AO27" t="b">
        <f>AND(AO25&gt;20, AO20&gt;6)</f>
        <v>0</v>
      </c>
      <c r="AP27" t="b">
        <f>AND(AP25&gt;20, AP20&gt;6)</f>
        <v>0</v>
      </c>
      <c r="AQ27" t="b">
        <f>AND(AQ25&gt;20, AQ20&gt;6)</f>
        <v>0</v>
      </c>
      <c r="AR27" t="b">
        <f>AND(AR25&gt;20, AR20&gt;6)</f>
        <v>0</v>
      </c>
      <c r="AS27" t="b">
        <f>AND(AS25&gt;20, AS20&gt;6)</f>
        <v>1</v>
      </c>
      <c r="AT27" t="b">
        <f>AND(AT25&gt;20, AT20&gt;6)</f>
        <v>0</v>
      </c>
      <c r="AU27" t="b">
        <f>AND(AU25&gt;20, AU20&gt;6)</f>
        <v>1</v>
      </c>
      <c r="AV27" t="b">
        <f>AND(AV25&gt;20, AV20&gt;6)</f>
        <v>0</v>
      </c>
      <c r="AW27" t="b">
        <f>AND(AW25&gt;20, AW20&gt;6)</f>
        <v>0</v>
      </c>
      <c r="AX27" t="b">
        <f>AND(AX25&gt;20, AX20&gt;6)</f>
        <v>0</v>
      </c>
      <c r="AY27" t="b">
        <f>AND(AY25&gt;20, AY20&gt;6)</f>
        <v>0</v>
      </c>
      <c r="AZ27" t="b">
        <f>AND(AZ25&gt;20, AZ20&gt;6)</f>
        <v>0</v>
      </c>
      <c r="BA27" t="b">
        <f>AND(BA25&gt;20, BA20&gt;6)</f>
        <v>0</v>
      </c>
      <c r="BB27" t="b">
        <f>AND(BB25&gt;20, BB20&gt;6)</f>
        <v>1</v>
      </c>
      <c r="BC27" t="b">
        <f>AND(BC25&gt;20, BC20&gt;6)</f>
        <v>0</v>
      </c>
      <c r="BD27" t="b">
        <f>AND(BD25&gt;20, BD20&gt;6)</f>
        <v>0</v>
      </c>
      <c r="BE27" t="b">
        <f>AND(BE25&gt;20, BE20&gt;6)</f>
        <v>0</v>
      </c>
      <c r="BF27" t="b">
        <f>AND(BF25&gt;20, BF20&gt;6)</f>
        <v>1</v>
      </c>
      <c r="BG27" t="b">
        <f>AND(BG25&gt;20, BG20&gt;6)</f>
        <v>0</v>
      </c>
      <c r="BH27" t="b">
        <f>AND(BH25&gt;20, BH20&gt;6)</f>
        <v>0</v>
      </c>
      <c r="BI27" t="b">
        <f>AND(BI25&gt;20, BI20&gt;6)</f>
        <v>1</v>
      </c>
      <c r="BJ27" t="b">
        <f>AND(BJ25&gt;20, BJ20&gt;6)</f>
        <v>0</v>
      </c>
      <c r="BK27" t="b">
        <f>AND(BK25&gt;20, BK20&gt;6)</f>
        <v>0</v>
      </c>
      <c r="BL27" t="b">
        <f>AND(BL25&gt;20, BL20&gt;6)</f>
        <v>0</v>
      </c>
      <c r="BM27" t="b">
        <f>AND(BM25&gt;20, BM20&gt;6)</f>
        <v>0</v>
      </c>
      <c r="BN27" t="b">
        <f>AND(BN25&gt;20, BN20&gt;6)</f>
        <v>0</v>
      </c>
      <c r="BO27" t="b">
        <f>AND(BO25&gt;20, BO20&gt;6)</f>
        <v>0</v>
      </c>
      <c r="BP27" t="b">
        <f>AND(BP25&gt;20, BP20&gt;6)</f>
        <v>1</v>
      </c>
      <c r="BQ27" t="b">
        <f>AND(BQ25&gt;20, BQ20&gt;6)</f>
        <v>0</v>
      </c>
      <c r="BR27" t="b">
        <f>AND(BR25&gt;20, BR20&gt;6)</f>
        <v>0</v>
      </c>
      <c r="BS27" t="b">
        <f>AND(BS25&gt;20, BS20&gt;6)</f>
        <v>0</v>
      </c>
      <c r="BT27" t="b">
        <f>AND(BT25&gt;20, BT20&gt;6)</f>
        <v>0</v>
      </c>
      <c r="BU27" t="b">
        <f>AND(BU25&gt;20, BU20&gt;6)</f>
        <v>0</v>
      </c>
      <c r="BV27" t="b">
        <f>AND(BV25&gt;20, BV20&gt;6)</f>
        <v>0</v>
      </c>
      <c r="BW27" t="b">
        <f>AND(BW25&gt;20, BW20&gt;6)</f>
        <v>0</v>
      </c>
      <c r="BX27" t="b">
        <f>AND(BX25&gt;20, BX20&gt;6)</f>
        <v>0</v>
      </c>
      <c r="BY27" t="b">
        <f>AND(BY25&gt;20, BY20&gt;6)</f>
        <v>1</v>
      </c>
      <c r="BZ27" t="b">
        <f>AND(BZ25&gt;20, BZ20&gt;6)</f>
        <v>0</v>
      </c>
      <c r="CA27" t="b">
        <f>AND(CA25&gt;20, CA20&gt;6)</f>
        <v>0</v>
      </c>
      <c r="CB27" t="b">
        <f>AND(CB25&gt;20, CB20&gt;6)</f>
        <v>0</v>
      </c>
      <c r="CC27" t="b">
        <f>AND(CC25&gt;20, CC20&gt;6)</f>
        <v>0</v>
      </c>
      <c r="CD27" t="b">
        <f>AND(CD25&gt;20, CD20&gt;6)</f>
        <v>1</v>
      </c>
      <c r="CE27" t="b">
        <f>AND(CE25&gt;20, CE20&gt;6)</f>
        <v>0</v>
      </c>
      <c r="CF27" t="b">
        <f>AND(CF25&gt;20, CF20&gt;6)</f>
        <v>1</v>
      </c>
      <c r="CG27" t="b">
        <f>AND(CG25&gt;20, CG20&gt;6)</f>
        <v>0</v>
      </c>
      <c r="CH27" t="b">
        <f>AND(CH25&gt;20, CH20&gt;6)</f>
        <v>0</v>
      </c>
      <c r="CI27" t="b">
        <f>AND(CI25&gt;20, CI20&gt;6)</f>
        <v>0</v>
      </c>
      <c r="CJ27" t="b">
        <f>AND(CJ25&gt;20, CJ20&gt;6)</f>
        <v>0</v>
      </c>
      <c r="CK27" t="b">
        <f>AND(CK25&gt;20, CK20&gt;6)</f>
        <v>0</v>
      </c>
      <c r="CL27" t="b">
        <f>AND(CL25&gt;20, CL20&gt;6)</f>
        <v>0</v>
      </c>
      <c r="CM27" t="b">
        <f>AND(CM25&gt;20, CM20&gt;6)</f>
        <v>0</v>
      </c>
      <c r="CN27" t="b">
        <f>AND(CN25&gt;20, CN20&gt;6)</f>
        <v>1</v>
      </c>
      <c r="CO27" t="b">
        <f>AND(CO25&gt;20, CO20&gt;6)</f>
        <v>0</v>
      </c>
      <c r="CP27" t="b">
        <f>AND(CP25&gt;20, CP20&gt;6)</f>
        <v>0</v>
      </c>
      <c r="CQ27" t="b">
        <f>AND(CQ25&gt;20, CQ20&gt;6)</f>
        <v>1</v>
      </c>
      <c r="CR27" t="b">
        <f>AND(CR25&gt;20, CR20&gt;6)</f>
        <v>0</v>
      </c>
      <c r="CS27" t="b">
        <f>AND(CS25&gt;20, CS20&gt;6)</f>
        <v>0</v>
      </c>
      <c r="CT27" t="b">
        <f>AND(CT25&gt;20, CT20&gt;6)</f>
        <v>0</v>
      </c>
      <c r="CU27" t="b">
        <f>AND(CU25&gt;20, CU20&gt;6)</f>
        <v>0</v>
      </c>
      <c r="CV27" t="b">
        <f>AND(CV25&gt;20, CV20&gt;6)</f>
        <v>0</v>
      </c>
      <c r="CW27" t="b">
        <f>AND(CW25&gt;20, CW20&gt;6)</f>
        <v>0</v>
      </c>
      <c r="CX27" t="b">
        <f>AND(CX25&gt;20, CX20&gt;6)</f>
        <v>0</v>
      </c>
      <c r="CY27" t="b">
        <f>AND(CY25&gt;20, CY20&gt;6)</f>
        <v>1</v>
      </c>
      <c r="CZ27" t="b">
        <f>AND(CZ25&gt;20, CZ20&gt;6)</f>
        <v>0</v>
      </c>
      <c r="DA27" t="b">
        <f>AND(DA25&gt;20, DA20&gt;6)</f>
        <v>0</v>
      </c>
      <c r="DB27" t="b">
        <f>AND(DB25&gt;20, DB20&gt;6)</f>
        <v>1</v>
      </c>
      <c r="DC27" t="b">
        <f>AND(DC25&gt;20, DC20&gt;6)</f>
        <v>0</v>
      </c>
      <c r="DD27" t="b">
        <f>AND(DD25&gt;20, DD20&gt;6)</f>
        <v>0</v>
      </c>
      <c r="DE27" t="b">
        <f>AND(DE25&gt;20, DE20&gt;6)</f>
        <v>0</v>
      </c>
      <c r="DF27" t="b">
        <f>AND(DF25&gt;20, DF20&gt;6)</f>
        <v>0</v>
      </c>
      <c r="DG27" t="b">
        <f>AND(DG25&gt;20, DG20&gt;6)</f>
        <v>0</v>
      </c>
      <c r="DH27" t="b">
        <f>AND(DH25&gt;20, DH20&gt;6)</f>
        <v>0</v>
      </c>
      <c r="DI27" t="b">
        <f>AND(DI25&gt;20, DI20&gt;6)</f>
        <v>0</v>
      </c>
      <c r="DJ27" t="b">
        <f>AND(DJ25&gt;20, DJ20&gt;6)</f>
        <v>1</v>
      </c>
      <c r="DK27" t="b">
        <f>AND(DK25&gt;20, DK20&gt;6)</f>
        <v>1</v>
      </c>
      <c r="DL27" t="b">
        <f>AND(DL25&gt;20, DL20&gt;6)</f>
        <v>0</v>
      </c>
      <c r="DM27" t="b">
        <f>AND(DM25&gt;20, DM20&gt;6)</f>
        <v>0</v>
      </c>
      <c r="DN27" t="b">
        <f>AND(DN25&gt;20, DN20&gt;6)</f>
        <v>0</v>
      </c>
      <c r="DO27" t="b">
        <f>AND(DO25&gt;20, DO20&gt;6)</f>
        <v>0</v>
      </c>
      <c r="DP27" t="b">
        <f>AND(DP25&gt;20, DP20&gt;6)</f>
        <v>1</v>
      </c>
      <c r="DQ27" t="b">
        <f>AND(DQ25&gt;20, DQ20&gt;6)</f>
        <v>0</v>
      </c>
      <c r="DR27" t="b">
        <f>AND(DR25&gt;20, DR20&gt;6)</f>
        <v>0</v>
      </c>
      <c r="DS27" t="b">
        <f>AND(DS25&gt;20, DS20&gt;6)</f>
        <v>0</v>
      </c>
      <c r="DT27" t="b">
        <f>AND(DT25&gt;20, DT20&gt;6)</f>
        <v>0</v>
      </c>
      <c r="DU27" t="b">
        <f>AND(DU25&gt;20, DU20&gt;6)</f>
        <v>0</v>
      </c>
      <c r="DV27" t="b">
        <f>AND(DV25&gt;20, DV20&gt;6)</f>
        <v>0</v>
      </c>
      <c r="DW27" t="b">
        <f>AND(DW25&gt;20, DW20&gt;6)</f>
        <v>0</v>
      </c>
      <c r="DX27" t="b">
        <f>AND(DX25&gt;20, DX20&gt;6)</f>
        <v>0</v>
      </c>
      <c r="DY27" t="b">
        <f>AND(DY25&gt;20, DY20&gt;6)</f>
        <v>0</v>
      </c>
      <c r="DZ27" t="b">
        <f>AND(DZ25&gt;20, DZ20&gt;6)</f>
        <v>0</v>
      </c>
      <c r="EA27" t="b">
        <f>AND(EA25&gt;20, EA20&gt;6)</f>
        <v>1</v>
      </c>
      <c r="EB27" t="b">
        <f>AND(EB25&gt;20, EB20&gt;6)</f>
        <v>0</v>
      </c>
      <c r="EC27" t="b">
        <f>AND(EC25&gt;20, EC20&gt;6)</f>
        <v>0</v>
      </c>
      <c r="ED27" t="b">
        <f>AND(ED25&gt;20, ED20&gt;6)</f>
        <v>1</v>
      </c>
      <c r="EE27" t="b">
        <f>AND(EE25&gt;20, EE20&gt;6)</f>
        <v>0</v>
      </c>
      <c r="EF27" t="b">
        <f>AND(EF25&gt;20, EF20&gt;6)</f>
        <v>0</v>
      </c>
      <c r="EG27" t="b">
        <f>AND(EG25&gt;20, EG20&gt;6)</f>
        <v>0</v>
      </c>
      <c r="EH27" t="b">
        <f>AND(EH25&gt;20, EH20&gt;6)</f>
        <v>0</v>
      </c>
      <c r="EI27" t="b">
        <f>AND(EI25&gt;20, EI20&gt;6)</f>
        <v>0</v>
      </c>
      <c r="EJ27" t="b">
        <f>AND(EJ25&gt;20, EJ20&gt;6)</f>
        <v>0</v>
      </c>
      <c r="EK27" t="b">
        <f>AND(EK25&gt;20, EK20&gt;6)</f>
        <v>0</v>
      </c>
      <c r="EL27" t="b">
        <f>AND(EL25&gt;20, EL20&gt;6)</f>
        <v>1</v>
      </c>
      <c r="EM27" t="b">
        <f>AND(EM25&gt;20, EM20&gt;6)</f>
        <v>0</v>
      </c>
      <c r="EN27" t="b">
        <f>AND(EN25&gt;20, EN20&gt;6)</f>
        <v>0</v>
      </c>
      <c r="EO27" t="b">
        <f>AND(EO25&gt;20, EO20&gt;6)</f>
        <v>0</v>
      </c>
      <c r="EP27" t="b">
        <f>AND(EP25&gt;20, EP20&gt;6)</f>
        <v>0</v>
      </c>
      <c r="EQ27" t="b">
        <f>AND(EQ25&gt;20, EQ20&gt;6)</f>
        <v>0</v>
      </c>
      <c r="ER27" t="b">
        <f>AND(ER25&gt;20, ER20&gt;6)</f>
        <v>0</v>
      </c>
      <c r="ES27" t="b">
        <f>AND(ES25&gt;20, ES20&gt;6)</f>
        <v>0</v>
      </c>
      <c r="ET27" t="b">
        <f>AND(ET25&gt;20, ET20&gt;6)</f>
        <v>0</v>
      </c>
      <c r="EU27" t="b">
        <f>AND(EU25&gt;20, EU20&gt;6)</f>
        <v>0</v>
      </c>
      <c r="EV27" t="b">
        <f>AND(EV25&gt;20, EV20&gt;6)</f>
        <v>0</v>
      </c>
      <c r="EW27" t="b">
        <f>AND(EW25&gt;20, EW20&gt;6)</f>
        <v>0</v>
      </c>
      <c r="EX27" t="b">
        <f>AND(EX25&gt;20, EX20&gt;6)</f>
        <v>0</v>
      </c>
      <c r="EY27" t="b">
        <f>AND(EY25&gt;20, EY20&gt;6)</f>
        <v>0</v>
      </c>
      <c r="EZ27" t="b">
        <f>AND(EZ25&gt;20, EZ20&gt;6)</f>
        <v>1</v>
      </c>
      <c r="FA27" t="b">
        <f>AND(FA25&gt;20, FA20&gt;6)</f>
        <v>1</v>
      </c>
      <c r="FB27" t="b">
        <f>AND(FB25&gt;20, FB20&gt;6)</f>
        <v>0</v>
      </c>
      <c r="FC27" t="b">
        <f>AND(FC25&gt;20, FC20&gt;6)</f>
        <v>0</v>
      </c>
      <c r="FD27" t="b">
        <f>AND(FD25&gt;20, FD20&gt;6)</f>
        <v>0</v>
      </c>
      <c r="FE27" t="b">
        <f>AND(FE25&gt;20, FE20&gt;6)</f>
        <v>0</v>
      </c>
      <c r="FF27" t="b">
        <f>AND(FF25&gt;20, FF20&gt;6)</f>
        <v>0</v>
      </c>
      <c r="FG27" t="b">
        <f>AND(FG25&gt;20, FG20&gt;6)</f>
        <v>0</v>
      </c>
      <c r="FH27" t="b">
        <f>AND(FH25&gt;20, FH20&gt;6)</f>
        <v>0</v>
      </c>
      <c r="FI27" t="b">
        <f>AND(FI25&gt;20, FI20&gt;6)</f>
        <v>0</v>
      </c>
      <c r="FJ27" t="b">
        <f>AND(FJ25&gt;20, FJ20&gt;6)</f>
        <v>0</v>
      </c>
      <c r="FK27" t="b">
        <f>AND(FK25&gt;20, FK20&gt;6)</f>
        <v>0</v>
      </c>
      <c r="FL27" t="b">
        <f>AND(FL25&gt;20, FL20&gt;6)</f>
        <v>0</v>
      </c>
      <c r="FM27" t="b">
        <f>AND(FM25&gt;20, FM20&gt;6)</f>
        <v>0</v>
      </c>
      <c r="FN27" t="b">
        <f>AND(FN25&gt;20, FN20&gt;6)</f>
        <v>0</v>
      </c>
      <c r="FO27" t="b">
        <f>AND(FO25&gt;20, FO20&gt;6)</f>
        <v>0</v>
      </c>
      <c r="FP27" t="b">
        <f>AND(FP25&gt;20, FP20&gt;6)</f>
        <v>0</v>
      </c>
      <c r="FQ27" t="b">
        <f>AND(FQ25&gt;20, FQ20&gt;6)</f>
        <v>0</v>
      </c>
      <c r="FR27" t="b">
        <f>AND(FR25&gt;20, FR20&gt;6)</f>
        <v>0</v>
      </c>
      <c r="FS27" t="b">
        <f>AND(FS25&gt;20, FS20&gt;6)</f>
        <v>0</v>
      </c>
      <c r="FT27" t="b">
        <f>AND(FT25&gt;20, FT20&gt;6)</f>
        <v>1</v>
      </c>
      <c r="FU27" t="b">
        <f>AND(FU25&gt;20, FU20&gt;6)</f>
        <v>0</v>
      </c>
      <c r="FV27" t="b">
        <f>AND(FV25&gt;20, FV20&gt;6)</f>
        <v>0</v>
      </c>
      <c r="FW27" t="b">
        <f>AND(FW25&gt;20, FW20&gt;6)</f>
        <v>0</v>
      </c>
      <c r="FX27" t="b">
        <f>AND(FX25&gt;20, FX20&gt;6)</f>
        <v>0</v>
      </c>
      <c r="FY27" t="b">
        <f>AND(FY25&gt;20, FY20&gt;6)</f>
        <v>0</v>
      </c>
      <c r="FZ27" t="b">
        <f>AND(FZ25&gt;20, FZ20&gt;6)</f>
        <v>0</v>
      </c>
      <c r="GA27" t="b">
        <f>AND(GA25&gt;20, GA20&gt;6)</f>
        <v>1</v>
      </c>
      <c r="GB27" t="b">
        <f>AND(GB25&gt;20, GB20&gt;6)</f>
        <v>0</v>
      </c>
      <c r="GC27" t="b">
        <f>AND(GC25&gt;20, GC20&gt;6)</f>
        <v>0</v>
      </c>
      <c r="GD27" t="b">
        <f>AND(GD25&gt;20, GD20&gt;6)</f>
        <v>0</v>
      </c>
      <c r="GE27" t="b">
        <f>AND(GE25&gt;20, GE20&gt;6)</f>
        <v>0</v>
      </c>
      <c r="GF27" t="b">
        <f>AND(GF25&gt;20, GF20&gt;6)</f>
        <v>1</v>
      </c>
      <c r="GG27" t="b">
        <f>AND(GG25&gt;20, GG20&gt;6)</f>
        <v>1</v>
      </c>
      <c r="GH27" t="b">
        <f>AND(GH25&gt;20, GH20&gt;6)</f>
        <v>1</v>
      </c>
      <c r="GI27" t="b">
        <f>AND(GI25&gt;20, GI20&gt;6)</f>
        <v>0</v>
      </c>
      <c r="GJ27" t="b">
        <f>AND(GJ25&gt;20, GJ20&gt;6)</f>
        <v>0</v>
      </c>
      <c r="GK27" t="b">
        <f>AND(GK25&gt;20, GK20&gt;6)</f>
        <v>0</v>
      </c>
      <c r="GL27" t="b">
        <f>AND(GL25&gt;20, GL20&gt;6)</f>
        <v>0</v>
      </c>
      <c r="GM27" t="b">
        <f>AND(GM25&gt;20, GM20&gt;6)</f>
        <v>0</v>
      </c>
      <c r="GN27" t="b">
        <f>AND(GN25&gt;20, GN20&gt;6)</f>
        <v>0</v>
      </c>
      <c r="GO27" t="b">
        <f>AND(GO25&gt;20, GO20&gt;6)</f>
        <v>1</v>
      </c>
      <c r="GP27" t="b">
        <f>AND(GP25&gt;20, GP20&gt;6)</f>
        <v>0</v>
      </c>
      <c r="GQ27" t="b">
        <f>AND(GQ25&gt;20, GQ20&gt;6)</f>
        <v>0</v>
      </c>
      <c r="GR27" t="b">
        <f>AND(GR25&gt;20, GR20&gt;6)</f>
        <v>0</v>
      </c>
      <c r="GS27" t="b">
        <f>AND(GS25&gt;20, GS20&gt;6)</f>
        <v>0</v>
      </c>
      <c r="GT27" t="b">
        <f>AND(GT25&gt;20, GT20&gt;6)</f>
        <v>0</v>
      </c>
      <c r="GU27" t="b">
        <f>AND(GU25&gt;20, GU20&gt;6)</f>
        <v>1</v>
      </c>
      <c r="GV27" t="b">
        <f>AND(GV25&gt;20, GV20&gt;6)</f>
        <v>0</v>
      </c>
      <c r="GW27" t="b">
        <f>AND(GW25&gt;20, GW20&gt;6)</f>
        <v>0</v>
      </c>
      <c r="GX27" t="b">
        <f>AND(GX25&gt;20, GX20&gt;6)</f>
        <v>1</v>
      </c>
      <c r="GY27" t="b">
        <f>AND(GY25&gt;20, GY20&gt;6)</f>
        <v>1</v>
      </c>
      <c r="GZ27" t="b">
        <f>AND(GZ25&gt;20, GZ20&gt;6)</f>
        <v>0</v>
      </c>
      <c r="HA27" t="b">
        <f>AND(HA25&gt;20, HA20&gt;6)</f>
        <v>1</v>
      </c>
      <c r="HB27" t="b">
        <f>AND(HB25&gt;20, HB20&gt;6)</f>
        <v>1</v>
      </c>
      <c r="HC27" t="b">
        <f>AND(HC25&gt;20, HC20&gt;6)</f>
        <v>0</v>
      </c>
      <c r="HD27" t="b">
        <f>AND(HD25&gt;20, HD20&gt;6)</f>
        <v>0</v>
      </c>
      <c r="HE27" t="b">
        <f>AND(HE25&gt;20, HE20&gt;6)</f>
        <v>0</v>
      </c>
      <c r="HF27" t="b">
        <f>AND(HF25&gt;20, HF20&gt;6)</f>
        <v>0</v>
      </c>
      <c r="HG27" t="b">
        <f>AND(HG25&gt;20, HG20&gt;6)</f>
        <v>0</v>
      </c>
      <c r="HH27" t="b">
        <f>AND(HH25&gt;20, HH20&gt;6)</f>
        <v>0</v>
      </c>
      <c r="HI27" t="b">
        <f>AND(HI25&gt;20, HI20&gt;6)</f>
        <v>1</v>
      </c>
      <c r="HJ27" t="b">
        <f>AND(HJ25&gt;20, HJ20&gt;6)</f>
        <v>1</v>
      </c>
      <c r="HK27" t="b">
        <f>AND(HK25&gt;20, HK20&gt;6)</f>
        <v>0</v>
      </c>
      <c r="HL27" t="b">
        <f>AND(HL25&gt;20, HL20&gt;6)</f>
        <v>0</v>
      </c>
      <c r="HM27" t="b">
        <f>AND(HM25&gt;20, HM20&gt;6)</f>
        <v>0</v>
      </c>
      <c r="HN27" t="b">
        <f>AND(HN25&gt;20, HN20&gt;6)</f>
        <v>0</v>
      </c>
      <c r="HO27" t="b">
        <f>AND(HO25&gt;20, HO20&gt;6)</f>
        <v>0</v>
      </c>
      <c r="HP27" t="b">
        <f>AND(HP25&gt;20, HP20&gt;6)</f>
        <v>1</v>
      </c>
      <c r="HQ27" t="b">
        <f>AND(HQ25&gt;20, HQ20&gt;6)</f>
        <v>0</v>
      </c>
      <c r="HR27" t="b">
        <f>AND(HR25&gt;20, HR20&gt;6)</f>
        <v>0</v>
      </c>
      <c r="HS27" t="b">
        <f>AND(HS25&gt;20, HS20&gt;6)</f>
        <v>0</v>
      </c>
      <c r="HT27" t="b">
        <f>AND(HT25&gt;20, HT20&gt;6)</f>
        <v>0</v>
      </c>
      <c r="HU27" t="b">
        <f>AND(HU25&gt;20, HU20&gt;6)</f>
        <v>0</v>
      </c>
      <c r="HV27" t="b">
        <f>AND(HV25&gt;20, HV20&gt;6)</f>
        <v>0</v>
      </c>
      <c r="HW27" t="b">
        <f>AND(HW25&gt;20, HW20&gt;6)</f>
        <v>0</v>
      </c>
      <c r="HX27" t="b">
        <f>AND(HX25&gt;20, HX20&gt;6)</f>
        <v>0</v>
      </c>
      <c r="HY27" t="b">
        <f>AND(HY25&gt;20, HY20&gt;6)</f>
        <v>0</v>
      </c>
      <c r="HZ27" t="b">
        <f>AND(HZ25&gt;20, HZ20&gt;6)</f>
        <v>0</v>
      </c>
      <c r="IA27" t="b">
        <f>AND(IA25&gt;20, IA20&gt;6)</f>
        <v>0</v>
      </c>
      <c r="IB27" t="b">
        <f>AND(IB25&gt;20, IB20&gt;6)</f>
        <v>0</v>
      </c>
      <c r="IC27" t="b">
        <f>AND(IC25&gt;20, IC20&gt;6)</f>
        <v>0</v>
      </c>
      <c r="ID27" t="b">
        <f>AND(ID25&gt;20, ID20&gt;6)</f>
        <v>1</v>
      </c>
      <c r="IE27" t="b">
        <f>AND(IE25&gt;20, IE20&gt;6)</f>
        <v>0</v>
      </c>
      <c r="IF27" t="b">
        <f>AND(IF25&gt;20, IF20&gt;6)</f>
        <v>0</v>
      </c>
      <c r="IG27" t="b">
        <f>AND(IG25&gt;20, IG20&gt;6)</f>
        <v>0</v>
      </c>
      <c r="IH27" t="b">
        <f>AND(IH25&gt;20, IH20&gt;6)</f>
        <v>0</v>
      </c>
      <c r="II27" t="b">
        <f>AND(II25&gt;20, II20&gt;6)</f>
        <v>0</v>
      </c>
      <c r="IJ27" t="b">
        <f>AND(IJ25&gt;20, IJ20&gt;6)</f>
        <v>0</v>
      </c>
      <c r="IK27" t="b">
        <f>AND(IK25&gt;20, IK20&gt;6)</f>
        <v>0</v>
      </c>
      <c r="IL27" t="b">
        <f>AND(IL25&gt;20, IL20&gt;6)</f>
        <v>0</v>
      </c>
      <c r="IM27" t="b">
        <f>AND(IM25&gt;20, IM20&gt;6)</f>
        <v>0</v>
      </c>
      <c r="IN27" t="b">
        <f>AND(IN25&gt;20, IN20&gt;6)</f>
        <v>0</v>
      </c>
      <c r="IO27" t="b">
        <f>AND(IO25&gt;20, IO20&gt;6)</f>
        <v>0</v>
      </c>
      <c r="IP27" t="b">
        <f>AND(IP25&gt;20, IP20&gt;6)</f>
        <v>1</v>
      </c>
      <c r="IQ27" t="b">
        <f>AND(IQ25&gt;20, IQ20&gt;6)</f>
        <v>0</v>
      </c>
      <c r="IR27" t="b">
        <f>AND(IR25&gt;20, IR20&gt;6)</f>
        <v>0</v>
      </c>
      <c r="IS27" t="b">
        <f>AND(IS25&gt;20, IS20&gt;6)</f>
        <v>0</v>
      </c>
      <c r="IT27" t="b">
        <f>AND(IT25&gt;20, IT20&gt;6)</f>
        <v>0</v>
      </c>
      <c r="IU27" t="b">
        <f>AND(IU25&gt;20, IU20&gt;6)</f>
        <v>0</v>
      </c>
      <c r="IV27" t="b">
        <f>AND(IV25&gt;20, IV20&gt;6)</f>
        <v>0</v>
      </c>
      <c r="IW27" t="b">
        <f>AND(IW25&gt;20, IW20&gt;6)</f>
        <v>0</v>
      </c>
      <c r="IX27" t="b">
        <f>AND(IX25&gt;20, IX20&gt;6)</f>
        <v>0</v>
      </c>
      <c r="IY27" t="b">
        <f>AND(IY25&gt;20, IY20&gt;6)</f>
        <v>0</v>
      </c>
      <c r="IZ27" t="b">
        <f>AND(IZ25&gt;20, IZ20&gt;6)</f>
        <v>0</v>
      </c>
      <c r="JA27" t="b">
        <f>AND(JA25&gt;20, JA20&gt;6)</f>
        <v>0</v>
      </c>
      <c r="JB27" t="b">
        <f>AND(JB25&gt;20, JB20&gt;6)</f>
        <v>1</v>
      </c>
      <c r="JC27" t="b">
        <f>AND(JC25&gt;20, JC20&gt;6)</f>
        <v>0</v>
      </c>
      <c r="JD27" t="b">
        <f>AND(JD25&gt;20, JD20&gt;6)</f>
        <v>0</v>
      </c>
      <c r="JE27" t="b">
        <f>AND(JE25&gt;20, JE20&gt;6)</f>
        <v>1</v>
      </c>
      <c r="JF27" t="b">
        <f>AND(JF25&gt;20, JF20&gt;6)</f>
        <v>1</v>
      </c>
      <c r="JG27" t="b">
        <f>AND(JG25&gt;20, JG20&gt;6)</f>
        <v>1</v>
      </c>
      <c r="JH27" t="b">
        <f>AND(JH25&gt;20, JH20&gt;6)</f>
        <v>1</v>
      </c>
      <c r="JI27" t="b">
        <f>AND(JI25&gt;20, JI20&gt;6)</f>
        <v>0</v>
      </c>
      <c r="JJ27" t="b">
        <f>AND(JJ25&gt;20, JJ20&gt;6)</f>
        <v>0</v>
      </c>
      <c r="JK27" t="b">
        <f>AND(JK25&gt;20, JK20&gt;6)</f>
        <v>1</v>
      </c>
      <c r="JL27" t="b">
        <f>AND(JL25&gt;20, JL20&gt;6)</f>
        <v>0</v>
      </c>
      <c r="JM27" t="b">
        <f>AND(JM25&gt;20, JM20&gt;6)</f>
        <v>0</v>
      </c>
      <c r="JN27" t="b">
        <f>AND(JN25&gt;20, JN20&gt;6)</f>
        <v>0</v>
      </c>
      <c r="JO27" t="b">
        <f>AND(JO25&gt;20, JO20&gt;6)</f>
        <v>0</v>
      </c>
      <c r="JP27" t="b">
        <f>AND(JP25&gt;20, JP20&gt;6)</f>
        <v>0</v>
      </c>
      <c r="JQ27" t="b">
        <f>AND(JQ25&gt;20, JQ20&gt;6)</f>
        <v>0</v>
      </c>
      <c r="JR27" t="b">
        <f>AND(JR25&gt;20, JR20&gt;6)</f>
        <v>1</v>
      </c>
      <c r="JS27" t="b">
        <f>AND(JS25&gt;20, JS20&gt;6)</f>
        <v>0</v>
      </c>
      <c r="JT27" t="b">
        <f>AND(JT25&gt;20, JT20&gt;6)</f>
        <v>0</v>
      </c>
      <c r="JU27" t="b">
        <f>AND(JU25&gt;20, JU20&gt;6)</f>
        <v>1</v>
      </c>
      <c r="JV27" t="b">
        <f>AND(JV25&gt;20, JV20&gt;6)</f>
        <v>1</v>
      </c>
      <c r="JW27" t="b">
        <f>AND(JW25&gt;20, JW20&gt;6)</f>
        <v>0</v>
      </c>
      <c r="JX27" t="b">
        <f>AND(JX25&gt;20, JX20&gt;6)</f>
        <v>0</v>
      </c>
      <c r="JY27" t="b">
        <f>AND(JY25&gt;20, JY20&gt;6)</f>
        <v>0</v>
      </c>
      <c r="JZ27" t="b">
        <f>AND(JZ25&gt;20, JZ20&gt;6)</f>
        <v>0</v>
      </c>
      <c r="KA27" t="b">
        <f>AND(KA25&gt;20, KA20&gt;6)</f>
        <v>0</v>
      </c>
      <c r="KB27" t="b">
        <f>AND(KB25&gt;20, KB20&gt;6)</f>
        <v>1</v>
      </c>
      <c r="KC27" t="b">
        <f>AND(KC25&gt;20, KC20&gt;6)</f>
        <v>0</v>
      </c>
      <c r="KD27" t="b">
        <f>AND(KD25&gt;20, KD20&gt;6)</f>
        <v>0</v>
      </c>
      <c r="KE27" t="b">
        <f>AND(KE25&gt;20, KE20&gt;6)</f>
        <v>0</v>
      </c>
      <c r="KF27" t="b">
        <f>AND(KF25&gt;20, KF20&gt;6)</f>
        <v>0</v>
      </c>
      <c r="KG27" t="b">
        <f>AND(KG25&gt;20, KG20&gt;6)</f>
        <v>1</v>
      </c>
      <c r="KH27" t="b">
        <f>AND(KH25&gt;20, KH20&gt;6)</f>
        <v>0</v>
      </c>
      <c r="KI27" t="b">
        <f>AND(KI25&gt;20, KI20&gt;6)</f>
        <v>0</v>
      </c>
      <c r="KJ27" t="b">
        <f>AND(KJ25&gt;20, KJ20&gt;6)</f>
        <v>0</v>
      </c>
      <c r="KK27" t="b">
        <f>AND(KK25&gt;20, KK20&gt;6)</f>
        <v>1</v>
      </c>
      <c r="KL27" t="b">
        <f>AND(KL25&gt;20, KL20&gt;6)</f>
        <v>0</v>
      </c>
      <c r="KM27" t="b">
        <f>AND(KM25&gt;20, KM20&gt;6)</f>
        <v>0</v>
      </c>
      <c r="KN27" t="b">
        <f>AND(KN25&gt;20, KN20&gt;6)</f>
        <v>0</v>
      </c>
      <c r="KO27" t="b">
        <f>AND(KO25&gt;20, KO20&gt;6)</f>
        <v>0</v>
      </c>
      <c r="KP27" t="b">
        <f>AND(KP25&gt;20, KP20&gt;6)</f>
        <v>0</v>
      </c>
      <c r="KQ27" t="b">
        <f>AND(KQ25&gt;20, KQ20&gt;6)</f>
        <v>0</v>
      </c>
      <c r="KR27" t="b">
        <f>AND(KR25&gt;20, KR20&gt;6)</f>
        <v>0</v>
      </c>
      <c r="KS27" t="b">
        <f>AND(KS25&gt;20, KS20&gt;6)</f>
        <v>1</v>
      </c>
      <c r="KT27" t="b">
        <f>AND(KT25&gt;20, KT20&gt;6)</f>
        <v>0</v>
      </c>
      <c r="KU27" t="b">
        <f>AND(KU25&gt;20, KU20&gt;6)</f>
        <v>0</v>
      </c>
      <c r="KV27" t="b">
        <f>AND(KV25&gt;20, KV20&gt;6)</f>
        <v>0</v>
      </c>
      <c r="KW27" t="b">
        <f>AND(KW25&gt;20, KW20&gt;6)</f>
        <v>0</v>
      </c>
      <c r="KX27" t="b">
        <f>AND(KX25&gt;20, KX20&gt;6)</f>
        <v>0</v>
      </c>
      <c r="KY27" t="b">
        <f>AND(KY25&gt;20, KY20&gt;6)</f>
        <v>0</v>
      </c>
      <c r="KZ27" t="b">
        <f>AND(KZ25&gt;20, KZ20&gt;6)</f>
        <v>0</v>
      </c>
      <c r="LA27" t="b">
        <f>AND(LA25&gt;20, LA20&gt;6)</f>
        <v>0</v>
      </c>
      <c r="LB27" t="b">
        <f>AND(LB25&gt;20, LB20&gt;6)</f>
        <v>0</v>
      </c>
      <c r="LC27" t="b">
        <f>AND(LC25&gt;20, LC20&gt;6)</f>
        <v>0</v>
      </c>
      <c r="LD27" t="b">
        <f>AND(LD25&gt;20, LD20&gt;6)</f>
        <v>0</v>
      </c>
      <c r="LE27" t="b">
        <f>AND(LE25&gt;20, LE20&gt;6)</f>
        <v>0</v>
      </c>
      <c r="LF27" t="b">
        <f>AND(LF25&gt;20, LF20&gt;6)</f>
        <v>0</v>
      </c>
      <c r="LG27" t="b">
        <f>AND(LG25&gt;20, LG20&gt;6)</f>
        <v>1</v>
      </c>
      <c r="LH27" t="b">
        <f>AND(LH25&gt;20, LH20&gt;6)</f>
        <v>0</v>
      </c>
      <c r="LI27" t="b">
        <f>AND(LI25&gt;20, LI20&gt;6)</f>
        <v>0</v>
      </c>
      <c r="LJ27" t="b">
        <f>AND(LJ25&gt;20, LJ20&gt;6)</f>
        <v>0</v>
      </c>
      <c r="LK27" t="b">
        <f>AND(LK25&gt;20, LK20&gt;6)</f>
        <v>0</v>
      </c>
      <c r="LL27" t="b">
        <f>AND(LL25&gt;20, LL20&gt;6)</f>
        <v>0</v>
      </c>
      <c r="LM27" t="b">
        <f>AND(LM25&gt;20, LM20&gt;6)</f>
        <v>0</v>
      </c>
      <c r="LN27" t="b">
        <f>AND(LN25&gt;20, LN20&gt;6)</f>
        <v>0</v>
      </c>
      <c r="LO27" t="b">
        <f>AND(LO25&gt;20, LO20&gt;6)</f>
        <v>1</v>
      </c>
      <c r="LP27" t="b">
        <f>AND(LP25&gt;20, LP20&gt;6)</f>
        <v>0</v>
      </c>
      <c r="LQ27" t="b">
        <f>AND(LQ25&gt;20, LQ20&gt;6)</f>
        <v>0</v>
      </c>
      <c r="LR27" t="b">
        <f>AND(LR25&gt;20, LR20&gt;6)</f>
        <v>0</v>
      </c>
      <c r="LS27" t="b">
        <f>AND(LS25&gt;20, LS20&gt;6)</f>
        <v>1</v>
      </c>
      <c r="LT27" t="b">
        <f>AND(LT25&gt;20, LT20&gt;6)</f>
        <v>0</v>
      </c>
      <c r="LU27" t="b">
        <f>AND(LU25&gt;20, LU20&gt;6)</f>
        <v>1</v>
      </c>
      <c r="LV27" t="b">
        <f>AND(LV25&gt;20, LV20&gt;6)</f>
        <v>0</v>
      </c>
      <c r="LW27" t="b">
        <f>AND(LW25&gt;20, LW20&gt;6)</f>
        <v>0</v>
      </c>
      <c r="LX27" t="b">
        <f>AND(LX25&gt;20, LX20&gt;6)</f>
        <v>0</v>
      </c>
      <c r="LY27" t="b">
        <f>AND(LY25&gt;20, LY20&gt;6)</f>
        <v>0</v>
      </c>
      <c r="LZ27" t="b">
        <f>AND(LZ25&gt;20, LZ20&gt;6)</f>
        <v>0</v>
      </c>
      <c r="MA27" t="b">
        <f>AND(MA25&gt;20, MA20&gt;6)</f>
        <v>0</v>
      </c>
      <c r="MB27" t="b">
        <f>AND(MB25&gt;20, MB20&gt;6)</f>
        <v>1</v>
      </c>
      <c r="MC27" t="b">
        <f>AND(MC25&gt;20, MC20&gt;6)</f>
        <v>1</v>
      </c>
      <c r="MD27" t="b">
        <f>AND(MD25&gt;20, MD20&gt;6)</f>
        <v>0</v>
      </c>
      <c r="ME27" t="b">
        <f>AND(ME25&gt;20, ME20&gt;6)</f>
        <v>1</v>
      </c>
      <c r="MF27" t="b">
        <f>AND(MF25&gt;20, MF20&gt;6)</f>
        <v>0</v>
      </c>
      <c r="MG27" t="b">
        <f>AND(MG25&gt;20, MG20&gt;6)</f>
        <v>0</v>
      </c>
      <c r="MH27" t="b">
        <f>AND(MH25&gt;20, MH20&gt;6)</f>
        <v>0</v>
      </c>
      <c r="MI27" t="b">
        <f>AND(MI25&gt;20, MI20&gt;6)</f>
        <v>1</v>
      </c>
      <c r="MJ27" t="b">
        <f>AND(MJ25&gt;20, MJ20&gt;6)</f>
        <v>0</v>
      </c>
      <c r="MK27" t="b">
        <f>AND(MK25&gt;20, MK20&gt;6)</f>
        <v>0</v>
      </c>
      <c r="ML27" t="b">
        <f>AND(ML25&gt;20, ML20&gt;6)</f>
        <v>1</v>
      </c>
      <c r="MM27" t="b">
        <f>AND(MM25&gt;20, MM20&gt;6)</f>
        <v>1</v>
      </c>
      <c r="MN27" t="b">
        <f>AND(MN25&gt;20, MN20&gt;6)</f>
        <v>0</v>
      </c>
      <c r="MO27" t="b">
        <f>AND(MO25&gt;20, MO20&gt;6)</f>
        <v>0</v>
      </c>
      <c r="MP27" t="b">
        <f>AND(MP25&gt;20, MP20&gt;6)</f>
        <v>0</v>
      </c>
      <c r="MQ27" t="b">
        <f>AND(MQ25&gt;20, MQ20&gt;6)</f>
        <v>0</v>
      </c>
      <c r="MR27" t="b">
        <f>AND(MR25&gt;20, MR20&gt;6)</f>
        <v>0</v>
      </c>
      <c r="MS27" t="b">
        <f>AND(MS25&gt;20, MS20&gt;6)</f>
        <v>0</v>
      </c>
      <c r="MT27" t="b">
        <f>AND(MT25&gt;20, MT20&gt;6)</f>
        <v>1</v>
      </c>
      <c r="MU27" t="b">
        <f>AND(MU25&gt;20, MU20&gt;6)</f>
        <v>0</v>
      </c>
      <c r="MV27" t="b">
        <f>AND(MV25&gt;20, MV20&gt;6)</f>
        <v>0</v>
      </c>
      <c r="MW27" t="b">
        <f>AND(MW25&gt;20, MW20&gt;6)</f>
        <v>0</v>
      </c>
      <c r="MX27" t="b">
        <f>AND(MX25&gt;20, MX20&gt;6)</f>
        <v>0</v>
      </c>
      <c r="MY27" t="b">
        <f>AND(MY25&gt;20, MY20&gt;6)</f>
        <v>0</v>
      </c>
      <c r="MZ27" t="b">
        <f>AND(MZ25&gt;20, MZ20&gt;6)</f>
        <v>0</v>
      </c>
      <c r="NA27" t="b">
        <f>AND(NA25&gt;20, NA20&gt;6)</f>
        <v>0</v>
      </c>
      <c r="NB27" t="b">
        <f>AND(NB25&gt;20, NB20&gt;6)</f>
        <v>0</v>
      </c>
      <c r="NC27" t="b">
        <f>AND(NC25&gt;20, NC20&gt;6)</f>
        <v>0</v>
      </c>
      <c r="ND27" t="b">
        <f>AND(ND25&gt;20, ND20&gt;6)</f>
        <v>0</v>
      </c>
      <c r="NE27" t="b">
        <f>AND(NE25&gt;20, NE20&gt;6)</f>
        <v>0</v>
      </c>
      <c r="NF27" t="b">
        <f>AND(NF25&gt;20, NF20&gt;6)</f>
        <v>0</v>
      </c>
      <c r="NG27" t="b">
        <f>AND(NG25&gt;20, NG20&gt;6)</f>
        <v>0</v>
      </c>
      <c r="NH27" t="b">
        <f>AND(NH25&gt;20, NH20&gt;6)</f>
        <v>0</v>
      </c>
      <c r="NI27" t="b">
        <f>AND(NI25&gt;20, NI20&gt;6)</f>
        <v>1</v>
      </c>
      <c r="NJ27" t="b">
        <f>AND(NJ25&gt;20, NJ20&gt;6)</f>
        <v>0</v>
      </c>
      <c r="NK27" t="b">
        <f>AND(NK25&gt;20, NK20&gt;6)</f>
        <v>0</v>
      </c>
      <c r="NL27" t="b">
        <f>AND(NL25&gt;20, NL20&gt;6)</f>
        <v>0</v>
      </c>
      <c r="NM27" t="b">
        <f>AND(NM25&gt;20, NM20&gt;6)</f>
        <v>1</v>
      </c>
      <c r="NN27" t="b">
        <f>AND(NN25&gt;20, NN20&gt;6)</f>
        <v>0</v>
      </c>
      <c r="NO27" t="b">
        <f>AND(NO25&gt;20, NO20&gt;6)</f>
        <v>0</v>
      </c>
      <c r="NP27" t="b">
        <f>AND(NP25&gt;20, NP20&gt;6)</f>
        <v>0</v>
      </c>
      <c r="NQ27" t="b">
        <f>AND(NQ25&gt;20, NQ20&gt;6)</f>
        <v>1</v>
      </c>
      <c r="NR27" t="b">
        <f>AND(NR25&gt;20, NR20&gt;6)</f>
        <v>0</v>
      </c>
      <c r="NS27" t="b">
        <f>AND(NS25&gt;20, NS20&gt;6)</f>
        <v>0</v>
      </c>
      <c r="NT27" t="b">
        <f>AND(NT25&gt;20, NT20&gt;6)</f>
        <v>0</v>
      </c>
      <c r="NU27" t="b">
        <f>AND(NU25&gt;20, NU20&gt;6)</f>
        <v>0</v>
      </c>
      <c r="NV27" t="b">
        <f>AND(NV25&gt;20, NV20&gt;6)</f>
        <v>1</v>
      </c>
      <c r="NW27" t="b">
        <f>AND(NW25&gt;20, NW20&gt;6)</f>
        <v>0</v>
      </c>
      <c r="NX27" t="b">
        <f>AND(NX25&gt;20, NX20&gt;6)</f>
        <v>0</v>
      </c>
      <c r="NY27" t="b">
        <f>AND(NY25&gt;20, NY20&gt;6)</f>
        <v>0</v>
      </c>
      <c r="NZ27" t="b">
        <f>AND(NZ25&gt;20, NZ20&gt;6)</f>
        <v>0</v>
      </c>
      <c r="OA27" t="b">
        <f>AND(OA25&gt;20, OA20&gt;6)</f>
        <v>0</v>
      </c>
      <c r="OB27" t="b">
        <f>AND(OB25&gt;20, OB20&gt;6)</f>
        <v>0</v>
      </c>
      <c r="OC27" t="b">
        <f>AND(OC25&gt;20, OC20&gt;6)</f>
        <v>0</v>
      </c>
      <c r="OD27" t="b">
        <f>AND(OD25&gt;20, OD20&gt;6)</f>
        <v>0</v>
      </c>
      <c r="OE27" t="b">
        <f>AND(OE25&gt;20, OE20&gt;6)</f>
        <v>0</v>
      </c>
      <c r="OF27" t="b">
        <f>AND(OF25&gt;20, OF20&gt;6)</f>
        <v>1</v>
      </c>
      <c r="OG27" t="b">
        <f>AND(OG25&gt;20, OG20&gt;6)</f>
        <v>1</v>
      </c>
      <c r="OH27" t="b">
        <f>AND(OH25&gt;20, OH20&gt;6)</f>
        <v>0</v>
      </c>
      <c r="OI27" t="b">
        <f>AND(OI25&gt;20, OI20&gt;6)</f>
        <v>0</v>
      </c>
      <c r="OJ27" t="b">
        <f>AND(OJ25&gt;20, OJ20&gt;6)</f>
        <v>0</v>
      </c>
      <c r="OK27" t="b">
        <f>AND(OK25&gt;20, OK20&gt;6)</f>
        <v>0</v>
      </c>
      <c r="OL27" t="b">
        <f>AND(OL25&gt;20, OL20&gt;6)</f>
        <v>1</v>
      </c>
      <c r="OM27" t="b">
        <f>AND(OM25&gt;20, OM20&gt;6)</f>
        <v>0</v>
      </c>
      <c r="ON27" t="b">
        <f>AND(ON25&gt;20, ON20&gt;6)</f>
        <v>1</v>
      </c>
      <c r="OO27" t="b">
        <f>AND(OO25&gt;20, OO20&gt;6)</f>
        <v>0</v>
      </c>
      <c r="OP27" t="b">
        <f>AND(OP25&gt;20, OP20&gt;6)</f>
        <v>0</v>
      </c>
      <c r="OQ27" t="b">
        <f>AND(OQ25&gt;20, OQ20&gt;6)</f>
        <v>1</v>
      </c>
      <c r="OR27" t="b">
        <f>AND(OR25&gt;20, OR20&gt;6)</f>
        <v>0</v>
      </c>
      <c r="OS27" t="b">
        <f>AND(OS25&gt;20, OS20&gt;6)</f>
        <v>1</v>
      </c>
      <c r="OT27" t="b">
        <f>AND(OT25&gt;20, OT20&gt;6)</f>
        <v>0</v>
      </c>
      <c r="OU27" t="b">
        <f>AND(OU25&gt;20, OU20&gt;6)</f>
        <v>0</v>
      </c>
      <c r="OV27" t="b">
        <f>AND(OV25&gt;20, OV20&gt;6)</f>
        <v>0</v>
      </c>
      <c r="OW27" t="b">
        <f>AND(OW25&gt;20, OW20&gt;6)</f>
        <v>0</v>
      </c>
      <c r="OX27" t="b">
        <f>AND(OX25&gt;20, OX20&gt;6)</f>
        <v>0</v>
      </c>
      <c r="OY27" t="b">
        <f>AND(OY25&gt;20, OY20&gt;6)</f>
        <v>1</v>
      </c>
      <c r="OZ27" t="b">
        <f>AND(OZ25&gt;20, OZ20&gt;6)</f>
        <v>0</v>
      </c>
      <c r="PA27" t="b">
        <f>AND(PA25&gt;20, PA20&gt;6)</f>
        <v>0</v>
      </c>
      <c r="PB27" t="b">
        <f>AND(PB25&gt;20, PB20&gt;6)</f>
        <v>0</v>
      </c>
      <c r="PC27" t="b">
        <f>AND(PC25&gt;20, PC20&gt;6)</f>
        <v>0</v>
      </c>
      <c r="PD27" t="b">
        <f>AND(PD25&gt;20, PD20&gt;6)</f>
        <v>0</v>
      </c>
      <c r="PE27" t="b">
        <f>AND(PE25&gt;20, PE20&gt;6)</f>
        <v>0</v>
      </c>
      <c r="PF27" t="b">
        <f>AND(PF25&gt;20, PF20&gt;6)</f>
        <v>0</v>
      </c>
      <c r="PG27" t="b">
        <f>AND(PG25&gt;20, PG20&gt;6)</f>
        <v>1</v>
      </c>
      <c r="PH27" t="b">
        <f>AND(PH25&gt;20, PH20&gt;6)</f>
        <v>0</v>
      </c>
      <c r="PI27" t="b">
        <f>AND(PI25&gt;20, PI20&gt;6)</f>
        <v>0</v>
      </c>
      <c r="PJ27" t="b">
        <f>AND(PJ25&gt;20, PJ20&gt;6)</f>
        <v>1</v>
      </c>
      <c r="PK27" t="b">
        <f>AND(PK25&gt;20, PK20&gt;6)</f>
        <v>0</v>
      </c>
      <c r="PL27" t="b">
        <f>AND(PL25&gt;20, PL20&gt;6)</f>
        <v>0</v>
      </c>
      <c r="PM27" t="b">
        <f>AND(PM25&gt;20, PM20&gt;6)</f>
        <v>0</v>
      </c>
      <c r="PN27" t="b">
        <f>AND(PN25&gt;20, PN20&gt;6)</f>
        <v>0</v>
      </c>
      <c r="PO27" t="b">
        <f>AND(PO25&gt;20, PO20&gt;6)</f>
        <v>0</v>
      </c>
      <c r="PP27" t="b">
        <f>AND(PP25&gt;20, PP20&gt;6)</f>
        <v>0</v>
      </c>
      <c r="PQ27" t="b">
        <f>AND(PQ25&gt;20, PQ20&gt;6)</f>
        <v>0</v>
      </c>
      <c r="PR27" t="b">
        <f>AND(PR25&gt;20, PR20&gt;6)</f>
        <v>0</v>
      </c>
      <c r="PS27" t="b">
        <f>AND(PS25&gt;20, PS20&gt;6)</f>
        <v>1</v>
      </c>
      <c r="PT27" t="b">
        <f>AND(PT25&gt;20, PT20&gt;6)</f>
        <v>0</v>
      </c>
      <c r="PU27" t="b">
        <f>AND(PU25&gt;20, PU20&gt;6)</f>
        <v>0</v>
      </c>
      <c r="PV27" t="b">
        <f>AND(PV25&gt;20, PV20&gt;6)</f>
        <v>1</v>
      </c>
      <c r="PW27" t="b">
        <f>AND(PW25&gt;20, PW20&gt;6)</f>
        <v>0</v>
      </c>
      <c r="PX27" t="b">
        <f>AND(PX25&gt;20, PX20&gt;6)</f>
        <v>0</v>
      </c>
      <c r="PY27" t="b">
        <f>AND(PY25&gt;20, PY20&gt;6)</f>
        <v>1</v>
      </c>
      <c r="PZ27" t="b">
        <f>AND(PZ25&gt;20, PZ20&gt;6)</f>
        <v>1</v>
      </c>
      <c r="QA27" t="b">
        <f>AND(QA25&gt;20, QA20&gt;6)</f>
        <v>0</v>
      </c>
      <c r="QB27" t="b">
        <f>AND(QB25&gt;20, QB20&gt;6)</f>
        <v>1</v>
      </c>
      <c r="QC27" t="b">
        <f>AND(QC25&gt;20, QC20&gt;6)</f>
        <v>0</v>
      </c>
      <c r="QD27" t="b">
        <f>AND(QD25&gt;20, QD20&gt;6)</f>
        <v>0</v>
      </c>
      <c r="QE27" t="b">
        <f>AND(QE25&gt;20, QE20&gt;6)</f>
        <v>0</v>
      </c>
      <c r="QF27" t="b">
        <f>AND(QF25&gt;20, QF20&gt;6)</f>
        <v>0</v>
      </c>
      <c r="QG27" t="b">
        <f>AND(QG25&gt;20, QG20&gt;6)</f>
        <v>1</v>
      </c>
      <c r="QH27" t="b">
        <f>AND(QH25&gt;20, QH20&gt;6)</f>
        <v>0</v>
      </c>
      <c r="QI27" t="b">
        <f>AND(QI25&gt;20, QI20&gt;6)</f>
        <v>0</v>
      </c>
      <c r="QJ27" t="b">
        <f>AND(QJ25&gt;20, QJ20&gt;6)</f>
        <v>0</v>
      </c>
      <c r="QK27" t="b">
        <f>AND(QK25&gt;20, QK20&gt;6)</f>
        <v>1</v>
      </c>
      <c r="QL27" t="b">
        <f>AND(QL25&gt;20, QL20&gt;6)</f>
        <v>0</v>
      </c>
      <c r="QM27" t="b">
        <f>AND(QM25&gt;20, QM20&gt;6)</f>
        <v>0</v>
      </c>
      <c r="QN27" t="b">
        <f>AND(QN25&gt;20, QN20&gt;6)</f>
        <v>0</v>
      </c>
      <c r="QO27" t="b">
        <f>AND(QO25&gt;20, QO20&gt;6)</f>
        <v>0</v>
      </c>
      <c r="QP27" t="b">
        <f>AND(QP25&gt;20, QP20&gt;6)</f>
        <v>0</v>
      </c>
      <c r="QQ27" t="b">
        <f>AND(QQ25&gt;20, QQ20&gt;6)</f>
        <v>0</v>
      </c>
      <c r="QR27" t="b">
        <f>AND(QR25&gt;20, QR20&gt;6)</f>
        <v>0</v>
      </c>
      <c r="QS27" t="b">
        <f>AND(QS25&gt;20, QS20&gt;6)</f>
        <v>0</v>
      </c>
      <c r="QT27" t="b">
        <f>AND(QT25&gt;20, QT20&gt;6)</f>
        <v>0</v>
      </c>
      <c r="QU27" t="b">
        <f>AND(QU25&gt;20, QU20&gt;6)</f>
        <v>1</v>
      </c>
      <c r="QV27" t="b">
        <f>AND(QV25&gt;20, QV20&gt;6)</f>
        <v>0</v>
      </c>
      <c r="QW27" t="b">
        <f>AND(QW25&gt;20, QW20&gt;6)</f>
        <v>1</v>
      </c>
      <c r="QX27" t="b">
        <f>AND(QX25&gt;20, QX20&gt;6)</f>
        <v>0</v>
      </c>
      <c r="QY27" t="b">
        <f>AND(QY25&gt;20, QY20&gt;6)</f>
        <v>0</v>
      </c>
      <c r="QZ27" t="b">
        <f>AND(QZ25&gt;20, QZ20&gt;6)</f>
        <v>1</v>
      </c>
      <c r="RA27" t="b">
        <f>AND(RA25&gt;20, RA20&gt;6)</f>
        <v>0</v>
      </c>
      <c r="RB27" t="b">
        <f>AND(RB25&gt;20, RB20&gt;6)</f>
        <v>0</v>
      </c>
      <c r="RC27" t="b">
        <f>AND(RC25&gt;20, RC20&gt;6)</f>
        <v>0</v>
      </c>
      <c r="RD27" t="b">
        <f>AND(RD25&gt;20, RD20&gt;6)</f>
        <v>0</v>
      </c>
      <c r="RE27" t="b">
        <f>AND(RE25&gt;20, RE20&gt;6)</f>
        <v>0</v>
      </c>
      <c r="RF27" t="b">
        <f>AND(RF25&gt;20, RF20&gt;6)</f>
        <v>0</v>
      </c>
      <c r="RG27" t="b">
        <f>AND(RG25&gt;20, RG20&gt;6)</f>
        <v>1</v>
      </c>
      <c r="RH27" t="b">
        <f>AND(RH25&gt;20, RH20&gt;6)</f>
        <v>0</v>
      </c>
      <c r="RI27" t="b">
        <f>AND(RI25&gt;20, RI20&gt;6)</f>
        <v>0</v>
      </c>
      <c r="RJ27" t="b">
        <f>AND(RJ25&gt;20, RJ20&gt;6)</f>
        <v>0</v>
      </c>
      <c r="RK27" t="b">
        <f>AND(RK25&gt;20, RK20&gt;6)</f>
        <v>0</v>
      </c>
      <c r="RL27" t="b">
        <f>AND(RL25&gt;20, RL20&gt;6)</f>
        <v>0</v>
      </c>
      <c r="RM27" t="b">
        <f>AND(RM25&gt;20, RM20&gt;6)</f>
        <v>1</v>
      </c>
      <c r="RN27" t="b">
        <f>AND(RN25&gt;20, RN20&gt;6)</f>
        <v>0</v>
      </c>
      <c r="RO27" t="b">
        <f>AND(RO25&gt;20, RO20&gt;6)</f>
        <v>0</v>
      </c>
      <c r="RP27" t="b">
        <f>AND(RP25&gt;20, RP20&gt;6)</f>
        <v>1</v>
      </c>
      <c r="RQ27" t="b">
        <f>AND(RQ25&gt;20, RQ20&gt;6)</f>
        <v>0</v>
      </c>
      <c r="RR27" t="b">
        <f>AND(RR25&gt;20, RR20&gt;6)</f>
        <v>0</v>
      </c>
      <c r="RS27" t="b">
        <f>AND(RS25&gt;20, RS20&gt;6)</f>
        <v>0</v>
      </c>
      <c r="RT27" t="b">
        <f>AND(RT25&gt;20, RT20&gt;6)</f>
        <v>0</v>
      </c>
      <c r="RU27" t="b">
        <f>AND(RU25&gt;20, RU20&gt;6)</f>
        <v>0</v>
      </c>
      <c r="RV27" t="b">
        <f>AND(RV25&gt;20, RV20&gt;6)</f>
        <v>0</v>
      </c>
      <c r="RW27" t="b">
        <f>AND(RW25&gt;20, RW20&gt;6)</f>
        <v>0</v>
      </c>
      <c r="RX27" t="b">
        <f>AND(RX25&gt;20, RX20&gt;6)</f>
        <v>0</v>
      </c>
      <c r="RY27" t="b">
        <f>AND(RY25&gt;20, RY20&gt;6)</f>
        <v>0</v>
      </c>
      <c r="RZ27" t="b">
        <f>AND(RZ25&gt;20, RZ20&gt;6)</f>
        <v>0</v>
      </c>
      <c r="SA27" t="b">
        <f>AND(SA25&gt;20, SA20&gt;6)</f>
        <v>0</v>
      </c>
      <c r="SB27" t="b">
        <f>AND(SB25&gt;20, SB20&gt;6)</f>
        <v>0</v>
      </c>
      <c r="SC27" t="b">
        <f>AND(SC25&gt;20, SC20&gt;6)</f>
        <v>0</v>
      </c>
      <c r="SD27" t="b">
        <f>AND(SD25&gt;20, SD20&gt;6)</f>
        <v>0</v>
      </c>
      <c r="SE27" t="b">
        <f>AND(SE25&gt;20, SE20&gt;6)</f>
        <v>0</v>
      </c>
      <c r="SF27" t="b">
        <f>AND(SF25&gt;20, SF20&gt;6)</f>
        <v>1</v>
      </c>
      <c r="SG27" t="b">
        <f>AND(SG25&gt;20, SG20&gt;6)</f>
        <v>0</v>
      </c>
      <c r="SH27" t="b">
        <f>AND(SH25&gt;20, SH20&gt;6)</f>
        <v>1</v>
      </c>
      <c r="SI27" t="b">
        <f>AND(SI25&gt;20, SI20&gt;6)</f>
        <v>0</v>
      </c>
      <c r="SJ27" t="b">
        <f>AND(SJ25&gt;20, SJ20&gt;6)</f>
        <v>0</v>
      </c>
      <c r="SK27" t="b">
        <f>AND(SK25&gt;20, SK20&gt;6)</f>
        <v>1</v>
      </c>
      <c r="SL27" t="b">
        <f>AND(SL25&gt;20, SL20&gt;6)</f>
        <v>1</v>
      </c>
      <c r="SM27" t="b">
        <f>AND(SM25&gt;20, SM20&gt;6)</f>
        <v>0</v>
      </c>
      <c r="SN27" t="b">
        <f>AND(SN25&gt;20, SN20&gt;6)</f>
        <v>0</v>
      </c>
      <c r="SO27" t="b">
        <f>AND(SO25&gt;20, SO20&gt;6)</f>
        <v>0</v>
      </c>
      <c r="SP27" t="b">
        <f>AND(SP25&gt;20, SP20&gt;6)</f>
        <v>0</v>
      </c>
      <c r="SQ27" t="b">
        <f>AND(SQ25&gt;20, SQ20&gt;6)</f>
        <v>0</v>
      </c>
      <c r="SR27" t="b">
        <f>AND(SR25&gt;20, SR20&gt;6)</f>
        <v>0</v>
      </c>
      <c r="SS27" t="b">
        <f>AND(SS25&gt;20, SS20&gt;6)</f>
        <v>0</v>
      </c>
      <c r="ST27" t="b">
        <f>AND(ST25&gt;20, ST20&gt;6)</f>
        <v>0</v>
      </c>
      <c r="SU27" t="b">
        <f>AND(SU25&gt;20, SU20&gt;6)</f>
        <v>0</v>
      </c>
      <c r="SV27" t="b">
        <f>AND(SV25&gt;20, SV20&gt;6)</f>
        <v>0</v>
      </c>
      <c r="SW27" t="b">
        <f>AND(SW25&gt;20, SW20&gt;6)</f>
        <v>0</v>
      </c>
      <c r="SX27" t="b">
        <f>AND(SX25&gt;20, SX20&gt;6)</f>
        <v>0</v>
      </c>
      <c r="SY27" t="b">
        <f>AND(SY25&gt;20, SY20&gt;6)</f>
        <v>0</v>
      </c>
      <c r="SZ27" t="b">
        <f>AND(SZ25&gt;20, SZ20&gt;6)</f>
        <v>0</v>
      </c>
      <c r="TA27" t="b">
        <f>AND(TA25&gt;20, TA20&gt;6)</f>
        <v>0</v>
      </c>
      <c r="TB27" t="b">
        <f>AND(TB25&gt;20, TB20&gt;6)</f>
        <v>0</v>
      </c>
      <c r="TC27" t="b">
        <f>AND(TC25&gt;20, TC20&gt;6)</f>
        <v>1</v>
      </c>
      <c r="TD27" t="b">
        <f>AND(TD25&gt;20, TD20&gt;6)</f>
        <v>1</v>
      </c>
      <c r="TE27" t="b">
        <f>AND(TE25&gt;20, TE20&gt;6)</f>
        <v>0</v>
      </c>
      <c r="TF27" t="b">
        <f>AND(TF25&gt;20, TF20&gt;6)</f>
        <v>0</v>
      </c>
      <c r="TG27" t="b">
        <f>AND(TG25&gt;20, TG20&gt;6)</f>
        <v>0</v>
      </c>
      <c r="TH27" t="b">
        <f>AND(TH25&gt;20, TH20&gt;6)</f>
        <v>0</v>
      </c>
      <c r="TI27" t="b">
        <f>AND(TI25&gt;20, TI20&gt;6)</f>
        <v>0</v>
      </c>
      <c r="TJ27" t="b">
        <f>AND(TJ25&gt;20, TJ20&gt;6)</f>
        <v>0</v>
      </c>
      <c r="TK27" t="b">
        <f>AND(TK25&gt;20, TK20&gt;6)</f>
        <v>0</v>
      </c>
      <c r="TL27" t="b">
        <f>AND(TL25&gt;20, TL20&gt;6)</f>
        <v>1</v>
      </c>
      <c r="TM27" t="b">
        <f>AND(TM25&gt;20, TM20&gt;6)</f>
        <v>0</v>
      </c>
      <c r="TN27" t="b">
        <f>AND(TN25&gt;20, TN20&gt;6)</f>
        <v>0</v>
      </c>
      <c r="TO27" t="b">
        <f>AND(TO25&gt;20, TO20&gt;6)</f>
        <v>0</v>
      </c>
      <c r="TP27" t="b">
        <f>AND(TP25&gt;20, TP20&gt;6)</f>
        <v>1</v>
      </c>
      <c r="TQ27" t="b">
        <f>AND(TQ25&gt;20, TQ20&gt;6)</f>
        <v>0</v>
      </c>
      <c r="TR27" t="b">
        <f>AND(TR25&gt;20, TR20&gt;6)</f>
        <v>0</v>
      </c>
      <c r="TS27" t="b">
        <f>AND(TS25&gt;20, TS20&gt;6)</f>
        <v>0</v>
      </c>
      <c r="TT27" t="b">
        <f>AND(TT25&gt;20, TT20&gt;6)</f>
        <v>0</v>
      </c>
      <c r="TU27" t="b">
        <f>AND(TU25&gt;20, TU20&gt;6)</f>
        <v>0</v>
      </c>
      <c r="TV27" t="b">
        <f>AND(TV25&gt;20, TV20&gt;6)</f>
        <v>0</v>
      </c>
      <c r="TW27" t="b">
        <f>AND(TW25&gt;20, TW20&gt;6)</f>
        <v>0</v>
      </c>
      <c r="TX27" t="b">
        <f>AND(TX25&gt;20, TX20&gt;6)</f>
        <v>0</v>
      </c>
      <c r="TY27" t="b">
        <f>AND(TY25&gt;20, TY20&gt;6)</f>
        <v>0</v>
      </c>
      <c r="TZ27" t="b">
        <f>AND(TZ25&gt;20, TZ20&gt;6)</f>
        <v>0</v>
      </c>
      <c r="UA27" t="b">
        <f>AND(UA25&gt;20, UA20&gt;6)</f>
        <v>0</v>
      </c>
      <c r="UB27" t="b">
        <f>AND(UB25&gt;20, UB20&gt;6)</f>
        <v>0</v>
      </c>
      <c r="UC27" t="b">
        <f>AND(UC25&gt;20, UC20&gt;6)</f>
        <v>0</v>
      </c>
      <c r="UD27" t="b">
        <f>AND(UD25&gt;20, UD20&gt;6)</f>
        <v>0</v>
      </c>
      <c r="UE27" t="b">
        <f>AND(UE25&gt;20, UE20&gt;6)</f>
        <v>0</v>
      </c>
      <c r="UF27" t="b">
        <f>AND(UF25&gt;20, UF20&gt;6)</f>
        <v>0</v>
      </c>
      <c r="UG27" t="b">
        <f>AND(UG25&gt;20, UG20&gt;6)</f>
        <v>0</v>
      </c>
      <c r="UH27" t="b">
        <f>AND(UH25&gt;20, UH20&gt;6)</f>
        <v>0</v>
      </c>
      <c r="UI27" t="b">
        <f>AND(UI25&gt;20, UI20&gt;6)</f>
        <v>0</v>
      </c>
      <c r="UJ27" t="b">
        <f>AND(UJ25&gt;20, UJ20&gt;6)</f>
        <v>0</v>
      </c>
      <c r="UK27" t="b">
        <f>AND(UK25&gt;20, UK20&gt;6)</f>
        <v>0</v>
      </c>
      <c r="UL27" t="b">
        <f>AND(UL25&gt;20, UL20&gt;6)</f>
        <v>0</v>
      </c>
      <c r="UM27" t="b">
        <f>AND(UM25&gt;20, UM20&gt;6)</f>
        <v>0</v>
      </c>
      <c r="UN27" t="b">
        <f>AND(UN25&gt;20, UN20&gt;6)</f>
        <v>0</v>
      </c>
      <c r="UO27" t="b">
        <f>AND(UO25&gt;20, UO20&gt;6)</f>
        <v>0</v>
      </c>
      <c r="UP27" t="b">
        <f>AND(UP25&gt;20, UP20&gt;6)</f>
        <v>0</v>
      </c>
      <c r="UQ27" t="b">
        <f>AND(UQ25&gt;20, UQ20&gt;6)</f>
        <v>0</v>
      </c>
      <c r="UR27" t="b">
        <f>AND(UR25&gt;20, UR20&gt;6)</f>
        <v>1</v>
      </c>
      <c r="US27" t="b">
        <f>AND(US25&gt;20, US20&gt;6)</f>
        <v>0</v>
      </c>
      <c r="UT27" t="b">
        <f>AND(UT25&gt;20, UT20&gt;6)</f>
        <v>0</v>
      </c>
      <c r="UU27" t="b">
        <f>AND(UU25&gt;20, UU20&gt;6)</f>
        <v>0</v>
      </c>
      <c r="UV27" t="b">
        <f>AND(UV25&gt;20, UV20&gt;6)</f>
        <v>0</v>
      </c>
      <c r="UW27" t="b">
        <f>AND(UW25&gt;20, UW20&gt;6)</f>
        <v>1</v>
      </c>
      <c r="UX27" t="b">
        <f>AND(UX25&gt;20, UX20&gt;6)</f>
        <v>0</v>
      </c>
      <c r="UY27" t="b">
        <f>AND(UY25&gt;20, UY20&gt;6)</f>
        <v>0</v>
      </c>
      <c r="UZ27" t="b">
        <f>AND(UZ25&gt;20, UZ20&gt;6)</f>
        <v>0</v>
      </c>
      <c r="VA27" t="b">
        <f>AND(VA25&gt;20, VA20&gt;6)</f>
        <v>1</v>
      </c>
      <c r="VB27" t="b">
        <f>AND(VB25&gt;20, VB20&gt;6)</f>
        <v>0</v>
      </c>
      <c r="VC27" t="b">
        <f>AND(VC25&gt;20, VC20&gt;6)</f>
        <v>1</v>
      </c>
      <c r="VD27" t="b">
        <f>AND(VD25&gt;20, VD20&gt;6)</f>
        <v>0</v>
      </c>
      <c r="VE27" t="b">
        <f>AND(VE25&gt;20, VE20&gt;6)</f>
        <v>0</v>
      </c>
      <c r="VF27" t="b">
        <f>AND(VF25&gt;20, VF20&gt;6)</f>
        <v>0</v>
      </c>
      <c r="VG27" t="b">
        <f>AND(VG25&gt;20, VG20&gt;6)</f>
        <v>0</v>
      </c>
      <c r="VH27" t="b">
        <f>AND(VH25&gt;20, VH20&gt;6)</f>
        <v>0</v>
      </c>
      <c r="VI27" t="b">
        <f>AND(VI25&gt;20, VI20&gt;6)</f>
        <v>1</v>
      </c>
      <c r="VJ27" t="b">
        <f>AND(VJ25&gt;20, VJ20&gt;6)</f>
        <v>0</v>
      </c>
      <c r="VK27" t="b">
        <f>AND(VK25&gt;20, VK20&gt;6)</f>
        <v>0</v>
      </c>
      <c r="VL27" t="b">
        <f>AND(VL25&gt;20, VL20&gt;6)</f>
        <v>0</v>
      </c>
      <c r="VM27" t="b">
        <f>AND(VM25&gt;20, VM20&gt;6)</f>
        <v>0</v>
      </c>
      <c r="VN27" t="b">
        <f>AND(VN25&gt;20, VN20&gt;6)</f>
        <v>0</v>
      </c>
      <c r="VO27" t="b">
        <f>AND(VO25&gt;20, VO20&gt;6)</f>
        <v>0</v>
      </c>
      <c r="VP27" t="b">
        <f>AND(VP25&gt;20, VP20&gt;6)</f>
        <v>0</v>
      </c>
      <c r="VQ27" t="b">
        <f>AND(VQ25&gt;20, VQ20&gt;6)</f>
        <v>0</v>
      </c>
      <c r="VR27" t="b">
        <f>AND(VR25&gt;20, VR20&gt;6)</f>
        <v>0</v>
      </c>
      <c r="VS27" t="b">
        <f>AND(VS25&gt;20, VS20&gt;6)</f>
        <v>0</v>
      </c>
      <c r="VT27" t="b">
        <f>AND(VT25&gt;20, VT20&gt;6)</f>
        <v>0</v>
      </c>
      <c r="VU27" t="b">
        <f>AND(VU25&gt;20, VU20&gt;6)</f>
        <v>0</v>
      </c>
      <c r="VV27" t="b">
        <f>AND(VV25&gt;20, VV20&gt;6)</f>
        <v>0</v>
      </c>
      <c r="VW27" t="b">
        <f>AND(VW25&gt;20, VW20&gt;6)</f>
        <v>0</v>
      </c>
      <c r="VX27" t="b">
        <f>AND(VX25&gt;20, VX20&gt;6)</f>
        <v>0</v>
      </c>
      <c r="VY27" t="b">
        <f>AND(VY25&gt;20, VY20&gt;6)</f>
        <v>0</v>
      </c>
      <c r="VZ27" t="b">
        <f>AND(VZ25&gt;20, VZ20&gt;6)</f>
        <v>0</v>
      </c>
      <c r="WA27" t="b">
        <f>AND(WA25&gt;20, WA20&gt;6)</f>
        <v>0</v>
      </c>
      <c r="WB27" t="b">
        <f>AND(WB25&gt;20, WB20&gt;6)</f>
        <v>0</v>
      </c>
      <c r="WC27" t="b">
        <f>AND(WC25&gt;20, WC20&gt;6)</f>
        <v>0</v>
      </c>
      <c r="WD27" t="b">
        <f>AND(WD25&gt;20, WD20&gt;6)</f>
        <v>0</v>
      </c>
      <c r="WE27" t="b">
        <f>AND(WE25&gt;20, WE20&gt;6)</f>
        <v>0</v>
      </c>
      <c r="WF27" t="b">
        <f>AND(WF25&gt;20, WF20&gt;6)</f>
        <v>0</v>
      </c>
      <c r="WG27" t="b">
        <f>AND(WG25&gt;20, WG20&gt;6)</f>
        <v>0</v>
      </c>
      <c r="WH27" t="b">
        <f>AND(WH25&gt;20, WH20&gt;6)</f>
        <v>0</v>
      </c>
      <c r="WI27" t="b">
        <f>AND(WI25&gt;20, WI20&gt;6)</f>
        <v>1</v>
      </c>
      <c r="WJ27" t="b">
        <f>AND(WJ25&gt;20, WJ20&gt;6)</f>
        <v>1</v>
      </c>
      <c r="WK27" t="b">
        <f>AND(WK25&gt;20, WK20&gt;6)</f>
        <v>0</v>
      </c>
      <c r="WL27" t="b">
        <f>AND(WL25&gt;20, WL20&gt;6)</f>
        <v>0</v>
      </c>
      <c r="WM27" t="b">
        <f>AND(WM25&gt;20, WM20&gt;6)</f>
        <v>0</v>
      </c>
      <c r="WN27" t="b">
        <f>AND(WN25&gt;20, WN20&gt;6)</f>
        <v>0</v>
      </c>
      <c r="WO27" t="b">
        <f>AND(WO25&gt;20, WO20&gt;6)</f>
        <v>0</v>
      </c>
      <c r="WP27" t="b">
        <f>AND(WP25&gt;20, WP20&gt;6)</f>
        <v>1</v>
      </c>
      <c r="WQ27" t="b">
        <f>AND(WQ25&gt;20, WQ20&gt;6)</f>
        <v>0</v>
      </c>
      <c r="WR27" t="b">
        <f>AND(WR25&gt;20, WR20&gt;6)</f>
        <v>1</v>
      </c>
      <c r="WS27" t="b">
        <f>AND(WS25&gt;20, WS20&gt;6)</f>
        <v>0</v>
      </c>
      <c r="WT27" t="b">
        <f>AND(WT25&gt;20, WT20&gt;6)</f>
        <v>0</v>
      </c>
      <c r="WU27" t="b">
        <f>AND(WU25&gt;20, WU20&gt;6)</f>
        <v>0</v>
      </c>
      <c r="WV27" t="b">
        <f>AND(WV25&gt;20, WV20&gt;6)</f>
        <v>0</v>
      </c>
      <c r="WW27" t="b">
        <f>AND(WW25&gt;20, WW20&gt;6)</f>
        <v>0</v>
      </c>
      <c r="WX27" t="b">
        <f>AND(WX25&gt;20, WX20&gt;6)</f>
        <v>0</v>
      </c>
      <c r="WY27" t="b">
        <f>AND(WY25&gt;20, WY20&gt;6)</f>
        <v>0</v>
      </c>
      <c r="WZ27" t="b">
        <f>AND(WZ25&gt;20, WZ20&gt;6)</f>
        <v>0</v>
      </c>
      <c r="XA27" t="b">
        <f>AND(XA25&gt;20, XA20&gt;6)</f>
        <v>0</v>
      </c>
      <c r="XB27" t="b">
        <f>AND(XB25&gt;20, XB20&gt;6)</f>
        <v>1</v>
      </c>
      <c r="XC27" t="b">
        <f>AND(XC25&gt;20, XC20&gt;6)</f>
        <v>0</v>
      </c>
      <c r="XD27" t="b">
        <f>AND(XD25&gt;20, XD20&gt;6)</f>
        <v>0</v>
      </c>
      <c r="XE27" t="b">
        <f>AND(XE25&gt;20, XE20&gt;6)</f>
        <v>0</v>
      </c>
      <c r="XF27" t="b">
        <f>AND(XF25&gt;20, XF20&gt;6)</f>
        <v>0</v>
      </c>
      <c r="XG27" t="b">
        <f>AND(XG25&gt;20, XG20&gt;6)</f>
        <v>0</v>
      </c>
      <c r="XH27" t="b">
        <f>AND(XH25&gt;20, XH20&gt;6)</f>
        <v>0</v>
      </c>
      <c r="XI27" t="b">
        <f>AND(XI25&gt;20, XI20&gt;6)</f>
        <v>0</v>
      </c>
      <c r="XJ27" t="b">
        <f>AND(XJ25&gt;20, XJ20&gt;6)</f>
        <v>0</v>
      </c>
      <c r="XK27" t="b">
        <f>AND(XK25&gt;20, XK20&gt;6)</f>
        <v>0</v>
      </c>
      <c r="XL27" t="b">
        <f>AND(XL25&gt;20, XL20&gt;6)</f>
        <v>0</v>
      </c>
      <c r="XM27" t="b">
        <f>AND(XM25&gt;20, XM20&gt;6)</f>
        <v>0</v>
      </c>
      <c r="XN27" t="b">
        <f>AND(XN25&gt;20, XN20&gt;6)</f>
        <v>0</v>
      </c>
      <c r="XO27" t="b">
        <f>AND(XO25&gt;20, XO20&gt;6)</f>
        <v>0</v>
      </c>
      <c r="XP27" t="b">
        <f>AND(XP25&gt;20, XP20&gt;6)</f>
        <v>0</v>
      </c>
      <c r="XQ27" t="b">
        <f>AND(XQ25&gt;20, XQ20&gt;6)</f>
        <v>1</v>
      </c>
      <c r="XR27" t="b">
        <f>AND(XR25&gt;20, XR20&gt;6)</f>
        <v>1</v>
      </c>
      <c r="XS27" t="b">
        <f>AND(XS25&gt;20, XS20&gt;6)</f>
        <v>0</v>
      </c>
      <c r="XT27" t="b">
        <f>AND(XT25&gt;20, XT20&gt;6)</f>
        <v>1</v>
      </c>
      <c r="XU27" t="b">
        <f>AND(XU25&gt;20, XU20&gt;6)</f>
        <v>0</v>
      </c>
      <c r="XV27" t="b">
        <f>AND(XV25&gt;20, XV20&gt;6)</f>
        <v>0</v>
      </c>
      <c r="XW27" t="b">
        <f>AND(XW25&gt;20, XW20&gt;6)</f>
        <v>0</v>
      </c>
      <c r="XX27" t="b">
        <f>AND(XX25&gt;20, XX20&gt;6)</f>
        <v>0</v>
      </c>
      <c r="XY27" t="b">
        <f>AND(XY25&gt;20, XY20&gt;6)</f>
        <v>0</v>
      </c>
      <c r="XZ27" t="b">
        <f>AND(XZ25&gt;20, XZ20&gt;6)</f>
        <v>1</v>
      </c>
      <c r="YA27" t="b">
        <f>AND(YA25&gt;20, YA20&gt;6)</f>
        <v>0</v>
      </c>
      <c r="YB27" t="b">
        <f>AND(YB25&gt;20, YB20&gt;6)</f>
        <v>0</v>
      </c>
      <c r="YC27" t="b">
        <f>AND(YC25&gt;20, YC20&gt;6)</f>
        <v>0</v>
      </c>
      <c r="YD27" t="b">
        <f>AND(YD25&gt;20, YD20&gt;6)</f>
        <v>0</v>
      </c>
      <c r="YE27" t="b">
        <f>AND(YE25&gt;20, YE20&gt;6)</f>
        <v>0</v>
      </c>
      <c r="YF27" t="b">
        <f>AND(YF25&gt;20, YF20&gt;6)</f>
        <v>0</v>
      </c>
      <c r="YG27" t="b">
        <f>AND(YG25&gt;20, YG20&gt;6)</f>
        <v>0</v>
      </c>
      <c r="YH27" t="b">
        <f>AND(YH25&gt;20, YH20&gt;6)</f>
        <v>1</v>
      </c>
      <c r="YI27" t="b">
        <f>AND(YI25&gt;20, YI20&gt;6)</f>
        <v>1</v>
      </c>
      <c r="YJ27" t="b">
        <f>AND(YJ25&gt;20, YJ20&gt;6)</f>
        <v>0</v>
      </c>
      <c r="YK27" t="b">
        <f>AND(YK25&gt;20, YK20&gt;6)</f>
        <v>0</v>
      </c>
      <c r="YL27" t="b">
        <f>AND(YL25&gt;20, YL20&gt;6)</f>
        <v>0</v>
      </c>
      <c r="YM27" t="b">
        <f>AND(YM25&gt;20, YM20&gt;6)</f>
        <v>1</v>
      </c>
      <c r="YN27" t="b">
        <f>AND(YN25&gt;20, YN20&gt;6)</f>
        <v>1</v>
      </c>
      <c r="YO27" t="b">
        <f>AND(YO25&gt;20, YO20&gt;6)</f>
        <v>1</v>
      </c>
      <c r="YP27" t="b">
        <f>AND(YP25&gt;20, YP20&gt;6)</f>
        <v>0</v>
      </c>
      <c r="YQ27" t="b">
        <f>AND(YQ25&gt;20, YQ20&gt;6)</f>
        <v>1</v>
      </c>
      <c r="YR27" t="b">
        <f>AND(YR25&gt;20, YR20&gt;6)</f>
        <v>0</v>
      </c>
      <c r="YS27" t="b">
        <f>AND(YS25&gt;20, YS20&gt;6)</f>
        <v>0</v>
      </c>
      <c r="YT27" t="b">
        <f>AND(YT25&gt;20, YT20&gt;6)</f>
        <v>0</v>
      </c>
      <c r="YU27" t="b">
        <f>AND(YU25&gt;20, YU20&gt;6)</f>
        <v>0</v>
      </c>
      <c r="YV27" t="b">
        <f>AND(YV25&gt;20, YV20&gt;6)</f>
        <v>0</v>
      </c>
      <c r="YW27" t="b">
        <f>AND(YW25&gt;20, YW20&gt;6)</f>
        <v>0</v>
      </c>
      <c r="YX27" t="b">
        <f>AND(YX25&gt;20, YX20&gt;6)</f>
        <v>0</v>
      </c>
      <c r="YY27" t="b">
        <f>AND(YY25&gt;20, YY20&gt;6)</f>
        <v>0</v>
      </c>
      <c r="YZ27" t="b">
        <f>AND(YZ25&gt;20, YZ20&gt;6)</f>
        <v>0</v>
      </c>
      <c r="ZA27" t="b">
        <f>AND(ZA25&gt;20, ZA20&gt;6)</f>
        <v>0</v>
      </c>
      <c r="ZB27" t="b">
        <f>AND(ZB25&gt;20, ZB20&gt;6)</f>
        <v>0</v>
      </c>
      <c r="ZC27" t="b">
        <f>AND(ZC25&gt;20, ZC20&gt;6)</f>
        <v>0</v>
      </c>
      <c r="ZD27" t="b">
        <f>AND(ZD25&gt;20, ZD20&gt;6)</f>
        <v>1</v>
      </c>
      <c r="ZE27" t="b">
        <f>AND(ZE25&gt;20, ZE20&gt;6)</f>
        <v>0</v>
      </c>
      <c r="ZF27" t="b">
        <f>AND(ZF25&gt;20, ZF20&gt;6)</f>
        <v>1</v>
      </c>
      <c r="ZG27" t="b">
        <f>AND(ZG25&gt;20, ZG20&gt;6)</f>
        <v>0</v>
      </c>
      <c r="ZH27" t="b">
        <f>AND(ZH25&gt;20, ZH20&gt;6)</f>
        <v>0</v>
      </c>
      <c r="ZI27" t="b">
        <f>AND(ZI25&gt;20, ZI20&gt;6)</f>
        <v>1</v>
      </c>
      <c r="ZJ27" t="b">
        <f>AND(ZJ25&gt;20, ZJ20&gt;6)</f>
        <v>0</v>
      </c>
      <c r="ZK27" t="b">
        <f>AND(ZK25&gt;20, ZK20&gt;6)</f>
        <v>0</v>
      </c>
      <c r="ZL27" t="b">
        <f>AND(ZL25&gt;20, ZL20&gt;6)</f>
        <v>0</v>
      </c>
      <c r="ZM27" t="b">
        <f>AND(ZM25&gt;20, ZM20&gt;6)</f>
        <v>0</v>
      </c>
      <c r="ZN27" t="b">
        <f>AND(ZN25&gt;20, ZN20&gt;6)</f>
        <v>0</v>
      </c>
      <c r="ZO27" t="b">
        <f>AND(ZO25&gt;20, ZO20&gt;6)</f>
        <v>0</v>
      </c>
      <c r="ZP27" t="b">
        <f>AND(ZP25&gt;20, ZP20&gt;6)</f>
        <v>0</v>
      </c>
      <c r="ZQ27" t="b">
        <f>AND(ZQ25&gt;20, ZQ20&gt;6)</f>
        <v>1</v>
      </c>
      <c r="ZR27" t="b">
        <f>AND(ZR25&gt;20, ZR20&gt;6)</f>
        <v>0</v>
      </c>
      <c r="ZS27" t="b">
        <f>AND(ZS25&gt;20, ZS20&gt;6)</f>
        <v>0</v>
      </c>
      <c r="ZT27" t="b">
        <f>AND(ZT25&gt;20, ZT20&gt;6)</f>
        <v>0</v>
      </c>
      <c r="ZU27" t="b">
        <f>AND(ZU25&gt;20, ZU20&gt;6)</f>
        <v>0</v>
      </c>
      <c r="ZV27" t="b">
        <f>AND(ZV25&gt;20, ZV20&gt;6)</f>
        <v>0</v>
      </c>
      <c r="ZW27" t="b">
        <f>AND(ZW25&gt;20, ZW20&gt;6)</f>
        <v>0</v>
      </c>
      <c r="ZX27" t="b">
        <f>AND(ZX25&gt;20, ZX20&gt;6)</f>
        <v>1</v>
      </c>
      <c r="ZY27" t="b">
        <f>AND(ZY25&gt;20, ZY20&gt;6)</f>
        <v>0</v>
      </c>
      <c r="ZZ27" t="b">
        <f>AND(ZZ25&gt;20, ZZ20&gt;6)</f>
        <v>0</v>
      </c>
      <c r="AAA27" t="b">
        <f>AND(AAA25&gt;20, AAA20&gt;6)</f>
        <v>0</v>
      </c>
      <c r="AAB27" t="b">
        <f>AND(AAB25&gt;20, AAB20&gt;6)</f>
        <v>0</v>
      </c>
      <c r="AAC27" t="b">
        <f>AND(AAC25&gt;20, AAC20&gt;6)</f>
        <v>0</v>
      </c>
      <c r="AAD27" t="b">
        <f>AND(AAD25&gt;20, AAD20&gt;6)</f>
        <v>0</v>
      </c>
      <c r="AAE27" t="b">
        <f>AND(AAE25&gt;20, AAE20&gt;6)</f>
        <v>0</v>
      </c>
      <c r="AAF27" t="b">
        <f>AND(AAF25&gt;20, AAF20&gt;6)</f>
        <v>0</v>
      </c>
      <c r="AAG27" t="b">
        <f>AND(AAG25&gt;20, AAG20&gt;6)</f>
        <v>0</v>
      </c>
      <c r="AAH27" t="b">
        <f>AND(AAH25&gt;20, AAH20&gt;6)</f>
        <v>0</v>
      </c>
      <c r="AAI27" t="b">
        <f>AND(AAI25&gt;20, AAI20&gt;6)</f>
        <v>0</v>
      </c>
      <c r="AAJ27" t="b">
        <f>AND(AAJ25&gt;20, AAJ20&gt;6)</f>
        <v>1</v>
      </c>
      <c r="AAK27" t="b">
        <f>AND(AAK25&gt;20, AAK20&gt;6)</f>
        <v>1</v>
      </c>
      <c r="AAL27" t="b">
        <f>AND(AAL25&gt;20, AAL20&gt;6)</f>
        <v>0</v>
      </c>
      <c r="AAM27" t="b">
        <f>AND(AAM25&gt;20, AAM20&gt;6)</f>
        <v>0</v>
      </c>
      <c r="AAN27" t="b">
        <f>AND(AAN25&gt;20, AAN20&gt;6)</f>
        <v>0</v>
      </c>
      <c r="AAO27" t="b">
        <f>AND(AAO25&gt;20, AAO20&gt;6)</f>
        <v>0</v>
      </c>
      <c r="AAP27" t="b">
        <f>AND(AAP25&gt;20, AAP20&gt;6)</f>
        <v>0</v>
      </c>
      <c r="AAQ27" t="b">
        <f>AND(AAQ25&gt;20, AAQ20&gt;6)</f>
        <v>0</v>
      </c>
      <c r="AAR27" t="b">
        <f>AND(AAR25&gt;20, AAR20&gt;6)</f>
        <v>0</v>
      </c>
      <c r="AAS27" t="b">
        <f>AND(AAS25&gt;20, AAS20&gt;6)</f>
        <v>0</v>
      </c>
      <c r="AAT27" t="b">
        <f>AND(AAT25&gt;20, AAT20&gt;6)</f>
        <v>0</v>
      </c>
      <c r="AAU27" t="b">
        <f>AND(AAU25&gt;20, AAU20&gt;6)</f>
        <v>0</v>
      </c>
      <c r="AAV27" t="b">
        <f>AND(AAV25&gt;20, AAV20&gt;6)</f>
        <v>0</v>
      </c>
      <c r="AAW27" t="b">
        <f>AND(AAW25&gt;20, AAW20&gt;6)</f>
        <v>0</v>
      </c>
      <c r="AAX27" t="b">
        <f>AND(AAX25&gt;20, AAX20&gt;6)</f>
        <v>0</v>
      </c>
      <c r="AAY27" t="b">
        <f>AND(AAY25&gt;20, AAY20&gt;6)</f>
        <v>0</v>
      </c>
      <c r="AAZ27" t="b">
        <f>AND(AAZ25&gt;20, AAZ20&gt;6)</f>
        <v>0</v>
      </c>
      <c r="ABA27" t="b">
        <f>AND(ABA25&gt;20, ABA20&gt;6)</f>
        <v>0</v>
      </c>
      <c r="ABB27" t="b">
        <f>AND(ABB25&gt;20, ABB20&gt;6)</f>
        <v>1</v>
      </c>
      <c r="ABC27" t="b">
        <f>AND(ABC25&gt;20, ABC20&gt;6)</f>
        <v>0</v>
      </c>
      <c r="ABD27" t="b">
        <f>AND(ABD25&gt;20, ABD20&gt;6)</f>
        <v>0</v>
      </c>
      <c r="ABE27" t="b">
        <f>AND(ABE25&gt;20, ABE20&gt;6)</f>
        <v>1</v>
      </c>
      <c r="ABF27" t="b">
        <f>AND(ABF25&gt;20, ABF20&gt;6)</f>
        <v>1</v>
      </c>
      <c r="ABG27" t="b">
        <f>AND(ABG25&gt;20, ABG20&gt;6)</f>
        <v>0</v>
      </c>
      <c r="ABH27" t="b">
        <f>AND(ABH25&gt;20, ABH20&gt;6)</f>
        <v>0</v>
      </c>
      <c r="ABI27" t="b">
        <f>AND(ABI25&gt;20, ABI20&gt;6)</f>
        <v>0</v>
      </c>
      <c r="ABJ27" t="b">
        <f>AND(ABJ25&gt;20, ABJ20&gt;6)</f>
        <v>0</v>
      </c>
      <c r="ABK27" t="b">
        <f>AND(ABK25&gt;20, ABK20&gt;6)</f>
        <v>0</v>
      </c>
      <c r="ABL27" t="b">
        <f>AND(ABL25&gt;20, ABL20&gt;6)</f>
        <v>1</v>
      </c>
      <c r="ABM27" t="b">
        <f>AND(ABM25&gt;20, ABM20&gt;6)</f>
        <v>0</v>
      </c>
      <c r="ABN27" t="b">
        <f>AND(ABN25&gt;20, ABN20&gt;6)</f>
        <v>0</v>
      </c>
      <c r="ABO27" t="b">
        <f>AND(ABO25&gt;20, ABO20&gt;6)</f>
        <v>1</v>
      </c>
      <c r="ABP27" t="b">
        <f>AND(ABP25&gt;20, ABP20&gt;6)</f>
        <v>0</v>
      </c>
      <c r="ABQ27" t="b">
        <f>AND(ABQ25&gt;20, ABQ20&gt;6)</f>
        <v>0</v>
      </c>
      <c r="ABR27" t="b">
        <f>AND(ABR25&gt;20, ABR20&gt;6)</f>
        <v>0</v>
      </c>
      <c r="ABS27" t="b">
        <f>AND(ABS25&gt;20, ABS20&gt;6)</f>
        <v>0</v>
      </c>
      <c r="ABT27" t="b">
        <f>AND(ABT25&gt;20, ABT20&gt;6)</f>
        <v>0</v>
      </c>
      <c r="ABU27" t="b">
        <f>AND(ABU25&gt;20, ABU20&gt;6)</f>
        <v>0</v>
      </c>
      <c r="ABV27" t="b">
        <f>AND(ABV25&gt;20, ABV20&gt;6)</f>
        <v>1</v>
      </c>
      <c r="ABW27" t="b">
        <f>AND(ABW25&gt;20, ABW20&gt;6)</f>
        <v>0</v>
      </c>
      <c r="ABX27" t="b">
        <f>AND(ABX25&gt;20, ABX20&gt;6)</f>
        <v>0</v>
      </c>
      <c r="ABY27" t="b">
        <f>AND(ABY25&gt;20, ABY20&gt;6)</f>
        <v>1</v>
      </c>
      <c r="ABZ27" t="b">
        <f>AND(ABZ25&gt;20, ABZ20&gt;6)</f>
        <v>0</v>
      </c>
      <c r="ACA27" t="b">
        <f>AND(ACA25&gt;20, ACA20&gt;6)</f>
        <v>0</v>
      </c>
      <c r="ACB27" t="b">
        <f>AND(ACB25&gt;20, ACB20&gt;6)</f>
        <v>0</v>
      </c>
      <c r="ACC27" t="b">
        <f>AND(ACC25&gt;20, ACC20&gt;6)</f>
        <v>0</v>
      </c>
      <c r="ACD27" t="b">
        <f>AND(ACD25&gt;20, ACD20&gt;6)</f>
        <v>1</v>
      </c>
      <c r="ACE27" t="b">
        <f>AND(ACE25&gt;20, ACE20&gt;6)</f>
        <v>0</v>
      </c>
      <c r="ACF27" t="b">
        <f>AND(ACF25&gt;20, ACF20&gt;6)</f>
        <v>0</v>
      </c>
      <c r="ACG27" t="b">
        <f>AND(ACG25&gt;20, ACG20&gt;6)</f>
        <v>0</v>
      </c>
      <c r="ACH27" t="b">
        <f>AND(ACH25&gt;20, ACH20&gt;6)</f>
        <v>0</v>
      </c>
      <c r="ACI27" t="b">
        <f>AND(ACI25&gt;20, ACI20&gt;6)</f>
        <v>0</v>
      </c>
      <c r="ACJ27" t="b">
        <f>AND(ACJ25&gt;20, ACJ20&gt;6)</f>
        <v>0</v>
      </c>
      <c r="ACK27" t="b">
        <f>AND(ACK25&gt;20, ACK20&gt;6)</f>
        <v>0</v>
      </c>
      <c r="ACL27" t="b">
        <f>AND(ACL25&gt;20, ACL20&gt;6)</f>
        <v>0</v>
      </c>
      <c r="ACM27" t="b">
        <f>AND(ACM25&gt;20, ACM20&gt;6)</f>
        <v>0</v>
      </c>
      <c r="ACN27" t="b">
        <f>AND(ACN25&gt;20, ACN20&gt;6)</f>
        <v>0</v>
      </c>
      <c r="ACO27" t="b">
        <f>AND(ACO25&gt;20, ACO20&gt;6)</f>
        <v>0</v>
      </c>
      <c r="ACP27" t="b">
        <f>AND(ACP25&gt;20, ACP20&gt;6)</f>
        <v>0</v>
      </c>
      <c r="ACQ27" t="b">
        <f>AND(ACQ25&gt;20, ACQ20&gt;6)</f>
        <v>0</v>
      </c>
      <c r="ACR27" t="b">
        <f>AND(ACR25&gt;20, ACR20&gt;6)</f>
        <v>0</v>
      </c>
      <c r="ACS27" t="b">
        <f>AND(ACS25&gt;20, ACS20&gt;6)</f>
        <v>0</v>
      </c>
      <c r="ACT27" t="b">
        <f>AND(ACT25&gt;20, ACT20&gt;6)</f>
        <v>0</v>
      </c>
      <c r="ACU27" t="b">
        <f>AND(ACU25&gt;20, ACU20&gt;6)</f>
        <v>0</v>
      </c>
      <c r="ACV27" t="b">
        <f>AND(ACV25&gt;20, ACV20&gt;6)</f>
        <v>0</v>
      </c>
      <c r="ACW27" t="b">
        <f>AND(ACW25&gt;20, ACW20&gt;6)</f>
        <v>0</v>
      </c>
      <c r="ACX27" t="b">
        <f>AND(ACX25&gt;20, ACX20&gt;6)</f>
        <v>0</v>
      </c>
      <c r="ACY27" t="b">
        <f>AND(ACY25&gt;20, ACY20&gt;6)</f>
        <v>0</v>
      </c>
      <c r="ACZ27" t="b">
        <f>AND(ACZ25&gt;20, ACZ20&gt;6)</f>
        <v>0</v>
      </c>
      <c r="ADA27" t="b">
        <f>AND(ADA25&gt;20, ADA20&gt;6)</f>
        <v>0</v>
      </c>
      <c r="ADB27" t="b">
        <f>AND(ADB25&gt;20, ADB20&gt;6)</f>
        <v>0</v>
      </c>
      <c r="ADC27" t="b">
        <f>AND(ADC25&gt;20, ADC20&gt;6)</f>
        <v>0</v>
      </c>
      <c r="ADD27" t="b">
        <f>AND(ADD25&gt;20, ADD20&gt;6)</f>
        <v>1</v>
      </c>
      <c r="ADE27" t="b">
        <f>AND(ADE25&gt;20, ADE20&gt;6)</f>
        <v>0</v>
      </c>
      <c r="ADF27" t="b">
        <f>AND(ADF25&gt;20, ADF20&gt;6)</f>
        <v>0</v>
      </c>
      <c r="ADG27" t="b">
        <f>AND(ADG25&gt;20, ADG20&gt;6)</f>
        <v>0</v>
      </c>
      <c r="ADH27" t="b">
        <f>AND(ADH25&gt;20, ADH20&gt;6)</f>
        <v>0</v>
      </c>
      <c r="ADI27" t="b">
        <f>AND(ADI25&gt;20, ADI20&gt;6)</f>
        <v>0</v>
      </c>
      <c r="ADJ27" t="b">
        <f>AND(ADJ25&gt;20, ADJ20&gt;6)</f>
        <v>0</v>
      </c>
      <c r="ADK27" t="b">
        <f>AND(ADK25&gt;20, ADK20&gt;6)</f>
        <v>0</v>
      </c>
      <c r="ADL27" t="b">
        <f>AND(ADL25&gt;20, ADL20&gt;6)</f>
        <v>0</v>
      </c>
      <c r="ADM27" t="b">
        <f>AND(ADM25&gt;20, ADM20&gt;6)</f>
        <v>1</v>
      </c>
      <c r="ADN27" t="b">
        <f>AND(ADN25&gt;20, ADN20&gt;6)</f>
        <v>0</v>
      </c>
      <c r="ADO27" t="b">
        <f>AND(ADO25&gt;20, ADO20&gt;6)</f>
        <v>0</v>
      </c>
      <c r="ADP27" t="b">
        <f>AND(ADP25&gt;20, ADP20&gt;6)</f>
        <v>0</v>
      </c>
      <c r="ADQ27" t="b">
        <f>AND(ADQ25&gt;20, ADQ20&gt;6)</f>
        <v>0</v>
      </c>
      <c r="ADR27" t="b">
        <f>AND(ADR25&gt;20, ADR20&gt;6)</f>
        <v>1</v>
      </c>
      <c r="ADS27" t="b">
        <f>AND(ADS25&gt;20, ADS20&gt;6)</f>
        <v>0</v>
      </c>
      <c r="ADT27" t="b">
        <f>AND(ADT25&gt;20, ADT20&gt;6)</f>
        <v>1</v>
      </c>
      <c r="ADU27" t="b">
        <f>AND(ADU25&gt;20, ADU20&gt;6)</f>
        <v>0</v>
      </c>
      <c r="ADV27" t="b">
        <f>AND(ADV25&gt;20, ADV20&gt;6)</f>
        <v>0</v>
      </c>
      <c r="ADW27" t="b">
        <f>AND(ADW25&gt;20, ADW20&gt;6)</f>
        <v>0</v>
      </c>
      <c r="ADX27" t="b">
        <f>AND(ADX25&gt;20, ADX20&gt;6)</f>
        <v>0</v>
      </c>
      <c r="ADY27" t="b">
        <f>AND(ADY25&gt;20, ADY20&gt;6)</f>
        <v>0</v>
      </c>
      <c r="ADZ27" t="b">
        <f>AND(ADZ25&gt;20, ADZ20&gt;6)</f>
        <v>1</v>
      </c>
      <c r="AEA27" t="b">
        <f>AND(AEA25&gt;20, AEA20&gt;6)</f>
        <v>0</v>
      </c>
      <c r="AEB27" t="b">
        <f>AND(AEB25&gt;20, AEB20&gt;6)</f>
        <v>1</v>
      </c>
      <c r="AEC27" t="b">
        <f>AND(AEC25&gt;20, AEC20&gt;6)</f>
        <v>0</v>
      </c>
      <c r="AED27" t="b">
        <f>AND(AED25&gt;20, AED20&gt;6)</f>
        <v>0</v>
      </c>
      <c r="AEE27" t="b">
        <f>AND(AEE25&gt;20, AEE20&gt;6)</f>
        <v>0</v>
      </c>
      <c r="AEF27" t="b">
        <f>AND(AEF25&gt;20, AEF20&gt;6)</f>
        <v>0</v>
      </c>
      <c r="AEG27" t="b">
        <f>AND(AEG25&gt;20, AEG20&gt;6)</f>
        <v>0</v>
      </c>
      <c r="AEH27" t="b">
        <f>AND(AEH25&gt;20, AEH20&gt;6)</f>
        <v>0</v>
      </c>
      <c r="AEI27" t="b">
        <f>AND(AEI25&gt;20, AEI20&gt;6)</f>
        <v>0</v>
      </c>
      <c r="AEJ27" t="b">
        <f>AND(AEJ25&gt;20, AEJ20&gt;6)</f>
        <v>0</v>
      </c>
      <c r="AEK27" t="b">
        <f>AND(AEK25&gt;20, AEK20&gt;6)</f>
        <v>1</v>
      </c>
      <c r="AEL27" t="b">
        <f>AND(AEL25&gt;20, AEL20&gt;6)</f>
        <v>0</v>
      </c>
      <c r="AEM27" t="b">
        <f>AND(AEM25&gt;20, AEM20&gt;6)</f>
        <v>0</v>
      </c>
      <c r="AEN27" t="b">
        <f>AND(AEN25&gt;20, AEN20&gt;6)</f>
        <v>1</v>
      </c>
      <c r="AEO27" t="b">
        <f>AND(AEO25&gt;20, AEO20&gt;6)</f>
        <v>0</v>
      </c>
      <c r="AEP27" t="b">
        <f>AND(AEP25&gt;20, AEP20&gt;6)</f>
        <v>1</v>
      </c>
      <c r="AEQ27" t="b">
        <f>AND(AEQ25&gt;20, AEQ20&gt;6)</f>
        <v>0</v>
      </c>
      <c r="AER27" t="b">
        <f>AND(AER25&gt;20, AER20&gt;6)</f>
        <v>0</v>
      </c>
      <c r="AES27" t="b">
        <f>AND(AES25&gt;20, AES20&gt;6)</f>
        <v>1</v>
      </c>
      <c r="AET27" t="b">
        <f>AND(AET25&gt;20, AET20&gt;6)</f>
        <v>0</v>
      </c>
      <c r="AEU27" t="b">
        <f>AND(AEU25&gt;20, AEU20&gt;6)</f>
        <v>1</v>
      </c>
      <c r="AEV27" t="b">
        <f>AND(AEV25&gt;20, AEV20&gt;6)</f>
        <v>1</v>
      </c>
      <c r="AEW27" t="b">
        <f>AND(AEW25&gt;20, AEW20&gt;6)</f>
        <v>0</v>
      </c>
      <c r="AEX27" t="b">
        <f>AND(AEX25&gt;20, AEX20&gt;6)</f>
        <v>0</v>
      </c>
      <c r="AEY27" t="b">
        <f>AND(AEY25&gt;20, AEY20&gt;6)</f>
        <v>0</v>
      </c>
      <c r="AEZ27" t="b">
        <f>AND(AEZ25&gt;20, AEZ20&gt;6)</f>
        <v>0</v>
      </c>
      <c r="AFA27" t="b">
        <f>AND(AFA25&gt;20, AFA20&gt;6)</f>
        <v>0</v>
      </c>
      <c r="AFB27" t="b">
        <f>AND(AFB25&gt;20, AFB20&gt;6)</f>
        <v>0</v>
      </c>
      <c r="AFC27" t="b">
        <f>AND(AFC25&gt;20, AFC20&gt;6)</f>
        <v>0</v>
      </c>
      <c r="AFD27" t="b">
        <f>AND(AFD25&gt;20, AFD20&gt;6)</f>
        <v>0</v>
      </c>
      <c r="AFE27" t="b">
        <f>AND(AFE25&gt;20, AFE20&gt;6)</f>
        <v>0</v>
      </c>
      <c r="AFF27" t="b">
        <f>AND(AFF25&gt;20, AFF20&gt;6)</f>
        <v>0</v>
      </c>
      <c r="AFG27" t="b">
        <f>AND(AFG25&gt;20, AFG20&gt;6)</f>
        <v>0</v>
      </c>
      <c r="AFH27" t="b">
        <f>AND(AFH25&gt;20, AFH20&gt;6)</f>
        <v>0</v>
      </c>
      <c r="AFI27" t="b">
        <f>AND(AFI25&gt;20, AFI20&gt;6)</f>
        <v>0</v>
      </c>
      <c r="AFJ27" t="b">
        <f>AND(AFJ25&gt;20, AFJ20&gt;6)</f>
        <v>0</v>
      </c>
      <c r="AFK27" t="b">
        <f>AND(AFK25&gt;20, AFK20&gt;6)</f>
        <v>1</v>
      </c>
      <c r="AFL27" t="b">
        <f>AND(AFL25&gt;20, AFL20&gt;6)</f>
        <v>1</v>
      </c>
      <c r="AFM27" t="b">
        <f>AND(AFM25&gt;20, AFM20&gt;6)</f>
        <v>0</v>
      </c>
      <c r="AFN27" t="b">
        <f>AND(AFN25&gt;20, AFN20&gt;6)</f>
        <v>0</v>
      </c>
      <c r="AFO27" t="b">
        <f>AND(AFO25&gt;20, AFO20&gt;6)</f>
        <v>0</v>
      </c>
      <c r="AFP27" t="b">
        <f>AND(AFP25&gt;20, AFP20&gt;6)</f>
        <v>1</v>
      </c>
      <c r="AFQ27" t="b">
        <f>AND(AFQ25&gt;20, AFQ20&gt;6)</f>
        <v>0</v>
      </c>
      <c r="AFR27" t="b">
        <f>AND(AFR25&gt;20, AFR20&gt;6)</f>
        <v>0</v>
      </c>
      <c r="AFS27" t="b">
        <f>AND(AFS25&gt;20, AFS20&gt;6)</f>
        <v>0</v>
      </c>
      <c r="AFT27" t="b">
        <f>AND(AFT25&gt;20, AFT20&gt;6)</f>
        <v>0</v>
      </c>
      <c r="AFU27" t="b">
        <f>AND(AFU25&gt;20, AFU20&gt;6)</f>
        <v>0</v>
      </c>
      <c r="AFV27" t="b">
        <f>AND(AFV25&gt;20, AFV20&gt;6)</f>
        <v>0</v>
      </c>
      <c r="AFW27" t="b">
        <f>AND(AFW25&gt;20, AFW20&gt;6)</f>
        <v>0</v>
      </c>
      <c r="AFX27" t="b">
        <f>AND(AFX25&gt;20, AFX20&gt;6)</f>
        <v>0</v>
      </c>
      <c r="AFY27" t="b">
        <f>AND(AFY25&gt;20, AFY20&gt;6)</f>
        <v>1</v>
      </c>
      <c r="AFZ27" t="b">
        <f>AND(AFZ25&gt;20, AFZ20&gt;6)</f>
        <v>0</v>
      </c>
      <c r="AGA27" t="b">
        <f>AND(AGA25&gt;20, AGA20&gt;6)</f>
        <v>0</v>
      </c>
      <c r="AGB27" t="b">
        <f>AND(AGB25&gt;20, AGB20&gt;6)</f>
        <v>0</v>
      </c>
      <c r="AGC27" t="b">
        <f>AND(AGC25&gt;20, AGC20&gt;6)</f>
        <v>1</v>
      </c>
      <c r="AGD27" t="b">
        <f>AND(AGD25&gt;20, AGD20&gt;6)</f>
        <v>0</v>
      </c>
      <c r="AGE27" t="b">
        <f>AND(AGE25&gt;20, AGE20&gt;6)</f>
        <v>0</v>
      </c>
      <c r="AGF27" t="b">
        <f>AND(AGF25&gt;20, AGF20&gt;6)</f>
        <v>0</v>
      </c>
      <c r="AGG27" t="b">
        <f>AND(AGG25&gt;20, AGG20&gt;6)</f>
        <v>0</v>
      </c>
      <c r="AGH27" t="b">
        <f>AND(AGH25&gt;20, AGH20&gt;6)</f>
        <v>1</v>
      </c>
      <c r="AGI27" t="b">
        <f>AND(AGI25&gt;20, AGI20&gt;6)</f>
        <v>1</v>
      </c>
      <c r="AGJ27" t="b">
        <f>AND(AGJ25&gt;20, AGJ20&gt;6)</f>
        <v>0</v>
      </c>
      <c r="AGK27" t="b">
        <f>AND(AGK25&gt;20, AGK20&gt;6)</f>
        <v>0</v>
      </c>
      <c r="AGL27" t="b">
        <f>AND(AGL25&gt;20, AGL20&gt;6)</f>
        <v>1</v>
      </c>
      <c r="AGM27" t="b">
        <f>AND(AGM25&gt;20, AGM20&gt;6)</f>
        <v>0</v>
      </c>
      <c r="AGN27" t="b">
        <f>AND(AGN25&gt;20, AGN20&gt;6)</f>
        <v>0</v>
      </c>
      <c r="AGO27" t="b">
        <f>AND(AGO25&gt;20, AGO20&gt;6)</f>
        <v>0</v>
      </c>
      <c r="AGP27" t="b">
        <f>AND(AGP25&gt;20, AGP20&gt;6)</f>
        <v>0</v>
      </c>
      <c r="AGQ27" t="b">
        <f>AND(AGQ25&gt;20, AGQ20&gt;6)</f>
        <v>0</v>
      </c>
      <c r="AGR27" t="b">
        <f>AND(AGR25&gt;20, AGR20&gt;6)</f>
        <v>0</v>
      </c>
      <c r="AGS27" t="b">
        <f>AND(AGS25&gt;20, AGS20&gt;6)</f>
        <v>0</v>
      </c>
      <c r="AGT27" t="b">
        <f>AND(AGT25&gt;20, AGT20&gt;6)</f>
        <v>0</v>
      </c>
      <c r="AGU27" t="b">
        <f>AND(AGU25&gt;20, AGU20&gt;6)</f>
        <v>0</v>
      </c>
      <c r="AGV27" t="b">
        <f>AND(AGV25&gt;20, AGV20&gt;6)</f>
        <v>0</v>
      </c>
      <c r="AGW27" t="b">
        <f>AND(AGW25&gt;20, AGW20&gt;6)</f>
        <v>0</v>
      </c>
      <c r="AGX27" t="b">
        <f>AND(AGX25&gt;20, AGX20&gt;6)</f>
        <v>0</v>
      </c>
      <c r="AGY27" t="b">
        <f>AND(AGY25&gt;20, AGY20&gt;6)</f>
        <v>0</v>
      </c>
      <c r="AGZ27" t="b">
        <f>AND(AGZ25&gt;20, AGZ20&gt;6)</f>
        <v>0</v>
      </c>
      <c r="AHA27" t="b">
        <f>AND(AHA25&gt;20, AHA20&gt;6)</f>
        <v>0</v>
      </c>
    </row>
    <row r="28" spans="1:885" x14ac:dyDescent="0.25">
      <c r="A28" s="1" t="s">
        <v>103</v>
      </c>
      <c r="B28" t="b">
        <f>OR(B25&gt;20, B20&gt;6)</f>
        <v>1</v>
      </c>
      <c r="C28" t="b">
        <f>OR(C25&gt;20, C20&gt;6)</f>
        <v>1</v>
      </c>
      <c r="D28" t="b">
        <f>OR(D25&gt;20, D20&gt;6)</f>
        <v>1</v>
      </c>
      <c r="E28" t="b">
        <f>OR(E25&gt;20, E20&gt;6)</f>
        <v>1</v>
      </c>
      <c r="F28" t="b">
        <f>OR(F25&gt;20, F20&gt;6)</f>
        <v>0</v>
      </c>
      <c r="G28" t="b">
        <f>OR(G25&gt;20, G20&gt;6)</f>
        <v>1</v>
      </c>
      <c r="H28" t="b">
        <f>OR(H25&gt;20, H20&gt;6)</f>
        <v>0</v>
      </c>
      <c r="I28" t="b">
        <f>OR(I25&gt;20, I20&gt;6)</f>
        <v>1</v>
      </c>
      <c r="J28" t="b">
        <f>OR(J25&gt;20, J20&gt;6)</f>
        <v>1</v>
      </c>
      <c r="K28" t="b">
        <f>OR(K25&gt;20, K20&gt;6)</f>
        <v>1</v>
      </c>
      <c r="L28" t="b">
        <f>OR(L25&gt;20, L20&gt;6)</f>
        <v>0</v>
      </c>
      <c r="M28" t="b">
        <f>OR(M25&gt;20, M20&gt;6)</f>
        <v>1</v>
      </c>
      <c r="N28" t="b">
        <f>OR(N25&gt;20, N20&gt;6)</f>
        <v>1</v>
      </c>
      <c r="O28" t="b">
        <f>OR(O25&gt;20, O20&gt;6)</f>
        <v>0</v>
      </c>
      <c r="P28" t="b">
        <f>OR(P25&gt;20, P20&gt;6)</f>
        <v>1</v>
      </c>
      <c r="Q28" t="b">
        <f>OR(Q25&gt;20, Q20&gt;6)</f>
        <v>1</v>
      </c>
      <c r="R28" t="b">
        <f>OR(R25&gt;20, R20&gt;6)</f>
        <v>1</v>
      </c>
      <c r="S28" t="b">
        <f>OR(S25&gt;20, S20&gt;6)</f>
        <v>0</v>
      </c>
      <c r="T28" t="b">
        <f>OR(T25&gt;20, T20&gt;6)</f>
        <v>1</v>
      </c>
      <c r="U28" t="b">
        <f>OR(U25&gt;20, U20&gt;6)</f>
        <v>1</v>
      </c>
      <c r="V28" t="b">
        <f>OR(V25&gt;20, V20&gt;6)</f>
        <v>1</v>
      </c>
      <c r="W28" t="b">
        <f>OR(W25&gt;20, W20&gt;6)</f>
        <v>0</v>
      </c>
      <c r="X28" t="b">
        <f>OR(X25&gt;20, X20&gt;6)</f>
        <v>1</v>
      </c>
      <c r="Y28" t="b">
        <f>OR(Y25&gt;20, Y20&gt;6)</f>
        <v>0</v>
      </c>
      <c r="Z28" t="b">
        <f>OR(Z25&gt;20, Z20&gt;6)</f>
        <v>1</v>
      </c>
      <c r="AA28" t="b">
        <f>OR(AA25&gt;20, AA20&gt;6)</f>
        <v>1</v>
      </c>
      <c r="AB28" t="b">
        <f>OR(AB25&gt;20, AB20&gt;6)</f>
        <v>1</v>
      </c>
      <c r="AC28" t="b">
        <f>OR(AC25&gt;20, AC20&gt;6)</f>
        <v>0</v>
      </c>
      <c r="AD28" t="b">
        <f>OR(AD25&gt;20, AD20&gt;6)</f>
        <v>1</v>
      </c>
      <c r="AE28" t="b">
        <f>OR(AE25&gt;20, AE20&gt;6)</f>
        <v>0</v>
      </c>
      <c r="AF28" t="b">
        <f>OR(AF25&gt;20, AF20&gt;6)</f>
        <v>1</v>
      </c>
      <c r="AG28" t="b">
        <f>OR(AG25&gt;20, AG20&gt;6)</f>
        <v>0</v>
      </c>
      <c r="AH28" t="b">
        <f>OR(AH25&gt;20, AH20&gt;6)</f>
        <v>1</v>
      </c>
      <c r="AI28" t="b">
        <f>OR(AI25&gt;20, AI20&gt;6)</f>
        <v>0</v>
      </c>
      <c r="AJ28" t="b">
        <f>OR(AJ25&gt;20, AJ20&gt;6)</f>
        <v>0</v>
      </c>
      <c r="AK28" t="b">
        <f>OR(AK25&gt;20, AK20&gt;6)</f>
        <v>1</v>
      </c>
      <c r="AL28" t="b">
        <f>OR(AL25&gt;20, AL20&gt;6)</f>
        <v>0</v>
      </c>
      <c r="AM28" t="b">
        <f>OR(AM25&gt;20, AM20&gt;6)</f>
        <v>1</v>
      </c>
      <c r="AN28" t="b">
        <f>OR(AN25&gt;20, AN20&gt;6)</f>
        <v>0</v>
      </c>
      <c r="AO28" t="b">
        <f>OR(AO25&gt;20, AO20&gt;6)</f>
        <v>0</v>
      </c>
      <c r="AP28" t="b">
        <f>OR(AP25&gt;20, AP20&gt;6)</f>
        <v>1</v>
      </c>
      <c r="AQ28" t="b">
        <f>OR(AQ25&gt;20, AQ20&gt;6)</f>
        <v>0</v>
      </c>
      <c r="AR28" t="b">
        <f>OR(AR25&gt;20, AR20&gt;6)</f>
        <v>1</v>
      </c>
      <c r="AS28" t="b">
        <f>OR(AS25&gt;20, AS20&gt;6)</f>
        <v>1</v>
      </c>
      <c r="AT28" t="b">
        <f>OR(AT25&gt;20, AT20&gt;6)</f>
        <v>1</v>
      </c>
      <c r="AU28" t="b">
        <f>OR(AU25&gt;20, AU20&gt;6)</f>
        <v>1</v>
      </c>
      <c r="AV28" t="b">
        <f>OR(AV25&gt;20, AV20&gt;6)</f>
        <v>1</v>
      </c>
      <c r="AW28" t="b">
        <f>OR(AW25&gt;20, AW20&gt;6)</f>
        <v>1</v>
      </c>
      <c r="AX28" t="b">
        <f>OR(AX25&gt;20, AX20&gt;6)</f>
        <v>0</v>
      </c>
      <c r="AY28" t="b">
        <f>OR(AY25&gt;20, AY20&gt;6)</f>
        <v>0</v>
      </c>
      <c r="AZ28" t="b">
        <f>OR(AZ25&gt;20, AZ20&gt;6)</f>
        <v>0</v>
      </c>
      <c r="BA28" t="b">
        <f>OR(BA25&gt;20, BA20&gt;6)</f>
        <v>1</v>
      </c>
      <c r="BB28" t="b">
        <f>OR(BB25&gt;20, BB20&gt;6)</f>
        <v>1</v>
      </c>
      <c r="BC28" t="b">
        <f>OR(BC25&gt;20, BC20&gt;6)</f>
        <v>1</v>
      </c>
      <c r="BD28" t="b">
        <f>OR(BD25&gt;20, BD20&gt;6)</f>
        <v>1</v>
      </c>
      <c r="BE28" t="b">
        <f>OR(BE25&gt;20, BE20&gt;6)</f>
        <v>1</v>
      </c>
      <c r="BF28" t="b">
        <f>OR(BF25&gt;20, BF20&gt;6)</f>
        <v>1</v>
      </c>
      <c r="BG28" t="b">
        <f>OR(BG25&gt;20, BG20&gt;6)</f>
        <v>0</v>
      </c>
      <c r="BH28" t="b">
        <f>OR(BH25&gt;20, BH20&gt;6)</f>
        <v>0</v>
      </c>
      <c r="BI28" t="b">
        <f>OR(BI25&gt;20, BI20&gt;6)</f>
        <v>1</v>
      </c>
      <c r="BJ28" t="b">
        <f>OR(BJ25&gt;20, BJ20&gt;6)</f>
        <v>1</v>
      </c>
      <c r="BK28" t="b">
        <f>OR(BK25&gt;20, BK20&gt;6)</f>
        <v>0</v>
      </c>
      <c r="BL28" t="b">
        <f>OR(BL25&gt;20, BL20&gt;6)</f>
        <v>1</v>
      </c>
      <c r="BM28" t="b">
        <f>OR(BM25&gt;20, BM20&gt;6)</f>
        <v>0</v>
      </c>
      <c r="BN28" t="b">
        <f>OR(BN25&gt;20, BN20&gt;6)</f>
        <v>1</v>
      </c>
      <c r="BO28" t="b">
        <f>OR(BO25&gt;20, BO20&gt;6)</f>
        <v>0</v>
      </c>
      <c r="BP28" t="b">
        <f>OR(BP25&gt;20, BP20&gt;6)</f>
        <v>1</v>
      </c>
      <c r="BQ28" t="b">
        <f>OR(BQ25&gt;20, BQ20&gt;6)</f>
        <v>0</v>
      </c>
      <c r="BR28" t="b">
        <f>OR(BR25&gt;20, BR20&gt;6)</f>
        <v>0</v>
      </c>
      <c r="BS28" t="b">
        <f>OR(BS25&gt;20, BS20&gt;6)</f>
        <v>1</v>
      </c>
      <c r="BT28" t="b">
        <f>OR(BT25&gt;20, BT20&gt;6)</f>
        <v>1</v>
      </c>
      <c r="BU28" t="b">
        <f>OR(BU25&gt;20, BU20&gt;6)</f>
        <v>1</v>
      </c>
      <c r="BV28" t="b">
        <f>OR(BV25&gt;20, BV20&gt;6)</f>
        <v>1</v>
      </c>
      <c r="BW28" t="b">
        <f>OR(BW25&gt;20, BW20&gt;6)</f>
        <v>1</v>
      </c>
      <c r="BX28" t="b">
        <f>OR(BX25&gt;20, BX20&gt;6)</f>
        <v>1</v>
      </c>
      <c r="BY28" t="b">
        <f>OR(BY25&gt;20, BY20&gt;6)</f>
        <v>1</v>
      </c>
      <c r="BZ28" t="b">
        <f>OR(BZ25&gt;20, BZ20&gt;6)</f>
        <v>0</v>
      </c>
      <c r="CA28" t="b">
        <f>OR(CA25&gt;20, CA20&gt;6)</f>
        <v>1</v>
      </c>
      <c r="CB28" t="b">
        <f>OR(CB25&gt;20, CB20&gt;6)</f>
        <v>0</v>
      </c>
      <c r="CC28" t="b">
        <f>OR(CC25&gt;20, CC20&gt;6)</f>
        <v>1</v>
      </c>
      <c r="CD28" t="b">
        <f>OR(CD25&gt;20, CD20&gt;6)</f>
        <v>1</v>
      </c>
      <c r="CE28" t="b">
        <f>OR(CE25&gt;20, CE20&gt;6)</f>
        <v>1</v>
      </c>
      <c r="CF28" t="b">
        <f>OR(CF25&gt;20, CF20&gt;6)</f>
        <v>1</v>
      </c>
      <c r="CG28" t="b">
        <f>OR(CG25&gt;20, CG20&gt;6)</f>
        <v>0</v>
      </c>
      <c r="CH28" t="b">
        <f>OR(CH25&gt;20, CH20&gt;6)</f>
        <v>1</v>
      </c>
      <c r="CI28" t="b">
        <f>OR(CI25&gt;20, CI20&gt;6)</f>
        <v>1</v>
      </c>
      <c r="CJ28" t="b">
        <f>OR(CJ25&gt;20, CJ20&gt;6)</f>
        <v>1</v>
      </c>
      <c r="CK28" t="b">
        <f>OR(CK25&gt;20, CK20&gt;6)</f>
        <v>0</v>
      </c>
      <c r="CL28" t="b">
        <f>OR(CL25&gt;20, CL20&gt;6)</f>
        <v>1</v>
      </c>
      <c r="CM28" t="b">
        <f>OR(CM25&gt;20, CM20&gt;6)</f>
        <v>1</v>
      </c>
      <c r="CN28" t="b">
        <f>OR(CN25&gt;20, CN20&gt;6)</f>
        <v>1</v>
      </c>
      <c r="CO28" t="b">
        <f>OR(CO25&gt;20, CO20&gt;6)</f>
        <v>1</v>
      </c>
      <c r="CP28" t="b">
        <f>OR(CP25&gt;20, CP20&gt;6)</f>
        <v>1</v>
      </c>
      <c r="CQ28" t="b">
        <f>OR(CQ25&gt;20, CQ20&gt;6)</f>
        <v>1</v>
      </c>
      <c r="CR28" t="b">
        <f>OR(CR25&gt;20, CR20&gt;6)</f>
        <v>0</v>
      </c>
      <c r="CS28" t="b">
        <f>OR(CS25&gt;20, CS20&gt;6)</f>
        <v>1</v>
      </c>
      <c r="CT28" t="b">
        <f>OR(CT25&gt;20, CT20&gt;6)</f>
        <v>1</v>
      </c>
      <c r="CU28" t="b">
        <f>OR(CU25&gt;20, CU20&gt;6)</f>
        <v>0</v>
      </c>
      <c r="CV28" t="b">
        <f>OR(CV25&gt;20, CV20&gt;6)</f>
        <v>0</v>
      </c>
      <c r="CW28" t="b">
        <f>OR(CW25&gt;20, CW20&gt;6)</f>
        <v>0</v>
      </c>
      <c r="CX28" t="b">
        <f>OR(CX25&gt;20, CX20&gt;6)</f>
        <v>1</v>
      </c>
      <c r="CY28" t="b">
        <f>OR(CY25&gt;20, CY20&gt;6)</f>
        <v>1</v>
      </c>
      <c r="CZ28" t="b">
        <f>OR(CZ25&gt;20, CZ20&gt;6)</f>
        <v>1</v>
      </c>
      <c r="DA28" t="b">
        <f>OR(DA25&gt;20, DA20&gt;6)</f>
        <v>1</v>
      </c>
      <c r="DB28" t="b">
        <f>OR(DB25&gt;20, DB20&gt;6)</f>
        <v>1</v>
      </c>
      <c r="DC28" t="b">
        <f>OR(DC25&gt;20, DC20&gt;6)</f>
        <v>1</v>
      </c>
      <c r="DD28" t="b">
        <f>OR(DD25&gt;20, DD20&gt;6)</f>
        <v>1</v>
      </c>
      <c r="DE28" t="b">
        <f>OR(DE25&gt;20, DE20&gt;6)</f>
        <v>0</v>
      </c>
      <c r="DF28" t="b">
        <f>OR(DF25&gt;20, DF20&gt;6)</f>
        <v>0</v>
      </c>
      <c r="DG28" t="b">
        <f>OR(DG25&gt;20, DG20&gt;6)</f>
        <v>1</v>
      </c>
      <c r="DH28" t="b">
        <f>OR(DH25&gt;20, DH20&gt;6)</f>
        <v>0</v>
      </c>
      <c r="DI28" t="b">
        <f>OR(DI25&gt;20, DI20&gt;6)</f>
        <v>1</v>
      </c>
      <c r="DJ28" t="b">
        <f>OR(DJ25&gt;20, DJ20&gt;6)</f>
        <v>1</v>
      </c>
      <c r="DK28" t="b">
        <f>OR(DK25&gt;20, DK20&gt;6)</f>
        <v>1</v>
      </c>
      <c r="DL28" t="b">
        <f>OR(DL25&gt;20, DL20&gt;6)</f>
        <v>1</v>
      </c>
      <c r="DM28" t="b">
        <f>OR(DM25&gt;20, DM20&gt;6)</f>
        <v>0</v>
      </c>
      <c r="DN28" t="b">
        <f>OR(DN25&gt;20, DN20&gt;6)</f>
        <v>0</v>
      </c>
      <c r="DO28" t="b">
        <f>OR(DO25&gt;20, DO20&gt;6)</f>
        <v>1</v>
      </c>
      <c r="DP28" t="b">
        <f>OR(DP25&gt;20, DP20&gt;6)</f>
        <v>1</v>
      </c>
      <c r="DQ28" t="b">
        <f>OR(DQ25&gt;20, DQ20&gt;6)</f>
        <v>1</v>
      </c>
      <c r="DR28" t="b">
        <f>OR(DR25&gt;20, DR20&gt;6)</f>
        <v>1</v>
      </c>
      <c r="DS28" t="b">
        <f>OR(DS25&gt;20, DS20&gt;6)</f>
        <v>1</v>
      </c>
      <c r="DT28" t="b">
        <f>OR(DT25&gt;20, DT20&gt;6)</f>
        <v>1</v>
      </c>
      <c r="DU28" t="b">
        <f>OR(DU25&gt;20, DU20&gt;6)</f>
        <v>0</v>
      </c>
      <c r="DV28" t="b">
        <f>OR(DV25&gt;20, DV20&gt;6)</f>
        <v>0</v>
      </c>
      <c r="DW28" t="b">
        <f>OR(DW25&gt;20, DW20&gt;6)</f>
        <v>0</v>
      </c>
      <c r="DX28" t="b">
        <f>OR(DX25&gt;20, DX20&gt;6)</f>
        <v>1</v>
      </c>
      <c r="DY28" t="b">
        <f>OR(DY25&gt;20, DY20&gt;6)</f>
        <v>1</v>
      </c>
      <c r="DZ28" t="b">
        <f>OR(DZ25&gt;20, DZ20&gt;6)</f>
        <v>0</v>
      </c>
      <c r="EA28" t="b">
        <f>OR(EA25&gt;20, EA20&gt;6)</f>
        <v>1</v>
      </c>
      <c r="EB28" t="b">
        <f>OR(EB25&gt;20, EB20&gt;6)</f>
        <v>0</v>
      </c>
      <c r="EC28" t="b">
        <f>OR(EC25&gt;20, EC20&gt;6)</f>
        <v>1</v>
      </c>
      <c r="ED28" t="b">
        <f>OR(ED25&gt;20, ED20&gt;6)</f>
        <v>1</v>
      </c>
      <c r="EE28" t="b">
        <f>OR(EE25&gt;20, EE20&gt;6)</f>
        <v>0</v>
      </c>
      <c r="EF28" t="b">
        <f>OR(EF25&gt;20, EF20&gt;6)</f>
        <v>1</v>
      </c>
      <c r="EG28" t="b">
        <f>OR(EG25&gt;20, EG20&gt;6)</f>
        <v>1</v>
      </c>
      <c r="EH28" t="b">
        <f>OR(EH25&gt;20, EH20&gt;6)</f>
        <v>0</v>
      </c>
      <c r="EI28" t="b">
        <f>OR(EI25&gt;20, EI20&gt;6)</f>
        <v>1</v>
      </c>
      <c r="EJ28" t="b">
        <f>OR(EJ25&gt;20, EJ20&gt;6)</f>
        <v>0</v>
      </c>
      <c r="EK28" t="b">
        <f>OR(EK25&gt;20, EK20&gt;6)</f>
        <v>0</v>
      </c>
      <c r="EL28" t="b">
        <f>OR(EL25&gt;20, EL20&gt;6)</f>
        <v>1</v>
      </c>
      <c r="EM28" t="b">
        <f>OR(EM25&gt;20, EM20&gt;6)</f>
        <v>1</v>
      </c>
      <c r="EN28" t="b">
        <f>OR(EN25&gt;20, EN20&gt;6)</f>
        <v>1</v>
      </c>
      <c r="EO28" t="b">
        <f>OR(EO25&gt;20, EO20&gt;6)</f>
        <v>1</v>
      </c>
      <c r="EP28" t="b">
        <f>OR(EP25&gt;20, EP20&gt;6)</f>
        <v>1</v>
      </c>
      <c r="EQ28" t="b">
        <f>OR(EQ25&gt;20, EQ20&gt;6)</f>
        <v>0</v>
      </c>
      <c r="ER28" t="b">
        <f>OR(ER25&gt;20, ER20&gt;6)</f>
        <v>1</v>
      </c>
      <c r="ES28" t="b">
        <f>OR(ES25&gt;20, ES20&gt;6)</f>
        <v>0</v>
      </c>
      <c r="ET28" t="b">
        <f>OR(ET25&gt;20, ET20&gt;6)</f>
        <v>0</v>
      </c>
      <c r="EU28" t="b">
        <f>OR(EU25&gt;20, EU20&gt;6)</f>
        <v>0</v>
      </c>
      <c r="EV28" t="b">
        <f>OR(EV25&gt;20, EV20&gt;6)</f>
        <v>1</v>
      </c>
      <c r="EW28" t="b">
        <f>OR(EW25&gt;20, EW20&gt;6)</f>
        <v>0</v>
      </c>
      <c r="EX28" t="b">
        <f>OR(EX25&gt;20, EX20&gt;6)</f>
        <v>0</v>
      </c>
      <c r="EY28" t="b">
        <f>OR(EY25&gt;20, EY20&gt;6)</f>
        <v>0</v>
      </c>
      <c r="EZ28" t="b">
        <f>OR(EZ25&gt;20, EZ20&gt;6)</f>
        <v>1</v>
      </c>
      <c r="FA28" t="b">
        <f>OR(FA25&gt;20, FA20&gt;6)</f>
        <v>1</v>
      </c>
      <c r="FB28" t="b">
        <f>OR(FB25&gt;20, FB20&gt;6)</f>
        <v>1</v>
      </c>
      <c r="FC28" t="b">
        <f>OR(FC25&gt;20, FC20&gt;6)</f>
        <v>1</v>
      </c>
      <c r="FD28" t="b">
        <f>OR(FD25&gt;20, FD20&gt;6)</f>
        <v>1</v>
      </c>
      <c r="FE28" t="b">
        <f>OR(FE25&gt;20, FE20&gt;6)</f>
        <v>1</v>
      </c>
      <c r="FF28" t="b">
        <f>OR(FF25&gt;20, FF20&gt;6)</f>
        <v>0</v>
      </c>
      <c r="FG28" t="b">
        <f>OR(FG25&gt;20, FG20&gt;6)</f>
        <v>1</v>
      </c>
      <c r="FH28" t="b">
        <f>OR(FH25&gt;20, FH20&gt;6)</f>
        <v>0</v>
      </c>
      <c r="FI28" t="b">
        <f>OR(FI25&gt;20, FI20&gt;6)</f>
        <v>0</v>
      </c>
      <c r="FJ28" t="b">
        <f>OR(FJ25&gt;20, FJ20&gt;6)</f>
        <v>1</v>
      </c>
      <c r="FK28" t="b">
        <f>OR(FK25&gt;20, FK20&gt;6)</f>
        <v>1</v>
      </c>
      <c r="FL28" t="b">
        <f>OR(FL25&gt;20, FL20&gt;6)</f>
        <v>0</v>
      </c>
      <c r="FM28" t="b">
        <f>OR(FM25&gt;20, FM20&gt;6)</f>
        <v>0</v>
      </c>
      <c r="FN28" t="b">
        <f>OR(FN25&gt;20, FN20&gt;6)</f>
        <v>0</v>
      </c>
      <c r="FO28" t="b">
        <f>OR(FO25&gt;20, FO20&gt;6)</f>
        <v>0</v>
      </c>
      <c r="FP28" t="b">
        <f>OR(FP25&gt;20, FP20&gt;6)</f>
        <v>0</v>
      </c>
      <c r="FQ28" t="b">
        <f>OR(FQ25&gt;20, FQ20&gt;6)</f>
        <v>1</v>
      </c>
      <c r="FR28" t="b">
        <f>OR(FR25&gt;20, FR20&gt;6)</f>
        <v>0</v>
      </c>
      <c r="FS28" t="b">
        <f>OR(FS25&gt;20, FS20&gt;6)</f>
        <v>1</v>
      </c>
      <c r="FT28" t="b">
        <f>OR(FT25&gt;20, FT20&gt;6)</f>
        <v>1</v>
      </c>
      <c r="FU28" t="b">
        <f>OR(FU25&gt;20, FU20&gt;6)</f>
        <v>0</v>
      </c>
      <c r="FV28" t="b">
        <f>OR(FV25&gt;20, FV20&gt;6)</f>
        <v>0</v>
      </c>
      <c r="FW28" t="b">
        <f>OR(FW25&gt;20, FW20&gt;6)</f>
        <v>0</v>
      </c>
      <c r="FX28" t="b">
        <f>OR(FX25&gt;20, FX20&gt;6)</f>
        <v>1</v>
      </c>
      <c r="FY28" t="b">
        <f>OR(FY25&gt;20, FY20&gt;6)</f>
        <v>1</v>
      </c>
      <c r="FZ28" t="b">
        <f>OR(FZ25&gt;20, FZ20&gt;6)</f>
        <v>1</v>
      </c>
      <c r="GA28" t="b">
        <f>OR(GA25&gt;20, GA20&gt;6)</f>
        <v>1</v>
      </c>
      <c r="GB28" t="b">
        <f>OR(GB25&gt;20, GB20&gt;6)</f>
        <v>0</v>
      </c>
      <c r="GC28" t="b">
        <f>OR(GC25&gt;20, GC20&gt;6)</f>
        <v>0</v>
      </c>
      <c r="GD28" t="b">
        <f>OR(GD25&gt;20, GD20&gt;6)</f>
        <v>1</v>
      </c>
      <c r="GE28" t="b">
        <f>OR(GE25&gt;20, GE20&gt;6)</f>
        <v>0</v>
      </c>
      <c r="GF28" t="b">
        <f>OR(GF25&gt;20, GF20&gt;6)</f>
        <v>1</v>
      </c>
      <c r="GG28" t="b">
        <f>OR(GG25&gt;20, GG20&gt;6)</f>
        <v>1</v>
      </c>
      <c r="GH28" t="b">
        <f>OR(GH25&gt;20, GH20&gt;6)</f>
        <v>1</v>
      </c>
      <c r="GI28" t="b">
        <f>OR(GI25&gt;20, GI20&gt;6)</f>
        <v>1</v>
      </c>
      <c r="GJ28" t="b">
        <f>OR(GJ25&gt;20, GJ20&gt;6)</f>
        <v>0</v>
      </c>
      <c r="GK28" t="b">
        <f>OR(GK25&gt;20, GK20&gt;6)</f>
        <v>1</v>
      </c>
      <c r="GL28" t="b">
        <f>OR(GL25&gt;20, GL20&gt;6)</f>
        <v>1</v>
      </c>
      <c r="GM28" t="b">
        <f>OR(GM25&gt;20, GM20&gt;6)</f>
        <v>1</v>
      </c>
      <c r="GN28" t="b">
        <f>OR(GN25&gt;20, GN20&gt;6)</f>
        <v>1</v>
      </c>
      <c r="GO28" t="b">
        <f>OR(GO25&gt;20, GO20&gt;6)</f>
        <v>1</v>
      </c>
      <c r="GP28" t="b">
        <f>OR(GP25&gt;20, GP20&gt;6)</f>
        <v>1</v>
      </c>
      <c r="GQ28" t="b">
        <f>OR(GQ25&gt;20, GQ20&gt;6)</f>
        <v>0</v>
      </c>
      <c r="GR28" t="b">
        <f>OR(GR25&gt;20, GR20&gt;6)</f>
        <v>1</v>
      </c>
      <c r="GS28" t="b">
        <f>OR(GS25&gt;20, GS20&gt;6)</f>
        <v>1</v>
      </c>
      <c r="GT28" t="b">
        <f>OR(GT25&gt;20, GT20&gt;6)</f>
        <v>1</v>
      </c>
      <c r="GU28" t="b">
        <f>OR(GU25&gt;20, GU20&gt;6)</f>
        <v>1</v>
      </c>
      <c r="GV28" t="b">
        <f>OR(GV25&gt;20, GV20&gt;6)</f>
        <v>1</v>
      </c>
      <c r="GW28" t="b">
        <f>OR(GW25&gt;20, GW20&gt;6)</f>
        <v>0</v>
      </c>
      <c r="GX28" t="b">
        <f>OR(GX25&gt;20, GX20&gt;6)</f>
        <v>1</v>
      </c>
      <c r="GY28" t="b">
        <f>OR(GY25&gt;20, GY20&gt;6)</f>
        <v>1</v>
      </c>
      <c r="GZ28" t="b">
        <f>OR(GZ25&gt;20, GZ20&gt;6)</f>
        <v>1</v>
      </c>
      <c r="HA28" t="b">
        <f>OR(HA25&gt;20, HA20&gt;6)</f>
        <v>1</v>
      </c>
      <c r="HB28" t="b">
        <f>OR(HB25&gt;20, HB20&gt;6)</f>
        <v>1</v>
      </c>
      <c r="HC28" t="b">
        <f>OR(HC25&gt;20, HC20&gt;6)</f>
        <v>0</v>
      </c>
      <c r="HD28" t="b">
        <f>OR(HD25&gt;20, HD20&gt;6)</f>
        <v>1</v>
      </c>
      <c r="HE28" t="b">
        <f>OR(HE25&gt;20, HE20&gt;6)</f>
        <v>0</v>
      </c>
      <c r="HF28" t="b">
        <f>OR(HF25&gt;20, HF20&gt;6)</f>
        <v>0</v>
      </c>
      <c r="HG28" t="b">
        <f>OR(HG25&gt;20, HG20&gt;6)</f>
        <v>1</v>
      </c>
      <c r="HH28" t="b">
        <f>OR(HH25&gt;20, HH20&gt;6)</f>
        <v>1</v>
      </c>
      <c r="HI28" t="b">
        <f>OR(HI25&gt;20, HI20&gt;6)</f>
        <v>1</v>
      </c>
      <c r="HJ28" t="b">
        <f>OR(HJ25&gt;20, HJ20&gt;6)</f>
        <v>1</v>
      </c>
      <c r="HK28" t="b">
        <f>OR(HK25&gt;20, HK20&gt;6)</f>
        <v>1</v>
      </c>
      <c r="HL28" t="b">
        <f>OR(HL25&gt;20, HL20&gt;6)</f>
        <v>0</v>
      </c>
      <c r="HM28" t="b">
        <f>OR(HM25&gt;20, HM20&gt;6)</f>
        <v>1</v>
      </c>
      <c r="HN28" t="b">
        <f>OR(HN25&gt;20, HN20&gt;6)</f>
        <v>0</v>
      </c>
      <c r="HO28" t="b">
        <f>OR(HO25&gt;20, HO20&gt;6)</f>
        <v>1</v>
      </c>
      <c r="HP28" t="b">
        <f>OR(HP25&gt;20, HP20&gt;6)</f>
        <v>1</v>
      </c>
      <c r="HQ28" t="b">
        <f>OR(HQ25&gt;20, HQ20&gt;6)</f>
        <v>0</v>
      </c>
      <c r="HR28" t="b">
        <f>OR(HR25&gt;20, HR20&gt;6)</f>
        <v>0</v>
      </c>
      <c r="HS28" t="b">
        <f>OR(HS25&gt;20, HS20&gt;6)</f>
        <v>1</v>
      </c>
      <c r="HT28" t="b">
        <f>OR(HT25&gt;20, HT20&gt;6)</f>
        <v>0</v>
      </c>
      <c r="HU28" t="b">
        <f>OR(HU25&gt;20, HU20&gt;6)</f>
        <v>1</v>
      </c>
      <c r="HV28" t="b">
        <f>OR(HV25&gt;20, HV20&gt;6)</f>
        <v>0</v>
      </c>
      <c r="HW28" t="b">
        <f>OR(HW25&gt;20, HW20&gt;6)</f>
        <v>0</v>
      </c>
      <c r="HX28" t="b">
        <f>OR(HX25&gt;20, HX20&gt;6)</f>
        <v>1</v>
      </c>
      <c r="HY28" t="b">
        <f>OR(HY25&gt;20, HY20&gt;6)</f>
        <v>1</v>
      </c>
      <c r="HZ28" t="b">
        <f>OR(HZ25&gt;20, HZ20&gt;6)</f>
        <v>1</v>
      </c>
      <c r="IA28" t="b">
        <f>OR(IA25&gt;20, IA20&gt;6)</f>
        <v>0</v>
      </c>
      <c r="IB28" t="b">
        <f>OR(IB25&gt;20, IB20&gt;6)</f>
        <v>0</v>
      </c>
      <c r="IC28" t="b">
        <f>OR(IC25&gt;20, IC20&gt;6)</f>
        <v>0</v>
      </c>
      <c r="ID28" t="b">
        <f>OR(ID25&gt;20, ID20&gt;6)</f>
        <v>1</v>
      </c>
      <c r="IE28" t="b">
        <f>OR(IE25&gt;20, IE20&gt;6)</f>
        <v>1</v>
      </c>
      <c r="IF28" t="b">
        <f>OR(IF25&gt;20, IF20&gt;6)</f>
        <v>0</v>
      </c>
      <c r="IG28" t="b">
        <f>OR(IG25&gt;20, IG20&gt;6)</f>
        <v>1</v>
      </c>
      <c r="IH28" t="b">
        <f>OR(IH25&gt;20, IH20&gt;6)</f>
        <v>1</v>
      </c>
      <c r="II28" t="b">
        <f>OR(II25&gt;20, II20&gt;6)</f>
        <v>0</v>
      </c>
      <c r="IJ28" t="b">
        <f>OR(IJ25&gt;20, IJ20&gt;6)</f>
        <v>0</v>
      </c>
      <c r="IK28" t="b">
        <f>OR(IK25&gt;20, IK20&gt;6)</f>
        <v>1</v>
      </c>
      <c r="IL28" t="b">
        <f>OR(IL25&gt;20, IL20&gt;6)</f>
        <v>1</v>
      </c>
      <c r="IM28" t="b">
        <f>OR(IM25&gt;20, IM20&gt;6)</f>
        <v>1</v>
      </c>
      <c r="IN28" t="b">
        <f>OR(IN25&gt;20, IN20&gt;6)</f>
        <v>1</v>
      </c>
      <c r="IO28" t="b">
        <f>OR(IO25&gt;20, IO20&gt;6)</f>
        <v>0</v>
      </c>
      <c r="IP28" t="b">
        <f>OR(IP25&gt;20, IP20&gt;6)</f>
        <v>1</v>
      </c>
      <c r="IQ28" t="b">
        <f>OR(IQ25&gt;20, IQ20&gt;6)</f>
        <v>1</v>
      </c>
      <c r="IR28" t="b">
        <f>OR(IR25&gt;20, IR20&gt;6)</f>
        <v>1</v>
      </c>
      <c r="IS28" t="b">
        <f>OR(IS25&gt;20, IS20&gt;6)</f>
        <v>0</v>
      </c>
      <c r="IT28" t="b">
        <f>OR(IT25&gt;20, IT20&gt;6)</f>
        <v>1</v>
      </c>
      <c r="IU28" t="b">
        <f>OR(IU25&gt;20, IU20&gt;6)</f>
        <v>1</v>
      </c>
      <c r="IV28" t="b">
        <f>OR(IV25&gt;20, IV20&gt;6)</f>
        <v>0</v>
      </c>
      <c r="IW28" t="b">
        <f>OR(IW25&gt;20, IW20&gt;6)</f>
        <v>0</v>
      </c>
      <c r="IX28" t="b">
        <f>OR(IX25&gt;20, IX20&gt;6)</f>
        <v>1</v>
      </c>
      <c r="IY28" t="b">
        <f>OR(IY25&gt;20, IY20&gt;6)</f>
        <v>0</v>
      </c>
      <c r="IZ28" t="b">
        <f>OR(IZ25&gt;20, IZ20&gt;6)</f>
        <v>0</v>
      </c>
      <c r="JA28" t="b">
        <f>OR(JA25&gt;20, JA20&gt;6)</f>
        <v>1</v>
      </c>
      <c r="JB28" t="b">
        <f>OR(JB25&gt;20, JB20&gt;6)</f>
        <v>1</v>
      </c>
      <c r="JC28" t="b">
        <f>OR(JC25&gt;20, JC20&gt;6)</f>
        <v>0</v>
      </c>
      <c r="JD28" t="b">
        <f>OR(JD25&gt;20, JD20&gt;6)</f>
        <v>1</v>
      </c>
      <c r="JE28" t="b">
        <f>OR(JE25&gt;20, JE20&gt;6)</f>
        <v>1</v>
      </c>
      <c r="JF28" t="b">
        <f>OR(JF25&gt;20, JF20&gt;6)</f>
        <v>1</v>
      </c>
      <c r="JG28" t="b">
        <f>OR(JG25&gt;20, JG20&gt;6)</f>
        <v>1</v>
      </c>
      <c r="JH28" t="b">
        <f>OR(JH25&gt;20, JH20&gt;6)</f>
        <v>1</v>
      </c>
      <c r="JI28" t="b">
        <f>OR(JI25&gt;20, JI20&gt;6)</f>
        <v>0</v>
      </c>
      <c r="JJ28" t="b">
        <f>OR(JJ25&gt;20, JJ20&gt;6)</f>
        <v>1</v>
      </c>
      <c r="JK28" t="b">
        <f>OR(JK25&gt;20, JK20&gt;6)</f>
        <v>1</v>
      </c>
      <c r="JL28" t="b">
        <f>OR(JL25&gt;20, JL20&gt;6)</f>
        <v>0</v>
      </c>
      <c r="JM28" t="b">
        <f>OR(JM25&gt;20, JM20&gt;6)</f>
        <v>0</v>
      </c>
      <c r="JN28" t="b">
        <f>OR(JN25&gt;20, JN20&gt;6)</f>
        <v>1</v>
      </c>
      <c r="JO28" t="b">
        <f>OR(JO25&gt;20, JO20&gt;6)</f>
        <v>1</v>
      </c>
      <c r="JP28" t="b">
        <f>OR(JP25&gt;20, JP20&gt;6)</f>
        <v>1</v>
      </c>
      <c r="JQ28" t="b">
        <f>OR(JQ25&gt;20, JQ20&gt;6)</f>
        <v>1</v>
      </c>
      <c r="JR28" t="b">
        <f>OR(JR25&gt;20, JR20&gt;6)</f>
        <v>1</v>
      </c>
      <c r="JS28" t="b">
        <f>OR(JS25&gt;20, JS20&gt;6)</f>
        <v>1</v>
      </c>
      <c r="JT28" t="b">
        <f>OR(JT25&gt;20, JT20&gt;6)</f>
        <v>0</v>
      </c>
      <c r="JU28" t="b">
        <f>OR(JU25&gt;20, JU20&gt;6)</f>
        <v>1</v>
      </c>
      <c r="JV28" t="b">
        <f>OR(JV25&gt;20, JV20&gt;6)</f>
        <v>1</v>
      </c>
      <c r="JW28" t="b">
        <f>OR(JW25&gt;20, JW20&gt;6)</f>
        <v>1</v>
      </c>
      <c r="JX28" t="b">
        <f>OR(JX25&gt;20, JX20&gt;6)</f>
        <v>1</v>
      </c>
      <c r="JY28" t="b">
        <f>OR(JY25&gt;20, JY20&gt;6)</f>
        <v>1</v>
      </c>
      <c r="JZ28" t="b">
        <f>OR(JZ25&gt;20, JZ20&gt;6)</f>
        <v>0</v>
      </c>
      <c r="KA28" t="b">
        <f>OR(KA25&gt;20, KA20&gt;6)</f>
        <v>1</v>
      </c>
      <c r="KB28" t="b">
        <f>OR(KB25&gt;20, KB20&gt;6)</f>
        <v>1</v>
      </c>
      <c r="KC28" t="b">
        <f>OR(KC25&gt;20, KC20&gt;6)</f>
        <v>0</v>
      </c>
      <c r="KD28" t="b">
        <f>OR(KD25&gt;20, KD20&gt;6)</f>
        <v>1</v>
      </c>
      <c r="KE28" t="b">
        <f>OR(KE25&gt;20, KE20&gt;6)</f>
        <v>1</v>
      </c>
      <c r="KF28" t="b">
        <f>OR(KF25&gt;20, KF20&gt;6)</f>
        <v>1</v>
      </c>
      <c r="KG28" t="b">
        <f>OR(KG25&gt;20, KG20&gt;6)</f>
        <v>1</v>
      </c>
      <c r="KH28" t="b">
        <f>OR(KH25&gt;20, KH20&gt;6)</f>
        <v>0</v>
      </c>
      <c r="KI28" t="b">
        <f>OR(KI25&gt;20, KI20&gt;6)</f>
        <v>1</v>
      </c>
      <c r="KJ28" t="b">
        <f>OR(KJ25&gt;20, KJ20&gt;6)</f>
        <v>1</v>
      </c>
      <c r="KK28" t="b">
        <f>OR(KK25&gt;20, KK20&gt;6)</f>
        <v>1</v>
      </c>
      <c r="KL28" t="b">
        <f>OR(KL25&gt;20, KL20&gt;6)</f>
        <v>0</v>
      </c>
      <c r="KM28" t="b">
        <f>OR(KM25&gt;20, KM20&gt;6)</f>
        <v>1</v>
      </c>
      <c r="KN28" t="b">
        <f>OR(KN25&gt;20, KN20&gt;6)</f>
        <v>1</v>
      </c>
      <c r="KO28" t="b">
        <f>OR(KO25&gt;20, KO20&gt;6)</f>
        <v>1</v>
      </c>
      <c r="KP28" t="b">
        <f>OR(KP25&gt;20, KP20&gt;6)</f>
        <v>0</v>
      </c>
      <c r="KQ28" t="b">
        <f>OR(KQ25&gt;20, KQ20&gt;6)</f>
        <v>0</v>
      </c>
      <c r="KR28" t="b">
        <f>OR(KR25&gt;20, KR20&gt;6)</f>
        <v>1</v>
      </c>
      <c r="KS28" t="b">
        <f>OR(KS25&gt;20, KS20&gt;6)</f>
        <v>1</v>
      </c>
      <c r="KT28" t="b">
        <f>OR(KT25&gt;20, KT20&gt;6)</f>
        <v>1</v>
      </c>
      <c r="KU28" t="b">
        <f>OR(KU25&gt;20, KU20&gt;6)</f>
        <v>0</v>
      </c>
      <c r="KV28" t="b">
        <f>OR(KV25&gt;20, KV20&gt;6)</f>
        <v>0</v>
      </c>
      <c r="KW28" t="b">
        <f>OR(KW25&gt;20, KW20&gt;6)</f>
        <v>1</v>
      </c>
      <c r="KX28" t="b">
        <f>OR(KX25&gt;20, KX20&gt;6)</f>
        <v>1</v>
      </c>
      <c r="KY28" t="b">
        <f>OR(KY25&gt;20, KY20&gt;6)</f>
        <v>1</v>
      </c>
      <c r="KZ28" t="b">
        <f>OR(KZ25&gt;20, KZ20&gt;6)</f>
        <v>1</v>
      </c>
      <c r="LA28" t="b">
        <f>OR(LA25&gt;20, LA20&gt;6)</f>
        <v>1</v>
      </c>
      <c r="LB28" t="b">
        <f>OR(LB25&gt;20, LB20&gt;6)</f>
        <v>0</v>
      </c>
      <c r="LC28" t="b">
        <f>OR(LC25&gt;20, LC20&gt;6)</f>
        <v>0</v>
      </c>
      <c r="LD28" t="b">
        <f>OR(LD25&gt;20, LD20&gt;6)</f>
        <v>0</v>
      </c>
      <c r="LE28" t="b">
        <f>OR(LE25&gt;20, LE20&gt;6)</f>
        <v>1</v>
      </c>
      <c r="LF28" t="b">
        <f>OR(LF25&gt;20, LF20&gt;6)</f>
        <v>1</v>
      </c>
      <c r="LG28" t="b">
        <f>OR(LG25&gt;20, LG20&gt;6)</f>
        <v>1</v>
      </c>
      <c r="LH28" t="b">
        <f>OR(LH25&gt;20, LH20&gt;6)</f>
        <v>0</v>
      </c>
      <c r="LI28" t="b">
        <f>OR(LI25&gt;20, LI20&gt;6)</f>
        <v>1</v>
      </c>
      <c r="LJ28" t="b">
        <f>OR(LJ25&gt;20, LJ20&gt;6)</f>
        <v>1</v>
      </c>
      <c r="LK28" t="b">
        <f>OR(LK25&gt;20, LK20&gt;6)</f>
        <v>0</v>
      </c>
      <c r="LL28" t="b">
        <f>OR(LL25&gt;20, LL20&gt;6)</f>
        <v>1</v>
      </c>
      <c r="LM28" t="b">
        <f>OR(LM25&gt;20, LM20&gt;6)</f>
        <v>1</v>
      </c>
      <c r="LN28" t="b">
        <f>OR(LN25&gt;20, LN20&gt;6)</f>
        <v>0</v>
      </c>
      <c r="LO28" t="b">
        <f>OR(LO25&gt;20, LO20&gt;6)</f>
        <v>1</v>
      </c>
      <c r="LP28" t="b">
        <f>OR(LP25&gt;20, LP20&gt;6)</f>
        <v>0</v>
      </c>
      <c r="LQ28" t="b">
        <f>OR(LQ25&gt;20, LQ20&gt;6)</f>
        <v>1</v>
      </c>
      <c r="LR28" t="b">
        <f>OR(LR25&gt;20, LR20&gt;6)</f>
        <v>0</v>
      </c>
      <c r="LS28" t="b">
        <f>OR(LS25&gt;20, LS20&gt;6)</f>
        <v>1</v>
      </c>
      <c r="LT28" t="b">
        <f>OR(LT25&gt;20, LT20&gt;6)</f>
        <v>1</v>
      </c>
      <c r="LU28" t="b">
        <f>OR(LU25&gt;20, LU20&gt;6)</f>
        <v>1</v>
      </c>
      <c r="LV28" t="b">
        <f>OR(LV25&gt;20, LV20&gt;6)</f>
        <v>0</v>
      </c>
      <c r="LW28" t="b">
        <f>OR(LW25&gt;20, LW20&gt;6)</f>
        <v>1</v>
      </c>
      <c r="LX28" t="b">
        <f>OR(LX25&gt;20, LX20&gt;6)</f>
        <v>1</v>
      </c>
      <c r="LY28" t="b">
        <f>OR(LY25&gt;20, LY20&gt;6)</f>
        <v>1</v>
      </c>
      <c r="LZ28" t="b">
        <f>OR(LZ25&gt;20, LZ20&gt;6)</f>
        <v>0</v>
      </c>
      <c r="MA28" t="b">
        <f>OR(MA25&gt;20, MA20&gt;6)</f>
        <v>1</v>
      </c>
      <c r="MB28" t="b">
        <f>OR(MB25&gt;20, MB20&gt;6)</f>
        <v>1</v>
      </c>
      <c r="MC28" t="b">
        <f>OR(MC25&gt;20, MC20&gt;6)</f>
        <v>1</v>
      </c>
      <c r="MD28" t="b">
        <f>OR(MD25&gt;20, MD20&gt;6)</f>
        <v>0</v>
      </c>
      <c r="ME28" t="b">
        <f>OR(ME25&gt;20, ME20&gt;6)</f>
        <v>1</v>
      </c>
      <c r="MF28" t="b">
        <f>OR(MF25&gt;20, MF20&gt;6)</f>
        <v>0</v>
      </c>
      <c r="MG28" t="b">
        <f>OR(MG25&gt;20, MG20&gt;6)</f>
        <v>0</v>
      </c>
      <c r="MH28" t="b">
        <f>OR(MH25&gt;20, MH20&gt;6)</f>
        <v>1</v>
      </c>
      <c r="MI28" t="b">
        <f>OR(MI25&gt;20, MI20&gt;6)</f>
        <v>1</v>
      </c>
      <c r="MJ28" t="b">
        <f>OR(MJ25&gt;20, MJ20&gt;6)</f>
        <v>1</v>
      </c>
      <c r="MK28" t="b">
        <f>OR(MK25&gt;20, MK20&gt;6)</f>
        <v>0</v>
      </c>
      <c r="ML28" t="b">
        <f>OR(ML25&gt;20, ML20&gt;6)</f>
        <v>1</v>
      </c>
      <c r="MM28" t="b">
        <f>OR(MM25&gt;20, MM20&gt;6)</f>
        <v>1</v>
      </c>
      <c r="MN28" t="b">
        <f>OR(MN25&gt;20, MN20&gt;6)</f>
        <v>1</v>
      </c>
      <c r="MO28" t="b">
        <f>OR(MO25&gt;20, MO20&gt;6)</f>
        <v>0</v>
      </c>
      <c r="MP28" t="b">
        <f>OR(MP25&gt;20, MP20&gt;6)</f>
        <v>1</v>
      </c>
      <c r="MQ28" t="b">
        <f>OR(MQ25&gt;20, MQ20&gt;6)</f>
        <v>1</v>
      </c>
      <c r="MR28" t="b">
        <f>OR(MR25&gt;20, MR20&gt;6)</f>
        <v>1</v>
      </c>
      <c r="MS28" t="b">
        <f>OR(MS25&gt;20, MS20&gt;6)</f>
        <v>0</v>
      </c>
      <c r="MT28" t="b">
        <f>OR(MT25&gt;20, MT20&gt;6)</f>
        <v>1</v>
      </c>
      <c r="MU28" t="b">
        <f>OR(MU25&gt;20, MU20&gt;6)</f>
        <v>1</v>
      </c>
      <c r="MV28" t="b">
        <f>OR(MV25&gt;20, MV20&gt;6)</f>
        <v>1</v>
      </c>
      <c r="MW28" t="b">
        <f>OR(MW25&gt;20, MW20&gt;6)</f>
        <v>0</v>
      </c>
      <c r="MX28" t="b">
        <f>OR(MX25&gt;20, MX20&gt;6)</f>
        <v>1</v>
      </c>
      <c r="MY28" t="b">
        <f>OR(MY25&gt;20, MY20&gt;6)</f>
        <v>0</v>
      </c>
      <c r="MZ28" t="b">
        <f>OR(MZ25&gt;20, MZ20&gt;6)</f>
        <v>1</v>
      </c>
      <c r="NA28" t="b">
        <f>OR(NA25&gt;20, NA20&gt;6)</f>
        <v>1</v>
      </c>
      <c r="NB28" t="b">
        <f>OR(NB25&gt;20, NB20&gt;6)</f>
        <v>1</v>
      </c>
      <c r="NC28" t="b">
        <f>OR(NC25&gt;20, NC20&gt;6)</f>
        <v>1</v>
      </c>
      <c r="ND28" t="b">
        <f>OR(ND25&gt;20, ND20&gt;6)</f>
        <v>0</v>
      </c>
      <c r="NE28" t="b">
        <f>OR(NE25&gt;20, NE20&gt;6)</f>
        <v>1</v>
      </c>
      <c r="NF28" t="b">
        <f>OR(NF25&gt;20, NF20&gt;6)</f>
        <v>1</v>
      </c>
      <c r="NG28" t="b">
        <f>OR(NG25&gt;20, NG20&gt;6)</f>
        <v>1</v>
      </c>
      <c r="NH28" t="b">
        <f>OR(NH25&gt;20, NH20&gt;6)</f>
        <v>1</v>
      </c>
      <c r="NI28" t="b">
        <f>OR(NI25&gt;20, NI20&gt;6)</f>
        <v>1</v>
      </c>
      <c r="NJ28" t="b">
        <f>OR(NJ25&gt;20, NJ20&gt;6)</f>
        <v>0</v>
      </c>
      <c r="NK28" t="b">
        <f>OR(NK25&gt;20, NK20&gt;6)</f>
        <v>0</v>
      </c>
      <c r="NL28" t="b">
        <f>OR(NL25&gt;20, NL20&gt;6)</f>
        <v>0</v>
      </c>
      <c r="NM28" t="b">
        <f>OR(NM25&gt;20, NM20&gt;6)</f>
        <v>1</v>
      </c>
      <c r="NN28" t="b">
        <f>OR(NN25&gt;20, NN20&gt;6)</f>
        <v>1</v>
      </c>
      <c r="NO28" t="b">
        <f>OR(NO25&gt;20, NO20&gt;6)</f>
        <v>1</v>
      </c>
      <c r="NP28" t="b">
        <f>OR(NP25&gt;20, NP20&gt;6)</f>
        <v>1</v>
      </c>
      <c r="NQ28" t="b">
        <f>OR(NQ25&gt;20, NQ20&gt;6)</f>
        <v>1</v>
      </c>
      <c r="NR28" t="b">
        <f>OR(NR25&gt;20, NR20&gt;6)</f>
        <v>0</v>
      </c>
      <c r="NS28" t="b">
        <f>OR(NS25&gt;20, NS20&gt;6)</f>
        <v>1</v>
      </c>
      <c r="NT28" t="b">
        <f>OR(NT25&gt;20, NT20&gt;6)</f>
        <v>0</v>
      </c>
      <c r="NU28" t="b">
        <f>OR(NU25&gt;20, NU20&gt;6)</f>
        <v>1</v>
      </c>
      <c r="NV28" t="b">
        <f>OR(NV25&gt;20, NV20&gt;6)</f>
        <v>1</v>
      </c>
      <c r="NW28" t="b">
        <f>OR(NW25&gt;20, NW20&gt;6)</f>
        <v>1</v>
      </c>
      <c r="NX28" t="b">
        <f>OR(NX25&gt;20, NX20&gt;6)</f>
        <v>1</v>
      </c>
      <c r="NY28" t="b">
        <f>OR(NY25&gt;20, NY20&gt;6)</f>
        <v>0</v>
      </c>
      <c r="NZ28" t="b">
        <f>OR(NZ25&gt;20, NZ20&gt;6)</f>
        <v>0</v>
      </c>
      <c r="OA28" t="b">
        <f>OR(OA25&gt;20, OA20&gt;6)</f>
        <v>0</v>
      </c>
      <c r="OB28" t="b">
        <f>OR(OB25&gt;20, OB20&gt;6)</f>
        <v>0</v>
      </c>
      <c r="OC28" t="b">
        <f>OR(OC25&gt;20, OC20&gt;6)</f>
        <v>0</v>
      </c>
      <c r="OD28" t="b">
        <f>OR(OD25&gt;20, OD20&gt;6)</f>
        <v>1</v>
      </c>
      <c r="OE28" t="b">
        <f>OR(OE25&gt;20, OE20&gt;6)</f>
        <v>1</v>
      </c>
      <c r="OF28" t="b">
        <f>OR(OF25&gt;20, OF20&gt;6)</f>
        <v>1</v>
      </c>
      <c r="OG28" t="b">
        <f>OR(OG25&gt;20, OG20&gt;6)</f>
        <v>1</v>
      </c>
      <c r="OH28" t="b">
        <f>OR(OH25&gt;20, OH20&gt;6)</f>
        <v>1</v>
      </c>
      <c r="OI28" t="b">
        <f>OR(OI25&gt;20, OI20&gt;6)</f>
        <v>1</v>
      </c>
      <c r="OJ28" t="b">
        <f>OR(OJ25&gt;20, OJ20&gt;6)</f>
        <v>0</v>
      </c>
      <c r="OK28" t="b">
        <f>OR(OK25&gt;20, OK20&gt;6)</f>
        <v>1</v>
      </c>
      <c r="OL28" t="b">
        <f>OR(OL25&gt;20, OL20&gt;6)</f>
        <v>1</v>
      </c>
      <c r="OM28" t="b">
        <f>OR(OM25&gt;20, OM20&gt;6)</f>
        <v>0</v>
      </c>
      <c r="ON28" t="b">
        <f>OR(ON25&gt;20, ON20&gt;6)</f>
        <v>1</v>
      </c>
      <c r="OO28" t="b">
        <f>OR(OO25&gt;20, OO20&gt;6)</f>
        <v>1</v>
      </c>
      <c r="OP28" t="b">
        <f>OR(OP25&gt;20, OP20&gt;6)</f>
        <v>1</v>
      </c>
      <c r="OQ28" t="b">
        <f>OR(OQ25&gt;20, OQ20&gt;6)</f>
        <v>1</v>
      </c>
      <c r="OR28" t="b">
        <f>OR(OR25&gt;20, OR20&gt;6)</f>
        <v>0</v>
      </c>
      <c r="OS28" t="b">
        <f>OR(OS25&gt;20, OS20&gt;6)</f>
        <v>1</v>
      </c>
      <c r="OT28" t="b">
        <f>OR(OT25&gt;20, OT20&gt;6)</f>
        <v>0</v>
      </c>
      <c r="OU28" t="b">
        <f>OR(OU25&gt;20, OU20&gt;6)</f>
        <v>1</v>
      </c>
      <c r="OV28" t="b">
        <f>OR(OV25&gt;20, OV20&gt;6)</f>
        <v>0</v>
      </c>
      <c r="OW28" t="b">
        <f>OR(OW25&gt;20, OW20&gt;6)</f>
        <v>1</v>
      </c>
      <c r="OX28" t="b">
        <f>OR(OX25&gt;20, OX20&gt;6)</f>
        <v>1</v>
      </c>
      <c r="OY28" t="b">
        <f>OR(OY25&gt;20, OY20&gt;6)</f>
        <v>1</v>
      </c>
      <c r="OZ28" t="b">
        <f>OR(OZ25&gt;20, OZ20&gt;6)</f>
        <v>0</v>
      </c>
      <c r="PA28" t="b">
        <f>OR(PA25&gt;20, PA20&gt;6)</f>
        <v>0</v>
      </c>
      <c r="PB28" t="b">
        <f>OR(PB25&gt;20, PB20&gt;6)</f>
        <v>1</v>
      </c>
      <c r="PC28" t="b">
        <f>OR(PC25&gt;20, PC20&gt;6)</f>
        <v>0</v>
      </c>
      <c r="PD28" t="b">
        <f>OR(PD25&gt;20, PD20&gt;6)</f>
        <v>1</v>
      </c>
      <c r="PE28" t="b">
        <f>OR(PE25&gt;20, PE20&gt;6)</f>
        <v>1</v>
      </c>
      <c r="PF28" t="b">
        <f>OR(PF25&gt;20, PF20&gt;6)</f>
        <v>0</v>
      </c>
      <c r="PG28" t="b">
        <f>OR(PG25&gt;20, PG20&gt;6)</f>
        <v>1</v>
      </c>
      <c r="PH28" t="b">
        <f>OR(PH25&gt;20, PH20&gt;6)</f>
        <v>0</v>
      </c>
      <c r="PI28" t="b">
        <f>OR(PI25&gt;20, PI20&gt;6)</f>
        <v>1</v>
      </c>
      <c r="PJ28" t="b">
        <f>OR(PJ25&gt;20, PJ20&gt;6)</f>
        <v>1</v>
      </c>
      <c r="PK28" t="b">
        <f>OR(PK25&gt;20, PK20&gt;6)</f>
        <v>1</v>
      </c>
      <c r="PL28" t="b">
        <f>OR(PL25&gt;20, PL20&gt;6)</f>
        <v>0</v>
      </c>
      <c r="PM28" t="b">
        <f>OR(PM25&gt;20, PM20&gt;6)</f>
        <v>0</v>
      </c>
      <c r="PN28" t="b">
        <f>OR(PN25&gt;20, PN20&gt;6)</f>
        <v>0</v>
      </c>
      <c r="PO28" t="b">
        <f>OR(PO25&gt;20, PO20&gt;6)</f>
        <v>1</v>
      </c>
      <c r="PP28" t="b">
        <f>OR(PP25&gt;20, PP20&gt;6)</f>
        <v>1</v>
      </c>
      <c r="PQ28" t="b">
        <f>OR(PQ25&gt;20, PQ20&gt;6)</f>
        <v>1</v>
      </c>
      <c r="PR28" t="b">
        <f>OR(PR25&gt;20, PR20&gt;6)</f>
        <v>1</v>
      </c>
      <c r="PS28" t="b">
        <f>OR(PS25&gt;20, PS20&gt;6)</f>
        <v>1</v>
      </c>
      <c r="PT28" t="b">
        <f>OR(PT25&gt;20, PT20&gt;6)</f>
        <v>1</v>
      </c>
      <c r="PU28" t="b">
        <f>OR(PU25&gt;20, PU20&gt;6)</f>
        <v>1</v>
      </c>
      <c r="PV28" t="b">
        <f>OR(PV25&gt;20, PV20&gt;6)</f>
        <v>1</v>
      </c>
      <c r="PW28" t="b">
        <f>OR(PW25&gt;20, PW20&gt;6)</f>
        <v>0</v>
      </c>
      <c r="PX28" t="b">
        <f>OR(PX25&gt;20, PX20&gt;6)</f>
        <v>0</v>
      </c>
      <c r="PY28" t="b">
        <f>OR(PY25&gt;20, PY20&gt;6)</f>
        <v>1</v>
      </c>
      <c r="PZ28" t="b">
        <f>OR(PZ25&gt;20, PZ20&gt;6)</f>
        <v>1</v>
      </c>
      <c r="QA28" t="b">
        <f>OR(QA25&gt;20, QA20&gt;6)</f>
        <v>0</v>
      </c>
      <c r="QB28" t="b">
        <f>OR(QB25&gt;20, QB20&gt;6)</f>
        <v>1</v>
      </c>
      <c r="QC28" t="b">
        <f>OR(QC25&gt;20, QC20&gt;6)</f>
        <v>0</v>
      </c>
      <c r="QD28" t="b">
        <f>OR(QD25&gt;20, QD20&gt;6)</f>
        <v>1</v>
      </c>
      <c r="QE28" t="b">
        <f>OR(QE25&gt;20, QE20&gt;6)</f>
        <v>1</v>
      </c>
      <c r="QF28" t="b">
        <f>OR(QF25&gt;20, QF20&gt;6)</f>
        <v>1</v>
      </c>
      <c r="QG28" t="b">
        <f>OR(QG25&gt;20, QG20&gt;6)</f>
        <v>1</v>
      </c>
      <c r="QH28" t="b">
        <f>OR(QH25&gt;20, QH20&gt;6)</f>
        <v>0</v>
      </c>
      <c r="QI28" t="b">
        <f>OR(QI25&gt;20, QI20&gt;6)</f>
        <v>1</v>
      </c>
      <c r="QJ28" t="b">
        <f>OR(QJ25&gt;20, QJ20&gt;6)</f>
        <v>0</v>
      </c>
      <c r="QK28" t="b">
        <f>OR(QK25&gt;20, QK20&gt;6)</f>
        <v>1</v>
      </c>
      <c r="QL28" t="b">
        <f>OR(QL25&gt;20, QL20&gt;6)</f>
        <v>0</v>
      </c>
      <c r="QM28" t="b">
        <f>OR(QM25&gt;20, QM20&gt;6)</f>
        <v>1</v>
      </c>
      <c r="QN28" t="b">
        <f>OR(QN25&gt;20, QN20&gt;6)</f>
        <v>0</v>
      </c>
      <c r="QO28" t="b">
        <f>OR(QO25&gt;20, QO20&gt;6)</f>
        <v>0</v>
      </c>
      <c r="QP28" t="b">
        <f>OR(QP25&gt;20, QP20&gt;6)</f>
        <v>0</v>
      </c>
      <c r="QQ28" t="b">
        <f>OR(QQ25&gt;20, QQ20&gt;6)</f>
        <v>0</v>
      </c>
      <c r="QR28" t="b">
        <f>OR(QR25&gt;20, QR20&gt;6)</f>
        <v>1</v>
      </c>
      <c r="QS28" t="b">
        <f>OR(QS25&gt;20, QS20&gt;6)</f>
        <v>1</v>
      </c>
      <c r="QT28" t="b">
        <f>OR(QT25&gt;20, QT20&gt;6)</f>
        <v>1</v>
      </c>
      <c r="QU28" t="b">
        <f>OR(QU25&gt;20, QU20&gt;6)</f>
        <v>1</v>
      </c>
      <c r="QV28" t="b">
        <f>OR(QV25&gt;20, QV20&gt;6)</f>
        <v>0</v>
      </c>
      <c r="QW28" t="b">
        <f>OR(QW25&gt;20, QW20&gt;6)</f>
        <v>1</v>
      </c>
      <c r="QX28" t="b">
        <f>OR(QX25&gt;20, QX20&gt;6)</f>
        <v>0</v>
      </c>
      <c r="QY28" t="b">
        <f>OR(QY25&gt;20, QY20&gt;6)</f>
        <v>1</v>
      </c>
      <c r="QZ28" t="b">
        <f>OR(QZ25&gt;20, QZ20&gt;6)</f>
        <v>1</v>
      </c>
      <c r="RA28" t="b">
        <f>OR(RA25&gt;20, RA20&gt;6)</f>
        <v>1</v>
      </c>
      <c r="RB28" t="b">
        <f>OR(RB25&gt;20, RB20&gt;6)</f>
        <v>0</v>
      </c>
      <c r="RC28" t="b">
        <f>OR(RC25&gt;20, RC20&gt;6)</f>
        <v>1</v>
      </c>
      <c r="RD28" t="b">
        <f>OR(RD25&gt;20, RD20&gt;6)</f>
        <v>1</v>
      </c>
      <c r="RE28" t="b">
        <f>OR(RE25&gt;20, RE20&gt;6)</f>
        <v>1</v>
      </c>
      <c r="RF28" t="b">
        <f>OR(RF25&gt;20, RF20&gt;6)</f>
        <v>0</v>
      </c>
      <c r="RG28" t="b">
        <f>OR(RG25&gt;20, RG20&gt;6)</f>
        <v>1</v>
      </c>
      <c r="RH28" t="b">
        <f>OR(RH25&gt;20, RH20&gt;6)</f>
        <v>1</v>
      </c>
      <c r="RI28" t="b">
        <f>OR(RI25&gt;20, RI20&gt;6)</f>
        <v>1</v>
      </c>
      <c r="RJ28" t="b">
        <f>OR(RJ25&gt;20, RJ20&gt;6)</f>
        <v>0</v>
      </c>
      <c r="RK28" t="b">
        <f>OR(RK25&gt;20, RK20&gt;6)</f>
        <v>0</v>
      </c>
      <c r="RL28" t="b">
        <f>OR(RL25&gt;20, RL20&gt;6)</f>
        <v>1</v>
      </c>
      <c r="RM28" t="b">
        <f>OR(RM25&gt;20, RM20&gt;6)</f>
        <v>1</v>
      </c>
      <c r="RN28" t="b">
        <f>OR(RN25&gt;20, RN20&gt;6)</f>
        <v>0</v>
      </c>
      <c r="RO28" t="b">
        <f>OR(RO25&gt;20, RO20&gt;6)</f>
        <v>0</v>
      </c>
      <c r="RP28" t="b">
        <f>OR(RP25&gt;20, RP20&gt;6)</f>
        <v>1</v>
      </c>
      <c r="RQ28" t="b">
        <f>OR(RQ25&gt;20, RQ20&gt;6)</f>
        <v>0</v>
      </c>
      <c r="RR28" t="b">
        <f>OR(RR25&gt;20, RR20&gt;6)</f>
        <v>1</v>
      </c>
      <c r="RS28" t="b">
        <f>OR(RS25&gt;20, RS20&gt;6)</f>
        <v>0</v>
      </c>
      <c r="RT28" t="b">
        <f>OR(RT25&gt;20, RT20&gt;6)</f>
        <v>1</v>
      </c>
      <c r="RU28" t="b">
        <f>OR(RU25&gt;20, RU20&gt;6)</f>
        <v>1</v>
      </c>
      <c r="RV28" t="b">
        <f>OR(RV25&gt;20, RV20&gt;6)</f>
        <v>1</v>
      </c>
      <c r="RW28" t="b">
        <f>OR(RW25&gt;20, RW20&gt;6)</f>
        <v>1</v>
      </c>
      <c r="RX28" t="b">
        <f>OR(RX25&gt;20, RX20&gt;6)</f>
        <v>1</v>
      </c>
      <c r="RY28" t="b">
        <f>OR(RY25&gt;20, RY20&gt;6)</f>
        <v>1</v>
      </c>
      <c r="RZ28" t="b">
        <f>OR(RZ25&gt;20, RZ20&gt;6)</f>
        <v>1</v>
      </c>
      <c r="SA28" t="b">
        <f>OR(SA25&gt;20, SA20&gt;6)</f>
        <v>1</v>
      </c>
      <c r="SB28" t="b">
        <f>OR(SB25&gt;20, SB20&gt;6)</f>
        <v>0</v>
      </c>
      <c r="SC28" t="b">
        <f>OR(SC25&gt;20, SC20&gt;6)</f>
        <v>1</v>
      </c>
      <c r="SD28" t="b">
        <f>OR(SD25&gt;20, SD20&gt;6)</f>
        <v>0</v>
      </c>
      <c r="SE28" t="b">
        <f>OR(SE25&gt;20, SE20&gt;6)</f>
        <v>1</v>
      </c>
      <c r="SF28" t="b">
        <f>OR(SF25&gt;20, SF20&gt;6)</f>
        <v>1</v>
      </c>
      <c r="SG28" t="b">
        <f>OR(SG25&gt;20, SG20&gt;6)</f>
        <v>0</v>
      </c>
      <c r="SH28" t="b">
        <f>OR(SH25&gt;20, SH20&gt;6)</f>
        <v>1</v>
      </c>
      <c r="SI28" t="b">
        <f>OR(SI25&gt;20, SI20&gt;6)</f>
        <v>1</v>
      </c>
      <c r="SJ28" t="b">
        <f>OR(SJ25&gt;20, SJ20&gt;6)</f>
        <v>1</v>
      </c>
      <c r="SK28" t="b">
        <f>OR(SK25&gt;20, SK20&gt;6)</f>
        <v>1</v>
      </c>
      <c r="SL28" t="b">
        <f>OR(SL25&gt;20, SL20&gt;6)</f>
        <v>1</v>
      </c>
      <c r="SM28" t="b">
        <f>OR(SM25&gt;20, SM20&gt;6)</f>
        <v>0</v>
      </c>
      <c r="SN28" t="b">
        <f>OR(SN25&gt;20, SN20&gt;6)</f>
        <v>0</v>
      </c>
      <c r="SO28" t="b">
        <f>OR(SO25&gt;20, SO20&gt;6)</f>
        <v>0</v>
      </c>
      <c r="SP28" t="b">
        <f>OR(SP25&gt;20, SP20&gt;6)</f>
        <v>0</v>
      </c>
      <c r="SQ28" t="b">
        <f>OR(SQ25&gt;20, SQ20&gt;6)</f>
        <v>1</v>
      </c>
      <c r="SR28" t="b">
        <f>OR(SR25&gt;20, SR20&gt;6)</f>
        <v>1</v>
      </c>
      <c r="SS28" t="b">
        <f>OR(SS25&gt;20, SS20&gt;6)</f>
        <v>1</v>
      </c>
      <c r="ST28" t="b">
        <f>OR(ST25&gt;20, ST20&gt;6)</f>
        <v>1</v>
      </c>
      <c r="SU28" t="b">
        <f>OR(SU25&gt;20, SU20&gt;6)</f>
        <v>0</v>
      </c>
      <c r="SV28" t="b">
        <f>OR(SV25&gt;20, SV20&gt;6)</f>
        <v>1</v>
      </c>
      <c r="SW28" t="b">
        <f>OR(SW25&gt;20, SW20&gt;6)</f>
        <v>0</v>
      </c>
      <c r="SX28" t="b">
        <f>OR(SX25&gt;20, SX20&gt;6)</f>
        <v>0</v>
      </c>
      <c r="SY28" t="b">
        <f>OR(SY25&gt;20, SY20&gt;6)</f>
        <v>1</v>
      </c>
      <c r="SZ28" t="b">
        <f>OR(SZ25&gt;20, SZ20&gt;6)</f>
        <v>1</v>
      </c>
      <c r="TA28" t="b">
        <f>OR(TA25&gt;20, TA20&gt;6)</f>
        <v>1</v>
      </c>
      <c r="TB28" t="b">
        <f>OR(TB25&gt;20, TB20&gt;6)</f>
        <v>1</v>
      </c>
      <c r="TC28" t="b">
        <f>OR(TC25&gt;20, TC20&gt;6)</f>
        <v>1</v>
      </c>
      <c r="TD28" t="b">
        <f>OR(TD25&gt;20, TD20&gt;6)</f>
        <v>1</v>
      </c>
      <c r="TE28" t="b">
        <f>OR(TE25&gt;20, TE20&gt;6)</f>
        <v>1</v>
      </c>
      <c r="TF28" t="b">
        <f>OR(TF25&gt;20, TF20&gt;6)</f>
        <v>1</v>
      </c>
      <c r="TG28" t="b">
        <f>OR(TG25&gt;20, TG20&gt;6)</f>
        <v>1</v>
      </c>
      <c r="TH28" t="b">
        <f>OR(TH25&gt;20, TH20&gt;6)</f>
        <v>1</v>
      </c>
      <c r="TI28" t="b">
        <f>OR(TI25&gt;20, TI20&gt;6)</f>
        <v>1</v>
      </c>
      <c r="TJ28" t="b">
        <f>OR(TJ25&gt;20, TJ20&gt;6)</f>
        <v>0</v>
      </c>
      <c r="TK28" t="b">
        <f>OR(TK25&gt;20, TK20&gt;6)</f>
        <v>0</v>
      </c>
      <c r="TL28" t="b">
        <f>OR(TL25&gt;20, TL20&gt;6)</f>
        <v>1</v>
      </c>
      <c r="TM28" t="b">
        <f>OR(TM25&gt;20, TM20&gt;6)</f>
        <v>0</v>
      </c>
      <c r="TN28" t="b">
        <f>OR(TN25&gt;20, TN20&gt;6)</f>
        <v>0</v>
      </c>
      <c r="TO28" t="b">
        <f>OR(TO25&gt;20, TO20&gt;6)</f>
        <v>0</v>
      </c>
      <c r="TP28" t="b">
        <f>OR(TP25&gt;20, TP20&gt;6)</f>
        <v>1</v>
      </c>
      <c r="TQ28" t="b">
        <f>OR(TQ25&gt;20, TQ20&gt;6)</f>
        <v>0</v>
      </c>
      <c r="TR28" t="b">
        <f>OR(TR25&gt;20, TR20&gt;6)</f>
        <v>1</v>
      </c>
      <c r="TS28" t="b">
        <f>OR(TS25&gt;20, TS20&gt;6)</f>
        <v>0</v>
      </c>
      <c r="TT28" t="b">
        <f>OR(TT25&gt;20, TT20&gt;6)</f>
        <v>1</v>
      </c>
      <c r="TU28" t="b">
        <f>OR(TU25&gt;20, TU20&gt;6)</f>
        <v>1</v>
      </c>
      <c r="TV28" t="b">
        <f>OR(TV25&gt;20, TV20&gt;6)</f>
        <v>1</v>
      </c>
      <c r="TW28" t="b">
        <f>OR(TW25&gt;20, TW20&gt;6)</f>
        <v>0</v>
      </c>
      <c r="TX28" t="b">
        <f>OR(TX25&gt;20, TX20&gt;6)</f>
        <v>1</v>
      </c>
      <c r="TY28" t="b">
        <f>OR(TY25&gt;20, TY20&gt;6)</f>
        <v>0</v>
      </c>
      <c r="TZ28" t="b">
        <f>OR(TZ25&gt;20, TZ20&gt;6)</f>
        <v>1</v>
      </c>
      <c r="UA28" t="b">
        <f>OR(UA25&gt;20, UA20&gt;6)</f>
        <v>0</v>
      </c>
      <c r="UB28" t="b">
        <f>OR(UB25&gt;20, UB20&gt;6)</f>
        <v>1</v>
      </c>
      <c r="UC28" t="b">
        <f>OR(UC25&gt;20, UC20&gt;6)</f>
        <v>0</v>
      </c>
      <c r="UD28" t="b">
        <f>OR(UD25&gt;20, UD20&gt;6)</f>
        <v>1</v>
      </c>
      <c r="UE28" t="b">
        <f>OR(UE25&gt;20, UE20&gt;6)</f>
        <v>0</v>
      </c>
      <c r="UF28" t="b">
        <f>OR(UF25&gt;20, UF20&gt;6)</f>
        <v>0</v>
      </c>
      <c r="UG28" t="b">
        <f>OR(UG25&gt;20, UG20&gt;6)</f>
        <v>1</v>
      </c>
      <c r="UH28" t="b">
        <f>OR(UH25&gt;20, UH20&gt;6)</f>
        <v>1</v>
      </c>
      <c r="UI28" t="b">
        <f>OR(UI25&gt;20, UI20&gt;6)</f>
        <v>1</v>
      </c>
      <c r="UJ28" t="b">
        <f>OR(UJ25&gt;20, UJ20&gt;6)</f>
        <v>1</v>
      </c>
      <c r="UK28" t="b">
        <f>OR(UK25&gt;20, UK20&gt;6)</f>
        <v>1</v>
      </c>
      <c r="UL28" t="b">
        <f>OR(UL25&gt;20, UL20&gt;6)</f>
        <v>1</v>
      </c>
      <c r="UM28" t="b">
        <f>OR(UM25&gt;20, UM20&gt;6)</f>
        <v>0</v>
      </c>
      <c r="UN28" t="b">
        <f>OR(UN25&gt;20, UN20&gt;6)</f>
        <v>1</v>
      </c>
      <c r="UO28" t="b">
        <f>OR(UO25&gt;20, UO20&gt;6)</f>
        <v>1</v>
      </c>
      <c r="UP28" t="b">
        <f>OR(UP25&gt;20, UP20&gt;6)</f>
        <v>1</v>
      </c>
      <c r="UQ28" t="b">
        <f>OR(UQ25&gt;20, UQ20&gt;6)</f>
        <v>0</v>
      </c>
      <c r="UR28" t="b">
        <f>OR(UR25&gt;20, UR20&gt;6)</f>
        <v>1</v>
      </c>
      <c r="US28" t="b">
        <f>OR(US25&gt;20, US20&gt;6)</f>
        <v>1</v>
      </c>
      <c r="UT28" t="b">
        <f>OR(UT25&gt;20, UT20&gt;6)</f>
        <v>0</v>
      </c>
      <c r="UU28" t="b">
        <f>OR(UU25&gt;20, UU20&gt;6)</f>
        <v>0</v>
      </c>
      <c r="UV28" t="b">
        <f>OR(UV25&gt;20, UV20&gt;6)</f>
        <v>0</v>
      </c>
      <c r="UW28" t="b">
        <f>OR(UW25&gt;20, UW20&gt;6)</f>
        <v>1</v>
      </c>
      <c r="UX28" t="b">
        <f>OR(UX25&gt;20, UX20&gt;6)</f>
        <v>1</v>
      </c>
      <c r="UY28" t="b">
        <f>OR(UY25&gt;20, UY20&gt;6)</f>
        <v>1</v>
      </c>
      <c r="UZ28" t="b">
        <f>OR(UZ25&gt;20, UZ20&gt;6)</f>
        <v>1</v>
      </c>
      <c r="VA28" t="b">
        <f>OR(VA25&gt;20, VA20&gt;6)</f>
        <v>1</v>
      </c>
      <c r="VB28" t="b">
        <f>OR(VB25&gt;20, VB20&gt;6)</f>
        <v>1</v>
      </c>
      <c r="VC28" t="b">
        <f>OR(VC25&gt;20, VC20&gt;6)</f>
        <v>1</v>
      </c>
      <c r="VD28" t="b">
        <f>OR(VD25&gt;20, VD20&gt;6)</f>
        <v>1</v>
      </c>
      <c r="VE28" t="b">
        <f>OR(VE25&gt;20, VE20&gt;6)</f>
        <v>0</v>
      </c>
      <c r="VF28" t="b">
        <f>OR(VF25&gt;20, VF20&gt;6)</f>
        <v>0</v>
      </c>
      <c r="VG28" t="b">
        <f>OR(VG25&gt;20, VG20&gt;6)</f>
        <v>0</v>
      </c>
      <c r="VH28" t="b">
        <f>OR(VH25&gt;20, VH20&gt;6)</f>
        <v>0</v>
      </c>
      <c r="VI28" t="b">
        <f>OR(VI25&gt;20, VI20&gt;6)</f>
        <v>1</v>
      </c>
      <c r="VJ28" t="b">
        <f>OR(VJ25&gt;20, VJ20&gt;6)</f>
        <v>1</v>
      </c>
      <c r="VK28" t="b">
        <f>OR(VK25&gt;20, VK20&gt;6)</f>
        <v>0</v>
      </c>
      <c r="VL28" t="b">
        <f>OR(VL25&gt;20, VL20&gt;6)</f>
        <v>0</v>
      </c>
      <c r="VM28" t="b">
        <f>OR(VM25&gt;20, VM20&gt;6)</f>
        <v>0</v>
      </c>
      <c r="VN28" t="b">
        <f>OR(VN25&gt;20, VN20&gt;6)</f>
        <v>0</v>
      </c>
      <c r="VO28" t="b">
        <f>OR(VO25&gt;20, VO20&gt;6)</f>
        <v>1</v>
      </c>
      <c r="VP28" t="b">
        <f>OR(VP25&gt;20, VP20&gt;6)</f>
        <v>1</v>
      </c>
      <c r="VQ28" t="b">
        <f>OR(VQ25&gt;20, VQ20&gt;6)</f>
        <v>1</v>
      </c>
      <c r="VR28" t="b">
        <f>OR(VR25&gt;20, VR20&gt;6)</f>
        <v>1</v>
      </c>
      <c r="VS28" t="b">
        <f>OR(VS25&gt;20, VS20&gt;6)</f>
        <v>0</v>
      </c>
      <c r="VT28" t="b">
        <f>OR(VT25&gt;20, VT20&gt;6)</f>
        <v>1</v>
      </c>
      <c r="VU28" t="b">
        <f>OR(VU25&gt;20, VU20&gt;6)</f>
        <v>0</v>
      </c>
      <c r="VV28" t="b">
        <f>OR(VV25&gt;20, VV20&gt;6)</f>
        <v>0</v>
      </c>
      <c r="VW28" t="b">
        <f>OR(VW25&gt;20, VW20&gt;6)</f>
        <v>1</v>
      </c>
      <c r="VX28" t="b">
        <f>OR(VX25&gt;20, VX20&gt;6)</f>
        <v>1</v>
      </c>
      <c r="VY28" t="b">
        <f>OR(VY25&gt;20, VY20&gt;6)</f>
        <v>0</v>
      </c>
      <c r="VZ28" t="b">
        <f>OR(VZ25&gt;20, VZ20&gt;6)</f>
        <v>1</v>
      </c>
      <c r="WA28" t="b">
        <f>OR(WA25&gt;20, WA20&gt;6)</f>
        <v>1</v>
      </c>
      <c r="WB28" t="b">
        <f>OR(WB25&gt;20, WB20&gt;6)</f>
        <v>0</v>
      </c>
      <c r="WC28" t="b">
        <f>OR(WC25&gt;20, WC20&gt;6)</f>
        <v>0</v>
      </c>
      <c r="WD28" t="b">
        <f>OR(WD25&gt;20, WD20&gt;6)</f>
        <v>1</v>
      </c>
      <c r="WE28" t="b">
        <f>OR(WE25&gt;20, WE20&gt;6)</f>
        <v>0</v>
      </c>
      <c r="WF28" t="b">
        <f>OR(WF25&gt;20, WF20&gt;6)</f>
        <v>0</v>
      </c>
      <c r="WG28" t="b">
        <f>OR(WG25&gt;20, WG20&gt;6)</f>
        <v>1</v>
      </c>
      <c r="WH28" t="b">
        <f>OR(WH25&gt;20, WH20&gt;6)</f>
        <v>1</v>
      </c>
      <c r="WI28" t="b">
        <f>OR(WI25&gt;20, WI20&gt;6)</f>
        <v>1</v>
      </c>
      <c r="WJ28" t="b">
        <f>OR(WJ25&gt;20, WJ20&gt;6)</f>
        <v>1</v>
      </c>
      <c r="WK28" t="b">
        <f>OR(WK25&gt;20, WK20&gt;6)</f>
        <v>0</v>
      </c>
      <c r="WL28" t="b">
        <f>OR(WL25&gt;20, WL20&gt;6)</f>
        <v>1</v>
      </c>
      <c r="WM28" t="b">
        <f>OR(WM25&gt;20, WM20&gt;6)</f>
        <v>1</v>
      </c>
      <c r="WN28" t="b">
        <f>OR(WN25&gt;20, WN20&gt;6)</f>
        <v>1</v>
      </c>
      <c r="WO28" t="b">
        <f>OR(WO25&gt;20, WO20&gt;6)</f>
        <v>0</v>
      </c>
      <c r="WP28" t="b">
        <f>OR(WP25&gt;20, WP20&gt;6)</f>
        <v>1</v>
      </c>
      <c r="WQ28" t="b">
        <f>OR(WQ25&gt;20, WQ20&gt;6)</f>
        <v>1</v>
      </c>
      <c r="WR28" t="b">
        <f>OR(WR25&gt;20, WR20&gt;6)</f>
        <v>1</v>
      </c>
      <c r="WS28" t="b">
        <f>OR(WS25&gt;20, WS20&gt;6)</f>
        <v>1</v>
      </c>
      <c r="WT28" t="b">
        <f>OR(WT25&gt;20, WT20&gt;6)</f>
        <v>1</v>
      </c>
      <c r="WU28" t="b">
        <f>OR(WU25&gt;20, WU20&gt;6)</f>
        <v>1</v>
      </c>
      <c r="WV28" t="b">
        <f>OR(WV25&gt;20, WV20&gt;6)</f>
        <v>0</v>
      </c>
      <c r="WW28" t="b">
        <f>OR(WW25&gt;20, WW20&gt;6)</f>
        <v>1</v>
      </c>
      <c r="WX28" t="b">
        <f>OR(WX25&gt;20, WX20&gt;6)</f>
        <v>0</v>
      </c>
      <c r="WY28" t="b">
        <f>OR(WY25&gt;20, WY20&gt;6)</f>
        <v>1</v>
      </c>
      <c r="WZ28" t="b">
        <f>OR(WZ25&gt;20, WZ20&gt;6)</f>
        <v>0</v>
      </c>
      <c r="XA28" t="b">
        <f>OR(XA25&gt;20, XA20&gt;6)</f>
        <v>1</v>
      </c>
      <c r="XB28" t="b">
        <f>OR(XB25&gt;20, XB20&gt;6)</f>
        <v>1</v>
      </c>
      <c r="XC28" t="b">
        <f>OR(XC25&gt;20, XC20&gt;6)</f>
        <v>0</v>
      </c>
      <c r="XD28" t="b">
        <f>OR(XD25&gt;20, XD20&gt;6)</f>
        <v>0</v>
      </c>
      <c r="XE28" t="b">
        <f>OR(XE25&gt;20, XE20&gt;6)</f>
        <v>1</v>
      </c>
      <c r="XF28" t="b">
        <f>OR(XF25&gt;20, XF20&gt;6)</f>
        <v>1</v>
      </c>
      <c r="XG28" t="b">
        <f>OR(XG25&gt;20, XG20&gt;6)</f>
        <v>0</v>
      </c>
      <c r="XH28" t="b">
        <f>OR(XH25&gt;20, XH20&gt;6)</f>
        <v>0</v>
      </c>
      <c r="XI28" t="b">
        <f>OR(XI25&gt;20, XI20&gt;6)</f>
        <v>0</v>
      </c>
      <c r="XJ28" t="b">
        <f>OR(XJ25&gt;20, XJ20&gt;6)</f>
        <v>1</v>
      </c>
      <c r="XK28" t="b">
        <f>OR(XK25&gt;20, XK20&gt;6)</f>
        <v>1</v>
      </c>
      <c r="XL28" t="b">
        <f>OR(XL25&gt;20, XL20&gt;6)</f>
        <v>1</v>
      </c>
      <c r="XM28" t="b">
        <f>OR(XM25&gt;20, XM20&gt;6)</f>
        <v>0</v>
      </c>
      <c r="XN28" t="b">
        <f>OR(XN25&gt;20, XN20&gt;6)</f>
        <v>0</v>
      </c>
      <c r="XO28" t="b">
        <f>OR(XO25&gt;20, XO20&gt;6)</f>
        <v>0</v>
      </c>
      <c r="XP28" t="b">
        <f>OR(XP25&gt;20, XP20&gt;6)</f>
        <v>1</v>
      </c>
      <c r="XQ28" t="b">
        <f>OR(XQ25&gt;20, XQ20&gt;6)</f>
        <v>1</v>
      </c>
      <c r="XR28" t="b">
        <f>OR(XR25&gt;20, XR20&gt;6)</f>
        <v>1</v>
      </c>
      <c r="XS28" t="b">
        <f>OR(XS25&gt;20, XS20&gt;6)</f>
        <v>1</v>
      </c>
      <c r="XT28" t="b">
        <f>OR(XT25&gt;20, XT20&gt;6)</f>
        <v>1</v>
      </c>
      <c r="XU28" t="b">
        <f>OR(XU25&gt;20, XU20&gt;6)</f>
        <v>0</v>
      </c>
      <c r="XV28" t="b">
        <f>OR(XV25&gt;20, XV20&gt;6)</f>
        <v>0</v>
      </c>
      <c r="XW28" t="b">
        <f>OR(XW25&gt;20, XW20&gt;6)</f>
        <v>1</v>
      </c>
      <c r="XX28" t="b">
        <f>OR(XX25&gt;20, XX20&gt;6)</f>
        <v>1</v>
      </c>
      <c r="XY28" t="b">
        <f>OR(XY25&gt;20, XY20&gt;6)</f>
        <v>1</v>
      </c>
      <c r="XZ28" t="b">
        <f>OR(XZ25&gt;20, XZ20&gt;6)</f>
        <v>1</v>
      </c>
      <c r="YA28" t="b">
        <f>OR(YA25&gt;20, YA20&gt;6)</f>
        <v>1</v>
      </c>
      <c r="YB28" t="b">
        <f>OR(YB25&gt;20, YB20&gt;6)</f>
        <v>0</v>
      </c>
      <c r="YC28" t="b">
        <f>OR(YC25&gt;20, YC20&gt;6)</f>
        <v>0</v>
      </c>
      <c r="YD28" t="b">
        <f>OR(YD25&gt;20, YD20&gt;6)</f>
        <v>1</v>
      </c>
      <c r="YE28" t="b">
        <f>OR(YE25&gt;20, YE20&gt;6)</f>
        <v>1</v>
      </c>
      <c r="YF28" t="b">
        <f>OR(YF25&gt;20, YF20&gt;6)</f>
        <v>1</v>
      </c>
      <c r="YG28" t="b">
        <f>OR(YG25&gt;20, YG20&gt;6)</f>
        <v>1</v>
      </c>
      <c r="YH28" t="b">
        <f>OR(YH25&gt;20, YH20&gt;6)</f>
        <v>1</v>
      </c>
      <c r="YI28" t="b">
        <f>OR(YI25&gt;20, YI20&gt;6)</f>
        <v>1</v>
      </c>
      <c r="YJ28" t="b">
        <f>OR(YJ25&gt;20, YJ20&gt;6)</f>
        <v>1</v>
      </c>
      <c r="YK28" t="b">
        <f>OR(YK25&gt;20, YK20&gt;6)</f>
        <v>0</v>
      </c>
      <c r="YL28" t="b">
        <f>OR(YL25&gt;20, YL20&gt;6)</f>
        <v>1</v>
      </c>
      <c r="YM28" t="b">
        <f>OR(YM25&gt;20, YM20&gt;6)</f>
        <v>1</v>
      </c>
      <c r="YN28" t="b">
        <f>OR(YN25&gt;20, YN20&gt;6)</f>
        <v>1</v>
      </c>
      <c r="YO28" t="b">
        <f>OR(YO25&gt;20, YO20&gt;6)</f>
        <v>1</v>
      </c>
      <c r="YP28" t="b">
        <f>OR(YP25&gt;20, YP20&gt;6)</f>
        <v>1</v>
      </c>
      <c r="YQ28" t="b">
        <f>OR(YQ25&gt;20, YQ20&gt;6)</f>
        <v>1</v>
      </c>
      <c r="YR28" t="b">
        <f>OR(YR25&gt;20, YR20&gt;6)</f>
        <v>0</v>
      </c>
      <c r="YS28" t="b">
        <f>OR(YS25&gt;20, YS20&gt;6)</f>
        <v>0</v>
      </c>
      <c r="YT28" t="b">
        <f>OR(YT25&gt;20, YT20&gt;6)</f>
        <v>0</v>
      </c>
      <c r="YU28" t="b">
        <f>OR(YU25&gt;20, YU20&gt;6)</f>
        <v>1</v>
      </c>
      <c r="YV28" t="b">
        <f>OR(YV25&gt;20, YV20&gt;6)</f>
        <v>1</v>
      </c>
      <c r="YW28" t="b">
        <f>OR(YW25&gt;20, YW20&gt;6)</f>
        <v>1</v>
      </c>
      <c r="YX28" t="b">
        <f>OR(YX25&gt;20, YX20&gt;6)</f>
        <v>1</v>
      </c>
      <c r="YY28" t="b">
        <f>OR(YY25&gt;20, YY20&gt;6)</f>
        <v>1</v>
      </c>
      <c r="YZ28" t="b">
        <f>OR(YZ25&gt;20, YZ20&gt;6)</f>
        <v>1</v>
      </c>
      <c r="ZA28" t="b">
        <f>OR(ZA25&gt;20, ZA20&gt;6)</f>
        <v>1</v>
      </c>
      <c r="ZB28" t="b">
        <f>OR(ZB25&gt;20, ZB20&gt;6)</f>
        <v>0</v>
      </c>
      <c r="ZC28" t="b">
        <f>OR(ZC25&gt;20, ZC20&gt;6)</f>
        <v>0</v>
      </c>
      <c r="ZD28" t="b">
        <f>OR(ZD25&gt;20, ZD20&gt;6)</f>
        <v>1</v>
      </c>
      <c r="ZE28" t="b">
        <f>OR(ZE25&gt;20, ZE20&gt;6)</f>
        <v>0</v>
      </c>
      <c r="ZF28" t="b">
        <f>OR(ZF25&gt;20, ZF20&gt;6)</f>
        <v>1</v>
      </c>
      <c r="ZG28" t="b">
        <f>OR(ZG25&gt;20, ZG20&gt;6)</f>
        <v>0</v>
      </c>
      <c r="ZH28" t="b">
        <f>OR(ZH25&gt;20, ZH20&gt;6)</f>
        <v>1</v>
      </c>
      <c r="ZI28" t="b">
        <f>OR(ZI25&gt;20, ZI20&gt;6)</f>
        <v>1</v>
      </c>
      <c r="ZJ28" t="b">
        <f>OR(ZJ25&gt;20, ZJ20&gt;6)</f>
        <v>1</v>
      </c>
      <c r="ZK28" t="b">
        <f>OR(ZK25&gt;20, ZK20&gt;6)</f>
        <v>0</v>
      </c>
      <c r="ZL28" t="b">
        <f>OR(ZL25&gt;20, ZL20&gt;6)</f>
        <v>1</v>
      </c>
      <c r="ZM28" t="b">
        <f>OR(ZM25&gt;20, ZM20&gt;6)</f>
        <v>1</v>
      </c>
      <c r="ZN28" t="b">
        <f>OR(ZN25&gt;20, ZN20&gt;6)</f>
        <v>1</v>
      </c>
      <c r="ZO28" t="b">
        <f>OR(ZO25&gt;20, ZO20&gt;6)</f>
        <v>1</v>
      </c>
      <c r="ZP28" t="b">
        <f>OR(ZP25&gt;20, ZP20&gt;6)</f>
        <v>1</v>
      </c>
      <c r="ZQ28" t="b">
        <f>OR(ZQ25&gt;20, ZQ20&gt;6)</f>
        <v>1</v>
      </c>
      <c r="ZR28" t="b">
        <f>OR(ZR25&gt;20, ZR20&gt;6)</f>
        <v>0</v>
      </c>
      <c r="ZS28" t="b">
        <f>OR(ZS25&gt;20, ZS20&gt;6)</f>
        <v>0</v>
      </c>
      <c r="ZT28" t="b">
        <f>OR(ZT25&gt;20, ZT20&gt;6)</f>
        <v>1</v>
      </c>
      <c r="ZU28" t="b">
        <f>OR(ZU25&gt;20, ZU20&gt;6)</f>
        <v>1</v>
      </c>
      <c r="ZV28" t="b">
        <f>OR(ZV25&gt;20, ZV20&gt;6)</f>
        <v>1</v>
      </c>
      <c r="ZW28" t="b">
        <f>OR(ZW25&gt;20, ZW20&gt;6)</f>
        <v>0</v>
      </c>
      <c r="ZX28" t="b">
        <f>OR(ZX25&gt;20, ZX20&gt;6)</f>
        <v>1</v>
      </c>
      <c r="ZY28" t="b">
        <f>OR(ZY25&gt;20, ZY20&gt;6)</f>
        <v>1</v>
      </c>
      <c r="ZZ28" t="b">
        <f>OR(ZZ25&gt;20, ZZ20&gt;6)</f>
        <v>0</v>
      </c>
      <c r="AAA28" t="b">
        <f>OR(AAA25&gt;20, AAA20&gt;6)</f>
        <v>1</v>
      </c>
      <c r="AAB28" t="b">
        <f>OR(AAB25&gt;20, AAB20&gt;6)</f>
        <v>0</v>
      </c>
      <c r="AAC28" t="b">
        <f>OR(AAC25&gt;20, AAC20&gt;6)</f>
        <v>1</v>
      </c>
      <c r="AAD28" t="b">
        <f>OR(AAD25&gt;20, AAD20&gt;6)</f>
        <v>1</v>
      </c>
      <c r="AAE28" t="b">
        <f>OR(AAE25&gt;20, AAE20&gt;6)</f>
        <v>0</v>
      </c>
      <c r="AAF28" t="b">
        <f>OR(AAF25&gt;20, AAF20&gt;6)</f>
        <v>1</v>
      </c>
      <c r="AAG28" t="b">
        <f>OR(AAG25&gt;20, AAG20&gt;6)</f>
        <v>1</v>
      </c>
      <c r="AAH28" t="b">
        <f>OR(AAH25&gt;20, AAH20&gt;6)</f>
        <v>0</v>
      </c>
      <c r="AAI28" t="b">
        <f>OR(AAI25&gt;20, AAI20&gt;6)</f>
        <v>0</v>
      </c>
      <c r="AAJ28" t="b">
        <f>OR(AAJ25&gt;20, AAJ20&gt;6)</f>
        <v>1</v>
      </c>
      <c r="AAK28" t="b">
        <f>OR(AAK25&gt;20, AAK20&gt;6)</f>
        <v>1</v>
      </c>
      <c r="AAL28" t="b">
        <f>OR(AAL25&gt;20, AAL20&gt;6)</f>
        <v>1</v>
      </c>
      <c r="AAM28" t="b">
        <f>OR(AAM25&gt;20, AAM20&gt;6)</f>
        <v>0</v>
      </c>
      <c r="AAN28" t="b">
        <f>OR(AAN25&gt;20, AAN20&gt;6)</f>
        <v>1</v>
      </c>
      <c r="AAO28" t="b">
        <f>OR(AAO25&gt;20, AAO20&gt;6)</f>
        <v>1</v>
      </c>
      <c r="AAP28" t="b">
        <f>OR(AAP25&gt;20, AAP20&gt;6)</f>
        <v>0</v>
      </c>
      <c r="AAQ28" t="b">
        <f>OR(AAQ25&gt;20, AAQ20&gt;6)</f>
        <v>1</v>
      </c>
      <c r="AAR28" t="b">
        <f>OR(AAR25&gt;20, AAR20&gt;6)</f>
        <v>1</v>
      </c>
      <c r="AAS28" t="b">
        <f>OR(AAS25&gt;20, AAS20&gt;6)</f>
        <v>0</v>
      </c>
      <c r="AAT28" t="b">
        <f>OR(AAT25&gt;20, AAT20&gt;6)</f>
        <v>0</v>
      </c>
      <c r="AAU28" t="b">
        <f>OR(AAU25&gt;20, AAU20&gt;6)</f>
        <v>0</v>
      </c>
      <c r="AAV28" t="b">
        <f>OR(AAV25&gt;20, AAV20&gt;6)</f>
        <v>1</v>
      </c>
      <c r="AAW28" t="b">
        <f>OR(AAW25&gt;20, AAW20&gt;6)</f>
        <v>1</v>
      </c>
      <c r="AAX28" t="b">
        <f>OR(AAX25&gt;20, AAX20&gt;6)</f>
        <v>0</v>
      </c>
      <c r="AAY28" t="b">
        <f>OR(AAY25&gt;20, AAY20&gt;6)</f>
        <v>1</v>
      </c>
      <c r="AAZ28" t="b">
        <f>OR(AAZ25&gt;20, AAZ20&gt;6)</f>
        <v>0</v>
      </c>
      <c r="ABA28" t="b">
        <f>OR(ABA25&gt;20, ABA20&gt;6)</f>
        <v>1</v>
      </c>
      <c r="ABB28" t="b">
        <f>OR(ABB25&gt;20, ABB20&gt;6)</f>
        <v>1</v>
      </c>
      <c r="ABC28" t="b">
        <f>OR(ABC25&gt;20, ABC20&gt;6)</f>
        <v>0</v>
      </c>
      <c r="ABD28" t="b">
        <f>OR(ABD25&gt;20, ABD20&gt;6)</f>
        <v>1</v>
      </c>
      <c r="ABE28" t="b">
        <f>OR(ABE25&gt;20, ABE20&gt;6)</f>
        <v>1</v>
      </c>
      <c r="ABF28" t="b">
        <f>OR(ABF25&gt;20, ABF20&gt;6)</f>
        <v>1</v>
      </c>
      <c r="ABG28" t="b">
        <f>OR(ABG25&gt;20, ABG20&gt;6)</f>
        <v>1</v>
      </c>
      <c r="ABH28" t="b">
        <f>OR(ABH25&gt;20, ABH20&gt;6)</f>
        <v>1</v>
      </c>
      <c r="ABI28" t="b">
        <f>OR(ABI25&gt;20, ABI20&gt;6)</f>
        <v>1</v>
      </c>
      <c r="ABJ28" t="b">
        <f>OR(ABJ25&gt;20, ABJ20&gt;6)</f>
        <v>1</v>
      </c>
      <c r="ABK28" t="b">
        <f>OR(ABK25&gt;20, ABK20&gt;6)</f>
        <v>0</v>
      </c>
      <c r="ABL28" t="b">
        <f>OR(ABL25&gt;20, ABL20&gt;6)</f>
        <v>1</v>
      </c>
      <c r="ABM28" t="b">
        <f>OR(ABM25&gt;20, ABM20&gt;6)</f>
        <v>0</v>
      </c>
      <c r="ABN28" t="b">
        <f>OR(ABN25&gt;20, ABN20&gt;6)</f>
        <v>1</v>
      </c>
      <c r="ABO28" t="b">
        <f>OR(ABO25&gt;20, ABO20&gt;6)</f>
        <v>1</v>
      </c>
      <c r="ABP28" t="b">
        <f>OR(ABP25&gt;20, ABP20&gt;6)</f>
        <v>0</v>
      </c>
      <c r="ABQ28" t="b">
        <f>OR(ABQ25&gt;20, ABQ20&gt;6)</f>
        <v>1</v>
      </c>
      <c r="ABR28" t="b">
        <f>OR(ABR25&gt;20, ABR20&gt;6)</f>
        <v>0</v>
      </c>
      <c r="ABS28" t="b">
        <f>OR(ABS25&gt;20, ABS20&gt;6)</f>
        <v>1</v>
      </c>
      <c r="ABT28" t="b">
        <f>OR(ABT25&gt;20, ABT20&gt;6)</f>
        <v>1</v>
      </c>
      <c r="ABU28" t="b">
        <f>OR(ABU25&gt;20, ABU20&gt;6)</f>
        <v>1</v>
      </c>
      <c r="ABV28" t="b">
        <f>OR(ABV25&gt;20, ABV20&gt;6)</f>
        <v>1</v>
      </c>
      <c r="ABW28" t="b">
        <f>OR(ABW25&gt;20, ABW20&gt;6)</f>
        <v>0</v>
      </c>
      <c r="ABX28" t="b">
        <f>OR(ABX25&gt;20, ABX20&gt;6)</f>
        <v>1</v>
      </c>
      <c r="ABY28" t="b">
        <f>OR(ABY25&gt;20, ABY20&gt;6)</f>
        <v>1</v>
      </c>
      <c r="ABZ28" t="b">
        <f>OR(ABZ25&gt;20, ABZ20&gt;6)</f>
        <v>1</v>
      </c>
      <c r="ACA28" t="b">
        <f>OR(ACA25&gt;20, ACA20&gt;6)</f>
        <v>1</v>
      </c>
      <c r="ACB28" t="b">
        <f>OR(ACB25&gt;20, ACB20&gt;6)</f>
        <v>0</v>
      </c>
      <c r="ACC28" t="b">
        <f>OR(ACC25&gt;20, ACC20&gt;6)</f>
        <v>1</v>
      </c>
      <c r="ACD28" t="b">
        <f>OR(ACD25&gt;20, ACD20&gt;6)</f>
        <v>1</v>
      </c>
      <c r="ACE28" t="b">
        <f>OR(ACE25&gt;20, ACE20&gt;6)</f>
        <v>1</v>
      </c>
      <c r="ACF28" t="b">
        <f>OR(ACF25&gt;20, ACF20&gt;6)</f>
        <v>1</v>
      </c>
      <c r="ACG28" t="b">
        <f>OR(ACG25&gt;20, ACG20&gt;6)</f>
        <v>1</v>
      </c>
      <c r="ACH28" t="b">
        <f>OR(ACH25&gt;20, ACH20&gt;6)</f>
        <v>1</v>
      </c>
      <c r="ACI28" t="b">
        <f>OR(ACI25&gt;20, ACI20&gt;6)</f>
        <v>1</v>
      </c>
      <c r="ACJ28" t="b">
        <f>OR(ACJ25&gt;20, ACJ20&gt;6)</f>
        <v>1</v>
      </c>
      <c r="ACK28" t="b">
        <f>OR(ACK25&gt;20, ACK20&gt;6)</f>
        <v>1</v>
      </c>
      <c r="ACL28" t="b">
        <f>OR(ACL25&gt;20, ACL20&gt;6)</f>
        <v>1</v>
      </c>
      <c r="ACM28" t="b">
        <f>OR(ACM25&gt;20, ACM20&gt;6)</f>
        <v>0</v>
      </c>
      <c r="ACN28" t="b">
        <f>OR(ACN25&gt;20, ACN20&gt;6)</f>
        <v>0</v>
      </c>
      <c r="ACO28" t="b">
        <f>OR(ACO25&gt;20, ACO20&gt;6)</f>
        <v>1</v>
      </c>
      <c r="ACP28" t="b">
        <f>OR(ACP25&gt;20, ACP20&gt;6)</f>
        <v>0</v>
      </c>
      <c r="ACQ28" t="b">
        <f>OR(ACQ25&gt;20, ACQ20&gt;6)</f>
        <v>0</v>
      </c>
      <c r="ACR28" t="b">
        <f>OR(ACR25&gt;20, ACR20&gt;6)</f>
        <v>0</v>
      </c>
      <c r="ACS28" t="b">
        <f>OR(ACS25&gt;20, ACS20&gt;6)</f>
        <v>1</v>
      </c>
      <c r="ACT28" t="b">
        <f>OR(ACT25&gt;20, ACT20&gt;6)</f>
        <v>0</v>
      </c>
      <c r="ACU28" t="b">
        <f>OR(ACU25&gt;20, ACU20&gt;6)</f>
        <v>0</v>
      </c>
      <c r="ACV28" t="b">
        <f>OR(ACV25&gt;20, ACV20&gt;6)</f>
        <v>0</v>
      </c>
      <c r="ACW28" t="b">
        <f>OR(ACW25&gt;20, ACW20&gt;6)</f>
        <v>1</v>
      </c>
      <c r="ACX28" t="b">
        <f>OR(ACX25&gt;20, ACX20&gt;6)</f>
        <v>1</v>
      </c>
      <c r="ACY28" t="b">
        <f>OR(ACY25&gt;20, ACY20&gt;6)</f>
        <v>1</v>
      </c>
      <c r="ACZ28" t="b">
        <f>OR(ACZ25&gt;20, ACZ20&gt;6)</f>
        <v>1</v>
      </c>
      <c r="ADA28" t="b">
        <f>OR(ADA25&gt;20, ADA20&gt;6)</f>
        <v>0</v>
      </c>
      <c r="ADB28" t="b">
        <f>OR(ADB25&gt;20, ADB20&gt;6)</f>
        <v>1</v>
      </c>
      <c r="ADC28" t="b">
        <f>OR(ADC25&gt;20, ADC20&gt;6)</f>
        <v>0</v>
      </c>
      <c r="ADD28" t="b">
        <f>OR(ADD25&gt;20, ADD20&gt;6)</f>
        <v>1</v>
      </c>
      <c r="ADE28" t="b">
        <f>OR(ADE25&gt;20, ADE20&gt;6)</f>
        <v>1</v>
      </c>
      <c r="ADF28" t="b">
        <f>OR(ADF25&gt;20, ADF20&gt;6)</f>
        <v>0</v>
      </c>
      <c r="ADG28" t="b">
        <f>OR(ADG25&gt;20, ADG20&gt;6)</f>
        <v>0</v>
      </c>
      <c r="ADH28" t="b">
        <f>OR(ADH25&gt;20, ADH20&gt;6)</f>
        <v>1</v>
      </c>
      <c r="ADI28" t="b">
        <f>OR(ADI25&gt;20, ADI20&gt;6)</f>
        <v>1</v>
      </c>
      <c r="ADJ28" t="b">
        <f>OR(ADJ25&gt;20, ADJ20&gt;6)</f>
        <v>0</v>
      </c>
      <c r="ADK28" t="b">
        <f>OR(ADK25&gt;20, ADK20&gt;6)</f>
        <v>0</v>
      </c>
      <c r="ADL28" t="b">
        <f>OR(ADL25&gt;20, ADL20&gt;6)</f>
        <v>1</v>
      </c>
      <c r="ADM28" t="b">
        <f>OR(ADM25&gt;20, ADM20&gt;6)</f>
        <v>1</v>
      </c>
      <c r="ADN28" t="b">
        <f>OR(ADN25&gt;20, ADN20&gt;6)</f>
        <v>0</v>
      </c>
      <c r="ADO28" t="b">
        <f>OR(ADO25&gt;20, ADO20&gt;6)</f>
        <v>1</v>
      </c>
      <c r="ADP28" t="b">
        <f>OR(ADP25&gt;20, ADP20&gt;6)</f>
        <v>1</v>
      </c>
      <c r="ADQ28" t="b">
        <f>OR(ADQ25&gt;20, ADQ20&gt;6)</f>
        <v>1</v>
      </c>
      <c r="ADR28" t="b">
        <f>OR(ADR25&gt;20, ADR20&gt;6)</f>
        <v>1</v>
      </c>
      <c r="ADS28" t="b">
        <f>OR(ADS25&gt;20, ADS20&gt;6)</f>
        <v>1</v>
      </c>
      <c r="ADT28" t="b">
        <f>OR(ADT25&gt;20, ADT20&gt;6)</f>
        <v>1</v>
      </c>
      <c r="ADU28" t="b">
        <f>OR(ADU25&gt;20, ADU20&gt;6)</f>
        <v>0</v>
      </c>
      <c r="ADV28" t="b">
        <f>OR(ADV25&gt;20, ADV20&gt;6)</f>
        <v>1</v>
      </c>
      <c r="ADW28" t="b">
        <f>OR(ADW25&gt;20, ADW20&gt;6)</f>
        <v>0</v>
      </c>
      <c r="ADX28" t="b">
        <f>OR(ADX25&gt;20, ADX20&gt;6)</f>
        <v>1</v>
      </c>
      <c r="ADY28" t="b">
        <f>OR(ADY25&gt;20, ADY20&gt;6)</f>
        <v>0</v>
      </c>
      <c r="ADZ28" t="b">
        <f>OR(ADZ25&gt;20, ADZ20&gt;6)</f>
        <v>1</v>
      </c>
      <c r="AEA28" t="b">
        <f>OR(AEA25&gt;20, AEA20&gt;6)</f>
        <v>0</v>
      </c>
      <c r="AEB28" t="b">
        <f>OR(AEB25&gt;20, AEB20&gt;6)</f>
        <v>1</v>
      </c>
      <c r="AEC28" t="b">
        <f>OR(AEC25&gt;20, AEC20&gt;6)</f>
        <v>1</v>
      </c>
      <c r="AED28" t="b">
        <f>OR(AED25&gt;20, AED20&gt;6)</f>
        <v>1</v>
      </c>
      <c r="AEE28" t="b">
        <f>OR(AEE25&gt;20, AEE20&gt;6)</f>
        <v>0</v>
      </c>
      <c r="AEF28" t="b">
        <f>OR(AEF25&gt;20, AEF20&gt;6)</f>
        <v>0</v>
      </c>
      <c r="AEG28" t="b">
        <f>OR(AEG25&gt;20, AEG20&gt;6)</f>
        <v>1</v>
      </c>
      <c r="AEH28" t="b">
        <f>OR(AEH25&gt;20, AEH20&gt;6)</f>
        <v>1</v>
      </c>
      <c r="AEI28" t="b">
        <f>OR(AEI25&gt;20, AEI20&gt;6)</f>
        <v>1</v>
      </c>
      <c r="AEJ28" t="b">
        <f>OR(AEJ25&gt;20, AEJ20&gt;6)</f>
        <v>0</v>
      </c>
      <c r="AEK28" t="b">
        <f>OR(AEK25&gt;20, AEK20&gt;6)</f>
        <v>1</v>
      </c>
      <c r="AEL28" t="b">
        <f>OR(AEL25&gt;20, AEL20&gt;6)</f>
        <v>1</v>
      </c>
      <c r="AEM28" t="b">
        <f>OR(AEM25&gt;20, AEM20&gt;6)</f>
        <v>0</v>
      </c>
      <c r="AEN28" t="b">
        <f>OR(AEN25&gt;20, AEN20&gt;6)</f>
        <v>1</v>
      </c>
      <c r="AEO28" t="b">
        <f>OR(AEO25&gt;20, AEO20&gt;6)</f>
        <v>1</v>
      </c>
      <c r="AEP28" t="b">
        <f>OR(AEP25&gt;20, AEP20&gt;6)</f>
        <v>1</v>
      </c>
      <c r="AEQ28" t="b">
        <f>OR(AEQ25&gt;20, AEQ20&gt;6)</f>
        <v>1</v>
      </c>
      <c r="AER28" t="b">
        <f>OR(AER25&gt;20, AER20&gt;6)</f>
        <v>0</v>
      </c>
      <c r="AES28" t="b">
        <f>OR(AES25&gt;20, AES20&gt;6)</f>
        <v>1</v>
      </c>
      <c r="AET28" t="b">
        <f>OR(AET25&gt;20, AET20&gt;6)</f>
        <v>0</v>
      </c>
      <c r="AEU28" t="b">
        <f>OR(AEU25&gt;20, AEU20&gt;6)</f>
        <v>1</v>
      </c>
      <c r="AEV28" t="b">
        <f>OR(AEV25&gt;20, AEV20&gt;6)</f>
        <v>1</v>
      </c>
      <c r="AEW28" t="b">
        <f>OR(AEW25&gt;20, AEW20&gt;6)</f>
        <v>1</v>
      </c>
      <c r="AEX28" t="b">
        <f>OR(AEX25&gt;20, AEX20&gt;6)</f>
        <v>1</v>
      </c>
      <c r="AEY28" t="b">
        <f>OR(AEY25&gt;20, AEY20&gt;6)</f>
        <v>0</v>
      </c>
      <c r="AEZ28" t="b">
        <f>OR(AEZ25&gt;20, AEZ20&gt;6)</f>
        <v>1</v>
      </c>
      <c r="AFA28" t="b">
        <f>OR(AFA25&gt;20, AFA20&gt;6)</f>
        <v>1</v>
      </c>
      <c r="AFB28" t="b">
        <f>OR(AFB25&gt;20, AFB20&gt;6)</f>
        <v>1</v>
      </c>
      <c r="AFC28" t="b">
        <f>OR(AFC25&gt;20, AFC20&gt;6)</f>
        <v>1</v>
      </c>
      <c r="AFD28" t="b">
        <f>OR(AFD25&gt;20, AFD20&gt;6)</f>
        <v>1</v>
      </c>
      <c r="AFE28" t="b">
        <f>OR(AFE25&gt;20, AFE20&gt;6)</f>
        <v>1</v>
      </c>
      <c r="AFF28" t="b">
        <f>OR(AFF25&gt;20, AFF20&gt;6)</f>
        <v>1</v>
      </c>
      <c r="AFG28" t="b">
        <f>OR(AFG25&gt;20, AFG20&gt;6)</f>
        <v>0</v>
      </c>
      <c r="AFH28" t="b">
        <f>OR(AFH25&gt;20, AFH20&gt;6)</f>
        <v>0</v>
      </c>
      <c r="AFI28" t="b">
        <f>OR(AFI25&gt;20, AFI20&gt;6)</f>
        <v>1</v>
      </c>
      <c r="AFJ28" t="b">
        <f>OR(AFJ25&gt;20, AFJ20&gt;6)</f>
        <v>1</v>
      </c>
      <c r="AFK28" t="b">
        <f>OR(AFK25&gt;20, AFK20&gt;6)</f>
        <v>1</v>
      </c>
      <c r="AFL28" t="b">
        <f>OR(AFL25&gt;20, AFL20&gt;6)</f>
        <v>1</v>
      </c>
      <c r="AFM28" t="b">
        <f>OR(AFM25&gt;20, AFM20&gt;6)</f>
        <v>1</v>
      </c>
      <c r="AFN28" t="b">
        <f>OR(AFN25&gt;20, AFN20&gt;6)</f>
        <v>1</v>
      </c>
      <c r="AFO28" t="b">
        <f>OR(AFO25&gt;20, AFO20&gt;6)</f>
        <v>1</v>
      </c>
      <c r="AFP28" t="b">
        <f>OR(AFP25&gt;20, AFP20&gt;6)</f>
        <v>1</v>
      </c>
      <c r="AFQ28" t="b">
        <f>OR(AFQ25&gt;20, AFQ20&gt;6)</f>
        <v>0</v>
      </c>
      <c r="AFR28" t="b">
        <f>OR(AFR25&gt;20, AFR20&gt;6)</f>
        <v>0</v>
      </c>
      <c r="AFS28" t="b">
        <f>OR(AFS25&gt;20, AFS20&gt;6)</f>
        <v>0</v>
      </c>
      <c r="AFT28" t="b">
        <f>OR(AFT25&gt;20, AFT20&gt;6)</f>
        <v>0</v>
      </c>
      <c r="AFU28" t="b">
        <f>OR(AFU25&gt;20, AFU20&gt;6)</f>
        <v>0</v>
      </c>
      <c r="AFV28" t="b">
        <f>OR(AFV25&gt;20, AFV20&gt;6)</f>
        <v>1</v>
      </c>
      <c r="AFW28" t="b">
        <f>OR(AFW25&gt;20, AFW20&gt;6)</f>
        <v>1</v>
      </c>
      <c r="AFX28" t="b">
        <f>OR(AFX25&gt;20, AFX20&gt;6)</f>
        <v>0</v>
      </c>
      <c r="AFY28" t="b">
        <f>OR(AFY25&gt;20, AFY20&gt;6)</f>
        <v>1</v>
      </c>
      <c r="AFZ28" t="b">
        <f>OR(AFZ25&gt;20, AFZ20&gt;6)</f>
        <v>0</v>
      </c>
      <c r="AGA28" t="b">
        <f>OR(AGA25&gt;20, AGA20&gt;6)</f>
        <v>0</v>
      </c>
      <c r="AGB28" t="b">
        <f>OR(AGB25&gt;20, AGB20&gt;6)</f>
        <v>0</v>
      </c>
      <c r="AGC28" t="b">
        <f>OR(AGC25&gt;20, AGC20&gt;6)</f>
        <v>1</v>
      </c>
      <c r="AGD28" t="b">
        <f>OR(AGD25&gt;20, AGD20&gt;6)</f>
        <v>0</v>
      </c>
      <c r="AGE28" t="b">
        <f>OR(AGE25&gt;20, AGE20&gt;6)</f>
        <v>0</v>
      </c>
      <c r="AGF28" t="b">
        <f>OR(AGF25&gt;20, AGF20&gt;6)</f>
        <v>0</v>
      </c>
      <c r="AGG28" t="b">
        <f>OR(AGG25&gt;20, AGG20&gt;6)</f>
        <v>1</v>
      </c>
      <c r="AGH28" t="b">
        <f>OR(AGH25&gt;20, AGH20&gt;6)</f>
        <v>1</v>
      </c>
      <c r="AGI28" t="b">
        <f>OR(AGI25&gt;20, AGI20&gt;6)</f>
        <v>1</v>
      </c>
      <c r="AGJ28" t="b">
        <f>OR(AGJ25&gt;20, AGJ20&gt;6)</f>
        <v>1</v>
      </c>
      <c r="AGK28" t="b">
        <f>OR(AGK25&gt;20, AGK20&gt;6)</f>
        <v>0</v>
      </c>
      <c r="AGL28" t="b">
        <f>OR(AGL25&gt;20, AGL20&gt;6)</f>
        <v>1</v>
      </c>
      <c r="AGM28" t="b">
        <f>OR(AGM25&gt;20, AGM20&gt;6)</f>
        <v>1</v>
      </c>
      <c r="AGN28" t="b">
        <f>OR(AGN25&gt;20, AGN20&gt;6)</f>
        <v>0</v>
      </c>
      <c r="AGO28" t="b">
        <f>OR(AGO25&gt;20, AGO20&gt;6)</f>
        <v>1</v>
      </c>
      <c r="AGP28" t="b">
        <f>OR(AGP25&gt;20, AGP20&gt;6)</f>
        <v>1</v>
      </c>
      <c r="AGQ28" t="b">
        <f>OR(AGQ25&gt;20, AGQ20&gt;6)</f>
        <v>0</v>
      </c>
      <c r="AGR28" t="b">
        <f>OR(AGR25&gt;20, AGR20&gt;6)</f>
        <v>1</v>
      </c>
      <c r="AGS28" t="b">
        <f>OR(AGS25&gt;20, AGS20&gt;6)</f>
        <v>1</v>
      </c>
      <c r="AGT28" t="b">
        <f>OR(AGT25&gt;20, AGT20&gt;6)</f>
        <v>1</v>
      </c>
      <c r="AGU28" t="b">
        <f>OR(AGU25&gt;20, AGU20&gt;6)</f>
        <v>0</v>
      </c>
      <c r="AGV28" t="b">
        <f>OR(AGV25&gt;20, AGV20&gt;6)</f>
        <v>1</v>
      </c>
      <c r="AGW28" t="b">
        <f>OR(AGW25&gt;20, AGW20&gt;6)</f>
        <v>1</v>
      </c>
      <c r="AGX28" t="b">
        <f>OR(AGX25&gt;20, AGX20&gt;6)</f>
        <v>1</v>
      </c>
      <c r="AGY28" t="b">
        <f>OR(AGY25&gt;20, AGY20&gt;6)</f>
        <v>1</v>
      </c>
      <c r="AGZ28" t="b">
        <f>OR(AGZ25&gt;20, AGZ20&gt;6)</f>
        <v>1</v>
      </c>
      <c r="AHA28" t="b">
        <f>OR(AHA25&gt;20, AHA20&gt;6)</f>
        <v>1</v>
      </c>
    </row>
    <row r="29" spans="1:885" x14ac:dyDescent="0.25">
      <c r="A29" s="1" t="s">
        <v>103</v>
      </c>
      <c r="B29" t="str">
        <f>IF(OR(B25&gt;20,B20&gt;6), "Good employee", "Bad Employee")</f>
        <v>Good employee</v>
      </c>
      <c r="C29" t="str">
        <f>IF(OR(C25&gt;20,C20&gt;6), "Good employee", "Bad Employee")</f>
        <v>Good employee</v>
      </c>
      <c r="D29" t="str">
        <f>IF(OR(D25&gt;20,D20&gt;6), "Good employee", "Bad Employee")</f>
        <v>Good employee</v>
      </c>
      <c r="E29" t="str">
        <f>IF(OR(E25&gt;20,E20&gt;6), "Good employee", "Bad Employee")</f>
        <v>Good employee</v>
      </c>
      <c r="F29" t="str">
        <f>IF(OR(F25&gt;20,F20&gt;6), "Good employee", "Bad Employee")</f>
        <v>Bad Employee</v>
      </c>
      <c r="G29" t="str">
        <f>IF(OR(G25&gt;20,G20&gt;6), "Good employee", "Bad Employee")</f>
        <v>Good employee</v>
      </c>
      <c r="H29" t="str">
        <f>IF(OR(H25&gt;20,H20&gt;6), "Good employee", "Bad Employee")</f>
        <v>Bad Employee</v>
      </c>
      <c r="I29" t="str">
        <f>IF(OR(I25&gt;20,I20&gt;6), "Good employee", "Bad Employee")</f>
        <v>Good employee</v>
      </c>
      <c r="J29" t="str">
        <f>IF(OR(J25&gt;20,J20&gt;6), "Good employee", "Bad Employee")</f>
        <v>Good employee</v>
      </c>
      <c r="K29" t="str">
        <f>IF(OR(K25&gt;20,K20&gt;6), "Good employee", "Bad Employee")</f>
        <v>Good employee</v>
      </c>
      <c r="L29" t="str">
        <f>IF(OR(L25&gt;20,L20&gt;6), "Good employee", "Bad Employee")</f>
        <v>Bad Employee</v>
      </c>
      <c r="M29" t="str">
        <f>IF(OR(M25&gt;20,M20&gt;6), "Good employee", "Bad Employee")</f>
        <v>Good employee</v>
      </c>
      <c r="N29" t="str">
        <f>IF(OR(N25&gt;20,N20&gt;6), "Good employee", "Bad Employee")</f>
        <v>Good employee</v>
      </c>
      <c r="O29" t="str">
        <f>IF(OR(O25&gt;20,O20&gt;6), "Good employee", "Bad Employee")</f>
        <v>Bad Employee</v>
      </c>
      <c r="P29" t="str">
        <f>IF(OR(P25&gt;20,P20&gt;6), "Good employee", "Bad Employee")</f>
        <v>Good employee</v>
      </c>
      <c r="Q29" t="str">
        <f>IF(OR(Q25&gt;20,Q20&gt;6), "Good employee", "Bad Employee")</f>
        <v>Good employee</v>
      </c>
      <c r="R29" t="str">
        <f>IF(OR(R25&gt;20,R20&gt;6), "Good employee", "Bad Employee")</f>
        <v>Good employee</v>
      </c>
      <c r="S29" t="str">
        <f>IF(OR(S25&gt;20,S20&gt;6), "Good employee", "Bad Employee")</f>
        <v>Bad Employee</v>
      </c>
      <c r="T29" t="str">
        <f>IF(OR(T25&gt;20,T20&gt;6), "Good employee", "Bad Employee")</f>
        <v>Good employee</v>
      </c>
      <c r="U29" t="str">
        <f>IF(OR(U25&gt;20,U20&gt;6), "Good employee", "Bad Employee")</f>
        <v>Good employee</v>
      </c>
      <c r="V29" t="str">
        <f>IF(OR(V25&gt;20,V20&gt;6), "Good employee", "Bad Employee")</f>
        <v>Good employee</v>
      </c>
      <c r="W29" t="str">
        <f>IF(OR(W25&gt;20,W20&gt;6), "Good employee", "Bad Employee")</f>
        <v>Bad Employee</v>
      </c>
      <c r="X29" t="str">
        <f>IF(OR(X25&gt;20,X20&gt;6), "Good employee", "Bad Employee")</f>
        <v>Good employee</v>
      </c>
      <c r="Y29" t="str">
        <f>IF(OR(Y25&gt;20,Y20&gt;6), "Good employee", "Bad Employee")</f>
        <v>Bad Employee</v>
      </c>
      <c r="Z29" t="str">
        <f>IF(OR(Z25&gt;20,Z20&gt;6), "Good employee", "Bad Employee")</f>
        <v>Good employee</v>
      </c>
      <c r="AA29" t="str">
        <f>IF(OR(AA25&gt;20,AA20&gt;6), "Good employee", "Bad Employee")</f>
        <v>Good employee</v>
      </c>
      <c r="AB29" t="str">
        <f>IF(OR(AB25&gt;20,AB20&gt;6), "Good employee", "Bad Employee")</f>
        <v>Good employee</v>
      </c>
      <c r="AC29" t="str">
        <f>IF(OR(AC25&gt;20,AC20&gt;6), "Good employee", "Bad Employee")</f>
        <v>Bad Employee</v>
      </c>
      <c r="AD29" t="str">
        <f>IF(OR(AD25&gt;20,AD20&gt;6), "Good employee", "Bad Employee")</f>
        <v>Good employee</v>
      </c>
      <c r="AE29" t="str">
        <f>IF(OR(AE25&gt;20,AE20&gt;6), "Good employee", "Bad Employee")</f>
        <v>Bad Employee</v>
      </c>
      <c r="AF29" t="str">
        <f>IF(OR(AF25&gt;20,AF20&gt;6), "Good employee", "Bad Employee")</f>
        <v>Good employee</v>
      </c>
      <c r="AG29" t="str">
        <f>IF(OR(AG25&gt;20,AG20&gt;6), "Good employee", "Bad Employee")</f>
        <v>Bad Employee</v>
      </c>
      <c r="AH29" t="str">
        <f>IF(OR(AH25&gt;20,AH20&gt;6), "Good employee", "Bad Employee")</f>
        <v>Good employee</v>
      </c>
      <c r="AI29" t="str">
        <f>IF(OR(AI25&gt;20,AI20&gt;6), "Good employee", "Bad Employee")</f>
        <v>Bad Employee</v>
      </c>
      <c r="AJ29" t="str">
        <f>IF(OR(AJ25&gt;20,AJ20&gt;6), "Good employee", "Bad Employee")</f>
        <v>Bad Employee</v>
      </c>
      <c r="AK29" t="str">
        <f>IF(OR(AK25&gt;20,AK20&gt;6), "Good employee", "Bad Employee")</f>
        <v>Good employee</v>
      </c>
      <c r="AL29" t="str">
        <f>IF(OR(AL25&gt;20,AL20&gt;6), "Good employee", "Bad Employee")</f>
        <v>Bad Employee</v>
      </c>
      <c r="AM29" t="str">
        <f>IF(OR(AM25&gt;20,AM20&gt;6), "Good employee", "Bad Employee")</f>
        <v>Good employee</v>
      </c>
      <c r="AN29" t="str">
        <f>IF(OR(AN25&gt;20,AN20&gt;6), "Good employee", "Bad Employee")</f>
        <v>Bad Employee</v>
      </c>
      <c r="AO29" t="str">
        <f>IF(OR(AO25&gt;20,AO20&gt;6), "Good employee", "Bad Employee")</f>
        <v>Bad Employee</v>
      </c>
      <c r="AP29" t="str">
        <f>IF(OR(AP25&gt;20,AP20&gt;6), "Good employee", "Bad Employee")</f>
        <v>Good employee</v>
      </c>
      <c r="AQ29" t="str">
        <f>IF(OR(AQ25&gt;20,AQ20&gt;6), "Good employee", "Bad Employee")</f>
        <v>Bad Employee</v>
      </c>
      <c r="AR29" t="str">
        <f>IF(OR(AR25&gt;20,AR20&gt;6), "Good employee", "Bad Employee")</f>
        <v>Good employee</v>
      </c>
      <c r="AS29" t="str">
        <f>IF(OR(AS25&gt;20,AS20&gt;6), "Good employee", "Bad Employee")</f>
        <v>Good employee</v>
      </c>
      <c r="AT29" t="str">
        <f>IF(OR(AT25&gt;20,AT20&gt;6), "Good employee", "Bad Employee")</f>
        <v>Good employee</v>
      </c>
      <c r="AU29" t="str">
        <f>IF(OR(AU25&gt;20,AU20&gt;6), "Good employee", "Bad Employee")</f>
        <v>Good employee</v>
      </c>
      <c r="AV29" t="str">
        <f>IF(OR(AV25&gt;20,AV20&gt;6), "Good employee", "Bad Employee")</f>
        <v>Good employee</v>
      </c>
      <c r="AW29" t="str">
        <f>IF(OR(AW25&gt;20,AW20&gt;6), "Good employee", "Bad Employee")</f>
        <v>Good employee</v>
      </c>
      <c r="AX29" t="str">
        <f>IF(OR(AX25&gt;20,AX20&gt;6), "Good employee", "Bad Employee")</f>
        <v>Bad Employee</v>
      </c>
      <c r="AY29" t="str">
        <f>IF(OR(AY25&gt;20,AY20&gt;6), "Good employee", "Bad Employee")</f>
        <v>Bad Employee</v>
      </c>
      <c r="AZ29" t="str">
        <f>IF(OR(AZ25&gt;20,AZ20&gt;6), "Good employee", "Bad Employee")</f>
        <v>Bad Employee</v>
      </c>
      <c r="BA29" t="str">
        <f>IF(OR(BA25&gt;20,BA20&gt;6), "Good employee", "Bad Employee")</f>
        <v>Good employee</v>
      </c>
      <c r="BB29" t="str">
        <f>IF(OR(BB25&gt;20,BB20&gt;6), "Good employee", "Bad Employee")</f>
        <v>Good employee</v>
      </c>
      <c r="BC29" t="str">
        <f>IF(OR(BC25&gt;20,BC20&gt;6), "Good employee", "Bad Employee")</f>
        <v>Good employee</v>
      </c>
      <c r="BD29" t="str">
        <f>IF(OR(BD25&gt;20,BD20&gt;6), "Good employee", "Bad Employee")</f>
        <v>Good employee</v>
      </c>
      <c r="BE29" t="str">
        <f>IF(OR(BE25&gt;20,BE20&gt;6), "Good employee", "Bad Employee")</f>
        <v>Good employee</v>
      </c>
      <c r="BF29" t="str">
        <f>IF(OR(BF25&gt;20,BF20&gt;6), "Good employee", "Bad Employee")</f>
        <v>Good employee</v>
      </c>
      <c r="BG29" t="str">
        <f>IF(OR(BG25&gt;20,BG20&gt;6), "Good employee", "Bad Employee")</f>
        <v>Bad Employee</v>
      </c>
      <c r="BH29" t="str">
        <f>IF(OR(BH25&gt;20,BH20&gt;6), "Good employee", "Bad Employee")</f>
        <v>Bad Employee</v>
      </c>
      <c r="BI29" t="str">
        <f>IF(OR(BI25&gt;20,BI20&gt;6), "Good employee", "Bad Employee")</f>
        <v>Good employee</v>
      </c>
      <c r="BJ29" t="str">
        <f>IF(OR(BJ25&gt;20,BJ20&gt;6), "Good employee", "Bad Employee")</f>
        <v>Good employee</v>
      </c>
      <c r="BK29" t="str">
        <f>IF(OR(BK25&gt;20,BK20&gt;6), "Good employee", "Bad Employee")</f>
        <v>Bad Employee</v>
      </c>
      <c r="BL29" t="str">
        <f>IF(OR(BL25&gt;20,BL20&gt;6), "Good employee", "Bad Employee")</f>
        <v>Good employee</v>
      </c>
      <c r="BM29" t="str">
        <f>IF(OR(BM25&gt;20,BM20&gt;6), "Good employee", "Bad Employee")</f>
        <v>Bad Employee</v>
      </c>
      <c r="BN29" t="str">
        <f>IF(OR(BN25&gt;20,BN20&gt;6), "Good employee", "Bad Employee")</f>
        <v>Good employee</v>
      </c>
      <c r="BO29" t="str">
        <f>IF(OR(BO25&gt;20,BO20&gt;6), "Good employee", "Bad Employee")</f>
        <v>Bad Employee</v>
      </c>
      <c r="BP29" t="str">
        <f>IF(OR(BP25&gt;20,BP20&gt;6), "Good employee", "Bad Employee")</f>
        <v>Good employee</v>
      </c>
      <c r="BQ29" t="str">
        <f>IF(OR(BQ25&gt;20,BQ20&gt;6), "Good employee", "Bad Employee")</f>
        <v>Bad Employee</v>
      </c>
      <c r="BR29" t="str">
        <f>IF(OR(BR25&gt;20,BR20&gt;6), "Good employee", "Bad Employee")</f>
        <v>Bad Employee</v>
      </c>
      <c r="BS29" t="str">
        <f>IF(OR(BS25&gt;20,BS20&gt;6), "Good employee", "Bad Employee")</f>
        <v>Good employee</v>
      </c>
      <c r="BT29" t="str">
        <f>IF(OR(BT25&gt;20,BT20&gt;6), "Good employee", "Bad Employee")</f>
        <v>Good employee</v>
      </c>
      <c r="BU29" t="str">
        <f>IF(OR(BU25&gt;20,BU20&gt;6), "Good employee", "Bad Employee")</f>
        <v>Good employee</v>
      </c>
      <c r="BV29" t="str">
        <f>IF(OR(BV25&gt;20,BV20&gt;6), "Good employee", "Bad Employee")</f>
        <v>Good employee</v>
      </c>
      <c r="BW29" t="str">
        <f>IF(OR(BW25&gt;20,BW20&gt;6), "Good employee", "Bad Employee")</f>
        <v>Good employee</v>
      </c>
      <c r="BX29" t="str">
        <f>IF(OR(BX25&gt;20,BX20&gt;6), "Good employee", "Bad Employee")</f>
        <v>Good employee</v>
      </c>
      <c r="BY29" t="str">
        <f>IF(OR(BY25&gt;20,BY20&gt;6), "Good employee", "Bad Employee")</f>
        <v>Good employee</v>
      </c>
      <c r="BZ29" t="str">
        <f>IF(OR(BZ25&gt;20,BZ20&gt;6), "Good employee", "Bad Employee")</f>
        <v>Bad Employee</v>
      </c>
      <c r="CA29" t="str">
        <f>IF(OR(CA25&gt;20,CA20&gt;6), "Good employee", "Bad Employee")</f>
        <v>Good employee</v>
      </c>
      <c r="CB29" t="str">
        <f>IF(OR(CB25&gt;20,CB20&gt;6), "Good employee", "Bad Employee")</f>
        <v>Bad Employee</v>
      </c>
      <c r="CC29" t="str">
        <f>IF(OR(CC25&gt;20,CC20&gt;6), "Good employee", "Bad Employee")</f>
        <v>Good employee</v>
      </c>
      <c r="CD29" t="str">
        <f>IF(OR(CD25&gt;20,CD20&gt;6), "Good employee", "Bad Employee")</f>
        <v>Good employee</v>
      </c>
      <c r="CE29" t="str">
        <f>IF(OR(CE25&gt;20,CE20&gt;6), "Good employee", "Bad Employee")</f>
        <v>Good employee</v>
      </c>
      <c r="CF29" t="str">
        <f>IF(OR(CF25&gt;20,CF20&gt;6), "Good employee", "Bad Employee")</f>
        <v>Good employee</v>
      </c>
      <c r="CG29" t="str">
        <f>IF(OR(CG25&gt;20,CG20&gt;6), "Good employee", "Bad Employee")</f>
        <v>Bad Employee</v>
      </c>
      <c r="CH29" t="str">
        <f>IF(OR(CH25&gt;20,CH20&gt;6), "Good employee", "Bad Employee")</f>
        <v>Good employee</v>
      </c>
      <c r="CI29" t="str">
        <f>IF(OR(CI25&gt;20,CI20&gt;6), "Good employee", "Bad Employee")</f>
        <v>Good employee</v>
      </c>
      <c r="CJ29" t="str">
        <f>IF(OR(CJ25&gt;20,CJ20&gt;6), "Good employee", "Bad Employee")</f>
        <v>Good employee</v>
      </c>
      <c r="CK29" t="str">
        <f>IF(OR(CK25&gt;20,CK20&gt;6), "Good employee", "Bad Employee")</f>
        <v>Bad Employee</v>
      </c>
      <c r="CL29" t="str">
        <f>IF(OR(CL25&gt;20,CL20&gt;6), "Good employee", "Bad Employee")</f>
        <v>Good employee</v>
      </c>
      <c r="CM29" t="str">
        <f>IF(OR(CM25&gt;20,CM20&gt;6), "Good employee", "Bad Employee")</f>
        <v>Good employee</v>
      </c>
      <c r="CN29" t="str">
        <f>IF(OR(CN25&gt;20,CN20&gt;6), "Good employee", "Bad Employee")</f>
        <v>Good employee</v>
      </c>
      <c r="CO29" t="str">
        <f>IF(OR(CO25&gt;20,CO20&gt;6), "Good employee", "Bad Employee")</f>
        <v>Good employee</v>
      </c>
      <c r="CP29" t="str">
        <f>IF(OR(CP25&gt;20,CP20&gt;6), "Good employee", "Bad Employee")</f>
        <v>Good employee</v>
      </c>
      <c r="CQ29" t="str">
        <f>IF(OR(CQ25&gt;20,CQ20&gt;6), "Good employee", "Bad Employee")</f>
        <v>Good employee</v>
      </c>
      <c r="CR29" t="str">
        <f>IF(OR(CR25&gt;20,CR20&gt;6), "Good employee", "Bad Employee")</f>
        <v>Bad Employee</v>
      </c>
      <c r="CS29" t="str">
        <f>IF(OR(CS25&gt;20,CS20&gt;6), "Good employee", "Bad Employee")</f>
        <v>Good employee</v>
      </c>
      <c r="CT29" t="str">
        <f>IF(OR(CT25&gt;20,CT20&gt;6), "Good employee", "Bad Employee")</f>
        <v>Good employee</v>
      </c>
      <c r="CU29" t="str">
        <f>IF(OR(CU25&gt;20,CU20&gt;6), "Good employee", "Bad Employee")</f>
        <v>Bad Employee</v>
      </c>
      <c r="CV29" t="str">
        <f>IF(OR(CV25&gt;20,CV20&gt;6), "Good employee", "Bad Employee")</f>
        <v>Bad Employee</v>
      </c>
      <c r="CW29" t="str">
        <f>IF(OR(CW25&gt;20,CW20&gt;6), "Good employee", "Bad Employee")</f>
        <v>Bad Employee</v>
      </c>
      <c r="CX29" t="str">
        <f>IF(OR(CX25&gt;20,CX20&gt;6), "Good employee", "Bad Employee")</f>
        <v>Good employee</v>
      </c>
      <c r="CY29" t="str">
        <f>IF(OR(CY25&gt;20,CY20&gt;6), "Good employee", "Bad Employee")</f>
        <v>Good employee</v>
      </c>
      <c r="CZ29" t="str">
        <f>IF(OR(CZ25&gt;20,CZ20&gt;6), "Good employee", "Bad Employee")</f>
        <v>Good employee</v>
      </c>
      <c r="DA29" t="str">
        <f>IF(OR(DA25&gt;20,DA20&gt;6), "Good employee", "Bad Employee")</f>
        <v>Good employee</v>
      </c>
      <c r="DB29" t="str">
        <f>IF(OR(DB25&gt;20,DB20&gt;6), "Good employee", "Bad Employee")</f>
        <v>Good employee</v>
      </c>
      <c r="DC29" t="str">
        <f>IF(OR(DC25&gt;20,DC20&gt;6), "Good employee", "Bad Employee")</f>
        <v>Good employee</v>
      </c>
      <c r="DD29" t="str">
        <f>IF(OR(DD25&gt;20,DD20&gt;6), "Good employee", "Bad Employee")</f>
        <v>Good employee</v>
      </c>
      <c r="DE29" t="str">
        <f>IF(OR(DE25&gt;20,DE20&gt;6), "Good employee", "Bad Employee")</f>
        <v>Bad Employee</v>
      </c>
      <c r="DF29" t="str">
        <f>IF(OR(DF25&gt;20,DF20&gt;6), "Good employee", "Bad Employee")</f>
        <v>Bad Employee</v>
      </c>
      <c r="DG29" t="str">
        <f>IF(OR(DG25&gt;20,DG20&gt;6), "Good employee", "Bad Employee")</f>
        <v>Good employee</v>
      </c>
      <c r="DH29" t="str">
        <f>IF(OR(DH25&gt;20,DH20&gt;6), "Good employee", "Bad Employee")</f>
        <v>Bad Employee</v>
      </c>
      <c r="DI29" t="str">
        <f>IF(OR(DI25&gt;20,DI20&gt;6), "Good employee", "Bad Employee")</f>
        <v>Good employee</v>
      </c>
      <c r="DJ29" t="str">
        <f>IF(OR(DJ25&gt;20,DJ20&gt;6), "Good employee", "Bad Employee")</f>
        <v>Good employee</v>
      </c>
      <c r="DK29" t="str">
        <f>IF(OR(DK25&gt;20,DK20&gt;6), "Good employee", "Bad Employee")</f>
        <v>Good employee</v>
      </c>
      <c r="DL29" t="str">
        <f>IF(OR(DL25&gt;20,DL20&gt;6), "Good employee", "Bad Employee")</f>
        <v>Good employee</v>
      </c>
      <c r="DM29" t="str">
        <f>IF(OR(DM25&gt;20,DM20&gt;6), "Good employee", "Bad Employee")</f>
        <v>Bad Employee</v>
      </c>
      <c r="DN29" t="str">
        <f>IF(OR(DN25&gt;20,DN20&gt;6), "Good employee", "Bad Employee")</f>
        <v>Bad Employee</v>
      </c>
      <c r="DO29" t="str">
        <f>IF(OR(DO25&gt;20,DO20&gt;6), "Good employee", "Bad Employee")</f>
        <v>Good employee</v>
      </c>
      <c r="DP29" t="str">
        <f>IF(OR(DP25&gt;20,DP20&gt;6), "Good employee", "Bad Employee")</f>
        <v>Good employee</v>
      </c>
      <c r="DQ29" t="str">
        <f>IF(OR(DQ25&gt;20,DQ20&gt;6), "Good employee", "Bad Employee")</f>
        <v>Good employee</v>
      </c>
      <c r="DR29" t="str">
        <f>IF(OR(DR25&gt;20,DR20&gt;6), "Good employee", "Bad Employee")</f>
        <v>Good employee</v>
      </c>
      <c r="DS29" t="str">
        <f>IF(OR(DS25&gt;20,DS20&gt;6), "Good employee", "Bad Employee")</f>
        <v>Good employee</v>
      </c>
      <c r="DT29" t="str">
        <f>IF(OR(DT25&gt;20,DT20&gt;6), "Good employee", "Bad Employee")</f>
        <v>Good employee</v>
      </c>
      <c r="DU29" t="str">
        <f>IF(OR(DU25&gt;20,DU20&gt;6), "Good employee", "Bad Employee")</f>
        <v>Bad Employee</v>
      </c>
      <c r="DV29" t="str">
        <f>IF(OR(DV25&gt;20,DV20&gt;6), "Good employee", "Bad Employee")</f>
        <v>Bad Employee</v>
      </c>
      <c r="DW29" t="str">
        <f>IF(OR(DW25&gt;20,DW20&gt;6), "Good employee", "Bad Employee")</f>
        <v>Bad Employee</v>
      </c>
      <c r="DX29" t="str">
        <f>IF(OR(DX25&gt;20,DX20&gt;6), "Good employee", "Bad Employee")</f>
        <v>Good employee</v>
      </c>
      <c r="DY29" t="str">
        <f>IF(OR(DY25&gt;20,DY20&gt;6), "Good employee", "Bad Employee")</f>
        <v>Good employee</v>
      </c>
      <c r="DZ29" t="str">
        <f>IF(OR(DZ25&gt;20,DZ20&gt;6), "Good employee", "Bad Employee")</f>
        <v>Bad Employee</v>
      </c>
      <c r="EA29" t="str">
        <f>IF(OR(EA25&gt;20,EA20&gt;6), "Good employee", "Bad Employee")</f>
        <v>Good employee</v>
      </c>
      <c r="EB29" t="str">
        <f>IF(OR(EB25&gt;20,EB20&gt;6), "Good employee", "Bad Employee")</f>
        <v>Bad Employee</v>
      </c>
      <c r="EC29" t="str">
        <f>IF(OR(EC25&gt;20,EC20&gt;6), "Good employee", "Bad Employee")</f>
        <v>Good employee</v>
      </c>
      <c r="ED29" t="str">
        <f>IF(OR(ED25&gt;20,ED20&gt;6), "Good employee", "Bad Employee")</f>
        <v>Good employee</v>
      </c>
      <c r="EE29" t="str">
        <f>IF(OR(EE25&gt;20,EE20&gt;6), "Good employee", "Bad Employee")</f>
        <v>Bad Employee</v>
      </c>
      <c r="EF29" t="str">
        <f>IF(OR(EF25&gt;20,EF20&gt;6), "Good employee", "Bad Employee")</f>
        <v>Good employee</v>
      </c>
      <c r="EG29" t="str">
        <f>IF(OR(EG25&gt;20,EG20&gt;6), "Good employee", "Bad Employee")</f>
        <v>Good employee</v>
      </c>
      <c r="EH29" t="str">
        <f>IF(OR(EH25&gt;20,EH20&gt;6), "Good employee", "Bad Employee")</f>
        <v>Bad Employee</v>
      </c>
      <c r="EI29" t="str">
        <f>IF(OR(EI25&gt;20,EI20&gt;6), "Good employee", "Bad Employee")</f>
        <v>Good employee</v>
      </c>
      <c r="EJ29" t="str">
        <f>IF(OR(EJ25&gt;20,EJ20&gt;6), "Good employee", "Bad Employee")</f>
        <v>Bad Employee</v>
      </c>
      <c r="EK29" t="str">
        <f>IF(OR(EK25&gt;20,EK20&gt;6), "Good employee", "Bad Employee")</f>
        <v>Bad Employee</v>
      </c>
      <c r="EL29" t="str">
        <f>IF(OR(EL25&gt;20,EL20&gt;6), "Good employee", "Bad Employee")</f>
        <v>Good employee</v>
      </c>
      <c r="EM29" t="str">
        <f>IF(OR(EM25&gt;20,EM20&gt;6), "Good employee", "Bad Employee")</f>
        <v>Good employee</v>
      </c>
      <c r="EN29" t="str">
        <f>IF(OR(EN25&gt;20,EN20&gt;6), "Good employee", "Bad Employee")</f>
        <v>Good employee</v>
      </c>
      <c r="EO29" t="str">
        <f>IF(OR(EO25&gt;20,EO20&gt;6), "Good employee", "Bad Employee")</f>
        <v>Good employee</v>
      </c>
      <c r="EP29" t="str">
        <f>IF(OR(EP25&gt;20,EP20&gt;6), "Good employee", "Bad Employee")</f>
        <v>Good employee</v>
      </c>
      <c r="EQ29" t="str">
        <f>IF(OR(EQ25&gt;20,EQ20&gt;6), "Good employee", "Bad Employee")</f>
        <v>Bad Employee</v>
      </c>
      <c r="ER29" t="str">
        <f>IF(OR(ER25&gt;20,ER20&gt;6), "Good employee", "Bad Employee")</f>
        <v>Good employee</v>
      </c>
      <c r="ES29" t="str">
        <f>IF(OR(ES25&gt;20,ES20&gt;6), "Good employee", "Bad Employee")</f>
        <v>Bad Employee</v>
      </c>
      <c r="ET29" t="str">
        <f>IF(OR(ET25&gt;20,ET20&gt;6), "Good employee", "Bad Employee")</f>
        <v>Bad Employee</v>
      </c>
      <c r="EU29" t="str">
        <f>IF(OR(EU25&gt;20,EU20&gt;6), "Good employee", "Bad Employee")</f>
        <v>Bad Employee</v>
      </c>
      <c r="EV29" t="str">
        <f>IF(OR(EV25&gt;20,EV20&gt;6), "Good employee", "Bad Employee")</f>
        <v>Good employee</v>
      </c>
      <c r="EW29" t="str">
        <f>IF(OR(EW25&gt;20,EW20&gt;6), "Good employee", "Bad Employee")</f>
        <v>Bad Employee</v>
      </c>
      <c r="EX29" t="str">
        <f>IF(OR(EX25&gt;20,EX20&gt;6), "Good employee", "Bad Employee")</f>
        <v>Bad Employee</v>
      </c>
      <c r="EY29" t="str">
        <f>IF(OR(EY25&gt;20,EY20&gt;6), "Good employee", "Bad Employee")</f>
        <v>Bad Employee</v>
      </c>
      <c r="EZ29" t="str">
        <f>IF(OR(EZ25&gt;20,EZ20&gt;6), "Good employee", "Bad Employee")</f>
        <v>Good employee</v>
      </c>
      <c r="FA29" t="str">
        <f>IF(OR(FA25&gt;20,FA20&gt;6), "Good employee", "Bad Employee")</f>
        <v>Good employee</v>
      </c>
      <c r="FB29" t="str">
        <f>IF(OR(FB25&gt;20,FB20&gt;6), "Good employee", "Bad Employee")</f>
        <v>Good employee</v>
      </c>
      <c r="FC29" t="str">
        <f>IF(OR(FC25&gt;20,FC20&gt;6), "Good employee", "Bad Employee")</f>
        <v>Good employee</v>
      </c>
      <c r="FD29" t="str">
        <f>IF(OR(FD25&gt;20,FD20&gt;6), "Good employee", "Bad Employee")</f>
        <v>Good employee</v>
      </c>
      <c r="FE29" t="str">
        <f>IF(OR(FE25&gt;20,FE20&gt;6), "Good employee", "Bad Employee")</f>
        <v>Good employee</v>
      </c>
      <c r="FF29" t="str">
        <f>IF(OR(FF25&gt;20,FF20&gt;6), "Good employee", "Bad Employee")</f>
        <v>Bad Employee</v>
      </c>
      <c r="FG29" t="str">
        <f>IF(OR(FG25&gt;20,FG20&gt;6), "Good employee", "Bad Employee")</f>
        <v>Good employee</v>
      </c>
      <c r="FH29" t="str">
        <f>IF(OR(FH25&gt;20,FH20&gt;6), "Good employee", "Bad Employee")</f>
        <v>Bad Employee</v>
      </c>
      <c r="FI29" t="str">
        <f>IF(OR(FI25&gt;20,FI20&gt;6), "Good employee", "Bad Employee")</f>
        <v>Bad Employee</v>
      </c>
      <c r="FJ29" t="str">
        <f>IF(OR(FJ25&gt;20,FJ20&gt;6), "Good employee", "Bad Employee")</f>
        <v>Good employee</v>
      </c>
      <c r="FK29" t="str">
        <f>IF(OR(FK25&gt;20,FK20&gt;6), "Good employee", "Bad Employee")</f>
        <v>Good employee</v>
      </c>
      <c r="FL29" t="str">
        <f>IF(OR(FL25&gt;20,FL20&gt;6), "Good employee", "Bad Employee")</f>
        <v>Bad Employee</v>
      </c>
      <c r="FM29" t="str">
        <f>IF(OR(FM25&gt;20,FM20&gt;6), "Good employee", "Bad Employee")</f>
        <v>Bad Employee</v>
      </c>
      <c r="FN29" t="str">
        <f>IF(OR(FN25&gt;20,FN20&gt;6), "Good employee", "Bad Employee")</f>
        <v>Bad Employee</v>
      </c>
      <c r="FO29" t="str">
        <f>IF(OR(FO25&gt;20,FO20&gt;6), "Good employee", "Bad Employee")</f>
        <v>Bad Employee</v>
      </c>
      <c r="FP29" t="str">
        <f>IF(OR(FP25&gt;20,FP20&gt;6), "Good employee", "Bad Employee")</f>
        <v>Bad Employee</v>
      </c>
      <c r="FQ29" t="str">
        <f>IF(OR(FQ25&gt;20,FQ20&gt;6), "Good employee", "Bad Employee")</f>
        <v>Good employee</v>
      </c>
      <c r="FR29" t="str">
        <f>IF(OR(FR25&gt;20,FR20&gt;6), "Good employee", "Bad Employee")</f>
        <v>Bad Employee</v>
      </c>
      <c r="FS29" t="str">
        <f>IF(OR(FS25&gt;20,FS20&gt;6), "Good employee", "Bad Employee")</f>
        <v>Good employee</v>
      </c>
      <c r="FT29" t="str">
        <f>IF(OR(FT25&gt;20,FT20&gt;6), "Good employee", "Bad Employee")</f>
        <v>Good employee</v>
      </c>
      <c r="FU29" t="str">
        <f>IF(OR(FU25&gt;20,FU20&gt;6), "Good employee", "Bad Employee")</f>
        <v>Bad Employee</v>
      </c>
      <c r="FV29" t="str">
        <f>IF(OR(FV25&gt;20,FV20&gt;6), "Good employee", "Bad Employee")</f>
        <v>Bad Employee</v>
      </c>
      <c r="FW29" t="str">
        <f>IF(OR(FW25&gt;20,FW20&gt;6), "Good employee", "Bad Employee")</f>
        <v>Bad Employee</v>
      </c>
      <c r="FX29" t="str">
        <f>IF(OR(FX25&gt;20,FX20&gt;6), "Good employee", "Bad Employee")</f>
        <v>Good employee</v>
      </c>
      <c r="FY29" t="str">
        <f>IF(OR(FY25&gt;20,FY20&gt;6), "Good employee", "Bad Employee")</f>
        <v>Good employee</v>
      </c>
      <c r="FZ29" t="str">
        <f>IF(OR(FZ25&gt;20,FZ20&gt;6), "Good employee", "Bad Employee")</f>
        <v>Good employee</v>
      </c>
      <c r="GA29" t="str">
        <f>IF(OR(GA25&gt;20,GA20&gt;6), "Good employee", "Bad Employee")</f>
        <v>Good employee</v>
      </c>
      <c r="GB29" t="str">
        <f>IF(OR(GB25&gt;20,GB20&gt;6), "Good employee", "Bad Employee")</f>
        <v>Bad Employee</v>
      </c>
      <c r="GC29" t="str">
        <f>IF(OR(GC25&gt;20,GC20&gt;6), "Good employee", "Bad Employee")</f>
        <v>Bad Employee</v>
      </c>
      <c r="GD29" t="str">
        <f>IF(OR(GD25&gt;20,GD20&gt;6), "Good employee", "Bad Employee")</f>
        <v>Good employee</v>
      </c>
      <c r="GE29" t="str">
        <f>IF(OR(GE25&gt;20,GE20&gt;6), "Good employee", "Bad Employee")</f>
        <v>Bad Employee</v>
      </c>
      <c r="GF29" t="str">
        <f>IF(OR(GF25&gt;20,GF20&gt;6), "Good employee", "Bad Employee")</f>
        <v>Good employee</v>
      </c>
      <c r="GG29" t="str">
        <f>IF(OR(GG25&gt;20,GG20&gt;6), "Good employee", "Bad Employee")</f>
        <v>Good employee</v>
      </c>
      <c r="GH29" t="str">
        <f>IF(OR(GH25&gt;20,GH20&gt;6), "Good employee", "Bad Employee")</f>
        <v>Good employee</v>
      </c>
      <c r="GI29" t="str">
        <f>IF(OR(GI25&gt;20,GI20&gt;6), "Good employee", "Bad Employee")</f>
        <v>Good employee</v>
      </c>
      <c r="GJ29" t="str">
        <f>IF(OR(GJ25&gt;20,GJ20&gt;6), "Good employee", "Bad Employee")</f>
        <v>Bad Employee</v>
      </c>
      <c r="GK29" t="str">
        <f>IF(OR(GK25&gt;20,GK20&gt;6), "Good employee", "Bad Employee")</f>
        <v>Good employee</v>
      </c>
      <c r="GL29" t="str">
        <f>IF(OR(GL25&gt;20,GL20&gt;6), "Good employee", "Bad Employee")</f>
        <v>Good employee</v>
      </c>
      <c r="GM29" t="str">
        <f>IF(OR(GM25&gt;20,GM20&gt;6), "Good employee", "Bad Employee")</f>
        <v>Good employee</v>
      </c>
      <c r="GN29" t="str">
        <f>IF(OR(GN25&gt;20,GN20&gt;6), "Good employee", "Bad Employee")</f>
        <v>Good employee</v>
      </c>
      <c r="GO29" t="str">
        <f>IF(OR(GO25&gt;20,GO20&gt;6), "Good employee", "Bad Employee")</f>
        <v>Good employee</v>
      </c>
      <c r="GP29" t="str">
        <f>IF(OR(GP25&gt;20,GP20&gt;6), "Good employee", "Bad Employee")</f>
        <v>Good employee</v>
      </c>
      <c r="GQ29" t="str">
        <f>IF(OR(GQ25&gt;20,GQ20&gt;6), "Good employee", "Bad Employee")</f>
        <v>Bad Employee</v>
      </c>
      <c r="GR29" t="str">
        <f>IF(OR(GR25&gt;20,GR20&gt;6), "Good employee", "Bad Employee")</f>
        <v>Good employee</v>
      </c>
      <c r="GS29" t="str">
        <f>IF(OR(GS25&gt;20,GS20&gt;6), "Good employee", "Bad Employee")</f>
        <v>Good employee</v>
      </c>
      <c r="GT29" t="str">
        <f>IF(OR(GT25&gt;20,GT20&gt;6), "Good employee", "Bad Employee")</f>
        <v>Good employee</v>
      </c>
      <c r="GU29" t="str">
        <f>IF(OR(GU25&gt;20,GU20&gt;6), "Good employee", "Bad Employee")</f>
        <v>Good employee</v>
      </c>
      <c r="GV29" t="str">
        <f>IF(OR(GV25&gt;20,GV20&gt;6), "Good employee", "Bad Employee")</f>
        <v>Good employee</v>
      </c>
      <c r="GW29" t="str">
        <f>IF(OR(GW25&gt;20,GW20&gt;6), "Good employee", "Bad Employee")</f>
        <v>Bad Employee</v>
      </c>
      <c r="GX29" t="str">
        <f>IF(OR(GX25&gt;20,GX20&gt;6), "Good employee", "Bad Employee")</f>
        <v>Good employee</v>
      </c>
      <c r="GY29" t="str">
        <f>IF(OR(GY25&gt;20,GY20&gt;6), "Good employee", "Bad Employee")</f>
        <v>Good employee</v>
      </c>
      <c r="GZ29" t="str">
        <f>IF(OR(GZ25&gt;20,GZ20&gt;6), "Good employee", "Bad Employee")</f>
        <v>Good employee</v>
      </c>
      <c r="HA29" t="str">
        <f>IF(OR(HA25&gt;20,HA20&gt;6), "Good employee", "Bad Employee")</f>
        <v>Good employee</v>
      </c>
      <c r="HB29" t="str">
        <f>IF(OR(HB25&gt;20,HB20&gt;6), "Good employee", "Bad Employee")</f>
        <v>Good employee</v>
      </c>
      <c r="HC29" t="str">
        <f>IF(OR(HC25&gt;20,HC20&gt;6), "Good employee", "Bad Employee")</f>
        <v>Bad Employee</v>
      </c>
      <c r="HD29" t="str">
        <f>IF(OR(HD25&gt;20,HD20&gt;6), "Good employee", "Bad Employee")</f>
        <v>Good employee</v>
      </c>
      <c r="HE29" t="str">
        <f>IF(OR(HE25&gt;20,HE20&gt;6), "Good employee", "Bad Employee")</f>
        <v>Bad Employee</v>
      </c>
      <c r="HF29" t="str">
        <f>IF(OR(HF25&gt;20,HF20&gt;6), "Good employee", "Bad Employee")</f>
        <v>Bad Employee</v>
      </c>
      <c r="HG29" t="str">
        <f>IF(OR(HG25&gt;20,HG20&gt;6), "Good employee", "Bad Employee")</f>
        <v>Good employee</v>
      </c>
      <c r="HH29" t="str">
        <f>IF(OR(HH25&gt;20,HH20&gt;6), "Good employee", "Bad Employee")</f>
        <v>Good employee</v>
      </c>
      <c r="HI29" t="str">
        <f>IF(OR(HI25&gt;20,HI20&gt;6), "Good employee", "Bad Employee")</f>
        <v>Good employee</v>
      </c>
      <c r="HJ29" t="str">
        <f>IF(OR(HJ25&gt;20,HJ20&gt;6), "Good employee", "Bad Employee")</f>
        <v>Good employee</v>
      </c>
      <c r="HK29" t="str">
        <f>IF(OR(HK25&gt;20,HK20&gt;6), "Good employee", "Bad Employee")</f>
        <v>Good employee</v>
      </c>
      <c r="HL29" t="str">
        <f>IF(OR(HL25&gt;20,HL20&gt;6), "Good employee", "Bad Employee")</f>
        <v>Bad Employee</v>
      </c>
      <c r="HM29" t="str">
        <f>IF(OR(HM25&gt;20,HM20&gt;6), "Good employee", "Bad Employee")</f>
        <v>Good employee</v>
      </c>
      <c r="HN29" t="str">
        <f>IF(OR(HN25&gt;20,HN20&gt;6), "Good employee", "Bad Employee")</f>
        <v>Bad Employee</v>
      </c>
      <c r="HO29" t="str">
        <f>IF(OR(HO25&gt;20,HO20&gt;6), "Good employee", "Bad Employee")</f>
        <v>Good employee</v>
      </c>
      <c r="HP29" t="str">
        <f>IF(OR(HP25&gt;20,HP20&gt;6), "Good employee", "Bad Employee")</f>
        <v>Good employee</v>
      </c>
      <c r="HQ29" t="str">
        <f>IF(OR(HQ25&gt;20,HQ20&gt;6), "Good employee", "Bad Employee")</f>
        <v>Bad Employee</v>
      </c>
      <c r="HR29" t="str">
        <f>IF(OR(HR25&gt;20,HR20&gt;6), "Good employee", "Bad Employee")</f>
        <v>Bad Employee</v>
      </c>
      <c r="HS29" t="str">
        <f>IF(OR(HS25&gt;20,HS20&gt;6), "Good employee", "Bad Employee")</f>
        <v>Good employee</v>
      </c>
      <c r="HT29" t="str">
        <f>IF(OR(HT25&gt;20,HT20&gt;6), "Good employee", "Bad Employee")</f>
        <v>Bad Employee</v>
      </c>
      <c r="HU29" t="str">
        <f>IF(OR(HU25&gt;20,HU20&gt;6), "Good employee", "Bad Employee")</f>
        <v>Good employee</v>
      </c>
      <c r="HV29" t="str">
        <f>IF(OR(HV25&gt;20,HV20&gt;6), "Good employee", "Bad Employee")</f>
        <v>Bad Employee</v>
      </c>
      <c r="HW29" t="str">
        <f>IF(OR(HW25&gt;20,HW20&gt;6), "Good employee", "Bad Employee")</f>
        <v>Bad Employee</v>
      </c>
      <c r="HX29" t="str">
        <f>IF(OR(HX25&gt;20,HX20&gt;6), "Good employee", "Bad Employee")</f>
        <v>Good employee</v>
      </c>
      <c r="HY29" t="str">
        <f>IF(OR(HY25&gt;20,HY20&gt;6), "Good employee", "Bad Employee")</f>
        <v>Good employee</v>
      </c>
      <c r="HZ29" t="str">
        <f>IF(OR(HZ25&gt;20,HZ20&gt;6), "Good employee", "Bad Employee")</f>
        <v>Good employee</v>
      </c>
      <c r="IA29" t="str">
        <f>IF(OR(IA25&gt;20,IA20&gt;6), "Good employee", "Bad Employee")</f>
        <v>Bad Employee</v>
      </c>
      <c r="IB29" t="str">
        <f>IF(OR(IB25&gt;20,IB20&gt;6), "Good employee", "Bad Employee")</f>
        <v>Bad Employee</v>
      </c>
      <c r="IC29" t="str">
        <f>IF(OR(IC25&gt;20,IC20&gt;6), "Good employee", "Bad Employee")</f>
        <v>Bad Employee</v>
      </c>
      <c r="ID29" t="str">
        <f>IF(OR(ID25&gt;20,ID20&gt;6), "Good employee", "Bad Employee")</f>
        <v>Good employee</v>
      </c>
      <c r="IE29" t="str">
        <f>IF(OR(IE25&gt;20,IE20&gt;6), "Good employee", "Bad Employee")</f>
        <v>Good employee</v>
      </c>
      <c r="IF29" t="str">
        <f>IF(OR(IF25&gt;20,IF20&gt;6), "Good employee", "Bad Employee")</f>
        <v>Bad Employee</v>
      </c>
      <c r="IG29" t="str">
        <f>IF(OR(IG25&gt;20,IG20&gt;6), "Good employee", "Bad Employee")</f>
        <v>Good employee</v>
      </c>
      <c r="IH29" t="str">
        <f>IF(OR(IH25&gt;20,IH20&gt;6), "Good employee", "Bad Employee")</f>
        <v>Good employee</v>
      </c>
      <c r="II29" t="str">
        <f>IF(OR(II25&gt;20,II20&gt;6), "Good employee", "Bad Employee")</f>
        <v>Bad Employee</v>
      </c>
      <c r="IJ29" t="str">
        <f>IF(OR(IJ25&gt;20,IJ20&gt;6), "Good employee", "Bad Employee")</f>
        <v>Bad Employee</v>
      </c>
      <c r="IK29" t="str">
        <f>IF(OR(IK25&gt;20,IK20&gt;6), "Good employee", "Bad Employee")</f>
        <v>Good employee</v>
      </c>
      <c r="IL29" t="str">
        <f>IF(OR(IL25&gt;20,IL20&gt;6), "Good employee", "Bad Employee")</f>
        <v>Good employee</v>
      </c>
      <c r="IM29" t="str">
        <f>IF(OR(IM25&gt;20,IM20&gt;6), "Good employee", "Bad Employee")</f>
        <v>Good employee</v>
      </c>
      <c r="IN29" t="str">
        <f>IF(OR(IN25&gt;20,IN20&gt;6), "Good employee", "Bad Employee")</f>
        <v>Good employee</v>
      </c>
      <c r="IO29" t="str">
        <f>IF(OR(IO25&gt;20,IO20&gt;6), "Good employee", "Bad Employee")</f>
        <v>Bad Employee</v>
      </c>
      <c r="IP29" t="str">
        <f>IF(OR(IP25&gt;20,IP20&gt;6), "Good employee", "Bad Employee")</f>
        <v>Good employee</v>
      </c>
      <c r="IQ29" t="str">
        <f>IF(OR(IQ25&gt;20,IQ20&gt;6), "Good employee", "Bad Employee")</f>
        <v>Good employee</v>
      </c>
      <c r="IR29" t="str">
        <f>IF(OR(IR25&gt;20,IR20&gt;6), "Good employee", "Bad Employee")</f>
        <v>Good employee</v>
      </c>
      <c r="IS29" t="str">
        <f>IF(OR(IS25&gt;20,IS20&gt;6), "Good employee", "Bad Employee")</f>
        <v>Bad Employee</v>
      </c>
      <c r="IT29" t="str">
        <f>IF(OR(IT25&gt;20,IT20&gt;6), "Good employee", "Bad Employee")</f>
        <v>Good employee</v>
      </c>
      <c r="IU29" t="str">
        <f>IF(OR(IU25&gt;20,IU20&gt;6), "Good employee", "Bad Employee")</f>
        <v>Good employee</v>
      </c>
      <c r="IV29" t="str">
        <f>IF(OR(IV25&gt;20,IV20&gt;6), "Good employee", "Bad Employee")</f>
        <v>Bad Employee</v>
      </c>
      <c r="IW29" t="str">
        <f>IF(OR(IW25&gt;20,IW20&gt;6), "Good employee", "Bad Employee")</f>
        <v>Bad Employee</v>
      </c>
      <c r="IX29" t="str">
        <f>IF(OR(IX25&gt;20,IX20&gt;6), "Good employee", "Bad Employee")</f>
        <v>Good employee</v>
      </c>
      <c r="IY29" t="str">
        <f>IF(OR(IY25&gt;20,IY20&gt;6), "Good employee", "Bad Employee")</f>
        <v>Bad Employee</v>
      </c>
      <c r="IZ29" t="str">
        <f>IF(OR(IZ25&gt;20,IZ20&gt;6), "Good employee", "Bad Employee")</f>
        <v>Bad Employee</v>
      </c>
      <c r="JA29" t="str">
        <f>IF(OR(JA25&gt;20,JA20&gt;6), "Good employee", "Bad Employee")</f>
        <v>Good employee</v>
      </c>
      <c r="JB29" t="str">
        <f>IF(OR(JB25&gt;20,JB20&gt;6), "Good employee", "Bad Employee")</f>
        <v>Good employee</v>
      </c>
      <c r="JC29" t="str">
        <f>IF(OR(JC25&gt;20,JC20&gt;6), "Good employee", "Bad Employee")</f>
        <v>Bad Employee</v>
      </c>
      <c r="JD29" t="str">
        <f>IF(OR(JD25&gt;20,JD20&gt;6), "Good employee", "Bad Employee")</f>
        <v>Good employee</v>
      </c>
      <c r="JE29" t="str">
        <f>IF(OR(JE25&gt;20,JE20&gt;6), "Good employee", "Bad Employee")</f>
        <v>Good employee</v>
      </c>
      <c r="JF29" t="str">
        <f>IF(OR(JF25&gt;20,JF20&gt;6), "Good employee", "Bad Employee")</f>
        <v>Good employee</v>
      </c>
      <c r="JG29" t="str">
        <f>IF(OR(JG25&gt;20,JG20&gt;6), "Good employee", "Bad Employee")</f>
        <v>Good employee</v>
      </c>
      <c r="JH29" t="str">
        <f>IF(OR(JH25&gt;20,JH20&gt;6), "Good employee", "Bad Employee")</f>
        <v>Good employee</v>
      </c>
      <c r="JI29" t="str">
        <f>IF(OR(JI25&gt;20,JI20&gt;6), "Good employee", "Bad Employee")</f>
        <v>Bad Employee</v>
      </c>
      <c r="JJ29" t="str">
        <f>IF(OR(JJ25&gt;20,JJ20&gt;6), "Good employee", "Bad Employee")</f>
        <v>Good employee</v>
      </c>
      <c r="JK29" t="str">
        <f>IF(OR(JK25&gt;20,JK20&gt;6), "Good employee", "Bad Employee")</f>
        <v>Good employee</v>
      </c>
      <c r="JL29" t="str">
        <f>IF(OR(JL25&gt;20,JL20&gt;6), "Good employee", "Bad Employee")</f>
        <v>Bad Employee</v>
      </c>
      <c r="JM29" t="str">
        <f>IF(OR(JM25&gt;20,JM20&gt;6), "Good employee", "Bad Employee")</f>
        <v>Bad Employee</v>
      </c>
      <c r="JN29" t="str">
        <f>IF(OR(JN25&gt;20,JN20&gt;6), "Good employee", "Bad Employee")</f>
        <v>Good employee</v>
      </c>
      <c r="JO29" t="str">
        <f>IF(OR(JO25&gt;20,JO20&gt;6), "Good employee", "Bad Employee")</f>
        <v>Good employee</v>
      </c>
      <c r="JP29" t="str">
        <f>IF(OR(JP25&gt;20,JP20&gt;6), "Good employee", "Bad Employee")</f>
        <v>Good employee</v>
      </c>
      <c r="JQ29" t="str">
        <f>IF(OR(JQ25&gt;20,JQ20&gt;6), "Good employee", "Bad Employee")</f>
        <v>Good employee</v>
      </c>
      <c r="JR29" t="str">
        <f>IF(OR(JR25&gt;20,JR20&gt;6), "Good employee", "Bad Employee")</f>
        <v>Good employee</v>
      </c>
      <c r="JS29" t="str">
        <f>IF(OR(JS25&gt;20,JS20&gt;6), "Good employee", "Bad Employee")</f>
        <v>Good employee</v>
      </c>
      <c r="JT29" t="str">
        <f>IF(OR(JT25&gt;20,JT20&gt;6), "Good employee", "Bad Employee")</f>
        <v>Bad Employee</v>
      </c>
      <c r="JU29" t="str">
        <f>IF(OR(JU25&gt;20,JU20&gt;6), "Good employee", "Bad Employee")</f>
        <v>Good employee</v>
      </c>
      <c r="JV29" t="str">
        <f>IF(OR(JV25&gt;20,JV20&gt;6), "Good employee", "Bad Employee")</f>
        <v>Good employee</v>
      </c>
      <c r="JW29" t="str">
        <f>IF(OR(JW25&gt;20,JW20&gt;6), "Good employee", "Bad Employee")</f>
        <v>Good employee</v>
      </c>
      <c r="JX29" t="str">
        <f>IF(OR(JX25&gt;20,JX20&gt;6), "Good employee", "Bad Employee")</f>
        <v>Good employee</v>
      </c>
      <c r="JY29" t="str">
        <f>IF(OR(JY25&gt;20,JY20&gt;6), "Good employee", "Bad Employee")</f>
        <v>Good employee</v>
      </c>
      <c r="JZ29" t="str">
        <f>IF(OR(JZ25&gt;20,JZ20&gt;6), "Good employee", "Bad Employee")</f>
        <v>Bad Employee</v>
      </c>
      <c r="KA29" t="str">
        <f>IF(OR(KA25&gt;20,KA20&gt;6), "Good employee", "Bad Employee")</f>
        <v>Good employee</v>
      </c>
      <c r="KB29" t="str">
        <f>IF(OR(KB25&gt;20,KB20&gt;6), "Good employee", "Bad Employee")</f>
        <v>Good employee</v>
      </c>
      <c r="KC29" t="str">
        <f>IF(OR(KC25&gt;20,KC20&gt;6), "Good employee", "Bad Employee")</f>
        <v>Bad Employee</v>
      </c>
      <c r="KD29" t="str">
        <f>IF(OR(KD25&gt;20,KD20&gt;6), "Good employee", "Bad Employee")</f>
        <v>Good employee</v>
      </c>
      <c r="KE29" t="str">
        <f>IF(OR(KE25&gt;20,KE20&gt;6), "Good employee", "Bad Employee")</f>
        <v>Good employee</v>
      </c>
      <c r="KF29" t="str">
        <f>IF(OR(KF25&gt;20,KF20&gt;6), "Good employee", "Bad Employee")</f>
        <v>Good employee</v>
      </c>
      <c r="KG29" t="str">
        <f>IF(OR(KG25&gt;20,KG20&gt;6), "Good employee", "Bad Employee")</f>
        <v>Good employee</v>
      </c>
      <c r="KH29" t="str">
        <f>IF(OR(KH25&gt;20,KH20&gt;6), "Good employee", "Bad Employee")</f>
        <v>Bad Employee</v>
      </c>
      <c r="KI29" t="str">
        <f>IF(OR(KI25&gt;20,KI20&gt;6), "Good employee", "Bad Employee")</f>
        <v>Good employee</v>
      </c>
      <c r="KJ29" t="str">
        <f>IF(OR(KJ25&gt;20,KJ20&gt;6), "Good employee", "Bad Employee")</f>
        <v>Good employee</v>
      </c>
      <c r="KK29" t="str">
        <f>IF(OR(KK25&gt;20,KK20&gt;6), "Good employee", "Bad Employee")</f>
        <v>Good employee</v>
      </c>
      <c r="KL29" t="str">
        <f>IF(OR(KL25&gt;20,KL20&gt;6), "Good employee", "Bad Employee")</f>
        <v>Bad Employee</v>
      </c>
      <c r="KM29" t="str">
        <f>IF(OR(KM25&gt;20,KM20&gt;6), "Good employee", "Bad Employee")</f>
        <v>Good employee</v>
      </c>
      <c r="KN29" t="str">
        <f>IF(OR(KN25&gt;20,KN20&gt;6), "Good employee", "Bad Employee")</f>
        <v>Good employee</v>
      </c>
      <c r="KO29" t="str">
        <f>IF(OR(KO25&gt;20,KO20&gt;6), "Good employee", "Bad Employee")</f>
        <v>Good employee</v>
      </c>
      <c r="KP29" t="str">
        <f>IF(OR(KP25&gt;20,KP20&gt;6), "Good employee", "Bad Employee")</f>
        <v>Bad Employee</v>
      </c>
      <c r="KQ29" t="str">
        <f>IF(OR(KQ25&gt;20,KQ20&gt;6), "Good employee", "Bad Employee")</f>
        <v>Bad Employee</v>
      </c>
      <c r="KR29" t="str">
        <f>IF(OR(KR25&gt;20,KR20&gt;6), "Good employee", "Bad Employee")</f>
        <v>Good employee</v>
      </c>
      <c r="KS29" t="str">
        <f>IF(OR(KS25&gt;20,KS20&gt;6), "Good employee", "Bad Employee")</f>
        <v>Good employee</v>
      </c>
      <c r="KT29" t="str">
        <f>IF(OR(KT25&gt;20,KT20&gt;6), "Good employee", "Bad Employee")</f>
        <v>Good employee</v>
      </c>
      <c r="KU29" t="str">
        <f>IF(OR(KU25&gt;20,KU20&gt;6), "Good employee", "Bad Employee")</f>
        <v>Bad Employee</v>
      </c>
      <c r="KV29" t="str">
        <f>IF(OR(KV25&gt;20,KV20&gt;6), "Good employee", "Bad Employee")</f>
        <v>Bad Employee</v>
      </c>
      <c r="KW29" t="str">
        <f>IF(OR(KW25&gt;20,KW20&gt;6), "Good employee", "Bad Employee")</f>
        <v>Good employee</v>
      </c>
      <c r="KX29" t="str">
        <f>IF(OR(KX25&gt;20,KX20&gt;6), "Good employee", "Bad Employee")</f>
        <v>Good employee</v>
      </c>
      <c r="KY29" t="str">
        <f>IF(OR(KY25&gt;20,KY20&gt;6), "Good employee", "Bad Employee")</f>
        <v>Good employee</v>
      </c>
      <c r="KZ29" t="str">
        <f>IF(OR(KZ25&gt;20,KZ20&gt;6), "Good employee", "Bad Employee")</f>
        <v>Good employee</v>
      </c>
      <c r="LA29" t="str">
        <f>IF(OR(LA25&gt;20,LA20&gt;6), "Good employee", "Bad Employee")</f>
        <v>Good employee</v>
      </c>
      <c r="LB29" t="str">
        <f>IF(OR(LB25&gt;20,LB20&gt;6), "Good employee", "Bad Employee")</f>
        <v>Bad Employee</v>
      </c>
      <c r="LC29" t="str">
        <f>IF(OR(LC25&gt;20,LC20&gt;6), "Good employee", "Bad Employee")</f>
        <v>Bad Employee</v>
      </c>
      <c r="LD29" t="str">
        <f>IF(OR(LD25&gt;20,LD20&gt;6), "Good employee", "Bad Employee")</f>
        <v>Bad Employee</v>
      </c>
      <c r="LE29" t="str">
        <f>IF(OR(LE25&gt;20,LE20&gt;6), "Good employee", "Bad Employee")</f>
        <v>Good employee</v>
      </c>
      <c r="LF29" t="str">
        <f>IF(OR(LF25&gt;20,LF20&gt;6), "Good employee", "Bad Employee")</f>
        <v>Good employee</v>
      </c>
      <c r="LG29" t="str">
        <f>IF(OR(LG25&gt;20,LG20&gt;6), "Good employee", "Bad Employee")</f>
        <v>Good employee</v>
      </c>
      <c r="LH29" t="str">
        <f>IF(OR(LH25&gt;20,LH20&gt;6), "Good employee", "Bad Employee")</f>
        <v>Bad Employee</v>
      </c>
      <c r="LI29" t="str">
        <f>IF(OR(LI25&gt;20,LI20&gt;6), "Good employee", "Bad Employee")</f>
        <v>Good employee</v>
      </c>
      <c r="LJ29" t="str">
        <f>IF(OR(LJ25&gt;20,LJ20&gt;6), "Good employee", "Bad Employee")</f>
        <v>Good employee</v>
      </c>
      <c r="LK29" t="str">
        <f>IF(OR(LK25&gt;20,LK20&gt;6), "Good employee", "Bad Employee")</f>
        <v>Bad Employee</v>
      </c>
      <c r="LL29" t="str">
        <f>IF(OR(LL25&gt;20,LL20&gt;6), "Good employee", "Bad Employee")</f>
        <v>Good employee</v>
      </c>
      <c r="LM29" t="str">
        <f>IF(OR(LM25&gt;20,LM20&gt;6), "Good employee", "Bad Employee")</f>
        <v>Good employee</v>
      </c>
      <c r="LN29" t="str">
        <f>IF(OR(LN25&gt;20,LN20&gt;6), "Good employee", "Bad Employee")</f>
        <v>Bad Employee</v>
      </c>
      <c r="LO29" t="str">
        <f>IF(OR(LO25&gt;20,LO20&gt;6), "Good employee", "Bad Employee")</f>
        <v>Good employee</v>
      </c>
      <c r="LP29" t="str">
        <f>IF(OR(LP25&gt;20,LP20&gt;6), "Good employee", "Bad Employee")</f>
        <v>Bad Employee</v>
      </c>
      <c r="LQ29" t="str">
        <f>IF(OR(LQ25&gt;20,LQ20&gt;6), "Good employee", "Bad Employee")</f>
        <v>Good employee</v>
      </c>
      <c r="LR29" t="str">
        <f>IF(OR(LR25&gt;20,LR20&gt;6), "Good employee", "Bad Employee")</f>
        <v>Bad Employee</v>
      </c>
      <c r="LS29" t="str">
        <f>IF(OR(LS25&gt;20,LS20&gt;6), "Good employee", "Bad Employee")</f>
        <v>Good employee</v>
      </c>
      <c r="LT29" t="str">
        <f>IF(OR(LT25&gt;20,LT20&gt;6), "Good employee", "Bad Employee")</f>
        <v>Good employee</v>
      </c>
      <c r="LU29" t="str">
        <f>IF(OR(LU25&gt;20,LU20&gt;6), "Good employee", "Bad Employee")</f>
        <v>Good employee</v>
      </c>
      <c r="LV29" t="str">
        <f>IF(OR(LV25&gt;20,LV20&gt;6), "Good employee", "Bad Employee")</f>
        <v>Bad Employee</v>
      </c>
      <c r="LW29" t="str">
        <f>IF(OR(LW25&gt;20,LW20&gt;6), "Good employee", "Bad Employee")</f>
        <v>Good employee</v>
      </c>
      <c r="LX29" t="str">
        <f>IF(OR(LX25&gt;20,LX20&gt;6), "Good employee", "Bad Employee")</f>
        <v>Good employee</v>
      </c>
      <c r="LY29" t="str">
        <f>IF(OR(LY25&gt;20,LY20&gt;6), "Good employee", "Bad Employee")</f>
        <v>Good employee</v>
      </c>
      <c r="LZ29" t="str">
        <f>IF(OR(LZ25&gt;20,LZ20&gt;6), "Good employee", "Bad Employee")</f>
        <v>Bad Employee</v>
      </c>
      <c r="MA29" t="str">
        <f>IF(OR(MA25&gt;20,MA20&gt;6), "Good employee", "Bad Employee")</f>
        <v>Good employee</v>
      </c>
      <c r="MB29" t="str">
        <f>IF(OR(MB25&gt;20,MB20&gt;6), "Good employee", "Bad Employee")</f>
        <v>Good employee</v>
      </c>
      <c r="MC29" t="str">
        <f>IF(OR(MC25&gt;20,MC20&gt;6), "Good employee", "Bad Employee")</f>
        <v>Good employee</v>
      </c>
      <c r="MD29" t="str">
        <f>IF(OR(MD25&gt;20,MD20&gt;6), "Good employee", "Bad Employee")</f>
        <v>Bad Employee</v>
      </c>
      <c r="ME29" t="str">
        <f>IF(OR(ME25&gt;20,ME20&gt;6), "Good employee", "Bad Employee")</f>
        <v>Good employee</v>
      </c>
      <c r="MF29" t="str">
        <f>IF(OR(MF25&gt;20,MF20&gt;6), "Good employee", "Bad Employee")</f>
        <v>Bad Employee</v>
      </c>
      <c r="MG29" t="str">
        <f>IF(OR(MG25&gt;20,MG20&gt;6), "Good employee", "Bad Employee")</f>
        <v>Bad Employee</v>
      </c>
      <c r="MH29" t="str">
        <f>IF(OR(MH25&gt;20,MH20&gt;6), "Good employee", "Bad Employee")</f>
        <v>Good employee</v>
      </c>
      <c r="MI29" t="str">
        <f>IF(OR(MI25&gt;20,MI20&gt;6), "Good employee", "Bad Employee")</f>
        <v>Good employee</v>
      </c>
      <c r="MJ29" t="str">
        <f>IF(OR(MJ25&gt;20,MJ20&gt;6), "Good employee", "Bad Employee")</f>
        <v>Good employee</v>
      </c>
      <c r="MK29" t="str">
        <f>IF(OR(MK25&gt;20,MK20&gt;6), "Good employee", "Bad Employee")</f>
        <v>Bad Employee</v>
      </c>
      <c r="ML29" t="str">
        <f>IF(OR(ML25&gt;20,ML20&gt;6), "Good employee", "Bad Employee")</f>
        <v>Good employee</v>
      </c>
      <c r="MM29" t="str">
        <f>IF(OR(MM25&gt;20,MM20&gt;6), "Good employee", "Bad Employee")</f>
        <v>Good employee</v>
      </c>
      <c r="MN29" t="str">
        <f>IF(OR(MN25&gt;20,MN20&gt;6), "Good employee", "Bad Employee")</f>
        <v>Good employee</v>
      </c>
      <c r="MO29" t="str">
        <f>IF(OR(MO25&gt;20,MO20&gt;6), "Good employee", "Bad Employee")</f>
        <v>Bad Employee</v>
      </c>
      <c r="MP29" t="str">
        <f>IF(OR(MP25&gt;20,MP20&gt;6), "Good employee", "Bad Employee")</f>
        <v>Good employee</v>
      </c>
      <c r="MQ29" t="str">
        <f>IF(OR(MQ25&gt;20,MQ20&gt;6), "Good employee", "Bad Employee")</f>
        <v>Good employee</v>
      </c>
      <c r="MR29" t="str">
        <f>IF(OR(MR25&gt;20,MR20&gt;6), "Good employee", "Bad Employee")</f>
        <v>Good employee</v>
      </c>
      <c r="MS29" t="str">
        <f>IF(OR(MS25&gt;20,MS20&gt;6), "Good employee", "Bad Employee")</f>
        <v>Bad Employee</v>
      </c>
      <c r="MT29" t="str">
        <f>IF(OR(MT25&gt;20,MT20&gt;6), "Good employee", "Bad Employee")</f>
        <v>Good employee</v>
      </c>
      <c r="MU29" t="str">
        <f>IF(OR(MU25&gt;20,MU20&gt;6), "Good employee", "Bad Employee")</f>
        <v>Good employee</v>
      </c>
      <c r="MV29" t="str">
        <f>IF(OR(MV25&gt;20,MV20&gt;6), "Good employee", "Bad Employee")</f>
        <v>Good employee</v>
      </c>
      <c r="MW29" t="str">
        <f>IF(OR(MW25&gt;20,MW20&gt;6), "Good employee", "Bad Employee")</f>
        <v>Bad Employee</v>
      </c>
      <c r="MX29" t="str">
        <f>IF(OR(MX25&gt;20,MX20&gt;6), "Good employee", "Bad Employee")</f>
        <v>Good employee</v>
      </c>
      <c r="MY29" t="str">
        <f>IF(OR(MY25&gt;20,MY20&gt;6), "Good employee", "Bad Employee")</f>
        <v>Bad Employee</v>
      </c>
      <c r="MZ29" t="str">
        <f>IF(OR(MZ25&gt;20,MZ20&gt;6), "Good employee", "Bad Employee")</f>
        <v>Good employee</v>
      </c>
      <c r="NA29" t="str">
        <f>IF(OR(NA25&gt;20,NA20&gt;6), "Good employee", "Bad Employee")</f>
        <v>Good employee</v>
      </c>
      <c r="NB29" t="str">
        <f>IF(OR(NB25&gt;20,NB20&gt;6), "Good employee", "Bad Employee")</f>
        <v>Good employee</v>
      </c>
      <c r="NC29" t="str">
        <f>IF(OR(NC25&gt;20,NC20&gt;6), "Good employee", "Bad Employee")</f>
        <v>Good employee</v>
      </c>
      <c r="ND29" t="str">
        <f>IF(OR(ND25&gt;20,ND20&gt;6), "Good employee", "Bad Employee")</f>
        <v>Bad Employee</v>
      </c>
      <c r="NE29" t="str">
        <f>IF(OR(NE25&gt;20,NE20&gt;6), "Good employee", "Bad Employee")</f>
        <v>Good employee</v>
      </c>
      <c r="NF29" t="str">
        <f>IF(OR(NF25&gt;20,NF20&gt;6), "Good employee", "Bad Employee")</f>
        <v>Good employee</v>
      </c>
      <c r="NG29" t="str">
        <f>IF(OR(NG25&gt;20,NG20&gt;6), "Good employee", "Bad Employee")</f>
        <v>Good employee</v>
      </c>
      <c r="NH29" t="str">
        <f>IF(OR(NH25&gt;20,NH20&gt;6), "Good employee", "Bad Employee")</f>
        <v>Good employee</v>
      </c>
      <c r="NI29" t="str">
        <f>IF(OR(NI25&gt;20,NI20&gt;6), "Good employee", "Bad Employee")</f>
        <v>Good employee</v>
      </c>
      <c r="NJ29" t="str">
        <f>IF(OR(NJ25&gt;20,NJ20&gt;6), "Good employee", "Bad Employee")</f>
        <v>Bad Employee</v>
      </c>
      <c r="NK29" t="str">
        <f>IF(OR(NK25&gt;20,NK20&gt;6), "Good employee", "Bad Employee")</f>
        <v>Bad Employee</v>
      </c>
      <c r="NL29" t="str">
        <f>IF(OR(NL25&gt;20,NL20&gt;6), "Good employee", "Bad Employee")</f>
        <v>Bad Employee</v>
      </c>
      <c r="NM29" t="str">
        <f>IF(OR(NM25&gt;20,NM20&gt;6), "Good employee", "Bad Employee")</f>
        <v>Good employee</v>
      </c>
      <c r="NN29" t="str">
        <f>IF(OR(NN25&gt;20,NN20&gt;6), "Good employee", "Bad Employee")</f>
        <v>Good employee</v>
      </c>
      <c r="NO29" t="str">
        <f>IF(OR(NO25&gt;20,NO20&gt;6), "Good employee", "Bad Employee")</f>
        <v>Good employee</v>
      </c>
      <c r="NP29" t="str">
        <f>IF(OR(NP25&gt;20,NP20&gt;6), "Good employee", "Bad Employee")</f>
        <v>Good employee</v>
      </c>
      <c r="NQ29" t="str">
        <f>IF(OR(NQ25&gt;20,NQ20&gt;6), "Good employee", "Bad Employee")</f>
        <v>Good employee</v>
      </c>
      <c r="NR29" t="str">
        <f>IF(OR(NR25&gt;20,NR20&gt;6), "Good employee", "Bad Employee")</f>
        <v>Bad Employee</v>
      </c>
      <c r="NS29" t="str">
        <f>IF(OR(NS25&gt;20,NS20&gt;6), "Good employee", "Bad Employee")</f>
        <v>Good employee</v>
      </c>
      <c r="NT29" t="str">
        <f>IF(OR(NT25&gt;20,NT20&gt;6), "Good employee", "Bad Employee")</f>
        <v>Bad Employee</v>
      </c>
      <c r="NU29" t="str">
        <f>IF(OR(NU25&gt;20,NU20&gt;6), "Good employee", "Bad Employee")</f>
        <v>Good employee</v>
      </c>
      <c r="NV29" t="str">
        <f>IF(OR(NV25&gt;20,NV20&gt;6), "Good employee", "Bad Employee")</f>
        <v>Good employee</v>
      </c>
      <c r="NW29" t="str">
        <f>IF(OR(NW25&gt;20,NW20&gt;6), "Good employee", "Bad Employee")</f>
        <v>Good employee</v>
      </c>
      <c r="NX29" t="str">
        <f>IF(OR(NX25&gt;20,NX20&gt;6), "Good employee", "Bad Employee")</f>
        <v>Good employee</v>
      </c>
      <c r="NY29" t="str">
        <f>IF(OR(NY25&gt;20,NY20&gt;6), "Good employee", "Bad Employee")</f>
        <v>Bad Employee</v>
      </c>
      <c r="NZ29" t="str">
        <f>IF(OR(NZ25&gt;20,NZ20&gt;6), "Good employee", "Bad Employee")</f>
        <v>Bad Employee</v>
      </c>
      <c r="OA29" t="str">
        <f>IF(OR(OA25&gt;20,OA20&gt;6), "Good employee", "Bad Employee")</f>
        <v>Bad Employee</v>
      </c>
      <c r="OB29" t="str">
        <f>IF(OR(OB25&gt;20,OB20&gt;6), "Good employee", "Bad Employee")</f>
        <v>Bad Employee</v>
      </c>
      <c r="OC29" t="str">
        <f>IF(OR(OC25&gt;20,OC20&gt;6), "Good employee", "Bad Employee")</f>
        <v>Bad Employee</v>
      </c>
      <c r="OD29" t="str">
        <f>IF(OR(OD25&gt;20,OD20&gt;6), "Good employee", "Bad Employee")</f>
        <v>Good employee</v>
      </c>
      <c r="OE29" t="str">
        <f>IF(OR(OE25&gt;20,OE20&gt;6), "Good employee", "Bad Employee")</f>
        <v>Good employee</v>
      </c>
      <c r="OF29" t="str">
        <f>IF(OR(OF25&gt;20,OF20&gt;6), "Good employee", "Bad Employee")</f>
        <v>Good employee</v>
      </c>
      <c r="OG29" t="str">
        <f>IF(OR(OG25&gt;20,OG20&gt;6), "Good employee", "Bad Employee")</f>
        <v>Good employee</v>
      </c>
      <c r="OH29" t="str">
        <f>IF(OR(OH25&gt;20,OH20&gt;6), "Good employee", "Bad Employee")</f>
        <v>Good employee</v>
      </c>
      <c r="OI29" t="str">
        <f>IF(OR(OI25&gt;20,OI20&gt;6), "Good employee", "Bad Employee")</f>
        <v>Good employee</v>
      </c>
      <c r="OJ29" t="str">
        <f>IF(OR(OJ25&gt;20,OJ20&gt;6), "Good employee", "Bad Employee")</f>
        <v>Bad Employee</v>
      </c>
      <c r="OK29" t="str">
        <f>IF(OR(OK25&gt;20,OK20&gt;6), "Good employee", "Bad Employee")</f>
        <v>Good employee</v>
      </c>
      <c r="OL29" t="str">
        <f>IF(OR(OL25&gt;20,OL20&gt;6), "Good employee", "Bad Employee")</f>
        <v>Good employee</v>
      </c>
      <c r="OM29" t="str">
        <f>IF(OR(OM25&gt;20,OM20&gt;6), "Good employee", "Bad Employee")</f>
        <v>Bad Employee</v>
      </c>
      <c r="ON29" t="str">
        <f>IF(OR(ON25&gt;20,ON20&gt;6), "Good employee", "Bad Employee")</f>
        <v>Good employee</v>
      </c>
      <c r="OO29" t="str">
        <f>IF(OR(OO25&gt;20,OO20&gt;6), "Good employee", "Bad Employee")</f>
        <v>Good employee</v>
      </c>
      <c r="OP29" t="str">
        <f>IF(OR(OP25&gt;20,OP20&gt;6), "Good employee", "Bad Employee")</f>
        <v>Good employee</v>
      </c>
      <c r="OQ29" t="str">
        <f>IF(OR(OQ25&gt;20,OQ20&gt;6), "Good employee", "Bad Employee")</f>
        <v>Good employee</v>
      </c>
      <c r="OR29" t="str">
        <f>IF(OR(OR25&gt;20,OR20&gt;6), "Good employee", "Bad Employee")</f>
        <v>Bad Employee</v>
      </c>
      <c r="OS29" t="str">
        <f>IF(OR(OS25&gt;20,OS20&gt;6), "Good employee", "Bad Employee")</f>
        <v>Good employee</v>
      </c>
      <c r="OT29" t="str">
        <f>IF(OR(OT25&gt;20,OT20&gt;6), "Good employee", "Bad Employee")</f>
        <v>Bad Employee</v>
      </c>
      <c r="OU29" t="str">
        <f>IF(OR(OU25&gt;20,OU20&gt;6), "Good employee", "Bad Employee")</f>
        <v>Good employee</v>
      </c>
      <c r="OV29" t="str">
        <f>IF(OR(OV25&gt;20,OV20&gt;6), "Good employee", "Bad Employee")</f>
        <v>Bad Employee</v>
      </c>
      <c r="OW29" t="str">
        <f>IF(OR(OW25&gt;20,OW20&gt;6), "Good employee", "Bad Employee")</f>
        <v>Good employee</v>
      </c>
      <c r="OX29" t="str">
        <f>IF(OR(OX25&gt;20,OX20&gt;6), "Good employee", "Bad Employee")</f>
        <v>Good employee</v>
      </c>
      <c r="OY29" t="str">
        <f>IF(OR(OY25&gt;20,OY20&gt;6), "Good employee", "Bad Employee")</f>
        <v>Good employee</v>
      </c>
      <c r="OZ29" t="str">
        <f>IF(OR(OZ25&gt;20,OZ20&gt;6), "Good employee", "Bad Employee")</f>
        <v>Bad Employee</v>
      </c>
      <c r="PA29" t="str">
        <f>IF(OR(PA25&gt;20,PA20&gt;6), "Good employee", "Bad Employee")</f>
        <v>Bad Employee</v>
      </c>
      <c r="PB29" t="str">
        <f>IF(OR(PB25&gt;20,PB20&gt;6), "Good employee", "Bad Employee")</f>
        <v>Good employee</v>
      </c>
      <c r="PC29" t="str">
        <f>IF(OR(PC25&gt;20,PC20&gt;6), "Good employee", "Bad Employee")</f>
        <v>Bad Employee</v>
      </c>
      <c r="PD29" t="str">
        <f>IF(OR(PD25&gt;20,PD20&gt;6), "Good employee", "Bad Employee")</f>
        <v>Good employee</v>
      </c>
      <c r="PE29" t="str">
        <f>IF(OR(PE25&gt;20,PE20&gt;6), "Good employee", "Bad Employee")</f>
        <v>Good employee</v>
      </c>
      <c r="PF29" t="str">
        <f>IF(OR(PF25&gt;20,PF20&gt;6), "Good employee", "Bad Employee")</f>
        <v>Bad Employee</v>
      </c>
      <c r="PG29" t="str">
        <f>IF(OR(PG25&gt;20,PG20&gt;6), "Good employee", "Bad Employee")</f>
        <v>Good employee</v>
      </c>
      <c r="PH29" t="str">
        <f>IF(OR(PH25&gt;20,PH20&gt;6), "Good employee", "Bad Employee")</f>
        <v>Bad Employee</v>
      </c>
      <c r="PI29" t="str">
        <f>IF(OR(PI25&gt;20,PI20&gt;6), "Good employee", "Bad Employee")</f>
        <v>Good employee</v>
      </c>
      <c r="PJ29" t="str">
        <f>IF(OR(PJ25&gt;20,PJ20&gt;6), "Good employee", "Bad Employee")</f>
        <v>Good employee</v>
      </c>
      <c r="PK29" t="str">
        <f>IF(OR(PK25&gt;20,PK20&gt;6), "Good employee", "Bad Employee")</f>
        <v>Good employee</v>
      </c>
      <c r="PL29" t="str">
        <f>IF(OR(PL25&gt;20,PL20&gt;6), "Good employee", "Bad Employee")</f>
        <v>Bad Employee</v>
      </c>
      <c r="PM29" t="str">
        <f>IF(OR(PM25&gt;20,PM20&gt;6), "Good employee", "Bad Employee")</f>
        <v>Bad Employee</v>
      </c>
      <c r="PN29" t="str">
        <f>IF(OR(PN25&gt;20,PN20&gt;6), "Good employee", "Bad Employee")</f>
        <v>Bad Employee</v>
      </c>
      <c r="PO29" t="str">
        <f>IF(OR(PO25&gt;20,PO20&gt;6), "Good employee", "Bad Employee")</f>
        <v>Good employee</v>
      </c>
      <c r="PP29" t="str">
        <f>IF(OR(PP25&gt;20,PP20&gt;6), "Good employee", "Bad Employee")</f>
        <v>Good employee</v>
      </c>
      <c r="PQ29" t="str">
        <f>IF(OR(PQ25&gt;20,PQ20&gt;6), "Good employee", "Bad Employee")</f>
        <v>Good employee</v>
      </c>
      <c r="PR29" t="str">
        <f>IF(OR(PR25&gt;20,PR20&gt;6), "Good employee", "Bad Employee")</f>
        <v>Good employee</v>
      </c>
      <c r="PS29" t="str">
        <f>IF(OR(PS25&gt;20,PS20&gt;6), "Good employee", "Bad Employee")</f>
        <v>Good employee</v>
      </c>
      <c r="PT29" t="str">
        <f>IF(OR(PT25&gt;20,PT20&gt;6), "Good employee", "Bad Employee")</f>
        <v>Good employee</v>
      </c>
      <c r="PU29" t="str">
        <f>IF(OR(PU25&gt;20,PU20&gt;6), "Good employee", "Bad Employee")</f>
        <v>Good employee</v>
      </c>
      <c r="PV29" t="str">
        <f>IF(OR(PV25&gt;20,PV20&gt;6), "Good employee", "Bad Employee")</f>
        <v>Good employee</v>
      </c>
      <c r="PW29" t="str">
        <f>IF(OR(PW25&gt;20,PW20&gt;6), "Good employee", "Bad Employee")</f>
        <v>Bad Employee</v>
      </c>
      <c r="PX29" t="str">
        <f>IF(OR(PX25&gt;20,PX20&gt;6), "Good employee", "Bad Employee")</f>
        <v>Bad Employee</v>
      </c>
      <c r="PY29" t="str">
        <f>IF(OR(PY25&gt;20,PY20&gt;6), "Good employee", "Bad Employee")</f>
        <v>Good employee</v>
      </c>
      <c r="PZ29" t="str">
        <f>IF(OR(PZ25&gt;20,PZ20&gt;6), "Good employee", "Bad Employee")</f>
        <v>Good employee</v>
      </c>
      <c r="QA29" t="str">
        <f>IF(OR(QA25&gt;20,QA20&gt;6), "Good employee", "Bad Employee")</f>
        <v>Bad Employee</v>
      </c>
      <c r="QB29" t="str">
        <f>IF(OR(QB25&gt;20,QB20&gt;6), "Good employee", "Bad Employee")</f>
        <v>Good employee</v>
      </c>
      <c r="QC29" t="str">
        <f>IF(OR(QC25&gt;20,QC20&gt;6), "Good employee", "Bad Employee")</f>
        <v>Bad Employee</v>
      </c>
      <c r="QD29" t="str">
        <f>IF(OR(QD25&gt;20,QD20&gt;6), "Good employee", "Bad Employee")</f>
        <v>Good employee</v>
      </c>
      <c r="QE29" t="str">
        <f>IF(OR(QE25&gt;20,QE20&gt;6), "Good employee", "Bad Employee")</f>
        <v>Good employee</v>
      </c>
      <c r="QF29" t="str">
        <f>IF(OR(QF25&gt;20,QF20&gt;6), "Good employee", "Bad Employee")</f>
        <v>Good employee</v>
      </c>
      <c r="QG29" t="str">
        <f>IF(OR(QG25&gt;20,QG20&gt;6), "Good employee", "Bad Employee")</f>
        <v>Good employee</v>
      </c>
      <c r="QH29" t="str">
        <f>IF(OR(QH25&gt;20,QH20&gt;6), "Good employee", "Bad Employee")</f>
        <v>Bad Employee</v>
      </c>
      <c r="QI29" t="str">
        <f>IF(OR(QI25&gt;20,QI20&gt;6), "Good employee", "Bad Employee")</f>
        <v>Good employee</v>
      </c>
      <c r="QJ29" t="str">
        <f>IF(OR(QJ25&gt;20,QJ20&gt;6), "Good employee", "Bad Employee")</f>
        <v>Bad Employee</v>
      </c>
      <c r="QK29" t="str">
        <f>IF(OR(QK25&gt;20,QK20&gt;6), "Good employee", "Bad Employee")</f>
        <v>Good employee</v>
      </c>
      <c r="QL29" t="str">
        <f>IF(OR(QL25&gt;20,QL20&gt;6), "Good employee", "Bad Employee")</f>
        <v>Bad Employee</v>
      </c>
      <c r="QM29" t="str">
        <f>IF(OR(QM25&gt;20,QM20&gt;6), "Good employee", "Bad Employee")</f>
        <v>Good employee</v>
      </c>
      <c r="QN29" t="str">
        <f>IF(OR(QN25&gt;20,QN20&gt;6), "Good employee", "Bad Employee")</f>
        <v>Bad Employee</v>
      </c>
      <c r="QO29" t="str">
        <f>IF(OR(QO25&gt;20,QO20&gt;6), "Good employee", "Bad Employee")</f>
        <v>Bad Employee</v>
      </c>
      <c r="QP29" t="str">
        <f>IF(OR(QP25&gt;20,QP20&gt;6), "Good employee", "Bad Employee")</f>
        <v>Bad Employee</v>
      </c>
      <c r="QQ29" t="str">
        <f>IF(OR(QQ25&gt;20,QQ20&gt;6), "Good employee", "Bad Employee")</f>
        <v>Bad Employee</v>
      </c>
      <c r="QR29" t="str">
        <f>IF(OR(QR25&gt;20,QR20&gt;6), "Good employee", "Bad Employee")</f>
        <v>Good employee</v>
      </c>
      <c r="QS29" t="str">
        <f>IF(OR(QS25&gt;20,QS20&gt;6), "Good employee", "Bad Employee")</f>
        <v>Good employee</v>
      </c>
      <c r="QT29" t="str">
        <f>IF(OR(QT25&gt;20,QT20&gt;6), "Good employee", "Bad Employee")</f>
        <v>Good employee</v>
      </c>
      <c r="QU29" t="str">
        <f>IF(OR(QU25&gt;20,QU20&gt;6), "Good employee", "Bad Employee")</f>
        <v>Good employee</v>
      </c>
      <c r="QV29" t="str">
        <f>IF(OR(QV25&gt;20,QV20&gt;6), "Good employee", "Bad Employee")</f>
        <v>Bad Employee</v>
      </c>
      <c r="QW29" t="str">
        <f>IF(OR(QW25&gt;20,QW20&gt;6), "Good employee", "Bad Employee")</f>
        <v>Good employee</v>
      </c>
      <c r="QX29" t="str">
        <f>IF(OR(QX25&gt;20,QX20&gt;6), "Good employee", "Bad Employee")</f>
        <v>Bad Employee</v>
      </c>
      <c r="QY29" t="str">
        <f>IF(OR(QY25&gt;20,QY20&gt;6), "Good employee", "Bad Employee")</f>
        <v>Good employee</v>
      </c>
      <c r="QZ29" t="str">
        <f>IF(OR(QZ25&gt;20,QZ20&gt;6), "Good employee", "Bad Employee")</f>
        <v>Good employee</v>
      </c>
      <c r="RA29" t="str">
        <f>IF(OR(RA25&gt;20,RA20&gt;6), "Good employee", "Bad Employee")</f>
        <v>Good employee</v>
      </c>
      <c r="RB29" t="str">
        <f>IF(OR(RB25&gt;20,RB20&gt;6), "Good employee", "Bad Employee")</f>
        <v>Bad Employee</v>
      </c>
      <c r="RC29" t="str">
        <f>IF(OR(RC25&gt;20,RC20&gt;6), "Good employee", "Bad Employee")</f>
        <v>Good employee</v>
      </c>
      <c r="RD29" t="str">
        <f>IF(OR(RD25&gt;20,RD20&gt;6), "Good employee", "Bad Employee")</f>
        <v>Good employee</v>
      </c>
      <c r="RE29" t="str">
        <f>IF(OR(RE25&gt;20,RE20&gt;6), "Good employee", "Bad Employee")</f>
        <v>Good employee</v>
      </c>
      <c r="RF29" t="str">
        <f>IF(OR(RF25&gt;20,RF20&gt;6), "Good employee", "Bad Employee")</f>
        <v>Bad Employee</v>
      </c>
      <c r="RG29" t="str">
        <f>IF(OR(RG25&gt;20,RG20&gt;6), "Good employee", "Bad Employee")</f>
        <v>Good employee</v>
      </c>
      <c r="RH29" t="str">
        <f>IF(OR(RH25&gt;20,RH20&gt;6), "Good employee", "Bad Employee")</f>
        <v>Good employee</v>
      </c>
      <c r="RI29" t="str">
        <f>IF(OR(RI25&gt;20,RI20&gt;6), "Good employee", "Bad Employee")</f>
        <v>Good employee</v>
      </c>
      <c r="RJ29" t="str">
        <f>IF(OR(RJ25&gt;20,RJ20&gt;6), "Good employee", "Bad Employee")</f>
        <v>Bad Employee</v>
      </c>
      <c r="RK29" t="str">
        <f>IF(OR(RK25&gt;20,RK20&gt;6), "Good employee", "Bad Employee")</f>
        <v>Bad Employee</v>
      </c>
      <c r="RL29" t="str">
        <f>IF(OR(RL25&gt;20,RL20&gt;6), "Good employee", "Bad Employee")</f>
        <v>Good employee</v>
      </c>
      <c r="RM29" t="str">
        <f>IF(OR(RM25&gt;20,RM20&gt;6), "Good employee", "Bad Employee")</f>
        <v>Good employee</v>
      </c>
      <c r="RN29" t="str">
        <f>IF(OR(RN25&gt;20,RN20&gt;6), "Good employee", "Bad Employee")</f>
        <v>Bad Employee</v>
      </c>
      <c r="RO29" t="str">
        <f>IF(OR(RO25&gt;20,RO20&gt;6), "Good employee", "Bad Employee")</f>
        <v>Bad Employee</v>
      </c>
      <c r="RP29" t="str">
        <f>IF(OR(RP25&gt;20,RP20&gt;6), "Good employee", "Bad Employee")</f>
        <v>Good employee</v>
      </c>
      <c r="RQ29" t="str">
        <f>IF(OR(RQ25&gt;20,RQ20&gt;6), "Good employee", "Bad Employee")</f>
        <v>Bad Employee</v>
      </c>
      <c r="RR29" t="str">
        <f>IF(OR(RR25&gt;20,RR20&gt;6), "Good employee", "Bad Employee")</f>
        <v>Good employee</v>
      </c>
      <c r="RS29" t="str">
        <f>IF(OR(RS25&gt;20,RS20&gt;6), "Good employee", "Bad Employee")</f>
        <v>Bad Employee</v>
      </c>
      <c r="RT29" t="str">
        <f>IF(OR(RT25&gt;20,RT20&gt;6), "Good employee", "Bad Employee")</f>
        <v>Good employee</v>
      </c>
      <c r="RU29" t="str">
        <f>IF(OR(RU25&gt;20,RU20&gt;6), "Good employee", "Bad Employee")</f>
        <v>Good employee</v>
      </c>
      <c r="RV29" t="str">
        <f>IF(OR(RV25&gt;20,RV20&gt;6), "Good employee", "Bad Employee")</f>
        <v>Good employee</v>
      </c>
      <c r="RW29" t="str">
        <f>IF(OR(RW25&gt;20,RW20&gt;6), "Good employee", "Bad Employee")</f>
        <v>Good employee</v>
      </c>
      <c r="RX29" t="str">
        <f>IF(OR(RX25&gt;20,RX20&gt;6), "Good employee", "Bad Employee")</f>
        <v>Good employee</v>
      </c>
      <c r="RY29" t="str">
        <f>IF(OR(RY25&gt;20,RY20&gt;6), "Good employee", "Bad Employee")</f>
        <v>Good employee</v>
      </c>
      <c r="RZ29" t="str">
        <f>IF(OR(RZ25&gt;20,RZ20&gt;6), "Good employee", "Bad Employee")</f>
        <v>Good employee</v>
      </c>
      <c r="SA29" t="str">
        <f>IF(OR(SA25&gt;20,SA20&gt;6), "Good employee", "Bad Employee")</f>
        <v>Good employee</v>
      </c>
      <c r="SB29" t="str">
        <f>IF(OR(SB25&gt;20,SB20&gt;6), "Good employee", "Bad Employee")</f>
        <v>Bad Employee</v>
      </c>
      <c r="SC29" t="str">
        <f>IF(OR(SC25&gt;20,SC20&gt;6), "Good employee", "Bad Employee")</f>
        <v>Good employee</v>
      </c>
      <c r="SD29" t="str">
        <f>IF(OR(SD25&gt;20,SD20&gt;6), "Good employee", "Bad Employee")</f>
        <v>Bad Employee</v>
      </c>
      <c r="SE29" t="str">
        <f>IF(OR(SE25&gt;20,SE20&gt;6), "Good employee", "Bad Employee")</f>
        <v>Good employee</v>
      </c>
      <c r="SF29" t="str">
        <f>IF(OR(SF25&gt;20,SF20&gt;6), "Good employee", "Bad Employee")</f>
        <v>Good employee</v>
      </c>
      <c r="SG29" t="str">
        <f>IF(OR(SG25&gt;20,SG20&gt;6), "Good employee", "Bad Employee")</f>
        <v>Bad Employee</v>
      </c>
      <c r="SH29" t="str">
        <f>IF(OR(SH25&gt;20,SH20&gt;6), "Good employee", "Bad Employee")</f>
        <v>Good employee</v>
      </c>
      <c r="SI29" t="str">
        <f>IF(OR(SI25&gt;20,SI20&gt;6), "Good employee", "Bad Employee")</f>
        <v>Good employee</v>
      </c>
      <c r="SJ29" t="str">
        <f>IF(OR(SJ25&gt;20,SJ20&gt;6), "Good employee", "Bad Employee")</f>
        <v>Good employee</v>
      </c>
      <c r="SK29" t="str">
        <f>IF(OR(SK25&gt;20,SK20&gt;6), "Good employee", "Bad Employee")</f>
        <v>Good employee</v>
      </c>
      <c r="SL29" t="str">
        <f>IF(OR(SL25&gt;20,SL20&gt;6), "Good employee", "Bad Employee")</f>
        <v>Good employee</v>
      </c>
      <c r="SM29" t="str">
        <f>IF(OR(SM25&gt;20,SM20&gt;6), "Good employee", "Bad Employee")</f>
        <v>Bad Employee</v>
      </c>
      <c r="SN29" t="str">
        <f>IF(OR(SN25&gt;20,SN20&gt;6), "Good employee", "Bad Employee")</f>
        <v>Bad Employee</v>
      </c>
      <c r="SO29" t="str">
        <f>IF(OR(SO25&gt;20,SO20&gt;6), "Good employee", "Bad Employee")</f>
        <v>Bad Employee</v>
      </c>
      <c r="SP29" t="str">
        <f>IF(OR(SP25&gt;20,SP20&gt;6), "Good employee", "Bad Employee")</f>
        <v>Bad Employee</v>
      </c>
      <c r="SQ29" t="str">
        <f>IF(OR(SQ25&gt;20,SQ20&gt;6), "Good employee", "Bad Employee")</f>
        <v>Good employee</v>
      </c>
      <c r="SR29" t="str">
        <f>IF(OR(SR25&gt;20,SR20&gt;6), "Good employee", "Bad Employee")</f>
        <v>Good employee</v>
      </c>
      <c r="SS29" t="str">
        <f>IF(OR(SS25&gt;20,SS20&gt;6), "Good employee", "Bad Employee")</f>
        <v>Good employee</v>
      </c>
      <c r="ST29" t="str">
        <f>IF(OR(ST25&gt;20,ST20&gt;6), "Good employee", "Bad Employee")</f>
        <v>Good employee</v>
      </c>
      <c r="SU29" t="str">
        <f>IF(OR(SU25&gt;20,SU20&gt;6), "Good employee", "Bad Employee")</f>
        <v>Bad Employee</v>
      </c>
      <c r="SV29" t="str">
        <f>IF(OR(SV25&gt;20,SV20&gt;6), "Good employee", "Bad Employee")</f>
        <v>Good employee</v>
      </c>
      <c r="SW29" t="str">
        <f>IF(OR(SW25&gt;20,SW20&gt;6), "Good employee", "Bad Employee")</f>
        <v>Bad Employee</v>
      </c>
      <c r="SX29" t="str">
        <f>IF(OR(SX25&gt;20,SX20&gt;6), "Good employee", "Bad Employee")</f>
        <v>Bad Employee</v>
      </c>
      <c r="SY29" t="str">
        <f>IF(OR(SY25&gt;20,SY20&gt;6), "Good employee", "Bad Employee")</f>
        <v>Good employee</v>
      </c>
      <c r="SZ29" t="str">
        <f>IF(OR(SZ25&gt;20,SZ20&gt;6), "Good employee", "Bad Employee")</f>
        <v>Good employee</v>
      </c>
      <c r="TA29" t="str">
        <f>IF(OR(TA25&gt;20,TA20&gt;6), "Good employee", "Bad Employee")</f>
        <v>Good employee</v>
      </c>
      <c r="TB29" t="str">
        <f>IF(OR(TB25&gt;20,TB20&gt;6), "Good employee", "Bad Employee")</f>
        <v>Good employee</v>
      </c>
      <c r="TC29" t="str">
        <f>IF(OR(TC25&gt;20,TC20&gt;6), "Good employee", "Bad Employee")</f>
        <v>Good employee</v>
      </c>
      <c r="TD29" t="str">
        <f>IF(OR(TD25&gt;20,TD20&gt;6), "Good employee", "Bad Employee")</f>
        <v>Good employee</v>
      </c>
      <c r="TE29" t="str">
        <f>IF(OR(TE25&gt;20,TE20&gt;6), "Good employee", "Bad Employee")</f>
        <v>Good employee</v>
      </c>
      <c r="TF29" t="str">
        <f>IF(OR(TF25&gt;20,TF20&gt;6), "Good employee", "Bad Employee")</f>
        <v>Good employee</v>
      </c>
      <c r="TG29" t="str">
        <f>IF(OR(TG25&gt;20,TG20&gt;6), "Good employee", "Bad Employee")</f>
        <v>Good employee</v>
      </c>
      <c r="TH29" t="str">
        <f>IF(OR(TH25&gt;20,TH20&gt;6), "Good employee", "Bad Employee")</f>
        <v>Good employee</v>
      </c>
      <c r="TI29" t="str">
        <f>IF(OR(TI25&gt;20,TI20&gt;6), "Good employee", "Bad Employee")</f>
        <v>Good employee</v>
      </c>
      <c r="TJ29" t="str">
        <f>IF(OR(TJ25&gt;20,TJ20&gt;6), "Good employee", "Bad Employee")</f>
        <v>Bad Employee</v>
      </c>
      <c r="TK29" t="str">
        <f>IF(OR(TK25&gt;20,TK20&gt;6), "Good employee", "Bad Employee")</f>
        <v>Bad Employee</v>
      </c>
      <c r="TL29" t="str">
        <f>IF(OR(TL25&gt;20,TL20&gt;6), "Good employee", "Bad Employee")</f>
        <v>Good employee</v>
      </c>
      <c r="TM29" t="str">
        <f>IF(OR(TM25&gt;20,TM20&gt;6), "Good employee", "Bad Employee")</f>
        <v>Bad Employee</v>
      </c>
      <c r="TN29" t="str">
        <f>IF(OR(TN25&gt;20,TN20&gt;6), "Good employee", "Bad Employee")</f>
        <v>Bad Employee</v>
      </c>
      <c r="TO29" t="str">
        <f>IF(OR(TO25&gt;20,TO20&gt;6), "Good employee", "Bad Employee")</f>
        <v>Bad Employee</v>
      </c>
      <c r="TP29" t="str">
        <f>IF(OR(TP25&gt;20,TP20&gt;6), "Good employee", "Bad Employee")</f>
        <v>Good employee</v>
      </c>
      <c r="TQ29" t="str">
        <f>IF(OR(TQ25&gt;20,TQ20&gt;6), "Good employee", "Bad Employee")</f>
        <v>Bad Employee</v>
      </c>
      <c r="TR29" t="str">
        <f>IF(OR(TR25&gt;20,TR20&gt;6), "Good employee", "Bad Employee")</f>
        <v>Good employee</v>
      </c>
      <c r="TS29" t="str">
        <f>IF(OR(TS25&gt;20,TS20&gt;6), "Good employee", "Bad Employee")</f>
        <v>Bad Employee</v>
      </c>
      <c r="TT29" t="str">
        <f>IF(OR(TT25&gt;20,TT20&gt;6), "Good employee", "Bad Employee")</f>
        <v>Good employee</v>
      </c>
      <c r="TU29" t="str">
        <f>IF(OR(TU25&gt;20,TU20&gt;6), "Good employee", "Bad Employee")</f>
        <v>Good employee</v>
      </c>
      <c r="TV29" t="str">
        <f>IF(OR(TV25&gt;20,TV20&gt;6), "Good employee", "Bad Employee")</f>
        <v>Good employee</v>
      </c>
      <c r="TW29" t="str">
        <f>IF(OR(TW25&gt;20,TW20&gt;6), "Good employee", "Bad Employee")</f>
        <v>Bad Employee</v>
      </c>
      <c r="TX29" t="str">
        <f>IF(OR(TX25&gt;20,TX20&gt;6), "Good employee", "Bad Employee")</f>
        <v>Good employee</v>
      </c>
      <c r="TY29" t="str">
        <f>IF(OR(TY25&gt;20,TY20&gt;6), "Good employee", "Bad Employee")</f>
        <v>Bad Employee</v>
      </c>
      <c r="TZ29" t="str">
        <f>IF(OR(TZ25&gt;20,TZ20&gt;6), "Good employee", "Bad Employee")</f>
        <v>Good employee</v>
      </c>
      <c r="UA29" t="str">
        <f>IF(OR(UA25&gt;20,UA20&gt;6), "Good employee", "Bad Employee")</f>
        <v>Bad Employee</v>
      </c>
      <c r="UB29" t="str">
        <f>IF(OR(UB25&gt;20,UB20&gt;6), "Good employee", "Bad Employee")</f>
        <v>Good employee</v>
      </c>
      <c r="UC29" t="str">
        <f>IF(OR(UC25&gt;20,UC20&gt;6), "Good employee", "Bad Employee")</f>
        <v>Bad Employee</v>
      </c>
      <c r="UD29" t="str">
        <f>IF(OR(UD25&gt;20,UD20&gt;6), "Good employee", "Bad Employee")</f>
        <v>Good employee</v>
      </c>
      <c r="UE29" t="str">
        <f>IF(OR(UE25&gt;20,UE20&gt;6), "Good employee", "Bad Employee")</f>
        <v>Bad Employee</v>
      </c>
      <c r="UF29" t="str">
        <f>IF(OR(UF25&gt;20,UF20&gt;6), "Good employee", "Bad Employee")</f>
        <v>Bad Employee</v>
      </c>
      <c r="UG29" t="str">
        <f>IF(OR(UG25&gt;20,UG20&gt;6), "Good employee", "Bad Employee")</f>
        <v>Good employee</v>
      </c>
      <c r="UH29" t="str">
        <f>IF(OR(UH25&gt;20,UH20&gt;6), "Good employee", "Bad Employee")</f>
        <v>Good employee</v>
      </c>
      <c r="UI29" t="str">
        <f>IF(OR(UI25&gt;20,UI20&gt;6), "Good employee", "Bad Employee")</f>
        <v>Good employee</v>
      </c>
      <c r="UJ29" t="str">
        <f>IF(OR(UJ25&gt;20,UJ20&gt;6), "Good employee", "Bad Employee")</f>
        <v>Good employee</v>
      </c>
      <c r="UK29" t="str">
        <f>IF(OR(UK25&gt;20,UK20&gt;6), "Good employee", "Bad Employee")</f>
        <v>Good employee</v>
      </c>
      <c r="UL29" t="str">
        <f>IF(OR(UL25&gt;20,UL20&gt;6), "Good employee", "Bad Employee")</f>
        <v>Good employee</v>
      </c>
      <c r="UM29" t="str">
        <f>IF(OR(UM25&gt;20,UM20&gt;6), "Good employee", "Bad Employee")</f>
        <v>Bad Employee</v>
      </c>
      <c r="UN29" t="str">
        <f>IF(OR(UN25&gt;20,UN20&gt;6), "Good employee", "Bad Employee")</f>
        <v>Good employee</v>
      </c>
      <c r="UO29" t="str">
        <f>IF(OR(UO25&gt;20,UO20&gt;6), "Good employee", "Bad Employee")</f>
        <v>Good employee</v>
      </c>
      <c r="UP29" t="str">
        <f>IF(OR(UP25&gt;20,UP20&gt;6), "Good employee", "Bad Employee")</f>
        <v>Good employee</v>
      </c>
      <c r="UQ29" t="str">
        <f>IF(OR(UQ25&gt;20,UQ20&gt;6), "Good employee", "Bad Employee")</f>
        <v>Bad Employee</v>
      </c>
      <c r="UR29" t="str">
        <f>IF(OR(UR25&gt;20,UR20&gt;6), "Good employee", "Bad Employee")</f>
        <v>Good employee</v>
      </c>
      <c r="US29" t="str">
        <f>IF(OR(US25&gt;20,US20&gt;6), "Good employee", "Bad Employee")</f>
        <v>Good employee</v>
      </c>
      <c r="UT29" t="str">
        <f>IF(OR(UT25&gt;20,UT20&gt;6), "Good employee", "Bad Employee")</f>
        <v>Bad Employee</v>
      </c>
      <c r="UU29" t="str">
        <f>IF(OR(UU25&gt;20,UU20&gt;6), "Good employee", "Bad Employee")</f>
        <v>Bad Employee</v>
      </c>
      <c r="UV29" t="str">
        <f>IF(OR(UV25&gt;20,UV20&gt;6), "Good employee", "Bad Employee")</f>
        <v>Bad Employee</v>
      </c>
      <c r="UW29" t="str">
        <f>IF(OR(UW25&gt;20,UW20&gt;6), "Good employee", "Bad Employee")</f>
        <v>Good employee</v>
      </c>
      <c r="UX29" t="str">
        <f>IF(OR(UX25&gt;20,UX20&gt;6), "Good employee", "Bad Employee")</f>
        <v>Good employee</v>
      </c>
      <c r="UY29" t="str">
        <f>IF(OR(UY25&gt;20,UY20&gt;6), "Good employee", "Bad Employee")</f>
        <v>Good employee</v>
      </c>
      <c r="UZ29" t="str">
        <f>IF(OR(UZ25&gt;20,UZ20&gt;6), "Good employee", "Bad Employee")</f>
        <v>Good employee</v>
      </c>
      <c r="VA29" t="str">
        <f>IF(OR(VA25&gt;20,VA20&gt;6), "Good employee", "Bad Employee")</f>
        <v>Good employee</v>
      </c>
      <c r="VB29" t="str">
        <f>IF(OR(VB25&gt;20,VB20&gt;6), "Good employee", "Bad Employee")</f>
        <v>Good employee</v>
      </c>
      <c r="VC29" t="str">
        <f>IF(OR(VC25&gt;20,VC20&gt;6), "Good employee", "Bad Employee")</f>
        <v>Good employee</v>
      </c>
      <c r="VD29" t="str">
        <f>IF(OR(VD25&gt;20,VD20&gt;6), "Good employee", "Bad Employee")</f>
        <v>Good employee</v>
      </c>
      <c r="VE29" t="str">
        <f>IF(OR(VE25&gt;20,VE20&gt;6), "Good employee", "Bad Employee")</f>
        <v>Bad Employee</v>
      </c>
      <c r="VF29" t="str">
        <f>IF(OR(VF25&gt;20,VF20&gt;6), "Good employee", "Bad Employee")</f>
        <v>Bad Employee</v>
      </c>
      <c r="VG29" t="str">
        <f>IF(OR(VG25&gt;20,VG20&gt;6), "Good employee", "Bad Employee")</f>
        <v>Bad Employee</v>
      </c>
      <c r="VH29" t="str">
        <f>IF(OR(VH25&gt;20,VH20&gt;6), "Good employee", "Bad Employee")</f>
        <v>Bad Employee</v>
      </c>
      <c r="VI29" t="str">
        <f>IF(OR(VI25&gt;20,VI20&gt;6), "Good employee", "Bad Employee")</f>
        <v>Good employee</v>
      </c>
      <c r="VJ29" t="str">
        <f>IF(OR(VJ25&gt;20,VJ20&gt;6), "Good employee", "Bad Employee")</f>
        <v>Good employee</v>
      </c>
      <c r="VK29" t="str">
        <f>IF(OR(VK25&gt;20,VK20&gt;6), "Good employee", "Bad Employee")</f>
        <v>Bad Employee</v>
      </c>
      <c r="VL29" t="str">
        <f>IF(OR(VL25&gt;20,VL20&gt;6), "Good employee", "Bad Employee")</f>
        <v>Bad Employee</v>
      </c>
      <c r="VM29" t="str">
        <f>IF(OR(VM25&gt;20,VM20&gt;6), "Good employee", "Bad Employee")</f>
        <v>Bad Employee</v>
      </c>
      <c r="VN29" t="str">
        <f>IF(OR(VN25&gt;20,VN20&gt;6), "Good employee", "Bad Employee")</f>
        <v>Bad Employee</v>
      </c>
      <c r="VO29" t="str">
        <f>IF(OR(VO25&gt;20,VO20&gt;6), "Good employee", "Bad Employee")</f>
        <v>Good employee</v>
      </c>
      <c r="VP29" t="str">
        <f>IF(OR(VP25&gt;20,VP20&gt;6), "Good employee", "Bad Employee")</f>
        <v>Good employee</v>
      </c>
      <c r="VQ29" t="str">
        <f>IF(OR(VQ25&gt;20,VQ20&gt;6), "Good employee", "Bad Employee")</f>
        <v>Good employee</v>
      </c>
      <c r="VR29" t="str">
        <f>IF(OR(VR25&gt;20,VR20&gt;6), "Good employee", "Bad Employee")</f>
        <v>Good employee</v>
      </c>
      <c r="VS29" t="str">
        <f>IF(OR(VS25&gt;20,VS20&gt;6), "Good employee", "Bad Employee")</f>
        <v>Bad Employee</v>
      </c>
      <c r="VT29" t="str">
        <f>IF(OR(VT25&gt;20,VT20&gt;6), "Good employee", "Bad Employee")</f>
        <v>Good employee</v>
      </c>
      <c r="VU29" t="str">
        <f>IF(OR(VU25&gt;20,VU20&gt;6), "Good employee", "Bad Employee")</f>
        <v>Bad Employee</v>
      </c>
      <c r="VV29" t="str">
        <f>IF(OR(VV25&gt;20,VV20&gt;6), "Good employee", "Bad Employee")</f>
        <v>Bad Employee</v>
      </c>
      <c r="VW29" t="str">
        <f>IF(OR(VW25&gt;20,VW20&gt;6), "Good employee", "Bad Employee")</f>
        <v>Good employee</v>
      </c>
      <c r="VX29" t="str">
        <f>IF(OR(VX25&gt;20,VX20&gt;6), "Good employee", "Bad Employee")</f>
        <v>Good employee</v>
      </c>
      <c r="VY29" t="str">
        <f>IF(OR(VY25&gt;20,VY20&gt;6), "Good employee", "Bad Employee")</f>
        <v>Bad Employee</v>
      </c>
      <c r="VZ29" t="str">
        <f>IF(OR(VZ25&gt;20,VZ20&gt;6), "Good employee", "Bad Employee")</f>
        <v>Good employee</v>
      </c>
      <c r="WA29" t="str">
        <f>IF(OR(WA25&gt;20,WA20&gt;6), "Good employee", "Bad Employee")</f>
        <v>Good employee</v>
      </c>
      <c r="WB29" t="str">
        <f>IF(OR(WB25&gt;20,WB20&gt;6), "Good employee", "Bad Employee")</f>
        <v>Bad Employee</v>
      </c>
      <c r="WC29" t="str">
        <f>IF(OR(WC25&gt;20,WC20&gt;6), "Good employee", "Bad Employee")</f>
        <v>Bad Employee</v>
      </c>
      <c r="WD29" t="str">
        <f>IF(OR(WD25&gt;20,WD20&gt;6), "Good employee", "Bad Employee")</f>
        <v>Good employee</v>
      </c>
      <c r="WE29" t="str">
        <f>IF(OR(WE25&gt;20,WE20&gt;6), "Good employee", "Bad Employee")</f>
        <v>Bad Employee</v>
      </c>
      <c r="WF29" t="str">
        <f>IF(OR(WF25&gt;20,WF20&gt;6), "Good employee", "Bad Employee")</f>
        <v>Bad Employee</v>
      </c>
      <c r="WG29" t="str">
        <f>IF(OR(WG25&gt;20,WG20&gt;6), "Good employee", "Bad Employee")</f>
        <v>Good employee</v>
      </c>
      <c r="WH29" t="str">
        <f>IF(OR(WH25&gt;20,WH20&gt;6), "Good employee", "Bad Employee")</f>
        <v>Good employee</v>
      </c>
      <c r="WI29" t="str">
        <f>IF(OR(WI25&gt;20,WI20&gt;6), "Good employee", "Bad Employee")</f>
        <v>Good employee</v>
      </c>
      <c r="WJ29" t="str">
        <f>IF(OR(WJ25&gt;20,WJ20&gt;6), "Good employee", "Bad Employee")</f>
        <v>Good employee</v>
      </c>
      <c r="WK29" t="str">
        <f>IF(OR(WK25&gt;20,WK20&gt;6), "Good employee", "Bad Employee")</f>
        <v>Bad Employee</v>
      </c>
      <c r="WL29" t="str">
        <f>IF(OR(WL25&gt;20,WL20&gt;6), "Good employee", "Bad Employee")</f>
        <v>Good employee</v>
      </c>
      <c r="WM29" t="str">
        <f>IF(OR(WM25&gt;20,WM20&gt;6), "Good employee", "Bad Employee")</f>
        <v>Good employee</v>
      </c>
      <c r="WN29" t="str">
        <f>IF(OR(WN25&gt;20,WN20&gt;6), "Good employee", "Bad Employee")</f>
        <v>Good employee</v>
      </c>
      <c r="WO29" t="str">
        <f>IF(OR(WO25&gt;20,WO20&gt;6), "Good employee", "Bad Employee")</f>
        <v>Bad Employee</v>
      </c>
      <c r="WP29" t="str">
        <f>IF(OR(WP25&gt;20,WP20&gt;6), "Good employee", "Bad Employee")</f>
        <v>Good employee</v>
      </c>
      <c r="WQ29" t="str">
        <f>IF(OR(WQ25&gt;20,WQ20&gt;6), "Good employee", "Bad Employee")</f>
        <v>Good employee</v>
      </c>
      <c r="WR29" t="str">
        <f>IF(OR(WR25&gt;20,WR20&gt;6), "Good employee", "Bad Employee")</f>
        <v>Good employee</v>
      </c>
      <c r="WS29" t="str">
        <f>IF(OR(WS25&gt;20,WS20&gt;6), "Good employee", "Bad Employee")</f>
        <v>Good employee</v>
      </c>
      <c r="WT29" t="str">
        <f>IF(OR(WT25&gt;20,WT20&gt;6), "Good employee", "Bad Employee")</f>
        <v>Good employee</v>
      </c>
      <c r="WU29" t="str">
        <f>IF(OR(WU25&gt;20,WU20&gt;6), "Good employee", "Bad Employee")</f>
        <v>Good employee</v>
      </c>
      <c r="WV29" t="str">
        <f>IF(OR(WV25&gt;20,WV20&gt;6), "Good employee", "Bad Employee")</f>
        <v>Bad Employee</v>
      </c>
      <c r="WW29" t="str">
        <f>IF(OR(WW25&gt;20,WW20&gt;6), "Good employee", "Bad Employee")</f>
        <v>Good employee</v>
      </c>
      <c r="WX29" t="str">
        <f>IF(OR(WX25&gt;20,WX20&gt;6), "Good employee", "Bad Employee")</f>
        <v>Bad Employee</v>
      </c>
      <c r="WY29" t="str">
        <f>IF(OR(WY25&gt;20,WY20&gt;6), "Good employee", "Bad Employee")</f>
        <v>Good employee</v>
      </c>
      <c r="WZ29" t="str">
        <f>IF(OR(WZ25&gt;20,WZ20&gt;6), "Good employee", "Bad Employee")</f>
        <v>Bad Employee</v>
      </c>
      <c r="XA29" t="str">
        <f>IF(OR(XA25&gt;20,XA20&gt;6), "Good employee", "Bad Employee")</f>
        <v>Good employee</v>
      </c>
      <c r="XB29" t="str">
        <f>IF(OR(XB25&gt;20,XB20&gt;6), "Good employee", "Bad Employee")</f>
        <v>Good employee</v>
      </c>
      <c r="XC29" t="str">
        <f>IF(OR(XC25&gt;20,XC20&gt;6), "Good employee", "Bad Employee")</f>
        <v>Bad Employee</v>
      </c>
      <c r="XD29" t="str">
        <f>IF(OR(XD25&gt;20,XD20&gt;6), "Good employee", "Bad Employee")</f>
        <v>Bad Employee</v>
      </c>
      <c r="XE29" t="str">
        <f>IF(OR(XE25&gt;20,XE20&gt;6), "Good employee", "Bad Employee")</f>
        <v>Good employee</v>
      </c>
      <c r="XF29" t="str">
        <f>IF(OR(XF25&gt;20,XF20&gt;6), "Good employee", "Bad Employee")</f>
        <v>Good employee</v>
      </c>
      <c r="XG29" t="str">
        <f>IF(OR(XG25&gt;20,XG20&gt;6), "Good employee", "Bad Employee")</f>
        <v>Bad Employee</v>
      </c>
      <c r="XH29" t="str">
        <f>IF(OR(XH25&gt;20,XH20&gt;6), "Good employee", "Bad Employee")</f>
        <v>Bad Employee</v>
      </c>
      <c r="XI29" t="str">
        <f>IF(OR(XI25&gt;20,XI20&gt;6), "Good employee", "Bad Employee")</f>
        <v>Bad Employee</v>
      </c>
      <c r="XJ29" t="str">
        <f>IF(OR(XJ25&gt;20,XJ20&gt;6), "Good employee", "Bad Employee")</f>
        <v>Good employee</v>
      </c>
      <c r="XK29" t="str">
        <f>IF(OR(XK25&gt;20,XK20&gt;6), "Good employee", "Bad Employee")</f>
        <v>Good employee</v>
      </c>
      <c r="XL29" t="str">
        <f>IF(OR(XL25&gt;20,XL20&gt;6), "Good employee", "Bad Employee")</f>
        <v>Good employee</v>
      </c>
      <c r="XM29" t="str">
        <f>IF(OR(XM25&gt;20,XM20&gt;6), "Good employee", "Bad Employee")</f>
        <v>Bad Employee</v>
      </c>
      <c r="XN29" t="str">
        <f>IF(OR(XN25&gt;20,XN20&gt;6), "Good employee", "Bad Employee")</f>
        <v>Bad Employee</v>
      </c>
      <c r="XO29" t="str">
        <f>IF(OR(XO25&gt;20,XO20&gt;6), "Good employee", "Bad Employee")</f>
        <v>Bad Employee</v>
      </c>
      <c r="XP29" t="str">
        <f>IF(OR(XP25&gt;20,XP20&gt;6), "Good employee", "Bad Employee")</f>
        <v>Good employee</v>
      </c>
      <c r="XQ29" t="str">
        <f>IF(OR(XQ25&gt;20,XQ20&gt;6), "Good employee", "Bad Employee")</f>
        <v>Good employee</v>
      </c>
      <c r="XR29" t="str">
        <f>IF(OR(XR25&gt;20,XR20&gt;6), "Good employee", "Bad Employee")</f>
        <v>Good employee</v>
      </c>
      <c r="XS29" t="str">
        <f>IF(OR(XS25&gt;20,XS20&gt;6), "Good employee", "Bad Employee")</f>
        <v>Good employee</v>
      </c>
      <c r="XT29" t="str">
        <f>IF(OR(XT25&gt;20,XT20&gt;6), "Good employee", "Bad Employee")</f>
        <v>Good employee</v>
      </c>
      <c r="XU29" t="str">
        <f>IF(OR(XU25&gt;20,XU20&gt;6), "Good employee", "Bad Employee")</f>
        <v>Bad Employee</v>
      </c>
      <c r="XV29" t="str">
        <f>IF(OR(XV25&gt;20,XV20&gt;6), "Good employee", "Bad Employee")</f>
        <v>Bad Employee</v>
      </c>
      <c r="XW29" t="str">
        <f>IF(OR(XW25&gt;20,XW20&gt;6), "Good employee", "Bad Employee")</f>
        <v>Good employee</v>
      </c>
      <c r="XX29" t="str">
        <f>IF(OR(XX25&gt;20,XX20&gt;6), "Good employee", "Bad Employee")</f>
        <v>Good employee</v>
      </c>
      <c r="XY29" t="str">
        <f>IF(OR(XY25&gt;20,XY20&gt;6), "Good employee", "Bad Employee")</f>
        <v>Good employee</v>
      </c>
      <c r="XZ29" t="str">
        <f>IF(OR(XZ25&gt;20,XZ20&gt;6), "Good employee", "Bad Employee")</f>
        <v>Good employee</v>
      </c>
      <c r="YA29" t="str">
        <f>IF(OR(YA25&gt;20,YA20&gt;6), "Good employee", "Bad Employee")</f>
        <v>Good employee</v>
      </c>
      <c r="YB29" t="str">
        <f>IF(OR(YB25&gt;20,YB20&gt;6), "Good employee", "Bad Employee")</f>
        <v>Bad Employee</v>
      </c>
      <c r="YC29" t="str">
        <f>IF(OR(YC25&gt;20,YC20&gt;6), "Good employee", "Bad Employee")</f>
        <v>Bad Employee</v>
      </c>
      <c r="YD29" t="str">
        <f>IF(OR(YD25&gt;20,YD20&gt;6), "Good employee", "Bad Employee")</f>
        <v>Good employee</v>
      </c>
      <c r="YE29" t="str">
        <f>IF(OR(YE25&gt;20,YE20&gt;6), "Good employee", "Bad Employee")</f>
        <v>Good employee</v>
      </c>
      <c r="YF29" t="str">
        <f>IF(OR(YF25&gt;20,YF20&gt;6), "Good employee", "Bad Employee")</f>
        <v>Good employee</v>
      </c>
      <c r="YG29" t="str">
        <f>IF(OR(YG25&gt;20,YG20&gt;6), "Good employee", "Bad Employee")</f>
        <v>Good employee</v>
      </c>
      <c r="YH29" t="str">
        <f>IF(OR(YH25&gt;20,YH20&gt;6), "Good employee", "Bad Employee")</f>
        <v>Good employee</v>
      </c>
      <c r="YI29" t="str">
        <f>IF(OR(YI25&gt;20,YI20&gt;6), "Good employee", "Bad Employee")</f>
        <v>Good employee</v>
      </c>
      <c r="YJ29" t="str">
        <f>IF(OR(YJ25&gt;20,YJ20&gt;6), "Good employee", "Bad Employee")</f>
        <v>Good employee</v>
      </c>
      <c r="YK29" t="str">
        <f>IF(OR(YK25&gt;20,YK20&gt;6), "Good employee", "Bad Employee")</f>
        <v>Bad Employee</v>
      </c>
      <c r="YL29" t="str">
        <f>IF(OR(YL25&gt;20,YL20&gt;6), "Good employee", "Bad Employee")</f>
        <v>Good employee</v>
      </c>
      <c r="YM29" t="str">
        <f>IF(OR(YM25&gt;20,YM20&gt;6), "Good employee", "Bad Employee")</f>
        <v>Good employee</v>
      </c>
      <c r="YN29" t="str">
        <f>IF(OR(YN25&gt;20,YN20&gt;6), "Good employee", "Bad Employee")</f>
        <v>Good employee</v>
      </c>
      <c r="YO29" t="str">
        <f>IF(OR(YO25&gt;20,YO20&gt;6), "Good employee", "Bad Employee")</f>
        <v>Good employee</v>
      </c>
      <c r="YP29" t="str">
        <f>IF(OR(YP25&gt;20,YP20&gt;6), "Good employee", "Bad Employee")</f>
        <v>Good employee</v>
      </c>
      <c r="YQ29" t="str">
        <f>IF(OR(YQ25&gt;20,YQ20&gt;6), "Good employee", "Bad Employee")</f>
        <v>Good employee</v>
      </c>
      <c r="YR29" t="str">
        <f>IF(OR(YR25&gt;20,YR20&gt;6), "Good employee", "Bad Employee")</f>
        <v>Bad Employee</v>
      </c>
      <c r="YS29" t="str">
        <f>IF(OR(YS25&gt;20,YS20&gt;6), "Good employee", "Bad Employee")</f>
        <v>Bad Employee</v>
      </c>
      <c r="YT29" t="str">
        <f>IF(OR(YT25&gt;20,YT20&gt;6), "Good employee", "Bad Employee")</f>
        <v>Bad Employee</v>
      </c>
      <c r="YU29" t="str">
        <f>IF(OR(YU25&gt;20,YU20&gt;6), "Good employee", "Bad Employee")</f>
        <v>Good employee</v>
      </c>
      <c r="YV29" t="str">
        <f>IF(OR(YV25&gt;20,YV20&gt;6), "Good employee", "Bad Employee")</f>
        <v>Good employee</v>
      </c>
      <c r="YW29" t="str">
        <f>IF(OR(YW25&gt;20,YW20&gt;6), "Good employee", "Bad Employee")</f>
        <v>Good employee</v>
      </c>
      <c r="YX29" t="str">
        <f>IF(OR(YX25&gt;20,YX20&gt;6), "Good employee", "Bad Employee")</f>
        <v>Good employee</v>
      </c>
      <c r="YY29" t="str">
        <f>IF(OR(YY25&gt;20,YY20&gt;6), "Good employee", "Bad Employee")</f>
        <v>Good employee</v>
      </c>
      <c r="YZ29" t="str">
        <f>IF(OR(YZ25&gt;20,YZ20&gt;6), "Good employee", "Bad Employee")</f>
        <v>Good employee</v>
      </c>
      <c r="ZA29" t="str">
        <f>IF(OR(ZA25&gt;20,ZA20&gt;6), "Good employee", "Bad Employee")</f>
        <v>Good employee</v>
      </c>
      <c r="ZB29" t="str">
        <f>IF(OR(ZB25&gt;20,ZB20&gt;6), "Good employee", "Bad Employee")</f>
        <v>Bad Employee</v>
      </c>
      <c r="ZC29" t="str">
        <f>IF(OR(ZC25&gt;20,ZC20&gt;6), "Good employee", "Bad Employee")</f>
        <v>Bad Employee</v>
      </c>
      <c r="ZD29" t="str">
        <f>IF(OR(ZD25&gt;20,ZD20&gt;6), "Good employee", "Bad Employee")</f>
        <v>Good employee</v>
      </c>
      <c r="ZE29" t="str">
        <f>IF(OR(ZE25&gt;20,ZE20&gt;6), "Good employee", "Bad Employee")</f>
        <v>Bad Employee</v>
      </c>
      <c r="ZF29" t="str">
        <f>IF(OR(ZF25&gt;20,ZF20&gt;6), "Good employee", "Bad Employee")</f>
        <v>Good employee</v>
      </c>
      <c r="ZG29" t="str">
        <f>IF(OR(ZG25&gt;20,ZG20&gt;6), "Good employee", "Bad Employee")</f>
        <v>Bad Employee</v>
      </c>
      <c r="ZH29" t="str">
        <f>IF(OR(ZH25&gt;20,ZH20&gt;6), "Good employee", "Bad Employee")</f>
        <v>Good employee</v>
      </c>
      <c r="ZI29" t="str">
        <f>IF(OR(ZI25&gt;20,ZI20&gt;6), "Good employee", "Bad Employee")</f>
        <v>Good employee</v>
      </c>
      <c r="ZJ29" t="str">
        <f>IF(OR(ZJ25&gt;20,ZJ20&gt;6), "Good employee", "Bad Employee")</f>
        <v>Good employee</v>
      </c>
      <c r="ZK29" t="str">
        <f>IF(OR(ZK25&gt;20,ZK20&gt;6), "Good employee", "Bad Employee")</f>
        <v>Bad Employee</v>
      </c>
      <c r="ZL29" t="str">
        <f>IF(OR(ZL25&gt;20,ZL20&gt;6), "Good employee", "Bad Employee")</f>
        <v>Good employee</v>
      </c>
      <c r="ZM29" t="str">
        <f>IF(OR(ZM25&gt;20,ZM20&gt;6), "Good employee", "Bad Employee")</f>
        <v>Good employee</v>
      </c>
      <c r="ZN29" t="str">
        <f>IF(OR(ZN25&gt;20,ZN20&gt;6), "Good employee", "Bad Employee")</f>
        <v>Good employee</v>
      </c>
      <c r="ZO29" t="str">
        <f>IF(OR(ZO25&gt;20,ZO20&gt;6), "Good employee", "Bad Employee")</f>
        <v>Good employee</v>
      </c>
      <c r="ZP29" t="str">
        <f>IF(OR(ZP25&gt;20,ZP20&gt;6), "Good employee", "Bad Employee")</f>
        <v>Good employee</v>
      </c>
      <c r="ZQ29" t="str">
        <f>IF(OR(ZQ25&gt;20,ZQ20&gt;6), "Good employee", "Bad Employee")</f>
        <v>Good employee</v>
      </c>
      <c r="ZR29" t="str">
        <f>IF(OR(ZR25&gt;20,ZR20&gt;6), "Good employee", "Bad Employee")</f>
        <v>Bad Employee</v>
      </c>
      <c r="ZS29" t="str">
        <f>IF(OR(ZS25&gt;20,ZS20&gt;6), "Good employee", "Bad Employee")</f>
        <v>Bad Employee</v>
      </c>
      <c r="ZT29" t="str">
        <f>IF(OR(ZT25&gt;20,ZT20&gt;6), "Good employee", "Bad Employee")</f>
        <v>Good employee</v>
      </c>
      <c r="ZU29" t="str">
        <f>IF(OR(ZU25&gt;20,ZU20&gt;6), "Good employee", "Bad Employee")</f>
        <v>Good employee</v>
      </c>
      <c r="ZV29" t="str">
        <f>IF(OR(ZV25&gt;20,ZV20&gt;6), "Good employee", "Bad Employee")</f>
        <v>Good employee</v>
      </c>
      <c r="ZW29" t="str">
        <f>IF(OR(ZW25&gt;20,ZW20&gt;6), "Good employee", "Bad Employee")</f>
        <v>Bad Employee</v>
      </c>
      <c r="ZX29" t="str">
        <f>IF(OR(ZX25&gt;20,ZX20&gt;6), "Good employee", "Bad Employee")</f>
        <v>Good employee</v>
      </c>
      <c r="ZY29" t="str">
        <f>IF(OR(ZY25&gt;20,ZY20&gt;6), "Good employee", "Bad Employee")</f>
        <v>Good employee</v>
      </c>
      <c r="ZZ29" t="str">
        <f>IF(OR(ZZ25&gt;20,ZZ20&gt;6), "Good employee", "Bad Employee")</f>
        <v>Bad Employee</v>
      </c>
      <c r="AAA29" t="str">
        <f>IF(OR(AAA25&gt;20,AAA20&gt;6), "Good employee", "Bad Employee")</f>
        <v>Good employee</v>
      </c>
      <c r="AAB29" t="str">
        <f>IF(OR(AAB25&gt;20,AAB20&gt;6), "Good employee", "Bad Employee")</f>
        <v>Bad Employee</v>
      </c>
      <c r="AAC29" t="str">
        <f>IF(OR(AAC25&gt;20,AAC20&gt;6), "Good employee", "Bad Employee")</f>
        <v>Good employee</v>
      </c>
      <c r="AAD29" t="str">
        <f>IF(OR(AAD25&gt;20,AAD20&gt;6), "Good employee", "Bad Employee")</f>
        <v>Good employee</v>
      </c>
      <c r="AAE29" t="str">
        <f>IF(OR(AAE25&gt;20,AAE20&gt;6), "Good employee", "Bad Employee")</f>
        <v>Bad Employee</v>
      </c>
      <c r="AAF29" t="str">
        <f>IF(OR(AAF25&gt;20,AAF20&gt;6), "Good employee", "Bad Employee")</f>
        <v>Good employee</v>
      </c>
      <c r="AAG29" t="str">
        <f>IF(OR(AAG25&gt;20,AAG20&gt;6), "Good employee", "Bad Employee")</f>
        <v>Good employee</v>
      </c>
      <c r="AAH29" t="str">
        <f>IF(OR(AAH25&gt;20,AAH20&gt;6), "Good employee", "Bad Employee")</f>
        <v>Bad Employee</v>
      </c>
      <c r="AAI29" t="str">
        <f>IF(OR(AAI25&gt;20,AAI20&gt;6), "Good employee", "Bad Employee")</f>
        <v>Bad Employee</v>
      </c>
      <c r="AAJ29" t="str">
        <f>IF(OR(AAJ25&gt;20,AAJ20&gt;6), "Good employee", "Bad Employee")</f>
        <v>Good employee</v>
      </c>
      <c r="AAK29" t="str">
        <f>IF(OR(AAK25&gt;20,AAK20&gt;6), "Good employee", "Bad Employee")</f>
        <v>Good employee</v>
      </c>
      <c r="AAL29" t="str">
        <f>IF(OR(AAL25&gt;20,AAL20&gt;6), "Good employee", "Bad Employee")</f>
        <v>Good employee</v>
      </c>
      <c r="AAM29" t="str">
        <f>IF(OR(AAM25&gt;20,AAM20&gt;6), "Good employee", "Bad Employee")</f>
        <v>Bad Employee</v>
      </c>
      <c r="AAN29" t="str">
        <f>IF(OR(AAN25&gt;20,AAN20&gt;6), "Good employee", "Bad Employee")</f>
        <v>Good employee</v>
      </c>
      <c r="AAO29" t="str">
        <f>IF(OR(AAO25&gt;20,AAO20&gt;6), "Good employee", "Bad Employee")</f>
        <v>Good employee</v>
      </c>
      <c r="AAP29" t="str">
        <f>IF(OR(AAP25&gt;20,AAP20&gt;6), "Good employee", "Bad Employee")</f>
        <v>Bad Employee</v>
      </c>
      <c r="AAQ29" t="str">
        <f>IF(OR(AAQ25&gt;20,AAQ20&gt;6), "Good employee", "Bad Employee")</f>
        <v>Good employee</v>
      </c>
      <c r="AAR29" t="str">
        <f>IF(OR(AAR25&gt;20,AAR20&gt;6), "Good employee", "Bad Employee")</f>
        <v>Good employee</v>
      </c>
      <c r="AAS29" t="str">
        <f>IF(OR(AAS25&gt;20,AAS20&gt;6), "Good employee", "Bad Employee")</f>
        <v>Bad Employee</v>
      </c>
      <c r="AAT29" t="str">
        <f>IF(OR(AAT25&gt;20,AAT20&gt;6), "Good employee", "Bad Employee")</f>
        <v>Bad Employee</v>
      </c>
      <c r="AAU29" t="str">
        <f>IF(OR(AAU25&gt;20,AAU20&gt;6), "Good employee", "Bad Employee")</f>
        <v>Bad Employee</v>
      </c>
      <c r="AAV29" t="str">
        <f>IF(OR(AAV25&gt;20,AAV20&gt;6), "Good employee", "Bad Employee")</f>
        <v>Good employee</v>
      </c>
      <c r="AAW29" t="str">
        <f>IF(OR(AAW25&gt;20,AAW20&gt;6), "Good employee", "Bad Employee")</f>
        <v>Good employee</v>
      </c>
      <c r="AAX29" t="str">
        <f>IF(OR(AAX25&gt;20,AAX20&gt;6), "Good employee", "Bad Employee")</f>
        <v>Bad Employee</v>
      </c>
      <c r="AAY29" t="str">
        <f>IF(OR(AAY25&gt;20,AAY20&gt;6), "Good employee", "Bad Employee")</f>
        <v>Good employee</v>
      </c>
      <c r="AAZ29" t="str">
        <f>IF(OR(AAZ25&gt;20,AAZ20&gt;6), "Good employee", "Bad Employee")</f>
        <v>Bad Employee</v>
      </c>
      <c r="ABA29" t="str">
        <f>IF(OR(ABA25&gt;20,ABA20&gt;6), "Good employee", "Bad Employee")</f>
        <v>Good employee</v>
      </c>
      <c r="ABB29" t="str">
        <f>IF(OR(ABB25&gt;20,ABB20&gt;6), "Good employee", "Bad Employee")</f>
        <v>Good employee</v>
      </c>
      <c r="ABC29" t="str">
        <f>IF(OR(ABC25&gt;20,ABC20&gt;6), "Good employee", "Bad Employee")</f>
        <v>Bad Employee</v>
      </c>
      <c r="ABD29" t="str">
        <f>IF(OR(ABD25&gt;20,ABD20&gt;6), "Good employee", "Bad Employee")</f>
        <v>Good employee</v>
      </c>
      <c r="ABE29" t="str">
        <f>IF(OR(ABE25&gt;20,ABE20&gt;6), "Good employee", "Bad Employee")</f>
        <v>Good employee</v>
      </c>
      <c r="ABF29" t="str">
        <f>IF(OR(ABF25&gt;20,ABF20&gt;6), "Good employee", "Bad Employee")</f>
        <v>Good employee</v>
      </c>
      <c r="ABG29" t="str">
        <f>IF(OR(ABG25&gt;20,ABG20&gt;6), "Good employee", "Bad Employee")</f>
        <v>Good employee</v>
      </c>
      <c r="ABH29" t="str">
        <f>IF(OR(ABH25&gt;20,ABH20&gt;6), "Good employee", "Bad Employee")</f>
        <v>Good employee</v>
      </c>
      <c r="ABI29" t="str">
        <f>IF(OR(ABI25&gt;20,ABI20&gt;6), "Good employee", "Bad Employee")</f>
        <v>Good employee</v>
      </c>
      <c r="ABJ29" t="str">
        <f>IF(OR(ABJ25&gt;20,ABJ20&gt;6), "Good employee", "Bad Employee")</f>
        <v>Good employee</v>
      </c>
      <c r="ABK29" t="str">
        <f>IF(OR(ABK25&gt;20,ABK20&gt;6), "Good employee", "Bad Employee")</f>
        <v>Bad Employee</v>
      </c>
      <c r="ABL29" t="str">
        <f>IF(OR(ABL25&gt;20,ABL20&gt;6), "Good employee", "Bad Employee")</f>
        <v>Good employee</v>
      </c>
      <c r="ABM29" t="str">
        <f>IF(OR(ABM25&gt;20,ABM20&gt;6), "Good employee", "Bad Employee")</f>
        <v>Bad Employee</v>
      </c>
      <c r="ABN29" t="str">
        <f>IF(OR(ABN25&gt;20,ABN20&gt;6), "Good employee", "Bad Employee")</f>
        <v>Good employee</v>
      </c>
      <c r="ABO29" t="str">
        <f>IF(OR(ABO25&gt;20,ABO20&gt;6), "Good employee", "Bad Employee")</f>
        <v>Good employee</v>
      </c>
      <c r="ABP29" t="str">
        <f>IF(OR(ABP25&gt;20,ABP20&gt;6), "Good employee", "Bad Employee")</f>
        <v>Bad Employee</v>
      </c>
      <c r="ABQ29" t="str">
        <f>IF(OR(ABQ25&gt;20,ABQ20&gt;6), "Good employee", "Bad Employee")</f>
        <v>Good employee</v>
      </c>
      <c r="ABR29" t="str">
        <f>IF(OR(ABR25&gt;20,ABR20&gt;6), "Good employee", "Bad Employee")</f>
        <v>Bad Employee</v>
      </c>
      <c r="ABS29" t="str">
        <f>IF(OR(ABS25&gt;20,ABS20&gt;6), "Good employee", "Bad Employee")</f>
        <v>Good employee</v>
      </c>
      <c r="ABT29" t="str">
        <f>IF(OR(ABT25&gt;20,ABT20&gt;6), "Good employee", "Bad Employee")</f>
        <v>Good employee</v>
      </c>
      <c r="ABU29" t="str">
        <f>IF(OR(ABU25&gt;20,ABU20&gt;6), "Good employee", "Bad Employee")</f>
        <v>Good employee</v>
      </c>
      <c r="ABV29" t="str">
        <f>IF(OR(ABV25&gt;20,ABV20&gt;6), "Good employee", "Bad Employee")</f>
        <v>Good employee</v>
      </c>
      <c r="ABW29" t="str">
        <f>IF(OR(ABW25&gt;20,ABW20&gt;6), "Good employee", "Bad Employee")</f>
        <v>Bad Employee</v>
      </c>
      <c r="ABX29" t="str">
        <f>IF(OR(ABX25&gt;20,ABX20&gt;6), "Good employee", "Bad Employee")</f>
        <v>Good employee</v>
      </c>
      <c r="ABY29" t="str">
        <f>IF(OR(ABY25&gt;20,ABY20&gt;6), "Good employee", "Bad Employee")</f>
        <v>Good employee</v>
      </c>
      <c r="ABZ29" t="str">
        <f>IF(OR(ABZ25&gt;20,ABZ20&gt;6), "Good employee", "Bad Employee")</f>
        <v>Good employee</v>
      </c>
      <c r="ACA29" t="str">
        <f>IF(OR(ACA25&gt;20,ACA20&gt;6), "Good employee", "Bad Employee")</f>
        <v>Good employee</v>
      </c>
      <c r="ACB29" t="str">
        <f>IF(OR(ACB25&gt;20,ACB20&gt;6), "Good employee", "Bad Employee")</f>
        <v>Bad Employee</v>
      </c>
      <c r="ACC29" t="str">
        <f>IF(OR(ACC25&gt;20,ACC20&gt;6), "Good employee", "Bad Employee")</f>
        <v>Good employee</v>
      </c>
      <c r="ACD29" t="str">
        <f>IF(OR(ACD25&gt;20,ACD20&gt;6), "Good employee", "Bad Employee")</f>
        <v>Good employee</v>
      </c>
      <c r="ACE29" t="str">
        <f>IF(OR(ACE25&gt;20,ACE20&gt;6), "Good employee", "Bad Employee")</f>
        <v>Good employee</v>
      </c>
      <c r="ACF29" t="str">
        <f>IF(OR(ACF25&gt;20,ACF20&gt;6), "Good employee", "Bad Employee")</f>
        <v>Good employee</v>
      </c>
      <c r="ACG29" t="str">
        <f>IF(OR(ACG25&gt;20,ACG20&gt;6), "Good employee", "Bad Employee")</f>
        <v>Good employee</v>
      </c>
      <c r="ACH29" t="str">
        <f>IF(OR(ACH25&gt;20,ACH20&gt;6), "Good employee", "Bad Employee")</f>
        <v>Good employee</v>
      </c>
      <c r="ACI29" t="str">
        <f>IF(OR(ACI25&gt;20,ACI20&gt;6), "Good employee", "Bad Employee")</f>
        <v>Good employee</v>
      </c>
      <c r="ACJ29" t="str">
        <f>IF(OR(ACJ25&gt;20,ACJ20&gt;6), "Good employee", "Bad Employee")</f>
        <v>Good employee</v>
      </c>
      <c r="ACK29" t="str">
        <f>IF(OR(ACK25&gt;20,ACK20&gt;6), "Good employee", "Bad Employee")</f>
        <v>Good employee</v>
      </c>
      <c r="ACL29" t="str">
        <f>IF(OR(ACL25&gt;20,ACL20&gt;6), "Good employee", "Bad Employee")</f>
        <v>Good employee</v>
      </c>
      <c r="ACM29" t="str">
        <f>IF(OR(ACM25&gt;20,ACM20&gt;6), "Good employee", "Bad Employee")</f>
        <v>Bad Employee</v>
      </c>
      <c r="ACN29" t="str">
        <f>IF(OR(ACN25&gt;20,ACN20&gt;6), "Good employee", "Bad Employee")</f>
        <v>Bad Employee</v>
      </c>
      <c r="ACO29" t="str">
        <f>IF(OR(ACO25&gt;20,ACO20&gt;6), "Good employee", "Bad Employee")</f>
        <v>Good employee</v>
      </c>
      <c r="ACP29" t="str">
        <f>IF(OR(ACP25&gt;20,ACP20&gt;6), "Good employee", "Bad Employee")</f>
        <v>Bad Employee</v>
      </c>
      <c r="ACQ29" t="str">
        <f>IF(OR(ACQ25&gt;20,ACQ20&gt;6), "Good employee", "Bad Employee")</f>
        <v>Bad Employee</v>
      </c>
      <c r="ACR29" t="str">
        <f>IF(OR(ACR25&gt;20,ACR20&gt;6), "Good employee", "Bad Employee")</f>
        <v>Bad Employee</v>
      </c>
      <c r="ACS29" t="str">
        <f>IF(OR(ACS25&gt;20,ACS20&gt;6), "Good employee", "Bad Employee")</f>
        <v>Good employee</v>
      </c>
      <c r="ACT29" t="str">
        <f>IF(OR(ACT25&gt;20,ACT20&gt;6), "Good employee", "Bad Employee")</f>
        <v>Bad Employee</v>
      </c>
      <c r="ACU29" t="str">
        <f>IF(OR(ACU25&gt;20,ACU20&gt;6), "Good employee", "Bad Employee")</f>
        <v>Bad Employee</v>
      </c>
      <c r="ACV29" t="str">
        <f>IF(OR(ACV25&gt;20,ACV20&gt;6), "Good employee", "Bad Employee")</f>
        <v>Bad Employee</v>
      </c>
      <c r="ACW29" t="str">
        <f>IF(OR(ACW25&gt;20,ACW20&gt;6), "Good employee", "Bad Employee")</f>
        <v>Good employee</v>
      </c>
      <c r="ACX29" t="str">
        <f>IF(OR(ACX25&gt;20,ACX20&gt;6), "Good employee", "Bad Employee")</f>
        <v>Good employee</v>
      </c>
      <c r="ACY29" t="str">
        <f>IF(OR(ACY25&gt;20,ACY20&gt;6), "Good employee", "Bad Employee")</f>
        <v>Good employee</v>
      </c>
      <c r="ACZ29" t="str">
        <f>IF(OR(ACZ25&gt;20,ACZ20&gt;6), "Good employee", "Bad Employee")</f>
        <v>Good employee</v>
      </c>
      <c r="ADA29" t="str">
        <f>IF(OR(ADA25&gt;20,ADA20&gt;6), "Good employee", "Bad Employee")</f>
        <v>Bad Employee</v>
      </c>
      <c r="ADB29" t="str">
        <f>IF(OR(ADB25&gt;20,ADB20&gt;6), "Good employee", "Bad Employee")</f>
        <v>Good employee</v>
      </c>
      <c r="ADC29" t="str">
        <f>IF(OR(ADC25&gt;20,ADC20&gt;6), "Good employee", "Bad Employee")</f>
        <v>Bad Employee</v>
      </c>
      <c r="ADD29" t="str">
        <f>IF(OR(ADD25&gt;20,ADD20&gt;6), "Good employee", "Bad Employee")</f>
        <v>Good employee</v>
      </c>
      <c r="ADE29" t="str">
        <f>IF(OR(ADE25&gt;20,ADE20&gt;6), "Good employee", "Bad Employee")</f>
        <v>Good employee</v>
      </c>
      <c r="ADF29" t="str">
        <f>IF(OR(ADF25&gt;20,ADF20&gt;6), "Good employee", "Bad Employee")</f>
        <v>Bad Employee</v>
      </c>
      <c r="ADG29" t="str">
        <f>IF(OR(ADG25&gt;20,ADG20&gt;6), "Good employee", "Bad Employee")</f>
        <v>Bad Employee</v>
      </c>
      <c r="ADH29" t="str">
        <f>IF(OR(ADH25&gt;20,ADH20&gt;6), "Good employee", "Bad Employee")</f>
        <v>Good employee</v>
      </c>
      <c r="ADI29" t="str">
        <f>IF(OR(ADI25&gt;20,ADI20&gt;6), "Good employee", "Bad Employee")</f>
        <v>Good employee</v>
      </c>
      <c r="ADJ29" t="str">
        <f>IF(OR(ADJ25&gt;20,ADJ20&gt;6), "Good employee", "Bad Employee")</f>
        <v>Bad Employee</v>
      </c>
      <c r="ADK29" t="str">
        <f>IF(OR(ADK25&gt;20,ADK20&gt;6), "Good employee", "Bad Employee")</f>
        <v>Bad Employee</v>
      </c>
      <c r="ADL29" t="str">
        <f>IF(OR(ADL25&gt;20,ADL20&gt;6), "Good employee", "Bad Employee")</f>
        <v>Good employee</v>
      </c>
      <c r="ADM29" t="str">
        <f>IF(OR(ADM25&gt;20,ADM20&gt;6), "Good employee", "Bad Employee")</f>
        <v>Good employee</v>
      </c>
      <c r="ADN29" t="str">
        <f>IF(OR(ADN25&gt;20,ADN20&gt;6), "Good employee", "Bad Employee")</f>
        <v>Bad Employee</v>
      </c>
      <c r="ADO29" t="str">
        <f>IF(OR(ADO25&gt;20,ADO20&gt;6), "Good employee", "Bad Employee")</f>
        <v>Good employee</v>
      </c>
      <c r="ADP29" t="str">
        <f>IF(OR(ADP25&gt;20,ADP20&gt;6), "Good employee", "Bad Employee")</f>
        <v>Good employee</v>
      </c>
      <c r="ADQ29" t="str">
        <f>IF(OR(ADQ25&gt;20,ADQ20&gt;6), "Good employee", "Bad Employee")</f>
        <v>Good employee</v>
      </c>
      <c r="ADR29" t="str">
        <f>IF(OR(ADR25&gt;20,ADR20&gt;6), "Good employee", "Bad Employee")</f>
        <v>Good employee</v>
      </c>
      <c r="ADS29" t="str">
        <f>IF(OR(ADS25&gt;20,ADS20&gt;6), "Good employee", "Bad Employee")</f>
        <v>Good employee</v>
      </c>
      <c r="ADT29" t="str">
        <f>IF(OR(ADT25&gt;20,ADT20&gt;6), "Good employee", "Bad Employee")</f>
        <v>Good employee</v>
      </c>
      <c r="ADU29" t="str">
        <f>IF(OR(ADU25&gt;20,ADU20&gt;6), "Good employee", "Bad Employee")</f>
        <v>Bad Employee</v>
      </c>
      <c r="ADV29" t="str">
        <f>IF(OR(ADV25&gt;20,ADV20&gt;6), "Good employee", "Bad Employee")</f>
        <v>Good employee</v>
      </c>
      <c r="ADW29" t="str">
        <f>IF(OR(ADW25&gt;20,ADW20&gt;6), "Good employee", "Bad Employee")</f>
        <v>Bad Employee</v>
      </c>
      <c r="ADX29" t="str">
        <f>IF(OR(ADX25&gt;20,ADX20&gt;6), "Good employee", "Bad Employee")</f>
        <v>Good employee</v>
      </c>
      <c r="ADY29" t="str">
        <f>IF(OR(ADY25&gt;20,ADY20&gt;6), "Good employee", "Bad Employee")</f>
        <v>Bad Employee</v>
      </c>
      <c r="ADZ29" t="str">
        <f>IF(OR(ADZ25&gt;20,ADZ20&gt;6), "Good employee", "Bad Employee")</f>
        <v>Good employee</v>
      </c>
      <c r="AEA29" t="str">
        <f>IF(OR(AEA25&gt;20,AEA20&gt;6), "Good employee", "Bad Employee")</f>
        <v>Bad Employee</v>
      </c>
      <c r="AEB29" t="str">
        <f>IF(OR(AEB25&gt;20,AEB20&gt;6), "Good employee", "Bad Employee")</f>
        <v>Good employee</v>
      </c>
      <c r="AEC29" t="str">
        <f>IF(OR(AEC25&gt;20,AEC20&gt;6), "Good employee", "Bad Employee")</f>
        <v>Good employee</v>
      </c>
      <c r="AED29" t="str">
        <f>IF(OR(AED25&gt;20,AED20&gt;6), "Good employee", "Bad Employee")</f>
        <v>Good employee</v>
      </c>
      <c r="AEE29" t="str">
        <f>IF(OR(AEE25&gt;20,AEE20&gt;6), "Good employee", "Bad Employee")</f>
        <v>Bad Employee</v>
      </c>
      <c r="AEF29" t="str">
        <f>IF(OR(AEF25&gt;20,AEF20&gt;6), "Good employee", "Bad Employee")</f>
        <v>Bad Employee</v>
      </c>
      <c r="AEG29" t="str">
        <f>IF(OR(AEG25&gt;20,AEG20&gt;6), "Good employee", "Bad Employee")</f>
        <v>Good employee</v>
      </c>
      <c r="AEH29" t="str">
        <f>IF(OR(AEH25&gt;20,AEH20&gt;6), "Good employee", "Bad Employee")</f>
        <v>Good employee</v>
      </c>
      <c r="AEI29" t="str">
        <f>IF(OR(AEI25&gt;20,AEI20&gt;6), "Good employee", "Bad Employee")</f>
        <v>Good employee</v>
      </c>
      <c r="AEJ29" t="str">
        <f>IF(OR(AEJ25&gt;20,AEJ20&gt;6), "Good employee", "Bad Employee")</f>
        <v>Bad Employee</v>
      </c>
      <c r="AEK29" t="str">
        <f>IF(OR(AEK25&gt;20,AEK20&gt;6), "Good employee", "Bad Employee")</f>
        <v>Good employee</v>
      </c>
      <c r="AEL29" t="str">
        <f>IF(OR(AEL25&gt;20,AEL20&gt;6), "Good employee", "Bad Employee")</f>
        <v>Good employee</v>
      </c>
      <c r="AEM29" t="str">
        <f>IF(OR(AEM25&gt;20,AEM20&gt;6), "Good employee", "Bad Employee")</f>
        <v>Bad Employee</v>
      </c>
      <c r="AEN29" t="str">
        <f>IF(OR(AEN25&gt;20,AEN20&gt;6), "Good employee", "Bad Employee")</f>
        <v>Good employee</v>
      </c>
      <c r="AEO29" t="str">
        <f>IF(OR(AEO25&gt;20,AEO20&gt;6), "Good employee", "Bad Employee")</f>
        <v>Good employee</v>
      </c>
      <c r="AEP29" t="str">
        <f>IF(OR(AEP25&gt;20,AEP20&gt;6), "Good employee", "Bad Employee")</f>
        <v>Good employee</v>
      </c>
      <c r="AEQ29" t="str">
        <f>IF(OR(AEQ25&gt;20,AEQ20&gt;6), "Good employee", "Bad Employee")</f>
        <v>Good employee</v>
      </c>
      <c r="AER29" t="str">
        <f>IF(OR(AER25&gt;20,AER20&gt;6), "Good employee", "Bad Employee")</f>
        <v>Bad Employee</v>
      </c>
      <c r="AES29" t="str">
        <f>IF(OR(AES25&gt;20,AES20&gt;6), "Good employee", "Bad Employee")</f>
        <v>Good employee</v>
      </c>
      <c r="AET29" t="str">
        <f>IF(OR(AET25&gt;20,AET20&gt;6), "Good employee", "Bad Employee")</f>
        <v>Bad Employee</v>
      </c>
      <c r="AEU29" t="str">
        <f>IF(OR(AEU25&gt;20,AEU20&gt;6), "Good employee", "Bad Employee")</f>
        <v>Good employee</v>
      </c>
      <c r="AEV29" t="str">
        <f>IF(OR(AEV25&gt;20,AEV20&gt;6), "Good employee", "Bad Employee")</f>
        <v>Good employee</v>
      </c>
      <c r="AEW29" t="str">
        <f>IF(OR(AEW25&gt;20,AEW20&gt;6), "Good employee", "Bad Employee")</f>
        <v>Good employee</v>
      </c>
      <c r="AEX29" t="str">
        <f>IF(OR(AEX25&gt;20,AEX20&gt;6), "Good employee", "Bad Employee")</f>
        <v>Good employee</v>
      </c>
      <c r="AEY29" t="str">
        <f>IF(OR(AEY25&gt;20,AEY20&gt;6), "Good employee", "Bad Employee")</f>
        <v>Bad Employee</v>
      </c>
      <c r="AEZ29" t="str">
        <f>IF(OR(AEZ25&gt;20,AEZ20&gt;6), "Good employee", "Bad Employee")</f>
        <v>Good employee</v>
      </c>
      <c r="AFA29" t="str">
        <f>IF(OR(AFA25&gt;20,AFA20&gt;6), "Good employee", "Bad Employee")</f>
        <v>Good employee</v>
      </c>
      <c r="AFB29" t="str">
        <f>IF(OR(AFB25&gt;20,AFB20&gt;6), "Good employee", "Bad Employee")</f>
        <v>Good employee</v>
      </c>
      <c r="AFC29" t="str">
        <f>IF(OR(AFC25&gt;20,AFC20&gt;6), "Good employee", "Bad Employee")</f>
        <v>Good employee</v>
      </c>
      <c r="AFD29" t="str">
        <f>IF(OR(AFD25&gt;20,AFD20&gt;6), "Good employee", "Bad Employee")</f>
        <v>Good employee</v>
      </c>
      <c r="AFE29" t="str">
        <f>IF(OR(AFE25&gt;20,AFE20&gt;6), "Good employee", "Bad Employee")</f>
        <v>Good employee</v>
      </c>
      <c r="AFF29" t="str">
        <f>IF(OR(AFF25&gt;20,AFF20&gt;6), "Good employee", "Bad Employee")</f>
        <v>Good employee</v>
      </c>
      <c r="AFG29" t="str">
        <f>IF(OR(AFG25&gt;20,AFG20&gt;6), "Good employee", "Bad Employee")</f>
        <v>Bad Employee</v>
      </c>
      <c r="AFH29" t="str">
        <f>IF(OR(AFH25&gt;20,AFH20&gt;6), "Good employee", "Bad Employee")</f>
        <v>Bad Employee</v>
      </c>
      <c r="AFI29" t="str">
        <f>IF(OR(AFI25&gt;20,AFI20&gt;6), "Good employee", "Bad Employee")</f>
        <v>Good employee</v>
      </c>
      <c r="AFJ29" t="str">
        <f>IF(OR(AFJ25&gt;20,AFJ20&gt;6), "Good employee", "Bad Employee")</f>
        <v>Good employee</v>
      </c>
      <c r="AFK29" t="str">
        <f>IF(OR(AFK25&gt;20,AFK20&gt;6), "Good employee", "Bad Employee")</f>
        <v>Good employee</v>
      </c>
      <c r="AFL29" t="str">
        <f>IF(OR(AFL25&gt;20,AFL20&gt;6), "Good employee", "Bad Employee")</f>
        <v>Good employee</v>
      </c>
      <c r="AFM29" t="str">
        <f>IF(OR(AFM25&gt;20,AFM20&gt;6), "Good employee", "Bad Employee")</f>
        <v>Good employee</v>
      </c>
      <c r="AFN29" t="str">
        <f>IF(OR(AFN25&gt;20,AFN20&gt;6), "Good employee", "Bad Employee")</f>
        <v>Good employee</v>
      </c>
      <c r="AFO29" t="str">
        <f>IF(OR(AFO25&gt;20,AFO20&gt;6), "Good employee", "Bad Employee")</f>
        <v>Good employee</v>
      </c>
      <c r="AFP29" t="str">
        <f>IF(OR(AFP25&gt;20,AFP20&gt;6), "Good employee", "Bad Employee")</f>
        <v>Good employee</v>
      </c>
      <c r="AFQ29" t="str">
        <f>IF(OR(AFQ25&gt;20,AFQ20&gt;6), "Good employee", "Bad Employee")</f>
        <v>Bad Employee</v>
      </c>
      <c r="AFR29" t="str">
        <f>IF(OR(AFR25&gt;20,AFR20&gt;6), "Good employee", "Bad Employee")</f>
        <v>Bad Employee</v>
      </c>
      <c r="AFS29" t="str">
        <f>IF(OR(AFS25&gt;20,AFS20&gt;6), "Good employee", "Bad Employee")</f>
        <v>Bad Employee</v>
      </c>
      <c r="AFT29" t="str">
        <f>IF(OR(AFT25&gt;20,AFT20&gt;6), "Good employee", "Bad Employee")</f>
        <v>Bad Employee</v>
      </c>
      <c r="AFU29" t="str">
        <f>IF(OR(AFU25&gt;20,AFU20&gt;6), "Good employee", "Bad Employee")</f>
        <v>Bad Employee</v>
      </c>
      <c r="AFV29" t="str">
        <f>IF(OR(AFV25&gt;20,AFV20&gt;6), "Good employee", "Bad Employee")</f>
        <v>Good employee</v>
      </c>
      <c r="AFW29" t="str">
        <f>IF(OR(AFW25&gt;20,AFW20&gt;6), "Good employee", "Bad Employee")</f>
        <v>Good employee</v>
      </c>
      <c r="AFX29" t="str">
        <f>IF(OR(AFX25&gt;20,AFX20&gt;6), "Good employee", "Bad Employee")</f>
        <v>Bad Employee</v>
      </c>
      <c r="AFY29" t="str">
        <f>IF(OR(AFY25&gt;20,AFY20&gt;6), "Good employee", "Bad Employee")</f>
        <v>Good employee</v>
      </c>
      <c r="AFZ29" t="str">
        <f>IF(OR(AFZ25&gt;20,AFZ20&gt;6), "Good employee", "Bad Employee")</f>
        <v>Bad Employee</v>
      </c>
      <c r="AGA29" t="str">
        <f>IF(OR(AGA25&gt;20,AGA20&gt;6), "Good employee", "Bad Employee")</f>
        <v>Bad Employee</v>
      </c>
      <c r="AGB29" t="str">
        <f>IF(OR(AGB25&gt;20,AGB20&gt;6), "Good employee", "Bad Employee")</f>
        <v>Bad Employee</v>
      </c>
      <c r="AGC29" t="str">
        <f>IF(OR(AGC25&gt;20,AGC20&gt;6), "Good employee", "Bad Employee")</f>
        <v>Good employee</v>
      </c>
      <c r="AGD29" t="str">
        <f>IF(OR(AGD25&gt;20,AGD20&gt;6), "Good employee", "Bad Employee")</f>
        <v>Bad Employee</v>
      </c>
      <c r="AGE29" t="str">
        <f>IF(OR(AGE25&gt;20,AGE20&gt;6), "Good employee", "Bad Employee")</f>
        <v>Bad Employee</v>
      </c>
      <c r="AGF29" t="str">
        <f>IF(OR(AGF25&gt;20,AGF20&gt;6), "Good employee", "Bad Employee")</f>
        <v>Bad Employee</v>
      </c>
      <c r="AGG29" t="str">
        <f>IF(OR(AGG25&gt;20,AGG20&gt;6), "Good employee", "Bad Employee")</f>
        <v>Good employee</v>
      </c>
      <c r="AGH29" t="str">
        <f>IF(OR(AGH25&gt;20,AGH20&gt;6), "Good employee", "Bad Employee")</f>
        <v>Good employee</v>
      </c>
      <c r="AGI29" t="str">
        <f>IF(OR(AGI25&gt;20,AGI20&gt;6), "Good employee", "Bad Employee")</f>
        <v>Good employee</v>
      </c>
      <c r="AGJ29" t="str">
        <f>IF(OR(AGJ25&gt;20,AGJ20&gt;6), "Good employee", "Bad Employee")</f>
        <v>Good employee</v>
      </c>
      <c r="AGK29" t="str">
        <f>IF(OR(AGK25&gt;20,AGK20&gt;6), "Good employee", "Bad Employee")</f>
        <v>Bad Employee</v>
      </c>
      <c r="AGL29" t="str">
        <f>IF(OR(AGL25&gt;20,AGL20&gt;6), "Good employee", "Bad Employee")</f>
        <v>Good employee</v>
      </c>
      <c r="AGM29" t="str">
        <f>IF(OR(AGM25&gt;20,AGM20&gt;6), "Good employee", "Bad Employee")</f>
        <v>Good employee</v>
      </c>
      <c r="AGN29" t="str">
        <f>IF(OR(AGN25&gt;20,AGN20&gt;6), "Good employee", "Bad Employee")</f>
        <v>Bad Employee</v>
      </c>
      <c r="AGO29" t="str">
        <f>IF(OR(AGO25&gt;20,AGO20&gt;6), "Good employee", "Bad Employee")</f>
        <v>Good employee</v>
      </c>
      <c r="AGP29" t="str">
        <f>IF(OR(AGP25&gt;20,AGP20&gt;6), "Good employee", "Bad Employee")</f>
        <v>Good employee</v>
      </c>
      <c r="AGQ29" t="str">
        <f>IF(OR(AGQ25&gt;20,AGQ20&gt;6), "Good employee", "Bad Employee")</f>
        <v>Bad Employee</v>
      </c>
      <c r="AGR29" t="str">
        <f>IF(OR(AGR25&gt;20,AGR20&gt;6), "Good employee", "Bad Employee")</f>
        <v>Good employee</v>
      </c>
      <c r="AGS29" t="str">
        <f>IF(OR(AGS25&gt;20,AGS20&gt;6), "Good employee", "Bad Employee")</f>
        <v>Good employee</v>
      </c>
      <c r="AGT29" t="str">
        <f>IF(OR(AGT25&gt;20,AGT20&gt;6), "Good employee", "Bad Employee")</f>
        <v>Good employee</v>
      </c>
      <c r="AGU29" t="str">
        <f>IF(OR(AGU25&gt;20,AGU20&gt;6), "Good employee", "Bad Employee")</f>
        <v>Bad Employee</v>
      </c>
      <c r="AGV29" t="str">
        <f>IF(OR(AGV25&gt;20,AGV20&gt;6), "Good employee", "Bad Employee")</f>
        <v>Good employee</v>
      </c>
      <c r="AGW29" t="str">
        <f>IF(OR(AGW25&gt;20,AGW20&gt;6), "Good employee", "Bad Employee")</f>
        <v>Good employee</v>
      </c>
      <c r="AGX29" t="str">
        <f>IF(OR(AGX25&gt;20,AGX20&gt;6), "Good employee", "Bad Employee")</f>
        <v>Good employee</v>
      </c>
      <c r="AGY29" t="str">
        <f>IF(OR(AGY25&gt;20,AGY20&gt;6), "Good employee", "Bad Employee")</f>
        <v>Good employee</v>
      </c>
      <c r="AGZ29" t="str">
        <f>IF(OR(AGZ25&gt;20,AGZ20&gt;6), "Good employee", "Bad Employee")</f>
        <v>Good employee</v>
      </c>
      <c r="AHA29" t="str">
        <f>IF(OR(AHA25&gt;20,AHA20&gt;6), "Good employee", "Bad Employee")</f>
        <v>Good employee</v>
      </c>
    </row>
    <row r="30" spans="1:885" x14ac:dyDescent="0.25">
      <c r="A30" s="1" t="s">
        <v>14</v>
      </c>
      <c r="B30" t="s">
        <v>28</v>
      </c>
      <c r="C30" t="s">
        <v>28</v>
      </c>
      <c r="D30" t="s">
        <v>41</v>
      </c>
      <c r="E30" t="s">
        <v>28</v>
      </c>
      <c r="F30" t="s">
        <v>41</v>
      </c>
      <c r="G30" t="s">
        <v>56</v>
      </c>
      <c r="H30" t="s">
        <v>56</v>
      </c>
      <c r="I30" t="s">
        <v>28</v>
      </c>
      <c r="J30" t="s">
        <v>28</v>
      </c>
      <c r="K30" t="s">
        <v>41</v>
      </c>
      <c r="L30" t="s">
        <v>28</v>
      </c>
      <c r="M30" t="s">
        <v>28</v>
      </c>
      <c r="N30" t="s">
        <v>28</v>
      </c>
      <c r="O30" t="s">
        <v>41</v>
      </c>
      <c r="P30" t="s">
        <v>56</v>
      </c>
      <c r="Q30" t="s">
        <v>41</v>
      </c>
      <c r="R30" t="s">
        <v>41</v>
      </c>
      <c r="S30" t="s">
        <v>28</v>
      </c>
      <c r="T30" t="s">
        <v>56</v>
      </c>
      <c r="U30" t="s">
        <v>41</v>
      </c>
      <c r="V30" t="s">
        <v>28</v>
      </c>
      <c r="W30" t="s">
        <v>41</v>
      </c>
      <c r="X30" t="s">
        <v>28</v>
      </c>
      <c r="Y30" t="s">
        <v>56</v>
      </c>
      <c r="Z30" t="s">
        <v>56</v>
      </c>
      <c r="AA30" t="s">
        <v>28</v>
      </c>
      <c r="AB30" t="s">
        <v>41</v>
      </c>
      <c r="AC30" t="s">
        <v>41</v>
      </c>
      <c r="AD30" t="s">
        <v>56</v>
      </c>
      <c r="AE30" t="s">
        <v>41</v>
      </c>
      <c r="AF30" t="s">
        <v>28</v>
      </c>
      <c r="AG30" t="s">
        <v>28</v>
      </c>
      <c r="AH30" t="s">
        <v>28</v>
      </c>
      <c r="AI30" t="s">
        <v>56</v>
      </c>
      <c r="AJ30" t="s">
        <v>56</v>
      </c>
      <c r="AK30" t="s">
        <v>56</v>
      </c>
      <c r="AL30" t="s">
        <v>28</v>
      </c>
      <c r="AM30" t="s">
        <v>56</v>
      </c>
      <c r="AN30" t="s">
        <v>28</v>
      </c>
      <c r="AO30" t="s">
        <v>41</v>
      </c>
      <c r="AP30" t="s">
        <v>56</v>
      </c>
      <c r="AQ30" t="s">
        <v>41</v>
      </c>
      <c r="AR30" t="s">
        <v>41</v>
      </c>
      <c r="AS30" t="s">
        <v>56</v>
      </c>
      <c r="AT30" t="s">
        <v>56</v>
      </c>
      <c r="AU30" t="s">
        <v>41</v>
      </c>
      <c r="AV30" t="s">
        <v>41</v>
      </c>
      <c r="AW30" t="s">
        <v>41</v>
      </c>
      <c r="AX30" t="s">
        <v>28</v>
      </c>
      <c r="AY30" t="s">
        <v>41</v>
      </c>
      <c r="AZ30" t="s">
        <v>28</v>
      </c>
      <c r="BA30" t="s">
        <v>56</v>
      </c>
      <c r="BB30" t="s">
        <v>41</v>
      </c>
      <c r="BC30" t="s">
        <v>56</v>
      </c>
      <c r="BD30" t="s">
        <v>41</v>
      </c>
      <c r="BE30" t="s">
        <v>56</v>
      </c>
      <c r="BF30" t="s">
        <v>41</v>
      </c>
      <c r="BG30" t="s">
        <v>28</v>
      </c>
      <c r="BH30" t="s">
        <v>56</v>
      </c>
      <c r="BI30" t="s">
        <v>56</v>
      </c>
      <c r="BJ30" t="s">
        <v>41</v>
      </c>
      <c r="BK30" t="s">
        <v>28</v>
      </c>
      <c r="BL30" t="s">
        <v>28</v>
      </c>
      <c r="BM30" t="s">
        <v>28</v>
      </c>
      <c r="BN30" t="s">
        <v>41</v>
      </c>
      <c r="BO30" t="s">
        <v>56</v>
      </c>
      <c r="BP30" t="s">
        <v>41</v>
      </c>
      <c r="BQ30" t="s">
        <v>28</v>
      </c>
      <c r="BR30" t="s">
        <v>28</v>
      </c>
      <c r="BS30" t="s">
        <v>56</v>
      </c>
      <c r="BT30" t="s">
        <v>41</v>
      </c>
      <c r="BU30" t="s">
        <v>41</v>
      </c>
      <c r="BV30" t="s">
        <v>28</v>
      </c>
      <c r="BW30" t="s">
        <v>56</v>
      </c>
      <c r="BX30" t="s">
        <v>56</v>
      </c>
      <c r="BY30" t="s">
        <v>28</v>
      </c>
      <c r="BZ30" t="s">
        <v>41</v>
      </c>
      <c r="CA30" t="s">
        <v>41</v>
      </c>
      <c r="CB30" t="s">
        <v>56</v>
      </c>
      <c r="CC30" t="s">
        <v>56</v>
      </c>
      <c r="CD30" t="s">
        <v>28</v>
      </c>
      <c r="CE30" t="s">
        <v>56</v>
      </c>
      <c r="CF30" t="s">
        <v>41</v>
      </c>
      <c r="CG30" t="s">
        <v>41</v>
      </c>
      <c r="CH30" t="s">
        <v>56</v>
      </c>
      <c r="CI30" t="s">
        <v>28</v>
      </c>
      <c r="CJ30" t="s">
        <v>41</v>
      </c>
      <c r="CK30" t="s">
        <v>41</v>
      </c>
      <c r="CL30" t="s">
        <v>28</v>
      </c>
      <c r="CM30" t="s">
        <v>56</v>
      </c>
      <c r="CN30" t="s">
        <v>41</v>
      </c>
      <c r="CO30" t="s">
        <v>41</v>
      </c>
      <c r="CP30" t="s">
        <v>28</v>
      </c>
      <c r="CQ30" t="s">
        <v>56</v>
      </c>
      <c r="CR30" t="s">
        <v>28</v>
      </c>
      <c r="CS30" t="s">
        <v>28</v>
      </c>
      <c r="CT30" t="s">
        <v>56</v>
      </c>
      <c r="CU30" t="s">
        <v>41</v>
      </c>
      <c r="CV30" t="s">
        <v>28</v>
      </c>
      <c r="CW30" t="s">
        <v>41</v>
      </c>
      <c r="CX30" t="s">
        <v>41</v>
      </c>
      <c r="CY30" t="s">
        <v>41</v>
      </c>
      <c r="CZ30" t="s">
        <v>41</v>
      </c>
      <c r="DA30" t="s">
        <v>28</v>
      </c>
      <c r="DB30" t="s">
        <v>56</v>
      </c>
      <c r="DC30" t="s">
        <v>41</v>
      </c>
      <c r="DD30" t="s">
        <v>41</v>
      </c>
      <c r="DE30" t="s">
        <v>41</v>
      </c>
      <c r="DF30" t="s">
        <v>56</v>
      </c>
      <c r="DG30" t="s">
        <v>41</v>
      </c>
      <c r="DH30" t="s">
        <v>56</v>
      </c>
      <c r="DI30" t="s">
        <v>28</v>
      </c>
      <c r="DJ30" t="s">
        <v>56</v>
      </c>
      <c r="DK30" t="s">
        <v>41</v>
      </c>
      <c r="DL30" t="s">
        <v>28</v>
      </c>
      <c r="DM30" t="s">
        <v>56</v>
      </c>
      <c r="DN30" t="s">
        <v>41</v>
      </c>
      <c r="DO30" t="s">
        <v>28</v>
      </c>
      <c r="DP30" t="s">
        <v>28</v>
      </c>
      <c r="DQ30" t="s">
        <v>56</v>
      </c>
      <c r="DR30" t="s">
        <v>41</v>
      </c>
      <c r="DS30" t="s">
        <v>56</v>
      </c>
      <c r="DT30" t="s">
        <v>28</v>
      </c>
      <c r="DU30" t="s">
        <v>28</v>
      </c>
      <c r="DV30" t="s">
        <v>41</v>
      </c>
      <c r="DW30" t="s">
        <v>28</v>
      </c>
      <c r="DX30" t="s">
        <v>41</v>
      </c>
      <c r="DY30" t="s">
        <v>56</v>
      </c>
      <c r="DZ30" t="s">
        <v>28</v>
      </c>
      <c r="EA30" t="s">
        <v>28</v>
      </c>
      <c r="EB30" t="s">
        <v>41</v>
      </c>
      <c r="EC30" t="s">
        <v>41</v>
      </c>
      <c r="ED30" t="s">
        <v>56</v>
      </c>
      <c r="EE30" t="s">
        <v>41</v>
      </c>
      <c r="EF30" t="s">
        <v>28</v>
      </c>
      <c r="EG30" t="s">
        <v>56</v>
      </c>
      <c r="EH30" t="s">
        <v>56</v>
      </c>
      <c r="EI30" t="s">
        <v>56</v>
      </c>
      <c r="EJ30" t="s">
        <v>41</v>
      </c>
      <c r="EK30" t="s">
        <v>41</v>
      </c>
      <c r="EL30" t="s">
        <v>28</v>
      </c>
      <c r="EM30" t="s">
        <v>56</v>
      </c>
      <c r="EN30" t="s">
        <v>56</v>
      </c>
      <c r="EO30" t="s">
        <v>56</v>
      </c>
      <c r="EP30" t="s">
        <v>28</v>
      </c>
      <c r="EQ30" t="s">
        <v>41</v>
      </c>
      <c r="ER30" t="s">
        <v>56</v>
      </c>
      <c r="ES30" t="s">
        <v>41</v>
      </c>
      <c r="ET30" t="s">
        <v>41</v>
      </c>
      <c r="EU30" t="s">
        <v>41</v>
      </c>
      <c r="EV30" t="s">
        <v>41</v>
      </c>
      <c r="EW30" t="s">
        <v>41</v>
      </c>
      <c r="EX30" t="s">
        <v>28</v>
      </c>
      <c r="EY30" t="s">
        <v>41</v>
      </c>
      <c r="EZ30" t="s">
        <v>56</v>
      </c>
      <c r="FA30" t="s">
        <v>56</v>
      </c>
      <c r="FB30" t="s">
        <v>56</v>
      </c>
      <c r="FC30" t="s">
        <v>28</v>
      </c>
      <c r="FD30" t="s">
        <v>41</v>
      </c>
      <c r="FE30" t="s">
        <v>56</v>
      </c>
      <c r="FF30" t="s">
        <v>56</v>
      </c>
      <c r="FG30" t="s">
        <v>56</v>
      </c>
      <c r="FH30" t="s">
        <v>41</v>
      </c>
      <c r="FI30" t="s">
        <v>56</v>
      </c>
      <c r="FJ30" t="s">
        <v>41</v>
      </c>
      <c r="FK30" t="s">
        <v>56</v>
      </c>
      <c r="FL30" t="s">
        <v>56</v>
      </c>
      <c r="FM30" t="s">
        <v>41</v>
      </c>
      <c r="FN30" t="s">
        <v>56</v>
      </c>
      <c r="FO30" t="s">
        <v>28</v>
      </c>
      <c r="FP30" t="s">
        <v>41</v>
      </c>
      <c r="FQ30" t="s">
        <v>56</v>
      </c>
      <c r="FR30" t="s">
        <v>28</v>
      </c>
      <c r="FS30" t="s">
        <v>28</v>
      </c>
      <c r="FT30" t="s">
        <v>41</v>
      </c>
      <c r="FU30" t="s">
        <v>56</v>
      </c>
      <c r="FV30" t="s">
        <v>41</v>
      </c>
      <c r="FW30" t="s">
        <v>28</v>
      </c>
      <c r="FX30" t="s">
        <v>28</v>
      </c>
      <c r="FY30" t="s">
        <v>41</v>
      </c>
      <c r="FZ30" t="s">
        <v>41</v>
      </c>
      <c r="GA30" t="s">
        <v>56</v>
      </c>
      <c r="GB30" t="s">
        <v>28</v>
      </c>
      <c r="GC30" t="s">
        <v>41</v>
      </c>
      <c r="GD30" t="s">
        <v>28</v>
      </c>
      <c r="GE30" t="s">
        <v>41</v>
      </c>
      <c r="GF30" t="s">
        <v>56</v>
      </c>
      <c r="GG30" t="s">
        <v>28</v>
      </c>
      <c r="GH30" t="s">
        <v>56</v>
      </c>
      <c r="GI30" t="s">
        <v>56</v>
      </c>
      <c r="GJ30" t="s">
        <v>28</v>
      </c>
      <c r="GK30" t="s">
        <v>41</v>
      </c>
      <c r="GL30" t="s">
        <v>56</v>
      </c>
      <c r="GM30" t="s">
        <v>56</v>
      </c>
      <c r="GN30" t="s">
        <v>28</v>
      </c>
      <c r="GO30" t="s">
        <v>28</v>
      </c>
      <c r="GP30" t="s">
        <v>28</v>
      </c>
      <c r="GQ30" t="s">
        <v>56</v>
      </c>
      <c r="GR30" t="s">
        <v>41</v>
      </c>
      <c r="GS30" t="s">
        <v>41</v>
      </c>
      <c r="GT30" t="s">
        <v>28</v>
      </c>
      <c r="GU30" t="s">
        <v>56</v>
      </c>
      <c r="GV30" t="s">
        <v>56</v>
      </c>
      <c r="GW30" t="s">
        <v>56</v>
      </c>
      <c r="GX30" t="s">
        <v>28</v>
      </c>
      <c r="GY30" t="s">
        <v>56</v>
      </c>
      <c r="GZ30" t="s">
        <v>56</v>
      </c>
      <c r="HA30" t="s">
        <v>41</v>
      </c>
      <c r="HB30" t="s">
        <v>28</v>
      </c>
      <c r="HC30" t="s">
        <v>28</v>
      </c>
      <c r="HD30" t="s">
        <v>28</v>
      </c>
      <c r="HE30" t="s">
        <v>56</v>
      </c>
      <c r="HF30" t="s">
        <v>56</v>
      </c>
      <c r="HG30" t="s">
        <v>41</v>
      </c>
      <c r="HH30" t="s">
        <v>28</v>
      </c>
      <c r="HI30" t="s">
        <v>56</v>
      </c>
      <c r="HJ30" t="s">
        <v>41</v>
      </c>
      <c r="HK30" t="s">
        <v>56</v>
      </c>
      <c r="HL30" t="s">
        <v>56</v>
      </c>
      <c r="HM30" t="s">
        <v>28</v>
      </c>
      <c r="HN30" t="s">
        <v>28</v>
      </c>
      <c r="HO30" t="s">
        <v>56</v>
      </c>
      <c r="HP30" t="s">
        <v>56</v>
      </c>
      <c r="HQ30" t="s">
        <v>56</v>
      </c>
      <c r="HR30" t="s">
        <v>56</v>
      </c>
      <c r="HS30" t="s">
        <v>56</v>
      </c>
      <c r="HT30" t="s">
        <v>28</v>
      </c>
      <c r="HU30" t="s">
        <v>28</v>
      </c>
      <c r="HV30" t="s">
        <v>56</v>
      </c>
      <c r="HW30" t="s">
        <v>56</v>
      </c>
      <c r="HX30" t="s">
        <v>28</v>
      </c>
      <c r="HY30" t="s">
        <v>56</v>
      </c>
      <c r="HZ30" t="s">
        <v>28</v>
      </c>
      <c r="IA30" t="s">
        <v>28</v>
      </c>
      <c r="IB30" t="s">
        <v>28</v>
      </c>
      <c r="IC30" t="s">
        <v>28</v>
      </c>
      <c r="ID30" t="s">
        <v>41</v>
      </c>
      <c r="IE30" t="s">
        <v>56</v>
      </c>
      <c r="IF30" t="s">
        <v>56</v>
      </c>
      <c r="IG30" t="s">
        <v>56</v>
      </c>
      <c r="IH30" t="s">
        <v>28</v>
      </c>
      <c r="II30" t="s">
        <v>28</v>
      </c>
      <c r="IJ30" t="s">
        <v>28</v>
      </c>
      <c r="IK30" t="s">
        <v>56</v>
      </c>
      <c r="IL30" t="s">
        <v>28</v>
      </c>
      <c r="IM30" t="s">
        <v>41</v>
      </c>
      <c r="IN30" t="s">
        <v>56</v>
      </c>
      <c r="IO30" t="s">
        <v>41</v>
      </c>
      <c r="IP30" t="s">
        <v>41</v>
      </c>
      <c r="IQ30" t="s">
        <v>56</v>
      </c>
      <c r="IR30" t="s">
        <v>41</v>
      </c>
      <c r="IS30" t="s">
        <v>41</v>
      </c>
      <c r="IT30" t="s">
        <v>28</v>
      </c>
      <c r="IU30" t="s">
        <v>41</v>
      </c>
      <c r="IV30" t="s">
        <v>28</v>
      </c>
      <c r="IW30" t="s">
        <v>41</v>
      </c>
      <c r="IX30" t="s">
        <v>56</v>
      </c>
      <c r="IY30" t="s">
        <v>56</v>
      </c>
      <c r="IZ30" t="s">
        <v>56</v>
      </c>
      <c r="JA30" t="s">
        <v>56</v>
      </c>
      <c r="JB30" t="s">
        <v>28</v>
      </c>
      <c r="JC30" t="s">
        <v>41</v>
      </c>
      <c r="JD30" t="s">
        <v>41</v>
      </c>
      <c r="JE30" t="s">
        <v>56</v>
      </c>
      <c r="JF30" t="s">
        <v>28</v>
      </c>
      <c r="JG30" t="s">
        <v>28</v>
      </c>
      <c r="JH30" t="s">
        <v>56</v>
      </c>
      <c r="JI30" t="s">
        <v>41</v>
      </c>
      <c r="JJ30" t="s">
        <v>56</v>
      </c>
      <c r="JK30" t="s">
        <v>41</v>
      </c>
      <c r="JL30" t="s">
        <v>56</v>
      </c>
      <c r="JM30" t="s">
        <v>41</v>
      </c>
      <c r="JN30" t="s">
        <v>28</v>
      </c>
      <c r="JO30" t="s">
        <v>56</v>
      </c>
      <c r="JP30" t="s">
        <v>41</v>
      </c>
      <c r="JQ30" t="s">
        <v>41</v>
      </c>
      <c r="JR30" t="s">
        <v>41</v>
      </c>
      <c r="JS30" t="s">
        <v>41</v>
      </c>
      <c r="JT30" t="s">
        <v>28</v>
      </c>
      <c r="JU30" t="s">
        <v>41</v>
      </c>
      <c r="JV30" t="s">
        <v>28</v>
      </c>
      <c r="JW30" t="s">
        <v>41</v>
      </c>
      <c r="JX30" t="s">
        <v>28</v>
      </c>
      <c r="JY30" t="s">
        <v>28</v>
      </c>
      <c r="JZ30" t="s">
        <v>41</v>
      </c>
      <c r="KA30" t="s">
        <v>28</v>
      </c>
      <c r="KB30" t="s">
        <v>56</v>
      </c>
      <c r="KC30" t="s">
        <v>41</v>
      </c>
      <c r="KD30" t="s">
        <v>56</v>
      </c>
      <c r="KE30" t="s">
        <v>28</v>
      </c>
      <c r="KF30" t="s">
        <v>28</v>
      </c>
      <c r="KG30" t="s">
        <v>56</v>
      </c>
      <c r="KH30" t="s">
        <v>41</v>
      </c>
      <c r="KI30" t="s">
        <v>56</v>
      </c>
      <c r="KJ30" t="s">
        <v>28</v>
      </c>
      <c r="KK30" t="s">
        <v>41</v>
      </c>
      <c r="KL30" t="s">
        <v>56</v>
      </c>
      <c r="KM30" t="s">
        <v>56</v>
      </c>
      <c r="KN30" t="s">
        <v>41</v>
      </c>
      <c r="KO30" t="s">
        <v>56</v>
      </c>
      <c r="KP30" t="s">
        <v>41</v>
      </c>
      <c r="KQ30" t="s">
        <v>41</v>
      </c>
      <c r="KR30" t="s">
        <v>56</v>
      </c>
      <c r="KS30" t="s">
        <v>41</v>
      </c>
      <c r="KT30" t="s">
        <v>41</v>
      </c>
      <c r="KU30" t="s">
        <v>28</v>
      </c>
      <c r="KV30" t="s">
        <v>28</v>
      </c>
      <c r="KW30" t="s">
        <v>28</v>
      </c>
      <c r="KX30" t="s">
        <v>56</v>
      </c>
      <c r="KY30" t="s">
        <v>56</v>
      </c>
      <c r="KZ30" t="s">
        <v>56</v>
      </c>
      <c r="LA30" t="s">
        <v>56</v>
      </c>
      <c r="LB30" t="s">
        <v>41</v>
      </c>
      <c r="LC30" t="s">
        <v>41</v>
      </c>
      <c r="LD30" t="s">
        <v>28</v>
      </c>
      <c r="LE30" t="s">
        <v>41</v>
      </c>
      <c r="LF30" t="s">
        <v>56</v>
      </c>
      <c r="LG30" t="s">
        <v>41</v>
      </c>
      <c r="LH30" t="s">
        <v>28</v>
      </c>
      <c r="LI30" t="s">
        <v>56</v>
      </c>
      <c r="LJ30" t="s">
        <v>41</v>
      </c>
      <c r="LK30" t="s">
        <v>28</v>
      </c>
      <c r="LL30" t="s">
        <v>41</v>
      </c>
      <c r="LM30" t="s">
        <v>28</v>
      </c>
      <c r="LN30" t="s">
        <v>28</v>
      </c>
      <c r="LO30" t="s">
        <v>28</v>
      </c>
      <c r="LP30" t="s">
        <v>56</v>
      </c>
      <c r="LQ30" t="s">
        <v>41</v>
      </c>
      <c r="LR30" t="s">
        <v>41</v>
      </c>
      <c r="LS30" t="s">
        <v>56</v>
      </c>
      <c r="LT30" t="s">
        <v>56</v>
      </c>
      <c r="LU30" t="s">
        <v>41</v>
      </c>
      <c r="LV30" t="s">
        <v>56</v>
      </c>
      <c r="LW30" t="s">
        <v>56</v>
      </c>
      <c r="LX30" t="s">
        <v>41</v>
      </c>
      <c r="LY30" t="s">
        <v>28</v>
      </c>
      <c r="LZ30" t="s">
        <v>56</v>
      </c>
      <c r="MA30" t="s">
        <v>41</v>
      </c>
      <c r="MB30" t="s">
        <v>41</v>
      </c>
      <c r="MC30" t="s">
        <v>41</v>
      </c>
      <c r="MD30" t="s">
        <v>56</v>
      </c>
      <c r="ME30" t="s">
        <v>28</v>
      </c>
      <c r="MF30" t="s">
        <v>28</v>
      </c>
      <c r="MG30" t="s">
        <v>41</v>
      </c>
      <c r="MH30" t="s">
        <v>56</v>
      </c>
      <c r="MI30" t="s">
        <v>56</v>
      </c>
      <c r="MJ30" t="s">
        <v>28</v>
      </c>
      <c r="MK30" t="s">
        <v>28</v>
      </c>
      <c r="ML30" t="s">
        <v>56</v>
      </c>
      <c r="MM30" t="s">
        <v>28</v>
      </c>
      <c r="MN30" t="s">
        <v>41</v>
      </c>
      <c r="MO30" t="s">
        <v>28</v>
      </c>
      <c r="MP30" t="s">
        <v>56</v>
      </c>
      <c r="MQ30" t="s">
        <v>41</v>
      </c>
      <c r="MR30" t="s">
        <v>56</v>
      </c>
      <c r="MS30" t="s">
        <v>28</v>
      </c>
      <c r="MT30" t="s">
        <v>28</v>
      </c>
      <c r="MU30" t="s">
        <v>41</v>
      </c>
      <c r="MV30" t="s">
        <v>41</v>
      </c>
      <c r="MW30" t="s">
        <v>41</v>
      </c>
      <c r="MX30" t="s">
        <v>41</v>
      </c>
      <c r="MY30" t="s">
        <v>28</v>
      </c>
      <c r="MZ30" t="s">
        <v>56</v>
      </c>
      <c r="NA30" t="s">
        <v>28</v>
      </c>
      <c r="NB30" t="s">
        <v>28</v>
      </c>
      <c r="NC30" t="s">
        <v>41</v>
      </c>
      <c r="ND30" t="s">
        <v>41</v>
      </c>
      <c r="NE30" t="s">
        <v>56</v>
      </c>
      <c r="NF30" t="s">
        <v>56</v>
      </c>
      <c r="NG30" t="s">
        <v>28</v>
      </c>
      <c r="NH30" t="s">
        <v>56</v>
      </c>
      <c r="NI30" t="s">
        <v>41</v>
      </c>
      <c r="NJ30" t="s">
        <v>41</v>
      </c>
      <c r="NK30" t="s">
        <v>41</v>
      </c>
      <c r="NL30" t="s">
        <v>28</v>
      </c>
      <c r="NM30" t="s">
        <v>56</v>
      </c>
      <c r="NN30" t="s">
        <v>41</v>
      </c>
      <c r="NO30" t="s">
        <v>28</v>
      </c>
      <c r="NP30" t="s">
        <v>28</v>
      </c>
      <c r="NQ30" t="s">
        <v>28</v>
      </c>
      <c r="NR30" t="s">
        <v>56</v>
      </c>
      <c r="NS30" t="s">
        <v>56</v>
      </c>
      <c r="NT30" t="s">
        <v>56</v>
      </c>
      <c r="NU30" t="s">
        <v>28</v>
      </c>
      <c r="NV30" t="s">
        <v>28</v>
      </c>
      <c r="NW30" t="s">
        <v>56</v>
      </c>
      <c r="NX30" t="s">
        <v>41</v>
      </c>
      <c r="NY30" t="s">
        <v>56</v>
      </c>
      <c r="NZ30" t="s">
        <v>28</v>
      </c>
      <c r="OA30" t="s">
        <v>28</v>
      </c>
      <c r="OB30" t="s">
        <v>28</v>
      </c>
      <c r="OC30" t="s">
        <v>28</v>
      </c>
      <c r="OD30" t="s">
        <v>28</v>
      </c>
      <c r="OE30" t="s">
        <v>28</v>
      </c>
      <c r="OF30" t="s">
        <v>56</v>
      </c>
      <c r="OG30" t="s">
        <v>28</v>
      </c>
      <c r="OH30" t="s">
        <v>28</v>
      </c>
      <c r="OI30" t="s">
        <v>28</v>
      </c>
      <c r="OJ30" t="s">
        <v>28</v>
      </c>
      <c r="OK30" t="s">
        <v>28</v>
      </c>
      <c r="OL30" t="s">
        <v>41</v>
      </c>
      <c r="OM30" t="s">
        <v>56</v>
      </c>
      <c r="ON30" t="s">
        <v>56</v>
      </c>
      <c r="OO30" t="s">
        <v>41</v>
      </c>
      <c r="OP30" t="s">
        <v>41</v>
      </c>
      <c r="OQ30" t="s">
        <v>28</v>
      </c>
      <c r="OR30" t="s">
        <v>56</v>
      </c>
      <c r="OS30" t="s">
        <v>56</v>
      </c>
      <c r="OT30" t="s">
        <v>41</v>
      </c>
      <c r="OU30" t="s">
        <v>56</v>
      </c>
      <c r="OV30" t="s">
        <v>56</v>
      </c>
      <c r="OW30" t="s">
        <v>28</v>
      </c>
      <c r="OX30" t="s">
        <v>28</v>
      </c>
      <c r="OY30" t="s">
        <v>28</v>
      </c>
      <c r="OZ30" t="s">
        <v>56</v>
      </c>
      <c r="PA30" t="s">
        <v>56</v>
      </c>
      <c r="PB30" t="s">
        <v>28</v>
      </c>
      <c r="PC30" t="s">
        <v>28</v>
      </c>
      <c r="PD30" t="s">
        <v>56</v>
      </c>
      <c r="PE30" t="s">
        <v>56</v>
      </c>
      <c r="PF30" t="s">
        <v>41</v>
      </c>
      <c r="PG30" t="s">
        <v>28</v>
      </c>
      <c r="PH30" t="s">
        <v>28</v>
      </c>
      <c r="PI30" t="s">
        <v>28</v>
      </c>
      <c r="PJ30" t="s">
        <v>56</v>
      </c>
      <c r="PK30" t="s">
        <v>56</v>
      </c>
      <c r="PL30" t="s">
        <v>41</v>
      </c>
      <c r="PM30" t="s">
        <v>41</v>
      </c>
      <c r="PN30" t="s">
        <v>28</v>
      </c>
      <c r="PO30" t="s">
        <v>41</v>
      </c>
      <c r="PP30" t="s">
        <v>56</v>
      </c>
      <c r="PQ30" t="s">
        <v>41</v>
      </c>
      <c r="PR30" t="s">
        <v>41</v>
      </c>
      <c r="PS30" t="s">
        <v>56</v>
      </c>
      <c r="PT30" t="s">
        <v>28</v>
      </c>
      <c r="PU30" t="s">
        <v>28</v>
      </c>
      <c r="PV30" t="s">
        <v>41</v>
      </c>
      <c r="PW30" t="s">
        <v>56</v>
      </c>
      <c r="PX30" t="s">
        <v>56</v>
      </c>
      <c r="PY30" t="s">
        <v>41</v>
      </c>
      <c r="PZ30" t="s">
        <v>28</v>
      </c>
      <c r="QA30" t="s">
        <v>28</v>
      </c>
      <c r="QB30" t="s">
        <v>28</v>
      </c>
      <c r="QC30" t="s">
        <v>56</v>
      </c>
      <c r="QD30" t="s">
        <v>56</v>
      </c>
      <c r="QE30" t="s">
        <v>56</v>
      </c>
      <c r="QF30" t="s">
        <v>28</v>
      </c>
      <c r="QG30" t="s">
        <v>41</v>
      </c>
      <c r="QH30" t="s">
        <v>56</v>
      </c>
      <c r="QI30" t="s">
        <v>56</v>
      </c>
      <c r="QJ30" t="s">
        <v>41</v>
      </c>
      <c r="QK30" t="s">
        <v>28</v>
      </c>
      <c r="QL30" t="s">
        <v>56</v>
      </c>
      <c r="QM30" t="s">
        <v>28</v>
      </c>
      <c r="QN30" t="s">
        <v>56</v>
      </c>
      <c r="QO30" t="s">
        <v>56</v>
      </c>
      <c r="QP30" t="s">
        <v>41</v>
      </c>
      <c r="QQ30" t="s">
        <v>41</v>
      </c>
      <c r="QR30" t="s">
        <v>41</v>
      </c>
      <c r="QS30" t="s">
        <v>41</v>
      </c>
      <c r="QT30" t="s">
        <v>28</v>
      </c>
      <c r="QU30" t="s">
        <v>28</v>
      </c>
      <c r="QV30" t="s">
        <v>28</v>
      </c>
      <c r="QW30" t="s">
        <v>41</v>
      </c>
      <c r="QX30" t="s">
        <v>56</v>
      </c>
      <c r="QY30" t="s">
        <v>28</v>
      </c>
      <c r="QZ30" t="s">
        <v>41</v>
      </c>
      <c r="RA30" t="s">
        <v>41</v>
      </c>
      <c r="RB30" t="s">
        <v>41</v>
      </c>
      <c r="RC30" t="s">
        <v>28</v>
      </c>
      <c r="RD30" t="s">
        <v>56</v>
      </c>
      <c r="RE30" t="s">
        <v>28</v>
      </c>
      <c r="RF30" t="s">
        <v>41</v>
      </c>
      <c r="RG30" t="s">
        <v>41</v>
      </c>
      <c r="RH30" t="s">
        <v>41</v>
      </c>
      <c r="RI30" t="s">
        <v>28</v>
      </c>
      <c r="RJ30" t="s">
        <v>56</v>
      </c>
      <c r="RK30" t="s">
        <v>28</v>
      </c>
      <c r="RL30" t="s">
        <v>41</v>
      </c>
      <c r="RM30" t="s">
        <v>41</v>
      </c>
      <c r="RN30" t="s">
        <v>41</v>
      </c>
      <c r="RO30" t="s">
        <v>28</v>
      </c>
      <c r="RP30" t="s">
        <v>28</v>
      </c>
      <c r="RQ30" t="s">
        <v>28</v>
      </c>
      <c r="RR30" t="s">
        <v>41</v>
      </c>
      <c r="RS30" t="s">
        <v>28</v>
      </c>
      <c r="RT30" t="s">
        <v>56</v>
      </c>
      <c r="RU30" t="s">
        <v>56</v>
      </c>
      <c r="RV30" t="s">
        <v>56</v>
      </c>
      <c r="RW30" t="s">
        <v>28</v>
      </c>
      <c r="RX30" t="s">
        <v>41</v>
      </c>
      <c r="RY30" t="s">
        <v>41</v>
      </c>
      <c r="RZ30" t="s">
        <v>41</v>
      </c>
      <c r="SA30" t="s">
        <v>41</v>
      </c>
      <c r="SB30" t="s">
        <v>41</v>
      </c>
      <c r="SC30" t="s">
        <v>28</v>
      </c>
      <c r="SD30" t="s">
        <v>56</v>
      </c>
      <c r="SE30" t="s">
        <v>28</v>
      </c>
      <c r="SF30" t="s">
        <v>41</v>
      </c>
      <c r="SG30" t="s">
        <v>28</v>
      </c>
      <c r="SH30" t="s">
        <v>28</v>
      </c>
      <c r="SI30" t="s">
        <v>28</v>
      </c>
      <c r="SJ30" t="s">
        <v>41</v>
      </c>
      <c r="SK30" t="s">
        <v>41</v>
      </c>
      <c r="SL30" t="s">
        <v>41</v>
      </c>
      <c r="SM30" t="s">
        <v>28</v>
      </c>
      <c r="SN30" t="s">
        <v>28</v>
      </c>
      <c r="SO30" t="s">
        <v>56</v>
      </c>
      <c r="SP30" t="s">
        <v>56</v>
      </c>
      <c r="SQ30" t="s">
        <v>41</v>
      </c>
      <c r="SR30" t="s">
        <v>56</v>
      </c>
      <c r="SS30" t="s">
        <v>41</v>
      </c>
      <c r="ST30" t="s">
        <v>41</v>
      </c>
      <c r="SU30" t="s">
        <v>28</v>
      </c>
      <c r="SV30" t="s">
        <v>56</v>
      </c>
      <c r="SW30" t="s">
        <v>41</v>
      </c>
      <c r="SX30" t="s">
        <v>41</v>
      </c>
      <c r="SY30" t="s">
        <v>56</v>
      </c>
      <c r="SZ30" t="s">
        <v>56</v>
      </c>
      <c r="TA30" t="s">
        <v>56</v>
      </c>
      <c r="TB30" t="s">
        <v>56</v>
      </c>
      <c r="TC30" t="s">
        <v>56</v>
      </c>
      <c r="TD30" t="s">
        <v>56</v>
      </c>
      <c r="TE30" t="s">
        <v>56</v>
      </c>
      <c r="TF30" t="s">
        <v>41</v>
      </c>
      <c r="TG30" t="s">
        <v>28</v>
      </c>
      <c r="TH30" t="s">
        <v>41</v>
      </c>
      <c r="TI30" t="s">
        <v>41</v>
      </c>
      <c r="TJ30" t="s">
        <v>28</v>
      </c>
      <c r="TK30" t="s">
        <v>28</v>
      </c>
      <c r="TL30" t="s">
        <v>28</v>
      </c>
      <c r="TM30" t="s">
        <v>56</v>
      </c>
      <c r="TN30" t="s">
        <v>56</v>
      </c>
      <c r="TO30" t="s">
        <v>56</v>
      </c>
      <c r="TP30" t="s">
        <v>41</v>
      </c>
      <c r="TQ30" t="s">
        <v>28</v>
      </c>
      <c r="TR30" t="s">
        <v>28</v>
      </c>
      <c r="TS30" t="s">
        <v>41</v>
      </c>
      <c r="TT30" t="s">
        <v>56</v>
      </c>
      <c r="TU30" t="s">
        <v>28</v>
      </c>
      <c r="TV30" t="s">
        <v>41</v>
      </c>
      <c r="TW30" t="s">
        <v>56</v>
      </c>
      <c r="TX30" t="s">
        <v>41</v>
      </c>
      <c r="TY30" t="s">
        <v>56</v>
      </c>
      <c r="TZ30" t="s">
        <v>41</v>
      </c>
      <c r="UA30" t="s">
        <v>56</v>
      </c>
      <c r="UB30" t="s">
        <v>41</v>
      </c>
      <c r="UC30" t="s">
        <v>41</v>
      </c>
      <c r="UD30" t="s">
        <v>41</v>
      </c>
      <c r="UE30" t="s">
        <v>41</v>
      </c>
      <c r="UF30" t="s">
        <v>28</v>
      </c>
      <c r="UG30" t="s">
        <v>28</v>
      </c>
      <c r="UH30" t="s">
        <v>28</v>
      </c>
      <c r="UI30" t="s">
        <v>28</v>
      </c>
      <c r="UJ30" t="s">
        <v>41</v>
      </c>
      <c r="UK30" t="s">
        <v>28</v>
      </c>
      <c r="UL30" t="s">
        <v>28</v>
      </c>
      <c r="UM30" t="s">
        <v>41</v>
      </c>
      <c r="UN30" t="s">
        <v>28</v>
      </c>
      <c r="UO30" t="s">
        <v>28</v>
      </c>
      <c r="UP30" t="s">
        <v>56</v>
      </c>
      <c r="UQ30" t="s">
        <v>28</v>
      </c>
      <c r="UR30" t="s">
        <v>56</v>
      </c>
      <c r="US30" t="s">
        <v>28</v>
      </c>
      <c r="UT30" t="s">
        <v>41</v>
      </c>
      <c r="UU30" t="s">
        <v>28</v>
      </c>
      <c r="UV30" t="s">
        <v>41</v>
      </c>
      <c r="UW30" t="s">
        <v>28</v>
      </c>
      <c r="UX30" t="s">
        <v>28</v>
      </c>
      <c r="UY30" t="s">
        <v>41</v>
      </c>
      <c r="UZ30" t="s">
        <v>41</v>
      </c>
      <c r="VA30" t="s">
        <v>41</v>
      </c>
      <c r="VB30" t="s">
        <v>41</v>
      </c>
      <c r="VC30" t="s">
        <v>56</v>
      </c>
      <c r="VD30" t="s">
        <v>56</v>
      </c>
      <c r="VE30" t="s">
        <v>41</v>
      </c>
      <c r="VF30" t="s">
        <v>56</v>
      </c>
      <c r="VG30" t="s">
        <v>28</v>
      </c>
      <c r="VH30" t="s">
        <v>28</v>
      </c>
      <c r="VI30" t="s">
        <v>28</v>
      </c>
      <c r="VJ30" t="s">
        <v>56</v>
      </c>
      <c r="VK30" t="s">
        <v>56</v>
      </c>
      <c r="VL30" t="s">
        <v>28</v>
      </c>
      <c r="VM30" t="s">
        <v>41</v>
      </c>
      <c r="VN30" t="s">
        <v>28</v>
      </c>
      <c r="VO30" t="s">
        <v>56</v>
      </c>
      <c r="VP30" t="s">
        <v>28</v>
      </c>
      <c r="VQ30" t="s">
        <v>28</v>
      </c>
      <c r="VR30" t="s">
        <v>56</v>
      </c>
      <c r="VS30" t="s">
        <v>56</v>
      </c>
      <c r="VT30" t="s">
        <v>56</v>
      </c>
      <c r="VU30" t="s">
        <v>56</v>
      </c>
      <c r="VV30" t="s">
        <v>28</v>
      </c>
      <c r="VW30" t="s">
        <v>56</v>
      </c>
      <c r="VX30" t="s">
        <v>41</v>
      </c>
      <c r="VY30" t="s">
        <v>56</v>
      </c>
      <c r="VZ30" t="s">
        <v>56</v>
      </c>
      <c r="WA30" t="s">
        <v>28</v>
      </c>
      <c r="WB30" t="s">
        <v>41</v>
      </c>
      <c r="WC30" t="s">
        <v>41</v>
      </c>
      <c r="WD30" t="s">
        <v>41</v>
      </c>
      <c r="WE30" t="s">
        <v>56</v>
      </c>
      <c r="WF30" t="s">
        <v>28</v>
      </c>
      <c r="WG30" t="s">
        <v>28</v>
      </c>
      <c r="WH30" t="s">
        <v>56</v>
      </c>
      <c r="WI30" t="s">
        <v>41</v>
      </c>
      <c r="WJ30" t="s">
        <v>41</v>
      </c>
      <c r="WK30" t="s">
        <v>28</v>
      </c>
      <c r="WL30" t="s">
        <v>56</v>
      </c>
      <c r="WM30" t="s">
        <v>41</v>
      </c>
      <c r="WN30" t="s">
        <v>56</v>
      </c>
      <c r="WO30" t="s">
        <v>28</v>
      </c>
      <c r="WP30" t="s">
        <v>56</v>
      </c>
      <c r="WQ30" t="s">
        <v>56</v>
      </c>
      <c r="WR30" t="s">
        <v>56</v>
      </c>
      <c r="WS30" t="s">
        <v>56</v>
      </c>
      <c r="WT30" t="s">
        <v>41</v>
      </c>
      <c r="WU30" t="s">
        <v>28</v>
      </c>
      <c r="WV30" t="s">
        <v>41</v>
      </c>
      <c r="WW30" t="s">
        <v>41</v>
      </c>
      <c r="WX30" t="s">
        <v>41</v>
      </c>
      <c r="WY30" t="s">
        <v>41</v>
      </c>
      <c r="WZ30" t="s">
        <v>28</v>
      </c>
      <c r="XA30" t="s">
        <v>28</v>
      </c>
      <c r="XB30" t="s">
        <v>41</v>
      </c>
      <c r="XC30" t="s">
        <v>56</v>
      </c>
      <c r="XD30" t="s">
        <v>56</v>
      </c>
      <c r="XE30" t="s">
        <v>56</v>
      </c>
      <c r="XF30" t="s">
        <v>56</v>
      </c>
      <c r="XG30" t="s">
        <v>56</v>
      </c>
      <c r="XH30" t="s">
        <v>28</v>
      </c>
      <c r="XI30" t="s">
        <v>56</v>
      </c>
      <c r="XJ30" t="s">
        <v>28</v>
      </c>
      <c r="XK30" t="s">
        <v>56</v>
      </c>
      <c r="XL30" t="s">
        <v>56</v>
      </c>
      <c r="XM30" t="s">
        <v>41</v>
      </c>
      <c r="XN30" t="s">
        <v>41</v>
      </c>
      <c r="XO30" t="s">
        <v>41</v>
      </c>
      <c r="XP30" t="s">
        <v>28</v>
      </c>
      <c r="XQ30" t="s">
        <v>28</v>
      </c>
      <c r="XR30" t="s">
        <v>41</v>
      </c>
      <c r="XS30" t="s">
        <v>41</v>
      </c>
      <c r="XT30" t="s">
        <v>56</v>
      </c>
      <c r="XU30" t="s">
        <v>28</v>
      </c>
      <c r="XV30" t="s">
        <v>56</v>
      </c>
      <c r="XW30" t="s">
        <v>56</v>
      </c>
      <c r="XX30" t="s">
        <v>41</v>
      </c>
      <c r="XY30" t="s">
        <v>56</v>
      </c>
      <c r="XZ30" t="s">
        <v>56</v>
      </c>
      <c r="YA30" t="s">
        <v>41</v>
      </c>
      <c r="YB30" t="s">
        <v>41</v>
      </c>
      <c r="YC30" t="s">
        <v>56</v>
      </c>
      <c r="YD30" t="s">
        <v>56</v>
      </c>
      <c r="YE30" t="s">
        <v>56</v>
      </c>
      <c r="YF30" t="s">
        <v>28</v>
      </c>
      <c r="YG30" t="s">
        <v>56</v>
      </c>
      <c r="YH30" t="s">
        <v>41</v>
      </c>
      <c r="YI30" t="s">
        <v>56</v>
      </c>
      <c r="YJ30" t="s">
        <v>28</v>
      </c>
      <c r="YK30" t="s">
        <v>56</v>
      </c>
      <c r="YL30" t="s">
        <v>28</v>
      </c>
      <c r="YM30" t="s">
        <v>28</v>
      </c>
      <c r="YN30" t="s">
        <v>41</v>
      </c>
      <c r="YO30" t="s">
        <v>56</v>
      </c>
      <c r="YP30" t="s">
        <v>28</v>
      </c>
      <c r="YQ30" t="s">
        <v>56</v>
      </c>
      <c r="YR30" t="s">
        <v>28</v>
      </c>
      <c r="YS30" t="s">
        <v>41</v>
      </c>
      <c r="YT30" t="s">
        <v>41</v>
      </c>
      <c r="YU30" t="s">
        <v>56</v>
      </c>
      <c r="YV30" t="s">
        <v>56</v>
      </c>
      <c r="YW30" t="s">
        <v>56</v>
      </c>
      <c r="YX30" t="s">
        <v>56</v>
      </c>
      <c r="YY30" t="s">
        <v>56</v>
      </c>
      <c r="YZ30" t="s">
        <v>28</v>
      </c>
      <c r="ZA30" t="s">
        <v>56</v>
      </c>
      <c r="ZB30" t="s">
        <v>28</v>
      </c>
      <c r="ZC30" t="s">
        <v>28</v>
      </c>
      <c r="ZD30" t="s">
        <v>28</v>
      </c>
      <c r="ZE30" t="s">
        <v>56</v>
      </c>
      <c r="ZF30" t="s">
        <v>41</v>
      </c>
      <c r="ZG30" t="s">
        <v>41</v>
      </c>
      <c r="ZH30" t="s">
        <v>56</v>
      </c>
      <c r="ZI30" t="s">
        <v>56</v>
      </c>
      <c r="ZJ30" t="s">
        <v>56</v>
      </c>
      <c r="ZK30" t="s">
        <v>28</v>
      </c>
      <c r="ZL30" t="s">
        <v>41</v>
      </c>
      <c r="ZM30" t="s">
        <v>41</v>
      </c>
      <c r="ZN30" t="s">
        <v>41</v>
      </c>
      <c r="ZO30" t="s">
        <v>41</v>
      </c>
      <c r="ZP30" t="s">
        <v>28</v>
      </c>
      <c r="ZQ30" t="s">
        <v>56</v>
      </c>
      <c r="ZR30" t="s">
        <v>28</v>
      </c>
      <c r="ZS30" t="s">
        <v>56</v>
      </c>
      <c r="ZT30" t="s">
        <v>56</v>
      </c>
      <c r="ZU30" t="s">
        <v>41</v>
      </c>
      <c r="ZV30" t="s">
        <v>41</v>
      </c>
      <c r="ZW30" t="s">
        <v>56</v>
      </c>
      <c r="ZX30" t="s">
        <v>56</v>
      </c>
      <c r="ZY30" t="s">
        <v>41</v>
      </c>
      <c r="ZZ30" t="s">
        <v>41</v>
      </c>
      <c r="AAA30" t="s">
        <v>41</v>
      </c>
      <c r="AAB30" t="s">
        <v>41</v>
      </c>
      <c r="AAC30" t="s">
        <v>41</v>
      </c>
      <c r="AAD30" t="s">
        <v>28</v>
      </c>
      <c r="AAE30" t="s">
        <v>28</v>
      </c>
      <c r="AAF30" t="s">
        <v>28</v>
      </c>
      <c r="AAG30" t="s">
        <v>41</v>
      </c>
      <c r="AAH30" t="s">
        <v>56</v>
      </c>
      <c r="AAI30" t="s">
        <v>56</v>
      </c>
      <c r="AAJ30" t="s">
        <v>41</v>
      </c>
      <c r="AAK30" t="s">
        <v>28</v>
      </c>
      <c r="AAL30" t="s">
        <v>56</v>
      </c>
      <c r="AAM30" t="s">
        <v>41</v>
      </c>
      <c r="AAN30" t="s">
        <v>28</v>
      </c>
      <c r="AAO30" t="s">
        <v>28</v>
      </c>
      <c r="AAP30" t="s">
        <v>28</v>
      </c>
      <c r="AAQ30" t="s">
        <v>28</v>
      </c>
      <c r="AAR30" t="s">
        <v>28</v>
      </c>
      <c r="AAS30" t="s">
        <v>28</v>
      </c>
      <c r="AAT30" t="s">
        <v>28</v>
      </c>
      <c r="AAU30" t="s">
        <v>28</v>
      </c>
      <c r="AAV30" t="s">
        <v>28</v>
      </c>
      <c r="AAW30" t="s">
        <v>28</v>
      </c>
      <c r="AAX30" t="s">
        <v>41</v>
      </c>
      <c r="AAY30" t="s">
        <v>56</v>
      </c>
      <c r="AAZ30" t="s">
        <v>41</v>
      </c>
      <c r="ABA30" t="s">
        <v>56</v>
      </c>
      <c r="ABB30" t="s">
        <v>41</v>
      </c>
      <c r="ABC30" t="s">
        <v>56</v>
      </c>
      <c r="ABD30" t="s">
        <v>56</v>
      </c>
      <c r="ABE30" t="s">
        <v>56</v>
      </c>
      <c r="ABF30" t="s">
        <v>41</v>
      </c>
      <c r="ABG30" t="s">
        <v>56</v>
      </c>
      <c r="ABH30" t="s">
        <v>28</v>
      </c>
      <c r="ABI30" t="s">
        <v>56</v>
      </c>
      <c r="ABJ30" t="s">
        <v>41</v>
      </c>
      <c r="ABK30" t="s">
        <v>41</v>
      </c>
      <c r="ABL30" t="s">
        <v>28</v>
      </c>
      <c r="ABM30" t="s">
        <v>56</v>
      </c>
      <c r="ABN30" t="s">
        <v>41</v>
      </c>
      <c r="ABO30" t="s">
        <v>56</v>
      </c>
      <c r="ABP30" t="s">
        <v>28</v>
      </c>
      <c r="ABQ30" t="s">
        <v>28</v>
      </c>
      <c r="ABR30" t="s">
        <v>41</v>
      </c>
      <c r="ABS30" t="s">
        <v>56</v>
      </c>
      <c r="ABT30" t="s">
        <v>28</v>
      </c>
      <c r="ABU30" t="s">
        <v>28</v>
      </c>
      <c r="ABV30" t="s">
        <v>41</v>
      </c>
      <c r="ABW30" t="s">
        <v>28</v>
      </c>
      <c r="ABX30" t="s">
        <v>41</v>
      </c>
      <c r="ABY30" t="s">
        <v>28</v>
      </c>
      <c r="ABZ30" t="s">
        <v>28</v>
      </c>
      <c r="ACA30" t="s">
        <v>41</v>
      </c>
      <c r="ACB30" t="s">
        <v>41</v>
      </c>
      <c r="ACC30" t="s">
        <v>56</v>
      </c>
      <c r="ACD30" t="s">
        <v>28</v>
      </c>
      <c r="ACE30" t="s">
        <v>56</v>
      </c>
      <c r="ACF30" t="s">
        <v>56</v>
      </c>
      <c r="ACG30" t="s">
        <v>41</v>
      </c>
      <c r="ACH30" t="s">
        <v>28</v>
      </c>
      <c r="ACI30" t="s">
        <v>41</v>
      </c>
      <c r="ACJ30" t="s">
        <v>28</v>
      </c>
      <c r="ACK30" t="s">
        <v>41</v>
      </c>
      <c r="ACL30" t="s">
        <v>28</v>
      </c>
      <c r="ACM30" t="s">
        <v>56</v>
      </c>
      <c r="ACN30" t="s">
        <v>28</v>
      </c>
      <c r="ACO30" t="s">
        <v>28</v>
      </c>
      <c r="ACP30" t="s">
        <v>41</v>
      </c>
      <c r="ACQ30" t="s">
        <v>28</v>
      </c>
      <c r="ACR30" t="s">
        <v>28</v>
      </c>
      <c r="ACS30" t="s">
        <v>28</v>
      </c>
      <c r="ACT30" t="s">
        <v>28</v>
      </c>
      <c r="ACU30" t="s">
        <v>56</v>
      </c>
      <c r="ACV30" t="s">
        <v>41</v>
      </c>
      <c r="ACW30" t="s">
        <v>28</v>
      </c>
      <c r="ACX30" t="s">
        <v>41</v>
      </c>
      <c r="ACY30" t="s">
        <v>56</v>
      </c>
      <c r="ACZ30" t="s">
        <v>56</v>
      </c>
      <c r="ADA30" t="s">
        <v>28</v>
      </c>
      <c r="ADB30" t="s">
        <v>41</v>
      </c>
      <c r="ADC30" t="s">
        <v>41</v>
      </c>
      <c r="ADD30" t="s">
        <v>41</v>
      </c>
      <c r="ADE30" t="s">
        <v>56</v>
      </c>
      <c r="ADF30" t="s">
        <v>56</v>
      </c>
      <c r="ADG30" t="s">
        <v>28</v>
      </c>
      <c r="ADH30" t="s">
        <v>41</v>
      </c>
      <c r="ADI30" t="s">
        <v>41</v>
      </c>
      <c r="ADJ30" t="s">
        <v>56</v>
      </c>
      <c r="ADK30" t="s">
        <v>28</v>
      </c>
      <c r="ADL30" t="s">
        <v>28</v>
      </c>
      <c r="ADM30" t="s">
        <v>28</v>
      </c>
      <c r="ADN30" t="s">
        <v>56</v>
      </c>
      <c r="ADO30" t="s">
        <v>41</v>
      </c>
      <c r="ADP30" t="s">
        <v>28</v>
      </c>
      <c r="ADQ30" t="s">
        <v>28</v>
      </c>
      <c r="ADR30" t="s">
        <v>41</v>
      </c>
      <c r="ADS30" t="s">
        <v>28</v>
      </c>
      <c r="ADT30" t="s">
        <v>56</v>
      </c>
      <c r="ADU30" t="s">
        <v>28</v>
      </c>
      <c r="ADV30" t="s">
        <v>41</v>
      </c>
      <c r="ADW30" t="s">
        <v>56</v>
      </c>
      <c r="ADX30" t="s">
        <v>28</v>
      </c>
      <c r="ADY30" t="s">
        <v>41</v>
      </c>
      <c r="ADZ30" t="s">
        <v>41</v>
      </c>
      <c r="AEA30" t="s">
        <v>41</v>
      </c>
      <c r="AEB30" t="s">
        <v>41</v>
      </c>
      <c r="AEC30" t="s">
        <v>28</v>
      </c>
      <c r="AED30" t="s">
        <v>28</v>
      </c>
      <c r="AEE30" t="s">
        <v>56</v>
      </c>
      <c r="AEF30" t="s">
        <v>56</v>
      </c>
      <c r="AEG30" t="s">
        <v>41</v>
      </c>
      <c r="AEH30" t="s">
        <v>41</v>
      </c>
      <c r="AEI30" t="s">
        <v>56</v>
      </c>
      <c r="AEJ30" t="s">
        <v>28</v>
      </c>
      <c r="AEK30" t="s">
        <v>28</v>
      </c>
      <c r="AEL30" t="s">
        <v>28</v>
      </c>
      <c r="AEM30" t="s">
        <v>41</v>
      </c>
      <c r="AEN30" t="s">
        <v>56</v>
      </c>
      <c r="AEO30" t="s">
        <v>56</v>
      </c>
      <c r="AEP30" t="s">
        <v>56</v>
      </c>
      <c r="AEQ30" t="s">
        <v>28</v>
      </c>
      <c r="AER30" t="s">
        <v>56</v>
      </c>
      <c r="AES30" t="s">
        <v>56</v>
      </c>
      <c r="AET30" t="s">
        <v>28</v>
      </c>
      <c r="AEU30" t="s">
        <v>41</v>
      </c>
      <c r="AEV30" t="s">
        <v>41</v>
      </c>
      <c r="AEW30" t="s">
        <v>28</v>
      </c>
      <c r="AEX30" t="s">
        <v>56</v>
      </c>
      <c r="AEY30" t="s">
        <v>41</v>
      </c>
      <c r="AEZ30" t="s">
        <v>41</v>
      </c>
      <c r="AFA30" t="s">
        <v>41</v>
      </c>
      <c r="AFB30" t="s">
        <v>28</v>
      </c>
      <c r="AFC30" t="s">
        <v>41</v>
      </c>
      <c r="AFD30" t="s">
        <v>56</v>
      </c>
      <c r="AFE30" t="s">
        <v>28</v>
      </c>
      <c r="AFF30" t="s">
        <v>28</v>
      </c>
      <c r="AFG30" t="s">
        <v>41</v>
      </c>
      <c r="AFH30" t="s">
        <v>56</v>
      </c>
      <c r="AFI30" t="s">
        <v>28</v>
      </c>
      <c r="AFJ30" t="s">
        <v>41</v>
      </c>
      <c r="AFK30" t="s">
        <v>56</v>
      </c>
      <c r="AFL30" t="s">
        <v>56</v>
      </c>
      <c r="AFM30" t="s">
        <v>28</v>
      </c>
      <c r="AFN30" t="s">
        <v>41</v>
      </c>
      <c r="AFO30" t="s">
        <v>56</v>
      </c>
      <c r="AFP30" t="s">
        <v>28</v>
      </c>
      <c r="AFQ30" t="s">
        <v>28</v>
      </c>
      <c r="AFR30" t="s">
        <v>28</v>
      </c>
      <c r="AFS30" t="s">
        <v>28</v>
      </c>
      <c r="AFT30" t="s">
        <v>28</v>
      </c>
      <c r="AFU30" t="s">
        <v>56</v>
      </c>
      <c r="AFV30" t="s">
        <v>28</v>
      </c>
      <c r="AFW30" t="s">
        <v>41</v>
      </c>
      <c r="AFX30" t="s">
        <v>41</v>
      </c>
      <c r="AFY30" t="s">
        <v>56</v>
      </c>
      <c r="AFZ30" t="s">
        <v>28</v>
      </c>
      <c r="AGA30" t="s">
        <v>28</v>
      </c>
      <c r="AGB30" t="s">
        <v>56</v>
      </c>
      <c r="AGC30" t="s">
        <v>28</v>
      </c>
      <c r="AGD30" t="s">
        <v>28</v>
      </c>
      <c r="AGE30" t="s">
        <v>41</v>
      </c>
      <c r="AGF30" t="s">
        <v>28</v>
      </c>
      <c r="AGG30" t="s">
        <v>56</v>
      </c>
      <c r="AGH30" t="s">
        <v>41</v>
      </c>
      <c r="AGI30" t="s">
        <v>56</v>
      </c>
      <c r="AGJ30" t="s">
        <v>56</v>
      </c>
      <c r="AGK30" t="s">
        <v>28</v>
      </c>
      <c r="AGL30" t="s">
        <v>28</v>
      </c>
      <c r="AGM30" t="s">
        <v>41</v>
      </c>
      <c r="AGN30" t="s">
        <v>56</v>
      </c>
      <c r="AGO30" t="s">
        <v>56</v>
      </c>
      <c r="AGP30" t="s">
        <v>28</v>
      </c>
      <c r="AGQ30" t="s">
        <v>56</v>
      </c>
      <c r="AGR30" t="s">
        <v>56</v>
      </c>
      <c r="AGS30" t="s">
        <v>56</v>
      </c>
    </row>
    <row r="31" spans="1:885" x14ac:dyDescent="0.25">
      <c r="A31" s="1" t="s">
        <v>15</v>
      </c>
      <c r="B31" t="s">
        <v>29</v>
      </c>
      <c r="C31" t="s">
        <v>37</v>
      </c>
      <c r="D31" t="s">
        <v>42</v>
      </c>
      <c r="E31" t="s">
        <v>48</v>
      </c>
      <c r="F31" t="s">
        <v>29</v>
      </c>
      <c r="G31" t="s">
        <v>29</v>
      </c>
      <c r="H31" t="s">
        <v>48</v>
      </c>
      <c r="I31" t="s">
        <v>42</v>
      </c>
      <c r="J31" t="s">
        <v>59</v>
      </c>
      <c r="K31" t="s">
        <v>62</v>
      </c>
      <c r="L31" t="s">
        <v>42</v>
      </c>
      <c r="M31" t="s">
        <v>48</v>
      </c>
      <c r="N31" t="s">
        <v>37</v>
      </c>
      <c r="O31" t="s">
        <v>37</v>
      </c>
      <c r="P31" t="s">
        <v>48</v>
      </c>
      <c r="Q31" t="s">
        <v>37</v>
      </c>
      <c r="R31" t="s">
        <v>48</v>
      </c>
      <c r="S31" t="s">
        <v>29</v>
      </c>
      <c r="T31" t="s">
        <v>59</v>
      </c>
      <c r="U31" t="s">
        <v>29</v>
      </c>
      <c r="V31" t="s">
        <v>29</v>
      </c>
      <c r="W31" t="s">
        <v>29</v>
      </c>
      <c r="X31" t="s">
        <v>48</v>
      </c>
      <c r="Y31" t="s">
        <v>42</v>
      </c>
      <c r="Z31" t="s">
        <v>62</v>
      </c>
      <c r="AA31" t="s">
        <v>62</v>
      </c>
      <c r="AB31" t="s">
        <v>59</v>
      </c>
      <c r="AC31" t="s">
        <v>59</v>
      </c>
      <c r="AD31" t="s">
        <v>48</v>
      </c>
      <c r="AE31" t="s">
        <v>62</v>
      </c>
      <c r="AF31" t="s">
        <v>42</v>
      </c>
      <c r="AG31" t="s">
        <v>48</v>
      </c>
      <c r="AH31" t="s">
        <v>59</v>
      </c>
      <c r="AI31" t="s">
        <v>48</v>
      </c>
      <c r="AJ31" t="s">
        <v>59</v>
      </c>
      <c r="AK31" t="s">
        <v>62</v>
      </c>
      <c r="AL31" t="s">
        <v>48</v>
      </c>
      <c r="AM31" t="s">
        <v>29</v>
      </c>
      <c r="AN31" t="s">
        <v>37</v>
      </c>
      <c r="AO31" t="s">
        <v>59</v>
      </c>
      <c r="AP31" t="s">
        <v>29</v>
      </c>
      <c r="AQ31" t="s">
        <v>59</v>
      </c>
      <c r="AR31" t="s">
        <v>29</v>
      </c>
      <c r="AS31" t="s">
        <v>62</v>
      </c>
      <c r="AT31" t="s">
        <v>62</v>
      </c>
      <c r="AU31" t="s">
        <v>42</v>
      </c>
      <c r="AV31" t="s">
        <v>42</v>
      </c>
      <c r="AW31" t="s">
        <v>42</v>
      </c>
      <c r="AX31" t="s">
        <v>48</v>
      </c>
      <c r="AY31" t="s">
        <v>59</v>
      </c>
      <c r="AZ31" t="s">
        <v>48</v>
      </c>
      <c r="BA31" t="s">
        <v>42</v>
      </c>
      <c r="BB31" t="s">
        <v>59</v>
      </c>
      <c r="BC31" t="s">
        <v>48</v>
      </c>
      <c r="BD31" t="s">
        <v>62</v>
      </c>
      <c r="BE31" t="s">
        <v>59</v>
      </c>
      <c r="BF31" t="s">
        <v>42</v>
      </c>
      <c r="BG31" t="s">
        <v>62</v>
      </c>
      <c r="BH31" t="s">
        <v>59</v>
      </c>
      <c r="BI31" t="s">
        <v>48</v>
      </c>
      <c r="BJ31" t="s">
        <v>37</v>
      </c>
      <c r="BK31" t="s">
        <v>37</v>
      </c>
      <c r="BL31" t="s">
        <v>42</v>
      </c>
      <c r="BM31" t="s">
        <v>48</v>
      </c>
      <c r="BN31" t="s">
        <v>62</v>
      </c>
      <c r="BO31" t="s">
        <v>62</v>
      </c>
      <c r="BP31" t="s">
        <v>62</v>
      </c>
      <c r="BQ31" t="s">
        <v>59</v>
      </c>
      <c r="BR31" t="s">
        <v>42</v>
      </c>
      <c r="BS31" t="s">
        <v>37</v>
      </c>
      <c r="BT31" t="s">
        <v>62</v>
      </c>
      <c r="BU31" t="s">
        <v>48</v>
      </c>
      <c r="BV31" t="s">
        <v>42</v>
      </c>
      <c r="BW31" t="s">
        <v>37</v>
      </c>
      <c r="BX31" t="s">
        <v>48</v>
      </c>
      <c r="BY31" t="s">
        <v>48</v>
      </c>
      <c r="BZ31" t="s">
        <v>62</v>
      </c>
      <c r="CA31" t="s">
        <v>42</v>
      </c>
      <c r="CB31" t="s">
        <v>29</v>
      </c>
      <c r="CC31" t="s">
        <v>59</v>
      </c>
      <c r="CD31" t="s">
        <v>29</v>
      </c>
      <c r="CE31" t="s">
        <v>59</v>
      </c>
      <c r="CF31" t="s">
        <v>42</v>
      </c>
      <c r="CG31" t="s">
        <v>37</v>
      </c>
      <c r="CH31" t="s">
        <v>62</v>
      </c>
      <c r="CI31" t="s">
        <v>42</v>
      </c>
      <c r="CJ31" t="s">
        <v>29</v>
      </c>
      <c r="CK31" t="s">
        <v>48</v>
      </c>
      <c r="CL31" t="s">
        <v>59</v>
      </c>
      <c r="CM31" t="s">
        <v>59</v>
      </c>
      <c r="CN31" t="s">
        <v>29</v>
      </c>
      <c r="CO31" t="s">
        <v>62</v>
      </c>
      <c r="CP31" t="s">
        <v>42</v>
      </c>
      <c r="CQ31" t="s">
        <v>29</v>
      </c>
      <c r="CR31" t="s">
        <v>42</v>
      </c>
      <c r="CS31" t="s">
        <v>62</v>
      </c>
      <c r="CT31" t="s">
        <v>48</v>
      </c>
      <c r="CU31" t="s">
        <v>42</v>
      </c>
      <c r="CV31" t="s">
        <v>62</v>
      </c>
      <c r="CW31" t="s">
        <v>29</v>
      </c>
      <c r="CX31" t="s">
        <v>37</v>
      </c>
      <c r="CY31" t="s">
        <v>48</v>
      </c>
      <c r="CZ31" t="s">
        <v>48</v>
      </c>
      <c r="DA31" t="s">
        <v>48</v>
      </c>
      <c r="DB31" t="s">
        <v>59</v>
      </c>
      <c r="DC31" t="s">
        <v>37</v>
      </c>
      <c r="DD31" t="s">
        <v>62</v>
      </c>
      <c r="DE31" t="s">
        <v>42</v>
      </c>
      <c r="DF31" t="s">
        <v>29</v>
      </c>
      <c r="DG31" t="s">
        <v>48</v>
      </c>
      <c r="DH31" t="s">
        <v>48</v>
      </c>
      <c r="DI31" t="s">
        <v>48</v>
      </c>
      <c r="DJ31" t="s">
        <v>62</v>
      </c>
      <c r="DK31" t="s">
        <v>29</v>
      </c>
      <c r="DL31" t="s">
        <v>62</v>
      </c>
      <c r="DM31" t="s">
        <v>29</v>
      </c>
      <c r="DN31" t="s">
        <v>42</v>
      </c>
      <c r="DO31" t="s">
        <v>59</v>
      </c>
      <c r="DP31" t="s">
        <v>29</v>
      </c>
      <c r="DQ31" t="s">
        <v>37</v>
      </c>
      <c r="DR31" t="s">
        <v>62</v>
      </c>
      <c r="DS31" t="s">
        <v>62</v>
      </c>
      <c r="DT31" t="s">
        <v>62</v>
      </c>
      <c r="DU31" t="s">
        <v>59</v>
      </c>
      <c r="DV31" t="s">
        <v>29</v>
      </c>
      <c r="DW31" t="s">
        <v>29</v>
      </c>
      <c r="DX31" t="s">
        <v>29</v>
      </c>
      <c r="DY31" t="s">
        <v>29</v>
      </c>
      <c r="DZ31" t="s">
        <v>48</v>
      </c>
      <c r="EA31" t="s">
        <v>48</v>
      </c>
      <c r="EB31" t="s">
        <v>37</v>
      </c>
      <c r="EC31" t="s">
        <v>62</v>
      </c>
      <c r="ED31" t="s">
        <v>48</v>
      </c>
      <c r="EE31" t="s">
        <v>29</v>
      </c>
      <c r="EF31" t="s">
        <v>29</v>
      </c>
      <c r="EG31" t="s">
        <v>48</v>
      </c>
      <c r="EH31" t="s">
        <v>42</v>
      </c>
      <c r="EI31" t="s">
        <v>37</v>
      </c>
      <c r="EJ31" t="s">
        <v>62</v>
      </c>
      <c r="EK31" t="s">
        <v>59</v>
      </c>
      <c r="EL31" t="s">
        <v>37</v>
      </c>
      <c r="EM31" t="s">
        <v>62</v>
      </c>
      <c r="EN31" t="s">
        <v>62</v>
      </c>
      <c r="EO31" t="s">
        <v>62</v>
      </c>
      <c r="EP31" t="s">
        <v>37</v>
      </c>
      <c r="EQ31" t="s">
        <v>37</v>
      </c>
      <c r="ER31" t="s">
        <v>48</v>
      </c>
      <c r="ES31" t="s">
        <v>62</v>
      </c>
      <c r="ET31" t="s">
        <v>29</v>
      </c>
      <c r="EU31" t="s">
        <v>62</v>
      </c>
      <c r="EV31" t="s">
        <v>29</v>
      </c>
      <c r="EW31" t="s">
        <v>48</v>
      </c>
      <c r="EX31" t="s">
        <v>48</v>
      </c>
      <c r="EY31" t="s">
        <v>62</v>
      </c>
      <c r="EZ31" t="s">
        <v>37</v>
      </c>
      <c r="FA31" t="s">
        <v>29</v>
      </c>
      <c r="FB31" t="s">
        <v>29</v>
      </c>
      <c r="FC31" t="s">
        <v>29</v>
      </c>
      <c r="FD31" t="s">
        <v>29</v>
      </c>
      <c r="FE31" t="s">
        <v>59</v>
      </c>
      <c r="FF31" t="s">
        <v>48</v>
      </c>
      <c r="FG31" t="s">
        <v>29</v>
      </c>
      <c r="FH31" t="s">
        <v>59</v>
      </c>
      <c r="FI31" t="s">
        <v>59</v>
      </c>
      <c r="FJ31" t="s">
        <v>48</v>
      </c>
      <c r="FK31" t="s">
        <v>42</v>
      </c>
      <c r="FL31" t="s">
        <v>62</v>
      </c>
      <c r="FM31" t="s">
        <v>48</v>
      </c>
      <c r="FN31" t="s">
        <v>42</v>
      </c>
      <c r="FO31" t="s">
        <v>37</v>
      </c>
      <c r="FP31" t="s">
        <v>62</v>
      </c>
      <c r="FQ31" t="s">
        <v>62</v>
      </c>
      <c r="FR31" t="s">
        <v>62</v>
      </c>
      <c r="FS31" t="s">
        <v>59</v>
      </c>
      <c r="FT31" t="s">
        <v>29</v>
      </c>
      <c r="FU31" t="s">
        <v>62</v>
      </c>
      <c r="FV31" t="s">
        <v>29</v>
      </c>
      <c r="FW31" t="s">
        <v>62</v>
      </c>
      <c r="FX31" t="s">
        <v>59</v>
      </c>
      <c r="FY31" t="s">
        <v>37</v>
      </c>
      <c r="FZ31" t="s">
        <v>62</v>
      </c>
      <c r="GA31" t="s">
        <v>48</v>
      </c>
      <c r="GB31" t="s">
        <v>42</v>
      </c>
      <c r="GC31" t="s">
        <v>62</v>
      </c>
      <c r="GD31" t="s">
        <v>42</v>
      </c>
      <c r="GE31" t="s">
        <v>42</v>
      </c>
      <c r="GF31" t="s">
        <v>59</v>
      </c>
      <c r="GG31" t="s">
        <v>37</v>
      </c>
      <c r="GH31" t="s">
        <v>42</v>
      </c>
      <c r="GI31" t="s">
        <v>59</v>
      </c>
      <c r="GJ31" t="s">
        <v>37</v>
      </c>
      <c r="GK31" t="s">
        <v>62</v>
      </c>
      <c r="GL31" t="s">
        <v>29</v>
      </c>
      <c r="GM31" t="s">
        <v>59</v>
      </c>
      <c r="GN31" t="s">
        <v>42</v>
      </c>
      <c r="GO31" t="s">
        <v>42</v>
      </c>
      <c r="GP31" t="s">
        <v>62</v>
      </c>
      <c r="GQ31" t="s">
        <v>59</v>
      </c>
      <c r="GR31" t="s">
        <v>62</v>
      </c>
      <c r="GS31" t="s">
        <v>59</v>
      </c>
      <c r="GT31" t="s">
        <v>29</v>
      </c>
      <c r="GU31" t="s">
        <v>48</v>
      </c>
      <c r="GV31" t="s">
        <v>62</v>
      </c>
      <c r="GW31" t="s">
        <v>42</v>
      </c>
      <c r="GX31" t="s">
        <v>62</v>
      </c>
      <c r="GY31" t="s">
        <v>59</v>
      </c>
      <c r="GZ31" t="s">
        <v>62</v>
      </c>
      <c r="HA31" t="s">
        <v>29</v>
      </c>
      <c r="HB31" t="s">
        <v>59</v>
      </c>
      <c r="HC31" t="s">
        <v>37</v>
      </c>
      <c r="HD31" t="s">
        <v>42</v>
      </c>
      <c r="HE31" t="s">
        <v>42</v>
      </c>
      <c r="HF31" t="s">
        <v>59</v>
      </c>
      <c r="HG31" t="s">
        <v>37</v>
      </c>
      <c r="HH31" t="s">
        <v>29</v>
      </c>
      <c r="HI31" t="s">
        <v>62</v>
      </c>
      <c r="HJ31" t="s">
        <v>48</v>
      </c>
      <c r="HK31" t="s">
        <v>42</v>
      </c>
      <c r="HL31" t="s">
        <v>29</v>
      </c>
      <c r="HM31" t="s">
        <v>29</v>
      </c>
      <c r="HN31" t="s">
        <v>29</v>
      </c>
      <c r="HO31" t="s">
        <v>62</v>
      </c>
      <c r="HP31" t="s">
        <v>29</v>
      </c>
      <c r="HQ31" t="s">
        <v>29</v>
      </c>
      <c r="HR31" t="s">
        <v>59</v>
      </c>
      <c r="HS31" t="s">
        <v>59</v>
      </c>
      <c r="HT31" t="s">
        <v>29</v>
      </c>
      <c r="HU31" t="s">
        <v>29</v>
      </c>
      <c r="HV31" t="s">
        <v>59</v>
      </c>
      <c r="HW31" t="s">
        <v>62</v>
      </c>
      <c r="HX31" t="s">
        <v>59</v>
      </c>
      <c r="HY31" t="s">
        <v>59</v>
      </c>
      <c r="HZ31" t="s">
        <v>59</v>
      </c>
      <c r="IA31" t="s">
        <v>59</v>
      </c>
      <c r="IB31" t="s">
        <v>48</v>
      </c>
      <c r="IC31" t="s">
        <v>42</v>
      </c>
      <c r="ID31" t="s">
        <v>62</v>
      </c>
      <c r="IE31" t="s">
        <v>37</v>
      </c>
      <c r="IF31" t="s">
        <v>62</v>
      </c>
      <c r="IG31" t="s">
        <v>29</v>
      </c>
      <c r="IH31" t="s">
        <v>48</v>
      </c>
      <c r="II31" t="s">
        <v>29</v>
      </c>
      <c r="IJ31" t="s">
        <v>62</v>
      </c>
      <c r="IK31" t="s">
        <v>62</v>
      </c>
      <c r="IL31" t="s">
        <v>37</v>
      </c>
      <c r="IM31" t="s">
        <v>37</v>
      </c>
      <c r="IN31" t="s">
        <v>29</v>
      </c>
      <c r="IO31" t="s">
        <v>42</v>
      </c>
      <c r="IP31" t="s">
        <v>29</v>
      </c>
      <c r="IQ31" t="s">
        <v>42</v>
      </c>
      <c r="IR31" t="s">
        <v>42</v>
      </c>
      <c r="IS31" t="s">
        <v>59</v>
      </c>
      <c r="IT31" t="s">
        <v>62</v>
      </c>
      <c r="IU31" t="s">
        <v>59</v>
      </c>
      <c r="IV31" t="s">
        <v>62</v>
      </c>
      <c r="IW31" t="s">
        <v>59</v>
      </c>
      <c r="IX31" t="s">
        <v>42</v>
      </c>
      <c r="IY31" t="s">
        <v>59</v>
      </c>
      <c r="IZ31" t="s">
        <v>48</v>
      </c>
      <c r="JA31" t="s">
        <v>59</v>
      </c>
      <c r="JB31" t="s">
        <v>37</v>
      </c>
      <c r="JC31" t="s">
        <v>37</v>
      </c>
      <c r="JD31" t="s">
        <v>59</v>
      </c>
      <c r="JE31" t="s">
        <v>59</v>
      </c>
      <c r="JF31" t="s">
        <v>48</v>
      </c>
      <c r="JG31" t="s">
        <v>62</v>
      </c>
      <c r="JH31" t="s">
        <v>59</v>
      </c>
      <c r="JI31" t="s">
        <v>62</v>
      </c>
      <c r="JJ31" t="s">
        <v>37</v>
      </c>
      <c r="JK31" t="s">
        <v>29</v>
      </c>
      <c r="JL31" t="s">
        <v>42</v>
      </c>
      <c r="JM31" t="s">
        <v>29</v>
      </c>
      <c r="JN31" t="s">
        <v>48</v>
      </c>
      <c r="JO31" t="s">
        <v>48</v>
      </c>
      <c r="JP31" t="s">
        <v>62</v>
      </c>
      <c r="JQ31" t="s">
        <v>62</v>
      </c>
      <c r="JR31" t="s">
        <v>59</v>
      </c>
      <c r="JS31" t="s">
        <v>29</v>
      </c>
      <c r="JT31" t="s">
        <v>62</v>
      </c>
      <c r="JU31" t="s">
        <v>37</v>
      </c>
      <c r="JV31" t="s">
        <v>62</v>
      </c>
      <c r="JW31" t="s">
        <v>37</v>
      </c>
      <c r="JX31" t="s">
        <v>62</v>
      </c>
      <c r="JY31" t="s">
        <v>42</v>
      </c>
      <c r="JZ31" t="s">
        <v>62</v>
      </c>
      <c r="KA31" t="s">
        <v>42</v>
      </c>
      <c r="KB31" t="s">
        <v>48</v>
      </c>
      <c r="KC31" t="s">
        <v>59</v>
      </c>
      <c r="KD31" t="s">
        <v>29</v>
      </c>
      <c r="KE31" t="s">
        <v>62</v>
      </c>
      <c r="KF31" t="s">
        <v>42</v>
      </c>
      <c r="KG31" t="s">
        <v>62</v>
      </c>
      <c r="KH31" t="s">
        <v>62</v>
      </c>
      <c r="KI31" t="s">
        <v>42</v>
      </c>
      <c r="KJ31" t="s">
        <v>62</v>
      </c>
      <c r="KK31" t="s">
        <v>29</v>
      </c>
      <c r="KL31" t="s">
        <v>37</v>
      </c>
      <c r="KM31" t="s">
        <v>37</v>
      </c>
      <c r="KN31" t="s">
        <v>37</v>
      </c>
      <c r="KO31" t="s">
        <v>37</v>
      </c>
      <c r="KP31" t="s">
        <v>48</v>
      </c>
      <c r="KQ31" t="s">
        <v>59</v>
      </c>
      <c r="KR31" t="s">
        <v>62</v>
      </c>
      <c r="KS31" t="s">
        <v>42</v>
      </c>
      <c r="KT31" t="s">
        <v>29</v>
      </c>
      <c r="KU31" t="s">
        <v>62</v>
      </c>
      <c r="KV31" t="s">
        <v>48</v>
      </c>
      <c r="KW31" t="s">
        <v>48</v>
      </c>
      <c r="KX31" t="s">
        <v>42</v>
      </c>
      <c r="KY31" t="s">
        <v>62</v>
      </c>
      <c r="KZ31" t="s">
        <v>37</v>
      </c>
      <c r="LA31" t="s">
        <v>62</v>
      </c>
      <c r="LB31" t="s">
        <v>62</v>
      </c>
      <c r="LC31" t="s">
        <v>48</v>
      </c>
      <c r="LD31" t="s">
        <v>62</v>
      </c>
      <c r="LE31" t="s">
        <v>37</v>
      </c>
      <c r="LF31" t="s">
        <v>62</v>
      </c>
      <c r="LG31" t="s">
        <v>62</v>
      </c>
      <c r="LH31" t="s">
        <v>62</v>
      </c>
      <c r="LI31" t="s">
        <v>37</v>
      </c>
      <c r="LJ31" t="s">
        <v>37</v>
      </c>
      <c r="LK31" t="s">
        <v>42</v>
      </c>
      <c r="LL31" t="s">
        <v>48</v>
      </c>
      <c r="LM31" t="s">
        <v>59</v>
      </c>
      <c r="LN31" t="s">
        <v>42</v>
      </c>
      <c r="LO31" t="s">
        <v>37</v>
      </c>
      <c r="LP31" t="s">
        <v>62</v>
      </c>
      <c r="LQ31" t="s">
        <v>59</v>
      </c>
      <c r="LR31" t="s">
        <v>29</v>
      </c>
      <c r="LS31" t="s">
        <v>59</v>
      </c>
      <c r="LT31" t="s">
        <v>42</v>
      </c>
      <c r="LU31" t="s">
        <v>48</v>
      </c>
      <c r="LV31" t="s">
        <v>42</v>
      </c>
      <c r="LW31" t="s">
        <v>48</v>
      </c>
      <c r="LX31" t="s">
        <v>48</v>
      </c>
      <c r="LY31" t="s">
        <v>37</v>
      </c>
      <c r="LZ31" t="s">
        <v>48</v>
      </c>
      <c r="MA31" t="s">
        <v>29</v>
      </c>
      <c r="MB31" t="s">
        <v>59</v>
      </c>
      <c r="MC31" t="s">
        <v>42</v>
      </c>
      <c r="MD31" t="s">
        <v>42</v>
      </c>
      <c r="ME31" t="s">
        <v>48</v>
      </c>
      <c r="MF31" t="s">
        <v>37</v>
      </c>
      <c r="MG31" t="s">
        <v>29</v>
      </c>
      <c r="MH31" t="s">
        <v>29</v>
      </c>
      <c r="MI31" t="s">
        <v>62</v>
      </c>
      <c r="MJ31" t="s">
        <v>29</v>
      </c>
      <c r="MK31" t="s">
        <v>48</v>
      </c>
      <c r="ML31" t="s">
        <v>48</v>
      </c>
      <c r="MM31" t="s">
        <v>59</v>
      </c>
      <c r="MN31" t="s">
        <v>48</v>
      </c>
      <c r="MO31" t="s">
        <v>59</v>
      </c>
      <c r="MP31" t="s">
        <v>29</v>
      </c>
      <c r="MQ31" t="s">
        <v>62</v>
      </c>
      <c r="MR31" t="s">
        <v>37</v>
      </c>
      <c r="MS31" t="s">
        <v>42</v>
      </c>
      <c r="MT31" t="s">
        <v>48</v>
      </c>
      <c r="MU31" t="s">
        <v>29</v>
      </c>
      <c r="MV31" t="s">
        <v>48</v>
      </c>
      <c r="MW31" t="s">
        <v>59</v>
      </c>
      <c r="MX31" t="s">
        <v>29</v>
      </c>
      <c r="MY31" t="s">
        <v>42</v>
      </c>
      <c r="MZ31" t="s">
        <v>59</v>
      </c>
      <c r="NA31" t="s">
        <v>29</v>
      </c>
      <c r="NB31" t="s">
        <v>37</v>
      </c>
      <c r="NC31" t="s">
        <v>37</v>
      </c>
      <c r="ND31" t="s">
        <v>42</v>
      </c>
      <c r="NE31" t="s">
        <v>37</v>
      </c>
      <c r="NF31" t="s">
        <v>59</v>
      </c>
      <c r="NG31" t="s">
        <v>42</v>
      </c>
      <c r="NH31" t="s">
        <v>29</v>
      </c>
      <c r="NI31" t="s">
        <v>59</v>
      </c>
      <c r="NJ31" t="s">
        <v>37</v>
      </c>
      <c r="NK31" t="s">
        <v>62</v>
      </c>
      <c r="NL31" t="s">
        <v>48</v>
      </c>
      <c r="NM31" t="s">
        <v>37</v>
      </c>
      <c r="NN31" t="s">
        <v>62</v>
      </c>
      <c r="NO31" t="s">
        <v>42</v>
      </c>
      <c r="NP31" t="s">
        <v>29</v>
      </c>
      <c r="NQ31" t="s">
        <v>48</v>
      </c>
      <c r="NR31" t="s">
        <v>29</v>
      </c>
      <c r="NS31" t="s">
        <v>42</v>
      </c>
      <c r="NT31" t="s">
        <v>29</v>
      </c>
      <c r="NU31" t="s">
        <v>59</v>
      </c>
      <c r="NV31" t="s">
        <v>59</v>
      </c>
      <c r="NW31" t="s">
        <v>37</v>
      </c>
      <c r="NX31" t="s">
        <v>37</v>
      </c>
      <c r="NY31" t="s">
        <v>37</v>
      </c>
      <c r="NZ31" t="s">
        <v>37</v>
      </c>
      <c r="OA31" t="s">
        <v>42</v>
      </c>
      <c r="OB31" t="s">
        <v>29</v>
      </c>
      <c r="OC31" t="s">
        <v>37</v>
      </c>
      <c r="OD31" t="s">
        <v>42</v>
      </c>
      <c r="OE31" t="s">
        <v>48</v>
      </c>
      <c r="OF31" t="s">
        <v>37</v>
      </c>
      <c r="OG31" t="s">
        <v>29</v>
      </c>
      <c r="OH31" t="s">
        <v>59</v>
      </c>
      <c r="OI31" t="s">
        <v>62</v>
      </c>
      <c r="OJ31" t="s">
        <v>59</v>
      </c>
      <c r="OK31" t="s">
        <v>29</v>
      </c>
      <c r="OL31" t="s">
        <v>29</v>
      </c>
      <c r="OM31" t="s">
        <v>29</v>
      </c>
      <c r="ON31" t="s">
        <v>29</v>
      </c>
      <c r="OO31" t="s">
        <v>37</v>
      </c>
      <c r="OP31" t="s">
        <v>48</v>
      </c>
      <c r="OQ31" t="s">
        <v>62</v>
      </c>
      <c r="OR31" t="s">
        <v>37</v>
      </c>
      <c r="OS31" t="s">
        <v>59</v>
      </c>
      <c r="OT31" t="s">
        <v>48</v>
      </c>
      <c r="OU31" t="s">
        <v>42</v>
      </c>
      <c r="OV31" t="s">
        <v>29</v>
      </c>
      <c r="OW31" t="s">
        <v>59</v>
      </c>
      <c r="OX31" t="s">
        <v>42</v>
      </c>
      <c r="OY31" t="s">
        <v>62</v>
      </c>
      <c r="OZ31" t="s">
        <v>59</v>
      </c>
      <c r="PA31" t="s">
        <v>48</v>
      </c>
      <c r="PB31" t="s">
        <v>37</v>
      </c>
      <c r="PC31" t="s">
        <v>42</v>
      </c>
      <c r="PD31" t="s">
        <v>59</v>
      </c>
      <c r="PE31" t="s">
        <v>37</v>
      </c>
      <c r="PF31" t="s">
        <v>37</v>
      </c>
      <c r="PG31" t="s">
        <v>37</v>
      </c>
      <c r="PH31" t="s">
        <v>48</v>
      </c>
      <c r="PI31" t="s">
        <v>29</v>
      </c>
      <c r="PJ31" t="s">
        <v>59</v>
      </c>
      <c r="PK31" t="s">
        <v>37</v>
      </c>
      <c r="PL31" t="s">
        <v>29</v>
      </c>
      <c r="PM31" t="s">
        <v>37</v>
      </c>
      <c r="PN31" t="s">
        <v>42</v>
      </c>
      <c r="PO31" t="s">
        <v>42</v>
      </c>
      <c r="PP31" t="s">
        <v>42</v>
      </c>
      <c r="PQ31" t="s">
        <v>29</v>
      </c>
      <c r="PR31" t="s">
        <v>29</v>
      </c>
      <c r="PS31" t="s">
        <v>37</v>
      </c>
      <c r="PT31" t="s">
        <v>48</v>
      </c>
      <c r="PU31" t="s">
        <v>59</v>
      </c>
      <c r="PV31" t="s">
        <v>48</v>
      </c>
      <c r="PW31" t="s">
        <v>29</v>
      </c>
      <c r="PX31" t="s">
        <v>59</v>
      </c>
      <c r="PY31" t="s">
        <v>42</v>
      </c>
      <c r="PZ31" t="s">
        <v>48</v>
      </c>
      <c r="QA31" t="s">
        <v>48</v>
      </c>
      <c r="QB31" t="s">
        <v>48</v>
      </c>
      <c r="QC31" t="s">
        <v>29</v>
      </c>
      <c r="QD31" t="s">
        <v>59</v>
      </c>
      <c r="QE31" t="s">
        <v>42</v>
      </c>
      <c r="QF31" t="s">
        <v>29</v>
      </c>
      <c r="QG31" t="s">
        <v>42</v>
      </c>
      <c r="QH31" t="s">
        <v>62</v>
      </c>
      <c r="QI31" t="s">
        <v>62</v>
      </c>
      <c r="QJ31" t="s">
        <v>42</v>
      </c>
      <c r="QK31" t="s">
        <v>62</v>
      </c>
      <c r="QL31" t="s">
        <v>59</v>
      </c>
      <c r="QM31" t="s">
        <v>59</v>
      </c>
      <c r="QN31" t="s">
        <v>29</v>
      </c>
      <c r="QO31" t="s">
        <v>42</v>
      </c>
      <c r="QP31" t="s">
        <v>29</v>
      </c>
      <c r="QQ31" t="s">
        <v>59</v>
      </c>
      <c r="QR31" t="s">
        <v>59</v>
      </c>
      <c r="QS31" t="s">
        <v>59</v>
      </c>
      <c r="QT31" t="s">
        <v>48</v>
      </c>
      <c r="QU31" t="s">
        <v>62</v>
      </c>
      <c r="QV31" t="s">
        <v>29</v>
      </c>
      <c r="QW31" t="s">
        <v>29</v>
      </c>
      <c r="QX31" t="s">
        <v>59</v>
      </c>
      <c r="QY31" t="s">
        <v>48</v>
      </c>
      <c r="QZ31" t="s">
        <v>29</v>
      </c>
      <c r="RA31" t="s">
        <v>37</v>
      </c>
      <c r="RB31" t="s">
        <v>29</v>
      </c>
      <c r="RC31" t="s">
        <v>48</v>
      </c>
      <c r="RD31" t="s">
        <v>59</v>
      </c>
      <c r="RE31" t="s">
        <v>48</v>
      </c>
      <c r="RF31" t="s">
        <v>62</v>
      </c>
      <c r="RG31" t="s">
        <v>29</v>
      </c>
      <c r="RH31" t="s">
        <v>62</v>
      </c>
      <c r="RI31" t="s">
        <v>29</v>
      </c>
      <c r="RJ31" t="s">
        <v>62</v>
      </c>
      <c r="RK31" t="s">
        <v>29</v>
      </c>
      <c r="RL31" t="s">
        <v>37</v>
      </c>
      <c r="RM31" t="s">
        <v>59</v>
      </c>
      <c r="RN31" t="s">
        <v>37</v>
      </c>
      <c r="RO31" t="s">
        <v>42</v>
      </c>
      <c r="RP31" t="s">
        <v>48</v>
      </c>
      <c r="RQ31" t="s">
        <v>29</v>
      </c>
      <c r="RR31" t="s">
        <v>48</v>
      </c>
      <c r="RS31" t="s">
        <v>29</v>
      </c>
      <c r="RT31" t="s">
        <v>42</v>
      </c>
      <c r="RU31" t="s">
        <v>59</v>
      </c>
      <c r="RV31" t="s">
        <v>59</v>
      </c>
      <c r="RW31" t="s">
        <v>48</v>
      </c>
      <c r="RX31" t="s">
        <v>37</v>
      </c>
      <c r="RY31" t="s">
        <v>42</v>
      </c>
      <c r="RZ31" t="s">
        <v>48</v>
      </c>
      <c r="SA31" t="s">
        <v>59</v>
      </c>
      <c r="SB31" t="s">
        <v>62</v>
      </c>
      <c r="SC31" t="s">
        <v>48</v>
      </c>
      <c r="SD31" t="s">
        <v>29</v>
      </c>
      <c r="SE31" t="s">
        <v>59</v>
      </c>
      <c r="SF31" t="s">
        <v>29</v>
      </c>
      <c r="SG31" t="s">
        <v>42</v>
      </c>
      <c r="SH31" t="s">
        <v>37</v>
      </c>
      <c r="SI31" t="s">
        <v>37</v>
      </c>
      <c r="SJ31" t="s">
        <v>59</v>
      </c>
      <c r="SK31" t="s">
        <v>59</v>
      </c>
      <c r="SL31" t="s">
        <v>37</v>
      </c>
      <c r="SM31" t="s">
        <v>48</v>
      </c>
      <c r="SN31" t="s">
        <v>37</v>
      </c>
      <c r="SO31" t="s">
        <v>37</v>
      </c>
      <c r="SP31" t="s">
        <v>48</v>
      </c>
      <c r="SQ31" t="s">
        <v>29</v>
      </c>
      <c r="SR31" t="s">
        <v>48</v>
      </c>
      <c r="SS31" t="s">
        <v>62</v>
      </c>
      <c r="ST31" t="s">
        <v>59</v>
      </c>
      <c r="SU31" t="s">
        <v>37</v>
      </c>
      <c r="SV31" t="s">
        <v>42</v>
      </c>
      <c r="SW31" t="s">
        <v>59</v>
      </c>
      <c r="SX31" t="s">
        <v>37</v>
      </c>
      <c r="SY31" t="s">
        <v>29</v>
      </c>
      <c r="SZ31" t="s">
        <v>37</v>
      </c>
      <c r="TA31" t="s">
        <v>48</v>
      </c>
      <c r="TB31" t="s">
        <v>59</v>
      </c>
      <c r="TC31" t="s">
        <v>48</v>
      </c>
      <c r="TD31" t="s">
        <v>37</v>
      </c>
      <c r="TE31" t="s">
        <v>29</v>
      </c>
      <c r="TF31" t="s">
        <v>48</v>
      </c>
      <c r="TG31" t="s">
        <v>42</v>
      </c>
      <c r="TH31" t="s">
        <v>37</v>
      </c>
      <c r="TI31" t="s">
        <v>29</v>
      </c>
      <c r="TJ31" t="s">
        <v>59</v>
      </c>
      <c r="TK31" t="s">
        <v>59</v>
      </c>
      <c r="TL31" t="s">
        <v>42</v>
      </c>
      <c r="TM31" t="s">
        <v>62</v>
      </c>
      <c r="TN31" t="s">
        <v>48</v>
      </c>
      <c r="TO31" t="s">
        <v>37</v>
      </c>
      <c r="TP31" t="s">
        <v>59</v>
      </c>
      <c r="TQ31" t="s">
        <v>37</v>
      </c>
      <c r="TR31" t="s">
        <v>42</v>
      </c>
      <c r="TS31" t="s">
        <v>48</v>
      </c>
      <c r="TT31" t="s">
        <v>29</v>
      </c>
      <c r="TU31" t="s">
        <v>37</v>
      </c>
      <c r="TV31" t="s">
        <v>42</v>
      </c>
      <c r="TW31" t="s">
        <v>29</v>
      </c>
      <c r="TX31" t="s">
        <v>29</v>
      </c>
      <c r="TY31" t="s">
        <v>29</v>
      </c>
      <c r="TZ31" t="s">
        <v>48</v>
      </c>
      <c r="UA31" t="s">
        <v>62</v>
      </c>
      <c r="UB31" t="s">
        <v>37</v>
      </c>
      <c r="UC31" t="s">
        <v>29</v>
      </c>
      <c r="UD31" t="s">
        <v>59</v>
      </c>
      <c r="UE31" t="s">
        <v>48</v>
      </c>
      <c r="UF31" t="s">
        <v>48</v>
      </c>
      <c r="UG31" t="s">
        <v>29</v>
      </c>
      <c r="UH31" t="s">
        <v>59</v>
      </c>
      <c r="UI31" t="s">
        <v>42</v>
      </c>
      <c r="UJ31" t="s">
        <v>48</v>
      </c>
      <c r="UK31" t="s">
        <v>29</v>
      </c>
      <c r="UL31" t="s">
        <v>37</v>
      </c>
      <c r="UM31" t="s">
        <v>29</v>
      </c>
      <c r="UN31" t="s">
        <v>37</v>
      </c>
      <c r="UO31" t="s">
        <v>37</v>
      </c>
      <c r="UP31" t="s">
        <v>62</v>
      </c>
      <c r="UQ31" t="s">
        <v>62</v>
      </c>
      <c r="UR31" t="s">
        <v>42</v>
      </c>
      <c r="US31" t="s">
        <v>42</v>
      </c>
      <c r="UT31" t="s">
        <v>37</v>
      </c>
      <c r="UU31" t="s">
        <v>42</v>
      </c>
      <c r="UV31" t="s">
        <v>42</v>
      </c>
      <c r="UW31" t="s">
        <v>29</v>
      </c>
      <c r="UX31" t="s">
        <v>29</v>
      </c>
      <c r="UY31" t="s">
        <v>29</v>
      </c>
      <c r="UZ31" t="s">
        <v>59</v>
      </c>
      <c r="VA31" t="s">
        <v>37</v>
      </c>
      <c r="VB31" t="s">
        <v>42</v>
      </c>
      <c r="VC31" t="s">
        <v>59</v>
      </c>
      <c r="VD31" t="s">
        <v>48</v>
      </c>
      <c r="VE31" t="s">
        <v>37</v>
      </c>
      <c r="VF31" t="s">
        <v>48</v>
      </c>
      <c r="VG31" t="s">
        <v>29</v>
      </c>
      <c r="VH31" t="s">
        <v>48</v>
      </c>
      <c r="VI31" t="s">
        <v>29</v>
      </c>
      <c r="VJ31" t="s">
        <v>37</v>
      </c>
      <c r="VK31" t="s">
        <v>37</v>
      </c>
      <c r="VL31" t="s">
        <v>42</v>
      </c>
      <c r="VM31" t="s">
        <v>59</v>
      </c>
      <c r="VN31" t="s">
        <v>29</v>
      </c>
      <c r="VO31" t="s">
        <v>62</v>
      </c>
      <c r="VP31" t="s">
        <v>62</v>
      </c>
      <c r="VQ31" t="s">
        <v>42</v>
      </c>
      <c r="VR31" t="s">
        <v>59</v>
      </c>
      <c r="VS31" t="s">
        <v>29</v>
      </c>
      <c r="VT31" t="s">
        <v>42</v>
      </c>
      <c r="VU31" t="s">
        <v>59</v>
      </c>
      <c r="VV31" t="s">
        <v>62</v>
      </c>
      <c r="VW31" t="s">
        <v>29</v>
      </c>
      <c r="VX31" t="s">
        <v>59</v>
      </c>
      <c r="VY31" t="s">
        <v>48</v>
      </c>
      <c r="VZ31" t="s">
        <v>29</v>
      </c>
      <c r="WA31" t="s">
        <v>48</v>
      </c>
      <c r="WB31" t="s">
        <v>37</v>
      </c>
      <c r="WC31" t="s">
        <v>37</v>
      </c>
      <c r="WD31" t="s">
        <v>37</v>
      </c>
      <c r="WE31" t="s">
        <v>42</v>
      </c>
      <c r="WF31" t="s">
        <v>59</v>
      </c>
      <c r="WG31" t="s">
        <v>37</v>
      </c>
      <c r="WH31" t="s">
        <v>59</v>
      </c>
      <c r="WI31" t="s">
        <v>59</v>
      </c>
      <c r="WJ31" t="s">
        <v>59</v>
      </c>
      <c r="WK31" t="s">
        <v>29</v>
      </c>
      <c r="WL31" t="s">
        <v>48</v>
      </c>
      <c r="WM31" t="s">
        <v>48</v>
      </c>
      <c r="WN31" t="s">
        <v>42</v>
      </c>
      <c r="WO31" t="s">
        <v>37</v>
      </c>
      <c r="WP31" t="s">
        <v>42</v>
      </c>
      <c r="WQ31" t="s">
        <v>59</v>
      </c>
      <c r="WR31" t="s">
        <v>62</v>
      </c>
      <c r="WS31" t="s">
        <v>62</v>
      </c>
      <c r="WT31" t="s">
        <v>59</v>
      </c>
      <c r="WU31" t="s">
        <v>37</v>
      </c>
      <c r="WV31" t="s">
        <v>48</v>
      </c>
      <c r="WW31" t="s">
        <v>42</v>
      </c>
      <c r="WX31" t="s">
        <v>29</v>
      </c>
      <c r="WY31" t="s">
        <v>62</v>
      </c>
      <c r="WZ31" t="s">
        <v>42</v>
      </c>
      <c r="XA31" t="s">
        <v>62</v>
      </c>
      <c r="XB31" t="s">
        <v>48</v>
      </c>
      <c r="XC31" t="s">
        <v>48</v>
      </c>
      <c r="XD31" t="s">
        <v>59</v>
      </c>
      <c r="XE31" t="s">
        <v>59</v>
      </c>
      <c r="XF31" t="s">
        <v>62</v>
      </c>
      <c r="XG31" t="s">
        <v>62</v>
      </c>
      <c r="XH31" t="s">
        <v>42</v>
      </c>
      <c r="XI31" t="s">
        <v>59</v>
      </c>
      <c r="XJ31" t="s">
        <v>48</v>
      </c>
      <c r="XK31" t="s">
        <v>37</v>
      </c>
      <c r="XL31" t="s">
        <v>42</v>
      </c>
      <c r="XM31" t="s">
        <v>42</v>
      </c>
      <c r="XN31" t="s">
        <v>29</v>
      </c>
      <c r="XO31" t="s">
        <v>37</v>
      </c>
      <c r="XP31" t="s">
        <v>48</v>
      </c>
      <c r="XQ31" t="s">
        <v>42</v>
      </c>
      <c r="XR31" t="s">
        <v>37</v>
      </c>
      <c r="XS31" t="s">
        <v>29</v>
      </c>
      <c r="XT31" t="s">
        <v>37</v>
      </c>
      <c r="XU31" t="s">
        <v>59</v>
      </c>
      <c r="XV31" t="s">
        <v>48</v>
      </c>
      <c r="XW31" t="s">
        <v>59</v>
      </c>
      <c r="XX31" t="s">
        <v>29</v>
      </c>
      <c r="XY31" t="s">
        <v>48</v>
      </c>
      <c r="XZ31" t="s">
        <v>62</v>
      </c>
      <c r="YA31" t="s">
        <v>62</v>
      </c>
      <c r="YB31" t="s">
        <v>62</v>
      </c>
      <c r="YC31" t="s">
        <v>37</v>
      </c>
      <c r="YD31" t="s">
        <v>42</v>
      </c>
      <c r="YE31" t="s">
        <v>37</v>
      </c>
      <c r="YF31" t="s">
        <v>37</v>
      </c>
      <c r="YG31" t="s">
        <v>37</v>
      </c>
      <c r="YH31" t="s">
        <v>37</v>
      </c>
      <c r="YI31" t="s">
        <v>62</v>
      </c>
      <c r="YJ31" t="s">
        <v>42</v>
      </c>
      <c r="YK31" t="s">
        <v>42</v>
      </c>
      <c r="YL31" t="s">
        <v>29</v>
      </c>
      <c r="YM31" t="s">
        <v>62</v>
      </c>
      <c r="YN31" t="s">
        <v>48</v>
      </c>
      <c r="YO31" t="s">
        <v>37</v>
      </c>
      <c r="YP31" t="s">
        <v>42</v>
      </c>
      <c r="YQ31" t="s">
        <v>29</v>
      </c>
      <c r="YR31" t="s">
        <v>42</v>
      </c>
      <c r="YS31" t="s">
        <v>48</v>
      </c>
      <c r="YT31" t="s">
        <v>48</v>
      </c>
      <c r="YU31" t="s">
        <v>62</v>
      </c>
      <c r="YV31" t="s">
        <v>42</v>
      </c>
      <c r="YW31" t="s">
        <v>48</v>
      </c>
      <c r="YX31" t="s">
        <v>59</v>
      </c>
      <c r="YY31" t="s">
        <v>48</v>
      </c>
      <c r="YZ31" t="s">
        <v>48</v>
      </c>
      <c r="ZA31" t="s">
        <v>42</v>
      </c>
      <c r="ZB31" t="s">
        <v>37</v>
      </c>
      <c r="ZC31" t="s">
        <v>48</v>
      </c>
      <c r="ZD31" t="s">
        <v>29</v>
      </c>
      <c r="ZE31" t="s">
        <v>37</v>
      </c>
      <c r="ZF31" t="s">
        <v>48</v>
      </c>
      <c r="ZG31" t="s">
        <v>59</v>
      </c>
      <c r="ZH31" t="s">
        <v>48</v>
      </c>
      <c r="ZI31" t="s">
        <v>62</v>
      </c>
      <c r="ZJ31" t="s">
        <v>42</v>
      </c>
      <c r="ZK31" t="s">
        <v>59</v>
      </c>
      <c r="ZL31" t="s">
        <v>29</v>
      </c>
      <c r="ZM31" t="s">
        <v>48</v>
      </c>
      <c r="ZN31" t="s">
        <v>48</v>
      </c>
      <c r="ZO31" t="s">
        <v>29</v>
      </c>
      <c r="ZP31" t="s">
        <v>48</v>
      </c>
      <c r="ZQ31" t="s">
        <v>62</v>
      </c>
      <c r="ZR31" t="s">
        <v>37</v>
      </c>
      <c r="ZS31" t="s">
        <v>37</v>
      </c>
      <c r="ZT31" t="s">
        <v>59</v>
      </c>
      <c r="ZU31" t="s">
        <v>48</v>
      </c>
      <c r="ZV31" t="s">
        <v>29</v>
      </c>
      <c r="ZW31" t="s">
        <v>29</v>
      </c>
      <c r="ZX31" t="s">
        <v>59</v>
      </c>
      <c r="ZY31" t="s">
        <v>62</v>
      </c>
      <c r="ZZ31" t="s">
        <v>59</v>
      </c>
      <c r="AAA31" t="s">
        <v>48</v>
      </c>
      <c r="AAB31" t="s">
        <v>37</v>
      </c>
      <c r="AAC31" t="s">
        <v>62</v>
      </c>
      <c r="AAD31" t="s">
        <v>62</v>
      </c>
      <c r="AAE31" t="s">
        <v>29</v>
      </c>
      <c r="AAF31" t="s">
        <v>62</v>
      </c>
      <c r="AAG31" t="s">
        <v>48</v>
      </c>
      <c r="AAH31" t="s">
        <v>48</v>
      </c>
      <c r="AAI31" t="s">
        <v>48</v>
      </c>
      <c r="AAJ31" t="s">
        <v>37</v>
      </c>
      <c r="AAK31" t="s">
        <v>42</v>
      </c>
      <c r="AAL31" t="s">
        <v>62</v>
      </c>
      <c r="AAM31" t="s">
        <v>62</v>
      </c>
      <c r="AAN31" t="s">
        <v>48</v>
      </c>
      <c r="AAO31" t="s">
        <v>29</v>
      </c>
      <c r="AAP31" t="s">
        <v>37</v>
      </c>
      <c r="AAQ31" t="s">
        <v>62</v>
      </c>
      <c r="AAR31" t="s">
        <v>42</v>
      </c>
      <c r="AAS31" t="s">
        <v>62</v>
      </c>
      <c r="AAT31" t="s">
        <v>59</v>
      </c>
      <c r="AAU31" t="s">
        <v>42</v>
      </c>
      <c r="AAV31" t="s">
        <v>29</v>
      </c>
      <c r="AAW31" t="s">
        <v>42</v>
      </c>
      <c r="AAX31" t="s">
        <v>42</v>
      </c>
      <c r="AAY31" t="s">
        <v>62</v>
      </c>
      <c r="AAZ31" t="s">
        <v>42</v>
      </c>
      <c r="ABA31" t="s">
        <v>48</v>
      </c>
      <c r="ABB31" t="s">
        <v>37</v>
      </c>
      <c r="ABC31" t="s">
        <v>42</v>
      </c>
      <c r="ABD31" t="s">
        <v>62</v>
      </c>
      <c r="ABE31" t="s">
        <v>48</v>
      </c>
      <c r="ABF31" t="s">
        <v>29</v>
      </c>
      <c r="ABG31" t="s">
        <v>59</v>
      </c>
      <c r="ABH31" t="s">
        <v>42</v>
      </c>
      <c r="ABI31" t="s">
        <v>48</v>
      </c>
      <c r="ABJ31" t="s">
        <v>48</v>
      </c>
      <c r="ABK31" t="s">
        <v>29</v>
      </c>
      <c r="ABL31" t="s">
        <v>29</v>
      </c>
      <c r="ABM31" t="s">
        <v>59</v>
      </c>
      <c r="ABN31" t="s">
        <v>59</v>
      </c>
      <c r="ABO31" t="s">
        <v>62</v>
      </c>
      <c r="ABP31" t="s">
        <v>59</v>
      </c>
      <c r="ABQ31" t="s">
        <v>59</v>
      </c>
      <c r="ABR31" t="s">
        <v>48</v>
      </c>
      <c r="ABS31" t="s">
        <v>42</v>
      </c>
      <c r="ABT31" t="s">
        <v>42</v>
      </c>
      <c r="ABU31" t="s">
        <v>37</v>
      </c>
      <c r="ABV31" t="s">
        <v>59</v>
      </c>
      <c r="ABW31" t="s">
        <v>37</v>
      </c>
      <c r="ABX31" t="s">
        <v>37</v>
      </c>
      <c r="ABY31" t="s">
        <v>62</v>
      </c>
      <c r="ABZ31" t="s">
        <v>62</v>
      </c>
      <c r="ACA31" t="s">
        <v>42</v>
      </c>
      <c r="ACB31" t="s">
        <v>29</v>
      </c>
      <c r="ACC31" t="s">
        <v>48</v>
      </c>
      <c r="ACD31" t="s">
        <v>59</v>
      </c>
      <c r="ACE31" t="s">
        <v>48</v>
      </c>
      <c r="ACF31" t="s">
        <v>59</v>
      </c>
      <c r="ACG31" t="s">
        <v>59</v>
      </c>
      <c r="ACH31" t="s">
        <v>37</v>
      </c>
      <c r="ACI31" t="s">
        <v>42</v>
      </c>
      <c r="ACJ31" t="s">
        <v>48</v>
      </c>
      <c r="ACK31" t="s">
        <v>48</v>
      </c>
      <c r="ACL31" t="s">
        <v>29</v>
      </c>
      <c r="ACM31" t="s">
        <v>29</v>
      </c>
      <c r="ACN31" t="s">
        <v>48</v>
      </c>
      <c r="ACO31" t="s">
        <v>29</v>
      </c>
      <c r="ACP31" t="s">
        <v>29</v>
      </c>
      <c r="ACQ31" t="s">
        <v>59</v>
      </c>
      <c r="ACR31" t="s">
        <v>42</v>
      </c>
      <c r="ACS31" t="s">
        <v>59</v>
      </c>
      <c r="ACT31" t="s">
        <v>37</v>
      </c>
      <c r="ACU31" t="s">
        <v>29</v>
      </c>
      <c r="ACV31" t="s">
        <v>59</v>
      </c>
      <c r="ACW31" t="s">
        <v>59</v>
      </c>
      <c r="ACX31" t="s">
        <v>62</v>
      </c>
      <c r="ACY31" t="s">
        <v>59</v>
      </c>
      <c r="ACZ31" t="s">
        <v>59</v>
      </c>
      <c r="ADA31" t="s">
        <v>42</v>
      </c>
      <c r="ADB31" t="s">
        <v>48</v>
      </c>
      <c r="ADC31" t="s">
        <v>62</v>
      </c>
      <c r="ADD31" t="s">
        <v>62</v>
      </c>
      <c r="ADE31" t="s">
        <v>62</v>
      </c>
      <c r="ADF31" t="s">
        <v>37</v>
      </c>
      <c r="ADG31" t="s">
        <v>62</v>
      </c>
      <c r="ADH31" t="s">
        <v>42</v>
      </c>
      <c r="ADI31" t="s">
        <v>48</v>
      </c>
      <c r="ADJ31" t="s">
        <v>37</v>
      </c>
      <c r="ADK31" t="s">
        <v>42</v>
      </c>
      <c r="ADL31" t="s">
        <v>62</v>
      </c>
      <c r="ADM31" t="s">
        <v>48</v>
      </c>
      <c r="ADN31" t="s">
        <v>42</v>
      </c>
      <c r="ADO31" t="s">
        <v>48</v>
      </c>
      <c r="ADP31" t="s">
        <v>37</v>
      </c>
      <c r="ADQ31" t="s">
        <v>42</v>
      </c>
      <c r="ADR31" t="s">
        <v>48</v>
      </c>
      <c r="ADS31" t="s">
        <v>42</v>
      </c>
      <c r="ADT31" t="s">
        <v>62</v>
      </c>
      <c r="ADU31" t="s">
        <v>62</v>
      </c>
      <c r="ADV31" t="s">
        <v>62</v>
      </c>
      <c r="ADW31" t="s">
        <v>37</v>
      </c>
      <c r="ADX31" t="s">
        <v>42</v>
      </c>
      <c r="ADY31" t="s">
        <v>48</v>
      </c>
      <c r="ADZ31" t="s">
        <v>48</v>
      </c>
      <c r="AEA31" t="s">
        <v>29</v>
      </c>
      <c r="AEB31" t="s">
        <v>59</v>
      </c>
      <c r="AEC31" t="s">
        <v>62</v>
      </c>
      <c r="AED31" t="s">
        <v>62</v>
      </c>
      <c r="AEE31" t="s">
        <v>62</v>
      </c>
      <c r="AEF31" t="s">
        <v>29</v>
      </c>
      <c r="AEG31" t="s">
        <v>29</v>
      </c>
      <c r="AEH31" t="s">
        <v>29</v>
      </c>
      <c r="AEI31" t="s">
        <v>62</v>
      </c>
      <c r="AEJ31" t="s">
        <v>48</v>
      </c>
      <c r="AEK31" t="s">
        <v>62</v>
      </c>
      <c r="AEL31" t="s">
        <v>29</v>
      </c>
      <c r="AEM31" t="s">
        <v>29</v>
      </c>
      <c r="AEN31" t="s">
        <v>59</v>
      </c>
      <c r="AEO31" t="s">
        <v>42</v>
      </c>
      <c r="AEP31" t="s">
        <v>59</v>
      </c>
      <c r="AEQ31" t="s">
        <v>59</v>
      </c>
      <c r="AER31" t="s">
        <v>62</v>
      </c>
      <c r="AES31" t="s">
        <v>42</v>
      </c>
      <c r="AET31" t="s">
        <v>42</v>
      </c>
      <c r="AEU31" t="s">
        <v>62</v>
      </c>
      <c r="AEV31" t="s">
        <v>48</v>
      </c>
      <c r="AEW31" t="s">
        <v>37</v>
      </c>
      <c r="AEX31" t="s">
        <v>62</v>
      </c>
      <c r="AEY31" t="s">
        <v>48</v>
      </c>
      <c r="AEZ31" t="s">
        <v>48</v>
      </c>
      <c r="AFA31" t="s">
        <v>42</v>
      </c>
      <c r="AFB31" t="s">
        <v>62</v>
      </c>
      <c r="AFC31" t="s">
        <v>62</v>
      </c>
      <c r="AFD31" t="s">
        <v>42</v>
      </c>
      <c r="AFE31" t="s">
        <v>59</v>
      </c>
      <c r="AFF31" t="s">
        <v>62</v>
      </c>
      <c r="AFG31" t="s">
        <v>37</v>
      </c>
      <c r="AFH31" t="s">
        <v>37</v>
      </c>
      <c r="AFI31" t="s">
        <v>29</v>
      </c>
      <c r="AFJ31" t="s">
        <v>29</v>
      </c>
      <c r="AFK31" t="s">
        <v>62</v>
      </c>
      <c r="AFL31" t="s">
        <v>48</v>
      </c>
      <c r="AFM31" t="s">
        <v>37</v>
      </c>
      <c r="AFN31" t="s">
        <v>37</v>
      </c>
      <c r="AFO31" t="s">
        <v>42</v>
      </c>
      <c r="AFP31" t="s">
        <v>37</v>
      </c>
      <c r="AFQ31" t="s">
        <v>48</v>
      </c>
      <c r="AFR31" t="s">
        <v>29</v>
      </c>
      <c r="AFS31" t="s">
        <v>29</v>
      </c>
      <c r="AFT31" t="s">
        <v>42</v>
      </c>
      <c r="AFU31" t="s">
        <v>29</v>
      </c>
      <c r="AFV31" t="s">
        <v>59</v>
      </c>
      <c r="AFW31" t="s">
        <v>29</v>
      </c>
      <c r="AFX31" t="s">
        <v>37</v>
      </c>
      <c r="AFY31" t="s">
        <v>48</v>
      </c>
      <c r="AFZ31" t="s">
        <v>48</v>
      </c>
      <c r="AGA31" t="s">
        <v>59</v>
      </c>
      <c r="AGB31" t="s">
        <v>48</v>
      </c>
      <c r="AGC31" t="s">
        <v>48</v>
      </c>
      <c r="AGD31" t="s">
        <v>48</v>
      </c>
      <c r="AGE31" t="s">
        <v>62</v>
      </c>
      <c r="AGF31" t="s">
        <v>59</v>
      </c>
      <c r="AGG31" t="s">
        <v>59</v>
      </c>
      <c r="AGH31" t="s">
        <v>29</v>
      </c>
      <c r="AGI31" t="s">
        <v>37</v>
      </c>
      <c r="AGJ31" t="s">
        <v>59</v>
      </c>
      <c r="AGK31" t="s">
        <v>42</v>
      </c>
      <c r="AGL31" t="s">
        <v>59</v>
      </c>
      <c r="AGM31" t="s">
        <v>42</v>
      </c>
      <c r="AGN31" t="s">
        <v>48</v>
      </c>
      <c r="AGO31" t="s">
        <v>37</v>
      </c>
      <c r="AGP31" t="s">
        <v>42</v>
      </c>
      <c r="AGQ31" t="s">
        <v>37</v>
      </c>
      <c r="AGR31" t="s">
        <v>37</v>
      </c>
      <c r="AGS31" t="s">
        <v>62</v>
      </c>
      <c r="AGU31">
        <f>COUNTIF(B31:AGS31, "Nairobi")</f>
        <v>135</v>
      </c>
      <c r="AGV31">
        <f>COUNTIFS(B31:AGS31, "Nairobi")+COUNTIFS(B31:AGS31, "Berlin")</f>
        <v>271</v>
      </c>
    </row>
    <row r="32" spans="1:885" x14ac:dyDescent="0.25">
      <c r="A32" s="1" t="s">
        <v>16</v>
      </c>
      <c r="B32">
        <v>4</v>
      </c>
      <c r="C32">
        <v>14</v>
      </c>
      <c r="D32">
        <v>11</v>
      </c>
      <c r="E32">
        <v>16</v>
      </c>
      <c r="F32">
        <v>4</v>
      </c>
      <c r="G32">
        <v>18</v>
      </c>
      <c r="H32">
        <v>9</v>
      </c>
      <c r="I32">
        <v>11</v>
      </c>
      <c r="J32">
        <v>1</v>
      </c>
      <c r="K32">
        <v>16</v>
      </c>
      <c r="L32">
        <v>4</v>
      </c>
      <c r="M32">
        <v>14</v>
      </c>
      <c r="N32">
        <v>19</v>
      </c>
      <c r="O32">
        <v>12</v>
      </c>
      <c r="P32">
        <v>19</v>
      </c>
      <c r="Q32">
        <v>10</v>
      </c>
      <c r="R32">
        <v>17</v>
      </c>
      <c r="S32">
        <v>8</v>
      </c>
      <c r="T32">
        <v>15</v>
      </c>
      <c r="U32">
        <v>14</v>
      </c>
      <c r="V32">
        <v>3</v>
      </c>
      <c r="W32">
        <v>11</v>
      </c>
      <c r="X32">
        <v>12</v>
      </c>
      <c r="Y32">
        <v>8</v>
      </c>
      <c r="Z32">
        <v>14</v>
      </c>
      <c r="AA32">
        <v>17</v>
      </c>
      <c r="AB32">
        <v>19</v>
      </c>
      <c r="AC32">
        <v>6</v>
      </c>
      <c r="AD32">
        <v>11</v>
      </c>
      <c r="AE32">
        <v>9</v>
      </c>
      <c r="AF32">
        <v>6</v>
      </c>
      <c r="AG32">
        <v>13</v>
      </c>
      <c r="AH32">
        <v>14</v>
      </c>
      <c r="AI32">
        <v>3</v>
      </c>
      <c r="AJ32">
        <v>7</v>
      </c>
      <c r="AK32">
        <v>18</v>
      </c>
      <c r="AL32">
        <v>18</v>
      </c>
      <c r="AM32">
        <v>4</v>
      </c>
      <c r="AN32">
        <v>2</v>
      </c>
      <c r="AO32">
        <v>9</v>
      </c>
      <c r="AP32">
        <v>14</v>
      </c>
      <c r="AQ32">
        <v>1</v>
      </c>
      <c r="AR32">
        <v>9</v>
      </c>
      <c r="AS32">
        <v>15</v>
      </c>
      <c r="AT32">
        <v>2</v>
      </c>
      <c r="AU32">
        <v>6</v>
      </c>
      <c r="AV32">
        <v>18</v>
      </c>
      <c r="AW32">
        <v>14</v>
      </c>
      <c r="AX32">
        <v>11</v>
      </c>
      <c r="AY32">
        <v>1</v>
      </c>
      <c r="AZ32">
        <v>12</v>
      </c>
      <c r="BA32">
        <v>19</v>
      </c>
      <c r="BB32">
        <v>18</v>
      </c>
      <c r="BC32">
        <v>6</v>
      </c>
      <c r="BD32">
        <v>2</v>
      </c>
      <c r="BE32">
        <v>5</v>
      </c>
      <c r="BF32">
        <v>0</v>
      </c>
      <c r="BG32">
        <v>1</v>
      </c>
      <c r="BH32">
        <v>0</v>
      </c>
      <c r="BI32">
        <v>3</v>
      </c>
      <c r="BJ32">
        <v>4</v>
      </c>
      <c r="BK32">
        <v>1</v>
      </c>
      <c r="BL32">
        <v>15</v>
      </c>
      <c r="BM32">
        <v>7</v>
      </c>
      <c r="BN32">
        <v>14</v>
      </c>
      <c r="BO32">
        <v>10</v>
      </c>
      <c r="BP32">
        <v>9</v>
      </c>
      <c r="BQ32">
        <v>2</v>
      </c>
      <c r="BR32">
        <v>10</v>
      </c>
      <c r="BS32">
        <v>16</v>
      </c>
      <c r="BT32">
        <v>9</v>
      </c>
      <c r="BU32">
        <v>16</v>
      </c>
      <c r="BV32">
        <v>13</v>
      </c>
      <c r="BW32">
        <v>0</v>
      </c>
      <c r="BX32">
        <v>8</v>
      </c>
      <c r="BY32">
        <v>14</v>
      </c>
      <c r="BZ32">
        <v>3</v>
      </c>
      <c r="CA32">
        <v>19</v>
      </c>
      <c r="CB32">
        <v>2</v>
      </c>
      <c r="CC32">
        <v>19</v>
      </c>
      <c r="CD32">
        <v>6</v>
      </c>
      <c r="CE32">
        <v>2</v>
      </c>
      <c r="CF32">
        <v>14</v>
      </c>
      <c r="CG32">
        <v>9</v>
      </c>
      <c r="CH32">
        <v>15</v>
      </c>
      <c r="CI32">
        <v>16</v>
      </c>
      <c r="CJ32">
        <v>18</v>
      </c>
      <c r="CK32">
        <v>0</v>
      </c>
      <c r="CL32">
        <v>0</v>
      </c>
      <c r="CM32">
        <v>13</v>
      </c>
      <c r="CN32">
        <v>1</v>
      </c>
      <c r="CO32">
        <v>1</v>
      </c>
      <c r="CP32">
        <v>19</v>
      </c>
      <c r="CQ32">
        <v>9</v>
      </c>
      <c r="CR32">
        <v>14</v>
      </c>
      <c r="CS32">
        <v>14</v>
      </c>
      <c r="CT32">
        <v>6</v>
      </c>
      <c r="CU32">
        <v>7</v>
      </c>
      <c r="CV32">
        <v>10</v>
      </c>
      <c r="CW32">
        <v>15</v>
      </c>
      <c r="CX32">
        <v>6</v>
      </c>
      <c r="CY32">
        <v>19</v>
      </c>
      <c r="CZ32">
        <v>8</v>
      </c>
      <c r="DA32">
        <v>18</v>
      </c>
      <c r="DB32">
        <v>0</v>
      </c>
      <c r="DC32">
        <v>17</v>
      </c>
      <c r="DD32">
        <v>7</v>
      </c>
      <c r="DE32">
        <v>7</v>
      </c>
      <c r="DF32">
        <v>7</v>
      </c>
      <c r="DG32">
        <v>13</v>
      </c>
      <c r="DH32">
        <v>1</v>
      </c>
      <c r="DI32">
        <v>2</v>
      </c>
      <c r="DJ32">
        <v>6</v>
      </c>
      <c r="DK32">
        <v>2</v>
      </c>
      <c r="DL32">
        <v>14</v>
      </c>
      <c r="DM32">
        <v>10</v>
      </c>
      <c r="DN32">
        <v>1</v>
      </c>
      <c r="DO32">
        <v>17</v>
      </c>
      <c r="DP32">
        <v>13</v>
      </c>
      <c r="DQ32">
        <v>17</v>
      </c>
      <c r="DR32">
        <v>1</v>
      </c>
      <c r="DS32">
        <v>3</v>
      </c>
      <c r="DT32">
        <v>13</v>
      </c>
      <c r="DU32">
        <v>6</v>
      </c>
      <c r="DV32">
        <v>14</v>
      </c>
      <c r="DW32">
        <v>5</v>
      </c>
      <c r="DX32">
        <v>4</v>
      </c>
      <c r="DY32">
        <v>19</v>
      </c>
      <c r="DZ32">
        <v>17</v>
      </c>
      <c r="EA32">
        <v>10</v>
      </c>
      <c r="EB32">
        <v>7</v>
      </c>
      <c r="EC32">
        <v>11</v>
      </c>
      <c r="ED32">
        <v>17</v>
      </c>
      <c r="EE32">
        <v>14</v>
      </c>
      <c r="EF32">
        <v>7</v>
      </c>
      <c r="EG32">
        <v>3</v>
      </c>
      <c r="EH32">
        <v>14</v>
      </c>
      <c r="EI32">
        <v>10</v>
      </c>
      <c r="EJ32">
        <v>0</v>
      </c>
      <c r="EK32">
        <v>1</v>
      </c>
      <c r="EL32">
        <v>7</v>
      </c>
      <c r="EM32">
        <v>15</v>
      </c>
      <c r="EN32">
        <v>0</v>
      </c>
      <c r="EO32">
        <v>2</v>
      </c>
      <c r="EP32">
        <v>17</v>
      </c>
      <c r="EQ32">
        <v>15</v>
      </c>
      <c r="ER32">
        <v>19</v>
      </c>
      <c r="ES32">
        <v>19</v>
      </c>
      <c r="ET32">
        <v>12</v>
      </c>
      <c r="EU32">
        <v>19</v>
      </c>
      <c r="EV32">
        <v>3</v>
      </c>
      <c r="EW32">
        <v>3</v>
      </c>
      <c r="EX32">
        <v>1</v>
      </c>
      <c r="EY32">
        <v>12</v>
      </c>
      <c r="EZ32">
        <v>12</v>
      </c>
      <c r="FA32">
        <v>19</v>
      </c>
      <c r="FB32">
        <v>6</v>
      </c>
      <c r="FC32">
        <v>6</v>
      </c>
      <c r="FD32">
        <v>16</v>
      </c>
      <c r="FE32">
        <v>9</v>
      </c>
      <c r="FF32">
        <v>11</v>
      </c>
      <c r="FG32">
        <v>15</v>
      </c>
      <c r="FH32">
        <v>1</v>
      </c>
      <c r="FI32">
        <v>8</v>
      </c>
      <c r="FJ32">
        <v>11</v>
      </c>
      <c r="FK32">
        <v>16</v>
      </c>
      <c r="FL32">
        <v>15</v>
      </c>
      <c r="FM32">
        <v>4</v>
      </c>
      <c r="FN32">
        <v>18</v>
      </c>
      <c r="FO32">
        <v>16</v>
      </c>
      <c r="FP32">
        <v>2</v>
      </c>
      <c r="FQ32">
        <v>16</v>
      </c>
      <c r="FR32">
        <v>14</v>
      </c>
      <c r="FS32">
        <v>18</v>
      </c>
      <c r="FT32">
        <v>14</v>
      </c>
      <c r="FU32">
        <v>17</v>
      </c>
      <c r="FV32">
        <v>11</v>
      </c>
      <c r="FW32">
        <v>11</v>
      </c>
      <c r="FX32">
        <v>2</v>
      </c>
      <c r="FY32">
        <v>10</v>
      </c>
      <c r="FZ32">
        <v>9</v>
      </c>
      <c r="GA32">
        <v>14</v>
      </c>
      <c r="GB32">
        <v>10</v>
      </c>
      <c r="GC32">
        <v>0</v>
      </c>
      <c r="GD32">
        <v>19</v>
      </c>
      <c r="GE32">
        <v>3</v>
      </c>
      <c r="GF32">
        <v>7</v>
      </c>
      <c r="GG32">
        <v>19</v>
      </c>
      <c r="GH32">
        <v>12</v>
      </c>
      <c r="GI32">
        <v>16</v>
      </c>
      <c r="GJ32">
        <v>14</v>
      </c>
      <c r="GK32">
        <v>0</v>
      </c>
      <c r="GL32">
        <v>2</v>
      </c>
      <c r="GM32">
        <v>16</v>
      </c>
      <c r="GN32">
        <v>3</v>
      </c>
      <c r="GO32">
        <v>7</v>
      </c>
      <c r="GP32">
        <v>14</v>
      </c>
      <c r="GQ32">
        <v>7</v>
      </c>
      <c r="GR32">
        <v>13</v>
      </c>
      <c r="GS32">
        <v>5</v>
      </c>
      <c r="GT32">
        <v>14</v>
      </c>
      <c r="GU32">
        <v>19</v>
      </c>
      <c r="GV32">
        <v>8</v>
      </c>
      <c r="GW32">
        <v>4</v>
      </c>
      <c r="GX32">
        <v>12</v>
      </c>
      <c r="GY32">
        <v>6</v>
      </c>
      <c r="GZ32">
        <v>16</v>
      </c>
      <c r="HA32">
        <v>7</v>
      </c>
      <c r="HB32">
        <v>4</v>
      </c>
      <c r="HC32">
        <v>6</v>
      </c>
      <c r="HD32">
        <v>7</v>
      </c>
      <c r="HE32">
        <v>6</v>
      </c>
      <c r="HF32">
        <v>11</v>
      </c>
      <c r="HG32">
        <v>5</v>
      </c>
      <c r="HH32">
        <v>3</v>
      </c>
      <c r="HI32">
        <v>2</v>
      </c>
      <c r="HJ32">
        <v>4</v>
      </c>
      <c r="HK32">
        <v>18</v>
      </c>
      <c r="HL32">
        <v>7</v>
      </c>
      <c r="HM32">
        <v>4</v>
      </c>
      <c r="HN32">
        <v>12</v>
      </c>
      <c r="HO32">
        <v>9</v>
      </c>
      <c r="HP32">
        <v>5</v>
      </c>
      <c r="HQ32">
        <v>0</v>
      </c>
      <c r="HR32">
        <v>10</v>
      </c>
      <c r="HS32">
        <v>19</v>
      </c>
      <c r="HT32">
        <v>8</v>
      </c>
      <c r="HU32">
        <v>15</v>
      </c>
      <c r="HV32">
        <v>14</v>
      </c>
      <c r="HW32">
        <v>4</v>
      </c>
      <c r="HX32">
        <v>14</v>
      </c>
      <c r="HY32">
        <v>0</v>
      </c>
      <c r="HZ32">
        <v>14</v>
      </c>
      <c r="IA32">
        <v>3</v>
      </c>
      <c r="IB32">
        <v>15</v>
      </c>
      <c r="IC32">
        <v>6</v>
      </c>
      <c r="ID32">
        <v>7</v>
      </c>
      <c r="IE32">
        <v>1</v>
      </c>
      <c r="IF32">
        <v>11</v>
      </c>
      <c r="IG32">
        <v>1</v>
      </c>
      <c r="IH32">
        <v>13</v>
      </c>
      <c r="II32">
        <v>18</v>
      </c>
      <c r="IJ32">
        <v>19</v>
      </c>
      <c r="IK32">
        <v>5</v>
      </c>
      <c r="IL32">
        <v>18</v>
      </c>
      <c r="IM32">
        <v>16</v>
      </c>
      <c r="IN32">
        <v>2</v>
      </c>
      <c r="IO32">
        <v>19</v>
      </c>
      <c r="IP32">
        <v>9</v>
      </c>
      <c r="IQ32">
        <v>12</v>
      </c>
      <c r="IR32">
        <v>19</v>
      </c>
      <c r="IS32">
        <v>17</v>
      </c>
      <c r="IT32">
        <v>18</v>
      </c>
      <c r="IU32">
        <v>16</v>
      </c>
      <c r="IV32">
        <v>7</v>
      </c>
      <c r="IW32">
        <v>17</v>
      </c>
      <c r="IX32">
        <v>6</v>
      </c>
      <c r="IY32">
        <v>10</v>
      </c>
      <c r="IZ32">
        <v>2</v>
      </c>
      <c r="JA32">
        <v>1</v>
      </c>
      <c r="JB32">
        <v>18</v>
      </c>
      <c r="JC32">
        <v>10</v>
      </c>
      <c r="JD32">
        <v>7</v>
      </c>
      <c r="JE32">
        <v>10</v>
      </c>
      <c r="JF32">
        <v>1</v>
      </c>
      <c r="JG32">
        <v>11</v>
      </c>
      <c r="JH32">
        <v>8</v>
      </c>
      <c r="JI32">
        <v>5</v>
      </c>
      <c r="JJ32">
        <v>11</v>
      </c>
      <c r="JK32">
        <v>17</v>
      </c>
      <c r="JL32">
        <v>4</v>
      </c>
      <c r="JM32">
        <v>16</v>
      </c>
      <c r="JN32">
        <v>15</v>
      </c>
      <c r="JO32">
        <v>11</v>
      </c>
      <c r="JP32">
        <v>1</v>
      </c>
      <c r="JQ32">
        <v>15</v>
      </c>
      <c r="JR32">
        <v>0</v>
      </c>
      <c r="JS32">
        <v>19</v>
      </c>
      <c r="JT32">
        <v>1</v>
      </c>
      <c r="JU32">
        <v>12</v>
      </c>
      <c r="JV32">
        <v>15</v>
      </c>
      <c r="JW32">
        <v>0</v>
      </c>
      <c r="JX32">
        <v>18</v>
      </c>
      <c r="JY32">
        <v>3</v>
      </c>
      <c r="JZ32">
        <v>19</v>
      </c>
      <c r="KA32">
        <v>2</v>
      </c>
      <c r="KB32">
        <v>1</v>
      </c>
      <c r="KC32">
        <v>11</v>
      </c>
      <c r="KD32">
        <v>12</v>
      </c>
      <c r="KE32">
        <v>17</v>
      </c>
      <c r="KF32">
        <v>4</v>
      </c>
      <c r="KG32">
        <v>11</v>
      </c>
      <c r="KH32">
        <v>18</v>
      </c>
      <c r="KI32">
        <v>0</v>
      </c>
      <c r="KJ32">
        <v>8</v>
      </c>
      <c r="KK32">
        <v>0</v>
      </c>
      <c r="KL32">
        <v>17</v>
      </c>
      <c r="KM32">
        <v>2</v>
      </c>
      <c r="KN32">
        <v>5</v>
      </c>
      <c r="KO32">
        <v>3</v>
      </c>
      <c r="KP32">
        <v>11</v>
      </c>
      <c r="KQ32">
        <v>11</v>
      </c>
      <c r="KR32">
        <v>4</v>
      </c>
      <c r="KS32">
        <v>12</v>
      </c>
      <c r="KT32">
        <v>11</v>
      </c>
      <c r="KU32">
        <v>3</v>
      </c>
      <c r="KV32">
        <v>5</v>
      </c>
      <c r="KW32">
        <v>18</v>
      </c>
      <c r="KX32">
        <v>5</v>
      </c>
      <c r="KY32">
        <v>5</v>
      </c>
      <c r="KZ32">
        <v>10</v>
      </c>
      <c r="LA32">
        <v>13</v>
      </c>
      <c r="LB32">
        <v>2</v>
      </c>
      <c r="LC32">
        <v>7</v>
      </c>
      <c r="LD32">
        <v>3</v>
      </c>
      <c r="LE32">
        <v>15</v>
      </c>
      <c r="LF32">
        <v>17</v>
      </c>
      <c r="LG32">
        <v>6</v>
      </c>
      <c r="LH32">
        <v>10</v>
      </c>
      <c r="LI32">
        <v>7</v>
      </c>
      <c r="LJ32">
        <v>19</v>
      </c>
      <c r="LK32">
        <v>5</v>
      </c>
      <c r="LL32">
        <v>15</v>
      </c>
      <c r="LM32">
        <v>4</v>
      </c>
      <c r="LN32">
        <v>5</v>
      </c>
      <c r="LO32">
        <v>5</v>
      </c>
      <c r="LP32">
        <v>1</v>
      </c>
      <c r="LQ32">
        <v>6</v>
      </c>
      <c r="LR32">
        <v>8</v>
      </c>
      <c r="LS32">
        <v>14</v>
      </c>
      <c r="LT32">
        <v>13</v>
      </c>
      <c r="LU32">
        <v>12</v>
      </c>
      <c r="LV32">
        <v>4</v>
      </c>
      <c r="LW32">
        <v>16</v>
      </c>
      <c r="LX32">
        <v>4</v>
      </c>
      <c r="LY32">
        <v>2</v>
      </c>
      <c r="LZ32">
        <v>8</v>
      </c>
      <c r="MA32">
        <v>8</v>
      </c>
      <c r="MB32">
        <v>3</v>
      </c>
      <c r="MC32">
        <v>19</v>
      </c>
      <c r="MD32">
        <v>10</v>
      </c>
      <c r="ME32">
        <v>16</v>
      </c>
      <c r="MF32">
        <v>13</v>
      </c>
      <c r="MG32">
        <v>9</v>
      </c>
      <c r="MH32">
        <v>4</v>
      </c>
      <c r="MI32">
        <v>16</v>
      </c>
      <c r="MJ32">
        <v>15</v>
      </c>
      <c r="MK32">
        <v>0</v>
      </c>
      <c r="ML32">
        <v>9</v>
      </c>
      <c r="MM32">
        <v>11</v>
      </c>
      <c r="MN32">
        <v>17</v>
      </c>
      <c r="MO32">
        <v>0</v>
      </c>
      <c r="MP32">
        <v>11</v>
      </c>
      <c r="MQ32">
        <v>19</v>
      </c>
      <c r="MR32">
        <v>5</v>
      </c>
      <c r="MS32">
        <v>7</v>
      </c>
      <c r="MT32">
        <v>13</v>
      </c>
      <c r="MU32">
        <v>4</v>
      </c>
      <c r="MV32">
        <v>3</v>
      </c>
      <c r="MW32">
        <v>15</v>
      </c>
      <c r="MX32">
        <v>5</v>
      </c>
      <c r="MY32">
        <v>2</v>
      </c>
      <c r="MZ32">
        <v>3</v>
      </c>
      <c r="NA32">
        <v>7</v>
      </c>
      <c r="NB32">
        <v>13</v>
      </c>
      <c r="NC32">
        <v>6</v>
      </c>
      <c r="ND32">
        <v>3</v>
      </c>
      <c r="NE32">
        <v>18</v>
      </c>
      <c r="NF32">
        <v>10</v>
      </c>
      <c r="NG32">
        <v>14</v>
      </c>
      <c r="NH32">
        <v>15</v>
      </c>
      <c r="NI32">
        <v>5</v>
      </c>
      <c r="NJ32">
        <v>11</v>
      </c>
      <c r="NK32">
        <v>7</v>
      </c>
      <c r="NL32">
        <v>9</v>
      </c>
      <c r="NM32">
        <v>10</v>
      </c>
      <c r="NN32">
        <v>8</v>
      </c>
      <c r="NO32">
        <v>16</v>
      </c>
      <c r="NP32">
        <v>13</v>
      </c>
      <c r="NQ32">
        <v>2</v>
      </c>
      <c r="NR32">
        <v>8</v>
      </c>
      <c r="NS32">
        <v>19</v>
      </c>
      <c r="NT32">
        <v>17</v>
      </c>
      <c r="NU32">
        <v>16</v>
      </c>
      <c r="NV32">
        <v>4</v>
      </c>
      <c r="NW32">
        <v>19</v>
      </c>
      <c r="NX32">
        <v>5</v>
      </c>
      <c r="NY32">
        <v>2</v>
      </c>
      <c r="NZ32">
        <v>15</v>
      </c>
      <c r="OA32">
        <v>14</v>
      </c>
      <c r="OB32">
        <v>7</v>
      </c>
      <c r="OC32">
        <v>8</v>
      </c>
      <c r="OD32">
        <v>3</v>
      </c>
      <c r="OE32">
        <v>12</v>
      </c>
      <c r="OF32">
        <v>2</v>
      </c>
      <c r="OG32">
        <v>6</v>
      </c>
      <c r="OH32">
        <v>15</v>
      </c>
      <c r="OI32">
        <v>16</v>
      </c>
      <c r="OJ32">
        <v>16</v>
      </c>
      <c r="OK32">
        <v>18</v>
      </c>
      <c r="OL32">
        <v>19</v>
      </c>
      <c r="OM32">
        <v>16</v>
      </c>
      <c r="ON32">
        <v>1</v>
      </c>
      <c r="OO32">
        <v>4</v>
      </c>
      <c r="OP32">
        <v>15</v>
      </c>
      <c r="OQ32">
        <v>10</v>
      </c>
      <c r="OR32">
        <v>5</v>
      </c>
      <c r="OS32">
        <v>10</v>
      </c>
      <c r="OT32">
        <v>0</v>
      </c>
      <c r="OU32">
        <v>18</v>
      </c>
      <c r="OV32">
        <v>2</v>
      </c>
      <c r="OW32">
        <v>7</v>
      </c>
      <c r="OX32">
        <v>17</v>
      </c>
      <c r="OY32">
        <v>12</v>
      </c>
      <c r="OZ32">
        <v>0</v>
      </c>
      <c r="PA32">
        <v>19</v>
      </c>
      <c r="PB32">
        <v>16</v>
      </c>
      <c r="PC32">
        <v>4</v>
      </c>
      <c r="PD32">
        <v>11</v>
      </c>
      <c r="PE32">
        <v>10</v>
      </c>
      <c r="PF32">
        <v>17</v>
      </c>
      <c r="PG32">
        <v>7</v>
      </c>
      <c r="PH32">
        <v>12</v>
      </c>
      <c r="PI32">
        <v>1</v>
      </c>
      <c r="PJ32">
        <v>15</v>
      </c>
      <c r="PK32">
        <v>11</v>
      </c>
      <c r="PL32">
        <v>7</v>
      </c>
      <c r="PM32">
        <v>3</v>
      </c>
      <c r="PN32">
        <v>13</v>
      </c>
      <c r="PO32">
        <v>8</v>
      </c>
      <c r="PP32">
        <v>10</v>
      </c>
      <c r="PQ32">
        <v>15</v>
      </c>
      <c r="PR32">
        <v>5</v>
      </c>
      <c r="PS32">
        <v>11</v>
      </c>
      <c r="PT32">
        <v>18</v>
      </c>
      <c r="PU32">
        <v>15</v>
      </c>
      <c r="PV32">
        <v>12</v>
      </c>
      <c r="PW32">
        <v>3</v>
      </c>
      <c r="PX32">
        <v>11</v>
      </c>
      <c r="PY32">
        <v>3</v>
      </c>
      <c r="PZ32">
        <v>16</v>
      </c>
      <c r="QA32">
        <v>13</v>
      </c>
      <c r="QB32">
        <v>16</v>
      </c>
      <c r="QC32">
        <v>0</v>
      </c>
      <c r="QD32">
        <v>19</v>
      </c>
      <c r="QE32">
        <v>0</v>
      </c>
      <c r="QF32">
        <v>1</v>
      </c>
      <c r="QG32">
        <v>16</v>
      </c>
      <c r="QH32">
        <v>0</v>
      </c>
      <c r="QI32">
        <v>11</v>
      </c>
      <c r="QJ32">
        <v>12</v>
      </c>
      <c r="QK32">
        <v>13</v>
      </c>
      <c r="QL32">
        <v>9</v>
      </c>
      <c r="QM32">
        <v>11</v>
      </c>
      <c r="QN32">
        <v>17</v>
      </c>
      <c r="QO32">
        <v>6</v>
      </c>
      <c r="QP32">
        <v>18</v>
      </c>
      <c r="QQ32">
        <v>14</v>
      </c>
      <c r="QR32">
        <v>6</v>
      </c>
      <c r="QS32">
        <v>13</v>
      </c>
      <c r="QT32">
        <v>8</v>
      </c>
      <c r="QU32">
        <v>4</v>
      </c>
      <c r="QV32">
        <v>0</v>
      </c>
      <c r="QW32">
        <v>15</v>
      </c>
      <c r="QX32">
        <v>4</v>
      </c>
      <c r="QY32">
        <v>7</v>
      </c>
      <c r="QZ32">
        <v>18</v>
      </c>
      <c r="RA32">
        <v>19</v>
      </c>
      <c r="RB32">
        <v>11</v>
      </c>
      <c r="RC32">
        <v>7</v>
      </c>
      <c r="RD32">
        <v>7</v>
      </c>
      <c r="RE32">
        <v>5</v>
      </c>
      <c r="RF32">
        <v>19</v>
      </c>
      <c r="RG32">
        <v>8</v>
      </c>
      <c r="RH32">
        <v>1</v>
      </c>
      <c r="RI32">
        <v>17</v>
      </c>
      <c r="RJ32">
        <v>0</v>
      </c>
      <c r="RK32">
        <v>10</v>
      </c>
      <c r="RL32">
        <v>14</v>
      </c>
      <c r="RM32">
        <v>11</v>
      </c>
      <c r="RN32">
        <v>2</v>
      </c>
      <c r="RO32">
        <v>18</v>
      </c>
      <c r="RP32">
        <v>19</v>
      </c>
      <c r="RQ32">
        <v>18</v>
      </c>
      <c r="RR32">
        <v>9</v>
      </c>
      <c r="RS32">
        <v>15</v>
      </c>
      <c r="RT32">
        <v>5</v>
      </c>
      <c r="RU32">
        <v>8</v>
      </c>
      <c r="RV32">
        <v>7</v>
      </c>
      <c r="RW32">
        <v>15</v>
      </c>
      <c r="RX32">
        <v>7</v>
      </c>
      <c r="RY32">
        <v>17</v>
      </c>
      <c r="RZ32">
        <v>4</v>
      </c>
      <c r="SA32">
        <v>19</v>
      </c>
      <c r="SB32">
        <v>11</v>
      </c>
      <c r="SC32">
        <v>5</v>
      </c>
      <c r="SD32">
        <v>1</v>
      </c>
      <c r="SE32">
        <v>3</v>
      </c>
      <c r="SF32">
        <v>15</v>
      </c>
      <c r="SG32">
        <v>13</v>
      </c>
      <c r="SH32">
        <v>16</v>
      </c>
      <c r="SI32">
        <v>18</v>
      </c>
      <c r="SJ32">
        <v>3</v>
      </c>
      <c r="SK32">
        <v>17</v>
      </c>
      <c r="SL32">
        <v>11</v>
      </c>
      <c r="SM32">
        <v>1</v>
      </c>
      <c r="SN32">
        <v>5</v>
      </c>
      <c r="SO32">
        <v>5</v>
      </c>
      <c r="SP32">
        <v>2</v>
      </c>
      <c r="SQ32">
        <v>7</v>
      </c>
      <c r="SR32">
        <v>11</v>
      </c>
      <c r="SS32">
        <v>2</v>
      </c>
      <c r="ST32">
        <v>1</v>
      </c>
      <c r="SU32">
        <v>0</v>
      </c>
      <c r="SV32">
        <v>17</v>
      </c>
      <c r="SW32">
        <v>17</v>
      </c>
      <c r="SX32">
        <v>7</v>
      </c>
      <c r="SY32">
        <v>13</v>
      </c>
      <c r="SZ32">
        <v>12</v>
      </c>
      <c r="TA32">
        <v>14</v>
      </c>
      <c r="TB32">
        <v>14</v>
      </c>
      <c r="TC32">
        <v>12</v>
      </c>
      <c r="TD32">
        <v>3</v>
      </c>
      <c r="TE32">
        <v>3</v>
      </c>
      <c r="TF32">
        <v>4</v>
      </c>
      <c r="TG32">
        <v>2</v>
      </c>
      <c r="TH32">
        <v>11</v>
      </c>
      <c r="TI32">
        <v>19</v>
      </c>
      <c r="TJ32">
        <v>11</v>
      </c>
      <c r="TK32">
        <v>19</v>
      </c>
      <c r="TL32">
        <v>6</v>
      </c>
      <c r="TM32">
        <v>6</v>
      </c>
      <c r="TN32">
        <v>0</v>
      </c>
      <c r="TO32">
        <v>11</v>
      </c>
      <c r="TP32">
        <v>2</v>
      </c>
      <c r="TQ32">
        <v>14</v>
      </c>
      <c r="TR32">
        <v>8</v>
      </c>
      <c r="TS32">
        <v>19</v>
      </c>
      <c r="TT32">
        <v>8</v>
      </c>
      <c r="TU32">
        <v>13</v>
      </c>
      <c r="TV32">
        <v>2</v>
      </c>
      <c r="TW32">
        <v>7</v>
      </c>
      <c r="TX32">
        <v>5</v>
      </c>
      <c r="TY32">
        <v>11</v>
      </c>
      <c r="TZ32">
        <v>1</v>
      </c>
      <c r="UA32">
        <v>2</v>
      </c>
      <c r="UB32">
        <v>13</v>
      </c>
      <c r="UC32">
        <v>16</v>
      </c>
      <c r="UD32">
        <v>2</v>
      </c>
      <c r="UE32">
        <v>3</v>
      </c>
      <c r="UF32">
        <v>14</v>
      </c>
      <c r="UG32">
        <v>6</v>
      </c>
      <c r="UH32">
        <v>18</v>
      </c>
      <c r="UI32">
        <v>13</v>
      </c>
      <c r="UJ32">
        <v>15</v>
      </c>
      <c r="UK32">
        <v>12</v>
      </c>
      <c r="UL32">
        <v>19</v>
      </c>
      <c r="UM32">
        <v>16</v>
      </c>
      <c r="UN32">
        <v>16</v>
      </c>
      <c r="UO32">
        <v>9</v>
      </c>
      <c r="UP32">
        <v>6</v>
      </c>
      <c r="UQ32">
        <v>19</v>
      </c>
      <c r="UR32">
        <v>16</v>
      </c>
      <c r="US32">
        <v>11</v>
      </c>
      <c r="UT32">
        <v>10</v>
      </c>
      <c r="UU32">
        <v>9</v>
      </c>
      <c r="UV32">
        <v>7</v>
      </c>
      <c r="UW32">
        <v>14</v>
      </c>
      <c r="UX32">
        <v>17</v>
      </c>
      <c r="UY32">
        <v>12</v>
      </c>
      <c r="UZ32">
        <v>15</v>
      </c>
      <c r="VA32">
        <v>12</v>
      </c>
      <c r="VB32">
        <v>3</v>
      </c>
      <c r="VC32">
        <v>10</v>
      </c>
      <c r="VD32">
        <v>18</v>
      </c>
      <c r="VE32">
        <v>7</v>
      </c>
      <c r="VF32">
        <v>9</v>
      </c>
      <c r="VG32">
        <v>11</v>
      </c>
      <c r="VH32">
        <v>19</v>
      </c>
      <c r="VI32">
        <v>10</v>
      </c>
      <c r="VJ32">
        <v>19</v>
      </c>
      <c r="VK32">
        <v>3</v>
      </c>
      <c r="VL32">
        <v>18</v>
      </c>
      <c r="VM32">
        <v>19</v>
      </c>
      <c r="VN32">
        <v>9</v>
      </c>
      <c r="VO32">
        <v>14</v>
      </c>
      <c r="VP32">
        <v>12</v>
      </c>
      <c r="VQ32">
        <v>12</v>
      </c>
      <c r="VR32">
        <v>17</v>
      </c>
      <c r="VS32">
        <v>6</v>
      </c>
      <c r="VT32">
        <v>13</v>
      </c>
      <c r="VU32">
        <v>4</v>
      </c>
      <c r="VV32">
        <v>8</v>
      </c>
      <c r="VW32">
        <v>16</v>
      </c>
      <c r="VX32">
        <v>4</v>
      </c>
      <c r="VY32">
        <v>15</v>
      </c>
      <c r="VZ32">
        <v>8</v>
      </c>
      <c r="WA32">
        <v>16</v>
      </c>
      <c r="WB32">
        <v>17</v>
      </c>
      <c r="WC32">
        <v>2</v>
      </c>
      <c r="WD32">
        <v>4</v>
      </c>
      <c r="WE32">
        <v>16</v>
      </c>
      <c r="WF32">
        <v>19</v>
      </c>
      <c r="WG32">
        <v>3</v>
      </c>
      <c r="WH32">
        <v>3</v>
      </c>
      <c r="WI32">
        <v>6</v>
      </c>
      <c r="WJ32">
        <v>7</v>
      </c>
      <c r="WK32">
        <v>1</v>
      </c>
      <c r="WL32">
        <v>9</v>
      </c>
      <c r="WM32">
        <v>4</v>
      </c>
      <c r="WN32">
        <v>16</v>
      </c>
      <c r="WO32">
        <v>6</v>
      </c>
      <c r="WP32">
        <v>1</v>
      </c>
      <c r="WQ32">
        <v>5</v>
      </c>
      <c r="WR32">
        <v>9</v>
      </c>
      <c r="WS32">
        <v>8</v>
      </c>
      <c r="WT32">
        <v>4</v>
      </c>
      <c r="WU32">
        <v>2</v>
      </c>
      <c r="WV32">
        <v>10</v>
      </c>
      <c r="WW32">
        <v>9</v>
      </c>
      <c r="WX32">
        <v>15</v>
      </c>
      <c r="WY32">
        <v>19</v>
      </c>
      <c r="WZ32">
        <v>18</v>
      </c>
      <c r="XA32">
        <v>0</v>
      </c>
      <c r="XB32">
        <v>10</v>
      </c>
      <c r="XC32">
        <v>14</v>
      </c>
      <c r="XD32">
        <v>6</v>
      </c>
      <c r="XE32">
        <v>7</v>
      </c>
      <c r="XF32">
        <v>15</v>
      </c>
      <c r="XG32">
        <v>17</v>
      </c>
      <c r="XH32">
        <v>10</v>
      </c>
      <c r="XI32">
        <v>0</v>
      </c>
      <c r="XJ32">
        <v>15</v>
      </c>
      <c r="XK32">
        <v>3</v>
      </c>
      <c r="XL32">
        <v>5</v>
      </c>
      <c r="XM32">
        <v>10</v>
      </c>
      <c r="XN32">
        <v>5</v>
      </c>
      <c r="XO32">
        <v>9</v>
      </c>
      <c r="XP32">
        <v>5</v>
      </c>
      <c r="XQ32">
        <v>9</v>
      </c>
      <c r="XR32">
        <v>4</v>
      </c>
      <c r="XS32">
        <v>8</v>
      </c>
      <c r="XT32">
        <v>6</v>
      </c>
      <c r="XU32">
        <v>16</v>
      </c>
      <c r="XV32">
        <v>11</v>
      </c>
      <c r="XW32">
        <v>10</v>
      </c>
      <c r="XX32">
        <v>5</v>
      </c>
      <c r="XY32">
        <v>10</v>
      </c>
      <c r="XZ32">
        <v>10</v>
      </c>
      <c r="YA32">
        <v>13</v>
      </c>
      <c r="YB32">
        <v>15</v>
      </c>
      <c r="YC32">
        <v>1</v>
      </c>
      <c r="YD32">
        <v>1</v>
      </c>
      <c r="YE32">
        <v>4</v>
      </c>
      <c r="YF32">
        <v>13</v>
      </c>
      <c r="YG32">
        <v>9</v>
      </c>
      <c r="YH32">
        <v>9</v>
      </c>
      <c r="YI32">
        <v>17</v>
      </c>
      <c r="YJ32">
        <v>19</v>
      </c>
      <c r="YK32">
        <v>8</v>
      </c>
      <c r="YL32">
        <v>3</v>
      </c>
      <c r="YM32">
        <v>16</v>
      </c>
      <c r="YN32">
        <v>1</v>
      </c>
      <c r="YO32">
        <v>13</v>
      </c>
      <c r="YP32">
        <v>0</v>
      </c>
      <c r="YQ32">
        <v>6</v>
      </c>
      <c r="YR32">
        <v>3</v>
      </c>
      <c r="YS32">
        <v>8</v>
      </c>
      <c r="YT32">
        <v>2</v>
      </c>
      <c r="YU32">
        <v>4</v>
      </c>
      <c r="YV32">
        <v>9</v>
      </c>
      <c r="YW32">
        <v>9</v>
      </c>
      <c r="YX32">
        <v>3</v>
      </c>
      <c r="YY32">
        <v>16</v>
      </c>
      <c r="YZ32">
        <v>16</v>
      </c>
      <c r="ZA32">
        <v>18</v>
      </c>
      <c r="ZB32">
        <v>5</v>
      </c>
      <c r="ZC32">
        <v>0</v>
      </c>
      <c r="ZD32">
        <v>13</v>
      </c>
      <c r="ZE32">
        <v>12</v>
      </c>
      <c r="ZF32">
        <v>2</v>
      </c>
      <c r="ZG32">
        <v>1</v>
      </c>
      <c r="ZH32">
        <v>6</v>
      </c>
      <c r="ZI32">
        <v>11</v>
      </c>
      <c r="ZJ32">
        <v>1</v>
      </c>
      <c r="ZK32">
        <v>10</v>
      </c>
      <c r="ZL32">
        <v>15</v>
      </c>
      <c r="ZM32">
        <v>4</v>
      </c>
      <c r="ZN32">
        <v>16</v>
      </c>
      <c r="ZO32">
        <v>2</v>
      </c>
      <c r="ZP32">
        <v>13</v>
      </c>
      <c r="ZQ32">
        <v>15</v>
      </c>
      <c r="ZR32">
        <v>16</v>
      </c>
      <c r="ZS32">
        <v>18</v>
      </c>
      <c r="ZT32">
        <v>3</v>
      </c>
      <c r="ZU32">
        <v>19</v>
      </c>
      <c r="ZV32">
        <v>19</v>
      </c>
      <c r="ZW32">
        <v>8</v>
      </c>
      <c r="ZX32">
        <v>10</v>
      </c>
      <c r="ZY32">
        <v>4</v>
      </c>
      <c r="ZZ32">
        <v>10</v>
      </c>
      <c r="AAA32">
        <v>12</v>
      </c>
      <c r="AAB32">
        <v>1</v>
      </c>
      <c r="AAC32">
        <v>1</v>
      </c>
      <c r="AAD32">
        <v>9</v>
      </c>
      <c r="AAE32">
        <v>12</v>
      </c>
      <c r="AAF32">
        <v>4</v>
      </c>
      <c r="AAG32">
        <v>10</v>
      </c>
      <c r="AAH32">
        <v>14</v>
      </c>
      <c r="AAI32">
        <v>4</v>
      </c>
      <c r="AAJ32">
        <v>19</v>
      </c>
      <c r="AAK32">
        <v>4</v>
      </c>
      <c r="AAL32">
        <v>6</v>
      </c>
      <c r="AAM32">
        <v>9</v>
      </c>
      <c r="AAN32">
        <v>1</v>
      </c>
      <c r="AAO32">
        <v>0</v>
      </c>
      <c r="AAP32">
        <v>19</v>
      </c>
      <c r="AAQ32">
        <v>0</v>
      </c>
      <c r="AAR32">
        <v>3</v>
      </c>
      <c r="AAS32">
        <v>14</v>
      </c>
      <c r="AAT32">
        <v>14</v>
      </c>
      <c r="AAU32">
        <v>5</v>
      </c>
      <c r="AAV32">
        <v>5</v>
      </c>
      <c r="AAW32">
        <v>0</v>
      </c>
      <c r="AAX32">
        <v>6</v>
      </c>
      <c r="AAY32">
        <v>4</v>
      </c>
      <c r="AAZ32">
        <v>16</v>
      </c>
      <c r="ABA32">
        <v>6</v>
      </c>
      <c r="ABB32">
        <v>3</v>
      </c>
      <c r="ABC32">
        <v>2</v>
      </c>
      <c r="ABD32">
        <v>11</v>
      </c>
      <c r="ABE32">
        <v>14</v>
      </c>
      <c r="ABF32">
        <v>19</v>
      </c>
      <c r="ABG32">
        <v>8</v>
      </c>
      <c r="ABH32">
        <v>11</v>
      </c>
      <c r="ABI32">
        <v>4</v>
      </c>
      <c r="ABJ32">
        <v>7</v>
      </c>
      <c r="ABK32">
        <v>14</v>
      </c>
      <c r="ABL32">
        <v>6</v>
      </c>
      <c r="ABM32">
        <v>18</v>
      </c>
      <c r="ABN32">
        <v>12</v>
      </c>
      <c r="ABO32">
        <v>0</v>
      </c>
      <c r="ABP32">
        <v>10</v>
      </c>
      <c r="ABQ32">
        <v>12</v>
      </c>
      <c r="ABR32">
        <v>1</v>
      </c>
      <c r="ABS32">
        <v>18</v>
      </c>
      <c r="ABT32">
        <v>10</v>
      </c>
      <c r="ABU32">
        <v>0</v>
      </c>
      <c r="ABV32">
        <v>0</v>
      </c>
      <c r="ABW32">
        <v>7</v>
      </c>
      <c r="ABX32">
        <v>12</v>
      </c>
      <c r="ABY32">
        <v>7</v>
      </c>
      <c r="ABZ32">
        <v>1</v>
      </c>
      <c r="ACA32">
        <v>7</v>
      </c>
      <c r="ACB32">
        <v>13</v>
      </c>
      <c r="ACC32">
        <v>1</v>
      </c>
      <c r="ACD32">
        <v>12</v>
      </c>
      <c r="ACE32">
        <v>4</v>
      </c>
      <c r="ACF32">
        <v>0</v>
      </c>
      <c r="ACG32">
        <v>8</v>
      </c>
      <c r="ACH32">
        <v>19</v>
      </c>
      <c r="ACI32">
        <v>9</v>
      </c>
      <c r="ACJ32">
        <v>10</v>
      </c>
      <c r="ACK32">
        <v>17</v>
      </c>
      <c r="ACL32">
        <v>16</v>
      </c>
      <c r="ACM32">
        <v>5</v>
      </c>
      <c r="ACN32">
        <v>10</v>
      </c>
      <c r="ACO32">
        <v>3</v>
      </c>
      <c r="ACP32">
        <v>0</v>
      </c>
      <c r="ACQ32">
        <v>0</v>
      </c>
      <c r="ACR32">
        <v>17</v>
      </c>
      <c r="ACS32">
        <v>4</v>
      </c>
      <c r="ACT32">
        <v>15</v>
      </c>
      <c r="ACU32">
        <v>1</v>
      </c>
      <c r="ACV32">
        <v>8</v>
      </c>
      <c r="ACW32">
        <v>1</v>
      </c>
      <c r="ACX32">
        <v>4</v>
      </c>
      <c r="ACY32">
        <v>19</v>
      </c>
      <c r="ACZ32">
        <v>16</v>
      </c>
      <c r="ADA32">
        <v>18</v>
      </c>
      <c r="ADB32">
        <v>9</v>
      </c>
      <c r="ADC32">
        <v>7</v>
      </c>
      <c r="ADD32">
        <v>19</v>
      </c>
      <c r="ADE32">
        <v>10</v>
      </c>
      <c r="ADF32">
        <v>12</v>
      </c>
      <c r="ADG32">
        <v>12</v>
      </c>
      <c r="ADH32">
        <v>8</v>
      </c>
      <c r="ADI32">
        <v>4</v>
      </c>
      <c r="ADJ32">
        <v>17</v>
      </c>
      <c r="ADK32">
        <v>7</v>
      </c>
      <c r="ADL32">
        <v>19</v>
      </c>
      <c r="ADM32">
        <v>13</v>
      </c>
      <c r="ADN32">
        <v>1</v>
      </c>
      <c r="ADO32">
        <v>15</v>
      </c>
      <c r="ADP32">
        <v>0</v>
      </c>
      <c r="ADQ32">
        <v>12</v>
      </c>
      <c r="ADR32">
        <v>17</v>
      </c>
      <c r="ADS32">
        <v>0</v>
      </c>
      <c r="ADT32">
        <v>6</v>
      </c>
      <c r="ADU32">
        <v>3</v>
      </c>
      <c r="ADV32">
        <v>9</v>
      </c>
      <c r="ADW32">
        <v>7</v>
      </c>
      <c r="ADX32">
        <v>2</v>
      </c>
      <c r="ADY32">
        <v>6</v>
      </c>
      <c r="ADZ32">
        <v>15</v>
      </c>
      <c r="AEA32">
        <v>19</v>
      </c>
      <c r="AEB32">
        <v>9</v>
      </c>
      <c r="AEC32">
        <v>12</v>
      </c>
      <c r="AED32">
        <v>0</v>
      </c>
      <c r="AEE32">
        <v>6</v>
      </c>
      <c r="AEF32">
        <v>9</v>
      </c>
      <c r="AEG32">
        <v>11</v>
      </c>
      <c r="AEH32">
        <v>13</v>
      </c>
      <c r="AEI32">
        <v>10</v>
      </c>
      <c r="AEJ32">
        <v>16</v>
      </c>
      <c r="AEK32">
        <v>8</v>
      </c>
      <c r="AEL32">
        <v>7</v>
      </c>
      <c r="AEM32">
        <v>9</v>
      </c>
      <c r="AEN32">
        <v>3</v>
      </c>
      <c r="AEO32">
        <v>4</v>
      </c>
      <c r="AEP32">
        <v>17</v>
      </c>
      <c r="AEQ32">
        <v>5</v>
      </c>
      <c r="AER32">
        <v>9</v>
      </c>
      <c r="AES32">
        <v>17</v>
      </c>
      <c r="AET32">
        <v>10</v>
      </c>
      <c r="AEU32">
        <v>4</v>
      </c>
      <c r="AEV32">
        <v>2</v>
      </c>
      <c r="AEW32">
        <v>17</v>
      </c>
      <c r="AEX32">
        <v>3</v>
      </c>
      <c r="AEY32">
        <v>7</v>
      </c>
      <c r="AEZ32">
        <v>16</v>
      </c>
      <c r="AFA32">
        <v>9</v>
      </c>
      <c r="AFB32">
        <v>18</v>
      </c>
      <c r="AFC32">
        <v>0</v>
      </c>
      <c r="AFD32">
        <v>1</v>
      </c>
      <c r="AFE32">
        <v>10</v>
      </c>
      <c r="AFF32">
        <v>14</v>
      </c>
      <c r="AFG32">
        <v>0</v>
      </c>
      <c r="AFH32">
        <v>8</v>
      </c>
      <c r="AFI32">
        <v>7</v>
      </c>
      <c r="AFJ32">
        <v>0</v>
      </c>
      <c r="AFK32">
        <v>9</v>
      </c>
      <c r="AFL32">
        <v>16</v>
      </c>
      <c r="AFM32">
        <v>17</v>
      </c>
      <c r="AFN32">
        <v>15</v>
      </c>
      <c r="AFO32">
        <v>1</v>
      </c>
      <c r="AFP32">
        <v>16</v>
      </c>
      <c r="AFQ32">
        <v>3</v>
      </c>
      <c r="AFR32">
        <v>6</v>
      </c>
      <c r="AFS32">
        <v>8</v>
      </c>
      <c r="AFT32">
        <v>2</v>
      </c>
      <c r="AFU32">
        <v>19</v>
      </c>
      <c r="AFV32">
        <v>4</v>
      </c>
      <c r="AFW32">
        <v>17</v>
      </c>
      <c r="AFX32">
        <v>16</v>
      </c>
      <c r="AFY32">
        <v>6</v>
      </c>
      <c r="AFZ32">
        <v>13</v>
      </c>
      <c r="AGA32">
        <v>14</v>
      </c>
      <c r="AGB32">
        <v>13</v>
      </c>
      <c r="AGC32">
        <v>8</v>
      </c>
      <c r="AGD32">
        <v>15</v>
      </c>
      <c r="AGE32">
        <v>18</v>
      </c>
      <c r="AGF32">
        <v>0</v>
      </c>
      <c r="AGG32">
        <v>7</v>
      </c>
      <c r="AGH32">
        <v>17</v>
      </c>
      <c r="AGI32">
        <v>1</v>
      </c>
      <c r="AGJ32">
        <v>3</v>
      </c>
      <c r="AGK32">
        <v>0</v>
      </c>
      <c r="AGL32">
        <v>18</v>
      </c>
      <c r="AGM32">
        <v>10</v>
      </c>
      <c r="AGN32">
        <v>5</v>
      </c>
      <c r="AGO32">
        <v>18</v>
      </c>
      <c r="AGP32">
        <v>13</v>
      </c>
      <c r="AGQ32">
        <v>18</v>
      </c>
      <c r="AGR32">
        <v>12</v>
      </c>
      <c r="AGS32">
        <v>11</v>
      </c>
      <c r="AGU32">
        <f>COUNTIF(B31:AGS31, "Berlin")</f>
        <v>136</v>
      </c>
    </row>
    <row r="33" spans="1:878" x14ac:dyDescent="0.25">
      <c r="A33" s="1" t="s">
        <v>17</v>
      </c>
      <c r="B33">
        <v>2022</v>
      </c>
      <c r="C33">
        <v>2019</v>
      </c>
      <c r="D33">
        <v>2012</v>
      </c>
      <c r="E33">
        <v>2020</v>
      </c>
      <c r="F33">
        <v>2017</v>
      </c>
      <c r="G33">
        <v>2017</v>
      </c>
      <c r="H33">
        <v>2021</v>
      </c>
      <c r="I33">
        <v>2016</v>
      </c>
      <c r="J33">
        <v>2017</v>
      </c>
      <c r="K33">
        <v>2010</v>
      </c>
      <c r="L33">
        <v>2012</v>
      </c>
      <c r="M33">
        <v>2015</v>
      </c>
      <c r="N33">
        <v>2021</v>
      </c>
      <c r="O33">
        <v>2016</v>
      </c>
      <c r="P33">
        <v>2016</v>
      </c>
      <c r="Q33">
        <v>2020</v>
      </c>
      <c r="R33">
        <v>2015</v>
      </c>
      <c r="S33">
        <v>2022</v>
      </c>
      <c r="T33">
        <v>2021</v>
      </c>
      <c r="U33">
        <v>2021</v>
      </c>
      <c r="V33">
        <v>2021</v>
      </c>
      <c r="W33">
        <v>2020</v>
      </c>
      <c r="X33">
        <v>2013</v>
      </c>
      <c r="Y33">
        <v>2014</v>
      </c>
      <c r="Z33">
        <v>2018</v>
      </c>
      <c r="AA33">
        <v>2010</v>
      </c>
      <c r="AB33">
        <v>2011</v>
      </c>
      <c r="AC33">
        <v>2014</v>
      </c>
      <c r="AD33">
        <v>2014</v>
      </c>
      <c r="AE33">
        <v>2021</v>
      </c>
      <c r="AF33">
        <v>2016</v>
      </c>
      <c r="AG33">
        <v>2017</v>
      </c>
      <c r="AH33">
        <v>2019</v>
      </c>
      <c r="AI33">
        <v>2015</v>
      </c>
      <c r="AJ33">
        <v>2015</v>
      </c>
      <c r="AK33">
        <v>2014</v>
      </c>
      <c r="AL33">
        <v>2014</v>
      </c>
      <c r="AM33">
        <v>2022</v>
      </c>
      <c r="AN33">
        <v>2020</v>
      </c>
      <c r="AO33">
        <v>2017</v>
      </c>
      <c r="AP33">
        <v>2014</v>
      </c>
      <c r="AQ33">
        <v>2015</v>
      </c>
      <c r="AR33">
        <v>2012</v>
      </c>
      <c r="AS33">
        <v>2023</v>
      </c>
      <c r="AT33">
        <v>2014</v>
      </c>
      <c r="AU33">
        <v>2023</v>
      </c>
      <c r="AV33">
        <v>2018</v>
      </c>
      <c r="AW33">
        <v>2012</v>
      </c>
      <c r="AX33">
        <v>2017</v>
      </c>
      <c r="AY33">
        <v>2020</v>
      </c>
      <c r="AZ33">
        <v>2016</v>
      </c>
      <c r="BA33">
        <v>2013</v>
      </c>
      <c r="BB33">
        <v>2014</v>
      </c>
      <c r="BC33">
        <v>2017</v>
      </c>
      <c r="BD33">
        <v>2019</v>
      </c>
      <c r="BE33">
        <v>2016</v>
      </c>
      <c r="BF33">
        <v>2019</v>
      </c>
      <c r="BG33">
        <v>2019</v>
      </c>
      <c r="BH33">
        <v>2011</v>
      </c>
      <c r="BI33">
        <v>2017</v>
      </c>
      <c r="BJ33">
        <v>2017</v>
      </c>
      <c r="BK33">
        <v>2018</v>
      </c>
      <c r="BL33">
        <v>2011</v>
      </c>
      <c r="BM33">
        <v>2023</v>
      </c>
      <c r="BN33">
        <v>2013</v>
      </c>
      <c r="BO33">
        <v>2011</v>
      </c>
      <c r="BP33">
        <v>2013</v>
      </c>
      <c r="BQ33">
        <v>2012</v>
      </c>
      <c r="BR33">
        <v>2016</v>
      </c>
      <c r="BS33">
        <v>2023</v>
      </c>
      <c r="BT33">
        <v>2014</v>
      </c>
      <c r="BU33">
        <v>2016</v>
      </c>
      <c r="BV33">
        <v>2011</v>
      </c>
      <c r="BW33">
        <v>2013</v>
      </c>
      <c r="BX33">
        <v>2015</v>
      </c>
      <c r="BY33">
        <v>2021</v>
      </c>
      <c r="BZ33">
        <v>2014</v>
      </c>
      <c r="CA33">
        <v>2020</v>
      </c>
      <c r="CB33">
        <v>2011</v>
      </c>
      <c r="CC33">
        <v>2021</v>
      </c>
      <c r="CD33">
        <v>2016</v>
      </c>
      <c r="CE33">
        <v>2011</v>
      </c>
      <c r="CF33">
        <v>2023</v>
      </c>
      <c r="CG33">
        <v>2018</v>
      </c>
      <c r="CH33">
        <v>2016</v>
      </c>
      <c r="CI33">
        <v>2021</v>
      </c>
      <c r="CJ33">
        <v>2012</v>
      </c>
      <c r="CK33">
        <v>2015</v>
      </c>
      <c r="CL33">
        <v>2014</v>
      </c>
      <c r="CM33">
        <v>2021</v>
      </c>
      <c r="CN33">
        <v>2018</v>
      </c>
      <c r="CO33">
        <v>2022</v>
      </c>
      <c r="CP33">
        <v>2012</v>
      </c>
      <c r="CQ33">
        <v>2011</v>
      </c>
      <c r="CR33">
        <v>2011</v>
      </c>
      <c r="CS33">
        <v>2013</v>
      </c>
      <c r="CT33">
        <v>2022</v>
      </c>
      <c r="CU33">
        <v>2010</v>
      </c>
      <c r="CV33">
        <v>2018</v>
      </c>
      <c r="CW33">
        <v>2012</v>
      </c>
      <c r="CX33">
        <v>2023</v>
      </c>
      <c r="CY33">
        <v>2022</v>
      </c>
      <c r="CZ33">
        <v>2014</v>
      </c>
      <c r="DA33">
        <v>2011</v>
      </c>
      <c r="DB33">
        <v>2017</v>
      </c>
      <c r="DC33">
        <v>2020</v>
      </c>
      <c r="DD33">
        <v>2020</v>
      </c>
      <c r="DE33">
        <v>2023</v>
      </c>
      <c r="DF33">
        <v>2012</v>
      </c>
      <c r="DG33">
        <v>2014</v>
      </c>
      <c r="DH33">
        <v>2016</v>
      </c>
      <c r="DI33">
        <v>2011</v>
      </c>
      <c r="DJ33">
        <v>2012</v>
      </c>
      <c r="DK33">
        <v>2017</v>
      </c>
      <c r="DL33">
        <v>2019</v>
      </c>
      <c r="DM33">
        <v>2023</v>
      </c>
      <c r="DN33">
        <v>2017</v>
      </c>
      <c r="DO33">
        <v>2012</v>
      </c>
      <c r="DP33">
        <v>2022</v>
      </c>
      <c r="DQ33">
        <v>2019</v>
      </c>
      <c r="DR33">
        <v>2021</v>
      </c>
      <c r="DS33">
        <v>2016</v>
      </c>
      <c r="DT33">
        <v>2023</v>
      </c>
      <c r="DU33">
        <v>2020</v>
      </c>
      <c r="DV33">
        <v>2022</v>
      </c>
      <c r="DW33">
        <v>2011</v>
      </c>
      <c r="DX33">
        <v>2018</v>
      </c>
      <c r="DY33">
        <v>2022</v>
      </c>
      <c r="DZ33">
        <v>2022</v>
      </c>
      <c r="EA33">
        <v>2017</v>
      </c>
      <c r="EB33">
        <v>2018</v>
      </c>
      <c r="EC33">
        <v>2018</v>
      </c>
      <c r="ED33">
        <v>2016</v>
      </c>
      <c r="EE33">
        <v>2013</v>
      </c>
      <c r="EF33">
        <v>2021</v>
      </c>
      <c r="EG33">
        <v>2021</v>
      </c>
      <c r="EH33">
        <v>2014</v>
      </c>
      <c r="EI33">
        <v>2016</v>
      </c>
      <c r="EJ33">
        <v>2022</v>
      </c>
      <c r="EK33">
        <v>2014</v>
      </c>
      <c r="EL33">
        <v>2021</v>
      </c>
      <c r="EM33">
        <v>2019</v>
      </c>
      <c r="EN33">
        <v>2017</v>
      </c>
      <c r="EO33">
        <v>2014</v>
      </c>
      <c r="EP33">
        <v>2014</v>
      </c>
      <c r="EQ33">
        <v>2014</v>
      </c>
      <c r="ER33">
        <v>2013</v>
      </c>
      <c r="ES33">
        <v>2020</v>
      </c>
      <c r="ET33">
        <v>2021</v>
      </c>
      <c r="EU33">
        <v>2020</v>
      </c>
      <c r="EV33">
        <v>2021</v>
      </c>
      <c r="EW33">
        <v>2016</v>
      </c>
      <c r="EX33">
        <v>2011</v>
      </c>
      <c r="EY33">
        <v>2019</v>
      </c>
      <c r="EZ33">
        <v>2022</v>
      </c>
      <c r="FA33">
        <v>2013</v>
      </c>
      <c r="FB33">
        <v>2020</v>
      </c>
      <c r="FC33">
        <v>2012</v>
      </c>
      <c r="FD33">
        <v>2019</v>
      </c>
      <c r="FE33">
        <v>2022</v>
      </c>
      <c r="FF33">
        <v>2017</v>
      </c>
      <c r="FG33">
        <v>2016</v>
      </c>
      <c r="FH33">
        <v>2012</v>
      </c>
      <c r="FI33">
        <v>2013</v>
      </c>
      <c r="FJ33">
        <v>2022</v>
      </c>
      <c r="FK33">
        <v>2023</v>
      </c>
      <c r="FL33">
        <v>2013</v>
      </c>
      <c r="FM33">
        <v>2021</v>
      </c>
      <c r="FN33">
        <v>2019</v>
      </c>
      <c r="FO33">
        <v>2016</v>
      </c>
      <c r="FP33">
        <v>2017</v>
      </c>
      <c r="FQ33">
        <v>2013</v>
      </c>
      <c r="FR33">
        <v>2017</v>
      </c>
      <c r="FS33">
        <v>2010</v>
      </c>
      <c r="FT33">
        <v>2022</v>
      </c>
      <c r="FU33">
        <v>2018</v>
      </c>
      <c r="FV33">
        <v>2016</v>
      </c>
      <c r="FW33">
        <v>2013</v>
      </c>
      <c r="FX33">
        <v>2017</v>
      </c>
      <c r="FY33">
        <v>2021</v>
      </c>
      <c r="FZ33">
        <v>2019</v>
      </c>
      <c r="GA33">
        <v>2011</v>
      </c>
      <c r="GB33">
        <v>2023</v>
      </c>
      <c r="GC33">
        <v>2017</v>
      </c>
      <c r="GD33">
        <v>2019</v>
      </c>
      <c r="GE33">
        <v>2015</v>
      </c>
      <c r="GF33">
        <v>2016</v>
      </c>
      <c r="GG33">
        <v>2016</v>
      </c>
      <c r="GH33">
        <v>2011</v>
      </c>
      <c r="GI33">
        <v>2023</v>
      </c>
      <c r="GJ33">
        <v>2020</v>
      </c>
      <c r="GK33">
        <v>2011</v>
      </c>
      <c r="GL33">
        <v>2013</v>
      </c>
      <c r="GM33">
        <v>2015</v>
      </c>
      <c r="GN33">
        <v>2013</v>
      </c>
      <c r="GO33">
        <v>2015</v>
      </c>
      <c r="GP33">
        <v>2014</v>
      </c>
      <c r="GQ33">
        <v>2015</v>
      </c>
      <c r="GR33">
        <v>2018</v>
      </c>
      <c r="GS33">
        <v>2015</v>
      </c>
      <c r="GT33">
        <v>2015</v>
      </c>
      <c r="GU33">
        <v>2020</v>
      </c>
      <c r="GV33">
        <v>2020</v>
      </c>
      <c r="GW33">
        <v>2017</v>
      </c>
      <c r="GX33">
        <v>2014</v>
      </c>
      <c r="GY33">
        <v>2014</v>
      </c>
      <c r="GZ33">
        <v>2019</v>
      </c>
      <c r="HA33">
        <v>2022</v>
      </c>
      <c r="HB33">
        <v>2020</v>
      </c>
      <c r="HC33">
        <v>2010</v>
      </c>
      <c r="HD33">
        <v>2015</v>
      </c>
      <c r="HE33">
        <v>2010</v>
      </c>
      <c r="HF33">
        <v>2020</v>
      </c>
      <c r="HG33">
        <v>2017</v>
      </c>
      <c r="HH33">
        <v>2019</v>
      </c>
      <c r="HI33">
        <v>2018</v>
      </c>
      <c r="HJ33">
        <v>2015</v>
      </c>
      <c r="HK33">
        <v>2023</v>
      </c>
      <c r="HL33">
        <v>2018</v>
      </c>
      <c r="HM33">
        <v>2011</v>
      </c>
      <c r="HN33">
        <v>2018</v>
      </c>
      <c r="HO33">
        <v>2013</v>
      </c>
      <c r="HP33">
        <v>2012</v>
      </c>
      <c r="HQ33">
        <v>2010</v>
      </c>
      <c r="HR33">
        <v>2010</v>
      </c>
      <c r="HS33">
        <v>2017</v>
      </c>
      <c r="HT33">
        <v>2011</v>
      </c>
      <c r="HU33">
        <v>2010</v>
      </c>
      <c r="HV33">
        <v>2011</v>
      </c>
      <c r="HW33">
        <v>2012</v>
      </c>
      <c r="HX33">
        <v>2013</v>
      </c>
      <c r="HY33">
        <v>2022</v>
      </c>
      <c r="HZ33">
        <v>2020</v>
      </c>
      <c r="IA33">
        <v>2018</v>
      </c>
      <c r="IB33">
        <v>2016</v>
      </c>
      <c r="IC33">
        <v>2021</v>
      </c>
      <c r="ID33">
        <v>2014</v>
      </c>
      <c r="IE33">
        <v>2014</v>
      </c>
      <c r="IF33">
        <v>2023</v>
      </c>
      <c r="IG33">
        <v>2015</v>
      </c>
      <c r="IH33">
        <v>2010</v>
      </c>
      <c r="II33">
        <v>2015</v>
      </c>
      <c r="IJ33">
        <v>2022</v>
      </c>
      <c r="IK33">
        <v>2022</v>
      </c>
      <c r="IL33">
        <v>2020</v>
      </c>
      <c r="IM33">
        <v>2015</v>
      </c>
      <c r="IN33">
        <v>2023</v>
      </c>
      <c r="IO33">
        <v>2020</v>
      </c>
      <c r="IP33">
        <v>2014</v>
      </c>
      <c r="IQ33">
        <v>2019</v>
      </c>
      <c r="IR33">
        <v>2018</v>
      </c>
      <c r="IS33">
        <v>2019</v>
      </c>
      <c r="IT33">
        <v>2019</v>
      </c>
      <c r="IU33">
        <v>2014</v>
      </c>
      <c r="IV33">
        <v>2018</v>
      </c>
      <c r="IW33">
        <v>2019</v>
      </c>
      <c r="IX33">
        <v>2016</v>
      </c>
      <c r="IY33">
        <v>2012</v>
      </c>
      <c r="IZ33">
        <v>2020</v>
      </c>
      <c r="JA33">
        <v>2018</v>
      </c>
      <c r="JB33">
        <v>2019</v>
      </c>
      <c r="JC33">
        <v>2016</v>
      </c>
      <c r="JD33">
        <v>2013</v>
      </c>
      <c r="JE33">
        <v>2023</v>
      </c>
      <c r="JF33">
        <v>2021</v>
      </c>
      <c r="JG33">
        <v>2018</v>
      </c>
      <c r="JH33">
        <v>2015</v>
      </c>
      <c r="JI33">
        <v>2018</v>
      </c>
      <c r="JJ33">
        <v>2013</v>
      </c>
      <c r="JK33">
        <v>2019</v>
      </c>
      <c r="JL33">
        <v>2011</v>
      </c>
      <c r="JM33">
        <v>2022</v>
      </c>
      <c r="JN33">
        <v>2023</v>
      </c>
      <c r="JO33">
        <v>2018</v>
      </c>
      <c r="JP33">
        <v>2019</v>
      </c>
      <c r="JQ33">
        <v>2021</v>
      </c>
      <c r="JR33">
        <v>2023</v>
      </c>
      <c r="JS33">
        <v>2013</v>
      </c>
      <c r="JT33">
        <v>2020</v>
      </c>
      <c r="JU33">
        <v>2011</v>
      </c>
      <c r="JV33">
        <v>2016</v>
      </c>
      <c r="JW33">
        <v>2016</v>
      </c>
      <c r="JX33">
        <v>2014</v>
      </c>
      <c r="JY33">
        <v>2014</v>
      </c>
      <c r="JZ33">
        <v>2017</v>
      </c>
      <c r="KA33">
        <v>2015</v>
      </c>
      <c r="KB33">
        <v>2010</v>
      </c>
      <c r="KC33">
        <v>2020</v>
      </c>
      <c r="KD33">
        <v>2023</v>
      </c>
      <c r="KE33">
        <v>2021</v>
      </c>
      <c r="KF33">
        <v>2013</v>
      </c>
      <c r="KG33">
        <v>2010</v>
      </c>
      <c r="KH33">
        <v>2014</v>
      </c>
      <c r="KI33">
        <v>2014</v>
      </c>
      <c r="KJ33">
        <v>2013</v>
      </c>
      <c r="KK33">
        <v>2018</v>
      </c>
      <c r="KL33">
        <v>2017</v>
      </c>
      <c r="KM33">
        <v>2023</v>
      </c>
      <c r="KN33">
        <v>2019</v>
      </c>
      <c r="KO33">
        <v>2023</v>
      </c>
      <c r="KP33">
        <v>2012</v>
      </c>
      <c r="KQ33">
        <v>2014</v>
      </c>
      <c r="KR33">
        <v>2015</v>
      </c>
      <c r="KS33">
        <v>2014</v>
      </c>
      <c r="KT33">
        <v>2017</v>
      </c>
      <c r="KU33">
        <v>2014</v>
      </c>
      <c r="KV33">
        <v>2017</v>
      </c>
      <c r="KW33">
        <v>2019</v>
      </c>
      <c r="KX33">
        <v>2019</v>
      </c>
      <c r="KY33">
        <v>2023</v>
      </c>
      <c r="KZ33">
        <v>2012</v>
      </c>
      <c r="LA33">
        <v>2014</v>
      </c>
      <c r="LB33">
        <v>2013</v>
      </c>
      <c r="LC33">
        <v>2022</v>
      </c>
      <c r="LD33">
        <v>2020</v>
      </c>
      <c r="LE33">
        <v>2015</v>
      </c>
      <c r="LF33">
        <v>2012</v>
      </c>
      <c r="LG33">
        <v>2021</v>
      </c>
      <c r="LH33">
        <v>2019</v>
      </c>
      <c r="LI33">
        <v>2013</v>
      </c>
      <c r="LJ33">
        <v>2020</v>
      </c>
      <c r="LK33">
        <v>2013</v>
      </c>
      <c r="LL33">
        <v>2014</v>
      </c>
      <c r="LM33">
        <v>2020</v>
      </c>
      <c r="LN33">
        <v>2015</v>
      </c>
      <c r="LO33">
        <v>2011</v>
      </c>
      <c r="LP33">
        <v>2019</v>
      </c>
      <c r="LQ33">
        <v>2021</v>
      </c>
      <c r="LR33">
        <v>2017</v>
      </c>
      <c r="LS33">
        <v>2013</v>
      </c>
      <c r="LT33">
        <v>2016</v>
      </c>
      <c r="LU33">
        <v>2016</v>
      </c>
      <c r="LV33">
        <v>2021</v>
      </c>
      <c r="LW33">
        <v>2023</v>
      </c>
      <c r="LX33">
        <v>2022</v>
      </c>
      <c r="LY33">
        <v>2019</v>
      </c>
      <c r="LZ33">
        <v>2020</v>
      </c>
      <c r="MA33">
        <v>2020</v>
      </c>
      <c r="MB33">
        <v>2011</v>
      </c>
      <c r="MC33">
        <v>2023</v>
      </c>
      <c r="MD33">
        <v>2016</v>
      </c>
      <c r="ME33">
        <v>2021</v>
      </c>
      <c r="MF33">
        <v>2010</v>
      </c>
      <c r="MG33">
        <v>2021</v>
      </c>
      <c r="MH33">
        <v>2023</v>
      </c>
      <c r="MI33">
        <v>2011</v>
      </c>
      <c r="MJ33">
        <v>2014</v>
      </c>
      <c r="MK33">
        <v>2017</v>
      </c>
      <c r="ML33">
        <v>2021</v>
      </c>
      <c r="MM33">
        <v>2016</v>
      </c>
      <c r="MN33">
        <v>2012</v>
      </c>
      <c r="MO33">
        <v>2022</v>
      </c>
      <c r="MP33">
        <v>2019</v>
      </c>
      <c r="MQ33">
        <v>2018</v>
      </c>
      <c r="MR33">
        <v>2021</v>
      </c>
      <c r="MS33">
        <v>2022</v>
      </c>
      <c r="MT33">
        <v>2014</v>
      </c>
      <c r="MU33">
        <v>2012</v>
      </c>
      <c r="MV33">
        <v>2016</v>
      </c>
      <c r="MW33">
        <v>2013</v>
      </c>
      <c r="MX33">
        <v>2010</v>
      </c>
      <c r="MY33">
        <v>2014</v>
      </c>
      <c r="MZ33">
        <v>2020</v>
      </c>
      <c r="NA33">
        <v>2017</v>
      </c>
      <c r="NB33">
        <v>2021</v>
      </c>
      <c r="NC33">
        <v>2013</v>
      </c>
      <c r="ND33">
        <v>2016</v>
      </c>
      <c r="NE33">
        <v>2017</v>
      </c>
      <c r="NF33">
        <v>2018</v>
      </c>
      <c r="NG33">
        <v>2020</v>
      </c>
      <c r="NH33">
        <v>2018</v>
      </c>
      <c r="NI33">
        <v>2014</v>
      </c>
      <c r="NJ33">
        <v>2015</v>
      </c>
      <c r="NK33">
        <v>2016</v>
      </c>
      <c r="NL33">
        <v>2019</v>
      </c>
      <c r="NM33">
        <v>2011</v>
      </c>
      <c r="NN33">
        <v>2018</v>
      </c>
      <c r="NO33">
        <v>2010</v>
      </c>
      <c r="NP33">
        <v>2023</v>
      </c>
      <c r="NQ33">
        <v>2015</v>
      </c>
      <c r="NR33">
        <v>2015</v>
      </c>
      <c r="NS33">
        <v>2023</v>
      </c>
      <c r="NT33">
        <v>2016</v>
      </c>
      <c r="NU33">
        <v>2011</v>
      </c>
      <c r="NV33">
        <v>2022</v>
      </c>
      <c r="NW33">
        <v>2015</v>
      </c>
      <c r="NX33">
        <v>2015</v>
      </c>
      <c r="NY33">
        <v>2018</v>
      </c>
      <c r="NZ33">
        <v>2023</v>
      </c>
      <c r="OA33">
        <v>2017</v>
      </c>
      <c r="OB33">
        <v>2014</v>
      </c>
      <c r="OC33">
        <v>2016</v>
      </c>
      <c r="OD33">
        <v>2016</v>
      </c>
      <c r="OE33">
        <v>2014</v>
      </c>
      <c r="OF33">
        <v>2016</v>
      </c>
      <c r="OG33">
        <v>2012</v>
      </c>
      <c r="OH33">
        <v>2016</v>
      </c>
      <c r="OI33">
        <v>2022</v>
      </c>
      <c r="OJ33">
        <v>2015</v>
      </c>
      <c r="OK33">
        <v>2021</v>
      </c>
      <c r="OL33">
        <v>2015</v>
      </c>
      <c r="OM33">
        <v>2011</v>
      </c>
      <c r="ON33">
        <v>2011</v>
      </c>
      <c r="OO33">
        <v>2016</v>
      </c>
      <c r="OP33">
        <v>2010</v>
      </c>
      <c r="OQ33">
        <v>2018</v>
      </c>
      <c r="OR33">
        <v>2012</v>
      </c>
      <c r="OS33">
        <v>2015</v>
      </c>
      <c r="OT33">
        <v>2012</v>
      </c>
      <c r="OU33">
        <v>2021</v>
      </c>
      <c r="OV33">
        <v>2018</v>
      </c>
      <c r="OW33">
        <v>2019</v>
      </c>
      <c r="OX33">
        <v>2021</v>
      </c>
      <c r="OY33">
        <v>2016</v>
      </c>
      <c r="OZ33">
        <v>2010</v>
      </c>
      <c r="PA33">
        <v>2013</v>
      </c>
      <c r="PB33">
        <v>2023</v>
      </c>
      <c r="PC33">
        <v>2014</v>
      </c>
      <c r="PD33">
        <v>2016</v>
      </c>
      <c r="PE33">
        <v>2016</v>
      </c>
      <c r="PF33">
        <v>2014</v>
      </c>
      <c r="PG33">
        <v>2021</v>
      </c>
      <c r="PH33">
        <v>2010</v>
      </c>
      <c r="PI33">
        <v>2014</v>
      </c>
      <c r="PJ33">
        <v>2014</v>
      </c>
      <c r="PK33">
        <v>2013</v>
      </c>
      <c r="PL33">
        <v>2022</v>
      </c>
      <c r="PM33">
        <v>2015</v>
      </c>
      <c r="PN33">
        <v>2017</v>
      </c>
      <c r="PO33">
        <v>2019</v>
      </c>
      <c r="PP33">
        <v>2014</v>
      </c>
      <c r="PQ33">
        <v>2023</v>
      </c>
      <c r="PR33">
        <v>2017</v>
      </c>
      <c r="PS33">
        <v>2021</v>
      </c>
      <c r="PT33">
        <v>2014</v>
      </c>
      <c r="PU33">
        <v>2022</v>
      </c>
      <c r="PV33">
        <v>2012</v>
      </c>
      <c r="PW33">
        <v>2017</v>
      </c>
      <c r="PX33">
        <v>2021</v>
      </c>
      <c r="PY33">
        <v>2013</v>
      </c>
      <c r="PZ33">
        <v>2023</v>
      </c>
      <c r="QA33">
        <v>2012</v>
      </c>
      <c r="QB33">
        <v>2012</v>
      </c>
      <c r="QC33">
        <v>2015</v>
      </c>
      <c r="QD33">
        <v>2017</v>
      </c>
      <c r="QE33">
        <v>2019</v>
      </c>
      <c r="QF33">
        <v>2014</v>
      </c>
      <c r="QG33">
        <v>2010</v>
      </c>
      <c r="QH33">
        <v>2010</v>
      </c>
      <c r="QI33">
        <v>2012</v>
      </c>
      <c r="QJ33">
        <v>2021</v>
      </c>
      <c r="QK33">
        <v>2021</v>
      </c>
      <c r="QL33">
        <v>2015</v>
      </c>
      <c r="QM33">
        <v>2011</v>
      </c>
      <c r="QN33">
        <v>2010</v>
      </c>
      <c r="QO33">
        <v>2016</v>
      </c>
      <c r="QP33">
        <v>2023</v>
      </c>
      <c r="QQ33">
        <v>2023</v>
      </c>
      <c r="QR33">
        <v>2021</v>
      </c>
      <c r="QS33">
        <v>2011</v>
      </c>
      <c r="QT33">
        <v>2017</v>
      </c>
      <c r="QU33">
        <v>2011</v>
      </c>
      <c r="QV33">
        <v>2020</v>
      </c>
      <c r="QW33">
        <v>2010</v>
      </c>
      <c r="QX33">
        <v>2019</v>
      </c>
      <c r="QY33">
        <v>2011</v>
      </c>
      <c r="QZ33">
        <v>2011</v>
      </c>
      <c r="RA33">
        <v>2016</v>
      </c>
      <c r="RB33">
        <v>2010</v>
      </c>
      <c r="RC33">
        <v>2012</v>
      </c>
      <c r="RD33">
        <v>2014</v>
      </c>
      <c r="RE33">
        <v>2021</v>
      </c>
      <c r="RF33">
        <v>2016</v>
      </c>
      <c r="RG33">
        <v>2023</v>
      </c>
      <c r="RH33">
        <v>2015</v>
      </c>
      <c r="RI33">
        <v>2017</v>
      </c>
      <c r="RJ33">
        <v>2010</v>
      </c>
      <c r="RK33">
        <v>2016</v>
      </c>
      <c r="RL33">
        <v>2018</v>
      </c>
      <c r="RM33">
        <v>2016</v>
      </c>
      <c r="RN33">
        <v>2015</v>
      </c>
      <c r="RO33">
        <v>2018</v>
      </c>
      <c r="RP33">
        <v>2022</v>
      </c>
      <c r="RQ33">
        <v>2013</v>
      </c>
      <c r="RR33">
        <v>2021</v>
      </c>
      <c r="RS33">
        <v>2019</v>
      </c>
      <c r="RT33">
        <v>2015</v>
      </c>
      <c r="RU33">
        <v>2015</v>
      </c>
      <c r="RV33">
        <v>2023</v>
      </c>
      <c r="RW33">
        <v>2019</v>
      </c>
      <c r="RX33">
        <v>2023</v>
      </c>
      <c r="RY33">
        <v>2012</v>
      </c>
      <c r="RZ33">
        <v>2016</v>
      </c>
      <c r="SA33">
        <v>2010</v>
      </c>
      <c r="SB33">
        <v>2020</v>
      </c>
      <c r="SC33">
        <v>2017</v>
      </c>
      <c r="SD33">
        <v>2017</v>
      </c>
      <c r="SE33">
        <v>2017</v>
      </c>
      <c r="SF33">
        <v>2018</v>
      </c>
      <c r="SG33">
        <v>2013</v>
      </c>
      <c r="SH33">
        <v>2015</v>
      </c>
      <c r="SI33">
        <v>2020</v>
      </c>
      <c r="SJ33">
        <v>2021</v>
      </c>
      <c r="SK33">
        <v>2016</v>
      </c>
      <c r="SL33">
        <v>2011</v>
      </c>
      <c r="SM33">
        <v>2015</v>
      </c>
      <c r="SN33">
        <v>2017</v>
      </c>
      <c r="SO33">
        <v>2013</v>
      </c>
      <c r="SP33">
        <v>2014</v>
      </c>
      <c r="SQ33">
        <v>2017</v>
      </c>
      <c r="SR33">
        <v>2012</v>
      </c>
      <c r="SS33">
        <v>2015</v>
      </c>
      <c r="ST33">
        <v>2023</v>
      </c>
      <c r="SU33">
        <v>2010</v>
      </c>
      <c r="SV33">
        <v>2013</v>
      </c>
      <c r="SW33">
        <v>2023</v>
      </c>
      <c r="SX33">
        <v>2015</v>
      </c>
      <c r="SY33">
        <v>2012</v>
      </c>
      <c r="SZ33">
        <v>2010</v>
      </c>
      <c r="TA33">
        <v>2015</v>
      </c>
      <c r="TB33">
        <v>2023</v>
      </c>
      <c r="TC33">
        <v>2012</v>
      </c>
      <c r="TD33">
        <v>2017</v>
      </c>
      <c r="TE33">
        <v>2016</v>
      </c>
      <c r="TF33">
        <v>2020</v>
      </c>
      <c r="TG33">
        <v>2016</v>
      </c>
      <c r="TH33">
        <v>2022</v>
      </c>
      <c r="TI33">
        <v>2021</v>
      </c>
      <c r="TJ33">
        <v>2017</v>
      </c>
      <c r="TK33">
        <v>2016</v>
      </c>
      <c r="TL33">
        <v>2014</v>
      </c>
      <c r="TM33">
        <v>2019</v>
      </c>
      <c r="TN33">
        <v>2017</v>
      </c>
      <c r="TO33">
        <v>2023</v>
      </c>
      <c r="TP33">
        <v>2017</v>
      </c>
      <c r="TQ33">
        <v>2020</v>
      </c>
      <c r="TR33">
        <v>2017</v>
      </c>
      <c r="TS33">
        <v>2021</v>
      </c>
      <c r="TT33">
        <v>2019</v>
      </c>
      <c r="TU33">
        <v>2015</v>
      </c>
      <c r="TV33">
        <v>2011</v>
      </c>
      <c r="TW33">
        <v>2017</v>
      </c>
      <c r="TX33">
        <v>2022</v>
      </c>
      <c r="TY33">
        <v>2019</v>
      </c>
      <c r="TZ33">
        <v>2010</v>
      </c>
      <c r="UA33">
        <v>2018</v>
      </c>
      <c r="UB33">
        <v>2018</v>
      </c>
      <c r="UC33">
        <v>2015</v>
      </c>
      <c r="UD33">
        <v>2019</v>
      </c>
      <c r="UE33">
        <v>2015</v>
      </c>
      <c r="UF33">
        <v>2015</v>
      </c>
      <c r="UG33">
        <v>2020</v>
      </c>
      <c r="UH33">
        <v>2013</v>
      </c>
      <c r="UI33">
        <v>2010</v>
      </c>
      <c r="UJ33">
        <v>2010</v>
      </c>
      <c r="UK33">
        <v>2010</v>
      </c>
      <c r="UL33">
        <v>2014</v>
      </c>
      <c r="UM33">
        <v>2022</v>
      </c>
      <c r="UN33">
        <v>2016</v>
      </c>
      <c r="UO33">
        <v>2010</v>
      </c>
      <c r="UP33">
        <v>2010</v>
      </c>
      <c r="UQ33">
        <v>2023</v>
      </c>
      <c r="UR33">
        <v>2022</v>
      </c>
      <c r="US33">
        <v>2021</v>
      </c>
      <c r="UT33">
        <v>2020</v>
      </c>
      <c r="UU33">
        <v>2021</v>
      </c>
      <c r="UV33">
        <v>2015</v>
      </c>
      <c r="UW33">
        <v>2020</v>
      </c>
      <c r="UX33">
        <v>2011</v>
      </c>
      <c r="UY33">
        <v>2011</v>
      </c>
      <c r="UZ33">
        <v>2021</v>
      </c>
      <c r="VA33">
        <v>2022</v>
      </c>
      <c r="VB33">
        <v>2016</v>
      </c>
      <c r="VC33">
        <v>2018</v>
      </c>
      <c r="VD33">
        <v>2017</v>
      </c>
      <c r="VE33">
        <v>2011</v>
      </c>
      <c r="VF33">
        <v>2023</v>
      </c>
      <c r="VG33">
        <v>2016</v>
      </c>
      <c r="VH33">
        <v>2014</v>
      </c>
      <c r="VI33">
        <v>2022</v>
      </c>
      <c r="VJ33">
        <v>2020</v>
      </c>
      <c r="VK33">
        <v>2019</v>
      </c>
      <c r="VL33">
        <v>2021</v>
      </c>
      <c r="VM33">
        <v>2023</v>
      </c>
      <c r="VN33">
        <v>2022</v>
      </c>
      <c r="VO33">
        <v>2013</v>
      </c>
      <c r="VP33">
        <v>2021</v>
      </c>
      <c r="VQ33">
        <v>2023</v>
      </c>
      <c r="VR33">
        <v>2019</v>
      </c>
      <c r="VS33">
        <v>2023</v>
      </c>
      <c r="VT33">
        <v>2013</v>
      </c>
      <c r="VU33">
        <v>2013</v>
      </c>
      <c r="VV33">
        <v>2018</v>
      </c>
      <c r="VW33">
        <v>2016</v>
      </c>
      <c r="VX33">
        <v>2016</v>
      </c>
      <c r="VY33">
        <v>2023</v>
      </c>
      <c r="VZ33">
        <v>2013</v>
      </c>
      <c r="WA33">
        <v>2018</v>
      </c>
      <c r="WB33">
        <v>2017</v>
      </c>
      <c r="WC33">
        <v>2019</v>
      </c>
      <c r="WD33">
        <v>2013</v>
      </c>
      <c r="WE33">
        <v>2022</v>
      </c>
      <c r="WF33">
        <v>2015</v>
      </c>
      <c r="WG33">
        <v>2013</v>
      </c>
      <c r="WH33">
        <v>2010</v>
      </c>
      <c r="WI33">
        <v>2014</v>
      </c>
      <c r="WJ33">
        <v>2019</v>
      </c>
      <c r="WK33">
        <v>2023</v>
      </c>
      <c r="WL33">
        <v>2020</v>
      </c>
      <c r="WM33">
        <v>2012</v>
      </c>
      <c r="WN33">
        <v>2010</v>
      </c>
      <c r="WO33">
        <v>2011</v>
      </c>
      <c r="WP33">
        <v>2011</v>
      </c>
      <c r="WQ33">
        <v>2017</v>
      </c>
      <c r="WR33">
        <v>2013</v>
      </c>
      <c r="WS33">
        <v>2012</v>
      </c>
      <c r="WT33">
        <v>2013</v>
      </c>
      <c r="WU33">
        <v>2019</v>
      </c>
      <c r="WV33">
        <v>2010</v>
      </c>
      <c r="WW33">
        <v>2010</v>
      </c>
      <c r="WX33">
        <v>2014</v>
      </c>
      <c r="WY33">
        <v>2016</v>
      </c>
      <c r="WZ33">
        <v>2018</v>
      </c>
      <c r="XA33">
        <v>2016</v>
      </c>
      <c r="XB33">
        <v>2020</v>
      </c>
      <c r="XC33">
        <v>2014</v>
      </c>
      <c r="XD33">
        <v>2012</v>
      </c>
      <c r="XE33">
        <v>2017</v>
      </c>
      <c r="XF33">
        <v>2021</v>
      </c>
      <c r="XG33">
        <v>2016</v>
      </c>
      <c r="XH33">
        <v>2013</v>
      </c>
      <c r="XI33">
        <v>2010</v>
      </c>
      <c r="XJ33">
        <v>2022</v>
      </c>
      <c r="XK33">
        <v>2012</v>
      </c>
      <c r="XL33">
        <v>2020</v>
      </c>
      <c r="XM33">
        <v>2017</v>
      </c>
      <c r="XN33">
        <v>2011</v>
      </c>
      <c r="XO33">
        <v>2018</v>
      </c>
      <c r="XP33">
        <v>2023</v>
      </c>
      <c r="XQ33">
        <v>2013</v>
      </c>
      <c r="XR33">
        <v>2023</v>
      </c>
      <c r="XS33">
        <v>2016</v>
      </c>
      <c r="XT33">
        <v>2019</v>
      </c>
      <c r="XU33">
        <v>2021</v>
      </c>
      <c r="XV33">
        <v>2016</v>
      </c>
      <c r="XW33">
        <v>2021</v>
      </c>
      <c r="XX33">
        <v>2017</v>
      </c>
      <c r="XY33">
        <v>2016</v>
      </c>
      <c r="XZ33">
        <v>2020</v>
      </c>
      <c r="YA33">
        <v>2013</v>
      </c>
      <c r="YB33">
        <v>2022</v>
      </c>
      <c r="YC33">
        <v>2021</v>
      </c>
      <c r="YD33">
        <v>2016</v>
      </c>
      <c r="YE33">
        <v>2014</v>
      </c>
      <c r="YF33">
        <v>2021</v>
      </c>
      <c r="YG33">
        <v>2019</v>
      </c>
      <c r="YH33">
        <v>2016</v>
      </c>
      <c r="YI33">
        <v>2012</v>
      </c>
      <c r="YJ33">
        <v>2019</v>
      </c>
      <c r="YK33">
        <v>2020</v>
      </c>
      <c r="YL33">
        <v>2016</v>
      </c>
      <c r="YM33">
        <v>2016</v>
      </c>
      <c r="YN33">
        <v>2011</v>
      </c>
      <c r="YO33">
        <v>2017</v>
      </c>
      <c r="YP33">
        <v>2016</v>
      </c>
      <c r="YQ33">
        <v>2018</v>
      </c>
      <c r="YR33">
        <v>2021</v>
      </c>
      <c r="YS33">
        <v>2013</v>
      </c>
      <c r="YT33">
        <v>2018</v>
      </c>
      <c r="YU33">
        <v>2010</v>
      </c>
      <c r="YV33">
        <v>2014</v>
      </c>
      <c r="YW33">
        <v>2019</v>
      </c>
      <c r="YX33">
        <v>2016</v>
      </c>
      <c r="YY33">
        <v>2013</v>
      </c>
      <c r="YZ33">
        <v>2022</v>
      </c>
      <c r="ZA33">
        <v>2016</v>
      </c>
      <c r="ZB33">
        <v>2023</v>
      </c>
      <c r="ZC33">
        <v>2021</v>
      </c>
      <c r="ZD33">
        <v>2018</v>
      </c>
      <c r="ZE33">
        <v>2022</v>
      </c>
      <c r="ZF33">
        <v>2023</v>
      </c>
      <c r="ZG33">
        <v>2014</v>
      </c>
      <c r="ZH33">
        <v>2014</v>
      </c>
      <c r="ZI33">
        <v>2011</v>
      </c>
      <c r="ZJ33">
        <v>2023</v>
      </c>
      <c r="ZK33">
        <v>2014</v>
      </c>
      <c r="ZL33">
        <v>2017</v>
      </c>
      <c r="ZM33">
        <v>2013</v>
      </c>
      <c r="ZN33">
        <v>2011</v>
      </c>
      <c r="ZO33">
        <v>2017</v>
      </c>
      <c r="ZP33">
        <v>2013</v>
      </c>
      <c r="ZQ33">
        <v>2023</v>
      </c>
      <c r="ZR33">
        <v>2022</v>
      </c>
      <c r="ZS33">
        <v>2014</v>
      </c>
      <c r="ZT33">
        <v>2023</v>
      </c>
      <c r="ZU33">
        <v>2021</v>
      </c>
      <c r="ZV33">
        <v>2016</v>
      </c>
      <c r="ZW33">
        <v>2020</v>
      </c>
      <c r="ZX33">
        <v>2014</v>
      </c>
      <c r="ZY33">
        <v>2022</v>
      </c>
      <c r="ZZ33">
        <v>2019</v>
      </c>
      <c r="AAA33">
        <v>2013</v>
      </c>
      <c r="AAB33">
        <v>2016</v>
      </c>
      <c r="AAC33">
        <v>2022</v>
      </c>
      <c r="AAD33">
        <v>2013</v>
      </c>
      <c r="AAE33">
        <v>2019</v>
      </c>
      <c r="AAF33">
        <v>2021</v>
      </c>
      <c r="AAG33">
        <v>2013</v>
      </c>
      <c r="AAH33">
        <v>2011</v>
      </c>
      <c r="AAI33">
        <v>2014</v>
      </c>
      <c r="AAJ33">
        <v>2017</v>
      </c>
      <c r="AAK33">
        <v>2013</v>
      </c>
      <c r="AAL33">
        <v>2020</v>
      </c>
      <c r="AAM33">
        <v>2022</v>
      </c>
      <c r="AAN33">
        <v>2011</v>
      </c>
      <c r="AAO33">
        <v>2018</v>
      </c>
      <c r="AAP33">
        <v>2015</v>
      </c>
      <c r="AAQ33">
        <v>2012</v>
      </c>
      <c r="AAR33">
        <v>2022</v>
      </c>
      <c r="AAS33">
        <v>2023</v>
      </c>
      <c r="AAT33">
        <v>2019</v>
      </c>
      <c r="AAU33">
        <v>2020</v>
      </c>
      <c r="AAV33">
        <v>2014</v>
      </c>
      <c r="AAW33">
        <v>2015</v>
      </c>
      <c r="AAX33">
        <v>2018</v>
      </c>
      <c r="AAY33">
        <v>2014</v>
      </c>
      <c r="AAZ33">
        <v>2018</v>
      </c>
      <c r="ABA33">
        <v>2010</v>
      </c>
      <c r="ABB33">
        <v>2021</v>
      </c>
      <c r="ABC33">
        <v>2019</v>
      </c>
      <c r="ABD33">
        <v>2013</v>
      </c>
      <c r="ABE33">
        <v>2010</v>
      </c>
      <c r="ABF33">
        <v>2011</v>
      </c>
      <c r="ABG33">
        <v>2011</v>
      </c>
      <c r="ABH33">
        <v>2019</v>
      </c>
      <c r="ABI33">
        <v>2020</v>
      </c>
      <c r="ABJ33">
        <v>2014</v>
      </c>
      <c r="ABK33">
        <v>2010</v>
      </c>
      <c r="ABL33">
        <v>2019</v>
      </c>
      <c r="ABM33">
        <v>2023</v>
      </c>
      <c r="ABN33">
        <v>2012</v>
      </c>
      <c r="ABO33">
        <v>2020</v>
      </c>
      <c r="ABP33">
        <v>2015</v>
      </c>
      <c r="ABQ33">
        <v>2010</v>
      </c>
      <c r="ABR33">
        <v>2021</v>
      </c>
      <c r="ABS33">
        <v>2020</v>
      </c>
      <c r="ABT33">
        <v>2010</v>
      </c>
      <c r="ABU33">
        <v>2012</v>
      </c>
      <c r="ABV33">
        <v>2018</v>
      </c>
      <c r="ABW33">
        <v>2011</v>
      </c>
      <c r="ABX33">
        <v>2021</v>
      </c>
      <c r="ABY33">
        <v>2015</v>
      </c>
      <c r="ABZ33">
        <v>2012</v>
      </c>
      <c r="ACA33">
        <v>2015</v>
      </c>
      <c r="ACB33">
        <v>2020</v>
      </c>
      <c r="ACC33">
        <v>2020</v>
      </c>
      <c r="ACD33">
        <v>2016</v>
      </c>
      <c r="ACE33">
        <v>2022</v>
      </c>
      <c r="ACF33">
        <v>2022</v>
      </c>
      <c r="ACG33">
        <v>2016</v>
      </c>
      <c r="ACH33">
        <v>2023</v>
      </c>
      <c r="ACI33">
        <v>2011</v>
      </c>
      <c r="ACJ33">
        <v>2012</v>
      </c>
      <c r="ACK33">
        <v>2013</v>
      </c>
      <c r="ACL33">
        <v>2017</v>
      </c>
      <c r="ACM33">
        <v>2014</v>
      </c>
      <c r="ACN33">
        <v>2010</v>
      </c>
      <c r="ACO33">
        <v>2018</v>
      </c>
      <c r="ACP33">
        <v>2010</v>
      </c>
      <c r="ACQ33">
        <v>2011</v>
      </c>
      <c r="ACR33">
        <v>2016</v>
      </c>
      <c r="ACS33">
        <v>2020</v>
      </c>
      <c r="ACT33">
        <v>2012</v>
      </c>
      <c r="ACU33">
        <v>2015</v>
      </c>
      <c r="ACV33">
        <v>2017</v>
      </c>
      <c r="ACW33">
        <v>2014</v>
      </c>
      <c r="ACX33">
        <v>2010</v>
      </c>
      <c r="ACY33">
        <v>2019</v>
      </c>
      <c r="ACZ33">
        <v>2023</v>
      </c>
      <c r="ADA33">
        <v>2021</v>
      </c>
      <c r="ADB33">
        <v>2012</v>
      </c>
      <c r="ADC33">
        <v>2020</v>
      </c>
      <c r="ADD33">
        <v>2011</v>
      </c>
      <c r="ADE33">
        <v>2015</v>
      </c>
      <c r="ADF33">
        <v>2023</v>
      </c>
      <c r="ADG33">
        <v>2014</v>
      </c>
      <c r="ADH33">
        <v>2016</v>
      </c>
      <c r="ADI33">
        <v>2011</v>
      </c>
      <c r="ADJ33">
        <v>2023</v>
      </c>
      <c r="ADK33">
        <v>2022</v>
      </c>
      <c r="ADL33">
        <v>2015</v>
      </c>
      <c r="ADM33">
        <v>2020</v>
      </c>
      <c r="ADN33">
        <v>2014</v>
      </c>
      <c r="ADO33">
        <v>2015</v>
      </c>
      <c r="ADP33">
        <v>2014</v>
      </c>
      <c r="ADQ33">
        <v>2016</v>
      </c>
      <c r="ADR33">
        <v>2014</v>
      </c>
      <c r="ADS33">
        <v>2023</v>
      </c>
      <c r="ADT33">
        <v>2022</v>
      </c>
      <c r="ADU33">
        <v>2016</v>
      </c>
      <c r="ADV33">
        <v>2010</v>
      </c>
      <c r="ADW33">
        <v>2018</v>
      </c>
      <c r="ADX33">
        <v>2015</v>
      </c>
      <c r="ADY33">
        <v>2018</v>
      </c>
      <c r="ADZ33">
        <v>2010</v>
      </c>
      <c r="AEA33">
        <v>2011</v>
      </c>
      <c r="AEB33">
        <v>2016</v>
      </c>
      <c r="AEC33">
        <v>2013</v>
      </c>
      <c r="AED33">
        <v>2023</v>
      </c>
      <c r="AEE33">
        <v>2022</v>
      </c>
      <c r="AEF33">
        <v>2019</v>
      </c>
      <c r="AEG33">
        <v>2023</v>
      </c>
      <c r="AEH33">
        <v>2010</v>
      </c>
      <c r="AEI33">
        <v>2014</v>
      </c>
      <c r="AEJ33">
        <v>2013</v>
      </c>
      <c r="AEK33">
        <v>2015</v>
      </c>
      <c r="AEL33">
        <v>2022</v>
      </c>
      <c r="AEM33">
        <v>2016</v>
      </c>
      <c r="AEN33">
        <v>2020</v>
      </c>
      <c r="AEO33">
        <v>2012</v>
      </c>
      <c r="AEP33">
        <v>2015</v>
      </c>
      <c r="AEQ33">
        <v>2011</v>
      </c>
      <c r="AER33">
        <v>2021</v>
      </c>
      <c r="AES33">
        <v>2019</v>
      </c>
      <c r="AET33">
        <v>2022</v>
      </c>
      <c r="AEU33">
        <v>2013</v>
      </c>
      <c r="AEV33">
        <v>2023</v>
      </c>
      <c r="AEW33">
        <v>2019</v>
      </c>
      <c r="AEX33">
        <v>2022</v>
      </c>
      <c r="AEY33">
        <v>2018</v>
      </c>
      <c r="AEZ33">
        <v>2022</v>
      </c>
      <c r="AFA33">
        <v>2016</v>
      </c>
      <c r="AFB33">
        <v>2011</v>
      </c>
      <c r="AFC33">
        <v>2015</v>
      </c>
      <c r="AFD33">
        <v>2023</v>
      </c>
      <c r="AFE33">
        <v>2013</v>
      </c>
      <c r="AFF33">
        <v>2017</v>
      </c>
      <c r="AFG33">
        <v>2021</v>
      </c>
      <c r="AFH33">
        <v>2017</v>
      </c>
      <c r="AFI33">
        <v>2010</v>
      </c>
      <c r="AFJ33">
        <v>2017</v>
      </c>
      <c r="AFK33">
        <v>2019</v>
      </c>
      <c r="AFL33">
        <v>2016</v>
      </c>
      <c r="AFM33">
        <v>2023</v>
      </c>
      <c r="AFN33">
        <v>2023</v>
      </c>
      <c r="AFO33">
        <v>2010</v>
      </c>
      <c r="AFP33">
        <v>2012</v>
      </c>
      <c r="AFQ33">
        <v>2023</v>
      </c>
      <c r="AFR33">
        <v>2014</v>
      </c>
      <c r="AFS33">
        <v>2012</v>
      </c>
      <c r="AFT33">
        <v>2012</v>
      </c>
      <c r="AFU33">
        <v>2010</v>
      </c>
      <c r="AFV33">
        <v>2017</v>
      </c>
      <c r="AFW33">
        <v>2018</v>
      </c>
      <c r="AFX33">
        <v>2014</v>
      </c>
      <c r="AFY33">
        <v>2010</v>
      </c>
      <c r="AFZ33">
        <v>2010</v>
      </c>
      <c r="AGA33">
        <v>2018</v>
      </c>
      <c r="AGB33">
        <v>2023</v>
      </c>
      <c r="AGC33">
        <v>2010</v>
      </c>
      <c r="AGD33">
        <v>2018</v>
      </c>
      <c r="AGE33">
        <v>2012</v>
      </c>
      <c r="AGF33">
        <v>2012</v>
      </c>
      <c r="AGG33">
        <v>2022</v>
      </c>
      <c r="AGH33">
        <v>2013</v>
      </c>
      <c r="AGI33">
        <v>2014</v>
      </c>
      <c r="AGJ33">
        <v>2015</v>
      </c>
      <c r="AGK33">
        <v>2023</v>
      </c>
      <c r="AGL33">
        <v>2015</v>
      </c>
      <c r="AGM33">
        <v>2019</v>
      </c>
      <c r="AGN33">
        <v>2022</v>
      </c>
      <c r="AGO33">
        <v>2022</v>
      </c>
      <c r="AGP33">
        <v>2018</v>
      </c>
      <c r="AGQ33">
        <v>2010</v>
      </c>
      <c r="AGR33">
        <v>2018</v>
      </c>
      <c r="AGS33">
        <v>2013</v>
      </c>
    </row>
    <row r="34" spans="1:878" x14ac:dyDescent="0.25">
      <c r="A34" s="1" t="s">
        <v>18</v>
      </c>
      <c r="B34" t="s">
        <v>30</v>
      </c>
      <c r="C34" t="s">
        <v>30</v>
      </c>
      <c r="D34" t="s">
        <v>43</v>
      </c>
      <c r="E34" t="s">
        <v>49</v>
      </c>
      <c r="F34" t="s">
        <v>43</v>
      </c>
      <c r="G34" t="s">
        <v>30</v>
      </c>
      <c r="H34" t="s">
        <v>30</v>
      </c>
      <c r="I34" t="s">
        <v>43</v>
      </c>
      <c r="J34" t="s">
        <v>30</v>
      </c>
      <c r="K34" t="s">
        <v>30</v>
      </c>
      <c r="L34" t="s">
        <v>49</v>
      </c>
      <c r="M34" t="s">
        <v>49</v>
      </c>
      <c r="N34" t="s">
        <v>30</v>
      </c>
      <c r="O34" t="s">
        <v>30</v>
      </c>
      <c r="P34" t="s">
        <v>43</v>
      </c>
      <c r="Q34" t="s">
        <v>43</v>
      </c>
      <c r="R34" t="s">
        <v>30</v>
      </c>
      <c r="S34" t="s">
        <v>49</v>
      </c>
      <c r="T34" t="s">
        <v>49</v>
      </c>
      <c r="U34" t="s">
        <v>43</v>
      </c>
      <c r="V34" t="s">
        <v>49</v>
      </c>
      <c r="W34" t="s">
        <v>49</v>
      </c>
      <c r="X34" t="s">
        <v>43</v>
      </c>
      <c r="Y34" t="s">
        <v>43</v>
      </c>
      <c r="Z34" t="s">
        <v>49</v>
      </c>
      <c r="AA34" t="s">
        <v>43</v>
      </c>
      <c r="AB34" t="s">
        <v>30</v>
      </c>
      <c r="AC34" t="s">
        <v>43</v>
      </c>
      <c r="AD34" t="s">
        <v>30</v>
      </c>
      <c r="AE34" t="s">
        <v>30</v>
      </c>
      <c r="AF34" t="s">
        <v>30</v>
      </c>
      <c r="AG34" t="s">
        <v>43</v>
      </c>
      <c r="AH34" t="s">
        <v>43</v>
      </c>
      <c r="AI34" t="s">
        <v>43</v>
      </c>
      <c r="AJ34" t="s">
        <v>30</v>
      </c>
      <c r="AK34" t="s">
        <v>43</v>
      </c>
      <c r="AL34" t="s">
        <v>49</v>
      </c>
      <c r="AM34" t="s">
        <v>49</v>
      </c>
      <c r="AN34" t="s">
        <v>43</v>
      </c>
      <c r="AO34" t="s">
        <v>30</v>
      </c>
      <c r="AP34" t="s">
        <v>43</v>
      </c>
      <c r="AQ34" t="s">
        <v>49</v>
      </c>
      <c r="AR34" t="s">
        <v>30</v>
      </c>
      <c r="AS34" t="s">
        <v>43</v>
      </c>
      <c r="AT34" t="s">
        <v>43</v>
      </c>
      <c r="AU34" t="s">
        <v>30</v>
      </c>
      <c r="AV34" t="s">
        <v>30</v>
      </c>
      <c r="AW34" t="s">
        <v>49</v>
      </c>
      <c r="AX34" t="s">
        <v>43</v>
      </c>
      <c r="AY34" t="s">
        <v>49</v>
      </c>
      <c r="AZ34" t="s">
        <v>49</v>
      </c>
      <c r="BA34" t="s">
        <v>30</v>
      </c>
      <c r="BB34" t="s">
        <v>43</v>
      </c>
      <c r="BC34" t="s">
        <v>49</v>
      </c>
      <c r="BD34" t="s">
        <v>49</v>
      </c>
      <c r="BE34" t="s">
        <v>30</v>
      </c>
      <c r="BF34" t="s">
        <v>43</v>
      </c>
      <c r="BG34" t="s">
        <v>43</v>
      </c>
      <c r="BH34" t="s">
        <v>49</v>
      </c>
      <c r="BI34" t="s">
        <v>30</v>
      </c>
      <c r="BJ34" t="s">
        <v>43</v>
      </c>
      <c r="BK34" t="s">
        <v>43</v>
      </c>
      <c r="BL34" t="s">
        <v>49</v>
      </c>
      <c r="BM34" t="s">
        <v>43</v>
      </c>
      <c r="BN34" t="s">
        <v>43</v>
      </c>
      <c r="BO34" t="s">
        <v>43</v>
      </c>
      <c r="BP34" t="s">
        <v>43</v>
      </c>
      <c r="BQ34" t="s">
        <v>49</v>
      </c>
      <c r="BR34" t="s">
        <v>43</v>
      </c>
      <c r="BS34" t="s">
        <v>43</v>
      </c>
      <c r="BT34" t="s">
        <v>30</v>
      </c>
      <c r="BU34" t="s">
        <v>49</v>
      </c>
      <c r="BV34" t="s">
        <v>43</v>
      </c>
      <c r="BW34" t="s">
        <v>30</v>
      </c>
      <c r="BX34" t="s">
        <v>49</v>
      </c>
      <c r="BY34" t="s">
        <v>43</v>
      </c>
      <c r="BZ34" t="s">
        <v>30</v>
      </c>
      <c r="CA34" t="s">
        <v>49</v>
      </c>
      <c r="CB34" t="s">
        <v>43</v>
      </c>
      <c r="CC34" t="s">
        <v>30</v>
      </c>
      <c r="CD34" t="s">
        <v>49</v>
      </c>
      <c r="CE34" t="s">
        <v>30</v>
      </c>
      <c r="CF34" t="s">
        <v>30</v>
      </c>
      <c r="CG34" t="s">
        <v>43</v>
      </c>
      <c r="CH34" t="s">
        <v>30</v>
      </c>
      <c r="CI34" t="s">
        <v>43</v>
      </c>
      <c r="CJ34" t="s">
        <v>43</v>
      </c>
      <c r="CK34" t="s">
        <v>30</v>
      </c>
      <c r="CL34" t="s">
        <v>30</v>
      </c>
      <c r="CM34" t="s">
        <v>30</v>
      </c>
      <c r="CN34" t="s">
        <v>30</v>
      </c>
      <c r="CO34" t="s">
        <v>49</v>
      </c>
      <c r="CP34" t="s">
        <v>43</v>
      </c>
      <c r="CQ34" t="s">
        <v>30</v>
      </c>
      <c r="CR34" t="s">
        <v>49</v>
      </c>
      <c r="CS34" t="s">
        <v>30</v>
      </c>
      <c r="CT34" t="s">
        <v>49</v>
      </c>
      <c r="CU34" t="s">
        <v>43</v>
      </c>
      <c r="CV34" t="s">
        <v>30</v>
      </c>
      <c r="CW34" t="s">
        <v>49</v>
      </c>
      <c r="CX34" t="s">
        <v>49</v>
      </c>
      <c r="CY34" t="s">
        <v>43</v>
      </c>
      <c r="CZ34" t="s">
        <v>30</v>
      </c>
      <c r="DA34" t="s">
        <v>30</v>
      </c>
      <c r="DB34" t="s">
        <v>43</v>
      </c>
      <c r="DC34" t="s">
        <v>43</v>
      </c>
      <c r="DD34" t="s">
        <v>43</v>
      </c>
      <c r="DE34" t="s">
        <v>49</v>
      </c>
      <c r="DF34" t="s">
        <v>49</v>
      </c>
      <c r="DG34" t="s">
        <v>43</v>
      </c>
      <c r="DH34" t="s">
        <v>30</v>
      </c>
      <c r="DI34" t="s">
        <v>49</v>
      </c>
      <c r="DJ34" t="s">
        <v>43</v>
      </c>
      <c r="DK34" t="s">
        <v>49</v>
      </c>
      <c r="DL34" t="s">
        <v>49</v>
      </c>
      <c r="DM34" t="s">
        <v>43</v>
      </c>
      <c r="DN34" t="s">
        <v>30</v>
      </c>
      <c r="DO34" t="s">
        <v>30</v>
      </c>
      <c r="DP34" t="s">
        <v>49</v>
      </c>
      <c r="DQ34" t="s">
        <v>30</v>
      </c>
      <c r="DR34" t="s">
        <v>30</v>
      </c>
      <c r="DS34" t="s">
        <v>43</v>
      </c>
      <c r="DT34" t="s">
        <v>43</v>
      </c>
      <c r="DU34" t="s">
        <v>43</v>
      </c>
      <c r="DV34" t="s">
        <v>30</v>
      </c>
      <c r="DW34" t="s">
        <v>30</v>
      </c>
      <c r="DX34" t="s">
        <v>43</v>
      </c>
      <c r="DY34" t="s">
        <v>30</v>
      </c>
      <c r="DZ34" t="s">
        <v>43</v>
      </c>
      <c r="EA34" t="s">
        <v>49</v>
      </c>
      <c r="EB34" t="s">
        <v>49</v>
      </c>
      <c r="EC34" t="s">
        <v>30</v>
      </c>
      <c r="ED34" t="s">
        <v>30</v>
      </c>
      <c r="EE34" t="s">
        <v>30</v>
      </c>
      <c r="EF34" t="s">
        <v>30</v>
      </c>
      <c r="EG34" t="s">
        <v>49</v>
      </c>
      <c r="EH34" t="s">
        <v>43</v>
      </c>
      <c r="EI34" t="s">
        <v>49</v>
      </c>
      <c r="EJ34" t="s">
        <v>43</v>
      </c>
      <c r="EK34" t="s">
        <v>30</v>
      </c>
      <c r="EL34" t="s">
        <v>43</v>
      </c>
      <c r="EM34" t="s">
        <v>43</v>
      </c>
      <c r="EN34" t="s">
        <v>43</v>
      </c>
      <c r="EO34" t="s">
        <v>43</v>
      </c>
      <c r="EP34" t="s">
        <v>49</v>
      </c>
      <c r="EQ34" t="s">
        <v>30</v>
      </c>
      <c r="ER34" t="s">
        <v>30</v>
      </c>
      <c r="ES34" t="s">
        <v>43</v>
      </c>
      <c r="ET34" t="s">
        <v>30</v>
      </c>
      <c r="EU34" t="s">
        <v>49</v>
      </c>
      <c r="EV34" t="s">
        <v>43</v>
      </c>
      <c r="EW34" t="s">
        <v>30</v>
      </c>
      <c r="EX34" t="s">
        <v>30</v>
      </c>
      <c r="EY34" t="s">
        <v>43</v>
      </c>
      <c r="EZ34" t="s">
        <v>49</v>
      </c>
      <c r="FA34" t="s">
        <v>43</v>
      </c>
      <c r="FB34" t="s">
        <v>43</v>
      </c>
      <c r="FC34" t="s">
        <v>30</v>
      </c>
      <c r="FD34" t="s">
        <v>30</v>
      </c>
      <c r="FE34" t="s">
        <v>43</v>
      </c>
      <c r="FF34" t="s">
        <v>43</v>
      </c>
      <c r="FG34" t="s">
        <v>30</v>
      </c>
      <c r="FH34" t="s">
        <v>43</v>
      </c>
      <c r="FI34" t="s">
        <v>49</v>
      </c>
      <c r="FJ34" t="s">
        <v>43</v>
      </c>
      <c r="FK34" t="s">
        <v>49</v>
      </c>
      <c r="FL34" t="s">
        <v>43</v>
      </c>
      <c r="FM34" t="s">
        <v>43</v>
      </c>
      <c r="FN34" t="s">
        <v>43</v>
      </c>
      <c r="FO34" t="s">
        <v>30</v>
      </c>
      <c r="FP34" t="s">
        <v>30</v>
      </c>
      <c r="FQ34" t="s">
        <v>30</v>
      </c>
      <c r="FR34" t="s">
        <v>30</v>
      </c>
      <c r="FS34" t="s">
        <v>30</v>
      </c>
      <c r="FT34" t="s">
        <v>30</v>
      </c>
      <c r="FU34" t="s">
        <v>43</v>
      </c>
      <c r="FV34" t="s">
        <v>49</v>
      </c>
      <c r="FW34" t="s">
        <v>30</v>
      </c>
      <c r="FX34" t="s">
        <v>30</v>
      </c>
      <c r="FY34" t="s">
        <v>43</v>
      </c>
      <c r="FZ34" t="s">
        <v>30</v>
      </c>
      <c r="GA34" t="s">
        <v>43</v>
      </c>
      <c r="GB34" t="s">
        <v>30</v>
      </c>
      <c r="GC34" t="s">
        <v>49</v>
      </c>
      <c r="GD34" t="s">
        <v>30</v>
      </c>
      <c r="GE34" t="s">
        <v>30</v>
      </c>
      <c r="GF34" t="s">
        <v>43</v>
      </c>
      <c r="GG34" t="s">
        <v>30</v>
      </c>
      <c r="GH34" t="s">
        <v>43</v>
      </c>
      <c r="GI34" t="s">
        <v>49</v>
      </c>
      <c r="GJ34" t="s">
        <v>30</v>
      </c>
      <c r="GK34" t="s">
        <v>43</v>
      </c>
      <c r="GL34" t="s">
        <v>49</v>
      </c>
      <c r="GM34" t="s">
        <v>49</v>
      </c>
      <c r="GN34" t="s">
        <v>43</v>
      </c>
      <c r="GO34" t="s">
        <v>43</v>
      </c>
      <c r="GP34" t="s">
        <v>30</v>
      </c>
      <c r="GQ34" t="s">
        <v>49</v>
      </c>
      <c r="GR34" t="s">
        <v>49</v>
      </c>
      <c r="GS34" t="s">
        <v>43</v>
      </c>
      <c r="GT34" t="s">
        <v>49</v>
      </c>
      <c r="GU34" t="s">
        <v>43</v>
      </c>
      <c r="GV34" t="s">
        <v>30</v>
      </c>
      <c r="GW34" t="s">
        <v>43</v>
      </c>
      <c r="GX34" t="s">
        <v>30</v>
      </c>
      <c r="GY34" t="s">
        <v>43</v>
      </c>
      <c r="GZ34" t="s">
        <v>30</v>
      </c>
      <c r="HA34" t="s">
        <v>49</v>
      </c>
      <c r="HB34" t="s">
        <v>43</v>
      </c>
      <c r="HC34" t="s">
        <v>43</v>
      </c>
      <c r="HD34" t="s">
        <v>43</v>
      </c>
      <c r="HE34" t="s">
        <v>30</v>
      </c>
      <c r="HF34" t="s">
        <v>43</v>
      </c>
      <c r="HG34" t="s">
        <v>43</v>
      </c>
      <c r="HH34" t="s">
        <v>49</v>
      </c>
      <c r="HI34" t="s">
        <v>43</v>
      </c>
      <c r="HJ34" t="s">
        <v>43</v>
      </c>
      <c r="HK34" t="s">
        <v>43</v>
      </c>
      <c r="HL34" t="s">
        <v>43</v>
      </c>
      <c r="HM34" t="s">
        <v>49</v>
      </c>
      <c r="HN34" t="s">
        <v>43</v>
      </c>
      <c r="HO34" t="s">
        <v>43</v>
      </c>
      <c r="HP34" t="s">
        <v>49</v>
      </c>
      <c r="HQ34" t="s">
        <v>30</v>
      </c>
      <c r="HR34" t="s">
        <v>30</v>
      </c>
      <c r="HS34" t="s">
        <v>49</v>
      </c>
      <c r="HT34" t="s">
        <v>49</v>
      </c>
      <c r="HU34" t="s">
        <v>30</v>
      </c>
      <c r="HV34" t="s">
        <v>43</v>
      </c>
      <c r="HW34" t="s">
        <v>30</v>
      </c>
      <c r="HX34" t="s">
        <v>43</v>
      </c>
      <c r="HY34" t="s">
        <v>49</v>
      </c>
      <c r="HZ34" t="s">
        <v>49</v>
      </c>
      <c r="IA34" t="s">
        <v>49</v>
      </c>
      <c r="IB34" t="s">
        <v>30</v>
      </c>
      <c r="IC34" t="s">
        <v>49</v>
      </c>
      <c r="ID34" t="s">
        <v>30</v>
      </c>
      <c r="IE34" t="s">
        <v>43</v>
      </c>
      <c r="IF34" t="s">
        <v>43</v>
      </c>
      <c r="IG34" t="s">
        <v>43</v>
      </c>
      <c r="IH34" t="s">
        <v>49</v>
      </c>
      <c r="II34" t="s">
        <v>43</v>
      </c>
      <c r="IJ34" t="s">
        <v>49</v>
      </c>
      <c r="IK34" t="s">
        <v>30</v>
      </c>
      <c r="IL34" t="s">
        <v>49</v>
      </c>
      <c r="IM34" t="s">
        <v>43</v>
      </c>
      <c r="IN34" t="s">
        <v>49</v>
      </c>
      <c r="IO34" t="s">
        <v>49</v>
      </c>
      <c r="IP34" t="s">
        <v>30</v>
      </c>
      <c r="IQ34" t="s">
        <v>49</v>
      </c>
      <c r="IR34" t="s">
        <v>43</v>
      </c>
      <c r="IS34" t="s">
        <v>49</v>
      </c>
      <c r="IT34" t="s">
        <v>49</v>
      </c>
      <c r="IU34" t="s">
        <v>43</v>
      </c>
      <c r="IV34" t="s">
        <v>49</v>
      </c>
      <c r="IW34" t="s">
        <v>30</v>
      </c>
      <c r="IX34" t="s">
        <v>43</v>
      </c>
      <c r="IY34" t="s">
        <v>43</v>
      </c>
      <c r="IZ34" t="s">
        <v>49</v>
      </c>
      <c r="JA34" t="s">
        <v>30</v>
      </c>
      <c r="JB34" t="s">
        <v>30</v>
      </c>
      <c r="JC34" t="s">
        <v>43</v>
      </c>
      <c r="JD34" t="s">
        <v>43</v>
      </c>
      <c r="JE34" t="s">
        <v>49</v>
      </c>
      <c r="JF34" t="s">
        <v>43</v>
      </c>
      <c r="JG34" t="s">
        <v>30</v>
      </c>
      <c r="JH34" t="s">
        <v>49</v>
      </c>
      <c r="JI34" t="s">
        <v>49</v>
      </c>
      <c r="JJ34" t="s">
        <v>30</v>
      </c>
      <c r="JK34" t="s">
        <v>30</v>
      </c>
      <c r="JL34" t="s">
        <v>43</v>
      </c>
      <c r="JM34" t="s">
        <v>30</v>
      </c>
      <c r="JN34" t="s">
        <v>49</v>
      </c>
      <c r="JO34" t="s">
        <v>49</v>
      </c>
      <c r="JP34" t="s">
        <v>30</v>
      </c>
      <c r="JQ34" t="s">
        <v>43</v>
      </c>
      <c r="JR34" t="s">
        <v>49</v>
      </c>
      <c r="JS34" t="s">
        <v>43</v>
      </c>
      <c r="JT34" t="s">
        <v>30</v>
      </c>
      <c r="JU34" t="s">
        <v>43</v>
      </c>
      <c r="JV34" t="s">
        <v>49</v>
      </c>
      <c r="JW34" t="s">
        <v>30</v>
      </c>
      <c r="JX34" t="s">
        <v>49</v>
      </c>
      <c r="JY34" t="s">
        <v>49</v>
      </c>
      <c r="JZ34" t="s">
        <v>30</v>
      </c>
      <c r="KA34" t="s">
        <v>43</v>
      </c>
      <c r="KB34" t="s">
        <v>30</v>
      </c>
      <c r="KC34" t="s">
        <v>49</v>
      </c>
      <c r="KD34" t="s">
        <v>49</v>
      </c>
      <c r="KE34" t="s">
        <v>49</v>
      </c>
      <c r="KF34" t="s">
        <v>30</v>
      </c>
      <c r="KG34" t="s">
        <v>30</v>
      </c>
      <c r="KH34" t="s">
        <v>30</v>
      </c>
      <c r="KI34" t="s">
        <v>30</v>
      </c>
      <c r="KJ34" t="s">
        <v>43</v>
      </c>
      <c r="KK34" t="s">
        <v>49</v>
      </c>
      <c r="KL34" t="s">
        <v>43</v>
      </c>
      <c r="KM34" t="s">
        <v>49</v>
      </c>
      <c r="KN34" t="s">
        <v>49</v>
      </c>
      <c r="KO34" t="s">
        <v>43</v>
      </c>
      <c r="KP34" t="s">
        <v>30</v>
      </c>
      <c r="KQ34" t="s">
        <v>49</v>
      </c>
      <c r="KR34" t="s">
        <v>30</v>
      </c>
      <c r="KS34" t="s">
        <v>43</v>
      </c>
      <c r="KT34" t="s">
        <v>49</v>
      </c>
      <c r="KU34" t="s">
        <v>30</v>
      </c>
      <c r="KV34" t="s">
        <v>43</v>
      </c>
      <c r="KW34" t="s">
        <v>49</v>
      </c>
      <c r="KX34" t="s">
        <v>43</v>
      </c>
      <c r="KY34" t="s">
        <v>30</v>
      </c>
      <c r="KZ34" t="s">
        <v>49</v>
      </c>
      <c r="LA34" t="s">
        <v>49</v>
      </c>
      <c r="LB34" t="s">
        <v>49</v>
      </c>
      <c r="LC34" t="s">
        <v>43</v>
      </c>
      <c r="LD34" t="s">
        <v>43</v>
      </c>
      <c r="LE34" t="s">
        <v>43</v>
      </c>
      <c r="LF34" t="s">
        <v>43</v>
      </c>
      <c r="LG34" t="s">
        <v>30</v>
      </c>
      <c r="LH34" t="s">
        <v>43</v>
      </c>
      <c r="LI34" t="s">
        <v>43</v>
      </c>
      <c r="LJ34" t="s">
        <v>43</v>
      </c>
      <c r="LK34" t="s">
        <v>30</v>
      </c>
      <c r="LL34" t="s">
        <v>30</v>
      </c>
      <c r="LM34" t="s">
        <v>49</v>
      </c>
      <c r="LN34" t="s">
        <v>43</v>
      </c>
      <c r="LO34" t="s">
        <v>49</v>
      </c>
      <c r="LP34" t="s">
        <v>49</v>
      </c>
      <c r="LQ34" t="s">
        <v>30</v>
      </c>
      <c r="LR34" t="s">
        <v>30</v>
      </c>
      <c r="LS34" t="s">
        <v>49</v>
      </c>
      <c r="LT34" t="s">
        <v>49</v>
      </c>
      <c r="LU34" t="s">
        <v>43</v>
      </c>
      <c r="LV34" t="s">
        <v>30</v>
      </c>
      <c r="LW34" t="s">
        <v>30</v>
      </c>
      <c r="LX34" t="s">
        <v>49</v>
      </c>
      <c r="LY34" t="s">
        <v>30</v>
      </c>
      <c r="LZ34" t="s">
        <v>49</v>
      </c>
      <c r="MA34" t="s">
        <v>49</v>
      </c>
      <c r="MB34" t="s">
        <v>30</v>
      </c>
      <c r="MC34" t="s">
        <v>43</v>
      </c>
      <c r="MD34" t="s">
        <v>30</v>
      </c>
      <c r="ME34" t="s">
        <v>49</v>
      </c>
      <c r="MF34" t="s">
        <v>49</v>
      </c>
      <c r="MG34" t="s">
        <v>43</v>
      </c>
      <c r="MH34" t="s">
        <v>49</v>
      </c>
      <c r="MI34" t="s">
        <v>43</v>
      </c>
      <c r="MJ34" t="s">
        <v>30</v>
      </c>
      <c r="MK34" t="s">
        <v>43</v>
      </c>
      <c r="ML34" t="s">
        <v>49</v>
      </c>
      <c r="MM34" t="s">
        <v>49</v>
      </c>
      <c r="MN34" t="s">
        <v>43</v>
      </c>
      <c r="MO34" t="s">
        <v>30</v>
      </c>
      <c r="MP34" t="s">
        <v>43</v>
      </c>
      <c r="MQ34" t="s">
        <v>49</v>
      </c>
      <c r="MR34" t="s">
        <v>30</v>
      </c>
      <c r="MS34" t="s">
        <v>43</v>
      </c>
      <c r="MT34" t="s">
        <v>43</v>
      </c>
      <c r="MU34" t="s">
        <v>43</v>
      </c>
      <c r="MV34" t="s">
        <v>49</v>
      </c>
      <c r="MW34" t="s">
        <v>49</v>
      </c>
      <c r="MX34" t="s">
        <v>49</v>
      </c>
      <c r="MY34" t="s">
        <v>30</v>
      </c>
      <c r="MZ34" t="s">
        <v>30</v>
      </c>
      <c r="NA34" t="s">
        <v>30</v>
      </c>
      <c r="NB34" t="s">
        <v>49</v>
      </c>
      <c r="NC34" t="s">
        <v>30</v>
      </c>
      <c r="ND34" t="s">
        <v>30</v>
      </c>
      <c r="NE34" t="s">
        <v>43</v>
      </c>
      <c r="NF34" t="s">
        <v>49</v>
      </c>
      <c r="NG34" t="s">
        <v>43</v>
      </c>
      <c r="NH34" t="s">
        <v>49</v>
      </c>
      <c r="NI34" t="s">
        <v>49</v>
      </c>
      <c r="NJ34" t="s">
        <v>30</v>
      </c>
      <c r="NK34" t="s">
        <v>43</v>
      </c>
      <c r="NL34" t="s">
        <v>43</v>
      </c>
      <c r="NM34" t="s">
        <v>30</v>
      </c>
      <c r="NN34" t="s">
        <v>43</v>
      </c>
      <c r="NO34" t="s">
        <v>43</v>
      </c>
      <c r="NP34" t="s">
        <v>49</v>
      </c>
      <c r="NQ34" t="s">
        <v>43</v>
      </c>
      <c r="NR34" t="s">
        <v>43</v>
      </c>
      <c r="NS34" t="s">
        <v>49</v>
      </c>
      <c r="NT34" t="s">
        <v>30</v>
      </c>
      <c r="NU34" t="s">
        <v>49</v>
      </c>
      <c r="NV34" t="s">
        <v>30</v>
      </c>
      <c r="NW34" t="s">
        <v>30</v>
      </c>
      <c r="NX34" t="s">
        <v>49</v>
      </c>
      <c r="NY34" t="s">
        <v>49</v>
      </c>
      <c r="NZ34" t="s">
        <v>30</v>
      </c>
      <c r="OA34" t="s">
        <v>49</v>
      </c>
      <c r="OB34" t="s">
        <v>49</v>
      </c>
      <c r="OC34" t="s">
        <v>43</v>
      </c>
      <c r="OD34" t="s">
        <v>49</v>
      </c>
      <c r="OE34" t="s">
        <v>49</v>
      </c>
      <c r="OF34" t="s">
        <v>43</v>
      </c>
      <c r="OG34" t="s">
        <v>30</v>
      </c>
      <c r="OH34" t="s">
        <v>30</v>
      </c>
      <c r="OI34" t="s">
        <v>49</v>
      </c>
      <c r="OJ34" t="s">
        <v>49</v>
      </c>
      <c r="OK34" t="s">
        <v>30</v>
      </c>
      <c r="OL34" t="s">
        <v>49</v>
      </c>
      <c r="OM34" t="s">
        <v>30</v>
      </c>
      <c r="ON34" t="s">
        <v>30</v>
      </c>
      <c r="OO34" t="s">
        <v>43</v>
      </c>
      <c r="OP34" t="s">
        <v>43</v>
      </c>
      <c r="OQ34" t="s">
        <v>49</v>
      </c>
      <c r="OR34" t="s">
        <v>49</v>
      </c>
      <c r="OS34" t="s">
        <v>30</v>
      </c>
      <c r="OT34" t="s">
        <v>49</v>
      </c>
      <c r="OU34" t="s">
        <v>43</v>
      </c>
      <c r="OV34" t="s">
        <v>30</v>
      </c>
      <c r="OW34" t="s">
        <v>30</v>
      </c>
      <c r="OX34" t="s">
        <v>49</v>
      </c>
      <c r="OY34" t="s">
        <v>30</v>
      </c>
      <c r="OZ34" t="s">
        <v>30</v>
      </c>
      <c r="PA34" t="s">
        <v>30</v>
      </c>
      <c r="PB34" t="s">
        <v>43</v>
      </c>
      <c r="PC34" t="s">
        <v>30</v>
      </c>
      <c r="PD34" t="s">
        <v>43</v>
      </c>
      <c r="PE34" t="s">
        <v>30</v>
      </c>
      <c r="PF34" t="s">
        <v>49</v>
      </c>
      <c r="PG34" t="s">
        <v>49</v>
      </c>
      <c r="PH34" t="s">
        <v>30</v>
      </c>
      <c r="PI34" t="s">
        <v>49</v>
      </c>
      <c r="PJ34" t="s">
        <v>43</v>
      </c>
      <c r="PK34" t="s">
        <v>30</v>
      </c>
      <c r="PL34" t="s">
        <v>43</v>
      </c>
      <c r="PM34" t="s">
        <v>30</v>
      </c>
      <c r="PN34" t="s">
        <v>43</v>
      </c>
      <c r="PO34" t="s">
        <v>49</v>
      </c>
      <c r="PP34" t="s">
        <v>43</v>
      </c>
      <c r="PQ34" t="s">
        <v>43</v>
      </c>
      <c r="PR34" t="s">
        <v>49</v>
      </c>
      <c r="PS34" t="s">
        <v>49</v>
      </c>
      <c r="PT34" t="s">
        <v>30</v>
      </c>
      <c r="PU34" t="s">
        <v>30</v>
      </c>
      <c r="PV34" t="s">
        <v>43</v>
      </c>
      <c r="PW34" t="s">
        <v>30</v>
      </c>
      <c r="PX34" t="s">
        <v>43</v>
      </c>
      <c r="PY34" t="s">
        <v>30</v>
      </c>
      <c r="PZ34" t="s">
        <v>49</v>
      </c>
      <c r="QA34" t="s">
        <v>49</v>
      </c>
      <c r="QB34" t="s">
        <v>49</v>
      </c>
      <c r="QC34" t="s">
        <v>49</v>
      </c>
      <c r="QD34" t="s">
        <v>43</v>
      </c>
      <c r="QE34" t="s">
        <v>49</v>
      </c>
      <c r="QF34" t="s">
        <v>49</v>
      </c>
      <c r="QG34" t="s">
        <v>49</v>
      </c>
      <c r="QH34" t="s">
        <v>49</v>
      </c>
      <c r="QI34" t="s">
        <v>30</v>
      </c>
      <c r="QJ34" t="s">
        <v>43</v>
      </c>
      <c r="QK34" t="s">
        <v>43</v>
      </c>
      <c r="QL34" t="s">
        <v>30</v>
      </c>
      <c r="QM34" t="s">
        <v>30</v>
      </c>
      <c r="QN34" t="s">
        <v>43</v>
      </c>
      <c r="QO34" t="s">
        <v>43</v>
      </c>
      <c r="QP34" t="s">
        <v>30</v>
      </c>
      <c r="QQ34" t="s">
        <v>49</v>
      </c>
      <c r="QR34" t="s">
        <v>43</v>
      </c>
      <c r="QS34" t="s">
        <v>30</v>
      </c>
      <c r="QT34" t="s">
        <v>49</v>
      </c>
      <c r="QU34" t="s">
        <v>49</v>
      </c>
      <c r="QV34" t="s">
        <v>30</v>
      </c>
      <c r="QW34" t="s">
        <v>43</v>
      </c>
      <c r="QX34" t="s">
        <v>43</v>
      </c>
      <c r="QY34" t="s">
        <v>49</v>
      </c>
      <c r="QZ34" t="s">
        <v>30</v>
      </c>
      <c r="RA34" t="s">
        <v>49</v>
      </c>
      <c r="RB34" t="s">
        <v>49</v>
      </c>
      <c r="RC34" t="s">
        <v>49</v>
      </c>
      <c r="RD34" t="s">
        <v>30</v>
      </c>
      <c r="RE34" t="s">
        <v>43</v>
      </c>
      <c r="RF34" t="s">
        <v>49</v>
      </c>
      <c r="RG34" t="s">
        <v>43</v>
      </c>
      <c r="RH34" t="s">
        <v>43</v>
      </c>
      <c r="RI34" t="s">
        <v>30</v>
      </c>
      <c r="RJ34" t="s">
        <v>43</v>
      </c>
      <c r="RK34" t="s">
        <v>43</v>
      </c>
      <c r="RL34" t="s">
        <v>49</v>
      </c>
      <c r="RM34" t="s">
        <v>30</v>
      </c>
      <c r="RN34" t="s">
        <v>30</v>
      </c>
      <c r="RO34" t="s">
        <v>49</v>
      </c>
      <c r="RP34" t="s">
        <v>49</v>
      </c>
      <c r="RQ34" t="s">
        <v>43</v>
      </c>
      <c r="RR34" t="s">
        <v>43</v>
      </c>
      <c r="RS34" t="s">
        <v>30</v>
      </c>
      <c r="RT34" t="s">
        <v>30</v>
      </c>
      <c r="RU34" t="s">
        <v>43</v>
      </c>
      <c r="RV34" t="s">
        <v>49</v>
      </c>
      <c r="RW34" t="s">
        <v>30</v>
      </c>
      <c r="RX34" t="s">
        <v>49</v>
      </c>
      <c r="RY34" t="s">
        <v>43</v>
      </c>
      <c r="RZ34" t="s">
        <v>30</v>
      </c>
      <c r="SA34" t="s">
        <v>30</v>
      </c>
      <c r="SB34" t="s">
        <v>43</v>
      </c>
      <c r="SC34" t="s">
        <v>43</v>
      </c>
      <c r="SD34" t="s">
        <v>49</v>
      </c>
      <c r="SE34" t="s">
        <v>49</v>
      </c>
      <c r="SF34" t="s">
        <v>43</v>
      </c>
      <c r="SG34" t="s">
        <v>43</v>
      </c>
      <c r="SH34" t="s">
        <v>43</v>
      </c>
      <c r="SI34" t="s">
        <v>30</v>
      </c>
      <c r="SJ34" t="s">
        <v>43</v>
      </c>
      <c r="SK34" t="s">
        <v>30</v>
      </c>
      <c r="SL34" t="s">
        <v>43</v>
      </c>
      <c r="SM34" t="s">
        <v>30</v>
      </c>
      <c r="SN34" t="s">
        <v>49</v>
      </c>
      <c r="SO34" t="s">
        <v>49</v>
      </c>
      <c r="SP34" t="s">
        <v>30</v>
      </c>
      <c r="SQ34" t="s">
        <v>49</v>
      </c>
      <c r="SR34" t="s">
        <v>49</v>
      </c>
      <c r="SS34" t="s">
        <v>30</v>
      </c>
      <c r="ST34" t="s">
        <v>43</v>
      </c>
      <c r="SU34" t="s">
        <v>43</v>
      </c>
      <c r="SV34" t="s">
        <v>30</v>
      </c>
      <c r="SW34" t="s">
        <v>49</v>
      </c>
      <c r="SX34" t="s">
        <v>43</v>
      </c>
      <c r="SY34" t="s">
        <v>43</v>
      </c>
      <c r="SZ34" t="s">
        <v>49</v>
      </c>
      <c r="TA34" t="s">
        <v>30</v>
      </c>
      <c r="TB34" t="s">
        <v>30</v>
      </c>
      <c r="TC34" t="s">
        <v>43</v>
      </c>
      <c r="TD34" t="s">
        <v>30</v>
      </c>
      <c r="TE34" t="s">
        <v>49</v>
      </c>
      <c r="TF34" t="s">
        <v>30</v>
      </c>
      <c r="TG34" t="s">
        <v>30</v>
      </c>
      <c r="TH34" t="s">
        <v>30</v>
      </c>
      <c r="TI34" t="s">
        <v>30</v>
      </c>
      <c r="TJ34" t="s">
        <v>49</v>
      </c>
      <c r="TK34" t="s">
        <v>30</v>
      </c>
      <c r="TL34" t="s">
        <v>43</v>
      </c>
      <c r="TM34" t="s">
        <v>30</v>
      </c>
      <c r="TN34" t="s">
        <v>43</v>
      </c>
      <c r="TO34" t="s">
        <v>49</v>
      </c>
      <c r="TP34" t="s">
        <v>30</v>
      </c>
      <c r="TQ34" t="s">
        <v>43</v>
      </c>
      <c r="TR34" t="s">
        <v>30</v>
      </c>
      <c r="TS34" t="s">
        <v>30</v>
      </c>
      <c r="TT34" t="s">
        <v>43</v>
      </c>
      <c r="TU34" t="s">
        <v>49</v>
      </c>
      <c r="TV34" t="s">
        <v>49</v>
      </c>
      <c r="TW34" t="s">
        <v>49</v>
      </c>
      <c r="TX34" t="s">
        <v>49</v>
      </c>
      <c r="TY34" t="s">
        <v>49</v>
      </c>
      <c r="TZ34" t="s">
        <v>49</v>
      </c>
      <c r="UA34" t="s">
        <v>30</v>
      </c>
      <c r="UB34" t="s">
        <v>30</v>
      </c>
      <c r="UC34" t="s">
        <v>43</v>
      </c>
      <c r="UD34" t="s">
        <v>49</v>
      </c>
      <c r="UE34" t="s">
        <v>49</v>
      </c>
      <c r="UF34" t="s">
        <v>49</v>
      </c>
      <c r="UG34" t="s">
        <v>43</v>
      </c>
      <c r="UH34" t="s">
        <v>30</v>
      </c>
      <c r="UI34" t="s">
        <v>30</v>
      </c>
      <c r="UJ34" t="s">
        <v>49</v>
      </c>
      <c r="UK34" t="s">
        <v>30</v>
      </c>
      <c r="UL34" t="s">
        <v>30</v>
      </c>
      <c r="UM34" t="s">
        <v>30</v>
      </c>
      <c r="UN34" t="s">
        <v>49</v>
      </c>
      <c r="UO34" t="s">
        <v>30</v>
      </c>
      <c r="UP34" t="s">
        <v>30</v>
      </c>
      <c r="UQ34" t="s">
        <v>43</v>
      </c>
      <c r="UR34" t="s">
        <v>49</v>
      </c>
      <c r="US34" t="s">
        <v>30</v>
      </c>
      <c r="UT34" t="s">
        <v>49</v>
      </c>
      <c r="UU34" t="s">
        <v>30</v>
      </c>
      <c r="UV34" t="s">
        <v>49</v>
      </c>
      <c r="UW34" t="s">
        <v>30</v>
      </c>
      <c r="UX34" t="s">
        <v>30</v>
      </c>
      <c r="UY34" t="s">
        <v>43</v>
      </c>
      <c r="UZ34" t="s">
        <v>49</v>
      </c>
      <c r="VA34" t="s">
        <v>30</v>
      </c>
      <c r="VB34" t="s">
        <v>43</v>
      </c>
      <c r="VC34" t="s">
        <v>43</v>
      </c>
      <c r="VD34" t="s">
        <v>49</v>
      </c>
      <c r="VE34" t="s">
        <v>49</v>
      </c>
      <c r="VF34" t="s">
        <v>43</v>
      </c>
      <c r="VG34" t="s">
        <v>49</v>
      </c>
      <c r="VH34" t="s">
        <v>49</v>
      </c>
      <c r="VI34" t="s">
        <v>49</v>
      </c>
      <c r="VJ34" t="s">
        <v>30</v>
      </c>
      <c r="VK34" t="s">
        <v>49</v>
      </c>
      <c r="VL34" t="s">
        <v>49</v>
      </c>
      <c r="VM34" t="s">
        <v>43</v>
      </c>
      <c r="VN34" t="s">
        <v>43</v>
      </c>
      <c r="VO34" t="s">
        <v>43</v>
      </c>
      <c r="VP34" t="s">
        <v>49</v>
      </c>
      <c r="VQ34" t="s">
        <v>49</v>
      </c>
      <c r="VR34" t="s">
        <v>43</v>
      </c>
      <c r="VS34" t="s">
        <v>43</v>
      </c>
      <c r="VT34" t="s">
        <v>30</v>
      </c>
      <c r="VU34" t="s">
        <v>30</v>
      </c>
      <c r="VV34" t="s">
        <v>30</v>
      </c>
      <c r="VW34" t="s">
        <v>49</v>
      </c>
      <c r="VX34" t="s">
        <v>49</v>
      </c>
      <c r="VY34" t="s">
        <v>43</v>
      </c>
      <c r="VZ34" t="s">
        <v>30</v>
      </c>
      <c r="WA34" t="s">
        <v>49</v>
      </c>
      <c r="WB34" t="s">
        <v>30</v>
      </c>
      <c r="WC34" t="s">
        <v>30</v>
      </c>
      <c r="WD34" t="s">
        <v>49</v>
      </c>
      <c r="WE34" t="s">
        <v>30</v>
      </c>
      <c r="WF34" t="s">
        <v>43</v>
      </c>
      <c r="WG34" t="s">
        <v>43</v>
      </c>
      <c r="WH34" t="s">
        <v>49</v>
      </c>
      <c r="WI34" t="s">
        <v>30</v>
      </c>
      <c r="WJ34" t="s">
        <v>43</v>
      </c>
      <c r="WK34" t="s">
        <v>30</v>
      </c>
      <c r="WL34" t="s">
        <v>43</v>
      </c>
      <c r="WM34" t="s">
        <v>43</v>
      </c>
      <c r="WN34" t="s">
        <v>30</v>
      </c>
      <c r="WO34" t="s">
        <v>49</v>
      </c>
      <c r="WP34" t="s">
        <v>49</v>
      </c>
      <c r="WQ34" t="s">
        <v>49</v>
      </c>
      <c r="WR34" t="s">
        <v>30</v>
      </c>
      <c r="WS34" t="s">
        <v>30</v>
      </c>
      <c r="WT34" t="s">
        <v>30</v>
      </c>
      <c r="WU34" t="s">
        <v>49</v>
      </c>
      <c r="WV34" t="s">
        <v>30</v>
      </c>
      <c r="WW34" t="s">
        <v>49</v>
      </c>
      <c r="WX34" t="s">
        <v>43</v>
      </c>
      <c r="WY34" t="s">
        <v>49</v>
      </c>
      <c r="WZ34" t="s">
        <v>49</v>
      </c>
      <c r="XA34" t="s">
        <v>49</v>
      </c>
      <c r="XB34" t="s">
        <v>30</v>
      </c>
      <c r="XC34" t="s">
        <v>49</v>
      </c>
      <c r="XD34" t="s">
        <v>43</v>
      </c>
      <c r="XE34" t="s">
        <v>43</v>
      </c>
      <c r="XF34" t="s">
        <v>43</v>
      </c>
      <c r="XG34" t="s">
        <v>43</v>
      </c>
      <c r="XH34" t="s">
        <v>43</v>
      </c>
      <c r="XI34" t="s">
        <v>43</v>
      </c>
      <c r="XJ34" t="s">
        <v>49</v>
      </c>
      <c r="XK34" t="s">
        <v>30</v>
      </c>
      <c r="XL34" t="s">
        <v>30</v>
      </c>
      <c r="XM34" t="s">
        <v>43</v>
      </c>
      <c r="XN34" t="s">
        <v>49</v>
      </c>
      <c r="XO34" t="s">
        <v>43</v>
      </c>
      <c r="XP34" t="s">
        <v>43</v>
      </c>
      <c r="XQ34" t="s">
        <v>43</v>
      </c>
      <c r="XR34" t="s">
        <v>43</v>
      </c>
      <c r="XS34" t="s">
        <v>30</v>
      </c>
      <c r="XT34" t="s">
        <v>30</v>
      </c>
      <c r="XU34" t="s">
        <v>49</v>
      </c>
      <c r="XV34" t="s">
        <v>49</v>
      </c>
      <c r="XW34" t="s">
        <v>43</v>
      </c>
      <c r="XX34" t="s">
        <v>30</v>
      </c>
      <c r="XY34" t="s">
        <v>43</v>
      </c>
      <c r="XZ34" t="s">
        <v>30</v>
      </c>
      <c r="YA34" t="s">
        <v>30</v>
      </c>
      <c r="YB34" t="s">
        <v>49</v>
      </c>
      <c r="YC34" t="s">
        <v>49</v>
      </c>
      <c r="YD34" t="s">
        <v>30</v>
      </c>
      <c r="YE34" t="s">
        <v>49</v>
      </c>
      <c r="YF34" t="s">
        <v>43</v>
      </c>
      <c r="YG34" t="s">
        <v>30</v>
      </c>
      <c r="YH34" t="s">
        <v>30</v>
      </c>
      <c r="YI34" t="s">
        <v>30</v>
      </c>
      <c r="YJ34" t="s">
        <v>43</v>
      </c>
      <c r="YK34" t="s">
        <v>30</v>
      </c>
      <c r="YL34" t="s">
        <v>49</v>
      </c>
      <c r="YM34" t="s">
        <v>43</v>
      </c>
      <c r="YN34" t="s">
        <v>30</v>
      </c>
      <c r="YO34" t="s">
        <v>43</v>
      </c>
      <c r="YP34" t="s">
        <v>43</v>
      </c>
      <c r="YQ34" t="s">
        <v>49</v>
      </c>
      <c r="YR34" t="s">
        <v>49</v>
      </c>
      <c r="YS34" t="s">
        <v>49</v>
      </c>
      <c r="YT34" t="s">
        <v>30</v>
      </c>
      <c r="YU34" t="s">
        <v>30</v>
      </c>
      <c r="YV34" t="s">
        <v>49</v>
      </c>
      <c r="YW34" t="s">
        <v>49</v>
      </c>
      <c r="YX34" t="s">
        <v>30</v>
      </c>
      <c r="YY34" t="s">
        <v>49</v>
      </c>
      <c r="YZ34" t="s">
        <v>43</v>
      </c>
      <c r="ZA34" t="s">
        <v>43</v>
      </c>
      <c r="ZB34" t="s">
        <v>43</v>
      </c>
      <c r="ZC34" t="s">
        <v>30</v>
      </c>
      <c r="ZD34" t="s">
        <v>49</v>
      </c>
      <c r="ZE34" t="s">
        <v>43</v>
      </c>
      <c r="ZF34" t="s">
        <v>30</v>
      </c>
      <c r="ZG34" t="s">
        <v>49</v>
      </c>
      <c r="ZH34" t="s">
        <v>49</v>
      </c>
      <c r="ZI34" t="s">
        <v>43</v>
      </c>
      <c r="ZJ34" t="s">
        <v>49</v>
      </c>
      <c r="ZK34" t="s">
        <v>49</v>
      </c>
      <c r="ZL34" t="s">
        <v>43</v>
      </c>
      <c r="ZM34" t="s">
        <v>43</v>
      </c>
      <c r="ZN34" t="s">
        <v>49</v>
      </c>
      <c r="ZO34" t="s">
        <v>30</v>
      </c>
      <c r="ZP34" t="s">
        <v>30</v>
      </c>
      <c r="ZQ34" t="s">
        <v>43</v>
      </c>
      <c r="ZR34" t="s">
        <v>49</v>
      </c>
      <c r="ZS34" t="s">
        <v>43</v>
      </c>
      <c r="ZT34" t="s">
        <v>30</v>
      </c>
      <c r="ZU34" t="s">
        <v>30</v>
      </c>
      <c r="ZV34" t="s">
        <v>49</v>
      </c>
      <c r="ZW34" t="s">
        <v>43</v>
      </c>
      <c r="ZX34" t="s">
        <v>43</v>
      </c>
      <c r="ZY34" t="s">
        <v>30</v>
      </c>
      <c r="ZZ34" t="s">
        <v>43</v>
      </c>
      <c r="AAA34" t="s">
        <v>43</v>
      </c>
      <c r="AAB34" t="s">
        <v>43</v>
      </c>
      <c r="AAC34" t="s">
        <v>49</v>
      </c>
      <c r="AAD34" t="s">
        <v>30</v>
      </c>
      <c r="AAE34" t="s">
        <v>43</v>
      </c>
      <c r="AAF34" t="s">
        <v>49</v>
      </c>
      <c r="AAG34" t="s">
        <v>43</v>
      </c>
      <c r="AAH34" t="s">
        <v>43</v>
      </c>
      <c r="AAI34" t="s">
        <v>30</v>
      </c>
      <c r="AAJ34" t="s">
        <v>49</v>
      </c>
      <c r="AAK34" t="s">
        <v>43</v>
      </c>
      <c r="AAL34" t="s">
        <v>30</v>
      </c>
      <c r="AAM34" t="s">
        <v>49</v>
      </c>
      <c r="AAN34" t="s">
        <v>43</v>
      </c>
      <c r="AAO34" t="s">
        <v>30</v>
      </c>
      <c r="AAP34" t="s">
        <v>43</v>
      </c>
      <c r="AAQ34" t="s">
        <v>43</v>
      </c>
      <c r="AAR34" t="s">
        <v>49</v>
      </c>
      <c r="AAS34" t="s">
        <v>30</v>
      </c>
      <c r="AAT34" t="s">
        <v>49</v>
      </c>
      <c r="AAU34" t="s">
        <v>43</v>
      </c>
      <c r="AAV34" t="s">
        <v>30</v>
      </c>
      <c r="AAW34" t="s">
        <v>43</v>
      </c>
      <c r="AAX34" t="s">
        <v>43</v>
      </c>
      <c r="AAY34" t="s">
        <v>43</v>
      </c>
      <c r="AAZ34" t="s">
        <v>30</v>
      </c>
      <c r="ABA34" t="s">
        <v>43</v>
      </c>
      <c r="ABB34" t="s">
        <v>30</v>
      </c>
      <c r="ABC34" t="s">
        <v>43</v>
      </c>
      <c r="ABD34" t="s">
        <v>49</v>
      </c>
      <c r="ABE34" t="s">
        <v>30</v>
      </c>
      <c r="ABF34" t="s">
        <v>43</v>
      </c>
      <c r="ABG34" t="s">
        <v>49</v>
      </c>
      <c r="ABH34" t="s">
        <v>30</v>
      </c>
      <c r="ABI34" t="s">
        <v>49</v>
      </c>
      <c r="ABJ34" t="s">
        <v>43</v>
      </c>
      <c r="ABK34" t="s">
        <v>49</v>
      </c>
      <c r="ABL34" t="s">
        <v>43</v>
      </c>
      <c r="ABM34" t="s">
        <v>43</v>
      </c>
      <c r="ABN34" t="s">
        <v>30</v>
      </c>
      <c r="ABO34" t="s">
        <v>43</v>
      </c>
      <c r="ABP34" t="s">
        <v>43</v>
      </c>
      <c r="ABQ34" t="s">
        <v>30</v>
      </c>
      <c r="ABR34" t="s">
        <v>30</v>
      </c>
      <c r="ABS34" t="s">
        <v>43</v>
      </c>
      <c r="ABT34" t="s">
        <v>43</v>
      </c>
      <c r="ABU34" t="s">
        <v>30</v>
      </c>
      <c r="ABV34" t="s">
        <v>30</v>
      </c>
      <c r="ABW34" t="s">
        <v>49</v>
      </c>
      <c r="ABX34" t="s">
        <v>49</v>
      </c>
      <c r="ABY34" t="s">
        <v>49</v>
      </c>
      <c r="ABZ34" t="s">
        <v>30</v>
      </c>
      <c r="ACA34" t="s">
        <v>30</v>
      </c>
      <c r="ACB34" t="s">
        <v>30</v>
      </c>
      <c r="ACC34" t="s">
        <v>49</v>
      </c>
      <c r="ACD34" t="s">
        <v>43</v>
      </c>
      <c r="ACE34" t="s">
        <v>43</v>
      </c>
      <c r="ACF34" t="s">
        <v>43</v>
      </c>
      <c r="ACG34" t="s">
        <v>30</v>
      </c>
      <c r="ACH34" t="s">
        <v>43</v>
      </c>
      <c r="ACI34" t="s">
        <v>43</v>
      </c>
      <c r="ACJ34" t="s">
        <v>30</v>
      </c>
      <c r="ACK34" t="s">
        <v>30</v>
      </c>
      <c r="ACL34" t="s">
        <v>30</v>
      </c>
      <c r="ACM34" t="s">
        <v>30</v>
      </c>
      <c r="ACN34" t="s">
        <v>30</v>
      </c>
      <c r="ACO34" t="s">
        <v>49</v>
      </c>
      <c r="ACP34" t="s">
        <v>30</v>
      </c>
      <c r="ACQ34" t="s">
        <v>43</v>
      </c>
      <c r="ACR34" t="s">
        <v>43</v>
      </c>
      <c r="ACS34" t="s">
        <v>49</v>
      </c>
      <c r="ACT34" t="s">
        <v>30</v>
      </c>
      <c r="ACU34" t="s">
        <v>43</v>
      </c>
      <c r="ACV34" t="s">
        <v>43</v>
      </c>
      <c r="ACW34" t="s">
        <v>30</v>
      </c>
      <c r="ACX34" t="s">
        <v>49</v>
      </c>
      <c r="ACY34" t="s">
        <v>30</v>
      </c>
      <c r="ACZ34" t="s">
        <v>30</v>
      </c>
      <c r="ADA34" t="s">
        <v>30</v>
      </c>
      <c r="ADB34" t="s">
        <v>30</v>
      </c>
      <c r="ADC34" t="s">
        <v>30</v>
      </c>
      <c r="ADD34" t="s">
        <v>49</v>
      </c>
      <c r="ADE34" t="s">
        <v>43</v>
      </c>
      <c r="ADF34" t="s">
        <v>30</v>
      </c>
      <c r="ADG34" t="s">
        <v>43</v>
      </c>
      <c r="ADH34" t="s">
        <v>43</v>
      </c>
      <c r="ADI34" t="s">
        <v>30</v>
      </c>
      <c r="ADJ34" t="s">
        <v>43</v>
      </c>
      <c r="ADK34" t="s">
        <v>30</v>
      </c>
      <c r="ADL34" t="s">
        <v>30</v>
      </c>
      <c r="ADM34" t="s">
        <v>30</v>
      </c>
      <c r="ADN34" t="s">
        <v>49</v>
      </c>
      <c r="ADO34" t="s">
        <v>30</v>
      </c>
      <c r="ADP34" t="s">
        <v>30</v>
      </c>
      <c r="ADQ34" t="s">
        <v>43</v>
      </c>
      <c r="ADR34" t="s">
        <v>49</v>
      </c>
      <c r="ADS34" t="s">
        <v>43</v>
      </c>
      <c r="ADT34" t="s">
        <v>43</v>
      </c>
      <c r="ADU34" t="s">
        <v>30</v>
      </c>
      <c r="ADV34" t="s">
        <v>49</v>
      </c>
      <c r="ADW34" t="s">
        <v>49</v>
      </c>
      <c r="ADX34" t="s">
        <v>30</v>
      </c>
      <c r="ADY34" t="s">
        <v>49</v>
      </c>
      <c r="ADZ34" t="s">
        <v>30</v>
      </c>
      <c r="AEA34" t="s">
        <v>49</v>
      </c>
      <c r="AEB34" t="s">
        <v>49</v>
      </c>
      <c r="AEC34" t="s">
        <v>30</v>
      </c>
      <c r="AED34" t="s">
        <v>49</v>
      </c>
      <c r="AEE34" t="s">
        <v>49</v>
      </c>
      <c r="AEF34" t="s">
        <v>49</v>
      </c>
      <c r="AEG34" t="s">
        <v>43</v>
      </c>
      <c r="AEH34" t="s">
        <v>30</v>
      </c>
      <c r="AEI34" t="s">
        <v>43</v>
      </c>
      <c r="AEJ34" t="s">
        <v>49</v>
      </c>
      <c r="AEK34" t="s">
        <v>49</v>
      </c>
      <c r="AEL34" t="s">
        <v>43</v>
      </c>
      <c r="AEM34" t="s">
        <v>49</v>
      </c>
      <c r="AEN34" t="s">
        <v>49</v>
      </c>
      <c r="AEO34" t="s">
        <v>30</v>
      </c>
      <c r="AEP34" t="s">
        <v>49</v>
      </c>
      <c r="AEQ34" t="s">
        <v>30</v>
      </c>
      <c r="AER34" t="s">
        <v>30</v>
      </c>
      <c r="AES34" t="s">
        <v>43</v>
      </c>
      <c r="AET34" t="s">
        <v>43</v>
      </c>
      <c r="AEU34" t="s">
        <v>49</v>
      </c>
      <c r="AEV34" t="s">
        <v>43</v>
      </c>
      <c r="AEW34" t="s">
        <v>30</v>
      </c>
      <c r="AEX34" t="s">
        <v>43</v>
      </c>
      <c r="AEY34" t="s">
        <v>30</v>
      </c>
      <c r="AEZ34" t="s">
        <v>43</v>
      </c>
      <c r="AFA34" t="s">
        <v>49</v>
      </c>
      <c r="AFB34" t="s">
        <v>43</v>
      </c>
      <c r="AFC34" t="s">
        <v>49</v>
      </c>
      <c r="AFD34" t="s">
        <v>43</v>
      </c>
      <c r="AFE34" t="s">
        <v>30</v>
      </c>
      <c r="AFF34" t="s">
        <v>43</v>
      </c>
      <c r="AFG34" t="s">
        <v>43</v>
      </c>
      <c r="AFH34" t="s">
        <v>30</v>
      </c>
      <c r="AFI34" t="s">
        <v>30</v>
      </c>
      <c r="AFJ34" t="s">
        <v>43</v>
      </c>
      <c r="AFK34" t="s">
        <v>30</v>
      </c>
      <c r="AFL34" t="s">
        <v>30</v>
      </c>
      <c r="AFM34" t="s">
        <v>43</v>
      </c>
      <c r="AFN34" t="s">
        <v>49</v>
      </c>
      <c r="AFO34" t="s">
        <v>43</v>
      </c>
      <c r="AFP34" t="s">
        <v>43</v>
      </c>
      <c r="AFQ34" t="s">
        <v>49</v>
      </c>
      <c r="AFR34" t="s">
        <v>43</v>
      </c>
      <c r="AFS34" t="s">
        <v>43</v>
      </c>
      <c r="AFT34" t="s">
        <v>30</v>
      </c>
      <c r="AFU34" t="s">
        <v>43</v>
      </c>
      <c r="AFV34" t="s">
        <v>49</v>
      </c>
      <c r="AFW34" t="s">
        <v>49</v>
      </c>
      <c r="AFX34" t="s">
        <v>30</v>
      </c>
      <c r="AFY34" t="s">
        <v>43</v>
      </c>
      <c r="AFZ34" t="s">
        <v>43</v>
      </c>
      <c r="AGA34" t="s">
        <v>43</v>
      </c>
      <c r="AGB34" t="s">
        <v>43</v>
      </c>
      <c r="AGC34" t="s">
        <v>49</v>
      </c>
      <c r="AGD34" t="s">
        <v>49</v>
      </c>
      <c r="AGE34" t="s">
        <v>30</v>
      </c>
      <c r="AGF34" t="s">
        <v>43</v>
      </c>
      <c r="AGG34" t="s">
        <v>49</v>
      </c>
      <c r="AGH34" t="s">
        <v>43</v>
      </c>
      <c r="AGI34" t="s">
        <v>49</v>
      </c>
      <c r="AGJ34" t="s">
        <v>49</v>
      </c>
      <c r="AGK34" t="s">
        <v>30</v>
      </c>
      <c r="AGL34" t="s">
        <v>43</v>
      </c>
      <c r="AGM34" t="s">
        <v>30</v>
      </c>
      <c r="AGN34" t="s">
        <v>30</v>
      </c>
      <c r="AGO34" t="s">
        <v>30</v>
      </c>
      <c r="AGP34" t="s">
        <v>30</v>
      </c>
      <c r="AGQ34" t="s">
        <v>30</v>
      </c>
      <c r="AGR34" t="s">
        <v>30</v>
      </c>
      <c r="AGS34" t="s">
        <v>30</v>
      </c>
    </row>
    <row r="35" spans="1:878" x14ac:dyDescent="0.25">
      <c r="A35" s="1" t="s">
        <v>19</v>
      </c>
      <c r="B35">
        <v>150</v>
      </c>
      <c r="C35">
        <v>140</v>
      </c>
      <c r="D35">
        <v>159</v>
      </c>
      <c r="E35">
        <v>18</v>
      </c>
      <c r="F35">
        <v>150</v>
      </c>
      <c r="G35">
        <v>69</v>
      </c>
      <c r="H35">
        <v>163</v>
      </c>
      <c r="I35">
        <v>24</v>
      </c>
      <c r="J35">
        <v>74</v>
      </c>
      <c r="K35">
        <v>49</v>
      </c>
      <c r="L35">
        <v>5</v>
      </c>
      <c r="M35">
        <v>151</v>
      </c>
      <c r="N35">
        <v>43</v>
      </c>
      <c r="O35">
        <v>123</v>
      </c>
      <c r="P35">
        <v>159</v>
      </c>
      <c r="Q35">
        <v>60</v>
      </c>
      <c r="R35">
        <v>148</v>
      </c>
      <c r="S35">
        <v>11</v>
      </c>
      <c r="T35">
        <v>24</v>
      </c>
      <c r="U35">
        <v>163</v>
      </c>
      <c r="V35">
        <v>88</v>
      </c>
      <c r="W35">
        <v>83</v>
      </c>
      <c r="X35">
        <v>157</v>
      </c>
      <c r="Y35">
        <v>114</v>
      </c>
      <c r="Z35">
        <v>5</v>
      </c>
      <c r="AA35">
        <v>149</v>
      </c>
      <c r="AB35">
        <v>84</v>
      </c>
      <c r="AC35">
        <v>31</v>
      </c>
      <c r="AD35">
        <v>123</v>
      </c>
      <c r="AE35">
        <v>127</v>
      </c>
      <c r="AF35">
        <v>28</v>
      </c>
      <c r="AG35">
        <v>194</v>
      </c>
      <c r="AH35">
        <v>56</v>
      </c>
      <c r="AI35">
        <v>55</v>
      </c>
      <c r="AJ35">
        <v>198</v>
      </c>
      <c r="AK35">
        <v>61</v>
      </c>
      <c r="AL35">
        <v>59</v>
      </c>
      <c r="AM35">
        <v>57</v>
      </c>
      <c r="AN35">
        <v>93</v>
      </c>
      <c r="AO35">
        <v>23</v>
      </c>
      <c r="AP35">
        <v>113</v>
      </c>
      <c r="AQ35">
        <v>145</v>
      </c>
      <c r="AR35">
        <v>33</v>
      </c>
      <c r="AS35">
        <v>138</v>
      </c>
      <c r="AT35">
        <v>124</v>
      </c>
      <c r="AU35">
        <v>133</v>
      </c>
      <c r="AV35">
        <v>156</v>
      </c>
      <c r="AW35">
        <v>78</v>
      </c>
      <c r="AX35">
        <v>103</v>
      </c>
      <c r="AY35">
        <v>10</v>
      </c>
      <c r="AZ35">
        <v>180</v>
      </c>
      <c r="BA35">
        <v>152</v>
      </c>
      <c r="BB35">
        <v>80</v>
      </c>
      <c r="BC35">
        <v>71</v>
      </c>
      <c r="BD35">
        <v>187</v>
      </c>
      <c r="BE35">
        <v>22</v>
      </c>
      <c r="BF35">
        <v>25</v>
      </c>
      <c r="BG35">
        <v>196</v>
      </c>
      <c r="BH35">
        <v>169</v>
      </c>
      <c r="BI35">
        <v>23</v>
      </c>
      <c r="BJ35">
        <v>60</v>
      </c>
      <c r="BK35">
        <v>194</v>
      </c>
      <c r="BL35">
        <v>22</v>
      </c>
      <c r="BM35">
        <v>162</v>
      </c>
      <c r="BN35">
        <v>188</v>
      </c>
      <c r="BO35">
        <v>110</v>
      </c>
      <c r="BP35">
        <v>174</v>
      </c>
      <c r="BQ35">
        <v>57</v>
      </c>
      <c r="BR35">
        <v>90</v>
      </c>
      <c r="BS35">
        <v>54</v>
      </c>
      <c r="BT35">
        <v>131</v>
      </c>
      <c r="BU35">
        <v>8</v>
      </c>
      <c r="BV35">
        <v>67</v>
      </c>
      <c r="BW35">
        <v>199</v>
      </c>
      <c r="BX35">
        <v>117</v>
      </c>
      <c r="BY35">
        <v>60</v>
      </c>
      <c r="BZ35">
        <v>181</v>
      </c>
      <c r="CA35">
        <v>154</v>
      </c>
      <c r="CB35">
        <v>144</v>
      </c>
      <c r="CC35">
        <v>181</v>
      </c>
      <c r="CD35">
        <v>17</v>
      </c>
      <c r="CE35">
        <v>109</v>
      </c>
      <c r="CF35">
        <v>37</v>
      </c>
      <c r="CG35">
        <v>179</v>
      </c>
      <c r="CH35">
        <v>68</v>
      </c>
      <c r="CI35">
        <v>87</v>
      </c>
      <c r="CJ35">
        <v>109</v>
      </c>
      <c r="CK35">
        <v>149</v>
      </c>
      <c r="CL35">
        <v>38</v>
      </c>
      <c r="CM35">
        <v>72</v>
      </c>
      <c r="CN35">
        <v>43</v>
      </c>
      <c r="CO35">
        <v>133</v>
      </c>
      <c r="CP35">
        <v>137</v>
      </c>
      <c r="CQ35">
        <v>44</v>
      </c>
      <c r="CR35">
        <v>67</v>
      </c>
      <c r="CS35">
        <v>133</v>
      </c>
      <c r="CT35">
        <v>167</v>
      </c>
      <c r="CU35">
        <v>149</v>
      </c>
      <c r="CV35">
        <v>98</v>
      </c>
      <c r="CW35">
        <v>103</v>
      </c>
      <c r="CX35">
        <v>64</v>
      </c>
      <c r="CY35">
        <v>133</v>
      </c>
      <c r="CZ35">
        <v>136</v>
      </c>
      <c r="DA35">
        <v>141</v>
      </c>
      <c r="DB35">
        <v>49</v>
      </c>
      <c r="DC35">
        <v>164</v>
      </c>
      <c r="DD35">
        <v>73</v>
      </c>
      <c r="DE35">
        <v>18</v>
      </c>
      <c r="DF35">
        <v>183</v>
      </c>
      <c r="DG35">
        <v>155</v>
      </c>
      <c r="DH35">
        <v>178</v>
      </c>
      <c r="DI35">
        <v>159</v>
      </c>
      <c r="DJ35">
        <v>93</v>
      </c>
      <c r="DK35">
        <v>40</v>
      </c>
      <c r="DL35">
        <v>36</v>
      </c>
      <c r="DM35">
        <v>77</v>
      </c>
      <c r="DN35">
        <v>198</v>
      </c>
      <c r="DO35">
        <v>174</v>
      </c>
      <c r="DP35">
        <v>54</v>
      </c>
      <c r="DQ35">
        <v>61</v>
      </c>
      <c r="DR35">
        <v>121</v>
      </c>
      <c r="DS35">
        <v>196</v>
      </c>
      <c r="DT35">
        <v>178</v>
      </c>
      <c r="DU35">
        <v>115</v>
      </c>
      <c r="DV35">
        <v>93</v>
      </c>
      <c r="DW35">
        <v>108</v>
      </c>
      <c r="DX35">
        <v>58</v>
      </c>
      <c r="DY35">
        <v>57</v>
      </c>
      <c r="DZ35">
        <v>161</v>
      </c>
      <c r="EA35">
        <v>169</v>
      </c>
      <c r="EB35">
        <v>73</v>
      </c>
      <c r="EC35">
        <v>18</v>
      </c>
      <c r="ED35">
        <v>159</v>
      </c>
      <c r="EE35">
        <v>9</v>
      </c>
      <c r="EF35">
        <v>122</v>
      </c>
      <c r="EG35">
        <v>176</v>
      </c>
      <c r="EH35">
        <v>147</v>
      </c>
      <c r="EI35">
        <v>71</v>
      </c>
      <c r="EJ35">
        <v>5</v>
      </c>
      <c r="EK35">
        <v>156</v>
      </c>
      <c r="EL35">
        <v>113</v>
      </c>
      <c r="EM35">
        <v>66</v>
      </c>
      <c r="EN35">
        <v>82</v>
      </c>
      <c r="EO35">
        <v>61</v>
      </c>
      <c r="EP35">
        <v>24</v>
      </c>
      <c r="EQ35">
        <v>190</v>
      </c>
      <c r="ER35">
        <v>18</v>
      </c>
      <c r="ES35">
        <v>185</v>
      </c>
      <c r="ET35">
        <v>39</v>
      </c>
      <c r="EU35">
        <v>194</v>
      </c>
      <c r="EV35">
        <v>193</v>
      </c>
      <c r="EW35">
        <v>151</v>
      </c>
      <c r="EX35">
        <v>88</v>
      </c>
      <c r="EY35">
        <v>46</v>
      </c>
      <c r="EZ35">
        <v>176</v>
      </c>
      <c r="FA35">
        <v>102</v>
      </c>
      <c r="FB35">
        <v>5</v>
      </c>
      <c r="FC35">
        <v>72</v>
      </c>
      <c r="FD35">
        <v>108</v>
      </c>
      <c r="FE35">
        <v>82</v>
      </c>
      <c r="FF35">
        <v>178</v>
      </c>
      <c r="FG35">
        <v>55</v>
      </c>
      <c r="FH35">
        <v>36</v>
      </c>
      <c r="FI35">
        <v>104</v>
      </c>
      <c r="FJ35">
        <v>151</v>
      </c>
      <c r="FK35">
        <v>43</v>
      </c>
      <c r="FL35">
        <v>146</v>
      </c>
      <c r="FM35">
        <v>161</v>
      </c>
      <c r="FN35">
        <v>46</v>
      </c>
      <c r="FO35">
        <v>18</v>
      </c>
      <c r="FP35">
        <v>120</v>
      </c>
      <c r="FQ35">
        <v>143</v>
      </c>
      <c r="FR35">
        <v>79</v>
      </c>
      <c r="FS35">
        <v>51</v>
      </c>
      <c r="FT35">
        <v>108</v>
      </c>
      <c r="FU35">
        <v>28</v>
      </c>
      <c r="FV35">
        <v>154</v>
      </c>
      <c r="FW35">
        <v>181</v>
      </c>
      <c r="FX35">
        <v>187</v>
      </c>
      <c r="FY35">
        <v>59</v>
      </c>
      <c r="FZ35">
        <v>74</v>
      </c>
      <c r="GA35">
        <v>82</v>
      </c>
      <c r="GB35">
        <v>77</v>
      </c>
      <c r="GC35">
        <v>167</v>
      </c>
      <c r="GD35">
        <v>48</v>
      </c>
      <c r="GE35">
        <v>168</v>
      </c>
      <c r="GF35">
        <v>93</v>
      </c>
      <c r="GG35">
        <v>19</v>
      </c>
      <c r="GH35">
        <v>49</v>
      </c>
      <c r="GI35">
        <v>126</v>
      </c>
      <c r="GJ35">
        <v>66</v>
      </c>
      <c r="GK35">
        <v>96</v>
      </c>
      <c r="GL35">
        <v>182</v>
      </c>
      <c r="GM35">
        <v>17</v>
      </c>
      <c r="GN35">
        <v>109</v>
      </c>
      <c r="GO35">
        <v>163</v>
      </c>
      <c r="GP35">
        <v>9</v>
      </c>
      <c r="GQ35">
        <v>87</v>
      </c>
      <c r="GR35">
        <v>140</v>
      </c>
      <c r="GS35">
        <v>145</v>
      </c>
      <c r="GT35">
        <v>173</v>
      </c>
      <c r="GU35">
        <v>21</v>
      </c>
      <c r="GV35">
        <v>36</v>
      </c>
      <c r="GW35">
        <v>9</v>
      </c>
      <c r="GX35">
        <v>130</v>
      </c>
      <c r="GY35">
        <v>141</v>
      </c>
      <c r="GZ35">
        <v>111</v>
      </c>
      <c r="HA35">
        <v>166</v>
      </c>
      <c r="HB35">
        <v>5</v>
      </c>
      <c r="HC35">
        <v>172</v>
      </c>
      <c r="HD35">
        <v>186</v>
      </c>
      <c r="HE35">
        <v>130</v>
      </c>
      <c r="HF35">
        <v>36</v>
      </c>
      <c r="HG35">
        <v>130</v>
      </c>
      <c r="HH35">
        <v>103</v>
      </c>
      <c r="HI35">
        <v>117</v>
      </c>
      <c r="HJ35">
        <v>182</v>
      </c>
      <c r="HK35">
        <v>191</v>
      </c>
      <c r="HL35">
        <v>194</v>
      </c>
      <c r="HM35">
        <v>15</v>
      </c>
      <c r="HN35">
        <v>27</v>
      </c>
      <c r="HO35">
        <v>123</v>
      </c>
      <c r="HP35">
        <v>30</v>
      </c>
      <c r="HQ35">
        <v>67</v>
      </c>
      <c r="HR35">
        <v>178</v>
      </c>
      <c r="HS35">
        <v>73</v>
      </c>
      <c r="HT35">
        <v>94</v>
      </c>
      <c r="HU35">
        <v>138</v>
      </c>
      <c r="HV35">
        <v>55</v>
      </c>
      <c r="HW35">
        <v>47</v>
      </c>
      <c r="HX35">
        <v>174</v>
      </c>
      <c r="HY35">
        <v>145</v>
      </c>
      <c r="HZ35">
        <v>29</v>
      </c>
      <c r="IA35">
        <v>134</v>
      </c>
      <c r="IB35">
        <v>18</v>
      </c>
      <c r="IC35">
        <v>149</v>
      </c>
      <c r="ID35">
        <v>109</v>
      </c>
      <c r="IE35">
        <v>108</v>
      </c>
      <c r="IF35">
        <v>172</v>
      </c>
      <c r="IG35">
        <v>43</v>
      </c>
      <c r="IH35">
        <v>157</v>
      </c>
      <c r="II35">
        <v>52</v>
      </c>
      <c r="IJ35">
        <v>119</v>
      </c>
      <c r="IK35">
        <v>53</v>
      </c>
      <c r="IL35">
        <v>165</v>
      </c>
      <c r="IM35">
        <v>31</v>
      </c>
      <c r="IN35">
        <v>49</v>
      </c>
      <c r="IO35">
        <v>35</v>
      </c>
      <c r="IP35">
        <v>67</v>
      </c>
      <c r="IQ35">
        <v>116</v>
      </c>
      <c r="IR35">
        <v>170</v>
      </c>
      <c r="IS35">
        <v>112</v>
      </c>
      <c r="IT35">
        <v>172</v>
      </c>
      <c r="IU35">
        <v>190</v>
      </c>
      <c r="IV35">
        <v>69</v>
      </c>
      <c r="IW35">
        <v>15</v>
      </c>
      <c r="IX35">
        <v>147</v>
      </c>
      <c r="IY35">
        <v>101</v>
      </c>
      <c r="IZ35">
        <v>189</v>
      </c>
      <c r="JA35">
        <v>116</v>
      </c>
      <c r="JB35">
        <v>157</v>
      </c>
      <c r="JC35">
        <v>171</v>
      </c>
      <c r="JD35">
        <v>37</v>
      </c>
      <c r="JE35">
        <v>33</v>
      </c>
      <c r="JF35">
        <v>190</v>
      </c>
      <c r="JG35">
        <v>15</v>
      </c>
      <c r="JH35">
        <v>145</v>
      </c>
      <c r="JI35">
        <v>73</v>
      </c>
      <c r="JJ35">
        <v>25</v>
      </c>
      <c r="JK35">
        <v>7</v>
      </c>
      <c r="JL35">
        <v>158</v>
      </c>
      <c r="JM35">
        <v>165</v>
      </c>
      <c r="JN35">
        <v>98</v>
      </c>
      <c r="JO35">
        <v>26</v>
      </c>
      <c r="JP35">
        <v>66</v>
      </c>
      <c r="JQ35">
        <v>9</v>
      </c>
      <c r="JR35">
        <v>151</v>
      </c>
      <c r="JS35">
        <v>13</v>
      </c>
      <c r="JT35">
        <v>62</v>
      </c>
      <c r="JU35">
        <v>28</v>
      </c>
      <c r="JV35">
        <v>171</v>
      </c>
      <c r="JW35">
        <v>65</v>
      </c>
      <c r="JX35">
        <v>131</v>
      </c>
      <c r="JY35">
        <v>52</v>
      </c>
      <c r="JZ35">
        <v>182</v>
      </c>
      <c r="KA35">
        <v>66</v>
      </c>
      <c r="KB35">
        <v>185</v>
      </c>
      <c r="KC35">
        <v>153</v>
      </c>
      <c r="KD35">
        <v>42</v>
      </c>
      <c r="KE35">
        <v>122</v>
      </c>
      <c r="KF35">
        <v>63</v>
      </c>
      <c r="KG35">
        <v>101</v>
      </c>
      <c r="KH35">
        <v>175</v>
      </c>
      <c r="KI35">
        <v>21</v>
      </c>
      <c r="KJ35">
        <v>73</v>
      </c>
      <c r="KK35">
        <v>176</v>
      </c>
      <c r="KL35">
        <v>195</v>
      </c>
      <c r="KM35">
        <v>27</v>
      </c>
      <c r="KN35">
        <v>107</v>
      </c>
      <c r="KO35">
        <v>158</v>
      </c>
      <c r="KP35">
        <v>98</v>
      </c>
      <c r="KQ35">
        <v>180</v>
      </c>
      <c r="KR35">
        <v>179</v>
      </c>
      <c r="KS35">
        <v>50</v>
      </c>
      <c r="KT35">
        <v>33</v>
      </c>
      <c r="KU35">
        <v>38</v>
      </c>
      <c r="KV35">
        <v>14</v>
      </c>
      <c r="KW35">
        <v>24</v>
      </c>
      <c r="KX35">
        <v>38</v>
      </c>
      <c r="KY35">
        <v>105</v>
      </c>
      <c r="KZ35">
        <v>145</v>
      </c>
      <c r="LA35">
        <v>91</v>
      </c>
      <c r="LB35">
        <v>142</v>
      </c>
      <c r="LC35">
        <v>49</v>
      </c>
      <c r="LD35">
        <v>132</v>
      </c>
      <c r="LE35">
        <v>93</v>
      </c>
      <c r="LF35">
        <v>86</v>
      </c>
      <c r="LG35">
        <v>123</v>
      </c>
      <c r="LH35">
        <v>96</v>
      </c>
      <c r="LI35">
        <v>140</v>
      </c>
      <c r="LJ35">
        <v>9</v>
      </c>
      <c r="LK35">
        <v>24</v>
      </c>
      <c r="LL35">
        <v>125</v>
      </c>
      <c r="LM35">
        <v>176</v>
      </c>
      <c r="LN35">
        <v>62</v>
      </c>
      <c r="LO35">
        <v>152</v>
      </c>
      <c r="LP35">
        <v>93</v>
      </c>
      <c r="LQ35">
        <v>104</v>
      </c>
      <c r="LR35">
        <v>119</v>
      </c>
      <c r="LS35">
        <v>78</v>
      </c>
      <c r="LT35">
        <v>172</v>
      </c>
      <c r="LU35">
        <v>20</v>
      </c>
      <c r="LV35">
        <v>8</v>
      </c>
      <c r="LW35">
        <v>14</v>
      </c>
      <c r="LX35">
        <v>183</v>
      </c>
      <c r="LY35">
        <v>52</v>
      </c>
      <c r="LZ35">
        <v>24</v>
      </c>
      <c r="MA35">
        <v>36</v>
      </c>
      <c r="MB35">
        <v>198</v>
      </c>
      <c r="MC35">
        <v>64</v>
      </c>
      <c r="MD35">
        <v>15</v>
      </c>
      <c r="ME35">
        <v>24</v>
      </c>
      <c r="MF35">
        <v>27</v>
      </c>
      <c r="MG35">
        <v>131</v>
      </c>
      <c r="MH35">
        <v>81</v>
      </c>
      <c r="MI35">
        <v>39</v>
      </c>
      <c r="MJ35">
        <v>149</v>
      </c>
      <c r="MK35">
        <v>14</v>
      </c>
      <c r="ML35">
        <v>42</v>
      </c>
      <c r="MM35">
        <v>87</v>
      </c>
      <c r="MN35">
        <v>36</v>
      </c>
      <c r="MO35">
        <v>58</v>
      </c>
      <c r="MP35">
        <v>61</v>
      </c>
      <c r="MQ35">
        <v>111</v>
      </c>
      <c r="MR35">
        <v>29</v>
      </c>
      <c r="MS35">
        <v>146</v>
      </c>
      <c r="MT35">
        <v>49</v>
      </c>
      <c r="MU35">
        <v>176</v>
      </c>
      <c r="MV35">
        <v>122</v>
      </c>
      <c r="MW35">
        <v>42</v>
      </c>
      <c r="MX35">
        <v>129</v>
      </c>
      <c r="MY35">
        <v>40</v>
      </c>
      <c r="MZ35">
        <v>92</v>
      </c>
      <c r="NA35">
        <v>128</v>
      </c>
      <c r="NB35">
        <v>171</v>
      </c>
      <c r="NC35">
        <v>171</v>
      </c>
      <c r="ND35">
        <v>17</v>
      </c>
      <c r="NE35">
        <v>198</v>
      </c>
      <c r="NF35">
        <v>166</v>
      </c>
      <c r="NG35">
        <v>128</v>
      </c>
      <c r="NH35">
        <v>19</v>
      </c>
      <c r="NI35">
        <v>62</v>
      </c>
      <c r="NJ35">
        <v>116</v>
      </c>
      <c r="NK35">
        <v>63</v>
      </c>
      <c r="NL35">
        <v>198</v>
      </c>
      <c r="NM35">
        <v>56</v>
      </c>
      <c r="NN35">
        <v>73</v>
      </c>
      <c r="NO35">
        <v>107</v>
      </c>
      <c r="NP35">
        <v>9</v>
      </c>
      <c r="NQ35">
        <v>47</v>
      </c>
      <c r="NR35">
        <v>12</v>
      </c>
      <c r="NS35">
        <v>82</v>
      </c>
      <c r="NT35">
        <v>97</v>
      </c>
      <c r="NU35">
        <v>67</v>
      </c>
      <c r="NV35">
        <v>167</v>
      </c>
      <c r="NW35">
        <v>36</v>
      </c>
      <c r="NX35">
        <v>101</v>
      </c>
      <c r="NY35">
        <v>122</v>
      </c>
      <c r="NZ35">
        <v>28</v>
      </c>
      <c r="OA35">
        <v>54</v>
      </c>
      <c r="OB35">
        <v>122</v>
      </c>
      <c r="OC35">
        <v>191</v>
      </c>
      <c r="OD35">
        <v>197</v>
      </c>
      <c r="OE35">
        <v>132</v>
      </c>
      <c r="OF35">
        <v>116</v>
      </c>
      <c r="OG35">
        <v>42</v>
      </c>
      <c r="OH35">
        <v>170</v>
      </c>
      <c r="OI35">
        <v>153</v>
      </c>
      <c r="OJ35">
        <v>155</v>
      </c>
      <c r="OK35">
        <v>178</v>
      </c>
      <c r="OL35">
        <v>162</v>
      </c>
      <c r="OM35">
        <v>172</v>
      </c>
      <c r="ON35">
        <v>86</v>
      </c>
      <c r="OO35">
        <v>74</v>
      </c>
      <c r="OP35">
        <v>73</v>
      </c>
      <c r="OQ35">
        <v>174</v>
      </c>
      <c r="OR35">
        <v>150</v>
      </c>
      <c r="OS35">
        <v>191</v>
      </c>
      <c r="OT35">
        <v>17</v>
      </c>
      <c r="OU35">
        <v>123</v>
      </c>
      <c r="OV35">
        <v>106</v>
      </c>
      <c r="OW35">
        <v>25</v>
      </c>
      <c r="OX35">
        <v>81</v>
      </c>
      <c r="OY35">
        <v>86</v>
      </c>
      <c r="OZ35">
        <v>81</v>
      </c>
      <c r="PA35">
        <v>193</v>
      </c>
      <c r="PB35">
        <v>103</v>
      </c>
      <c r="PC35">
        <v>170</v>
      </c>
      <c r="PD35">
        <v>172</v>
      </c>
      <c r="PE35">
        <v>159</v>
      </c>
      <c r="PF35">
        <v>190</v>
      </c>
      <c r="PG35">
        <v>198</v>
      </c>
      <c r="PH35">
        <v>47</v>
      </c>
      <c r="PI35">
        <v>126</v>
      </c>
      <c r="PJ35">
        <v>128</v>
      </c>
      <c r="PK35">
        <v>24</v>
      </c>
      <c r="PL35">
        <v>167</v>
      </c>
      <c r="PM35">
        <v>59</v>
      </c>
      <c r="PN35">
        <v>78</v>
      </c>
      <c r="PO35">
        <v>76</v>
      </c>
      <c r="PP35">
        <v>172</v>
      </c>
      <c r="PQ35">
        <v>50</v>
      </c>
      <c r="PR35">
        <v>83</v>
      </c>
      <c r="PS35">
        <v>174</v>
      </c>
      <c r="PT35">
        <v>150</v>
      </c>
      <c r="PU35">
        <v>19</v>
      </c>
      <c r="PV35">
        <v>103</v>
      </c>
      <c r="PW35">
        <v>70</v>
      </c>
      <c r="PX35">
        <v>145</v>
      </c>
      <c r="PY35">
        <v>113</v>
      </c>
      <c r="PZ35">
        <v>61</v>
      </c>
      <c r="QA35">
        <v>141</v>
      </c>
      <c r="QB35">
        <v>125</v>
      </c>
      <c r="QC35">
        <v>103</v>
      </c>
      <c r="QD35">
        <v>70</v>
      </c>
      <c r="QE35">
        <v>148</v>
      </c>
      <c r="QF35">
        <v>114</v>
      </c>
      <c r="QG35">
        <v>134</v>
      </c>
      <c r="QH35">
        <v>148</v>
      </c>
      <c r="QI35">
        <v>76</v>
      </c>
      <c r="QJ35">
        <v>5</v>
      </c>
      <c r="QK35">
        <v>109</v>
      </c>
      <c r="QL35">
        <v>158</v>
      </c>
      <c r="QM35">
        <v>176</v>
      </c>
      <c r="QN35">
        <v>137</v>
      </c>
      <c r="QO35">
        <v>25</v>
      </c>
      <c r="QP35">
        <v>39</v>
      </c>
      <c r="QQ35">
        <v>108</v>
      </c>
      <c r="QR35">
        <v>58</v>
      </c>
      <c r="QS35">
        <v>128</v>
      </c>
      <c r="QT35">
        <v>182</v>
      </c>
      <c r="QU35">
        <v>112</v>
      </c>
      <c r="QV35">
        <v>48</v>
      </c>
      <c r="QW35">
        <v>89</v>
      </c>
      <c r="QX35">
        <v>8</v>
      </c>
      <c r="QY35">
        <v>127</v>
      </c>
      <c r="QZ35">
        <v>46</v>
      </c>
      <c r="RA35">
        <v>173</v>
      </c>
      <c r="RB35">
        <v>168</v>
      </c>
      <c r="RC35">
        <v>28</v>
      </c>
      <c r="RD35">
        <v>137</v>
      </c>
      <c r="RE35">
        <v>189</v>
      </c>
      <c r="RF35">
        <v>71</v>
      </c>
      <c r="RG35">
        <v>15</v>
      </c>
      <c r="RH35">
        <v>177</v>
      </c>
      <c r="RI35">
        <v>100</v>
      </c>
      <c r="RJ35">
        <v>26</v>
      </c>
      <c r="RK35">
        <v>143</v>
      </c>
      <c r="RL35">
        <v>170</v>
      </c>
      <c r="RM35">
        <v>191</v>
      </c>
      <c r="RN35">
        <v>90</v>
      </c>
      <c r="RO35">
        <v>136</v>
      </c>
      <c r="RP35">
        <v>199</v>
      </c>
      <c r="RQ35">
        <v>142</v>
      </c>
      <c r="RR35">
        <v>23</v>
      </c>
      <c r="RS35">
        <v>86</v>
      </c>
      <c r="RT35">
        <v>160</v>
      </c>
      <c r="RU35">
        <v>99</v>
      </c>
      <c r="RV35">
        <v>21</v>
      </c>
      <c r="RW35">
        <v>28</v>
      </c>
      <c r="RX35">
        <v>133</v>
      </c>
      <c r="RY35">
        <v>9</v>
      </c>
      <c r="RZ35">
        <v>164</v>
      </c>
      <c r="SA35">
        <v>57</v>
      </c>
      <c r="SB35">
        <v>85</v>
      </c>
      <c r="SC35">
        <v>189</v>
      </c>
      <c r="SD35">
        <v>175</v>
      </c>
      <c r="SE35">
        <v>90</v>
      </c>
      <c r="SF35">
        <v>107</v>
      </c>
      <c r="SG35">
        <v>171</v>
      </c>
      <c r="SH35">
        <v>166</v>
      </c>
      <c r="SI35">
        <v>84</v>
      </c>
      <c r="SJ35">
        <v>9</v>
      </c>
      <c r="SK35">
        <v>22</v>
      </c>
      <c r="SL35">
        <v>136</v>
      </c>
      <c r="SM35">
        <v>113</v>
      </c>
      <c r="SN35">
        <v>95</v>
      </c>
      <c r="SO35">
        <v>74</v>
      </c>
      <c r="SP35">
        <v>143</v>
      </c>
      <c r="SQ35">
        <v>179</v>
      </c>
      <c r="SR35">
        <v>85</v>
      </c>
      <c r="SS35">
        <v>35</v>
      </c>
      <c r="ST35">
        <v>17</v>
      </c>
      <c r="SU35">
        <v>27</v>
      </c>
      <c r="SV35">
        <v>69</v>
      </c>
      <c r="SW35">
        <v>34</v>
      </c>
      <c r="SX35">
        <v>163</v>
      </c>
      <c r="SY35">
        <v>51</v>
      </c>
      <c r="SZ35">
        <v>148</v>
      </c>
      <c r="TA35">
        <v>175</v>
      </c>
      <c r="TB35">
        <v>135</v>
      </c>
      <c r="TC35">
        <v>16</v>
      </c>
      <c r="TD35">
        <v>143</v>
      </c>
      <c r="TE35">
        <v>20</v>
      </c>
      <c r="TF35">
        <v>161</v>
      </c>
      <c r="TG35">
        <v>121</v>
      </c>
      <c r="TH35">
        <v>153</v>
      </c>
      <c r="TI35">
        <v>113</v>
      </c>
      <c r="TJ35">
        <v>62</v>
      </c>
      <c r="TK35">
        <v>175</v>
      </c>
      <c r="TL35">
        <v>9</v>
      </c>
      <c r="TM35">
        <v>184</v>
      </c>
      <c r="TN35">
        <v>145</v>
      </c>
      <c r="TO35">
        <v>85</v>
      </c>
      <c r="TP35">
        <v>144</v>
      </c>
      <c r="TQ35">
        <v>5</v>
      </c>
      <c r="TR35">
        <v>12</v>
      </c>
      <c r="TS35">
        <v>148</v>
      </c>
      <c r="TT35">
        <v>147</v>
      </c>
      <c r="TU35">
        <v>23</v>
      </c>
      <c r="TV35">
        <v>157</v>
      </c>
      <c r="TW35">
        <v>35</v>
      </c>
      <c r="TX35">
        <v>134</v>
      </c>
      <c r="TY35">
        <v>125</v>
      </c>
      <c r="TZ35">
        <v>63</v>
      </c>
      <c r="UA35">
        <v>35</v>
      </c>
      <c r="UB35">
        <v>144</v>
      </c>
      <c r="UC35">
        <v>149</v>
      </c>
      <c r="UD35">
        <v>33</v>
      </c>
      <c r="UE35">
        <v>168</v>
      </c>
      <c r="UF35">
        <v>108</v>
      </c>
      <c r="UG35">
        <v>67</v>
      </c>
      <c r="UH35">
        <v>19</v>
      </c>
      <c r="UI35">
        <v>34</v>
      </c>
      <c r="UJ35">
        <v>183</v>
      </c>
      <c r="UK35">
        <v>15</v>
      </c>
      <c r="UL35">
        <v>189</v>
      </c>
      <c r="UM35">
        <v>17</v>
      </c>
      <c r="UN35">
        <v>59</v>
      </c>
      <c r="UO35">
        <v>67</v>
      </c>
      <c r="UP35">
        <v>134</v>
      </c>
      <c r="UQ35">
        <v>188</v>
      </c>
      <c r="UR35">
        <v>11</v>
      </c>
      <c r="US35">
        <v>175</v>
      </c>
      <c r="UT35">
        <v>163</v>
      </c>
      <c r="UU35">
        <v>193</v>
      </c>
      <c r="UV35">
        <v>154</v>
      </c>
      <c r="UW35">
        <v>194</v>
      </c>
      <c r="UX35">
        <v>32</v>
      </c>
      <c r="UY35">
        <v>29</v>
      </c>
      <c r="UZ35">
        <v>197</v>
      </c>
      <c r="VA35">
        <v>164</v>
      </c>
      <c r="VB35">
        <v>180</v>
      </c>
      <c r="VC35">
        <v>84</v>
      </c>
      <c r="VD35">
        <v>28</v>
      </c>
      <c r="VE35">
        <v>85</v>
      </c>
      <c r="VF35">
        <v>129</v>
      </c>
      <c r="VG35">
        <v>174</v>
      </c>
      <c r="VH35">
        <v>74</v>
      </c>
      <c r="VI35">
        <v>82</v>
      </c>
      <c r="VJ35">
        <v>94</v>
      </c>
      <c r="VK35">
        <v>128</v>
      </c>
      <c r="VL35">
        <v>96</v>
      </c>
      <c r="VM35">
        <v>115</v>
      </c>
      <c r="VN35">
        <v>168</v>
      </c>
      <c r="VO35">
        <v>163</v>
      </c>
      <c r="VP35">
        <v>132</v>
      </c>
      <c r="VQ35">
        <v>159</v>
      </c>
      <c r="VR35">
        <v>198</v>
      </c>
      <c r="VS35">
        <v>177</v>
      </c>
      <c r="VT35">
        <v>48</v>
      </c>
      <c r="VU35">
        <v>61</v>
      </c>
      <c r="VV35">
        <v>25</v>
      </c>
      <c r="VW35">
        <v>59</v>
      </c>
      <c r="VX35">
        <v>113</v>
      </c>
      <c r="VY35">
        <v>147</v>
      </c>
      <c r="VZ35">
        <v>166</v>
      </c>
      <c r="WA35">
        <v>108</v>
      </c>
      <c r="WB35">
        <v>135</v>
      </c>
      <c r="WC35">
        <v>133</v>
      </c>
      <c r="WD35">
        <v>28</v>
      </c>
      <c r="WE35">
        <v>175</v>
      </c>
      <c r="WF35">
        <v>31</v>
      </c>
      <c r="WG35">
        <v>141</v>
      </c>
      <c r="WH35">
        <v>92</v>
      </c>
      <c r="WI35">
        <v>149</v>
      </c>
      <c r="WJ35">
        <v>96</v>
      </c>
      <c r="WK35">
        <v>43</v>
      </c>
      <c r="WL35">
        <v>59</v>
      </c>
      <c r="WM35">
        <v>129</v>
      </c>
      <c r="WN35">
        <v>49</v>
      </c>
      <c r="WO35">
        <v>160</v>
      </c>
      <c r="WP35">
        <v>188</v>
      </c>
      <c r="WQ35">
        <v>105</v>
      </c>
      <c r="WR35">
        <v>161</v>
      </c>
      <c r="WS35">
        <v>33</v>
      </c>
      <c r="WT35">
        <v>73</v>
      </c>
      <c r="WU35">
        <v>15</v>
      </c>
      <c r="WV35">
        <v>134</v>
      </c>
      <c r="WW35">
        <v>142</v>
      </c>
      <c r="WX35">
        <v>107</v>
      </c>
      <c r="WY35">
        <v>112</v>
      </c>
      <c r="WZ35">
        <v>123</v>
      </c>
      <c r="XA35">
        <v>159</v>
      </c>
      <c r="XB35">
        <v>91</v>
      </c>
      <c r="XC35">
        <v>116</v>
      </c>
      <c r="XD35">
        <v>167</v>
      </c>
      <c r="XE35">
        <v>182</v>
      </c>
      <c r="XF35">
        <v>78</v>
      </c>
      <c r="XG35">
        <v>6</v>
      </c>
      <c r="XH35">
        <v>21</v>
      </c>
      <c r="XI35">
        <v>99</v>
      </c>
      <c r="XJ35">
        <v>84</v>
      </c>
      <c r="XK35">
        <v>28</v>
      </c>
      <c r="XL35">
        <v>61</v>
      </c>
      <c r="XM35">
        <v>75</v>
      </c>
      <c r="XN35">
        <v>87</v>
      </c>
      <c r="XO35">
        <v>148</v>
      </c>
      <c r="XP35">
        <v>101</v>
      </c>
      <c r="XQ35">
        <v>40</v>
      </c>
      <c r="XR35">
        <v>49</v>
      </c>
      <c r="XS35">
        <v>14</v>
      </c>
      <c r="XT35">
        <v>67</v>
      </c>
      <c r="XU35">
        <v>47</v>
      </c>
      <c r="XV35">
        <v>55</v>
      </c>
      <c r="XW35">
        <v>111</v>
      </c>
      <c r="XX35">
        <v>7</v>
      </c>
      <c r="XY35">
        <v>198</v>
      </c>
      <c r="XZ35">
        <v>167</v>
      </c>
      <c r="YA35">
        <v>73</v>
      </c>
      <c r="YB35">
        <v>83</v>
      </c>
      <c r="YC35">
        <v>40</v>
      </c>
      <c r="YD35">
        <v>53</v>
      </c>
      <c r="YE35">
        <v>5</v>
      </c>
      <c r="YF35">
        <v>174</v>
      </c>
      <c r="YG35">
        <v>173</v>
      </c>
      <c r="YH35">
        <v>77</v>
      </c>
      <c r="YI35">
        <v>189</v>
      </c>
      <c r="YJ35">
        <v>120</v>
      </c>
      <c r="YK35">
        <v>152</v>
      </c>
      <c r="YL35">
        <v>18</v>
      </c>
      <c r="YM35">
        <v>126</v>
      </c>
      <c r="YN35">
        <v>97</v>
      </c>
      <c r="YO35">
        <v>184</v>
      </c>
      <c r="YP35">
        <v>58</v>
      </c>
      <c r="YQ35">
        <v>53</v>
      </c>
      <c r="YR35">
        <v>34</v>
      </c>
      <c r="YS35">
        <v>135</v>
      </c>
      <c r="YT35">
        <v>16</v>
      </c>
      <c r="YU35">
        <v>115</v>
      </c>
      <c r="YV35">
        <v>163</v>
      </c>
      <c r="YW35">
        <v>169</v>
      </c>
      <c r="YX35">
        <v>159</v>
      </c>
      <c r="YY35">
        <v>120</v>
      </c>
      <c r="YZ35">
        <v>156</v>
      </c>
      <c r="ZA35">
        <v>116</v>
      </c>
      <c r="ZB35">
        <v>173</v>
      </c>
      <c r="ZC35">
        <v>108</v>
      </c>
      <c r="ZD35">
        <v>196</v>
      </c>
      <c r="ZE35">
        <v>15</v>
      </c>
      <c r="ZF35">
        <v>95</v>
      </c>
      <c r="ZG35">
        <v>77</v>
      </c>
      <c r="ZH35">
        <v>20</v>
      </c>
      <c r="ZI35">
        <v>18</v>
      </c>
      <c r="ZJ35">
        <v>179</v>
      </c>
      <c r="ZK35">
        <v>162</v>
      </c>
      <c r="ZL35">
        <v>114</v>
      </c>
      <c r="ZM35">
        <v>156</v>
      </c>
      <c r="ZN35">
        <v>145</v>
      </c>
      <c r="ZO35">
        <v>123</v>
      </c>
      <c r="ZP35">
        <v>130</v>
      </c>
      <c r="ZQ35">
        <v>13</v>
      </c>
      <c r="ZR35">
        <v>181</v>
      </c>
      <c r="ZS35">
        <v>158</v>
      </c>
      <c r="ZT35">
        <v>53</v>
      </c>
      <c r="ZU35">
        <v>46</v>
      </c>
      <c r="ZV35">
        <v>177</v>
      </c>
      <c r="ZW35">
        <v>118</v>
      </c>
      <c r="ZX35">
        <v>81</v>
      </c>
      <c r="ZY35">
        <v>153</v>
      </c>
      <c r="ZZ35">
        <v>161</v>
      </c>
      <c r="AAA35">
        <v>96</v>
      </c>
      <c r="AAB35">
        <v>156</v>
      </c>
      <c r="AAC35">
        <v>124</v>
      </c>
      <c r="AAD35">
        <v>174</v>
      </c>
      <c r="AAE35">
        <v>88</v>
      </c>
      <c r="AAF35">
        <v>107</v>
      </c>
      <c r="AAG35">
        <v>75</v>
      </c>
      <c r="AAH35">
        <v>173</v>
      </c>
      <c r="AAI35">
        <v>52</v>
      </c>
      <c r="AAJ35">
        <v>83</v>
      </c>
      <c r="AAK35">
        <v>81</v>
      </c>
      <c r="AAL35">
        <v>47</v>
      </c>
      <c r="AAM35">
        <v>12</v>
      </c>
      <c r="AAN35">
        <v>67</v>
      </c>
      <c r="AAO35">
        <v>124</v>
      </c>
      <c r="AAP35">
        <v>67</v>
      </c>
      <c r="AAQ35">
        <v>10</v>
      </c>
      <c r="AAR35">
        <v>78</v>
      </c>
      <c r="AAS35">
        <v>56</v>
      </c>
      <c r="AAT35">
        <v>25</v>
      </c>
      <c r="AAU35">
        <v>146</v>
      </c>
      <c r="AAV35">
        <v>120</v>
      </c>
      <c r="AAW35">
        <v>62</v>
      </c>
      <c r="AAX35">
        <v>157</v>
      </c>
      <c r="AAY35">
        <v>60</v>
      </c>
      <c r="AAZ35">
        <v>87</v>
      </c>
      <c r="ABA35">
        <v>13</v>
      </c>
      <c r="ABB35">
        <v>168</v>
      </c>
      <c r="ABC35">
        <v>189</v>
      </c>
      <c r="ABD35">
        <v>137</v>
      </c>
      <c r="ABE35">
        <v>85</v>
      </c>
      <c r="ABF35">
        <v>98</v>
      </c>
      <c r="ABG35">
        <v>139</v>
      </c>
      <c r="ABH35">
        <v>138</v>
      </c>
      <c r="ABI35">
        <v>56</v>
      </c>
      <c r="ABJ35">
        <v>110</v>
      </c>
      <c r="ABK35">
        <v>59</v>
      </c>
      <c r="ABL35">
        <v>18</v>
      </c>
      <c r="ABM35">
        <v>133</v>
      </c>
      <c r="ABN35">
        <v>169</v>
      </c>
      <c r="ABO35">
        <v>53</v>
      </c>
      <c r="ABP35">
        <v>144</v>
      </c>
      <c r="ABQ35">
        <v>137</v>
      </c>
      <c r="ABR35">
        <v>74</v>
      </c>
      <c r="ABS35">
        <v>120</v>
      </c>
      <c r="ABT35">
        <v>123</v>
      </c>
      <c r="ABU35">
        <v>143</v>
      </c>
      <c r="ABV35">
        <v>185</v>
      </c>
      <c r="ABW35">
        <v>187</v>
      </c>
      <c r="ABX35">
        <v>83</v>
      </c>
      <c r="ABY35">
        <v>54</v>
      </c>
      <c r="ABZ35">
        <v>185</v>
      </c>
      <c r="ACA35">
        <v>129</v>
      </c>
      <c r="ACB35">
        <v>59</v>
      </c>
      <c r="ACC35">
        <v>96</v>
      </c>
      <c r="ACD35">
        <v>7</v>
      </c>
      <c r="ACE35">
        <v>124</v>
      </c>
      <c r="ACF35">
        <v>148</v>
      </c>
      <c r="ACG35">
        <v>177</v>
      </c>
      <c r="ACH35">
        <v>85</v>
      </c>
      <c r="ACI35">
        <v>168</v>
      </c>
      <c r="ACJ35">
        <v>23</v>
      </c>
      <c r="ACK35">
        <v>136</v>
      </c>
      <c r="ACL35">
        <v>63</v>
      </c>
      <c r="ACM35">
        <v>93</v>
      </c>
      <c r="ACN35">
        <v>144</v>
      </c>
      <c r="ACO35">
        <v>67</v>
      </c>
      <c r="ACP35">
        <v>188</v>
      </c>
      <c r="ACQ35">
        <v>31</v>
      </c>
      <c r="ACR35">
        <v>129</v>
      </c>
      <c r="ACS35">
        <v>156</v>
      </c>
      <c r="ACT35">
        <v>158</v>
      </c>
      <c r="ACU35">
        <v>26</v>
      </c>
      <c r="ACV35">
        <v>74</v>
      </c>
      <c r="ACW35">
        <v>23</v>
      </c>
      <c r="ACX35">
        <v>105</v>
      </c>
      <c r="ACY35">
        <v>166</v>
      </c>
      <c r="ACZ35">
        <v>143</v>
      </c>
      <c r="ADA35">
        <v>124</v>
      </c>
      <c r="ADB35">
        <v>92</v>
      </c>
      <c r="ADC35">
        <v>177</v>
      </c>
      <c r="ADD35">
        <v>41</v>
      </c>
      <c r="ADE35">
        <v>155</v>
      </c>
      <c r="ADF35">
        <v>172</v>
      </c>
      <c r="ADG35">
        <v>175</v>
      </c>
      <c r="ADH35">
        <v>8</v>
      </c>
      <c r="ADI35">
        <v>86</v>
      </c>
      <c r="ADJ35">
        <v>19</v>
      </c>
      <c r="ADK35">
        <v>155</v>
      </c>
      <c r="ADL35">
        <v>144</v>
      </c>
      <c r="ADM35">
        <v>72</v>
      </c>
      <c r="ADN35">
        <v>72</v>
      </c>
      <c r="ADO35">
        <v>184</v>
      </c>
      <c r="ADP35">
        <v>173</v>
      </c>
      <c r="ADQ35">
        <v>109</v>
      </c>
      <c r="ADR35">
        <v>63</v>
      </c>
      <c r="ADS35">
        <v>62</v>
      </c>
      <c r="ADT35">
        <v>124</v>
      </c>
      <c r="ADU35">
        <v>191</v>
      </c>
      <c r="ADV35">
        <v>155</v>
      </c>
      <c r="ADW35">
        <v>133</v>
      </c>
      <c r="ADX35">
        <v>60</v>
      </c>
      <c r="ADY35">
        <v>8</v>
      </c>
      <c r="ADZ35">
        <v>33</v>
      </c>
      <c r="AEA35">
        <v>21</v>
      </c>
      <c r="AEB35">
        <v>181</v>
      </c>
      <c r="AEC35">
        <v>55</v>
      </c>
      <c r="AED35">
        <v>181</v>
      </c>
      <c r="AEE35">
        <v>28</v>
      </c>
      <c r="AEF35">
        <v>48</v>
      </c>
      <c r="AEG35">
        <v>120</v>
      </c>
      <c r="AEH35">
        <v>173</v>
      </c>
      <c r="AEI35">
        <v>61</v>
      </c>
      <c r="AEJ35">
        <v>188</v>
      </c>
      <c r="AEK35">
        <v>36</v>
      </c>
      <c r="AEL35">
        <v>163</v>
      </c>
      <c r="AEM35">
        <v>148</v>
      </c>
      <c r="AEN35">
        <v>164</v>
      </c>
      <c r="AEO35">
        <v>112</v>
      </c>
      <c r="AEP35">
        <v>46</v>
      </c>
      <c r="AEQ35">
        <v>126</v>
      </c>
      <c r="AER35">
        <v>38</v>
      </c>
      <c r="AES35">
        <v>169</v>
      </c>
      <c r="AET35">
        <v>148</v>
      </c>
      <c r="AEU35">
        <v>89</v>
      </c>
      <c r="AEV35">
        <v>145</v>
      </c>
      <c r="AEW35">
        <v>126</v>
      </c>
      <c r="AEX35">
        <v>124</v>
      </c>
      <c r="AEY35">
        <v>86</v>
      </c>
      <c r="AEZ35">
        <v>198</v>
      </c>
      <c r="AFA35">
        <v>124</v>
      </c>
      <c r="AFB35">
        <v>165</v>
      </c>
      <c r="AFC35">
        <v>109</v>
      </c>
      <c r="AFD35">
        <v>86</v>
      </c>
      <c r="AFE35">
        <v>96</v>
      </c>
      <c r="AFF35">
        <v>167</v>
      </c>
      <c r="AFG35">
        <v>169</v>
      </c>
      <c r="AFH35">
        <v>44</v>
      </c>
      <c r="AFI35">
        <v>140</v>
      </c>
      <c r="AFJ35">
        <v>58</v>
      </c>
      <c r="AFK35">
        <v>93</v>
      </c>
      <c r="AFL35">
        <v>139</v>
      </c>
      <c r="AFM35">
        <v>6</v>
      </c>
      <c r="AFN35">
        <v>101</v>
      </c>
      <c r="AFO35">
        <v>60</v>
      </c>
      <c r="AFP35">
        <v>108</v>
      </c>
      <c r="AFQ35">
        <v>128</v>
      </c>
      <c r="AFR35">
        <v>189</v>
      </c>
      <c r="AFS35">
        <v>181</v>
      </c>
      <c r="AFT35">
        <v>129</v>
      </c>
      <c r="AFU35">
        <v>82</v>
      </c>
      <c r="AFV35">
        <v>12</v>
      </c>
      <c r="AFW35">
        <v>88</v>
      </c>
      <c r="AFX35">
        <v>195</v>
      </c>
      <c r="AFY35">
        <v>86</v>
      </c>
      <c r="AFZ35">
        <v>92</v>
      </c>
      <c r="AGA35">
        <v>178</v>
      </c>
      <c r="AGB35">
        <v>71</v>
      </c>
      <c r="AGC35">
        <v>121</v>
      </c>
      <c r="AGD35">
        <v>178</v>
      </c>
      <c r="AGE35">
        <v>82</v>
      </c>
      <c r="AGF35">
        <v>71</v>
      </c>
      <c r="AGG35">
        <v>46</v>
      </c>
      <c r="AGH35">
        <v>68</v>
      </c>
      <c r="AGI35">
        <v>132</v>
      </c>
      <c r="AGJ35">
        <v>77</v>
      </c>
      <c r="AGK35">
        <v>185</v>
      </c>
      <c r="AGL35">
        <v>94</v>
      </c>
      <c r="AGM35">
        <v>11</v>
      </c>
      <c r="AGN35">
        <v>11</v>
      </c>
      <c r="AGO35">
        <v>126</v>
      </c>
      <c r="AGP35">
        <v>168</v>
      </c>
      <c r="AGQ35">
        <v>120</v>
      </c>
      <c r="AGR35">
        <v>17</v>
      </c>
      <c r="AGS35">
        <v>199</v>
      </c>
      <c r="AGT35">
        <f>MAX(B35:AGS35)</f>
        <v>199</v>
      </c>
    </row>
    <row r="36" spans="1:878" x14ac:dyDescent="0.25">
      <c r="A36" s="1" t="s">
        <v>20</v>
      </c>
      <c r="B36">
        <v>2.2000000000000002</v>
      </c>
      <c r="C36">
        <v>1.2</v>
      </c>
      <c r="D36">
        <v>4.7</v>
      </c>
      <c r="E36">
        <v>1.9</v>
      </c>
      <c r="F36">
        <v>2.5</v>
      </c>
      <c r="G36">
        <v>3.1</v>
      </c>
      <c r="H36">
        <v>4.9000000000000004</v>
      </c>
      <c r="I36">
        <v>3.1</v>
      </c>
      <c r="J36">
        <v>2.8</v>
      </c>
      <c r="K36">
        <v>3.3</v>
      </c>
      <c r="L36">
        <v>4.9000000000000004</v>
      </c>
      <c r="M36">
        <v>4.3</v>
      </c>
      <c r="N36">
        <v>1.7</v>
      </c>
      <c r="O36">
        <v>4.2</v>
      </c>
      <c r="P36">
        <v>4.4000000000000004</v>
      </c>
      <c r="Q36">
        <v>3.8</v>
      </c>
      <c r="R36">
        <v>3.6</v>
      </c>
      <c r="S36">
        <v>2.8</v>
      </c>
      <c r="T36">
        <v>3.6</v>
      </c>
      <c r="U36">
        <v>4</v>
      </c>
      <c r="V36">
        <v>1.5</v>
      </c>
      <c r="W36">
        <v>2</v>
      </c>
      <c r="X36">
        <v>1.8</v>
      </c>
      <c r="Y36">
        <v>4.4000000000000004</v>
      </c>
      <c r="Z36">
        <v>3.7</v>
      </c>
      <c r="AA36">
        <v>2.8</v>
      </c>
      <c r="AB36">
        <v>4.3</v>
      </c>
      <c r="AC36">
        <v>3.9</v>
      </c>
      <c r="AD36">
        <v>4.7</v>
      </c>
      <c r="AE36">
        <v>1.3</v>
      </c>
      <c r="AF36">
        <v>3</v>
      </c>
      <c r="AG36">
        <v>3.8</v>
      </c>
      <c r="AH36">
        <v>1.8</v>
      </c>
      <c r="AI36">
        <v>2.2999999999999998</v>
      </c>
      <c r="AJ36">
        <v>2.7</v>
      </c>
      <c r="AK36">
        <v>4.2</v>
      </c>
      <c r="AL36">
        <v>3</v>
      </c>
      <c r="AM36">
        <v>3</v>
      </c>
      <c r="AN36">
        <v>2.7</v>
      </c>
      <c r="AO36">
        <v>1.9</v>
      </c>
      <c r="AP36">
        <v>4.7</v>
      </c>
      <c r="AQ36">
        <v>2.2999999999999998</v>
      </c>
      <c r="AR36">
        <v>3.3</v>
      </c>
      <c r="AS36">
        <v>1.6</v>
      </c>
      <c r="AT36">
        <v>2.7</v>
      </c>
      <c r="AU36">
        <v>4.5999999999999996</v>
      </c>
      <c r="AV36">
        <v>5</v>
      </c>
      <c r="AW36">
        <v>2.4</v>
      </c>
      <c r="AX36">
        <v>1.6</v>
      </c>
      <c r="AY36">
        <v>2.2999999999999998</v>
      </c>
      <c r="AZ36">
        <v>2.2999999999999998</v>
      </c>
      <c r="BA36">
        <v>3.6</v>
      </c>
      <c r="BB36">
        <v>3</v>
      </c>
      <c r="BC36">
        <v>4.0999999999999996</v>
      </c>
      <c r="BD36">
        <v>3.8</v>
      </c>
      <c r="BE36">
        <v>2</v>
      </c>
      <c r="BF36">
        <v>4.0999999999999996</v>
      </c>
      <c r="BG36">
        <v>4.4000000000000004</v>
      </c>
      <c r="BH36">
        <v>3.4</v>
      </c>
      <c r="BI36">
        <v>4.7</v>
      </c>
      <c r="BJ36">
        <v>4.0999999999999996</v>
      </c>
      <c r="BK36">
        <v>3.4</v>
      </c>
      <c r="BL36">
        <v>4.5999999999999996</v>
      </c>
      <c r="BM36">
        <v>3.4</v>
      </c>
      <c r="BN36">
        <v>3.1</v>
      </c>
      <c r="BO36">
        <v>2.4</v>
      </c>
      <c r="BP36">
        <v>4.5</v>
      </c>
      <c r="BQ36">
        <v>1.5</v>
      </c>
      <c r="BR36">
        <v>2.9</v>
      </c>
      <c r="BS36">
        <v>3.1</v>
      </c>
      <c r="BT36">
        <v>3.2</v>
      </c>
      <c r="BU36">
        <v>3.6</v>
      </c>
      <c r="BV36">
        <v>3</v>
      </c>
      <c r="BW36">
        <v>2</v>
      </c>
      <c r="BX36">
        <v>4.4000000000000004</v>
      </c>
      <c r="BY36">
        <v>3.6</v>
      </c>
      <c r="BZ36">
        <v>4.4000000000000004</v>
      </c>
      <c r="CA36">
        <v>2.1</v>
      </c>
      <c r="CB36">
        <v>3.5</v>
      </c>
      <c r="CC36">
        <v>3.9</v>
      </c>
      <c r="CD36">
        <v>2.5</v>
      </c>
      <c r="CE36">
        <v>4.2</v>
      </c>
      <c r="CF36">
        <v>1</v>
      </c>
      <c r="CG36">
        <v>3.4</v>
      </c>
      <c r="CH36">
        <v>3.5</v>
      </c>
      <c r="CI36">
        <v>3.1</v>
      </c>
      <c r="CJ36">
        <v>3.5</v>
      </c>
      <c r="CK36">
        <v>1.7</v>
      </c>
      <c r="CL36">
        <v>3.7</v>
      </c>
      <c r="CM36">
        <v>2.2999999999999998</v>
      </c>
      <c r="CN36">
        <v>2.8</v>
      </c>
      <c r="CO36">
        <v>2.2999999999999998</v>
      </c>
      <c r="CP36">
        <v>2.9</v>
      </c>
      <c r="CQ36">
        <v>3.5</v>
      </c>
      <c r="CR36">
        <v>4.4000000000000004</v>
      </c>
      <c r="CS36">
        <v>2.9</v>
      </c>
      <c r="CT36">
        <v>2.2999999999999998</v>
      </c>
      <c r="CU36">
        <v>3</v>
      </c>
      <c r="CV36">
        <v>3.8</v>
      </c>
      <c r="CW36">
        <v>2.4</v>
      </c>
      <c r="CX36">
        <v>2.7</v>
      </c>
      <c r="CY36">
        <v>3.3</v>
      </c>
      <c r="CZ36">
        <v>2.2000000000000002</v>
      </c>
      <c r="DA36">
        <v>1.8</v>
      </c>
      <c r="DB36">
        <v>1.6</v>
      </c>
      <c r="DC36">
        <v>2.4</v>
      </c>
      <c r="DD36">
        <v>1.2</v>
      </c>
      <c r="DE36">
        <v>3.3</v>
      </c>
      <c r="DF36">
        <v>1.7</v>
      </c>
      <c r="DG36">
        <v>2.5</v>
      </c>
      <c r="DH36">
        <v>2.1</v>
      </c>
      <c r="DI36">
        <v>3.5</v>
      </c>
      <c r="DJ36">
        <v>4.4000000000000004</v>
      </c>
      <c r="DK36">
        <v>3.5</v>
      </c>
      <c r="DL36">
        <v>3.2</v>
      </c>
      <c r="DM36">
        <v>3.7</v>
      </c>
      <c r="DN36">
        <v>1.1000000000000001</v>
      </c>
      <c r="DO36">
        <v>1.5</v>
      </c>
      <c r="DP36">
        <v>1.4</v>
      </c>
      <c r="DQ36">
        <v>1.4</v>
      </c>
      <c r="DR36">
        <v>2</v>
      </c>
      <c r="DS36">
        <v>3.1</v>
      </c>
      <c r="DT36">
        <v>1.5</v>
      </c>
      <c r="DU36">
        <v>4.7</v>
      </c>
      <c r="DV36">
        <v>4.4000000000000004</v>
      </c>
      <c r="DW36">
        <v>4.9000000000000004</v>
      </c>
      <c r="DX36">
        <v>1.2</v>
      </c>
      <c r="DY36">
        <v>4.4000000000000004</v>
      </c>
      <c r="DZ36">
        <v>4.2</v>
      </c>
      <c r="EA36">
        <v>4.5999999999999996</v>
      </c>
      <c r="EB36">
        <v>3.1</v>
      </c>
      <c r="EC36">
        <v>4.2</v>
      </c>
      <c r="ED36">
        <v>1.2</v>
      </c>
      <c r="EE36">
        <v>1.3</v>
      </c>
      <c r="EF36">
        <v>1.5</v>
      </c>
      <c r="EG36">
        <v>4.7</v>
      </c>
      <c r="EH36">
        <v>1.2</v>
      </c>
      <c r="EI36">
        <v>1.4</v>
      </c>
      <c r="EJ36">
        <v>4.7</v>
      </c>
      <c r="EK36">
        <v>1.4</v>
      </c>
      <c r="EL36">
        <v>4.5</v>
      </c>
      <c r="EM36">
        <v>4.2</v>
      </c>
      <c r="EN36">
        <v>1.2</v>
      </c>
      <c r="EO36">
        <v>1.1000000000000001</v>
      </c>
      <c r="EP36">
        <v>3.1</v>
      </c>
      <c r="EQ36">
        <v>5</v>
      </c>
      <c r="ER36">
        <v>4.5</v>
      </c>
      <c r="ES36">
        <v>2.2000000000000002</v>
      </c>
      <c r="ET36">
        <v>2.5</v>
      </c>
      <c r="EU36">
        <v>2.6</v>
      </c>
      <c r="EV36">
        <v>3.9</v>
      </c>
      <c r="EW36">
        <v>2.4</v>
      </c>
      <c r="EX36">
        <v>1.6</v>
      </c>
      <c r="EY36">
        <v>4</v>
      </c>
      <c r="EZ36">
        <v>2.8</v>
      </c>
      <c r="FA36">
        <v>1.3</v>
      </c>
      <c r="FB36">
        <v>4.2</v>
      </c>
      <c r="FC36">
        <v>3.3</v>
      </c>
      <c r="FD36">
        <v>3</v>
      </c>
      <c r="FE36">
        <v>3.7</v>
      </c>
      <c r="FF36">
        <v>3</v>
      </c>
      <c r="FG36">
        <v>3.6</v>
      </c>
      <c r="FH36">
        <v>4.5</v>
      </c>
      <c r="FI36">
        <v>3.5</v>
      </c>
      <c r="FJ36">
        <v>3.6</v>
      </c>
      <c r="FK36">
        <v>3.5</v>
      </c>
      <c r="FL36">
        <v>3.1</v>
      </c>
      <c r="FM36">
        <v>1.7</v>
      </c>
      <c r="FN36">
        <v>2.2999999999999998</v>
      </c>
      <c r="FO36">
        <v>3.8</v>
      </c>
      <c r="FP36">
        <v>2.7</v>
      </c>
      <c r="FQ36">
        <v>2.6</v>
      </c>
      <c r="FR36">
        <v>4</v>
      </c>
      <c r="FS36">
        <v>1</v>
      </c>
      <c r="FT36">
        <v>3.7</v>
      </c>
      <c r="FU36">
        <v>3</v>
      </c>
      <c r="FV36">
        <v>2.5</v>
      </c>
      <c r="FW36">
        <v>2.4</v>
      </c>
      <c r="FX36">
        <v>1.7</v>
      </c>
      <c r="FY36">
        <v>2.2999999999999998</v>
      </c>
      <c r="FZ36">
        <v>2.6</v>
      </c>
      <c r="GA36">
        <v>2.7</v>
      </c>
      <c r="GB36">
        <v>3.7</v>
      </c>
      <c r="GC36">
        <v>2.8</v>
      </c>
      <c r="GD36">
        <v>4.2</v>
      </c>
      <c r="GE36">
        <v>3.6</v>
      </c>
      <c r="GF36">
        <v>1.8</v>
      </c>
      <c r="GG36">
        <v>2.1</v>
      </c>
      <c r="GH36">
        <v>1.3</v>
      </c>
      <c r="GI36">
        <v>4.8</v>
      </c>
      <c r="GJ36">
        <v>4.5</v>
      </c>
      <c r="GK36">
        <v>1.3</v>
      </c>
      <c r="GL36">
        <v>3.3</v>
      </c>
      <c r="GM36">
        <v>4.8</v>
      </c>
      <c r="GN36">
        <v>4</v>
      </c>
      <c r="GO36">
        <v>3</v>
      </c>
      <c r="GP36">
        <v>2</v>
      </c>
      <c r="GQ36">
        <v>2.1</v>
      </c>
      <c r="GR36">
        <v>3.9</v>
      </c>
      <c r="GS36">
        <v>4.0999999999999996</v>
      </c>
      <c r="GT36">
        <v>3.1</v>
      </c>
      <c r="GU36">
        <v>1.5</v>
      </c>
      <c r="GV36">
        <v>4.7</v>
      </c>
      <c r="GW36">
        <v>4.4000000000000004</v>
      </c>
      <c r="GX36">
        <v>1.6</v>
      </c>
      <c r="GY36">
        <v>1.2</v>
      </c>
      <c r="GZ36">
        <v>3.1</v>
      </c>
      <c r="HA36">
        <v>2.1</v>
      </c>
      <c r="HB36">
        <v>2.1</v>
      </c>
      <c r="HC36">
        <v>1.3</v>
      </c>
      <c r="HD36">
        <v>4.8</v>
      </c>
      <c r="HE36">
        <v>4.3</v>
      </c>
      <c r="HF36">
        <v>1.5</v>
      </c>
      <c r="HG36">
        <v>4.5</v>
      </c>
      <c r="HH36">
        <v>3.7</v>
      </c>
      <c r="HI36">
        <v>2.2999999999999998</v>
      </c>
      <c r="HJ36">
        <v>4.5</v>
      </c>
      <c r="HK36">
        <v>3.4</v>
      </c>
      <c r="HL36">
        <v>4.4000000000000004</v>
      </c>
      <c r="HM36">
        <v>2.9</v>
      </c>
      <c r="HN36">
        <v>3</v>
      </c>
      <c r="HO36">
        <v>2.2000000000000002</v>
      </c>
      <c r="HP36">
        <v>2.6</v>
      </c>
      <c r="HQ36">
        <v>3.3</v>
      </c>
      <c r="HR36">
        <v>4.8</v>
      </c>
      <c r="HS36">
        <v>3.4</v>
      </c>
      <c r="HT36">
        <v>1.6</v>
      </c>
      <c r="HU36">
        <v>1</v>
      </c>
      <c r="HV36">
        <v>4.4000000000000004</v>
      </c>
      <c r="HW36">
        <v>2.5</v>
      </c>
      <c r="HX36">
        <v>2.2999999999999998</v>
      </c>
      <c r="HY36">
        <v>4.2</v>
      </c>
      <c r="HZ36">
        <v>4.8</v>
      </c>
      <c r="IA36">
        <v>4</v>
      </c>
      <c r="IB36">
        <v>1.7</v>
      </c>
      <c r="IC36">
        <v>2.6</v>
      </c>
      <c r="ID36">
        <v>4</v>
      </c>
      <c r="IE36">
        <v>4.5999999999999996</v>
      </c>
      <c r="IF36">
        <v>5</v>
      </c>
      <c r="IG36">
        <v>3</v>
      </c>
      <c r="IH36">
        <v>4.3</v>
      </c>
      <c r="II36">
        <v>1.2</v>
      </c>
      <c r="IJ36">
        <v>2.1</v>
      </c>
      <c r="IK36">
        <v>2.5</v>
      </c>
      <c r="IL36">
        <v>4.9000000000000004</v>
      </c>
      <c r="IM36">
        <v>1</v>
      </c>
      <c r="IN36">
        <v>2.2000000000000002</v>
      </c>
      <c r="IO36">
        <v>4.7</v>
      </c>
      <c r="IP36">
        <v>2.2000000000000002</v>
      </c>
      <c r="IQ36">
        <v>1.9</v>
      </c>
      <c r="IR36">
        <v>3.9</v>
      </c>
      <c r="IS36">
        <v>4</v>
      </c>
      <c r="IT36">
        <v>2.9</v>
      </c>
      <c r="IU36">
        <v>4.8</v>
      </c>
      <c r="IV36">
        <v>1.8</v>
      </c>
      <c r="IW36">
        <v>4.7</v>
      </c>
      <c r="IX36">
        <v>4</v>
      </c>
      <c r="IY36">
        <v>2.5</v>
      </c>
      <c r="IZ36">
        <v>4.2</v>
      </c>
      <c r="JA36">
        <v>1.5</v>
      </c>
      <c r="JB36">
        <v>1.5</v>
      </c>
      <c r="JC36">
        <v>4.7</v>
      </c>
      <c r="JD36">
        <v>1.4</v>
      </c>
      <c r="JE36">
        <v>1</v>
      </c>
      <c r="JF36">
        <v>2.6</v>
      </c>
      <c r="JG36">
        <v>1.4</v>
      </c>
      <c r="JH36">
        <v>4.5</v>
      </c>
      <c r="JI36">
        <v>4.7</v>
      </c>
      <c r="JJ36">
        <v>2.9</v>
      </c>
      <c r="JK36">
        <v>2.7</v>
      </c>
      <c r="JL36">
        <v>3.2</v>
      </c>
      <c r="JM36">
        <v>1.9</v>
      </c>
      <c r="JN36">
        <v>2.2000000000000002</v>
      </c>
      <c r="JO36">
        <v>1.4</v>
      </c>
      <c r="JP36">
        <v>2.8</v>
      </c>
      <c r="JQ36">
        <v>3.4</v>
      </c>
      <c r="JR36">
        <v>4.7</v>
      </c>
      <c r="JS36">
        <v>4</v>
      </c>
      <c r="JT36">
        <v>3.9</v>
      </c>
      <c r="JU36">
        <v>2.2000000000000002</v>
      </c>
      <c r="JV36">
        <v>4.5999999999999996</v>
      </c>
      <c r="JW36">
        <v>4.8</v>
      </c>
      <c r="JX36">
        <v>4.7</v>
      </c>
      <c r="JY36">
        <v>1.2</v>
      </c>
      <c r="JZ36">
        <v>3.4</v>
      </c>
      <c r="KA36">
        <v>3.6</v>
      </c>
      <c r="KB36">
        <v>2.2000000000000002</v>
      </c>
      <c r="KC36">
        <v>5</v>
      </c>
      <c r="KD36">
        <v>2.2000000000000002</v>
      </c>
      <c r="KE36">
        <v>1.9</v>
      </c>
      <c r="KF36">
        <v>2.9</v>
      </c>
      <c r="KG36">
        <v>2.2999999999999998</v>
      </c>
      <c r="KH36">
        <v>4.7</v>
      </c>
      <c r="KI36">
        <v>2.8</v>
      </c>
      <c r="KJ36">
        <v>2.6</v>
      </c>
      <c r="KK36">
        <v>3.5</v>
      </c>
      <c r="KL36">
        <v>1.3</v>
      </c>
      <c r="KM36">
        <v>4</v>
      </c>
      <c r="KN36">
        <v>4.0999999999999996</v>
      </c>
      <c r="KO36">
        <v>2.9</v>
      </c>
      <c r="KP36">
        <v>4.8</v>
      </c>
      <c r="KQ36">
        <v>3.3</v>
      </c>
      <c r="KR36">
        <v>3.8</v>
      </c>
      <c r="KS36">
        <v>4.7</v>
      </c>
      <c r="KT36">
        <v>3.7</v>
      </c>
      <c r="KU36">
        <v>2.7</v>
      </c>
      <c r="KV36">
        <v>1.1000000000000001</v>
      </c>
      <c r="KW36">
        <v>3.9</v>
      </c>
      <c r="KX36">
        <v>4.9000000000000004</v>
      </c>
      <c r="KY36">
        <v>2.9</v>
      </c>
      <c r="KZ36">
        <v>2.4</v>
      </c>
      <c r="LA36">
        <v>3.1</v>
      </c>
      <c r="LB36">
        <v>3.9</v>
      </c>
      <c r="LC36">
        <v>1</v>
      </c>
      <c r="LD36">
        <v>4.5</v>
      </c>
      <c r="LE36">
        <v>4.5</v>
      </c>
      <c r="LF36">
        <v>3.2</v>
      </c>
      <c r="LG36">
        <v>1.5</v>
      </c>
      <c r="LH36">
        <v>3.7</v>
      </c>
      <c r="LI36">
        <v>1.6</v>
      </c>
      <c r="LJ36">
        <v>3</v>
      </c>
      <c r="LK36">
        <v>1.4</v>
      </c>
      <c r="LL36">
        <v>3.4</v>
      </c>
      <c r="LM36">
        <v>2.2999999999999998</v>
      </c>
      <c r="LN36">
        <v>4.3</v>
      </c>
      <c r="LO36">
        <v>4.2</v>
      </c>
      <c r="LP36">
        <v>5</v>
      </c>
      <c r="LQ36">
        <v>2</v>
      </c>
      <c r="LR36">
        <v>1.2</v>
      </c>
      <c r="LS36">
        <v>2.8</v>
      </c>
      <c r="LT36">
        <v>1.3</v>
      </c>
      <c r="LU36">
        <v>1.7</v>
      </c>
      <c r="LV36">
        <v>3.4</v>
      </c>
      <c r="LW36">
        <v>3.4</v>
      </c>
      <c r="LX36">
        <v>1.2</v>
      </c>
      <c r="LY36">
        <v>2.8</v>
      </c>
      <c r="LZ36">
        <v>3.1</v>
      </c>
      <c r="MA36">
        <v>2.1</v>
      </c>
      <c r="MB36">
        <v>4.5</v>
      </c>
      <c r="MC36">
        <v>1.6</v>
      </c>
      <c r="MD36">
        <v>2</v>
      </c>
      <c r="ME36">
        <v>1.6</v>
      </c>
      <c r="MF36">
        <v>1.5</v>
      </c>
      <c r="MG36">
        <v>4.5</v>
      </c>
      <c r="MH36">
        <v>2.1</v>
      </c>
      <c r="MI36">
        <v>3.9</v>
      </c>
      <c r="MJ36">
        <v>2.7</v>
      </c>
      <c r="MK36">
        <v>3.5</v>
      </c>
      <c r="ML36">
        <v>4.7</v>
      </c>
      <c r="MM36">
        <v>4.4000000000000004</v>
      </c>
      <c r="MN36">
        <v>1.3</v>
      </c>
      <c r="MO36">
        <v>4.4000000000000004</v>
      </c>
      <c r="MP36">
        <v>2.8</v>
      </c>
      <c r="MQ36">
        <v>2.4</v>
      </c>
      <c r="MR36">
        <v>3.7</v>
      </c>
      <c r="MS36">
        <v>4.8</v>
      </c>
      <c r="MT36">
        <v>1.4</v>
      </c>
      <c r="MU36">
        <v>4.0999999999999996</v>
      </c>
      <c r="MV36">
        <v>1.8</v>
      </c>
      <c r="MW36">
        <v>2.5</v>
      </c>
      <c r="MX36">
        <v>4.5</v>
      </c>
      <c r="MY36">
        <v>3.2</v>
      </c>
      <c r="MZ36">
        <v>1.3</v>
      </c>
      <c r="NA36">
        <v>3</v>
      </c>
      <c r="NB36">
        <v>4.2</v>
      </c>
      <c r="NC36">
        <v>3.1</v>
      </c>
      <c r="ND36">
        <v>1.7</v>
      </c>
      <c r="NE36">
        <v>2.8</v>
      </c>
      <c r="NF36">
        <v>4.7</v>
      </c>
      <c r="NG36">
        <v>3.6</v>
      </c>
      <c r="NH36">
        <v>3.9</v>
      </c>
      <c r="NI36">
        <v>4.0999999999999996</v>
      </c>
      <c r="NJ36">
        <v>1.4</v>
      </c>
      <c r="NK36">
        <v>3.3</v>
      </c>
      <c r="NL36">
        <v>2.5</v>
      </c>
      <c r="NM36">
        <v>1.6</v>
      </c>
      <c r="NN36">
        <v>1.8</v>
      </c>
      <c r="NO36">
        <v>4.0999999999999996</v>
      </c>
      <c r="NP36">
        <v>1.6</v>
      </c>
      <c r="NQ36">
        <v>2.2000000000000002</v>
      </c>
      <c r="NR36">
        <v>2.1</v>
      </c>
      <c r="NS36">
        <v>1.2</v>
      </c>
      <c r="NT36">
        <v>2.8</v>
      </c>
      <c r="NU36">
        <v>4.0999999999999996</v>
      </c>
      <c r="NV36">
        <v>1.1000000000000001</v>
      </c>
      <c r="NW36">
        <v>1.5</v>
      </c>
      <c r="NX36">
        <v>3.9</v>
      </c>
      <c r="NY36">
        <v>3.4</v>
      </c>
      <c r="NZ36">
        <v>3.9</v>
      </c>
      <c r="OA36">
        <v>1.9</v>
      </c>
      <c r="OB36">
        <v>4.2</v>
      </c>
      <c r="OC36">
        <v>2.9</v>
      </c>
      <c r="OD36">
        <v>3.4</v>
      </c>
      <c r="OE36">
        <v>1.4</v>
      </c>
      <c r="OF36">
        <v>1.8</v>
      </c>
      <c r="OG36">
        <v>4.0999999999999996</v>
      </c>
      <c r="OH36">
        <v>1.9</v>
      </c>
      <c r="OI36">
        <v>1.4</v>
      </c>
      <c r="OJ36">
        <v>3.4</v>
      </c>
      <c r="OK36">
        <v>3.2</v>
      </c>
      <c r="OL36">
        <v>3.4</v>
      </c>
      <c r="OM36">
        <v>3.5</v>
      </c>
      <c r="ON36">
        <v>3</v>
      </c>
      <c r="OO36">
        <v>3</v>
      </c>
      <c r="OP36">
        <v>4.7</v>
      </c>
      <c r="OQ36">
        <v>3.1</v>
      </c>
      <c r="OR36">
        <v>3.5</v>
      </c>
      <c r="OS36">
        <v>2.1</v>
      </c>
      <c r="OT36">
        <v>4.5</v>
      </c>
      <c r="OU36">
        <v>1.1000000000000001</v>
      </c>
      <c r="OV36">
        <v>3.2</v>
      </c>
      <c r="OW36">
        <v>2.5</v>
      </c>
      <c r="OX36">
        <v>3.4</v>
      </c>
      <c r="OY36">
        <v>2.4</v>
      </c>
      <c r="OZ36">
        <v>3.9</v>
      </c>
      <c r="PA36">
        <v>1.1000000000000001</v>
      </c>
      <c r="PB36">
        <v>2.6</v>
      </c>
      <c r="PC36">
        <v>4.3</v>
      </c>
      <c r="PD36">
        <v>2</v>
      </c>
      <c r="PE36">
        <v>1.2</v>
      </c>
      <c r="PF36">
        <v>3</v>
      </c>
      <c r="PG36">
        <v>4.9000000000000004</v>
      </c>
      <c r="PH36">
        <v>1.3</v>
      </c>
      <c r="PI36">
        <v>1.3</v>
      </c>
      <c r="PJ36">
        <v>3.4</v>
      </c>
      <c r="PK36">
        <v>2</v>
      </c>
      <c r="PL36">
        <v>2.6</v>
      </c>
      <c r="PM36">
        <v>4.3</v>
      </c>
      <c r="PN36">
        <v>1.8</v>
      </c>
      <c r="PO36">
        <v>3.9</v>
      </c>
      <c r="PP36">
        <v>3</v>
      </c>
      <c r="PQ36">
        <v>4.5999999999999996</v>
      </c>
      <c r="PR36">
        <v>4.9000000000000004</v>
      </c>
      <c r="PS36">
        <v>2.9</v>
      </c>
      <c r="PT36">
        <v>3.3</v>
      </c>
      <c r="PU36">
        <v>4</v>
      </c>
      <c r="PV36">
        <v>2.2999999999999998</v>
      </c>
      <c r="PW36">
        <v>1.9</v>
      </c>
      <c r="PX36">
        <v>4.9000000000000004</v>
      </c>
      <c r="PY36">
        <v>2.7</v>
      </c>
      <c r="PZ36">
        <v>1</v>
      </c>
      <c r="QA36">
        <v>4.4000000000000004</v>
      </c>
      <c r="QB36">
        <v>3.4</v>
      </c>
      <c r="QC36">
        <v>1.7</v>
      </c>
      <c r="QD36">
        <v>1.1000000000000001</v>
      </c>
      <c r="QE36">
        <v>2.2000000000000002</v>
      </c>
      <c r="QF36">
        <v>4.7</v>
      </c>
      <c r="QG36">
        <v>4.7</v>
      </c>
      <c r="QH36">
        <v>2.2000000000000002</v>
      </c>
      <c r="QI36">
        <v>4.3</v>
      </c>
      <c r="QJ36">
        <v>2.8</v>
      </c>
      <c r="QK36">
        <v>3.6</v>
      </c>
      <c r="QL36">
        <v>2.2999999999999998</v>
      </c>
      <c r="QM36">
        <v>3.1</v>
      </c>
      <c r="QN36">
        <v>2.2000000000000002</v>
      </c>
      <c r="QO36">
        <v>1.2</v>
      </c>
      <c r="QP36">
        <v>1.6</v>
      </c>
      <c r="QQ36">
        <v>2.2000000000000002</v>
      </c>
      <c r="QR36">
        <v>4.9000000000000004</v>
      </c>
      <c r="QS36">
        <v>4.9000000000000004</v>
      </c>
      <c r="QT36">
        <v>4.3</v>
      </c>
      <c r="QU36">
        <v>1.9</v>
      </c>
      <c r="QV36">
        <v>2.8</v>
      </c>
      <c r="QW36">
        <v>2.8</v>
      </c>
      <c r="QX36">
        <v>2.5</v>
      </c>
      <c r="QY36">
        <v>1.2</v>
      </c>
      <c r="QZ36">
        <v>3.1</v>
      </c>
      <c r="RA36">
        <v>1.3</v>
      </c>
      <c r="RB36">
        <v>4.2</v>
      </c>
      <c r="RC36">
        <v>3.8</v>
      </c>
      <c r="RD36">
        <v>2.4</v>
      </c>
      <c r="RE36">
        <v>3.6</v>
      </c>
      <c r="RF36">
        <v>1.9</v>
      </c>
      <c r="RG36">
        <v>2.1</v>
      </c>
      <c r="RH36">
        <v>2.2999999999999998</v>
      </c>
      <c r="RI36">
        <v>4.2</v>
      </c>
      <c r="RJ36">
        <v>1.8</v>
      </c>
      <c r="RK36">
        <v>3.3</v>
      </c>
      <c r="RL36">
        <v>1.8</v>
      </c>
      <c r="RM36">
        <v>2.1</v>
      </c>
      <c r="RN36">
        <v>1.9</v>
      </c>
      <c r="RO36">
        <v>3.6</v>
      </c>
      <c r="RP36">
        <v>3.1</v>
      </c>
      <c r="RQ36">
        <v>3.9</v>
      </c>
      <c r="RR36">
        <v>1.9</v>
      </c>
      <c r="RS36">
        <v>1</v>
      </c>
      <c r="RT36">
        <v>3.7</v>
      </c>
      <c r="RU36">
        <v>1.5</v>
      </c>
      <c r="RV36">
        <v>2</v>
      </c>
      <c r="RW36">
        <v>2.2000000000000002</v>
      </c>
      <c r="RX36">
        <v>4</v>
      </c>
      <c r="RY36">
        <v>3.5</v>
      </c>
      <c r="RZ36">
        <v>1.7</v>
      </c>
      <c r="SA36">
        <v>3.4</v>
      </c>
      <c r="SB36">
        <v>3.8</v>
      </c>
      <c r="SC36">
        <v>2.6</v>
      </c>
      <c r="SD36">
        <v>2</v>
      </c>
      <c r="SE36">
        <v>3.7</v>
      </c>
      <c r="SF36">
        <v>3.4</v>
      </c>
      <c r="SG36">
        <v>1.3</v>
      </c>
      <c r="SH36">
        <v>3.7</v>
      </c>
      <c r="SI36">
        <v>3</v>
      </c>
      <c r="SJ36">
        <v>4</v>
      </c>
      <c r="SK36">
        <v>1.8</v>
      </c>
      <c r="SL36">
        <v>2</v>
      </c>
      <c r="SM36">
        <v>3.2</v>
      </c>
      <c r="SN36">
        <v>2.9</v>
      </c>
      <c r="SO36">
        <v>2.5</v>
      </c>
      <c r="SP36">
        <v>4</v>
      </c>
      <c r="SQ36">
        <v>3.3</v>
      </c>
      <c r="SR36">
        <v>3.8</v>
      </c>
      <c r="SS36">
        <v>1.6</v>
      </c>
      <c r="ST36">
        <v>3.9</v>
      </c>
      <c r="SU36">
        <v>2.8</v>
      </c>
      <c r="SV36">
        <v>1.1000000000000001</v>
      </c>
      <c r="SW36">
        <v>1.9</v>
      </c>
      <c r="SX36">
        <v>1.1000000000000001</v>
      </c>
      <c r="SY36">
        <v>2.8</v>
      </c>
      <c r="SZ36">
        <v>2.2999999999999998</v>
      </c>
      <c r="TA36">
        <v>4.9000000000000004</v>
      </c>
      <c r="TB36">
        <v>4.5</v>
      </c>
      <c r="TC36">
        <v>4.3</v>
      </c>
      <c r="TD36">
        <v>3</v>
      </c>
      <c r="TE36">
        <v>4.2</v>
      </c>
      <c r="TF36">
        <v>2.1</v>
      </c>
      <c r="TG36">
        <v>3.2</v>
      </c>
      <c r="TH36">
        <v>2.6</v>
      </c>
      <c r="TI36">
        <v>1.7</v>
      </c>
      <c r="TJ36">
        <v>1.3</v>
      </c>
      <c r="TK36">
        <v>3.2</v>
      </c>
      <c r="TL36">
        <v>1.4</v>
      </c>
      <c r="TM36">
        <v>3.9</v>
      </c>
      <c r="TN36">
        <v>4.7</v>
      </c>
      <c r="TO36">
        <v>1.6</v>
      </c>
      <c r="TP36">
        <v>2.9</v>
      </c>
      <c r="TQ36">
        <v>4</v>
      </c>
      <c r="TR36">
        <v>2.1</v>
      </c>
      <c r="TS36">
        <v>4.7</v>
      </c>
      <c r="TT36">
        <v>4.5999999999999996</v>
      </c>
      <c r="TU36">
        <v>1.4</v>
      </c>
      <c r="TV36">
        <v>1.1000000000000001</v>
      </c>
      <c r="TW36">
        <v>4.9000000000000004</v>
      </c>
      <c r="TX36">
        <v>4.8</v>
      </c>
      <c r="TY36">
        <v>2.7</v>
      </c>
      <c r="TZ36">
        <v>1.2</v>
      </c>
      <c r="UA36">
        <v>3.5</v>
      </c>
      <c r="UB36">
        <v>2.2000000000000002</v>
      </c>
      <c r="UC36">
        <v>4.7</v>
      </c>
      <c r="UD36">
        <v>4.2</v>
      </c>
      <c r="UE36">
        <v>3.6</v>
      </c>
      <c r="UF36">
        <v>2.1</v>
      </c>
      <c r="UG36">
        <v>3.8</v>
      </c>
      <c r="UH36">
        <v>2.2000000000000002</v>
      </c>
      <c r="UI36">
        <v>1.2</v>
      </c>
      <c r="UJ36">
        <v>3</v>
      </c>
      <c r="UK36">
        <v>3</v>
      </c>
      <c r="UL36">
        <v>4.0999999999999996</v>
      </c>
      <c r="UM36">
        <v>4.5</v>
      </c>
      <c r="UN36">
        <v>2.4</v>
      </c>
      <c r="UO36">
        <v>2.8</v>
      </c>
      <c r="UP36">
        <v>2.9</v>
      </c>
      <c r="UQ36">
        <v>2.2999999999999998</v>
      </c>
      <c r="UR36">
        <v>4</v>
      </c>
      <c r="US36">
        <v>3.1</v>
      </c>
      <c r="UT36">
        <v>4.7</v>
      </c>
      <c r="UU36">
        <v>3.6</v>
      </c>
      <c r="UV36">
        <v>1.8</v>
      </c>
      <c r="UW36">
        <v>1.7</v>
      </c>
      <c r="UX36">
        <v>2.5</v>
      </c>
      <c r="UY36">
        <v>2.4</v>
      </c>
      <c r="UZ36">
        <v>2.6</v>
      </c>
      <c r="VA36">
        <v>1.7</v>
      </c>
      <c r="VB36">
        <v>4.9000000000000004</v>
      </c>
      <c r="VC36">
        <v>1.6</v>
      </c>
      <c r="VD36">
        <v>3.6</v>
      </c>
      <c r="VE36">
        <v>1.1000000000000001</v>
      </c>
      <c r="VF36">
        <v>2.6</v>
      </c>
      <c r="VG36">
        <v>2.2000000000000002</v>
      </c>
      <c r="VH36">
        <v>2.5</v>
      </c>
      <c r="VI36">
        <v>3</v>
      </c>
      <c r="VJ36">
        <v>3.4</v>
      </c>
      <c r="VK36">
        <v>3.3</v>
      </c>
      <c r="VL36">
        <v>3.5</v>
      </c>
      <c r="VM36">
        <v>4.4000000000000004</v>
      </c>
      <c r="VN36">
        <v>4.5</v>
      </c>
      <c r="VO36">
        <v>3.9</v>
      </c>
      <c r="VP36">
        <v>1.3</v>
      </c>
      <c r="VQ36">
        <v>4.8</v>
      </c>
      <c r="VR36">
        <v>4.8</v>
      </c>
      <c r="VS36">
        <v>3.8</v>
      </c>
      <c r="VT36">
        <v>3.1</v>
      </c>
      <c r="VU36">
        <v>2</v>
      </c>
      <c r="VV36">
        <v>4</v>
      </c>
      <c r="VW36">
        <v>4.5</v>
      </c>
      <c r="VX36">
        <v>3.7</v>
      </c>
      <c r="VY36">
        <v>3.5</v>
      </c>
      <c r="VZ36">
        <v>1.8</v>
      </c>
      <c r="WA36">
        <v>2.4</v>
      </c>
      <c r="WB36">
        <v>3.9</v>
      </c>
      <c r="WC36">
        <v>1.1000000000000001</v>
      </c>
      <c r="WD36">
        <v>3.6</v>
      </c>
      <c r="WE36">
        <v>4.0999999999999996</v>
      </c>
      <c r="WF36">
        <v>2.2999999999999998</v>
      </c>
      <c r="WG36">
        <v>1.3</v>
      </c>
      <c r="WH36">
        <v>4.3</v>
      </c>
      <c r="WI36">
        <v>1.6</v>
      </c>
      <c r="WJ36">
        <v>2.5</v>
      </c>
      <c r="WK36">
        <v>3.8</v>
      </c>
      <c r="WL36">
        <v>4.3</v>
      </c>
      <c r="WM36">
        <v>4.4000000000000004</v>
      </c>
      <c r="WN36">
        <v>3.1</v>
      </c>
      <c r="WO36">
        <v>2.9</v>
      </c>
      <c r="WP36">
        <v>4.4000000000000004</v>
      </c>
      <c r="WQ36">
        <v>3.3</v>
      </c>
      <c r="WR36">
        <v>3.3</v>
      </c>
      <c r="WS36">
        <v>2.7</v>
      </c>
      <c r="WT36">
        <v>2.5</v>
      </c>
      <c r="WU36">
        <v>2.9</v>
      </c>
      <c r="WV36">
        <v>2.5</v>
      </c>
      <c r="WW36">
        <v>2.4</v>
      </c>
      <c r="WX36">
        <v>5</v>
      </c>
      <c r="WY36">
        <v>2.2999999999999998</v>
      </c>
      <c r="WZ36">
        <v>2</v>
      </c>
      <c r="XA36">
        <v>2.4</v>
      </c>
      <c r="XB36">
        <v>3.4</v>
      </c>
      <c r="XC36">
        <v>4.5999999999999996</v>
      </c>
      <c r="XD36">
        <v>4.2</v>
      </c>
      <c r="XE36">
        <v>4.4000000000000004</v>
      </c>
      <c r="XF36">
        <v>4.4000000000000004</v>
      </c>
      <c r="XG36">
        <v>4.7</v>
      </c>
      <c r="XH36">
        <v>1.9</v>
      </c>
      <c r="XI36">
        <v>2.8</v>
      </c>
      <c r="XJ36">
        <v>2.5</v>
      </c>
      <c r="XK36">
        <v>2.5</v>
      </c>
      <c r="XL36">
        <v>3.6</v>
      </c>
      <c r="XM36">
        <v>2.6</v>
      </c>
      <c r="XN36">
        <v>3.5</v>
      </c>
      <c r="XO36">
        <v>2.5</v>
      </c>
      <c r="XP36">
        <v>2.2000000000000002</v>
      </c>
      <c r="XQ36">
        <v>2.4</v>
      </c>
      <c r="XR36">
        <v>4.2</v>
      </c>
      <c r="XS36">
        <v>3.4</v>
      </c>
      <c r="XT36">
        <v>4.9000000000000004</v>
      </c>
      <c r="XU36">
        <v>4.3</v>
      </c>
      <c r="XV36">
        <v>2.9</v>
      </c>
      <c r="XW36">
        <v>2</v>
      </c>
      <c r="XX36">
        <v>3.7</v>
      </c>
      <c r="XY36">
        <v>3.9</v>
      </c>
      <c r="XZ36">
        <v>2.9</v>
      </c>
      <c r="YA36">
        <v>1.9</v>
      </c>
      <c r="YB36">
        <v>3.2</v>
      </c>
      <c r="YC36">
        <v>2</v>
      </c>
      <c r="YD36">
        <v>4.8</v>
      </c>
      <c r="YE36">
        <v>3.5</v>
      </c>
      <c r="YF36">
        <v>2.2000000000000002</v>
      </c>
      <c r="YG36">
        <v>1.9</v>
      </c>
      <c r="YH36">
        <v>3.9</v>
      </c>
      <c r="YI36">
        <v>3.8</v>
      </c>
      <c r="YJ36">
        <v>3.4</v>
      </c>
      <c r="YK36">
        <v>3.5</v>
      </c>
      <c r="YL36">
        <v>3.4</v>
      </c>
      <c r="YM36">
        <v>2.4</v>
      </c>
      <c r="YN36">
        <v>4.7</v>
      </c>
      <c r="YO36">
        <v>2.9</v>
      </c>
      <c r="YP36">
        <v>1.1000000000000001</v>
      </c>
      <c r="YQ36">
        <v>2.4</v>
      </c>
      <c r="YR36">
        <v>1.5</v>
      </c>
      <c r="YS36">
        <v>2.5</v>
      </c>
      <c r="YT36">
        <v>3.4</v>
      </c>
      <c r="YU36">
        <v>1.1000000000000001</v>
      </c>
      <c r="YV36">
        <v>4.5</v>
      </c>
      <c r="YW36">
        <v>3.4</v>
      </c>
      <c r="YX36">
        <v>2.2000000000000002</v>
      </c>
      <c r="YY36">
        <v>2.2000000000000002</v>
      </c>
      <c r="YZ36">
        <v>2.9</v>
      </c>
      <c r="ZA36">
        <v>2</v>
      </c>
      <c r="ZB36">
        <v>1</v>
      </c>
      <c r="ZC36">
        <v>1.1000000000000001</v>
      </c>
      <c r="ZD36">
        <v>2.4</v>
      </c>
      <c r="ZE36">
        <v>1.5</v>
      </c>
      <c r="ZF36">
        <v>1.1000000000000001</v>
      </c>
      <c r="ZG36">
        <v>4.4000000000000004</v>
      </c>
      <c r="ZH36">
        <v>2.1</v>
      </c>
      <c r="ZI36">
        <v>3</v>
      </c>
      <c r="ZJ36">
        <v>1.7</v>
      </c>
      <c r="ZK36">
        <v>1.2</v>
      </c>
      <c r="ZL36">
        <v>4</v>
      </c>
      <c r="ZM36">
        <v>1.5</v>
      </c>
      <c r="ZN36">
        <v>1.1000000000000001</v>
      </c>
      <c r="ZO36">
        <v>3.3</v>
      </c>
      <c r="ZP36">
        <v>1.1000000000000001</v>
      </c>
      <c r="ZQ36">
        <v>2.7</v>
      </c>
      <c r="ZR36">
        <v>2.2000000000000002</v>
      </c>
      <c r="ZS36">
        <v>2.2999999999999998</v>
      </c>
      <c r="ZT36">
        <v>1</v>
      </c>
      <c r="ZU36">
        <v>4.9000000000000004</v>
      </c>
      <c r="ZV36">
        <v>3.1</v>
      </c>
      <c r="ZW36">
        <v>3.3</v>
      </c>
      <c r="ZX36">
        <v>3.7</v>
      </c>
      <c r="ZY36">
        <v>4.2</v>
      </c>
      <c r="ZZ36">
        <v>3.4</v>
      </c>
      <c r="AAA36">
        <v>4</v>
      </c>
      <c r="AAB36">
        <v>2.8</v>
      </c>
      <c r="AAC36">
        <v>2.5</v>
      </c>
      <c r="AAD36">
        <v>4.3</v>
      </c>
      <c r="AAE36">
        <v>4.5</v>
      </c>
      <c r="AAF36">
        <v>1.6</v>
      </c>
      <c r="AAG36">
        <v>3.2</v>
      </c>
      <c r="AAH36">
        <v>3.7</v>
      </c>
      <c r="AAI36">
        <v>1.3</v>
      </c>
      <c r="AAJ36">
        <v>4.7</v>
      </c>
      <c r="AAK36">
        <v>3.1</v>
      </c>
      <c r="AAL36">
        <v>3.6</v>
      </c>
      <c r="AAM36">
        <v>1.7</v>
      </c>
      <c r="AAN36">
        <v>2.1</v>
      </c>
      <c r="AAO36">
        <v>1.5</v>
      </c>
      <c r="AAP36">
        <v>2.1</v>
      </c>
      <c r="AAQ36">
        <v>3</v>
      </c>
      <c r="AAR36">
        <v>4.3</v>
      </c>
      <c r="AAS36">
        <v>3.1</v>
      </c>
      <c r="AAT36">
        <v>2</v>
      </c>
      <c r="AAU36">
        <v>1.2</v>
      </c>
      <c r="AAV36">
        <v>3.5</v>
      </c>
      <c r="AAW36">
        <v>2.7</v>
      </c>
      <c r="AAX36">
        <v>4.9000000000000004</v>
      </c>
      <c r="AAY36">
        <v>4.0999999999999996</v>
      </c>
      <c r="AAZ36">
        <v>4.2</v>
      </c>
      <c r="ABA36">
        <v>1</v>
      </c>
      <c r="ABB36">
        <v>4.0999999999999996</v>
      </c>
      <c r="ABC36">
        <v>1.8</v>
      </c>
      <c r="ABD36">
        <v>3.3</v>
      </c>
      <c r="ABE36">
        <v>2.8</v>
      </c>
      <c r="ABF36">
        <v>3.3</v>
      </c>
      <c r="ABG36">
        <v>1.5</v>
      </c>
      <c r="ABH36">
        <v>2.8</v>
      </c>
      <c r="ABI36">
        <v>1.1000000000000001</v>
      </c>
      <c r="ABJ36">
        <v>1.2</v>
      </c>
      <c r="ABK36">
        <v>3.6</v>
      </c>
      <c r="ABL36">
        <v>4.8</v>
      </c>
      <c r="ABM36">
        <v>4.0999999999999996</v>
      </c>
      <c r="ABN36">
        <v>2.9</v>
      </c>
      <c r="ABO36">
        <v>1.2</v>
      </c>
      <c r="ABP36">
        <v>1.2</v>
      </c>
      <c r="ABQ36">
        <v>1.6</v>
      </c>
      <c r="ABR36">
        <v>4.9000000000000004</v>
      </c>
      <c r="ABS36">
        <v>2.6</v>
      </c>
      <c r="ABT36">
        <v>4.4000000000000004</v>
      </c>
      <c r="ABU36">
        <v>3.8</v>
      </c>
      <c r="ABV36">
        <v>3.4</v>
      </c>
      <c r="ABW36">
        <v>4.8</v>
      </c>
      <c r="ABX36">
        <v>1.9</v>
      </c>
      <c r="ABY36">
        <v>2.8</v>
      </c>
      <c r="ABZ36">
        <v>4.5</v>
      </c>
      <c r="ACA36">
        <v>3.2</v>
      </c>
      <c r="ACB36">
        <v>2</v>
      </c>
      <c r="ACC36">
        <v>1.8</v>
      </c>
      <c r="ACD36">
        <v>4</v>
      </c>
      <c r="ACE36">
        <v>1.1000000000000001</v>
      </c>
      <c r="ACF36">
        <v>4.7</v>
      </c>
      <c r="ACG36">
        <v>1.1000000000000001</v>
      </c>
      <c r="ACH36">
        <v>3.5</v>
      </c>
      <c r="ACI36">
        <v>3.4</v>
      </c>
      <c r="ACJ36">
        <v>3.3</v>
      </c>
      <c r="ACK36">
        <v>2.9</v>
      </c>
      <c r="ACL36">
        <v>4.4000000000000004</v>
      </c>
      <c r="ACM36">
        <v>3.6</v>
      </c>
      <c r="ACN36">
        <v>4.0999999999999996</v>
      </c>
      <c r="ACO36">
        <v>1.5</v>
      </c>
      <c r="ACP36">
        <v>1.2</v>
      </c>
      <c r="ACQ36">
        <v>1.1000000000000001</v>
      </c>
      <c r="ACR36">
        <v>1.6</v>
      </c>
      <c r="ACS36">
        <v>3.7</v>
      </c>
      <c r="ACT36">
        <v>3</v>
      </c>
      <c r="ACU36">
        <v>4</v>
      </c>
      <c r="ACV36">
        <v>1.8</v>
      </c>
      <c r="ACW36">
        <v>2.5</v>
      </c>
      <c r="ACX36">
        <v>4.5999999999999996</v>
      </c>
      <c r="ACY36">
        <v>4.7</v>
      </c>
      <c r="ACZ36">
        <v>4.7</v>
      </c>
      <c r="ADA36">
        <v>4.3</v>
      </c>
      <c r="ADB36">
        <v>3.8</v>
      </c>
      <c r="ADC36">
        <v>4.7</v>
      </c>
      <c r="ADD36">
        <v>3.9</v>
      </c>
      <c r="ADE36">
        <v>4.8</v>
      </c>
      <c r="ADF36">
        <v>1.1000000000000001</v>
      </c>
      <c r="ADG36">
        <v>4.7</v>
      </c>
      <c r="ADH36">
        <v>3.2</v>
      </c>
      <c r="ADI36">
        <v>1.4</v>
      </c>
      <c r="ADJ36">
        <v>1.9</v>
      </c>
      <c r="ADK36">
        <v>4.4000000000000004</v>
      </c>
      <c r="ADL36">
        <v>3</v>
      </c>
      <c r="ADM36">
        <v>4.9000000000000004</v>
      </c>
      <c r="ADN36">
        <v>1.5</v>
      </c>
      <c r="ADO36">
        <v>2.7</v>
      </c>
      <c r="ADP36">
        <v>2.2999999999999998</v>
      </c>
      <c r="ADQ36">
        <v>3.1</v>
      </c>
      <c r="ADR36">
        <v>3.5</v>
      </c>
      <c r="ADS36">
        <v>3.6</v>
      </c>
      <c r="ADT36">
        <v>1</v>
      </c>
      <c r="ADU36">
        <v>1.4</v>
      </c>
      <c r="ADV36">
        <v>1.1000000000000001</v>
      </c>
      <c r="ADW36">
        <v>4.5</v>
      </c>
      <c r="ADX36">
        <v>2.2999999999999998</v>
      </c>
      <c r="ADY36">
        <v>2.5</v>
      </c>
      <c r="ADZ36">
        <v>2.8</v>
      </c>
      <c r="AEA36">
        <v>4.4000000000000004</v>
      </c>
      <c r="AEB36">
        <v>1.1000000000000001</v>
      </c>
      <c r="AEC36">
        <v>1.5</v>
      </c>
      <c r="AED36">
        <v>3.7</v>
      </c>
      <c r="AEE36">
        <v>4.9000000000000004</v>
      </c>
      <c r="AEF36">
        <v>3.6</v>
      </c>
      <c r="AEG36">
        <v>2</v>
      </c>
      <c r="AEH36">
        <v>3.1</v>
      </c>
      <c r="AEI36">
        <v>4.9000000000000004</v>
      </c>
      <c r="AEJ36">
        <v>3.1</v>
      </c>
      <c r="AEK36">
        <v>2.5</v>
      </c>
      <c r="AEL36">
        <v>2.5</v>
      </c>
      <c r="AEM36">
        <v>4.9000000000000004</v>
      </c>
      <c r="AEN36">
        <v>3.9</v>
      </c>
      <c r="AEO36">
        <v>3.7</v>
      </c>
      <c r="AEP36">
        <v>1.9</v>
      </c>
      <c r="AEQ36">
        <v>3.2</v>
      </c>
      <c r="AER36">
        <v>2.4</v>
      </c>
      <c r="AES36">
        <v>2</v>
      </c>
      <c r="AET36">
        <v>4.5999999999999996</v>
      </c>
      <c r="AEU36">
        <v>2.5</v>
      </c>
      <c r="AEV36">
        <v>2.1</v>
      </c>
      <c r="AEW36">
        <v>4.7</v>
      </c>
      <c r="AEX36">
        <v>1.8</v>
      </c>
      <c r="AEY36">
        <v>4</v>
      </c>
      <c r="AEZ36">
        <v>3.6</v>
      </c>
      <c r="AFA36">
        <v>4.7</v>
      </c>
      <c r="AFB36">
        <v>4.3</v>
      </c>
      <c r="AFC36">
        <v>3.8</v>
      </c>
      <c r="AFD36">
        <v>2.2999999999999998</v>
      </c>
      <c r="AFE36">
        <v>3</v>
      </c>
      <c r="AFF36">
        <v>4.8</v>
      </c>
      <c r="AFG36">
        <v>1.1000000000000001</v>
      </c>
      <c r="AFH36">
        <v>4.2</v>
      </c>
      <c r="AFI36">
        <v>2</v>
      </c>
      <c r="AFJ36">
        <v>1.7</v>
      </c>
      <c r="AFK36">
        <v>1.9</v>
      </c>
      <c r="AFL36">
        <v>1.2</v>
      </c>
      <c r="AFM36">
        <v>5</v>
      </c>
      <c r="AFN36">
        <v>4.5</v>
      </c>
      <c r="AFO36">
        <v>3.1</v>
      </c>
      <c r="AFP36">
        <v>3.9</v>
      </c>
      <c r="AFQ36">
        <v>3.2</v>
      </c>
      <c r="AFR36">
        <v>4.2</v>
      </c>
      <c r="AFS36">
        <v>4.4000000000000004</v>
      </c>
      <c r="AFT36">
        <v>1.9</v>
      </c>
      <c r="AFU36">
        <v>2.8</v>
      </c>
      <c r="AFV36">
        <v>3.5</v>
      </c>
      <c r="AFW36">
        <v>4.9000000000000004</v>
      </c>
      <c r="AFX36">
        <v>3.7</v>
      </c>
      <c r="AFY36">
        <v>4.5999999999999996</v>
      </c>
      <c r="AFZ36">
        <v>4.4000000000000004</v>
      </c>
      <c r="AGA36">
        <v>3.3</v>
      </c>
      <c r="AGB36">
        <v>4.5999999999999996</v>
      </c>
      <c r="AGC36">
        <v>2.5</v>
      </c>
      <c r="AGD36">
        <v>2.5</v>
      </c>
      <c r="AGE36">
        <v>4.0999999999999996</v>
      </c>
      <c r="AGF36">
        <v>1.5</v>
      </c>
      <c r="AGG36">
        <v>2.2000000000000002</v>
      </c>
      <c r="AGH36">
        <v>3.4</v>
      </c>
      <c r="AGI36">
        <v>2.7</v>
      </c>
      <c r="AGJ36">
        <v>4.8</v>
      </c>
      <c r="AGK36">
        <v>4.8</v>
      </c>
      <c r="AGL36">
        <v>3</v>
      </c>
      <c r="AGM36">
        <v>3.2</v>
      </c>
      <c r="AGN36">
        <v>3.9</v>
      </c>
      <c r="AGO36">
        <v>2.8</v>
      </c>
      <c r="AGP36">
        <v>1.8</v>
      </c>
      <c r="AGQ36">
        <v>4</v>
      </c>
      <c r="AGR36">
        <v>4</v>
      </c>
      <c r="AGS36">
        <v>2</v>
      </c>
    </row>
    <row r="40" spans="1:878" x14ac:dyDescent="0.25">
      <c r="D40" s="7">
        <f>HLOOKUP(10333,A1:AGS36,9,FALSE)</f>
        <v>42966</v>
      </c>
      <c r="F40" s="9">
        <f ca="1">HLOOKUP(10202,A1:AGS21,16,FALSE)</f>
        <v>5151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5"/>
  <sheetViews>
    <sheetView zoomScale="120" zoomScaleNormal="120" workbookViewId="0">
      <selection activeCell="E7" sqref="E7"/>
    </sheetView>
  </sheetViews>
  <sheetFormatPr defaultRowHeight="15" x14ac:dyDescent="0.25"/>
  <cols>
    <col min="1" max="1" width="10" bestFit="1" customWidth="1"/>
    <col min="2" max="2" width="9.7109375" bestFit="1" customWidth="1"/>
    <col min="3" max="3" width="19.140625" bestFit="1" customWidth="1"/>
    <col min="4" max="4" width="14.85546875" bestFit="1" customWidth="1"/>
    <col min="5" max="5" width="7" bestFit="1" customWidth="1"/>
    <col min="7" max="7" width="12.140625" bestFit="1" customWidth="1"/>
  </cols>
  <sheetData>
    <row r="1" spans="1:18" x14ac:dyDescent="0.25">
      <c r="A1" s="1" t="s">
        <v>1</v>
      </c>
      <c r="B1" s="1" t="s">
        <v>2</v>
      </c>
      <c r="C1" s="1" t="s">
        <v>75</v>
      </c>
      <c r="D1" s="1" t="s">
        <v>3</v>
      </c>
      <c r="E1" s="1" t="s">
        <v>4</v>
      </c>
      <c r="G1" s="4" t="s">
        <v>67</v>
      </c>
      <c r="I1" s="5" t="s">
        <v>68</v>
      </c>
      <c r="J1" t="s">
        <v>69</v>
      </c>
      <c r="K1" s="5" t="s">
        <v>70</v>
      </c>
      <c r="L1" t="s">
        <v>71</v>
      </c>
      <c r="M1" s="5" t="s">
        <v>70</v>
      </c>
      <c r="N1" t="s">
        <v>72</v>
      </c>
      <c r="O1" s="5"/>
      <c r="P1" t="s">
        <v>73</v>
      </c>
      <c r="R1" t="s">
        <v>74</v>
      </c>
    </row>
    <row r="2" spans="1:18" x14ac:dyDescent="0.25">
      <c r="A2" t="s">
        <v>21</v>
      </c>
      <c r="B2" t="s">
        <v>22</v>
      </c>
      <c r="C2" t="str">
        <f>CONCATENATE(A2, " ", B2)</f>
        <v>Michael Williams</v>
      </c>
      <c r="D2" t="s">
        <v>23</v>
      </c>
      <c r="E2">
        <v>74291</v>
      </c>
      <c r="G2" t="str">
        <f>UPPER(A2)</f>
        <v>MICHAEL</v>
      </c>
      <c r="H2" t="str">
        <f>UPPER(B2)</f>
        <v>WILLIAMS</v>
      </c>
      <c r="I2" t="str">
        <f>LOWER(A2)</f>
        <v>michael</v>
      </c>
      <c r="J2" t="str">
        <f>PROPER(A2)</f>
        <v>Michael</v>
      </c>
      <c r="K2">
        <f>LEN(A2)</f>
        <v>7</v>
      </c>
      <c r="L2" t="str">
        <f>TRIM(A2)</f>
        <v>Michael</v>
      </c>
      <c r="M2">
        <f>LEN(L2)</f>
        <v>7</v>
      </c>
      <c r="N2" t="str">
        <f>LEFT(A2, 3)</f>
        <v>Mic</v>
      </c>
      <c r="O2" t="str">
        <f>LEFT(L2, 3)</f>
        <v>Mic</v>
      </c>
      <c r="P2" t="str">
        <f>RIGHT(A2, 3)</f>
        <v>ael</v>
      </c>
      <c r="Q2" t="str">
        <f>RIGHT(L2,3)</f>
        <v>ael</v>
      </c>
      <c r="R2" t="str">
        <f>MID(B2, 3, 3)</f>
        <v>lli</v>
      </c>
    </row>
    <row r="3" spans="1:18" x14ac:dyDescent="0.25">
      <c r="A3" t="s">
        <v>31</v>
      </c>
      <c r="B3" t="s">
        <v>32</v>
      </c>
      <c r="C3" t="str">
        <f t="shared" ref="C3:C6" si="0">CONCATENATE(A3, " ", B3)</f>
        <v>Emily Wilson</v>
      </c>
      <c r="D3" t="s">
        <v>33</v>
      </c>
      <c r="E3">
        <v>93350</v>
      </c>
      <c r="G3" t="str">
        <f t="shared" ref="G3:G6" si="1">UPPER(A3)</f>
        <v>EMILY</v>
      </c>
      <c r="H3" t="str">
        <f t="shared" ref="H3:H6" si="2">UPPER(B3)</f>
        <v>WILSON</v>
      </c>
      <c r="I3" t="str">
        <f t="shared" ref="I3:I6" si="3">LOWER(A3)</f>
        <v>emily</v>
      </c>
      <c r="J3" t="str">
        <f t="shared" ref="J3:J6" si="4">PROPER(A3)</f>
        <v>Emily</v>
      </c>
      <c r="K3">
        <f t="shared" ref="K3:K6" si="5">LEN(A3)</f>
        <v>5</v>
      </c>
      <c r="L3" t="str">
        <f t="shared" ref="L3:L6" si="6">TRIM(A3)</f>
        <v>Emily</v>
      </c>
      <c r="M3">
        <f t="shared" ref="M3:M6" si="7">LEN(L3)</f>
        <v>5</v>
      </c>
      <c r="N3" t="str">
        <f t="shared" ref="N3:N6" si="8">LEFT(A3, 3)</f>
        <v>Emi</v>
      </c>
      <c r="O3" t="str">
        <f t="shared" ref="O3:O6" si="9">LEFT(L3, 3)</f>
        <v>Emi</v>
      </c>
      <c r="P3" t="str">
        <f t="shared" ref="P3:P6" si="10">RIGHT(A3, 3)</f>
        <v>ily</v>
      </c>
      <c r="Q3" t="str">
        <f t="shared" ref="Q3:Q6" si="11">RIGHT(L3,3)</f>
        <v>ily</v>
      </c>
    </row>
    <row r="4" spans="1:18" x14ac:dyDescent="0.25">
      <c r="A4" t="s">
        <v>38</v>
      </c>
      <c r="B4" t="s">
        <v>32</v>
      </c>
      <c r="C4" t="str">
        <f t="shared" si="0"/>
        <v>Chris Wilson</v>
      </c>
      <c r="D4" t="s">
        <v>39</v>
      </c>
      <c r="E4">
        <v>112020</v>
      </c>
      <c r="G4" t="str">
        <f t="shared" si="1"/>
        <v>CHRIS</v>
      </c>
      <c r="H4" t="str">
        <f t="shared" si="2"/>
        <v>WILSON</v>
      </c>
      <c r="I4" t="str">
        <f t="shared" si="3"/>
        <v>chris</v>
      </c>
      <c r="J4" t="str">
        <f t="shared" si="4"/>
        <v>Chris</v>
      </c>
      <c r="K4">
        <f t="shared" si="5"/>
        <v>5</v>
      </c>
      <c r="L4" t="str">
        <f t="shared" si="6"/>
        <v>Chris</v>
      </c>
      <c r="M4">
        <f t="shared" si="7"/>
        <v>5</v>
      </c>
      <c r="N4" t="str">
        <f t="shared" si="8"/>
        <v>Chr</v>
      </c>
      <c r="O4" t="str">
        <f t="shared" si="9"/>
        <v>Chr</v>
      </c>
      <c r="P4" t="str">
        <f t="shared" si="10"/>
        <v>ris</v>
      </c>
      <c r="Q4" t="str">
        <f t="shared" si="11"/>
        <v>ris</v>
      </c>
    </row>
    <row r="5" spans="1:18" x14ac:dyDescent="0.25">
      <c r="A5" t="s">
        <v>21</v>
      </c>
      <c r="B5" t="s">
        <v>32</v>
      </c>
      <c r="C5" t="str">
        <f t="shared" si="0"/>
        <v>Michael Wilson</v>
      </c>
      <c r="D5" t="s">
        <v>44</v>
      </c>
      <c r="E5">
        <v>34646</v>
      </c>
      <c r="G5" t="str">
        <f t="shared" si="1"/>
        <v>MICHAEL</v>
      </c>
      <c r="H5" t="str">
        <f t="shared" si="2"/>
        <v>WILSON</v>
      </c>
      <c r="I5" t="str">
        <f t="shared" si="3"/>
        <v>michael</v>
      </c>
      <c r="J5" t="str">
        <f t="shared" si="4"/>
        <v>Michael</v>
      </c>
      <c r="K5">
        <f t="shared" si="5"/>
        <v>7</v>
      </c>
      <c r="L5" t="str">
        <f t="shared" si="6"/>
        <v>Michael</v>
      </c>
      <c r="M5">
        <f t="shared" si="7"/>
        <v>7</v>
      </c>
      <c r="N5" t="str">
        <f t="shared" si="8"/>
        <v>Mic</v>
      </c>
      <c r="O5" t="str">
        <f t="shared" si="9"/>
        <v>Mic</v>
      </c>
      <c r="P5" t="str">
        <f t="shared" si="10"/>
        <v>ael</v>
      </c>
      <c r="Q5" t="str">
        <f t="shared" si="11"/>
        <v>ael</v>
      </c>
    </row>
    <row r="6" spans="1:18" x14ac:dyDescent="0.25">
      <c r="A6" t="s">
        <v>50</v>
      </c>
      <c r="B6" t="s">
        <v>51</v>
      </c>
      <c r="C6" t="str">
        <f t="shared" si="0"/>
        <v>Alex Brown</v>
      </c>
      <c r="D6" t="s">
        <v>52</v>
      </c>
      <c r="E6">
        <v>69713</v>
      </c>
      <c r="G6" t="str">
        <f t="shared" si="1"/>
        <v>ALEX</v>
      </c>
      <c r="H6" t="str">
        <f t="shared" si="2"/>
        <v>BROWN</v>
      </c>
      <c r="I6" t="str">
        <f t="shared" si="3"/>
        <v>alex</v>
      </c>
      <c r="J6" t="str">
        <f t="shared" si="4"/>
        <v>Alex</v>
      </c>
      <c r="K6">
        <f t="shared" si="5"/>
        <v>4</v>
      </c>
      <c r="L6" t="str">
        <f t="shared" si="6"/>
        <v>Alex</v>
      </c>
      <c r="M6">
        <f t="shared" si="7"/>
        <v>4</v>
      </c>
      <c r="N6" t="str">
        <f t="shared" si="8"/>
        <v>Ale</v>
      </c>
      <c r="O6" t="str">
        <f t="shared" si="9"/>
        <v>Ale</v>
      </c>
      <c r="P6" t="str">
        <f t="shared" si="10"/>
        <v>lex</v>
      </c>
      <c r="Q6" t="str">
        <f t="shared" si="11"/>
        <v>lex</v>
      </c>
    </row>
    <row r="7" spans="1:18" x14ac:dyDescent="0.25">
      <c r="E7">
        <f>MAX(E2:E6)</f>
        <v>112020</v>
      </c>
    </row>
    <row r="10" spans="1:18" x14ac:dyDescent="0.25">
      <c r="L10" t="s">
        <v>78</v>
      </c>
      <c r="M10">
        <f>10+20</f>
        <v>30</v>
      </c>
      <c r="N10">
        <f>E2+1000</f>
        <v>75291</v>
      </c>
      <c r="O10">
        <f>E2+E3</f>
        <v>167641</v>
      </c>
      <c r="P10">
        <f>E2+E3+E4+E5+E6</f>
        <v>384020</v>
      </c>
    </row>
    <row r="11" spans="1:18" x14ac:dyDescent="0.25">
      <c r="G11" t="s">
        <v>83</v>
      </c>
      <c r="H11">
        <f>SUM(E2:E6)</f>
        <v>384020</v>
      </c>
      <c r="L11" t="s">
        <v>79</v>
      </c>
      <c r="M11">
        <f>20-1</f>
        <v>19</v>
      </c>
      <c r="N11">
        <f>E2-2000</f>
        <v>72291</v>
      </c>
      <c r="O11">
        <f>E3-E2</f>
        <v>19059</v>
      </c>
      <c r="Q11">
        <f>6/2+20</f>
        <v>23</v>
      </c>
    </row>
    <row r="12" spans="1:18" x14ac:dyDescent="0.25">
      <c r="G12" t="s">
        <v>84</v>
      </c>
      <c r="H12">
        <f>AVERAGE(E2:E6)</f>
        <v>76804</v>
      </c>
      <c r="L12" t="s">
        <v>80</v>
      </c>
      <c r="M12">
        <f>2*2</f>
        <v>4</v>
      </c>
      <c r="N12">
        <f>E2*3</f>
        <v>222873</v>
      </c>
    </row>
    <row r="13" spans="1:18" x14ac:dyDescent="0.25">
      <c r="G13" t="s">
        <v>85</v>
      </c>
      <c r="H13">
        <f>MAX(E2:E6)</f>
        <v>112020</v>
      </c>
      <c r="L13" t="s">
        <v>81</v>
      </c>
      <c r="M13">
        <f>6/3</f>
        <v>2</v>
      </c>
      <c r="N13">
        <f>E2/2</f>
        <v>37145.5</v>
      </c>
    </row>
    <row r="14" spans="1:18" x14ac:dyDescent="0.25">
      <c r="G14" t="s">
        <v>86</v>
      </c>
      <c r="H14">
        <f>MIN(E2:E6)</f>
        <v>34646</v>
      </c>
      <c r="L14" t="s">
        <v>82</v>
      </c>
      <c r="M14">
        <f>2^2</f>
        <v>4</v>
      </c>
      <c r="N14">
        <f>2^3</f>
        <v>8</v>
      </c>
      <c r="O14">
        <f>10^10</f>
        <v>10000000000</v>
      </c>
      <c r="P14">
        <f>3^10</f>
        <v>59049</v>
      </c>
    </row>
    <row r="15" spans="1:18" x14ac:dyDescent="0.25">
      <c r="G15" t="s">
        <v>87</v>
      </c>
      <c r="H15">
        <f>COUNT(E2:E6)</f>
        <v>5</v>
      </c>
      <c r="N15">
        <f>2*3</f>
        <v>6</v>
      </c>
      <c r="P15">
        <f>3*10</f>
        <v>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0D1C7-E5A8-4460-B0C8-8114C0EE44A8}">
  <dimension ref="A1"/>
  <sheetViews>
    <sheetView tabSelected="1" zoomScale="98" zoomScaleNormal="98" workbookViewId="0">
      <selection activeCell="Q10" sqref="Q10"/>
    </sheetView>
  </sheetViews>
  <sheetFormatPr defaultRowHeight="15" x14ac:dyDescent="0.25"/>
  <cols>
    <col min="1" max="16384" width="9.14062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Original</vt:lpstr>
      <vt:lpstr>PIVOT TABLES</vt:lpstr>
      <vt:lpstr>COPY</vt:lpstr>
      <vt:lpstr>HLOOKUP</vt:lpstr>
      <vt:lpstr>Sheet2</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Jullian Musyoka</cp:lastModifiedBy>
  <dcterms:created xsi:type="dcterms:W3CDTF">2026-03-16T07:31:48Z</dcterms:created>
  <dcterms:modified xsi:type="dcterms:W3CDTF">2026-03-19T13:14:20Z</dcterms:modified>
</cp:coreProperties>
</file>