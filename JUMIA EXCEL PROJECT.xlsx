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JULES\Desktop\"/>
    </mc:Choice>
  </mc:AlternateContent>
  <xr:revisionPtr revIDLastSave="0" documentId="13_ncr:1_{D4FE6A19-60EB-4A84-AF26-865836AA1C09}" xr6:coauthVersionLast="47" xr6:coauthVersionMax="47" xr10:uidLastSave="{00000000-0000-0000-0000-000000000000}"/>
  <bookViews>
    <workbookView xWindow="-120" yWindow="-120" windowWidth="24240" windowHeight="13140" firstSheet="4" activeTab="8" xr2:uid="{0A0BB8D0-7BE2-4A17-AF09-70896D9F307E}"/>
  </bookViews>
  <sheets>
    <sheet name="Cleaned Jumia Data" sheetId="1" r:id="rId1"/>
    <sheet name="Descriptive Analysis" sheetId="2" r:id="rId2"/>
    <sheet name="Trend and Relationship Analysis" sheetId="6" r:id="rId3"/>
    <sheet name="Scattered Helper Discount" sheetId="11" r:id="rId4"/>
    <sheet name="Scattered Plot Ratings" sheetId="15" r:id="rId5"/>
    <sheet name="Product perfomance" sheetId="3" r:id="rId6"/>
    <sheet name="Top 5 Highest" sheetId="4" r:id="rId7"/>
    <sheet name="Range slicer" sheetId="5" r:id="rId8"/>
    <sheet name="DASHBOARD" sheetId="9" r:id="rId9"/>
  </sheets>
  <definedNames>
    <definedName name="_xlnm._FilterDatabase" localSheetId="0" hidden="1">'Cleaned Jumia Data'!$A$1:$A$109</definedName>
    <definedName name="Slicer_Discount_Category">#N/A</definedName>
    <definedName name="Slicer_PRICE_Category">#N/A</definedName>
    <definedName name="Slicer_Rating_Categor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40" i="9" l="1"/>
  <c r="AV40" i="9"/>
  <c r="AU41" i="9"/>
  <c r="AV41" i="9"/>
  <c r="AU42" i="9"/>
  <c r="AV42" i="9"/>
  <c r="AU43" i="9"/>
  <c r="AV43" i="9"/>
  <c r="AU44" i="9"/>
  <c r="AV44" i="9"/>
  <c r="AU45" i="9"/>
  <c r="AV45" i="9"/>
  <c r="AU46" i="9"/>
  <c r="AV46" i="9"/>
  <c r="AU47" i="9"/>
  <c r="AV47" i="9"/>
  <c r="AU48" i="9"/>
  <c r="AV48" i="9"/>
  <c r="AU49" i="9"/>
  <c r="AV49" i="9"/>
  <c r="AU50" i="9"/>
  <c r="AV50" i="9"/>
  <c r="AU51" i="9"/>
  <c r="AV51" i="9"/>
  <c r="AU52" i="9"/>
  <c r="AV52" i="9"/>
  <c r="AU53" i="9"/>
  <c r="AV53" i="9"/>
  <c r="AU54" i="9"/>
  <c r="AV54" i="9"/>
  <c r="AU55" i="9"/>
  <c r="AV55" i="9"/>
  <c r="AU56" i="9"/>
  <c r="AV56" i="9"/>
  <c r="AU57" i="9"/>
  <c r="AV57" i="9"/>
  <c r="AU58" i="9"/>
  <c r="AV58" i="9"/>
  <c r="AU59" i="9"/>
  <c r="AV59" i="9"/>
  <c r="AU60" i="9"/>
  <c r="AV60" i="9"/>
  <c r="AU61" i="9"/>
  <c r="AV61" i="9"/>
  <c r="AU62" i="9"/>
  <c r="AV62" i="9"/>
  <c r="AU63" i="9"/>
  <c r="AV63" i="9"/>
  <c r="AU64" i="9"/>
  <c r="AV64" i="9"/>
  <c r="AU65" i="9"/>
  <c r="AV65" i="9"/>
  <c r="AU66" i="9"/>
  <c r="AV66" i="9"/>
  <c r="AU67" i="9"/>
  <c r="AV67" i="9"/>
  <c r="AU68" i="9"/>
  <c r="AV68" i="9"/>
  <c r="AU69" i="9"/>
  <c r="AV69" i="9"/>
  <c r="AU70" i="9"/>
  <c r="AV70" i="9"/>
  <c r="AU71" i="9"/>
  <c r="AV71" i="9"/>
  <c r="AU72" i="9"/>
  <c r="AV72" i="9"/>
  <c r="AU73" i="9"/>
  <c r="AV73" i="9"/>
  <c r="AU74" i="9"/>
  <c r="AV74" i="9"/>
  <c r="AU75" i="9"/>
  <c r="AV75" i="9"/>
  <c r="AU76" i="9"/>
  <c r="AV76" i="9"/>
  <c r="AU77" i="9"/>
  <c r="AV77" i="9"/>
  <c r="AU78" i="9"/>
  <c r="AV78" i="9"/>
  <c r="AU79" i="9"/>
  <c r="AV79" i="9"/>
  <c r="AU80" i="9"/>
  <c r="AV80" i="9"/>
  <c r="AU81" i="9"/>
  <c r="AV81" i="9"/>
  <c r="AU82" i="9"/>
  <c r="AV82" i="9"/>
  <c r="AU83" i="9"/>
  <c r="AV83" i="9"/>
  <c r="AU84" i="9"/>
  <c r="AV84" i="9"/>
  <c r="AU85" i="9"/>
  <c r="AV85" i="9"/>
  <c r="AU86" i="9"/>
  <c r="AV86" i="9"/>
  <c r="AU87" i="9"/>
  <c r="AV87" i="9"/>
  <c r="AU88" i="9"/>
  <c r="AV88" i="9"/>
  <c r="AU89" i="9"/>
  <c r="AV89" i="9"/>
  <c r="AU90" i="9"/>
  <c r="AV90" i="9"/>
  <c r="AU91" i="9"/>
  <c r="AV91" i="9"/>
  <c r="AU92" i="9"/>
  <c r="AV92" i="9"/>
  <c r="AU93" i="9"/>
  <c r="AV93" i="9"/>
  <c r="AU94" i="9"/>
  <c r="AV94" i="9"/>
  <c r="AU95" i="9"/>
  <c r="AV95" i="9"/>
  <c r="AU96" i="9"/>
  <c r="AV96" i="9"/>
  <c r="AU97" i="9"/>
  <c r="AV97" i="9"/>
  <c r="AU98" i="9"/>
  <c r="AV98" i="9"/>
  <c r="AU99" i="9"/>
  <c r="AV99" i="9"/>
  <c r="AU100" i="9"/>
  <c r="AV100" i="9"/>
  <c r="AU101" i="9"/>
  <c r="AV101" i="9"/>
  <c r="AU102" i="9"/>
  <c r="AV102" i="9"/>
  <c r="AU103" i="9"/>
  <c r="AV103" i="9"/>
  <c r="AU104" i="9"/>
  <c r="AV104" i="9"/>
  <c r="AU105" i="9"/>
  <c r="AV105" i="9"/>
  <c r="AU106" i="9"/>
  <c r="AV106" i="9"/>
  <c r="AU107" i="9"/>
  <c r="AV107" i="9"/>
  <c r="AU108" i="9"/>
  <c r="AV108" i="9"/>
  <c r="AU109" i="9"/>
  <c r="AV109" i="9"/>
  <c r="AU110" i="9"/>
  <c r="AV110" i="9"/>
  <c r="AU111" i="9"/>
  <c r="AV111" i="9"/>
  <c r="AU112" i="9"/>
  <c r="AV112" i="9"/>
  <c r="AU113" i="9"/>
  <c r="AV113" i="9"/>
  <c r="AU114" i="9"/>
  <c r="AV114" i="9"/>
  <c r="AU115" i="9"/>
  <c r="AV115" i="9"/>
  <c r="AU116" i="9"/>
  <c r="AV116" i="9"/>
  <c r="AU117" i="9"/>
  <c r="AV117" i="9"/>
  <c r="AU118" i="9"/>
  <c r="AV118" i="9"/>
  <c r="AU119" i="9"/>
  <c r="AV119" i="9"/>
  <c r="AU120" i="9"/>
  <c r="AV120" i="9"/>
  <c r="AU121" i="9"/>
  <c r="AV121" i="9"/>
  <c r="AU122" i="9"/>
  <c r="AV122" i="9"/>
  <c r="AU123" i="9"/>
  <c r="AV123" i="9"/>
  <c r="AU124" i="9"/>
  <c r="AV124" i="9"/>
  <c r="AU125" i="9"/>
  <c r="AV125" i="9"/>
  <c r="AU126" i="9"/>
  <c r="AV126" i="9"/>
  <c r="AU127" i="9"/>
  <c r="AV127" i="9"/>
  <c r="AU128" i="9"/>
  <c r="AV128" i="9"/>
  <c r="AU129" i="9"/>
  <c r="AV129" i="9"/>
  <c r="AU130" i="9"/>
  <c r="AV130" i="9"/>
  <c r="AU131" i="9"/>
  <c r="AV131" i="9"/>
  <c r="AU132" i="9"/>
  <c r="AV132" i="9"/>
  <c r="AU133" i="9"/>
  <c r="AV133" i="9"/>
  <c r="AU134" i="9"/>
  <c r="AV134" i="9"/>
  <c r="AU135" i="9"/>
  <c r="AV135" i="9"/>
  <c r="AU136" i="9"/>
  <c r="AV136" i="9"/>
  <c r="AU137" i="9"/>
  <c r="AV137" i="9"/>
  <c r="AU138" i="9"/>
  <c r="AV138" i="9"/>
  <c r="AU139" i="9"/>
  <c r="AV139" i="9"/>
  <c r="AU140" i="9"/>
  <c r="AV140" i="9"/>
  <c r="AU141" i="9"/>
  <c r="AV141" i="9"/>
  <c r="AU142" i="9"/>
  <c r="AV142" i="9"/>
  <c r="AU143" i="9"/>
  <c r="AV143" i="9"/>
  <c r="AU144" i="9"/>
  <c r="AV144" i="9"/>
  <c r="AU145" i="9"/>
  <c r="AV145" i="9"/>
  <c r="AU146" i="9"/>
  <c r="AV146" i="9"/>
  <c r="AU147" i="9"/>
  <c r="AV147" i="9"/>
  <c r="AN40" i="9"/>
  <c r="AN41" i="9"/>
  <c r="AN42" i="9"/>
  <c r="AN43" i="9"/>
  <c r="AN44" i="9"/>
  <c r="AN45" i="9"/>
  <c r="AN46" i="9"/>
  <c r="AN47" i="9"/>
  <c r="AN48" i="9"/>
  <c r="AN49" i="9"/>
  <c r="AN50" i="9"/>
  <c r="AN51" i="9"/>
  <c r="AN52" i="9"/>
  <c r="AN53" i="9"/>
  <c r="AN54" i="9"/>
  <c r="AN55" i="9"/>
  <c r="AN56" i="9"/>
  <c r="AN57" i="9"/>
  <c r="AN58" i="9"/>
  <c r="AN59" i="9"/>
  <c r="AN60" i="9"/>
  <c r="AN61" i="9"/>
  <c r="AN62" i="9"/>
  <c r="AN63" i="9"/>
  <c r="AN64" i="9"/>
  <c r="AN65" i="9"/>
  <c r="AN66" i="9"/>
  <c r="AN67" i="9"/>
  <c r="AN68" i="9"/>
  <c r="AN69" i="9"/>
  <c r="AN70" i="9"/>
  <c r="AN71" i="9"/>
  <c r="AN72" i="9"/>
  <c r="AN73" i="9"/>
  <c r="AN74" i="9"/>
  <c r="AN75" i="9"/>
  <c r="AN76" i="9"/>
  <c r="AN77" i="9"/>
  <c r="AN78" i="9"/>
  <c r="AN79" i="9"/>
  <c r="AN80" i="9"/>
  <c r="AN81" i="9"/>
  <c r="AN82" i="9"/>
  <c r="AN83" i="9"/>
  <c r="AN84" i="9"/>
  <c r="AN85" i="9"/>
  <c r="AN86" i="9"/>
  <c r="AN87" i="9"/>
  <c r="AN88" i="9"/>
  <c r="AN89" i="9"/>
  <c r="AN90" i="9"/>
  <c r="AN91" i="9"/>
  <c r="AN92" i="9"/>
  <c r="AN93" i="9"/>
  <c r="AN94" i="9"/>
  <c r="AN95" i="9"/>
  <c r="AN96" i="9"/>
  <c r="AN97" i="9"/>
  <c r="AN98" i="9"/>
  <c r="AN99" i="9"/>
  <c r="AN100" i="9"/>
  <c r="AN101" i="9"/>
  <c r="AN102" i="9"/>
  <c r="AN103" i="9"/>
  <c r="AN104" i="9"/>
  <c r="AN105" i="9"/>
  <c r="AN106" i="9"/>
  <c r="AN107" i="9"/>
  <c r="AN108" i="9"/>
  <c r="AN109" i="9"/>
  <c r="AN110" i="9"/>
  <c r="AN111" i="9"/>
  <c r="AN112" i="9"/>
  <c r="AN113" i="9"/>
  <c r="AN114" i="9"/>
  <c r="AN115" i="9"/>
  <c r="AN116" i="9"/>
  <c r="AN117" i="9"/>
  <c r="AN118" i="9"/>
  <c r="AN119" i="9"/>
  <c r="AN120" i="9"/>
  <c r="AN121" i="9"/>
  <c r="AN122" i="9"/>
  <c r="AN123" i="9"/>
  <c r="AN124" i="9"/>
  <c r="AN125" i="9"/>
  <c r="AN126" i="9"/>
  <c r="AN127" i="9"/>
  <c r="AN128" i="9"/>
  <c r="AN129" i="9"/>
  <c r="AN130" i="9"/>
  <c r="AN131" i="9"/>
  <c r="AN132" i="9"/>
  <c r="AN133" i="9"/>
  <c r="AN134" i="9"/>
  <c r="AN135" i="9"/>
  <c r="AN136" i="9"/>
  <c r="AN137" i="9"/>
  <c r="AN138" i="9"/>
  <c r="AN139" i="9"/>
  <c r="AN140" i="9"/>
  <c r="AN141" i="9"/>
  <c r="AN142" i="9"/>
  <c r="AN143" i="9"/>
  <c r="AN144" i="9"/>
  <c r="AN145" i="9"/>
  <c r="AN146" i="9"/>
  <c r="AN147" i="9"/>
  <c r="AM40" i="9"/>
  <c r="AM41" i="9"/>
  <c r="AM42" i="9"/>
  <c r="AM43" i="9"/>
  <c r="AM44" i="9"/>
  <c r="AM45" i="9"/>
  <c r="AM46" i="9"/>
  <c r="AM47" i="9"/>
  <c r="AM48" i="9"/>
  <c r="AM49" i="9"/>
  <c r="AM50" i="9"/>
  <c r="AM51" i="9"/>
  <c r="AM52" i="9"/>
  <c r="AM53" i="9"/>
  <c r="AM54" i="9"/>
  <c r="AM55" i="9"/>
  <c r="AM56" i="9"/>
  <c r="AM57" i="9"/>
  <c r="AM58" i="9"/>
  <c r="AM59" i="9"/>
  <c r="AM60" i="9"/>
  <c r="AM61" i="9"/>
  <c r="AM62" i="9"/>
  <c r="AM63" i="9"/>
  <c r="AM64" i="9"/>
  <c r="AM65" i="9"/>
  <c r="AM66" i="9"/>
  <c r="AM67" i="9"/>
  <c r="AM68" i="9"/>
  <c r="AM69" i="9"/>
  <c r="AM70" i="9"/>
  <c r="AM71" i="9"/>
  <c r="AM72" i="9"/>
  <c r="AM73" i="9"/>
  <c r="AM74" i="9"/>
  <c r="AM75" i="9"/>
  <c r="AM76" i="9"/>
  <c r="AM77" i="9"/>
  <c r="AM78" i="9"/>
  <c r="AM79" i="9"/>
  <c r="AM80" i="9"/>
  <c r="AM81" i="9"/>
  <c r="AM82" i="9"/>
  <c r="AM83" i="9"/>
  <c r="AM84" i="9"/>
  <c r="AM85" i="9"/>
  <c r="AM86" i="9"/>
  <c r="AM87" i="9"/>
  <c r="AM88" i="9"/>
  <c r="AM89" i="9"/>
  <c r="AM90" i="9"/>
  <c r="AM91" i="9"/>
  <c r="AM92" i="9"/>
  <c r="AM93" i="9"/>
  <c r="AM94" i="9"/>
  <c r="AM95" i="9"/>
  <c r="AM96" i="9"/>
  <c r="AM97" i="9"/>
  <c r="AM98" i="9"/>
  <c r="AM99" i="9"/>
  <c r="AM100" i="9"/>
  <c r="AM101" i="9"/>
  <c r="AM102" i="9"/>
  <c r="AM103" i="9"/>
  <c r="AM104" i="9"/>
  <c r="AM105" i="9"/>
  <c r="AM106" i="9"/>
  <c r="AM107" i="9"/>
  <c r="AM108" i="9"/>
  <c r="AM109" i="9"/>
  <c r="AM110" i="9"/>
  <c r="AM111" i="9"/>
  <c r="AM112" i="9"/>
  <c r="AM113" i="9"/>
  <c r="AM114" i="9"/>
  <c r="AM115" i="9"/>
  <c r="AM116" i="9"/>
  <c r="AM117" i="9"/>
  <c r="AM118" i="9"/>
  <c r="AM119" i="9"/>
  <c r="AM120" i="9"/>
  <c r="AM121" i="9"/>
  <c r="AM122" i="9"/>
  <c r="AM123" i="9"/>
  <c r="AM124" i="9"/>
  <c r="AM125" i="9"/>
  <c r="AM126" i="9"/>
  <c r="AM127" i="9"/>
  <c r="AM128" i="9"/>
  <c r="AM129" i="9"/>
  <c r="AM130" i="9"/>
  <c r="AM131" i="9"/>
  <c r="AM132" i="9"/>
  <c r="AM133" i="9"/>
  <c r="AM134" i="9"/>
  <c r="AM135" i="9"/>
  <c r="AM136" i="9"/>
  <c r="AM137" i="9"/>
  <c r="AM138" i="9"/>
  <c r="AM139" i="9"/>
  <c r="AM140" i="9"/>
  <c r="AM141" i="9"/>
  <c r="AM142" i="9"/>
  <c r="AM143" i="9"/>
  <c r="AM144" i="9"/>
  <c r="AM145" i="9"/>
  <c r="AM146" i="9"/>
  <c r="AM147" i="9"/>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2" i="1"/>
  <c r="D117" i="1"/>
  <c r="D122" i="1" s="1"/>
  <c r="D116" i="1"/>
  <c r="D121" i="1" s="1"/>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2" i="1" a="1"/>
  <c r="J2" i="1" s="1"/>
  <c r="I109"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<sst xmlns="http://schemas.openxmlformats.org/spreadsheetml/2006/main" count="417" uniqueCount="144">
  <si>
    <t>Product</t>
  </si>
  <si>
    <t>Current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</si>
  <si>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</si>
  <si>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</si>
  <si>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</si>
  <si>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</si>
  <si>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</si>
  <si>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</si>
  <si>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</si>
  <si>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</si>
  <si>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</si>
  <si>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</si>
  <si>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</si>
  <si>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</si>
  <si>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</si>
  <si>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</si>
  <si>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</si>
  <si>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</si>
  <si>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</si>
  <si>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</si>
  <si>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</si>
  <si>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</si>
  <si>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</si>
  <si>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</si>
  <si>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</si>
  <si>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</si>
  <si>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</si>
  <si>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</si>
  <si>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</si>
  <si>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</si>
  <si>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</si>
  <si>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</si>
  <si>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</si>
  <si>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</si>
  <si>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</si>
  <si>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</si>
  <si>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</si>
  <si>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</si>
  <si>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</si>
  <si>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</si>
  <si>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</si>
  <si>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</si>
  <si>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</si>
  <si>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</si>
  <si>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</si>
  <si>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</si>
  <si>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</si>
  <si>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</si>
  <si>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</si>
  <si>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</si>
  <si>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</si>
  <si>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</si>
  <si>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</si>
  <si>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</si>
  <si>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</si>
  <si>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</si>
  <si>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</si>
  <si>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</si>
  <si>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</si>
  <si>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</si>
  <si>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</si>
  <si>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</si>
  <si>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</si>
  <si>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</si>
  <si>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</si>
  <si>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</si>
  <si>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</si>
  <si>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</si>
  <si>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</si>
  <si>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</si>
  <si>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</si>
  <si>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</si>
  <si>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</si>
  <si>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</si>
  <si>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</si>
  <si>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</si>
  <si>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</si>
  <si>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</si>
  <si>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</si>
  <si>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</si>
  <si>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</si>
  <si>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</si>
  <si>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</si>
  <si>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</si>
  <si>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</si>
  <si>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</si>
  <si>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</si>
  <si>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</si>
  <si>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</si>
  <si>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</si>
  <si>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</si>
  <si>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</si>
  <si>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</si>
  <si>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</si>
  <si>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</si>
  <si>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</si>
  <si>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</si>
  <si>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</si>
  <si>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</si>
  <si>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</si>
  <si>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</si>
  <si>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</si>
  <si>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</si>
  <si>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</si>
  <si>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</si>
  <si>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</si>
  <si>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</si>
  <si>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</si>
  <si>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</si>
  <si>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</si>
  <si>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</si>
  <si>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</si>
  <si>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Ratings</t>
  </si>
  <si>
    <t>Discount Amount</t>
  </si>
  <si>
    <t>Old Price</t>
  </si>
  <si>
    <t>Rating Category</t>
  </si>
  <si>
    <t>Discount Category</t>
  </si>
  <si>
    <t>Row Labels</t>
  </si>
  <si>
    <t>Grand Total</t>
  </si>
  <si>
    <t>Average of Current price</t>
  </si>
  <si>
    <t>Average of Old Price</t>
  </si>
  <si>
    <t>Average of Ratings</t>
  </si>
  <si>
    <t>Low Discount</t>
  </si>
  <si>
    <t>Medium Discount</t>
  </si>
  <si>
    <t>Average of Discount</t>
  </si>
  <si>
    <t>Values</t>
  </si>
  <si>
    <t>MAX PRICE</t>
  </si>
  <si>
    <t>MIN PRICE</t>
  </si>
  <si>
    <t>LEAST EXPENSIVE</t>
  </si>
  <si>
    <t>Excelent</t>
  </si>
  <si>
    <t>Poor</t>
  </si>
  <si>
    <t>Count of Product</t>
  </si>
  <si>
    <t>Count of Review</t>
  </si>
  <si>
    <t>Max of Discount</t>
  </si>
  <si>
    <t>Max of Review</t>
  </si>
  <si>
    <t>Max of Ratings</t>
  </si>
  <si>
    <r>
      <rPr>
        <b/>
        <sz val="11"/>
        <color theme="1"/>
        <rFont val="Calibri"/>
        <family val="2"/>
        <scheme val="minor"/>
      </rPr>
      <t>MOST EXPESNSIVE</t>
    </r>
    <r>
      <rPr>
        <sz val="11"/>
        <color theme="1"/>
        <rFont val="Calibri"/>
        <family val="2"/>
        <scheme val="minor"/>
      </rPr>
      <t xml:space="preserve"> </t>
    </r>
  </si>
  <si>
    <t>PRICE Category</t>
  </si>
  <si>
    <t>2000 - 4000</t>
  </si>
  <si>
    <t>0 - 1000</t>
  </si>
  <si>
    <t>Average</t>
  </si>
  <si>
    <t>High Discount</t>
  </si>
  <si>
    <t>1000 - 2000</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</si>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</sst>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ES]\ #,##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9" fontId="0" fillId="0" borderId="0" xfId="0" applyNumberFormat="1"/>
    <xf numFmtId="0" fontId="16" fillId="0" borderId="0" xfId="0" applyFont="1"/>
    <xf numFmtId="164" fontId="16" fillId="0" borderId="0" xfId="0" applyNumberFormat="1" applyFont="1"/>
    <xf numFmtId="164" fontId="0" fillId="0" borderId="0" xfId="0" applyNumberFormat="1"/>
    <xf numFmtId="165" fontId="16" fillId="0" borderId="0" xfId="0" applyNumberFormat="1" applyFont="1"/>
    <xf numFmtId="165" fontId="0" fillId="0" borderId="0" xfId="0" applyNumberFormat="1"/>
    <xf numFmtId="9" fontId="16" fillId="0" borderId="0" xfId="1" applyFont="1" applyAlignment="1"/>
    <xf numFmtId="9" fontId="0" fillId="0" borderId="0" xfId="1" applyFon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0" borderId="0" xfId="0" applyNumberFormat="1"/>
    <xf numFmtId="0" fontId="18" fillId="33" borderId="0" xfId="0" applyFont="1" applyFill="1"/>
    <xf numFmtId="9" fontId="18" fillId="33" borderId="0" xfId="0" applyNumberFormat="1"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EXCEL PROJECT.xlsx]Descriptive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Product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doughnutChart>
        <c:varyColors val="1"/>
        <c:ser>
          <c:idx val="0"/>
          <c:order val="0"/>
          <c:tx>
            <c:strRef>
              <c:f>'Descriptive Analysis'!$C$18</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E347-46B7-A67F-9F7296C35B1F}"/>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E347-46B7-A67F-9F7296C35B1F}"/>
              </c:ext>
            </c:extLst>
          </c:dPt>
          <c:dPt>
            <c:idx val="2"/>
            <c:bubble3D val="0"/>
            <c:spPr>
              <a:solidFill>
                <a:schemeClr val="accent2">
                  <a:tint val="77000"/>
                </a:schemeClr>
              </a:solidFill>
              <a:ln w="19050">
                <a:solidFill>
                  <a:schemeClr val="lt1"/>
                </a:solidFill>
              </a:ln>
              <a:effectLst/>
            </c:spPr>
          </c:dPt>
          <c:cat>
            <c:strRef>
              <c:f>'Descriptive Analysis'!$B$19:$B$22</c:f>
              <c:strCache>
                <c:ptCount val="3"/>
                <c:pt idx="0">
                  <c:v>Average</c:v>
                </c:pt>
                <c:pt idx="1">
                  <c:v>Excelent</c:v>
                </c:pt>
                <c:pt idx="2">
                  <c:v>Poor</c:v>
                </c:pt>
              </c:strCache>
            </c:strRef>
          </c:cat>
          <c:val>
            <c:numRef>
              <c:f>'Descriptive Analysis'!$C$19:$C$22</c:f>
              <c:numCache>
                <c:formatCode>General</c:formatCode>
                <c:ptCount val="3"/>
                <c:pt idx="0">
                  <c:v>22</c:v>
                </c:pt>
                <c:pt idx="1">
                  <c:v>22</c:v>
                </c:pt>
                <c:pt idx="2">
                  <c:v>64</c:v>
                </c:pt>
              </c:numCache>
            </c:numRef>
          </c:val>
          <c:extLst>
            <c:ext xmlns:c16="http://schemas.microsoft.com/office/drawing/2014/chart" uri="{C3380CC4-5D6E-409C-BE32-E72D297353CC}">
              <c16:uniqueId val="{00000000-C74F-40C4-AA7A-F69CB3B9093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PROJECT.xlsx]Descriptive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Average of Ratings</a:t>
            </a:r>
          </a:p>
        </c:rich>
      </c:tx>
      <c:layout>
        <c:manualLayout>
          <c:xMode val="edge"/>
          <c:yMode val="edge"/>
          <c:x val="0.3455277777777777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'Descriptive Analysis'!$C$10</c:f>
              <c:strCache>
                <c:ptCount val="1"/>
                <c:pt idx="0">
                  <c:v>Average of Ratings</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2C5-4A2D-88F8-DB8174A99EF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2C5-4A2D-88F8-DB8174A99EF5}"/>
              </c:ext>
            </c:extLst>
          </c:dPt>
          <c:dPt>
            <c:idx val="2"/>
            <c:bubble3D val="0"/>
            <c:spPr>
              <a:solidFill>
                <a:schemeClr val="accent1">
                  <a:tint val="65000"/>
                </a:schemeClr>
              </a:solidFill>
              <a:ln w="19050">
                <a:solidFill>
                  <a:schemeClr val="lt1"/>
                </a:solidFill>
              </a:ln>
              <a:effectLst/>
            </c:spPr>
          </c:dPt>
          <c:cat>
            <c:strRef>
              <c:f>'Descriptive Analysis'!$B$11:$B$14</c:f>
              <c:strCache>
                <c:ptCount val="3"/>
                <c:pt idx="0">
                  <c:v>High Discount</c:v>
                </c:pt>
                <c:pt idx="1">
                  <c:v>Low Discount</c:v>
                </c:pt>
                <c:pt idx="2">
                  <c:v>Medium Discount</c:v>
                </c:pt>
              </c:strCache>
            </c:strRef>
          </c:cat>
          <c:val>
            <c:numRef>
              <c:f>'Descriptive Analysis'!$C$11:$C$14</c:f>
              <c:numCache>
                <c:formatCode>0.00</c:formatCode>
                <c:ptCount val="3"/>
                <c:pt idx="0">
                  <c:v>3.6133333333333324</c:v>
                </c:pt>
                <c:pt idx="1">
                  <c:v>3.8</c:v>
                </c:pt>
                <c:pt idx="2">
                  <c:v>4.276190476190477</c:v>
                </c:pt>
              </c:numCache>
            </c:numRef>
          </c:val>
          <c:extLst>
            <c:ext xmlns:c16="http://schemas.microsoft.com/office/drawing/2014/chart" uri="{C3380CC4-5D6E-409C-BE32-E72D297353CC}">
              <c16:uniqueId val="{00000000-B32E-446F-B2A0-943AC93A06E0}"/>
            </c:ext>
          </c:extLst>
        </c:ser>
        <c:ser>
          <c:idx val="1"/>
          <c:order val="1"/>
          <c:tx>
            <c:strRef>
              <c:f>'Descriptive Analysis'!$D$10</c:f>
              <c:strCache>
                <c:ptCount val="1"/>
                <c:pt idx="0">
                  <c:v>Average of Discount</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E2C5-4A2D-88F8-DB8174A99EF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7-E2C5-4A2D-88F8-DB8174A99EF5}"/>
              </c:ext>
            </c:extLst>
          </c:dPt>
          <c:dPt>
            <c:idx val="2"/>
            <c:bubble3D val="0"/>
            <c:spPr>
              <a:solidFill>
                <a:schemeClr val="accent1">
                  <a:tint val="65000"/>
                </a:schemeClr>
              </a:solidFill>
              <a:ln w="19050">
                <a:solidFill>
                  <a:schemeClr val="lt1"/>
                </a:solidFill>
              </a:ln>
              <a:effectLst/>
            </c:spPr>
          </c:dPt>
          <c:cat>
            <c:strRef>
              <c:f>'Descriptive Analysis'!$B$11:$B$14</c:f>
              <c:strCache>
                <c:ptCount val="3"/>
                <c:pt idx="0">
                  <c:v>High Discount</c:v>
                </c:pt>
                <c:pt idx="1">
                  <c:v>Low Discount</c:v>
                </c:pt>
                <c:pt idx="2">
                  <c:v>Medium Discount</c:v>
                </c:pt>
              </c:strCache>
            </c:strRef>
          </c:cat>
          <c:val>
            <c:numRef>
              <c:f>'Descriptive Analysis'!$D$11:$D$14</c:f>
              <c:numCache>
                <c:formatCode>0%</c:formatCode>
                <c:ptCount val="3"/>
                <c:pt idx="0">
                  <c:v>0.48203389830508458</c:v>
                </c:pt>
                <c:pt idx="1">
                  <c:v>7.8947368421052641E-2</c:v>
                </c:pt>
                <c:pt idx="2">
                  <c:v>0.31133333333333335</c:v>
                </c:pt>
              </c:numCache>
            </c:numRef>
          </c:val>
          <c:extLst>
            <c:ext xmlns:c16="http://schemas.microsoft.com/office/drawing/2014/chart" uri="{C3380CC4-5D6E-409C-BE32-E72D297353CC}">
              <c16:uniqueId val="{00000001-B32E-446F-B2A0-943AC93A06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2"/>
                </a:solidFill>
              </a:rPr>
              <a:t>Review by Discount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'Cleaned Jumia Data'!$H$1</c:f>
              <c:strCache>
                <c:ptCount val="1"/>
                <c:pt idx="0">
                  <c:v>Review</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0.10034186351706037"/>
                  <c:y val="-0.1964413823272090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'Cleaned Jumia Data'!$F$2:$F$109</c:f>
              <c:numCache>
                <c:formatCode>0%</c:formatCode>
                <c:ptCount val="108"/>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0.49</c:v>
                </c:pt>
                <c:pt idx="40">
                  <c:v>0.5</c:v>
                </c:pt>
                <c:pt idx="41">
                  <c:v>0.42</c:v>
                </c:pt>
                <c:pt idx="42">
                  <c:v>0.02</c:v>
                </c:pt>
                <c:pt idx="43">
                  <c:v>0.5</c:v>
                </c:pt>
                <c:pt idx="44">
                  <c:v>0.33</c:v>
                </c:pt>
                <c:pt idx="45">
                  <c:v>0.49</c:v>
                </c:pt>
                <c:pt idx="46">
                  <c:v>0.38</c:v>
                </c:pt>
                <c:pt idx="47">
                  <c:v>0.61</c:v>
                </c:pt>
                <c:pt idx="48">
                  <c:v>0.5</c:v>
                </c:pt>
                <c:pt idx="49">
                  <c:v>0.02</c:v>
                </c:pt>
                <c:pt idx="50">
                  <c:v>0.22</c:v>
                </c:pt>
                <c:pt idx="51">
                  <c:v>0.03</c:v>
                </c:pt>
                <c:pt idx="52">
                  <c:v>0.41</c:v>
                </c:pt>
                <c:pt idx="53">
                  <c:v>0.45</c:v>
                </c:pt>
                <c:pt idx="54">
                  <c:v>0.48</c:v>
                </c:pt>
                <c:pt idx="55">
                  <c:v>0.49</c:v>
                </c:pt>
                <c:pt idx="56">
                  <c:v>0.27</c:v>
                </c:pt>
                <c:pt idx="57">
                  <c:v>0.13</c:v>
                </c:pt>
                <c:pt idx="58">
                  <c:v>0.54</c:v>
                </c:pt>
                <c:pt idx="59">
                  <c:v>0.55000000000000004</c:v>
                </c:pt>
                <c:pt idx="60">
                  <c:v>0.49</c:v>
                </c:pt>
                <c:pt idx="61">
                  <c:v>0.52</c:v>
                </c:pt>
                <c:pt idx="62">
                  <c:v>0.22</c:v>
                </c:pt>
                <c:pt idx="63">
                  <c:v>0.45</c:v>
                </c:pt>
                <c:pt idx="64">
                  <c:v>0.5</c:v>
                </c:pt>
                <c:pt idx="65">
                  <c:v>0.39</c:v>
                </c:pt>
                <c:pt idx="66">
                  <c:v>0.45</c:v>
                </c:pt>
                <c:pt idx="67">
                  <c:v>0.28999999999999998</c:v>
                </c:pt>
                <c:pt idx="68">
                  <c:v>0.43</c:v>
                </c:pt>
                <c:pt idx="69">
                  <c:v>0.43</c:v>
                </c:pt>
                <c:pt idx="70">
                  <c:v>0.47</c:v>
                </c:pt>
                <c:pt idx="71">
                  <c:v>0.47</c:v>
                </c:pt>
                <c:pt idx="72">
                  <c:v>0.47</c:v>
                </c:pt>
                <c:pt idx="73">
                  <c:v>0.43</c:v>
                </c:pt>
                <c:pt idx="74">
                  <c:v>0.04</c:v>
                </c:pt>
                <c:pt idx="75">
                  <c:v>0.49</c:v>
                </c:pt>
                <c:pt idx="76">
                  <c:v>0.46</c:v>
                </c:pt>
                <c:pt idx="77">
                  <c:v>0.49</c:v>
                </c:pt>
                <c:pt idx="78">
                  <c:v>0.36</c:v>
                </c:pt>
                <c:pt idx="79">
                  <c:v>0.02</c:v>
                </c:pt>
                <c:pt idx="80">
                  <c:v>0.49</c:v>
                </c:pt>
                <c:pt idx="81">
                  <c:v>0.14000000000000001</c:v>
                </c:pt>
                <c:pt idx="82">
                  <c:v>0.49</c:v>
                </c:pt>
                <c:pt idx="83">
                  <c:v>0.11</c:v>
                </c:pt>
                <c:pt idx="84">
                  <c:v>0.14000000000000001</c:v>
                </c:pt>
                <c:pt idx="85">
                  <c:v>0.43</c:v>
                </c:pt>
                <c:pt idx="86">
                  <c:v>0.5</c:v>
                </c:pt>
                <c:pt idx="87">
                  <c:v>0.48</c:v>
                </c:pt>
                <c:pt idx="88">
                  <c:v>0.48</c:v>
                </c:pt>
                <c:pt idx="89">
                  <c:v>0.47</c:v>
                </c:pt>
                <c:pt idx="90">
                  <c:v>0.5</c:v>
                </c:pt>
                <c:pt idx="91">
                  <c:v>0.08</c:v>
                </c:pt>
                <c:pt idx="92">
                  <c:v>0.02</c:v>
                </c:pt>
                <c:pt idx="93">
                  <c:v>0.49</c:v>
                </c:pt>
                <c:pt idx="94">
                  <c:v>0.04</c:v>
                </c:pt>
                <c:pt idx="95">
                  <c:v>0.49</c:v>
                </c:pt>
                <c:pt idx="96">
                  <c:v>0.42</c:v>
                </c:pt>
                <c:pt idx="97">
                  <c:v>0.21</c:v>
                </c:pt>
                <c:pt idx="98">
                  <c:v>0.41</c:v>
                </c:pt>
                <c:pt idx="99">
                  <c:v>0.01</c:v>
                </c:pt>
                <c:pt idx="100">
                  <c:v>0.24</c:v>
                </c:pt>
                <c:pt idx="101">
                  <c:v>0.34</c:v>
                </c:pt>
                <c:pt idx="102">
                  <c:v>0.34</c:v>
                </c:pt>
                <c:pt idx="103">
                  <c:v>0.02</c:v>
                </c:pt>
                <c:pt idx="104">
                  <c:v>0.02</c:v>
                </c:pt>
                <c:pt idx="105">
                  <c:v>0.64</c:v>
                </c:pt>
                <c:pt idx="106">
                  <c:v>0.5</c:v>
                </c:pt>
                <c:pt idx="107">
                  <c:v>0.47</c:v>
                </c:pt>
              </c:numCache>
            </c:numRef>
          </c:xVal>
          <c:yVal>
            <c:numRef>
              <c:f>'Cleaned Jumia Data'!$H$2:$H$109</c:f>
              <c:numCache>
                <c:formatCode>General</c:formatCode>
                <c:ptCount val="108"/>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57">
                  <c:v>6</c:v>
                </c:pt>
                <c:pt idx="58">
                  <c:v>10</c:v>
                </c:pt>
                <c:pt idx="59">
                  <c:v>13</c:v>
                </c:pt>
                <c:pt idx="60">
                  <c:v>69</c:v>
                </c:pt>
                <c:pt idx="61">
                  <c:v>15</c:v>
                </c:pt>
                <c:pt idx="62">
                  <c:v>16</c:v>
                </c:pt>
                <c:pt idx="63">
                  <c:v>6</c:v>
                </c:pt>
                <c:pt idx="64">
                  <c:v>7</c:v>
                </c:pt>
                <c:pt idx="65">
                  <c:v>5</c:v>
                </c:pt>
                <c:pt idx="66">
                  <c:v>17</c:v>
                </c:pt>
                <c:pt idx="67">
                  <c:v>5</c:v>
                </c:pt>
                <c:pt idx="68">
                  <c:v>6</c:v>
                </c:pt>
                <c:pt idx="69">
                  <c:v>5</c:v>
                </c:pt>
                <c:pt idx="70">
                  <c:v>6</c:v>
                </c:pt>
                <c:pt idx="71">
                  <c:v>7</c:v>
                </c:pt>
                <c:pt idx="76">
                  <c:v>1</c:v>
                </c:pt>
                <c:pt idx="77">
                  <c:v>1</c:v>
                </c:pt>
                <c:pt idx="80">
                  <c:v>1</c:v>
                </c:pt>
                <c:pt idx="97">
                  <c:v>1</c:v>
                </c:pt>
                <c:pt idx="106">
                  <c:v>1</c:v>
                </c:pt>
              </c:numCache>
            </c:numRef>
          </c:yVal>
          <c:smooth val="0"/>
          <c:extLst>
            <c:ext xmlns:c16="http://schemas.microsoft.com/office/drawing/2014/chart" uri="{C3380CC4-5D6E-409C-BE32-E72D297353CC}">
              <c16:uniqueId val="{00000002-168B-44C6-9FDA-D32E9B58FC40}"/>
            </c:ext>
          </c:extLst>
        </c:ser>
        <c:dLbls>
          <c:showLegendKey val="0"/>
          <c:showVal val="0"/>
          <c:showCatName val="0"/>
          <c:showSerName val="0"/>
          <c:showPercent val="0"/>
          <c:showBubbleSize val="0"/>
        </c:dLbls>
        <c:axId val="664076816"/>
        <c:axId val="664075736"/>
      </c:scatterChart>
      <c:valAx>
        <c:axId val="66407681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5736"/>
        <c:crosses val="autoZero"/>
        <c:crossBetween val="midCat"/>
      </c:valAx>
      <c:valAx>
        <c:axId val="6640757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a:t>
                </a:r>
                <a:r>
                  <a:rPr lang="en-US">
                    <a:solidFill>
                      <a:schemeClr val="accent2"/>
                    </a:solidFill>
                  </a:rPr>
                  <a:t>Review</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6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2"/>
                </a:solidFill>
              </a:rPr>
              <a:t>Review</a:t>
            </a:r>
            <a:r>
              <a:rPr lang="en-US"/>
              <a:t> </a:t>
            </a:r>
            <a:r>
              <a:rPr lang="en-US">
                <a:solidFill>
                  <a:schemeClr val="accent2"/>
                </a:solidFill>
              </a:rPr>
              <a:t>by</a:t>
            </a:r>
            <a:r>
              <a:rPr lang="en-US"/>
              <a:t> </a:t>
            </a:r>
            <a:r>
              <a:rPr lang="en-US">
                <a:solidFill>
                  <a:schemeClr val="accent2"/>
                </a:solidFill>
              </a:rPr>
              <a:t>Ratings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'Cleaned Jumia Data'!$H$1</c:f>
              <c:strCache>
                <c:ptCount val="1"/>
                <c:pt idx="0">
                  <c:v>Review</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0.12167147856517935"/>
                  <c:y val="-0.4213684747739865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'Cleaned Jumia Data'!$G$2:$G$122</c:f>
              <c:numCache>
                <c:formatCode>0.0</c:formatCode>
                <c:ptCount val="121"/>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57">
                  <c:v>2.5</c:v>
                </c:pt>
                <c:pt idx="58">
                  <c:v>3</c:v>
                </c:pt>
                <c:pt idx="59">
                  <c:v>2.1</c:v>
                </c:pt>
                <c:pt idx="60">
                  <c:v>2.8</c:v>
                </c:pt>
                <c:pt idx="61">
                  <c:v>2.7</c:v>
                </c:pt>
                <c:pt idx="62">
                  <c:v>2.9</c:v>
                </c:pt>
                <c:pt idx="63">
                  <c:v>2.2000000000000002</c:v>
                </c:pt>
                <c:pt idx="64">
                  <c:v>2.2999999999999998</c:v>
                </c:pt>
                <c:pt idx="65">
                  <c:v>3</c:v>
                </c:pt>
                <c:pt idx="66">
                  <c:v>2.6</c:v>
                </c:pt>
                <c:pt idx="67">
                  <c:v>3</c:v>
                </c:pt>
                <c:pt idx="68">
                  <c:v>2.2999999999999998</c:v>
                </c:pt>
                <c:pt idx="69">
                  <c:v>3</c:v>
                </c:pt>
                <c:pt idx="70">
                  <c:v>2.2000000000000002</c:v>
                </c:pt>
                <c:pt idx="71">
                  <c:v>2.1</c:v>
                </c:pt>
                <c:pt idx="76">
                  <c:v>3</c:v>
                </c:pt>
                <c:pt idx="77">
                  <c:v>5</c:v>
                </c:pt>
                <c:pt idx="80">
                  <c:v>4</c:v>
                </c:pt>
                <c:pt idx="97">
                  <c:v>5</c:v>
                </c:pt>
                <c:pt idx="106">
                  <c:v>2</c:v>
                </c:pt>
              </c:numCache>
            </c:numRef>
          </c:xVal>
          <c:yVal>
            <c:numRef>
              <c:f>'Cleaned Jumia Data'!$H$2:$H$122</c:f>
              <c:numCache>
                <c:formatCode>General</c:formatCode>
                <c:ptCount val="121"/>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57">
                  <c:v>6</c:v>
                </c:pt>
                <c:pt idx="58">
                  <c:v>10</c:v>
                </c:pt>
                <c:pt idx="59">
                  <c:v>13</c:v>
                </c:pt>
                <c:pt idx="60">
                  <c:v>69</c:v>
                </c:pt>
                <c:pt idx="61">
                  <c:v>15</c:v>
                </c:pt>
                <c:pt idx="62">
                  <c:v>16</c:v>
                </c:pt>
                <c:pt idx="63">
                  <c:v>6</c:v>
                </c:pt>
                <c:pt idx="64">
                  <c:v>7</c:v>
                </c:pt>
                <c:pt idx="65">
                  <c:v>5</c:v>
                </c:pt>
                <c:pt idx="66">
                  <c:v>17</c:v>
                </c:pt>
                <c:pt idx="67">
                  <c:v>5</c:v>
                </c:pt>
                <c:pt idx="68">
                  <c:v>6</c:v>
                </c:pt>
                <c:pt idx="69">
                  <c:v>5</c:v>
                </c:pt>
                <c:pt idx="70">
                  <c:v>6</c:v>
                </c:pt>
                <c:pt idx="71">
                  <c:v>7</c:v>
                </c:pt>
                <c:pt idx="76">
                  <c:v>1</c:v>
                </c:pt>
                <c:pt idx="77">
                  <c:v>1</c:v>
                </c:pt>
                <c:pt idx="80">
                  <c:v>1</c:v>
                </c:pt>
                <c:pt idx="97">
                  <c:v>1</c:v>
                </c:pt>
                <c:pt idx="106">
                  <c:v>1</c:v>
                </c:pt>
              </c:numCache>
            </c:numRef>
          </c:yVal>
          <c:smooth val="0"/>
          <c:extLst>
            <c:ext xmlns:c16="http://schemas.microsoft.com/office/drawing/2014/chart" uri="{C3380CC4-5D6E-409C-BE32-E72D297353CC}">
              <c16:uniqueId val="{00000001-24D3-4959-89CD-C968C3741098}"/>
            </c:ext>
          </c:extLst>
        </c:ser>
        <c:dLbls>
          <c:showLegendKey val="0"/>
          <c:showVal val="0"/>
          <c:showCatName val="0"/>
          <c:showSerName val="0"/>
          <c:showPercent val="0"/>
          <c:showBubbleSize val="0"/>
        </c:dLbls>
        <c:axId val="664081136"/>
        <c:axId val="664075376"/>
      </c:scatterChart>
      <c:valAx>
        <c:axId val="6640811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Ratings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5376"/>
        <c:crosses val="autoZero"/>
        <c:crossBetween val="midCat"/>
      </c:valAx>
      <c:valAx>
        <c:axId val="6640753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Reviews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811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EXCEL PROJECT.xlsx]Product perfomance!PivotTable13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Highest Discount by 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perfomance'!$D$3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perfomance'!$C$4:$C$14</c:f>
              <c:strCache>
                <c:ptCount val="10"/>
                <c:pt idx="0">
                  <c:v>Mythco 120COB Solar Wall Ligt With Motion Sensor And Remote Control 3 Modes</c:v>
                </c:pt>
                <c:pt idx="1">
                  <c:v>LASA FOLDING TABLE SERVING STAND</c:v>
                </c:pt>
                <c:pt idx="2">
                  <c:v>LASA 3 Tier Bamboo Shoe Bench Storage Shelf</c:v>
                </c:pt>
                <c:pt idx="3">
                  <c:v>Intelligent  LED Body Sensor Wireless Lighting Night Light USB</c:v>
                </c:pt>
                <c:pt idx="4">
                  <c:v>Exfoliate And Exfoliate Face Towel - Black</c:v>
                </c:pt>
                <c:pt idx="5">
                  <c:v>Creative Owl Shape Keychain Black</c:v>
                </c:pt>
                <c:pt idx="6">
                  <c:v>Classic Black Cat Cotton Hemp Pillow Case For Home Car</c:v>
                </c:pt>
                <c:pt idx="7">
                  <c:v>6 In 1 Bottle Can Opener Multifunctional Easy Opener</c:v>
                </c:pt>
                <c:pt idx="8">
                  <c:v>5-PCS Stainless Steel Cooking Pot Set With Steamed Slices</c:v>
                </c:pt>
                <c:pt idx="9">
                  <c:v>3PCS Single Head Knitting Crochet Sweater Needle Set</c:v>
                </c:pt>
              </c:strCache>
            </c:strRef>
          </c:cat>
          <c:val>
            <c:numRef>
              <c:f>'Product perfomance'!$D$4:$D$14</c:f>
              <c:numCache>
                <c:formatCode>0%</c:formatCode>
                <c:ptCount val="10"/>
                <c:pt idx="0">
                  <c:v>0.54</c:v>
                </c:pt>
                <c:pt idx="1">
                  <c:v>0.55000000000000004</c:v>
                </c:pt>
                <c:pt idx="2">
                  <c:v>0.54</c:v>
                </c:pt>
                <c:pt idx="3">
                  <c:v>0.52</c:v>
                </c:pt>
                <c:pt idx="4">
                  <c:v>0.52</c:v>
                </c:pt>
                <c:pt idx="5">
                  <c:v>0.61</c:v>
                </c:pt>
                <c:pt idx="6">
                  <c:v>0.53</c:v>
                </c:pt>
                <c:pt idx="7">
                  <c:v>0.64</c:v>
                </c:pt>
                <c:pt idx="8">
                  <c:v>0.55000000000000004</c:v>
                </c:pt>
                <c:pt idx="9">
                  <c:v>0.53</c:v>
                </c:pt>
              </c:numCache>
            </c:numRef>
          </c:val>
          <c:extLst>
            <c:ext xmlns:c16="http://schemas.microsoft.com/office/drawing/2014/chart" uri="{C3380CC4-5D6E-409C-BE32-E72D297353CC}">
              <c16:uniqueId val="{00000000-BF40-490F-9E31-48E47DC3F452}"/>
            </c:ext>
          </c:extLst>
        </c:ser>
        <c:dLbls>
          <c:dLblPos val="outEnd"/>
          <c:showLegendKey val="0"/>
          <c:showVal val="1"/>
          <c:showCatName val="0"/>
          <c:showSerName val="0"/>
          <c:showPercent val="0"/>
          <c:showBubbleSize val="0"/>
        </c:dLbls>
        <c:gapWidth val="182"/>
        <c:axId val="461409496"/>
        <c:axId val="461409856"/>
      </c:barChart>
      <c:catAx>
        <c:axId val="461409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09856"/>
        <c:crosses val="autoZero"/>
        <c:auto val="1"/>
        <c:lblAlgn val="ctr"/>
        <c:lblOffset val="100"/>
        <c:noMultiLvlLbl val="0"/>
      </c:catAx>
      <c:valAx>
        <c:axId val="46140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0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EXCEL PROJECT.xlsx]Product perfomance!PivotTable14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Top</a:t>
            </a:r>
            <a:r>
              <a:rPr lang="en-US" b="1" baseline="0">
                <a:solidFill>
                  <a:schemeClr val="accent2"/>
                </a:solidFill>
              </a:rPr>
              <a:t> 10 Products by Highest Reviews</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perfomance'!$D$35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perfomance'!$C$36:$C$46</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'Product perfomance'!$D$36:$D$46</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72E9-4074-97EF-AA50C9703136}"/>
            </c:ext>
          </c:extLst>
        </c:ser>
        <c:dLbls>
          <c:dLblPos val="outEnd"/>
          <c:showLegendKey val="0"/>
          <c:showVal val="1"/>
          <c:showCatName val="0"/>
          <c:showSerName val="0"/>
          <c:showPercent val="0"/>
          <c:showBubbleSize val="0"/>
        </c:dLbls>
        <c:gapWidth val="182"/>
        <c:axId val="968867064"/>
        <c:axId val="968867424"/>
      </c:barChart>
      <c:catAx>
        <c:axId val="9688670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7424"/>
        <c:crosses val="autoZero"/>
        <c:auto val="1"/>
        <c:lblAlgn val="ctr"/>
        <c:lblOffset val="100"/>
        <c:noMultiLvlLbl val="0"/>
      </c:catAx>
      <c:valAx>
        <c:axId val="968867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7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EXCEL PROJECT.xlsx]Top 5 Highest!PivotTable15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Top</a:t>
            </a:r>
            <a:r>
              <a:rPr lang="en-US">
                <a:solidFill>
                  <a:schemeClr val="accent2"/>
                </a:solidFill>
              </a:rPr>
              <a:t> </a:t>
            </a:r>
            <a:r>
              <a:rPr lang="en-US" b="1">
                <a:solidFill>
                  <a:schemeClr val="accent2"/>
                </a:solidFill>
              </a:rPr>
              <a:t>5</a:t>
            </a:r>
            <a:r>
              <a:rPr lang="en-US">
                <a:solidFill>
                  <a:schemeClr val="accent2"/>
                </a:solidFill>
              </a:rPr>
              <a:t> </a:t>
            </a:r>
            <a:r>
              <a:rPr lang="en-US" b="1">
                <a:solidFill>
                  <a:schemeClr val="accent2"/>
                </a:solidFill>
              </a:rPr>
              <a:t>Products</a:t>
            </a:r>
            <a:r>
              <a:rPr lang="en-US" baseline="0">
                <a:solidFill>
                  <a:schemeClr val="accent2"/>
                </a:solidFill>
              </a:rPr>
              <a:t> </a:t>
            </a:r>
            <a:r>
              <a:rPr lang="en-US" b="1" baseline="0">
                <a:solidFill>
                  <a:schemeClr val="accent2"/>
                </a:solidFill>
              </a:rPr>
              <a:t>by</a:t>
            </a:r>
            <a:r>
              <a:rPr lang="en-US" baseline="0">
                <a:solidFill>
                  <a:schemeClr val="accent2"/>
                </a:solidFill>
              </a:rPr>
              <a:t> </a:t>
            </a:r>
            <a:r>
              <a:rPr lang="en-US" b="1" baseline="0">
                <a:solidFill>
                  <a:schemeClr val="accent2"/>
                </a:solidFill>
              </a:rPr>
              <a:t>Highest</a:t>
            </a:r>
            <a:r>
              <a:rPr lang="en-US" baseline="0">
                <a:solidFill>
                  <a:schemeClr val="accent2"/>
                </a:solidFill>
              </a:rPr>
              <a:t> </a:t>
            </a:r>
            <a:r>
              <a:rPr lang="en-US" b="1" baseline="0">
                <a:solidFill>
                  <a:schemeClr val="accent2"/>
                </a:solidFill>
              </a:rPr>
              <a:t>Ratings</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Highest'!$D$4</c:f>
              <c:strCache>
                <c:ptCount val="1"/>
                <c:pt idx="0">
                  <c:v>Total</c:v>
                </c:pt>
              </c:strCache>
            </c:strRef>
          </c:tx>
          <c:spPr>
            <a:solidFill>
              <a:schemeClr val="accent2"/>
            </a:solidFill>
            <a:ln w="19050">
              <a:solidFill>
                <a:schemeClr val="lt1"/>
              </a:solidFill>
            </a:ln>
            <a:effectLst/>
          </c:spPr>
          <c:invertIfNegative val="0"/>
          <c:cat>
            <c:strRef>
              <c:f>'Top 5 Highest'!$C$5:$C$12</c:f>
              <c:strCache>
                <c:ptCount val="7"/>
                <c:pt idx="0">
                  <c:v>Anti-Skid Absorbent Insulation Coaster  For Home Office</c:v>
                </c:pt>
                <c:pt idx="1">
                  <c:v>Bedroom Simple Floor Hanging Clothes Rack Single Pole Hat Rack -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- 68kg Max</c:v>
                </c:pt>
                <c:pt idx="6">
                  <c:v>Peacock  Throw Pillow Cushion Case For Home Car</c:v>
                </c:pt>
              </c:strCache>
            </c:strRef>
          </c:cat>
          <c:val>
            <c:numRef>
              <c:f>'Top 5 Highest'!$D$5:$D$12</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5484-449E-AF8A-CC2BEBC3BA34}"/>
            </c:ext>
          </c:extLst>
        </c:ser>
        <c:dLbls>
          <c:showLegendKey val="0"/>
          <c:showVal val="0"/>
          <c:showCatName val="0"/>
          <c:showSerName val="0"/>
          <c:showPercent val="0"/>
          <c:showBubbleSize val="0"/>
        </c:dLbls>
        <c:gapWidth val="150"/>
        <c:axId val="968856264"/>
        <c:axId val="968861304"/>
      </c:barChart>
      <c:valAx>
        <c:axId val="968861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56264"/>
        <c:crosses val="autoZero"/>
        <c:crossBetween val="between"/>
      </c:valAx>
      <c:catAx>
        <c:axId val="9688562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13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EXCEL PROJECT.xlsx]Range slicer!PivotTable17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'Range slicer'!$D$3</c:f>
              <c:strCache>
                <c:ptCount val="1"/>
                <c:pt idx="0">
                  <c:v>Average of Ratings</c:v>
                </c:pt>
              </c:strCache>
            </c:strRef>
          </c:tx>
          <c:spPr>
            <a:solidFill>
              <a:schemeClr val="accent1"/>
            </a:solidFill>
            <a:ln>
              <a:noFill/>
            </a:ln>
            <a:effectLst/>
          </c:spPr>
          <c:invertIfNegative val="0"/>
          <c:cat>
            <c:strRef>
              <c:f>'Range slicer'!$C$4:$C$7</c:f>
              <c:strCache>
                <c:ptCount val="3"/>
                <c:pt idx="0">
                  <c:v>High Discount</c:v>
                </c:pt>
                <c:pt idx="1">
                  <c:v>Low Discount</c:v>
                </c:pt>
                <c:pt idx="2">
                  <c:v>Medium Discount</c:v>
                </c:pt>
              </c:strCache>
            </c:strRef>
          </c:cat>
          <c:val>
            <c:numRef>
              <c:f>'Range slicer'!$D$4:$D$7</c:f>
              <c:numCache>
                <c:formatCode>0.0</c:formatCode>
                <c:ptCount val="3"/>
                <c:pt idx="0">
                  <c:v>3.6133333333333324</c:v>
                </c:pt>
                <c:pt idx="1">
                  <c:v>3.8</c:v>
                </c:pt>
                <c:pt idx="2">
                  <c:v>4.276190476190477</c:v>
                </c:pt>
              </c:numCache>
            </c:numRef>
          </c:val>
          <c:extLst>
            <c:ext xmlns:c16="http://schemas.microsoft.com/office/drawing/2014/chart" uri="{C3380CC4-5D6E-409C-BE32-E72D297353CC}">
              <c16:uniqueId val="{00000000-0693-455B-91FB-55CB764C2132}"/>
            </c:ext>
          </c:extLst>
        </c:ser>
        <c:ser>
          <c:idx val="1"/>
          <c:order val="1"/>
          <c:tx>
            <c:strRef>
              <c:f>'Range slicer'!$E$3</c:f>
              <c:strCache>
                <c:ptCount val="1"/>
                <c:pt idx="0">
                  <c:v>Count of Review</c:v>
                </c:pt>
              </c:strCache>
            </c:strRef>
          </c:tx>
          <c:spPr>
            <a:solidFill>
              <a:schemeClr val="accent2"/>
            </a:solidFill>
            <a:ln>
              <a:noFill/>
            </a:ln>
            <a:effectLst/>
          </c:spPr>
          <c:invertIfNegative val="0"/>
          <c:cat>
            <c:strRef>
              <c:f>'Range slicer'!$C$4:$C$7</c:f>
              <c:strCache>
                <c:ptCount val="3"/>
                <c:pt idx="0">
                  <c:v>High Discount</c:v>
                </c:pt>
                <c:pt idx="1">
                  <c:v>Low Discount</c:v>
                </c:pt>
                <c:pt idx="2">
                  <c:v>Medium Discount</c:v>
                </c:pt>
              </c:strCache>
            </c:strRef>
          </c:cat>
          <c:val>
            <c:numRef>
              <c:f>'Range slicer'!$E$4:$E$7</c:f>
              <c:numCache>
                <c:formatCode>0</c:formatCode>
                <c:ptCount val="3"/>
                <c:pt idx="0">
                  <c:v>30</c:v>
                </c:pt>
                <c:pt idx="1">
                  <c:v>5</c:v>
                </c:pt>
                <c:pt idx="2">
                  <c:v>21</c:v>
                </c:pt>
              </c:numCache>
            </c:numRef>
          </c:val>
          <c:extLst>
            <c:ext xmlns:c16="http://schemas.microsoft.com/office/drawing/2014/chart" uri="{C3380CC4-5D6E-409C-BE32-E72D297353CC}">
              <c16:uniqueId val="{00000001-0693-455B-91FB-55CB764C2132}"/>
            </c:ext>
          </c:extLst>
        </c:ser>
        <c:dLbls>
          <c:showLegendKey val="0"/>
          <c:showVal val="0"/>
          <c:showCatName val="0"/>
          <c:showSerName val="0"/>
          <c:showPercent val="0"/>
          <c:showBubbleSize val="0"/>
        </c:dLbls>
        <c:gapWidth val="219"/>
        <c:overlap val="-27"/>
        <c:axId val="968862384"/>
        <c:axId val="968862744"/>
      </c:barChart>
      <c:catAx>
        <c:axId val="96886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2744"/>
        <c:crosses val="autoZero"/>
        <c:auto val="1"/>
        <c:lblAlgn val="ctr"/>
        <c:lblOffset val="100"/>
        <c:noMultiLvlLbl val="0"/>
      </c:catAx>
      <c:valAx>
        <c:axId val="9688627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PROJECT.xlsx]Product perfomance!PivotTable13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 Top 10 Products by Highest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perfomance'!$D$3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perfomance'!$C$4:$C$14</c:f>
              <c:strCache>
                <c:ptCount val="10"/>
                <c:pt idx="0">
                  <c:v>Mythco 120COB Solar Wall Ligt With Motion Sensor And Remote Control 3 Modes</c:v>
                </c:pt>
                <c:pt idx="1">
                  <c:v>LASA FOLDING TABLE SERVING STAND</c:v>
                </c:pt>
                <c:pt idx="2">
                  <c:v>LASA 3 Tier Bamboo Shoe Bench Storage Shelf</c:v>
                </c:pt>
                <c:pt idx="3">
                  <c:v>Intelligent  LED Body Sensor Wireless Lighting Night Light USB</c:v>
                </c:pt>
                <c:pt idx="4">
                  <c:v>Exfoliate And Exfoliate Face Towel - Black</c:v>
                </c:pt>
                <c:pt idx="5">
                  <c:v>Creative Owl Shape Keychain Black</c:v>
                </c:pt>
                <c:pt idx="6">
                  <c:v>Classic Black Cat Cotton Hemp Pillow Case For Home Car</c:v>
                </c:pt>
                <c:pt idx="7">
                  <c:v>6 In 1 Bottle Can Opener Multifunctional Easy Opener</c:v>
                </c:pt>
                <c:pt idx="8">
                  <c:v>5-PCS Stainless Steel Cooking Pot Set With Steamed Slices</c:v>
                </c:pt>
                <c:pt idx="9">
                  <c:v>3PCS Single Head Knitting Crochet Sweater Needle Set</c:v>
                </c:pt>
              </c:strCache>
            </c:strRef>
          </c:cat>
          <c:val>
            <c:numRef>
              <c:f>'Product perfomance'!$D$4:$D$14</c:f>
              <c:numCache>
                <c:formatCode>0%</c:formatCode>
                <c:ptCount val="10"/>
                <c:pt idx="0">
                  <c:v>0.54</c:v>
                </c:pt>
                <c:pt idx="1">
                  <c:v>0.55000000000000004</c:v>
                </c:pt>
                <c:pt idx="2">
                  <c:v>0.54</c:v>
                </c:pt>
                <c:pt idx="3">
                  <c:v>0.52</c:v>
                </c:pt>
                <c:pt idx="4">
                  <c:v>0.52</c:v>
                </c:pt>
                <c:pt idx="5">
                  <c:v>0.61</c:v>
                </c:pt>
                <c:pt idx="6">
                  <c:v>0.53</c:v>
                </c:pt>
                <c:pt idx="7">
                  <c:v>0.64</c:v>
                </c:pt>
                <c:pt idx="8">
                  <c:v>0.55000000000000004</c:v>
                </c:pt>
                <c:pt idx="9">
                  <c:v>0.53</c:v>
                </c:pt>
              </c:numCache>
            </c:numRef>
          </c:val>
          <c:extLst>
            <c:ext xmlns:c16="http://schemas.microsoft.com/office/drawing/2014/chart" uri="{C3380CC4-5D6E-409C-BE32-E72D297353CC}">
              <c16:uniqueId val="{00000000-0A06-43C5-AFD3-7EB2ACCCC5A0}"/>
            </c:ext>
          </c:extLst>
        </c:ser>
        <c:dLbls>
          <c:dLblPos val="outEnd"/>
          <c:showLegendKey val="0"/>
          <c:showVal val="1"/>
          <c:showCatName val="0"/>
          <c:showSerName val="0"/>
          <c:showPercent val="0"/>
          <c:showBubbleSize val="0"/>
        </c:dLbls>
        <c:gapWidth val="182"/>
        <c:axId val="461409496"/>
        <c:axId val="461409856"/>
      </c:barChart>
      <c:catAx>
        <c:axId val="461409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09856"/>
        <c:crosses val="autoZero"/>
        <c:auto val="1"/>
        <c:lblAlgn val="ctr"/>
        <c:lblOffset val="100"/>
        <c:noMultiLvlLbl val="0"/>
      </c:catAx>
      <c:valAx>
        <c:axId val="46140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0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PROJECT.xlsx]Product perfomance!PivotTable14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Top</a:t>
            </a:r>
            <a:r>
              <a:rPr lang="en-US" b="1" baseline="0">
                <a:solidFill>
                  <a:schemeClr val="accent2"/>
                </a:solidFill>
              </a:rPr>
              <a:t> 10 Products by Highest Reviews</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perfomance'!$D$35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perfomance'!$C$36:$C$46</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'Product perfomance'!$D$36:$D$46</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5803-4DF6-B7B8-FD71D865333B}"/>
            </c:ext>
          </c:extLst>
        </c:ser>
        <c:dLbls>
          <c:dLblPos val="outEnd"/>
          <c:showLegendKey val="0"/>
          <c:showVal val="1"/>
          <c:showCatName val="0"/>
          <c:showSerName val="0"/>
          <c:showPercent val="0"/>
          <c:showBubbleSize val="0"/>
        </c:dLbls>
        <c:gapWidth val="182"/>
        <c:axId val="968867064"/>
        <c:axId val="968867424"/>
      </c:barChart>
      <c:catAx>
        <c:axId val="9688670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7424"/>
        <c:crosses val="autoZero"/>
        <c:auto val="1"/>
        <c:lblAlgn val="ctr"/>
        <c:lblOffset val="100"/>
        <c:noMultiLvlLbl val="0"/>
      </c:catAx>
      <c:valAx>
        <c:axId val="968867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7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2"/>
                </a:solidFill>
              </a:rPr>
              <a:t>Review by Discount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v>Trend</c:v>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0.10034186351706037"/>
                  <c:y val="-0.1964413823272090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DASHBOARD!$AM$40:$AM$147</c:f>
              <c:numCache>
                <c:formatCode>0%</c:formatCode>
                <c:ptCount val="108"/>
                <c:pt idx="0">
                  <c:v>0.34</c:v>
                </c:pt>
                <c:pt idx="1">
                  <c:v>0.38</c:v>
                </c:pt>
                <c:pt idx="2">
                  <c:v>0.32</c:v>
                </c:pt>
                <c:pt idx="3">
                  <c:v>0.34</c:v>
                </c:pt>
                <c:pt idx="4">
                  <c:v>0.49</c:v>
                </c:pt>
                <c:pt idx="5">
                  <c:v>0.27</c:v>
                </c:pt>
                <c:pt idx="6">
                  <c:v>0.45</c:v>
                </c:pt>
                <c:pt idx="7">
                  <c:v>0.24</c:v>
                </c:pt>
                <c:pt idx="8">
                  <c:v>0.24</c:v>
                </c:pt>
                <c:pt idx="9">
                  <c:v>0.02</c:v>
                </c:pt>
                <c:pt idx="10">
                  <c:v>0.09</c:v>
                </c:pt>
                <c:pt idx="11">
                  <c:v>0.01</c:v>
                </c:pt>
                <c:pt idx="12">
                  <c:v>0.5</c:v>
                </c:pt>
                <c:pt idx="13">
                  <c:v>0.38</c:v>
                </c:pt>
                <c:pt idx="14">
                  <c:v>0.47</c:v>
                </c:pt>
                <c:pt idx="15">
                  <c:v>0.39</c:v>
                </c:pt>
                <c:pt idx="16">
                  <c:v>0.5</c:v>
                </c:pt>
                <c:pt idx="17">
                  <c:v>0.49</c:v>
                </c:pt>
                <c:pt idx="18">
                  <c:v>0.43</c:v>
                </c:pt>
                <c:pt idx="19">
                  <c:v>0.53</c:v>
                </c:pt>
                <c:pt idx="20">
                  <c:v>0.49</c:v>
                </c:pt>
                <c:pt idx="21">
                  <c:v>0.47</c:v>
                </c:pt>
                <c:pt idx="22">
                  <c:v>0.49</c:v>
                </c:pt>
                <c:pt idx="23">
                  <c:v>0.42</c:v>
                </c:pt>
                <c:pt idx="24">
                  <c:v>0.13</c:v>
                </c:pt>
                <c:pt idx="25">
                  <c:v>0.3</c:v>
                </c:pt>
                <c:pt idx="26">
                  <c:v>0.27</c:v>
                </c:pt>
                <c:pt idx="27">
                  <c:v>0.27</c:v>
                </c:pt>
                <c:pt idx="28">
                  <c:v>0.36</c:v>
                </c:pt>
                <c:pt idx="29">
                  <c:v>0.55000000000000004</c:v>
                </c:pt>
                <c:pt idx="30">
                  <c:v>0.64</c:v>
                </c:pt>
                <c:pt idx="31">
                  <c:v>0.47</c:v>
                </c:pt>
                <c:pt idx="32">
                  <c:v>0.33</c:v>
                </c:pt>
                <c:pt idx="33">
                  <c:v>0.49</c:v>
                </c:pt>
                <c:pt idx="34">
                  <c:v>0.47</c:v>
                </c:pt>
                <c:pt idx="35">
                  <c:v>0.42</c:v>
                </c:pt>
                <c:pt idx="36">
                  <c:v>0.41</c:v>
                </c:pt>
                <c:pt idx="37">
                  <c:v>0.45</c:v>
                </c:pt>
                <c:pt idx="38">
                  <c:v>0.49</c:v>
                </c:pt>
                <c:pt idx="39">
                  <c:v>0.51</c:v>
                </c:pt>
                <c:pt idx="40">
                  <c:v>0.45</c:v>
                </c:pt>
                <c:pt idx="41">
                  <c:v>0.49</c:v>
                </c:pt>
                <c:pt idx="42">
                  <c:v>0.42</c:v>
                </c:pt>
                <c:pt idx="43">
                  <c:v>0.49</c:v>
                </c:pt>
                <c:pt idx="44">
                  <c:v>0.47</c:v>
                </c:pt>
                <c:pt idx="45">
                  <c:v>0.5</c:v>
                </c:pt>
                <c:pt idx="46">
                  <c:v>0.49</c:v>
                </c:pt>
                <c:pt idx="47">
                  <c:v>0.49</c:v>
                </c:pt>
                <c:pt idx="48">
                  <c:v>0.34</c:v>
                </c:pt>
                <c:pt idx="49">
                  <c:v>0.5</c:v>
                </c:pt>
                <c:pt idx="50">
                  <c:v>0.48</c:v>
                </c:pt>
                <c:pt idx="51">
                  <c:v>0.53</c:v>
                </c:pt>
                <c:pt idx="52">
                  <c:v>0.61</c:v>
                </c:pt>
                <c:pt idx="53">
                  <c:v>0.04</c:v>
                </c:pt>
                <c:pt idx="54">
                  <c:v>0.41</c:v>
                </c:pt>
                <c:pt idx="55">
                  <c:v>0.37</c:v>
                </c:pt>
                <c:pt idx="56">
                  <c:v>0.4</c:v>
                </c:pt>
                <c:pt idx="57">
                  <c:v>0.47</c:v>
                </c:pt>
                <c:pt idx="58">
                  <c:v>0.35</c:v>
                </c:pt>
                <c:pt idx="59">
                  <c:v>0.52</c:v>
                </c:pt>
                <c:pt idx="60">
                  <c:v>0.23</c:v>
                </c:pt>
                <c:pt idx="61">
                  <c:v>0.2</c:v>
                </c:pt>
                <c:pt idx="62">
                  <c:v>0.49</c:v>
                </c:pt>
                <c:pt idx="63">
                  <c:v>0.52</c:v>
                </c:pt>
                <c:pt idx="64">
                  <c:v>0.21</c:v>
                </c:pt>
                <c:pt idx="65">
                  <c:v>0.28999999999999998</c:v>
                </c:pt>
                <c:pt idx="66">
                  <c:v>0.54</c:v>
                </c:pt>
                <c:pt idx="67">
                  <c:v>0.49</c:v>
                </c:pt>
                <c:pt idx="68">
                  <c:v>0.42</c:v>
                </c:pt>
                <c:pt idx="69">
                  <c:v>0.55000000000000004</c:v>
                </c:pt>
                <c:pt idx="70">
                  <c:v>0.38</c:v>
                </c:pt>
                <c:pt idx="71">
                  <c:v>0.48</c:v>
                </c:pt>
                <c:pt idx="72">
                  <c:v>0.35</c:v>
                </c:pt>
                <c:pt idx="73">
                  <c:v>0.34</c:v>
                </c:pt>
                <c:pt idx="74">
                  <c:v>0.19</c:v>
                </c:pt>
                <c:pt idx="75">
                  <c:v>0.46</c:v>
                </c:pt>
                <c:pt idx="76">
                  <c:v>0.47</c:v>
                </c:pt>
                <c:pt idx="77">
                  <c:v>0.04</c:v>
                </c:pt>
                <c:pt idx="78">
                  <c:v>0.5</c:v>
                </c:pt>
                <c:pt idx="79">
                  <c:v>0.33</c:v>
                </c:pt>
                <c:pt idx="80">
                  <c:v>0.43</c:v>
                </c:pt>
                <c:pt idx="81">
                  <c:v>0.46</c:v>
                </c:pt>
                <c:pt idx="82">
                  <c:v>0.03</c:v>
                </c:pt>
                <c:pt idx="83">
                  <c:v>0.54</c:v>
                </c:pt>
                <c:pt idx="84">
                  <c:v>0.14000000000000001</c:v>
                </c:pt>
                <c:pt idx="85">
                  <c:v>0.11</c:v>
                </c:pt>
                <c:pt idx="86">
                  <c:v>0.46</c:v>
                </c:pt>
                <c:pt idx="87">
                  <c:v>0.02</c:v>
                </c:pt>
                <c:pt idx="88">
                  <c:v>0.22</c:v>
                </c:pt>
                <c:pt idx="89">
                  <c:v>0.26</c:v>
                </c:pt>
                <c:pt idx="90">
                  <c:v>0.25</c:v>
                </c:pt>
                <c:pt idx="91">
                  <c:v>0.02</c:v>
                </c:pt>
                <c:pt idx="92">
                  <c:v>0.18</c:v>
                </c:pt>
                <c:pt idx="93">
                  <c:v>0.48</c:v>
                </c:pt>
                <c:pt idx="94">
                  <c:v>0.41</c:v>
                </c:pt>
                <c:pt idx="95">
                  <c:v>0.48</c:v>
                </c:pt>
                <c:pt idx="96">
                  <c:v>0.02</c:v>
                </c:pt>
                <c:pt idx="97">
                  <c:v>0.02</c:v>
                </c:pt>
                <c:pt idx="98">
                  <c:v>0.45</c:v>
                </c:pt>
                <c:pt idx="99">
                  <c:v>0.02</c:v>
                </c:pt>
                <c:pt idx="100">
                  <c:v>0.22</c:v>
                </c:pt>
                <c:pt idx="101">
                  <c:v>0.5</c:v>
                </c:pt>
                <c:pt idx="102">
                  <c:v>0.08</c:v>
                </c:pt>
                <c:pt idx="103">
                  <c:v>0.5</c:v>
                </c:pt>
                <c:pt idx="104">
                  <c:v>0.14000000000000001</c:v>
                </c:pt>
                <c:pt idx="105">
                  <c:v>0.43</c:v>
                </c:pt>
                <c:pt idx="106">
                  <c:v>0.37</c:v>
                </c:pt>
                <c:pt idx="107">
                  <c:v>0.43</c:v>
                </c:pt>
              </c:numCache>
            </c:numRef>
          </c:xVal>
          <c:yVal>
            <c:numRef>
              <c:f>DASHBOARD!$AN$40:$AN$147</c:f>
              <c:numCache>
                <c:formatCode>General</c:formatCode>
                <c:ptCount val="108"/>
                <c:pt idx="0">
                  <c:v>39</c:v>
                </c:pt>
                <c:pt idx="1">
                  <c:v>2</c:v>
                </c:pt>
                <c:pt idx="2">
                  <c:v>13</c:v>
                </c:pt>
                <c:pt idx="3">
                  <c:v>12</c:v>
                </c:pt>
                <c:pt idx="4">
                  <c:v>69</c:v>
                </c:pt>
                <c:pt idx="5">
                  <c:v>0</c:v>
                </c:pt>
                <c:pt idx="6">
                  <c:v>5</c:v>
                </c:pt>
                <c:pt idx="7">
                  <c:v>55</c:v>
                </c:pt>
                <c:pt idx="8">
                  <c:v>0</c:v>
                </c:pt>
                <c:pt idx="9">
                  <c:v>0</c:v>
                </c:pt>
                <c:pt idx="10">
                  <c:v>15</c:v>
                </c:pt>
                <c:pt idx="11">
                  <c:v>0</c:v>
                </c:pt>
                <c:pt idx="12">
                  <c:v>0</c:v>
                </c:pt>
                <c:pt idx="13">
                  <c:v>0</c:v>
                </c:pt>
                <c:pt idx="14">
                  <c:v>0</c:v>
                </c:pt>
                <c:pt idx="15">
                  <c:v>5</c:v>
                </c:pt>
                <c:pt idx="16">
                  <c:v>7</c:v>
                </c:pt>
                <c:pt idx="17">
                  <c:v>44</c:v>
                </c:pt>
                <c:pt idx="18">
                  <c:v>0</c:v>
                </c:pt>
                <c:pt idx="19">
                  <c:v>13</c:v>
                </c:pt>
                <c:pt idx="20">
                  <c:v>0</c:v>
                </c:pt>
                <c:pt idx="21">
                  <c:v>12</c:v>
                </c:pt>
                <c:pt idx="22">
                  <c:v>0</c:v>
                </c:pt>
                <c:pt idx="23">
                  <c:v>0</c:v>
                </c:pt>
                <c:pt idx="24">
                  <c:v>6</c:v>
                </c:pt>
                <c:pt idx="25">
                  <c:v>20</c:v>
                </c:pt>
                <c:pt idx="26">
                  <c:v>32</c:v>
                </c:pt>
                <c:pt idx="27">
                  <c:v>20</c:v>
                </c:pt>
                <c:pt idx="28">
                  <c:v>0</c:v>
                </c:pt>
                <c:pt idx="29">
                  <c:v>13</c:v>
                </c:pt>
                <c:pt idx="30">
                  <c:v>0</c:v>
                </c:pt>
                <c:pt idx="31">
                  <c:v>0</c:v>
                </c:pt>
                <c:pt idx="32">
                  <c:v>0</c:v>
                </c:pt>
                <c:pt idx="33">
                  <c:v>0</c:v>
                </c:pt>
                <c:pt idx="34">
                  <c:v>6</c:v>
                </c:pt>
                <c:pt idx="35">
                  <c:v>0</c:v>
                </c:pt>
                <c:pt idx="36">
                  <c:v>0</c:v>
                </c:pt>
                <c:pt idx="37">
                  <c:v>17</c:v>
                </c:pt>
                <c:pt idx="38">
                  <c:v>0</c:v>
                </c:pt>
                <c:pt idx="39">
                  <c:v>2</c:v>
                </c:pt>
                <c:pt idx="40">
                  <c:v>6</c:v>
                </c:pt>
                <c:pt idx="41">
                  <c:v>0</c:v>
                </c:pt>
                <c:pt idx="42">
                  <c:v>0</c:v>
                </c:pt>
                <c:pt idx="43">
                  <c:v>1</c:v>
                </c:pt>
                <c:pt idx="44">
                  <c:v>0</c:v>
                </c:pt>
                <c:pt idx="45">
                  <c:v>0</c:v>
                </c:pt>
                <c:pt idx="46">
                  <c:v>0</c:v>
                </c:pt>
                <c:pt idx="47">
                  <c:v>0</c:v>
                </c:pt>
                <c:pt idx="48">
                  <c:v>0</c:v>
                </c:pt>
                <c:pt idx="49">
                  <c:v>0</c:v>
                </c:pt>
                <c:pt idx="50">
                  <c:v>0</c:v>
                </c:pt>
                <c:pt idx="51">
                  <c:v>2</c:v>
                </c:pt>
                <c:pt idx="52">
                  <c:v>0</c:v>
                </c:pt>
                <c:pt idx="53">
                  <c:v>0</c:v>
                </c:pt>
                <c:pt idx="54">
                  <c:v>0</c:v>
                </c:pt>
                <c:pt idx="55">
                  <c:v>2</c:v>
                </c:pt>
                <c:pt idx="56">
                  <c:v>1</c:v>
                </c:pt>
                <c:pt idx="57">
                  <c:v>7</c:v>
                </c:pt>
                <c:pt idx="58">
                  <c:v>49</c:v>
                </c:pt>
                <c:pt idx="59">
                  <c:v>9</c:v>
                </c:pt>
                <c:pt idx="60">
                  <c:v>14</c:v>
                </c:pt>
                <c:pt idx="61">
                  <c:v>12</c:v>
                </c:pt>
                <c:pt idx="62">
                  <c:v>1</c:v>
                </c:pt>
                <c:pt idx="63">
                  <c:v>15</c:v>
                </c:pt>
                <c:pt idx="64">
                  <c:v>1</c:v>
                </c:pt>
                <c:pt idx="65">
                  <c:v>5</c:v>
                </c:pt>
                <c:pt idx="66">
                  <c:v>7</c:v>
                </c:pt>
                <c:pt idx="67">
                  <c:v>3</c:v>
                </c:pt>
                <c:pt idx="68">
                  <c:v>6</c:v>
                </c:pt>
                <c:pt idx="69">
                  <c:v>5</c:v>
                </c:pt>
                <c:pt idx="70">
                  <c:v>0</c:v>
                </c:pt>
                <c:pt idx="71">
                  <c:v>9</c:v>
                </c:pt>
                <c:pt idx="72">
                  <c:v>6</c:v>
                </c:pt>
                <c:pt idx="73">
                  <c:v>0</c:v>
                </c:pt>
                <c:pt idx="74">
                  <c:v>5</c:v>
                </c:pt>
                <c:pt idx="75">
                  <c:v>1</c:v>
                </c:pt>
                <c:pt idx="76">
                  <c:v>14</c:v>
                </c:pt>
                <c:pt idx="77">
                  <c:v>0</c:v>
                </c:pt>
                <c:pt idx="78">
                  <c:v>0</c:v>
                </c:pt>
                <c:pt idx="79">
                  <c:v>9</c:v>
                </c:pt>
                <c:pt idx="80">
                  <c:v>0</c:v>
                </c:pt>
                <c:pt idx="81">
                  <c:v>0</c:v>
                </c:pt>
                <c:pt idx="82">
                  <c:v>0</c:v>
                </c:pt>
                <c:pt idx="83">
                  <c:v>10</c:v>
                </c:pt>
                <c:pt idx="84">
                  <c:v>0</c:v>
                </c:pt>
                <c:pt idx="85">
                  <c:v>0</c:v>
                </c:pt>
                <c:pt idx="86">
                  <c:v>2</c:v>
                </c:pt>
                <c:pt idx="87">
                  <c:v>0</c:v>
                </c:pt>
                <c:pt idx="88">
                  <c:v>0</c:v>
                </c:pt>
                <c:pt idx="89">
                  <c:v>5</c:v>
                </c:pt>
                <c:pt idx="90">
                  <c:v>24</c:v>
                </c:pt>
                <c:pt idx="91">
                  <c:v>0</c:v>
                </c:pt>
                <c:pt idx="92">
                  <c:v>12</c:v>
                </c:pt>
                <c:pt idx="93">
                  <c:v>0</c:v>
                </c:pt>
                <c:pt idx="94">
                  <c:v>36</c:v>
                </c:pt>
                <c:pt idx="95">
                  <c:v>0</c:v>
                </c:pt>
                <c:pt idx="96">
                  <c:v>0</c:v>
                </c:pt>
                <c:pt idx="97">
                  <c:v>0</c:v>
                </c:pt>
                <c:pt idx="98">
                  <c:v>0</c:v>
                </c:pt>
                <c:pt idx="99">
                  <c:v>0</c:v>
                </c:pt>
                <c:pt idx="100">
                  <c:v>16</c:v>
                </c:pt>
                <c:pt idx="101">
                  <c:v>0</c:v>
                </c:pt>
                <c:pt idx="102">
                  <c:v>0</c:v>
                </c:pt>
                <c:pt idx="103">
                  <c:v>1</c:v>
                </c:pt>
                <c:pt idx="104">
                  <c:v>0</c:v>
                </c:pt>
                <c:pt idx="105">
                  <c:v>6</c:v>
                </c:pt>
                <c:pt idx="106">
                  <c:v>7</c:v>
                </c:pt>
                <c:pt idx="107">
                  <c:v>5</c:v>
                </c:pt>
              </c:numCache>
            </c:numRef>
          </c:yVal>
          <c:smooth val="0"/>
          <c:extLst>
            <c:ext xmlns:c16="http://schemas.microsoft.com/office/drawing/2014/chart" uri="{C3380CC4-5D6E-409C-BE32-E72D297353CC}">
              <c16:uniqueId val="{00000002-AEA3-45E3-9BFA-9E80EC3DA0E0}"/>
            </c:ext>
          </c:extLst>
        </c:ser>
        <c:dLbls>
          <c:showLegendKey val="0"/>
          <c:showVal val="0"/>
          <c:showCatName val="0"/>
          <c:showSerName val="0"/>
          <c:showPercent val="0"/>
          <c:showBubbleSize val="0"/>
        </c:dLbls>
        <c:axId val="664076816"/>
        <c:axId val="664075736"/>
      </c:scatterChart>
      <c:valAx>
        <c:axId val="6640768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5736"/>
        <c:crosses val="autoZero"/>
        <c:crossBetween val="midCat"/>
      </c:valAx>
      <c:valAx>
        <c:axId val="6640757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a:t>
                </a:r>
                <a:r>
                  <a:rPr lang="en-US">
                    <a:solidFill>
                      <a:schemeClr val="accent2"/>
                    </a:solidFill>
                  </a:rPr>
                  <a:t>Review</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6816"/>
        <c:crosses val="autoZero"/>
        <c:crossBetween val="midCat"/>
      </c:valAx>
      <c:spPr>
        <a:noFill/>
        <a:ln>
          <a:noFill/>
        </a:ln>
        <a:effectLst/>
      </c:spPr>
    </c:plotArea>
    <c:plotVisOnly val="0"/>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2"/>
                </a:solidFill>
              </a:rPr>
              <a:t>Review</a:t>
            </a:r>
            <a:r>
              <a:rPr lang="en-US"/>
              <a:t> </a:t>
            </a:r>
            <a:r>
              <a:rPr lang="en-US">
                <a:solidFill>
                  <a:schemeClr val="accent2"/>
                </a:solidFill>
              </a:rPr>
              <a:t>by</a:t>
            </a:r>
            <a:r>
              <a:rPr lang="en-US"/>
              <a:t> </a:t>
            </a:r>
            <a:r>
              <a:rPr lang="en-US">
                <a:solidFill>
                  <a:schemeClr val="accent2"/>
                </a:solidFill>
              </a:rPr>
              <a:t>Ratings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v>Ratings</c:v>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0.12167147856517935"/>
                  <c:y val="-0.4213684747739865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DASHBOARD!$AU$40:$AU$147</c:f>
              <c:numCache>
                <c:formatCode>General</c:formatCode>
                <c:ptCount val="108"/>
                <c:pt idx="0">
                  <c:v>4.7</c:v>
                </c:pt>
                <c:pt idx="1">
                  <c:v>4.5</c:v>
                </c:pt>
                <c:pt idx="2">
                  <c:v>3.8</c:v>
                </c:pt>
                <c:pt idx="3">
                  <c:v>4.7</c:v>
                </c:pt>
                <c:pt idx="4">
                  <c:v>2.8</c:v>
                </c:pt>
                <c:pt idx="5">
                  <c:v>0</c:v>
                </c:pt>
                <c:pt idx="6">
                  <c:v>3.8</c:v>
                </c:pt>
                <c:pt idx="7">
                  <c:v>4.5999999999999996</c:v>
                </c:pt>
                <c:pt idx="8">
                  <c:v>0</c:v>
                </c:pt>
                <c:pt idx="9">
                  <c:v>0</c:v>
                </c:pt>
                <c:pt idx="10">
                  <c:v>4</c:v>
                </c:pt>
                <c:pt idx="11">
                  <c:v>0</c:v>
                </c:pt>
                <c:pt idx="12">
                  <c:v>0</c:v>
                </c:pt>
                <c:pt idx="13">
                  <c:v>0</c:v>
                </c:pt>
                <c:pt idx="14">
                  <c:v>0</c:v>
                </c:pt>
                <c:pt idx="15">
                  <c:v>3</c:v>
                </c:pt>
                <c:pt idx="16">
                  <c:v>2.2999999999999998</c:v>
                </c:pt>
                <c:pt idx="17">
                  <c:v>4.5999999999999996</c:v>
                </c:pt>
                <c:pt idx="18">
                  <c:v>0</c:v>
                </c:pt>
                <c:pt idx="19">
                  <c:v>3.3</c:v>
                </c:pt>
                <c:pt idx="20">
                  <c:v>0</c:v>
                </c:pt>
                <c:pt idx="21">
                  <c:v>4.8</c:v>
                </c:pt>
                <c:pt idx="22">
                  <c:v>0</c:v>
                </c:pt>
                <c:pt idx="23">
                  <c:v>0</c:v>
                </c:pt>
                <c:pt idx="24">
                  <c:v>2.5</c:v>
                </c:pt>
                <c:pt idx="25">
                  <c:v>4.0999999999999996</c:v>
                </c:pt>
                <c:pt idx="26">
                  <c:v>4.5</c:v>
                </c:pt>
                <c:pt idx="27">
                  <c:v>4.7</c:v>
                </c:pt>
                <c:pt idx="28">
                  <c:v>0</c:v>
                </c:pt>
                <c:pt idx="29">
                  <c:v>2.1</c:v>
                </c:pt>
                <c:pt idx="30">
                  <c:v>0</c:v>
                </c:pt>
                <c:pt idx="31">
                  <c:v>0</c:v>
                </c:pt>
                <c:pt idx="32">
                  <c:v>0</c:v>
                </c:pt>
                <c:pt idx="33">
                  <c:v>0</c:v>
                </c:pt>
                <c:pt idx="34">
                  <c:v>2.2000000000000002</c:v>
                </c:pt>
                <c:pt idx="35">
                  <c:v>0</c:v>
                </c:pt>
                <c:pt idx="36">
                  <c:v>0</c:v>
                </c:pt>
                <c:pt idx="37">
                  <c:v>2.6</c:v>
                </c:pt>
                <c:pt idx="38">
                  <c:v>0</c:v>
                </c:pt>
                <c:pt idx="39">
                  <c:v>5</c:v>
                </c:pt>
                <c:pt idx="40">
                  <c:v>2.2000000000000002</c:v>
                </c:pt>
                <c:pt idx="41">
                  <c:v>0</c:v>
                </c:pt>
                <c:pt idx="42">
                  <c:v>0</c:v>
                </c:pt>
                <c:pt idx="43">
                  <c:v>5</c:v>
                </c:pt>
                <c:pt idx="44">
                  <c:v>0</c:v>
                </c:pt>
                <c:pt idx="45">
                  <c:v>0</c:v>
                </c:pt>
                <c:pt idx="46">
                  <c:v>0</c:v>
                </c:pt>
                <c:pt idx="47">
                  <c:v>0</c:v>
                </c:pt>
                <c:pt idx="48">
                  <c:v>0</c:v>
                </c:pt>
                <c:pt idx="49">
                  <c:v>0</c:v>
                </c:pt>
                <c:pt idx="50">
                  <c:v>0</c:v>
                </c:pt>
                <c:pt idx="51">
                  <c:v>5</c:v>
                </c:pt>
                <c:pt idx="52">
                  <c:v>0</c:v>
                </c:pt>
                <c:pt idx="53">
                  <c:v>0</c:v>
                </c:pt>
                <c:pt idx="54">
                  <c:v>0</c:v>
                </c:pt>
                <c:pt idx="55">
                  <c:v>4</c:v>
                </c:pt>
                <c:pt idx="56">
                  <c:v>5</c:v>
                </c:pt>
                <c:pt idx="57">
                  <c:v>2.1</c:v>
                </c:pt>
                <c:pt idx="58">
                  <c:v>4.5999999999999996</c:v>
                </c:pt>
                <c:pt idx="59">
                  <c:v>4.3</c:v>
                </c:pt>
                <c:pt idx="60">
                  <c:v>4.4000000000000004</c:v>
                </c:pt>
                <c:pt idx="61">
                  <c:v>4.0999999999999996</c:v>
                </c:pt>
                <c:pt idx="62">
                  <c:v>4</c:v>
                </c:pt>
                <c:pt idx="63">
                  <c:v>2.7</c:v>
                </c:pt>
                <c:pt idx="64">
                  <c:v>5</c:v>
                </c:pt>
                <c:pt idx="65">
                  <c:v>3</c:v>
                </c:pt>
                <c:pt idx="66">
                  <c:v>4.3</c:v>
                </c:pt>
                <c:pt idx="67">
                  <c:v>5</c:v>
                </c:pt>
                <c:pt idx="68">
                  <c:v>4.5</c:v>
                </c:pt>
                <c:pt idx="69">
                  <c:v>4.8</c:v>
                </c:pt>
                <c:pt idx="70">
                  <c:v>0</c:v>
                </c:pt>
                <c:pt idx="71">
                  <c:v>4.3</c:v>
                </c:pt>
                <c:pt idx="72">
                  <c:v>4</c:v>
                </c:pt>
                <c:pt idx="73">
                  <c:v>0</c:v>
                </c:pt>
                <c:pt idx="74">
                  <c:v>4.5999999999999996</c:v>
                </c:pt>
                <c:pt idx="75">
                  <c:v>3</c:v>
                </c:pt>
                <c:pt idx="76">
                  <c:v>4.0999999999999996</c:v>
                </c:pt>
                <c:pt idx="77">
                  <c:v>0</c:v>
                </c:pt>
                <c:pt idx="78">
                  <c:v>0</c:v>
                </c:pt>
                <c:pt idx="79">
                  <c:v>4.2</c:v>
                </c:pt>
                <c:pt idx="80">
                  <c:v>0</c:v>
                </c:pt>
                <c:pt idx="81">
                  <c:v>0</c:v>
                </c:pt>
                <c:pt idx="82">
                  <c:v>0</c:v>
                </c:pt>
                <c:pt idx="83">
                  <c:v>3</c:v>
                </c:pt>
                <c:pt idx="84">
                  <c:v>0</c:v>
                </c:pt>
                <c:pt idx="85">
                  <c:v>0</c:v>
                </c:pt>
                <c:pt idx="86">
                  <c:v>5</c:v>
                </c:pt>
                <c:pt idx="87">
                  <c:v>0</c:v>
                </c:pt>
                <c:pt idx="88">
                  <c:v>0</c:v>
                </c:pt>
                <c:pt idx="89">
                  <c:v>4.8</c:v>
                </c:pt>
                <c:pt idx="90">
                  <c:v>4.5999999999999996</c:v>
                </c:pt>
                <c:pt idx="91">
                  <c:v>0</c:v>
                </c:pt>
                <c:pt idx="92">
                  <c:v>3.8</c:v>
                </c:pt>
                <c:pt idx="93">
                  <c:v>0</c:v>
                </c:pt>
                <c:pt idx="94">
                  <c:v>4.3</c:v>
                </c:pt>
                <c:pt idx="95">
                  <c:v>0</c:v>
                </c:pt>
                <c:pt idx="96">
                  <c:v>0</c:v>
                </c:pt>
                <c:pt idx="97">
                  <c:v>0</c:v>
                </c:pt>
                <c:pt idx="98">
                  <c:v>0</c:v>
                </c:pt>
                <c:pt idx="99">
                  <c:v>0</c:v>
                </c:pt>
                <c:pt idx="100">
                  <c:v>2.9</c:v>
                </c:pt>
                <c:pt idx="101">
                  <c:v>0</c:v>
                </c:pt>
                <c:pt idx="102">
                  <c:v>0</c:v>
                </c:pt>
                <c:pt idx="103">
                  <c:v>2</c:v>
                </c:pt>
                <c:pt idx="104">
                  <c:v>0</c:v>
                </c:pt>
                <c:pt idx="105">
                  <c:v>2.2999999999999998</c:v>
                </c:pt>
                <c:pt idx="106">
                  <c:v>4.7</c:v>
                </c:pt>
                <c:pt idx="107">
                  <c:v>3</c:v>
                </c:pt>
              </c:numCache>
            </c:numRef>
          </c:xVal>
          <c:yVal>
            <c:numRef>
              <c:f>DASHBOARD!$AV$40:$AV$147</c:f>
              <c:numCache>
                <c:formatCode>General</c:formatCode>
                <c:ptCount val="108"/>
                <c:pt idx="0">
                  <c:v>39</c:v>
                </c:pt>
                <c:pt idx="1">
                  <c:v>2</c:v>
                </c:pt>
                <c:pt idx="2">
                  <c:v>13</c:v>
                </c:pt>
                <c:pt idx="3">
                  <c:v>12</c:v>
                </c:pt>
                <c:pt idx="4">
                  <c:v>69</c:v>
                </c:pt>
                <c:pt idx="5">
                  <c:v>0</c:v>
                </c:pt>
                <c:pt idx="6">
                  <c:v>5</c:v>
                </c:pt>
                <c:pt idx="7">
                  <c:v>55</c:v>
                </c:pt>
                <c:pt idx="8">
                  <c:v>0</c:v>
                </c:pt>
                <c:pt idx="9">
                  <c:v>0</c:v>
                </c:pt>
                <c:pt idx="10">
                  <c:v>15</c:v>
                </c:pt>
                <c:pt idx="11">
                  <c:v>0</c:v>
                </c:pt>
                <c:pt idx="12">
                  <c:v>0</c:v>
                </c:pt>
                <c:pt idx="13">
                  <c:v>0</c:v>
                </c:pt>
                <c:pt idx="14">
                  <c:v>0</c:v>
                </c:pt>
                <c:pt idx="15">
                  <c:v>5</c:v>
                </c:pt>
                <c:pt idx="16">
                  <c:v>7</c:v>
                </c:pt>
                <c:pt idx="17">
                  <c:v>44</c:v>
                </c:pt>
                <c:pt idx="18">
                  <c:v>0</c:v>
                </c:pt>
                <c:pt idx="19">
                  <c:v>13</c:v>
                </c:pt>
                <c:pt idx="20">
                  <c:v>0</c:v>
                </c:pt>
                <c:pt idx="21">
                  <c:v>12</c:v>
                </c:pt>
                <c:pt idx="22">
                  <c:v>0</c:v>
                </c:pt>
                <c:pt idx="23">
                  <c:v>0</c:v>
                </c:pt>
                <c:pt idx="24">
                  <c:v>6</c:v>
                </c:pt>
                <c:pt idx="25">
                  <c:v>20</c:v>
                </c:pt>
                <c:pt idx="26">
                  <c:v>32</c:v>
                </c:pt>
                <c:pt idx="27">
                  <c:v>20</c:v>
                </c:pt>
                <c:pt idx="28">
                  <c:v>0</c:v>
                </c:pt>
                <c:pt idx="29">
                  <c:v>13</c:v>
                </c:pt>
                <c:pt idx="30">
                  <c:v>0</c:v>
                </c:pt>
                <c:pt idx="31">
                  <c:v>0</c:v>
                </c:pt>
                <c:pt idx="32">
                  <c:v>0</c:v>
                </c:pt>
                <c:pt idx="33">
                  <c:v>0</c:v>
                </c:pt>
                <c:pt idx="34">
                  <c:v>6</c:v>
                </c:pt>
                <c:pt idx="35">
                  <c:v>0</c:v>
                </c:pt>
                <c:pt idx="36">
                  <c:v>0</c:v>
                </c:pt>
                <c:pt idx="37">
                  <c:v>17</c:v>
                </c:pt>
                <c:pt idx="38">
                  <c:v>0</c:v>
                </c:pt>
                <c:pt idx="39">
                  <c:v>2</c:v>
                </c:pt>
                <c:pt idx="40">
                  <c:v>6</c:v>
                </c:pt>
                <c:pt idx="41">
                  <c:v>0</c:v>
                </c:pt>
                <c:pt idx="42">
                  <c:v>0</c:v>
                </c:pt>
                <c:pt idx="43">
                  <c:v>1</c:v>
                </c:pt>
                <c:pt idx="44">
                  <c:v>0</c:v>
                </c:pt>
                <c:pt idx="45">
                  <c:v>0</c:v>
                </c:pt>
                <c:pt idx="46">
                  <c:v>0</c:v>
                </c:pt>
                <c:pt idx="47">
                  <c:v>0</c:v>
                </c:pt>
                <c:pt idx="48">
                  <c:v>0</c:v>
                </c:pt>
                <c:pt idx="49">
                  <c:v>0</c:v>
                </c:pt>
                <c:pt idx="50">
                  <c:v>0</c:v>
                </c:pt>
                <c:pt idx="51">
                  <c:v>2</c:v>
                </c:pt>
                <c:pt idx="52">
                  <c:v>0</c:v>
                </c:pt>
                <c:pt idx="53">
                  <c:v>0</c:v>
                </c:pt>
                <c:pt idx="54">
                  <c:v>0</c:v>
                </c:pt>
                <c:pt idx="55">
                  <c:v>2</c:v>
                </c:pt>
                <c:pt idx="56">
                  <c:v>1</c:v>
                </c:pt>
                <c:pt idx="57">
                  <c:v>7</c:v>
                </c:pt>
                <c:pt idx="58">
                  <c:v>49</c:v>
                </c:pt>
                <c:pt idx="59">
                  <c:v>9</c:v>
                </c:pt>
                <c:pt idx="60">
                  <c:v>14</c:v>
                </c:pt>
                <c:pt idx="61">
                  <c:v>12</c:v>
                </c:pt>
                <c:pt idx="62">
                  <c:v>1</c:v>
                </c:pt>
                <c:pt idx="63">
                  <c:v>15</c:v>
                </c:pt>
                <c:pt idx="64">
                  <c:v>1</c:v>
                </c:pt>
                <c:pt idx="65">
                  <c:v>5</c:v>
                </c:pt>
                <c:pt idx="66">
                  <c:v>7</c:v>
                </c:pt>
                <c:pt idx="67">
                  <c:v>3</c:v>
                </c:pt>
                <c:pt idx="68">
                  <c:v>6</c:v>
                </c:pt>
                <c:pt idx="69">
                  <c:v>5</c:v>
                </c:pt>
                <c:pt idx="70">
                  <c:v>0</c:v>
                </c:pt>
                <c:pt idx="71">
                  <c:v>9</c:v>
                </c:pt>
                <c:pt idx="72">
                  <c:v>6</c:v>
                </c:pt>
                <c:pt idx="73">
                  <c:v>0</c:v>
                </c:pt>
                <c:pt idx="74">
                  <c:v>5</c:v>
                </c:pt>
                <c:pt idx="75">
                  <c:v>1</c:v>
                </c:pt>
                <c:pt idx="76">
                  <c:v>14</c:v>
                </c:pt>
                <c:pt idx="77">
                  <c:v>0</c:v>
                </c:pt>
                <c:pt idx="78">
                  <c:v>0</c:v>
                </c:pt>
                <c:pt idx="79">
                  <c:v>9</c:v>
                </c:pt>
                <c:pt idx="80">
                  <c:v>0</c:v>
                </c:pt>
                <c:pt idx="81">
                  <c:v>0</c:v>
                </c:pt>
                <c:pt idx="82">
                  <c:v>0</c:v>
                </c:pt>
                <c:pt idx="83">
                  <c:v>10</c:v>
                </c:pt>
                <c:pt idx="84">
                  <c:v>0</c:v>
                </c:pt>
                <c:pt idx="85">
                  <c:v>0</c:v>
                </c:pt>
                <c:pt idx="86">
                  <c:v>2</c:v>
                </c:pt>
                <c:pt idx="87">
                  <c:v>0</c:v>
                </c:pt>
                <c:pt idx="88">
                  <c:v>0</c:v>
                </c:pt>
                <c:pt idx="89">
                  <c:v>5</c:v>
                </c:pt>
                <c:pt idx="90">
                  <c:v>24</c:v>
                </c:pt>
                <c:pt idx="91">
                  <c:v>0</c:v>
                </c:pt>
                <c:pt idx="92">
                  <c:v>12</c:v>
                </c:pt>
                <c:pt idx="93">
                  <c:v>0</c:v>
                </c:pt>
                <c:pt idx="94">
                  <c:v>36</c:v>
                </c:pt>
                <c:pt idx="95">
                  <c:v>0</c:v>
                </c:pt>
                <c:pt idx="96">
                  <c:v>0</c:v>
                </c:pt>
                <c:pt idx="97">
                  <c:v>0</c:v>
                </c:pt>
                <c:pt idx="98">
                  <c:v>0</c:v>
                </c:pt>
                <c:pt idx="99">
                  <c:v>0</c:v>
                </c:pt>
                <c:pt idx="100">
                  <c:v>16</c:v>
                </c:pt>
                <c:pt idx="101">
                  <c:v>0</c:v>
                </c:pt>
                <c:pt idx="102">
                  <c:v>0</c:v>
                </c:pt>
                <c:pt idx="103">
                  <c:v>1</c:v>
                </c:pt>
                <c:pt idx="104">
                  <c:v>0</c:v>
                </c:pt>
                <c:pt idx="105">
                  <c:v>6</c:v>
                </c:pt>
                <c:pt idx="106">
                  <c:v>7</c:v>
                </c:pt>
                <c:pt idx="107">
                  <c:v>5</c:v>
                </c:pt>
              </c:numCache>
            </c:numRef>
          </c:yVal>
          <c:smooth val="0"/>
          <c:extLst>
            <c:ext xmlns:c16="http://schemas.microsoft.com/office/drawing/2014/chart" uri="{C3380CC4-5D6E-409C-BE32-E72D297353CC}">
              <c16:uniqueId val="{00000002-565F-405E-8B75-545058287EE1}"/>
            </c:ext>
          </c:extLst>
        </c:ser>
        <c:dLbls>
          <c:showLegendKey val="0"/>
          <c:showVal val="0"/>
          <c:showCatName val="0"/>
          <c:showSerName val="0"/>
          <c:showPercent val="0"/>
          <c:showBubbleSize val="0"/>
        </c:dLbls>
        <c:axId val="664081136"/>
        <c:axId val="664075376"/>
      </c:scatterChart>
      <c:valAx>
        <c:axId val="6640811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Ratings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5376"/>
        <c:crosses val="autoZero"/>
        <c:crossBetween val="midCat"/>
      </c:valAx>
      <c:valAx>
        <c:axId val="66407537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Reviews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81136"/>
        <c:crosses val="autoZero"/>
        <c:crossBetween val="midCat"/>
      </c:valAx>
      <c:spPr>
        <a:noFill/>
        <a:ln>
          <a:noFill/>
        </a:ln>
        <a:effectLst/>
      </c:spPr>
    </c:plotArea>
    <c:plotVisOnly val="0"/>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EXCEL PROJECT.xlsx]Descriptive 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Product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s>
    <c:plotArea>
      <c:layout/>
      <c:doughnutChart>
        <c:varyColors val="1"/>
        <c:ser>
          <c:idx val="0"/>
          <c:order val="0"/>
          <c:tx>
            <c:strRef>
              <c:f>'Descriptive Analysis'!$C$18</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B7E3-4DAB-9B1E-04399D85FD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E3-4DAB-9B1E-04399D85FD5D}"/>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B7E3-4DAB-9B1E-04399D85FD5D}"/>
              </c:ext>
            </c:extLst>
          </c:dPt>
          <c:cat>
            <c:strRef>
              <c:f>'Descriptive Analysis'!$B$19:$B$22</c:f>
              <c:strCache>
                <c:ptCount val="3"/>
                <c:pt idx="0">
                  <c:v>Average</c:v>
                </c:pt>
                <c:pt idx="1">
                  <c:v>Excelent</c:v>
                </c:pt>
                <c:pt idx="2">
                  <c:v>Poor</c:v>
                </c:pt>
              </c:strCache>
            </c:strRef>
          </c:cat>
          <c:val>
            <c:numRef>
              <c:f>'Descriptive Analysis'!$C$19:$C$22</c:f>
              <c:numCache>
                <c:formatCode>General</c:formatCode>
                <c:ptCount val="3"/>
                <c:pt idx="0">
                  <c:v>22</c:v>
                </c:pt>
                <c:pt idx="1">
                  <c:v>22</c:v>
                </c:pt>
                <c:pt idx="2">
                  <c:v>64</c:v>
                </c:pt>
              </c:numCache>
            </c:numRef>
          </c:val>
          <c:extLst>
            <c:ext xmlns:c16="http://schemas.microsoft.com/office/drawing/2014/chart" uri="{C3380CC4-5D6E-409C-BE32-E72D297353CC}">
              <c16:uniqueId val="{00000006-B7E3-4DAB-9B1E-04399D85FD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PROJECT.xlsx]Descriptive 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Average of Ratings</a:t>
            </a:r>
          </a:p>
        </c:rich>
      </c:tx>
      <c:layout>
        <c:manualLayout>
          <c:xMode val="edge"/>
          <c:yMode val="edge"/>
          <c:x val="0.3455277777777777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hade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6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tint val="6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hade val="65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tint val="65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hade val="65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tint val="65000"/>
            </a:schemeClr>
          </a:solidFill>
          <a:ln w="19050">
            <a:solidFill>
              <a:schemeClr val="lt1"/>
            </a:solidFill>
          </a:ln>
          <a:effectLst/>
        </c:spPr>
      </c:pivotFmt>
    </c:pivotFmts>
    <c:plotArea>
      <c:layout/>
      <c:pieChart>
        <c:varyColors val="1"/>
        <c:ser>
          <c:idx val="0"/>
          <c:order val="0"/>
          <c:tx>
            <c:strRef>
              <c:f>'Descriptive Analysis'!$C$10</c:f>
              <c:strCache>
                <c:ptCount val="1"/>
                <c:pt idx="0">
                  <c:v>Average of Ratings</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D88A-466C-8D41-FA00A6D6A93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88A-466C-8D41-FA00A6D6A93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D88A-466C-8D41-FA00A6D6A932}"/>
              </c:ext>
            </c:extLst>
          </c:dPt>
          <c:cat>
            <c:strRef>
              <c:f>'Descriptive Analysis'!$B$11:$B$14</c:f>
              <c:strCache>
                <c:ptCount val="3"/>
                <c:pt idx="0">
                  <c:v>High Discount</c:v>
                </c:pt>
                <c:pt idx="1">
                  <c:v>Low Discount</c:v>
                </c:pt>
                <c:pt idx="2">
                  <c:v>Medium Discount</c:v>
                </c:pt>
              </c:strCache>
            </c:strRef>
          </c:cat>
          <c:val>
            <c:numRef>
              <c:f>'Descriptive Analysis'!$C$11:$C$14</c:f>
              <c:numCache>
                <c:formatCode>0.00</c:formatCode>
                <c:ptCount val="3"/>
                <c:pt idx="0">
                  <c:v>3.6133333333333324</c:v>
                </c:pt>
                <c:pt idx="1">
                  <c:v>3.8</c:v>
                </c:pt>
                <c:pt idx="2">
                  <c:v>4.276190476190477</c:v>
                </c:pt>
              </c:numCache>
            </c:numRef>
          </c:val>
          <c:extLst>
            <c:ext xmlns:c16="http://schemas.microsoft.com/office/drawing/2014/chart" uri="{C3380CC4-5D6E-409C-BE32-E72D297353CC}">
              <c16:uniqueId val="{00000006-D88A-466C-8D41-FA00A6D6A932}"/>
            </c:ext>
          </c:extLst>
        </c:ser>
        <c:ser>
          <c:idx val="1"/>
          <c:order val="1"/>
          <c:tx>
            <c:strRef>
              <c:f>'Descriptive Analysis'!$D$10</c:f>
              <c:strCache>
                <c:ptCount val="1"/>
                <c:pt idx="0">
                  <c:v>Average of Discount</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8-D88A-466C-8D41-FA00A6D6A93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A-D88A-466C-8D41-FA00A6D6A93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C-D88A-466C-8D41-FA00A6D6A932}"/>
              </c:ext>
            </c:extLst>
          </c:dPt>
          <c:cat>
            <c:strRef>
              <c:f>'Descriptive Analysis'!$B$11:$B$14</c:f>
              <c:strCache>
                <c:ptCount val="3"/>
                <c:pt idx="0">
                  <c:v>High Discount</c:v>
                </c:pt>
                <c:pt idx="1">
                  <c:v>Low Discount</c:v>
                </c:pt>
                <c:pt idx="2">
                  <c:v>Medium Discount</c:v>
                </c:pt>
              </c:strCache>
            </c:strRef>
          </c:cat>
          <c:val>
            <c:numRef>
              <c:f>'Descriptive Analysis'!$D$11:$D$14</c:f>
              <c:numCache>
                <c:formatCode>0%</c:formatCode>
                <c:ptCount val="3"/>
                <c:pt idx="0">
                  <c:v>0.48203389830508458</c:v>
                </c:pt>
                <c:pt idx="1">
                  <c:v>7.8947368421052641E-2</c:v>
                </c:pt>
                <c:pt idx="2">
                  <c:v>0.31133333333333335</c:v>
                </c:pt>
              </c:numCache>
            </c:numRef>
          </c:val>
          <c:extLst>
            <c:ext xmlns:c16="http://schemas.microsoft.com/office/drawing/2014/chart" uri="{C3380CC4-5D6E-409C-BE32-E72D297353CC}">
              <c16:uniqueId val="{0000000D-D88A-466C-8D41-FA00A6D6A9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500062</xdr:colOff>
      <xdr:row>19</xdr:row>
      <xdr:rowOff>128587</xdr:rowOff>
    </xdr:from>
    <xdr:to>
      <xdr:col>8</xdr:col>
      <xdr:colOff>119062</xdr:colOff>
      <xdr:row>34</xdr:row>
      <xdr:rowOff>14287</xdr:rowOff>
    </xdr:to>
    <xdr:graphicFrame macro="">
      <xdr:nvGraphicFramePr>
        <xdr:cNvPr id="6" name="Chart 5">
          <a:extLst>
            <a:ext uri="{FF2B5EF4-FFF2-40B4-BE49-F238E27FC236}">
              <a16:creationId xmlns:a16="http://schemas.microsoft.com/office/drawing/2014/main" id="{699E2918-53F1-47D7-4CE0-D0D3CBC8B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476250</xdr:colOff>
      <xdr:row>3</xdr:row>
      <xdr:rowOff>138112</xdr:rowOff>
    </xdr:from>
    <xdr:to>
      <xdr:col>10</xdr:col>
      <xdr:colOff>142875</xdr:colOff>
      <xdr:row>18</xdr:row>
      <xdr:rowOff>23812</xdr:rowOff>
    </xdr:to>
    <xdr:graphicFrame macro="">
      <xdr:nvGraphicFramePr>
        <xdr:cNvPr id="7" name="Chart 6">
          <a:extLst>
            <a:ext uri="{FF2B5EF4-FFF2-40B4-BE49-F238E27FC236}">
              <a16:creationId xmlns:a16="http://schemas.microsoft.com/office/drawing/2014/main" id="{045A3090-FD0A-82C2-B54B-4CB85F0DC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314325</xdr:colOff>
      <xdr:row>8</xdr:row>
      <xdr:rowOff>104775</xdr:rowOff>
    </xdr:from>
    <xdr:to>
      <xdr:col>14</xdr:col>
      <xdr:colOff>314325</xdr:colOff>
      <xdr:row>21</xdr:row>
      <xdr:rowOff>152400</xdr:rowOff>
    </xdr:to>
    <mc:AlternateContent xmlns:mc="http://schemas.openxmlformats.org/markup-compatibility/2006" xmlns:a14="http://schemas.microsoft.com/office/drawing/2010/main">
      <mc:Choice Requires="a14">
        <xdr:graphicFrame macro="">
          <xdr:nvGraphicFramePr>
            <xdr:cNvPr id="8" name="Rating Category">
              <a:extLst>
                <a:ext uri="{FF2B5EF4-FFF2-40B4-BE49-F238E27FC236}">
                  <a16:creationId xmlns:a16="http://schemas.microsoft.com/office/drawing/2014/main" id="{1E402A2A-037E-7F61-05B7-CC212531CA3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9648825" y="1628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xdr:colOff>
      <xdr:row>23</xdr:row>
      <xdr:rowOff>171450</xdr:rowOff>
    </xdr:from>
    <xdr:to>
      <xdr:col>12</xdr:col>
      <xdr:colOff>28575</xdr:colOff>
      <xdr:row>37</xdr:row>
      <xdr:rowOff>28575</xdr:rowOff>
    </xdr:to>
    <mc:AlternateContent xmlns:mc="http://schemas.openxmlformats.org/markup-compatibility/2006" xmlns:a14="http://schemas.microsoft.com/office/drawing/2010/main">
      <mc:Choice Requires="a14">
        <xdr:graphicFrame macro="">
          <xdr:nvGraphicFramePr>
            <xdr:cNvPr id="9" name="Discount Category">
              <a:extLst>
                <a:ext uri="{FF2B5EF4-FFF2-40B4-BE49-F238E27FC236}">
                  <a16:creationId xmlns:a16="http://schemas.microsoft.com/office/drawing/2014/main" id="{A9D17BE5-D7A7-E99A-0C17-6642E5D036BD}"/>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8143875" y="455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0</xdr:rowOff>
    </xdr:from>
    <xdr:to>
      <xdr:col>10</xdr:col>
      <xdr:colOff>304800</xdr:colOff>
      <xdr:row>19</xdr:row>
      <xdr:rowOff>76200</xdr:rowOff>
    </xdr:to>
    <xdr:graphicFrame macro="">
      <xdr:nvGraphicFramePr>
        <xdr:cNvPr id="10" name="Chart 9">
          <a:extLst>
            <a:ext uri="{FF2B5EF4-FFF2-40B4-BE49-F238E27FC236}">
              <a16:creationId xmlns:a16="http://schemas.microsoft.com/office/drawing/2014/main" id="{B92B9987-3E0A-4ABA-A52F-C0839D8E1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24</xdr:row>
      <xdr:rowOff>133350</xdr:rowOff>
    </xdr:from>
    <xdr:to>
      <xdr:col>10</xdr:col>
      <xdr:colOff>57150</xdr:colOff>
      <xdr:row>39</xdr:row>
      <xdr:rowOff>19050</xdr:rowOff>
    </xdr:to>
    <xdr:graphicFrame macro="">
      <xdr:nvGraphicFramePr>
        <xdr:cNvPr id="12" name="Chart 11">
          <a:extLst>
            <a:ext uri="{FF2B5EF4-FFF2-40B4-BE49-F238E27FC236}">
              <a16:creationId xmlns:a16="http://schemas.microsoft.com/office/drawing/2014/main" id="{0D10B30C-4125-473A-AB0B-1234DA953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771317</xdr:colOff>
      <xdr:row>14</xdr:row>
      <xdr:rowOff>160888</xdr:rowOff>
    </xdr:from>
    <xdr:to>
      <xdr:col>5</xdr:col>
      <xdr:colOff>165653</xdr:colOff>
      <xdr:row>31</xdr:row>
      <xdr:rowOff>132521</xdr:rowOff>
    </xdr:to>
    <xdr:graphicFrame macro="">
      <xdr:nvGraphicFramePr>
        <xdr:cNvPr id="2" name="Chart 1">
          <a:extLst>
            <a:ext uri="{FF2B5EF4-FFF2-40B4-BE49-F238E27FC236}">
              <a16:creationId xmlns:a16="http://schemas.microsoft.com/office/drawing/2014/main" id="{5D51C027-2652-5070-5F02-F05ABE9EA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501097</xdr:colOff>
      <xdr:row>55</xdr:row>
      <xdr:rowOff>185529</xdr:rowOff>
    </xdr:from>
    <xdr:to>
      <xdr:col>6</xdr:col>
      <xdr:colOff>299103</xdr:colOff>
      <xdr:row>73</xdr:row>
      <xdr:rowOff>136831</xdr:rowOff>
    </xdr:to>
    <xdr:graphicFrame macro="">
      <xdr:nvGraphicFramePr>
        <xdr:cNvPr id="3" name="Chart 2">
          <a:extLst>
            <a:ext uri="{FF2B5EF4-FFF2-40B4-BE49-F238E27FC236}">
              <a16:creationId xmlns:a16="http://schemas.microsoft.com/office/drawing/2014/main" id="{F1E1E1B1-074E-5B5F-A4D3-2E2A862F0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524352</xdr:colOff>
      <xdr:row>20</xdr:row>
      <xdr:rowOff>2357</xdr:rowOff>
    </xdr:from>
    <xdr:to>
      <xdr:col>5</xdr:col>
      <xdr:colOff>530087</xdr:colOff>
      <xdr:row>34</xdr:row>
      <xdr:rowOff>78557</xdr:rowOff>
    </xdr:to>
    <xdr:graphicFrame macro="">
      <xdr:nvGraphicFramePr>
        <xdr:cNvPr id="3" name="Chart 2">
          <a:extLst>
            <a:ext uri="{FF2B5EF4-FFF2-40B4-BE49-F238E27FC236}">
              <a16:creationId xmlns:a16="http://schemas.microsoft.com/office/drawing/2014/main" id="{DBF27150-E3F5-DF81-B50A-5682D97CA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84730</xdr:colOff>
      <xdr:row>9</xdr:row>
      <xdr:rowOff>102001</xdr:rowOff>
    </xdr:from>
    <xdr:to>
      <xdr:col>9</xdr:col>
      <xdr:colOff>313330</xdr:colOff>
      <xdr:row>23</xdr:row>
      <xdr:rowOff>176107</xdr:rowOff>
    </xdr:to>
    <xdr:graphicFrame macro="">
      <xdr:nvGraphicFramePr>
        <xdr:cNvPr id="2" name="Chart 1">
          <a:extLst>
            <a:ext uri="{FF2B5EF4-FFF2-40B4-BE49-F238E27FC236}">
              <a16:creationId xmlns:a16="http://schemas.microsoft.com/office/drawing/2014/main" id="{1027EF6C-D34F-D78F-DF76-2E59C1FCB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518851</xdr:colOff>
      <xdr:row>29</xdr:row>
      <xdr:rowOff>79759</xdr:rowOff>
    </xdr:from>
    <xdr:to>
      <xdr:col>9</xdr:col>
      <xdr:colOff>86772</xdr:colOff>
      <xdr:row>42</xdr:row>
      <xdr:rowOff>154598</xdr:rowOff>
    </xdr:to>
    <mc:AlternateContent xmlns:mc="http://schemas.openxmlformats.org/markup-compatibility/2006" xmlns:a14="http://schemas.microsoft.com/office/drawing/2010/main">
      <mc:Choice Requires="a14">
        <xdr:graphicFrame macro="">
          <xdr:nvGraphicFramePr>
            <xdr:cNvPr id="3" name="PRICE Category">
              <a:extLst>
                <a:ext uri="{FF2B5EF4-FFF2-40B4-BE49-F238E27FC236}">
                  <a16:creationId xmlns:a16="http://schemas.microsoft.com/office/drawing/2014/main" id="{5557EF45-D75A-5BB6-4040-26EDDEEEB947}"/>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5972175" y="5543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150428</xdr:colOff>
      <xdr:row>0</xdr:row>
      <xdr:rowOff>115723</xdr:rowOff>
    </xdr:from>
    <xdr:to>
      <xdr:col>22</xdr:col>
      <xdr:colOff>485165</xdr:colOff>
      <xdr:row>4</xdr:row>
      <xdr:rowOff>77623</xdr:rowOff>
    </xdr:to>
    <xdr:sp macro="" textlink="">
      <xdr:nvSpPr>
        <xdr:cNvPr id="2" name="Rectangle: Rounded Corners 1">
          <a:extLst>
            <a:ext uri="{FF2B5EF4-FFF2-40B4-BE49-F238E27FC236}">
              <a16:creationId xmlns:a16="http://schemas.microsoft.com/office/drawing/2014/main" id="{A29C3326-8BDF-FFD4-B7FD-523529FC77BD}"/>
            </a:ext>
          </a:extLst>
        </xdr:cNvPr>
        <xdr:cNvSpPr/>
      </xdr:nvSpPr>
      <xdr:spPr>
        <a:xfrm>
          <a:off x="2602842" y="115723"/>
          <a:ext cx="11370599" cy="70638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accent1"/>
              </a:solidFill>
            </a:rPr>
            <a:t>JUMIA</a:t>
          </a:r>
          <a:r>
            <a:rPr lang="en-US" sz="3600" b="1">
              <a:solidFill>
                <a:schemeClr val="accent2"/>
              </a:solidFill>
            </a:rPr>
            <a:t> </a:t>
          </a:r>
          <a:r>
            <a:rPr lang="en-US" sz="3600" b="1">
              <a:solidFill>
                <a:schemeClr val="accent1"/>
              </a:solidFill>
            </a:rPr>
            <a:t>SALES</a:t>
          </a:r>
          <a:r>
            <a:rPr lang="en-US" sz="3600" b="1">
              <a:solidFill>
                <a:schemeClr val="accent2"/>
              </a:solidFill>
            </a:rPr>
            <a:t> </a:t>
          </a:r>
          <a:r>
            <a:rPr lang="en-US" sz="3600" b="1">
              <a:solidFill>
                <a:schemeClr val="accent1"/>
              </a:solidFill>
            </a:rPr>
            <a:t>DASHBOARD</a:t>
          </a:r>
        </a:p>
      </xdr:txBody>
    </xdr:sp>
    <xdr:clientData/>
  </xdr:twoCellAnchor>
  <xdr:twoCellAnchor>
    <xdr:from>
      <xdr:col>2</xdr:col>
      <xdr:colOff>422789</xdr:colOff>
      <xdr:row>5</xdr:row>
      <xdr:rowOff>97735</xdr:rowOff>
    </xdr:from>
    <xdr:to>
      <xdr:col>5</xdr:col>
      <xdr:colOff>388331</xdr:colOff>
      <xdr:row>9</xdr:row>
      <xdr:rowOff>149087</xdr:rowOff>
    </xdr:to>
    <xdr:sp macro="" textlink="">
      <xdr:nvSpPr>
        <xdr:cNvPr id="3" name="Oval 2">
          <a:extLst>
            <a:ext uri="{FF2B5EF4-FFF2-40B4-BE49-F238E27FC236}">
              <a16:creationId xmlns:a16="http://schemas.microsoft.com/office/drawing/2014/main" id="{827CB058-0B12-6FA9-09CC-0B1BB8E502BB}"/>
            </a:ext>
          </a:extLst>
        </xdr:cNvPr>
        <xdr:cNvSpPr/>
      </xdr:nvSpPr>
      <xdr:spPr>
        <a:xfrm>
          <a:off x="1648996" y="1028338"/>
          <a:ext cx="1804852" cy="795835"/>
        </a:xfrm>
        <a:prstGeom prst="ellipse">
          <a:avLst/>
        </a:prstGeom>
        <a:solidFill>
          <a:schemeClr val="accent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b="1">
              <a:solidFill>
                <a:schemeClr val="accent1">
                  <a:lumMod val="75000"/>
                </a:schemeClr>
              </a:solidFill>
            </a:rPr>
            <a:t>Total Products</a:t>
          </a:r>
        </a:p>
        <a:p>
          <a:pPr algn="l"/>
          <a:r>
            <a:rPr lang="en-US" sz="1400" b="1">
              <a:solidFill>
                <a:schemeClr val="accent1">
                  <a:lumMod val="75000"/>
                </a:schemeClr>
              </a:solidFill>
            </a:rPr>
            <a:t>       = 108</a:t>
          </a:r>
        </a:p>
      </xdr:txBody>
    </xdr:sp>
    <xdr:clientData/>
  </xdr:twoCellAnchor>
  <xdr:twoCellAnchor>
    <xdr:from>
      <xdr:col>8</xdr:col>
      <xdr:colOff>195603</xdr:colOff>
      <xdr:row>5</xdr:row>
      <xdr:rowOff>136071</xdr:rowOff>
    </xdr:from>
    <xdr:to>
      <xdr:col>11</xdr:col>
      <xdr:colOff>363843</xdr:colOff>
      <xdr:row>9</xdr:row>
      <xdr:rowOff>148495</xdr:rowOff>
    </xdr:to>
    <xdr:sp macro="" textlink="">
      <xdr:nvSpPr>
        <xdr:cNvPr id="7" name="Oval 6">
          <a:extLst>
            <a:ext uri="{FF2B5EF4-FFF2-40B4-BE49-F238E27FC236}">
              <a16:creationId xmlns:a16="http://schemas.microsoft.com/office/drawing/2014/main" id="{9736CAAF-68CC-4C97-A2A1-8D70D2CC1564}"/>
            </a:ext>
          </a:extLst>
        </xdr:cNvPr>
        <xdr:cNvSpPr/>
      </xdr:nvSpPr>
      <xdr:spPr>
        <a:xfrm>
          <a:off x="5094174" y="1088571"/>
          <a:ext cx="2005205" cy="774424"/>
        </a:xfrm>
        <a:prstGeom prst="ellipse">
          <a:avLst/>
        </a:prstGeom>
        <a:solidFill>
          <a:schemeClr val="accent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b="1">
              <a:solidFill>
                <a:schemeClr val="accent1">
                  <a:lumMod val="75000"/>
                </a:schemeClr>
              </a:solidFill>
            </a:rPr>
            <a:t>Average</a:t>
          </a:r>
          <a:r>
            <a:rPr lang="en-US" sz="1400" b="1" baseline="0">
              <a:solidFill>
                <a:schemeClr val="accent1">
                  <a:lumMod val="75000"/>
                </a:schemeClr>
              </a:solidFill>
            </a:rPr>
            <a:t> Ratings</a:t>
          </a:r>
        </a:p>
        <a:p>
          <a:pPr algn="l"/>
          <a:r>
            <a:rPr lang="en-US" sz="1400" b="1" baseline="0">
              <a:solidFill>
                <a:schemeClr val="accent1">
                  <a:lumMod val="75000"/>
                </a:schemeClr>
              </a:solidFill>
            </a:rPr>
            <a:t>       = 3.8</a:t>
          </a:r>
        </a:p>
        <a:p>
          <a:pPr algn="l"/>
          <a:endParaRPr lang="en-US" sz="1400" b="1">
            <a:solidFill>
              <a:schemeClr val="accent2"/>
            </a:solidFill>
          </a:endParaRPr>
        </a:p>
      </xdr:txBody>
    </xdr:sp>
    <xdr:clientData/>
  </xdr:twoCellAnchor>
  <xdr:twoCellAnchor>
    <xdr:from>
      <xdr:col>4</xdr:col>
      <xdr:colOff>536003</xdr:colOff>
      <xdr:row>13</xdr:row>
      <xdr:rowOff>89333</xdr:rowOff>
    </xdr:from>
    <xdr:to>
      <xdr:col>13</xdr:col>
      <xdr:colOff>423154</xdr:colOff>
      <xdr:row>31</xdr:row>
      <xdr:rowOff>59738</xdr:rowOff>
    </xdr:to>
    <xdr:graphicFrame macro="">
      <xdr:nvGraphicFramePr>
        <xdr:cNvPr id="11" name="Chart 10">
          <a:extLst>
            <a:ext uri="{FF2B5EF4-FFF2-40B4-BE49-F238E27FC236}">
              <a16:creationId xmlns:a16="http://schemas.microsoft.com/office/drawing/2014/main" id="{10730D81-6B4B-4BAE-8373-2DBC57E44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82826</xdr:colOff>
      <xdr:row>5</xdr:row>
      <xdr:rowOff>162104</xdr:rowOff>
    </xdr:from>
    <xdr:to>
      <xdr:col>18</xdr:col>
      <xdr:colOff>372716</xdr:colOff>
      <xdr:row>9</xdr:row>
      <xdr:rowOff>174528</xdr:rowOff>
    </xdr:to>
    <xdr:sp macro="" textlink="">
      <xdr:nvSpPr>
        <xdr:cNvPr id="13" name="Oval 12">
          <a:extLst>
            <a:ext uri="{FF2B5EF4-FFF2-40B4-BE49-F238E27FC236}">
              <a16:creationId xmlns:a16="http://schemas.microsoft.com/office/drawing/2014/main" id="{B06BCEA3-6B81-4A04-9213-D7888F3074C7}"/>
            </a:ext>
          </a:extLst>
        </xdr:cNvPr>
        <xdr:cNvSpPr/>
      </xdr:nvSpPr>
      <xdr:spPr>
        <a:xfrm>
          <a:off x="9267647" y="1114604"/>
          <a:ext cx="2126855" cy="774424"/>
        </a:xfrm>
        <a:prstGeom prst="ellipse">
          <a:avLst/>
        </a:prstGeom>
        <a:solidFill>
          <a:schemeClr val="accent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b="1">
              <a:solidFill>
                <a:schemeClr val="accent1">
                  <a:lumMod val="75000"/>
                </a:schemeClr>
              </a:solidFill>
            </a:rPr>
            <a:t>Average</a:t>
          </a:r>
          <a:r>
            <a:rPr lang="en-US" sz="1400" b="1" baseline="0">
              <a:solidFill>
                <a:schemeClr val="accent1">
                  <a:lumMod val="75000"/>
                </a:schemeClr>
              </a:solidFill>
            </a:rPr>
            <a:t> Discount</a:t>
          </a:r>
        </a:p>
        <a:p>
          <a:pPr algn="l"/>
          <a:r>
            <a:rPr lang="en-US" sz="1400" b="1" baseline="0">
              <a:solidFill>
                <a:schemeClr val="accent1">
                  <a:lumMod val="75000"/>
                </a:schemeClr>
              </a:solidFill>
            </a:rPr>
            <a:t>       = 36%</a:t>
          </a:r>
        </a:p>
        <a:p>
          <a:pPr algn="l"/>
          <a:endParaRPr lang="en-US" sz="1400" b="1">
            <a:solidFill>
              <a:schemeClr val="accent2"/>
            </a:solidFill>
          </a:endParaRPr>
        </a:p>
      </xdr:txBody>
    </xdr:sp>
    <xdr:clientData/>
  </xdr:twoCellAnchor>
  <xdr:twoCellAnchor>
    <xdr:from>
      <xdr:col>21</xdr:col>
      <xdr:colOff>207759</xdr:colOff>
      <xdr:row>5</xdr:row>
      <xdr:rowOff>166605</xdr:rowOff>
    </xdr:from>
    <xdr:to>
      <xdr:col>24</xdr:col>
      <xdr:colOff>505948</xdr:colOff>
      <xdr:row>9</xdr:row>
      <xdr:rowOff>179028</xdr:rowOff>
    </xdr:to>
    <xdr:sp macro="" textlink="">
      <xdr:nvSpPr>
        <xdr:cNvPr id="15" name="Oval 14">
          <a:extLst>
            <a:ext uri="{FF2B5EF4-FFF2-40B4-BE49-F238E27FC236}">
              <a16:creationId xmlns:a16="http://schemas.microsoft.com/office/drawing/2014/main" id="{99145033-3910-41E0-82E4-5A5628C00B9F}"/>
            </a:ext>
          </a:extLst>
        </xdr:cNvPr>
        <xdr:cNvSpPr/>
      </xdr:nvSpPr>
      <xdr:spPr>
        <a:xfrm>
          <a:off x="13066509" y="1119105"/>
          <a:ext cx="2135153" cy="774423"/>
        </a:xfrm>
        <a:prstGeom prst="ellipse">
          <a:avLst/>
        </a:prstGeom>
        <a:solidFill>
          <a:schemeClr val="accent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b="1" baseline="0">
              <a:solidFill>
                <a:schemeClr val="accent1">
                  <a:lumMod val="75000"/>
                </a:schemeClr>
              </a:solidFill>
            </a:rPr>
            <a:t>Total Reviews</a:t>
          </a:r>
        </a:p>
        <a:p>
          <a:pPr algn="l"/>
          <a:r>
            <a:rPr lang="en-US" sz="1400" b="1" baseline="0">
              <a:solidFill>
                <a:schemeClr val="accent1">
                  <a:lumMod val="75000"/>
                </a:schemeClr>
              </a:solidFill>
            </a:rPr>
            <a:t>       = 721</a:t>
          </a:r>
        </a:p>
        <a:p>
          <a:pPr algn="l"/>
          <a:endParaRPr lang="en-US" sz="1400" b="1">
            <a:solidFill>
              <a:schemeClr val="accent2"/>
            </a:solidFill>
          </a:endParaRPr>
        </a:p>
      </xdr:txBody>
    </xdr:sp>
    <xdr:clientData/>
  </xdr:twoCellAnchor>
  <xdr:twoCellAnchor>
    <xdr:from>
      <xdr:col>15</xdr:col>
      <xdr:colOff>176893</xdr:colOff>
      <xdr:row>13</xdr:row>
      <xdr:rowOff>67445</xdr:rowOff>
    </xdr:from>
    <xdr:to>
      <xdr:col>24</xdr:col>
      <xdr:colOff>557893</xdr:colOff>
      <xdr:row>31</xdr:row>
      <xdr:rowOff>18747</xdr:rowOff>
    </xdr:to>
    <xdr:graphicFrame macro="">
      <xdr:nvGraphicFramePr>
        <xdr:cNvPr id="17" name="Chart 16">
          <a:extLst>
            <a:ext uri="{FF2B5EF4-FFF2-40B4-BE49-F238E27FC236}">
              <a16:creationId xmlns:a16="http://schemas.microsoft.com/office/drawing/2014/main" id="{61CA4ECF-BB0A-4952-94F3-705BB92AC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539306</xdr:colOff>
      <xdr:row>34</xdr:row>
      <xdr:rowOff>149349</xdr:rowOff>
    </xdr:from>
    <xdr:to>
      <xdr:col>13</xdr:col>
      <xdr:colOff>408213</xdr:colOff>
      <xdr:row>50</xdr:row>
      <xdr:rowOff>114500</xdr:rowOff>
    </xdr:to>
    <xdr:graphicFrame macro="">
      <xdr:nvGraphicFramePr>
        <xdr:cNvPr id="19" name="Chart 18">
          <a:extLst>
            <a:ext uri="{FF2B5EF4-FFF2-40B4-BE49-F238E27FC236}">
              <a16:creationId xmlns:a16="http://schemas.microsoft.com/office/drawing/2014/main" id="{D3D74A00-3133-4EB5-B89D-166DC83CD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250570</xdr:colOff>
      <xdr:row>34</xdr:row>
      <xdr:rowOff>114498</xdr:rowOff>
    </xdr:from>
    <xdr:to>
      <xdr:col>24</xdr:col>
      <xdr:colOff>557892</xdr:colOff>
      <xdr:row>50</xdr:row>
      <xdr:rowOff>79650</xdr:rowOff>
    </xdr:to>
    <xdr:graphicFrame macro="">
      <xdr:nvGraphicFramePr>
        <xdr:cNvPr id="21" name="Chart 20">
          <a:extLst>
            <a:ext uri="{FF2B5EF4-FFF2-40B4-BE49-F238E27FC236}">
              <a16:creationId xmlns:a16="http://schemas.microsoft.com/office/drawing/2014/main" id="{372B7BFC-A0B4-4128-A366-60591C423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571501</xdr:colOff>
      <xdr:row>54</xdr:row>
      <xdr:rowOff>68036</xdr:rowOff>
    </xdr:from>
    <xdr:to>
      <xdr:col>13</xdr:col>
      <xdr:colOff>285751</xdr:colOff>
      <xdr:row>72</xdr:row>
      <xdr:rowOff>149679</xdr:rowOff>
    </xdr:to>
    <xdr:graphicFrame macro="">
      <xdr:nvGraphicFramePr>
        <xdr:cNvPr id="23" name="Chart 22">
          <a:extLst>
            <a:ext uri="{FF2B5EF4-FFF2-40B4-BE49-F238E27FC236}">
              <a16:creationId xmlns:a16="http://schemas.microsoft.com/office/drawing/2014/main" id="{2F70E7BD-2616-412D-A884-B954E7C91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476251</xdr:colOff>
      <xdr:row>54</xdr:row>
      <xdr:rowOff>81642</xdr:rowOff>
    </xdr:from>
    <xdr:to>
      <xdr:col>24</xdr:col>
      <xdr:colOff>394608</xdr:colOff>
      <xdr:row>71</xdr:row>
      <xdr:rowOff>176892</xdr:rowOff>
    </xdr:to>
    <xdr:graphicFrame macro="">
      <xdr:nvGraphicFramePr>
        <xdr:cNvPr id="26" name="Chart 25">
          <a:extLst>
            <a:ext uri="{FF2B5EF4-FFF2-40B4-BE49-F238E27FC236}">
              <a16:creationId xmlns:a16="http://schemas.microsoft.com/office/drawing/2014/main" id="{103C2DA9-E281-4408-BA40-FE34D89C5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95250</xdr:colOff>
      <xdr:row>14</xdr:row>
      <xdr:rowOff>0</xdr:rowOff>
    </xdr:from>
    <xdr:to>
      <xdr:col>3</xdr:col>
      <xdr:colOff>87086</xdr:colOff>
      <xdr:row>22</xdr:row>
      <xdr:rowOff>176893</xdr:rowOff>
    </xdr:to>
    <mc:AlternateContent xmlns:mc="http://schemas.openxmlformats.org/markup-compatibility/2006" xmlns:a14="http://schemas.microsoft.com/office/drawing/2010/main">
      <mc:Choice Requires="a14">
        <xdr:graphicFrame macro="">
          <xdr:nvGraphicFramePr>
            <xdr:cNvPr id="28" name="Discount Category 1">
              <a:extLst>
                <a:ext uri="{FF2B5EF4-FFF2-40B4-BE49-F238E27FC236}">
                  <a16:creationId xmlns:a16="http://schemas.microsoft.com/office/drawing/2014/main" id="{A41611D8-0EF1-485B-8A6D-6C995CFED1E2}"/>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95250" y="2605690"/>
              <a:ext cx="1831146" cy="1665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68036</xdr:colOff>
      <xdr:row>25</xdr:row>
      <xdr:rowOff>40822</xdr:rowOff>
    </xdr:from>
    <xdr:to>
      <xdr:col>3</xdr:col>
      <xdr:colOff>59872</xdr:colOff>
      <xdr:row>33</xdr:row>
      <xdr:rowOff>176893</xdr:rowOff>
    </xdr:to>
    <mc:AlternateContent xmlns:mc="http://schemas.openxmlformats.org/markup-compatibility/2006" xmlns:a14="http://schemas.microsoft.com/office/drawing/2010/main">
      <mc:Choice Requires="a14">
        <xdr:graphicFrame macro="">
          <xdr:nvGraphicFramePr>
            <xdr:cNvPr id="30" name="Rating Category 1">
              <a:extLst>
                <a:ext uri="{FF2B5EF4-FFF2-40B4-BE49-F238E27FC236}">
                  <a16:creationId xmlns:a16="http://schemas.microsoft.com/office/drawing/2014/main" id="{098F5A9F-E5EB-46BD-AB32-26914DB413CE}"/>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68036" y="4693839"/>
              <a:ext cx="1831146" cy="1625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90237</xdr:colOff>
      <xdr:row>35</xdr:row>
      <xdr:rowOff>60158</xdr:rowOff>
    </xdr:from>
    <xdr:to>
      <xdr:col>3</xdr:col>
      <xdr:colOff>84221</xdr:colOff>
      <xdr:row>43</xdr:row>
      <xdr:rowOff>20053</xdr:rowOff>
    </xdr:to>
    <mc:AlternateContent xmlns:mc="http://schemas.openxmlformats.org/markup-compatibility/2006" xmlns:a14="http://schemas.microsoft.com/office/drawing/2010/main">
      <mc:Choice Requires="a14">
        <xdr:graphicFrame macro="">
          <xdr:nvGraphicFramePr>
            <xdr:cNvPr id="33" name="PRICE Category 1">
              <a:extLst>
                <a:ext uri="{FF2B5EF4-FFF2-40B4-BE49-F238E27FC236}">
                  <a16:creationId xmlns:a16="http://schemas.microsoft.com/office/drawing/2014/main" id="{264A09E7-A3DC-41C1-8C6D-BE40E257B741}"/>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mlns="">
        <xdr:sp macro="" textlink="">
          <xdr:nvSpPr>
            <xdr:cNvPr id="0" name=""/>
            <xdr:cNvSpPr>
              <a:spLocks noTextEdit="1"/>
            </xdr:cNvSpPr>
          </xdr:nvSpPr>
          <xdr:spPr>
            <a:xfrm>
              <a:off x="90237" y="6574382"/>
              <a:ext cx="1833294" cy="1448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ES" refreshedDate="46106.76789166667" createdVersion="8" refreshedVersion="8" minRefreshableVersion="3" recordCount="108" xr:uid="{6127B3BD-2D58-4E1D-8B44-DF3D7C91C780}">
  <cacheSource type="worksheet">
    <worksheetSource ref="A1:J109" sheet="Cleaned Jumia Data"/>
  </cacheSource>
  <cacheFields count="10">
    <cacheField name="Product" numFmtId="0">
      <sharedItems count="108">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PRICE Category" numFmtId="164">
      <sharedItems count="3">
        <s v="0 - 1000"/>
        <s v="2000 - 4000"/>
        <s v="1000 - 2000"/>
      </sharedItems>
    </cacheField>
    <cacheField name="Old Price" numFmtId="164">
      <sharedItems containsSemiMixedTypes="0" containsString="0" containsNumber="1" containsInteger="1" minValue="80" maxValue="6143"/>
    </cacheField>
    <cacheField name="Discount Amount" numFmtId="164">
      <sharedItems containsSemiMixedTypes="0" containsString="0" containsNumber="1" containsInteger="1" minValue="24" maxValue="2585"/>
    </cacheField>
    <cacheField name="Discount" numFmtId="9">
      <sharedItems containsSemiMixedTypes="0" containsString="0" containsNumber="1" minValue="0.01" maxValue="0.64"/>
    </cacheField>
    <cacheField name="Ratings" numFmtId="165">
      <sharedItems containsString="0" containsBlank="1" containsNumber="1" minValue="2" maxValue="5"/>
    </cacheField>
    <cacheField name="Review" numFmtId="0">
      <sharedItems containsString="0" containsBlank="1" containsNumber="1" containsInteger="1" minValue="1" maxValue="69"/>
    </cacheField>
    <cacheField name="Rating Category" numFmtId="0">
      <sharedItems count="3">
        <s v="Excelent"/>
        <s v="Average"/>
        <s v="Poor"/>
      </sharedItems>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160660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n v="950"/>
    <x v="0"/>
    <n v="1525"/>
    <n v="575"/>
    <n v="0.38"/>
    <n v="4.5"/>
    <n v="2"/>
    <x v="0"/>
    <x v="0"/>
  </r>
  <r>
    <x v="1"/>
    <n v="527"/>
    <x v="0"/>
    <n v="999"/>
    <n v="472"/>
    <n v="0.47"/>
    <n v="4.0999999999999996"/>
    <n v="14"/>
    <x v="1"/>
    <x v="1"/>
  </r>
  <r>
    <x v="2"/>
    <n v="2199"/>
    <x v="1"/>
    <n v="2923"/>
    <n v="724"/>
    <n v="0.25"/>
    <n v="4.5999999999999996"/>
    <n v="24"/>
    <x v="0"/>
    <x v="0"/>
  </r>
  <r>
    <x v="3"/>
    <n v="1580"/>
    <x v="2"/>
    <n v="2499"/>
    <n v="919"/>
    <n v="0.37"/>
    <n v="4.7"/>
    <n v="7"/>
    <x v="0"/>
    <x v="0"/>
  </r>
  <r>
    <x v="4"/>
    <n v="1740"/>
    <x v="2"/>
    <n v="2356"/>
    <n v="616"/>
    <n v="0.26"/>
    <n v="4.8"/>
    <n v="5"/>
    <x v="0"/>
    <x v="0"/>
  </r>
  <r>
    <x v="5"/>
    <n v="2999"/>
    <x v="1"/>
    <n v="3290"/>
    <n v="291"/>
    <n v="0.09"/>
    <n v="4"/>
    <n v="15"/>
    <x v="1"/>
    <x v="2"/>
  </r>
  <r>
    <x v="6"/>
    <n v="2319"/>
    <x v="1"/>
    <n v="3032"/>
    <n v="713"/>
    <n v="0.24"/>
    <n v="4.5999999999999996"/>
    <n v="55"/>
    <x v="0"/>
    <x v="0"/>
  </r>
  <r>
    <x v="7"/>
    <n v="988"/>
    <x v="0"/>
    <n v="1580"/>
    <n v="592"/>
    <n v="0.37"/>
    <n v="4"/>
    <n v="2"/>
    <x v="1"/>
    <x v="0"/>
  </r>
  <r>
    <x v="8"/>
    <n v="1274"/>
    <x v="2"/>
    <n v="2800"/>
    <n v="1526"/>
    <n v="0.55000000000000004"/>
    <n v="4.8"/>
    <n v="5"/>
    <x v="0"/>
    <x v="1"/>
  </r>
  <r>
    <x v="9"/>
    <n v="1600"/>
    <x v="2"/>
    <n v="2929"/>
    <n v="1329"/>
    <n v="0.45"/>
    <n v="3.8"/>
    <n v="5"/>
    <x v="1"/>
    <x v="1"/>
  </r>
  <r>
    <x v="10"/>
    <n v="799"/>
    <x v="0"/>
    <n v="999"/>
    <n v="200"/>
    <n v="0.2"/>
    <n v="4.0999999999999996"/>
    <n v="12"/>
    <x v="1"/>
    <x v="2"/>
  </r>
  <r>
    <x v="11"/>
    <n v="990"/>
    <x v="0"/>
    <n v="1500"/>
    <n v="510"/>
    <n v="0.34"/>
    <n v="4.7"/>
    <n v="39"/>
    <x v="0"/>
    <x v="0"/>
  </r>
  <r>
    <x v="12"/>
    <n v="552"/>
    <x v="0"/>
    <n v="1035"/>
    <n v="483"/>
    <n v="0.47"/>
    <n v="4.8"/>
    <n v="12"/>
    <x v="0"/>
    <x v="1"/>
  </r>
  <r>
    <x v="13"/>
    <n v="501"/>
    <x v="0"/>
    <n v="860"/>
    <n v="359"/>
    <n v="0.42"/>
    <n v="4.5"/>
    <n v="6"/>
    <x v="0"/>
    <x v="1"/>
  </r>
  <r>
    <x v="14"/>
    <n v="1680"/>
    <x v="2"/>
    <n v="2499"/>
    <n v="819"/>
    <n v="0.33"/>
    <n v="4.2"/>
    <n v="9"/>
    <x v="1"/>
    <x v="0"/>
  </r>
  <r>
    <x v="15"/>
    <n v="332"/>
    <x v="0"/>
    <n v="684"/>
    <n v="352"/>
    <n v="0.51"/>
    <n v="5"/>
    <n v="2"/>
    <x v="0"/>
    <x v="1"/>
  </r>
  <r>
    <x v="16"/>
    <n v="195"/>
    <x v="0"/>
    <n v="360"/>
    <n v="165"/>
    <n v="0.46"/>
    <n v="5"/>
    <n v="2"/>
    <x v="0"/>
    <x v="1"/>
  </r>
  <r>
    <x v="17"/>
    <n v="2025"/>
    <x v="1"/>
    <n v="3971"/>
    <n v="1946"/>
    <n v="0.49"/>
    <n v="5"/>
    <n v="3"/>
    <x v="0"/>
    <x v="1"/>
  </r>
  <r>
    <x v="18"/>
    <n v="2999"/>
    <x v="1"/>
    <n v="3699"/>
    <n v="700"/>
    <n v="0.19"/>
    <n v="4.5999999999999996"/>
    <n v="5"/>
    <x v="0"/>
    <x v="2"/>
  </r>
  <r>
    <x v="19"/>
    <n v="998"/>
    <x v="0"/>
    <n v="1966"/>
    <n v="968"/>
    <n v="0.49"/>
    <n v="4.5999999999999996"/>
    <n v="44"/>
    <x v="0"/>
    <x v="1"/>
  </r>
  <r>
    <x v="20"/>
    <n v="38"/>
    <x v="0"/>
    <n v="80"/>
    <n v="42"/>
    <n v="0.53"/>
    <n v="3.3"/>
    <n v="13"/>
    <x v="1"/>
    <x v="1"/>
  </r>
  <r>
    <x v="21"/>
    <n v="1860"/>
    <x v="2"/>
    <n v="3220"/>
    <n v="1360"/>
    <n v="0.42"/>
    <m/>
    <m/>
    <x v="2"/>
    <x v="1"/>
  </r>
  <r>
    <x v="22"/>
    <n v="880"/>
    <x v="0"/>
    <n v="1350"/>
    <n v="470"/>
    <n v="0.35"/>
    <n v="4"/>
    <n v="6"/>
    <x v="1"/>
    <x v="0"/>
  </r>
  <r>
    <x v="23"/>
    <n v="1650"/>
    <x v="2"/>
    <n v="2150"/>
    <n v="500"/>
    <n v="0.23"/>
    <n v="4.4000000000000004"/>
    <n v="14"/>
    <x v="1"/>
    <x v="0"/>
  </r>
  <r>
    <x v="24"/>
    <n v="2048"/>
    <x v="1"/>
    <n v="4500"/>
    <n v="2452"/>
    <n v="0.54"/>
    <n v="4.3"/>
    <n v="7"/>
    <x v="1"/>
    <x v="1"/>
  </r>
  <r>
    <x v="25"/>
    <n v="420"/>
    <x v="0"/>
    <n v="647"/>
    <n v="227"/>
    <n v="0.35"/>
    <n v="4.5999999999999996"/>
    <n v="49"/>
    <x v="0"/>
    <x v="0"/>
  </r>
  <r>
    <x v="26"/>
    <n v="2880"/>
    <x v="1"/>
    <n v="3520"/>
    <n v="640"/>
    <n v="0.18"/>
    <n v="3.8"/>
    <n v="12"/>
    <x v="1"/>
    <x v="2"/>
  </r>
  <r>
    <x v="27"/>
    <n v="1350"/>
    <x v="2"/>
    <n v="1990"/>
    <n v="640"/>
    <n v="0.32"/>
    <n v="3.8"/>
    <n v="13"/>
    <x v="1"/>
    <x v="0"/>
  </r>
  <r>
    <x v="28"/>
    <n v="1758"/>
    <x v="2"/>
    <n v="2499"/>
    <n v="741"/>
    <n v="0.3"/>
    <n v="4.0999999999999996"/>
    <n v="20"/>
    <x v="1"/>
    <x v="0"/>
  </r>
  <r>
    <x v="29"/>
    <n v="2200"/>
    <x v="1"/>
    <n v="4080"/>
    <n v="1880"/>
    <n v="0.46"/>
    <m/>
    <m/>
    <x v="2"/>
    <x v="1"/>
  </r>
  <r>
    <x v="30"/>
    <n v="185"/>
    <x v="0"/>
    <n v="382"/>
    <n v="197"/>
    <n v="0.52"/>
    <n v="4.3"/>
    <n v="9"/>
    <x v="1"/>
    <x v="1"/>
  </r>
  <r>
    <x v="31"/>
    <n v="980"/>
    <x v="0"/>
    <n v="1490"/>
    <n v="510"/>
    <n v="0.34"/>
    <n v="4.7"/>
    <n v="12"/>
    <x v="0"/>
    <x v="0"/>
  </r>
  <r>
    <x v="32"/>
    <n v="1820"/>
    <x v="2"/>
    <n v="3490"/>
    <n v="1670"/>
    <n v="0.48"/>
    <n v="4.3"/>
    <n v="9"/>
    <x v="1"/>
    <x v="1"/>
  </r>
  <r>
    <x v="33"/>
    <n v="1940"/>
    <x v="2"/>
    <n v="2650"/>
    <n v="710"/>
    <n v="0.27"/>
    <n v="4.7"/>
    <n v="20"/>
    <x v="0"/>
    <x v="0"/>
  </r>
  <r>
    <x v="34"/>
    <n v="1980"/>
    <x v="2"/>
    <n v="2699"/>
    <n v="719"/>
    <n v="0.27"/>
    <n v="4.5"/>
    <n v="32"/>
    <x v="0"/>
    <x v="0"/>
  </r>
  <r>
    <x v="35"/>
    <n v="1620"/>
    <x v="2"/>
    <n v="2690"/>
    <n v="1070"/>
    <n v="0.4"/>
    <n v="5"/>
    <n v="1"/>
    <x v="0"/>
    <x v="0"/>
  </r>
  <r>
    <x v="36"/>
    <n v="171"/>
    <x v="0"/>
    <n v="360"/>
    <n v="189"/>
    <n v="0.53"/>
    <n v="5"/>
    <n v="2"/>
    <x v="0"/>
    <x v="1"/>
  </r>
  <r>
    <x v="37"/>
    <n v="389"/>
    <x v="0"/>
    <n v="656"/>
    <n v="267"/>
    <n v="0.41"/>
    <n v="4.3"/>
    <n v="36"/>
    <x v="1"/>
    <x v="1"/>
  </r>
  <r>
    <x v="38"/>
    <n v="2750"/>
    <x v="1"/>
    <n v="4471"/>
    <n v="1721"/>
    <n v="0.38"/>
    <m/>
    <m/>
    <x v="2"/>
    <x v="0"/>
  </r>
  <r>
    <x v="39"/>
    <n v="475"/>
    <x v="0"/>
    <n v="931"/>
    <n v="456"/>
    <n v="0.49"/>
    <m/>
    <m/>
    <x v="2"/>
    <x v="1"/>
  </r>
  <r>
    <x v="40"/>
    <n v="238"/>
    <x v="0"/>
    <n v="476"/>
    <n v="238"/>
    <n v="0.5"/>
    <m/>
    <m/>
    <x v="2"/>
    <x v="1"/>
  </r>
  <r>
    <x v="41"/>
    <n v="610"/>
    <x v="0"/>
    <n v="1060"/>
    <n v="450"/>
    <n v="0.42"/>
    <m/>
    <m/>
    <x v="2"/>
    <x v="1"/>
  </r>
  <r>
    <x v="42"/>
    <n v="2132"/>
    <x v="1"/>
    <n v="2169"/>
    <n v="37"/>
    <n v="0.02"/>
    <m/>
    <m/>
    <x v="2"/>
    <x v="2"/>
  </r>
  <r>
    <x v="43"/>
    <n v="999"/>
    <x v="0"/>
    <n v="2000"/>
    <n v="1001"/>
    <n v="0.5"/>
    <m/>
    <m/>
    <x v="2"/>
    <x v="1"/>
  </r>
  <r>
    <x v="44"/>
    <n v="1190"/>
    <x v="2"/>
    <n v="1785"/>
    <n v="595"/>
    <n v="0.33"/>
    <m/>
    <m/>
    <x v="2"/>
    <x v="0"/>
  </r>
  <r>
    <x v="45"/>
    <n v="671"/>
    <x v="0"/>
    <n v="1316"/>
    <n v="645"/>
    <n v="0.49"/>
    <m/>
    <m/>
    <x v="2"/>
    <x v="1"/>
  </r>
  <r>
    <x v="46"/>
    <n v="1200"/>
    <x v="2"/>
    <n v="1950"/>
    <n v="750"/>
    <n v="0.38"/>
    <m/>
    <m/>
    <x v="2"/>
    <x v="0"/>
  </r>
  <r>
    <x v="47"/>
    <n v="199"/>
    <x v="0"/>
    <n v="504"/>
    <n v="305"/>
    <n v="0.61"/>
    <m/>
    <m/>
    <x v="2"/>
    <x v="1"/>
  </r>
  <r>
    <x v="48"/>
    <n v="299"/>
    <x v="0"/>
    <n v="600"/>
    <n v="301"/>
    <n v="0.5"/>
    <m/>
    <m/>
    <x v="2"/>
    <x v="1"/>
  </r>
  <r>
    <x v="49"/>
    <n v="1660"/>
    <x v="2"/>
    <n v="1699"/>
    <n v="39"/>
    <n v="0.02"/>
    <m/>
    <m/>
    <x v="2"/>
    <x v="2"/>
  </r>
  <r>
    <x v="50"/>
    <n v="299"/>
    <x v="0"/>
    <n v="384"/>
    <n v="85"/>
    <n v="0.22"/>
    <m/>
    <m/>
    <x v="2"/>
    <x v="0"/>
  </r>
  <r>
    <x v="51"/>
    <n v="1459"/>
    <x v="2"/>
    <n v="1499"/>
    <n v="40"/>
    <n v="0.03"/>
    <m/>
    <m/>
    <x v="2"/>
    <x v="2"/>
  </r>
  <r>
    <x v="52"/>
    <n v="799"/>
    <x v="0"/>
    <n v="1343"/>
    <n v="544"/>
    <n v="0.41"/>
    <m/>
    <m/>
    <x v="2"/>
    <x v="1"/>
  </r>
  <r>
    <x v="53"/>
    <n v="499"/>
    <x v="0"/>
    <n v="900"/>
    <n v="401"/>
    <n v="0.45"/>
    <m/>
    <m/>
    <x v="2"/>
    <x v="1"/>
  </r>
  <r>
    <x v="54"/>
    <n v="699"/>
    <x v="0"/>
    <n v="1343"/>
    <n v="644"/>
    <n v="0.48"/>
    <m/>
    <m/>
    <x v="2"/>
    <x v="1"/>
  </r>
  <r>
    <x v="55"/>
    <n v="799"/>
    <x v="0"/>
    <n v="1567"/>
    <n v="768"/>
    <n v="0.49"/>
    <m/>
    <m/>
    <x v="2"/>
    <x v="1"/>
  </r>
  <r>
    <x v="56"/>
    <n v="2799"/>
    <x v="1"/>
    <n v="3810"/>
    <n v="1011"/>
    <n v="0.27"/>
    <m/>
    <m/>
    <x v="2"/>
    <x v="0"/>
  </r>
  <r>
    <x v="57"/>
    <n v="2170"/>
    <x v="1"/>
    <n v="2500"/>
    <n v="330"/>
    <n v="0.13"/>
    <n v="2.5"/>
    <n v="6"/>
    <x v="2"/>
    <x v="2"/>
  </r>
  <r>
    <x v="58"/>
    <n v="458"/>
    <x v="0"/>
    <n v="986"/>
    <n v="528"/>
    <n v="0.54"/>
    <n v="3"/>
    <n v="10"/>
    <x v="1"/>
    <x v="1"/>
  </r>
  <r>
    <x v="59"/>
    <n v="2115"/>
    <x v="1"/>
    <n v="4700"/>
    <n v="2585"/>
    <n v="0.55000000000000004"/>
    <n v="2.1"/>
    <n v="13"/>
    <x v="2"/>
    <x v="1"/>
  </r>
  <r>
    <x v="60"/>
    <n v="445"/>
    <x v="0"/>
    <n v="873"/>
    <n v="428"/>
    <n v="0.49"/>
    <n v="2.8"/>
    <n v="69"/>
    <x v="2"/>
    <x v="1"/>
  </r>
  <r>
    <x v="61"/>
    <n v="325"/>
    <x v="0"/>
    <n v="680"/>
    <n v="355"/>
    <n v="0.52"/>
    <n v="2.7"/>
    <n v="15"/>
    <x v="2"/>
    <x v="1"/>
  </r>
  <r>
    <x v="62"/>
    <n v="1220"/>
    <x v="2"/>
    <n v="1555"/>
    <n v="335"/>
    <n v="0.22"/>
    <n v="2.9"/>
    <n v="16"/>
    <x v="2"/>
    <x v="0"/>
  </r>
  <r>
    <x v="63"/>
    <n v="990"/>
    <x v="0"/>
    <n v="1814"/>
    <n v="824"/>
    <n v="0.45"/>
    <n v="2.2000000000000002"/>
    <n v="6"/>
    <x v="2"/>
    <x v="1"/>
  </r>
  <r>
    <x v="64"/>
    <n v="1000"/>
    <x v="0"/>
    <n v="2000"/>
    <n v="1000"/>
    <n v="0.5"/>
    <n v="2.2999999999999998"/>
    <n v="7"/>
    <x v="2"/>
    <x v="1"/>
  </r>
  <r>
    <x v="65"/>
    <n v="3750"/>
    <x v="1"/>
    <n v="6143"/>
    <n v="2393"/>
    <n v="0.39"/>
    <n v="3"/>
    <n v="5"/>
    <x v="1"/>
    <x v="0"/>
  </r>
  <r>
    <x v="66"/>
    <n v="382"/>
    <x v="0"/>
    <n v="700"/>
    <n v="318"/>
    <n v="0.45"/>
    <n v="2.6"/>
    <n v="17"/>
    <x v="2"/>
    <x v="1"/>
  </r>
  <r>
    <x v="67"/>
    <n v="2300"/>
    <x v="1"/>
    <n v="3240"/>
    <n v="940"/>
    <n v="0.28999999999999998"/>
    <n v="3"/>
    <n v="5"/>
    <x v="1"/>
    <x v="0"/>
  </r>
  <r>
    <x v="68"/>
    <n v="345"/>
    <x v="0"/>
    <n v="602"/>
    <n v="257"/>
    <n v="0.43"/>
    <n v="2.2999999999999998"/>
    <n v="6"/>
    <x v="2"/>
    <x v="1"/>
  </r>
  <r>
    <x v="69"/>
    <n v="509"/>
    <x v="0"/>
    <n v="899"/>
    <n v="390"/>
    <n v="0.43"/>
    <n v="3"/>
    <n v="5"/>
    <x v="1"/>
    <x v="1"/>
  </r>
  <r>
    <x v="70"/>
    <n v="968"/>
    <x v="0"/>
    <n v="1814"/>
    <n v="846"/>
    <n v="0.47"/>
    <n v="2.2000000000000002"/>
    <n v="6"/>
    <x v="2"/>
    <x v="1"/>
  </r>
  <r>
    <x v="71"/>
    <n v="1570"/>
    <x v="2"/>
    <n v="2988"/>
    <n v="1418"/>
    <n v="0.47"/>
    <n v="2.1"/>
    <n v="7"/>
    <x v="2"/>
    <x v="1"/>
  </r>
  <r>
    <x v="72"/>
    <n v="790"/>
    <x v="0"/>
    <n v="1485"/>
    <n v="695"/>
    <n v="0.47"/>
    <m/>
    <m/>
    <x v="2"/>
    <x v="1"/>
  </r>
  <r>
    <x v="73"/>
    <n v="690"/>
    <x v="0"/>
    <n v="1200"/>
    <n v="510"/>
    <n v="0.43"/>
    <m/>
    <m/>
    <x v="2"/>
    <x v="1"/>
  </r>
  <r>
    <x v="74"/>
    <n v="1732"/>
    <x v="2"/>
    <n v="1799"/>
    <n v="67"/>
    <n v="0.04"/>
    <m/>
    <m/>
    <x v="2"/>
    <x v="2"/>
  </r>
  <r>
    <x v="75"/>
    <n v="230"/>
    <x v="0"/>
    <n v="450"/>
    <n v="220"/>
    <n v="0.49"/>
    <m/>
    <m/>
    <x v="2"/>
    <x v="1"/>
  </r>
  <r>
    <x v="76"/>
    <n v="1189"/>
    <x v="2"/>
    <n v="2199"/>
    <n v="1010"/>
    <n v="0.46"/>
    <n v="3"/>
    <n v="1"/>
    <x v="1"/>
    <x v="1"/>
  </r>
  <r>
    <x v="77"/>
    <n v="979"/>
    <x v="0"/>
    <n v="1920"/>
    <n v="941"/>
    <n v="0.49"/>
    <n v="5"/>
    <n v="1"/>
    <x v="0"/>
    <x v="1"/>
  </r>
  <r>
    <x v="78"/>
    <n v="1460"/>
    <x v="2"/>
    <n v="2290"/>
    <n v="830"/>
    <n v="0.36"/>
    <m/>
    <m/>
    <x v="2"/>
    <x v="0"/>
  </r>
  <r>
    <x v="79"/>
    <n v="1666"/>
    <x v="2"/>
    <n v="1699"/>
    <n v="33"/>
    <n v="0.02"/>
    <m/>
    <m/>
    <x v="2"/>
    <x v="2"/>
  </r>
  <r>
    <x v="80"/>
    <n v="330"/>
    <x v="0"/>
    <n v="647"/>
    <n v="317"/>
    <n v="0.49"/>
    <n v="4"/>
    <n v="1"/>
    <x v="1"/>
    <x v="1"/>
  </r>
  <r>
    <x v="81"/>
    <n v="1466"/>
    <x v="2"/>
    <n v="1699"/>
    <n v="233"/>
    <n v="0.14000000000000001"/>
    <m/>
    <m/>
    <x v="2"/>
    <x v="2"/>
  </r>
  <r>
    <x v="82"/>
    <n v="274"/>
    <x v="0"/>
    <n v="537"/>
    <n v="263"/>
    <n v="0.49"/>
    <m/>
    <m/>
    <x v="2"/>
    <x v="1"/>
  </r>
  <r>
    <x v="83"/>
    <n v="799"/>
    <x v="0"/>
    <n v="900"/>
    <n v="101"/>
    <n v="0.11"/>
    <m/>
    <m/>
    <x v="2"/>
    <x v="2"/>
  </r>
  <r>
    <x v="84"/>
    <n v="1468"/>
    <x v="2"/>
    <n v="1699"/>
    <n v="231"/>
    <n v="0.14000000000000001"/>
    <m/>
    <m/>
    <x v="2"/>
    <x v="2"/>
  </r>
  <r>
    <x v="85"/>
    <n v="630"/>
    <x v="0"/>
    <n v="1100"/>
    <n v="470"/>
    <n v="0.43"/>
    <m/>
    <m/>
    <x v="2"/>
    <x v="1"/>
  </r>
  <r>
    <x v="86"/>
    <n v="850"/>
    <x v="0"/>
    <n v="1700"/>
    <n v="850"/>
    <n v="0.5"/>
    <m/>
    <m/>
    <x v="2"/>
    <x v="1"/>
  </r>
  <r>
    <x v="87"/>
    <n v="1300"/>
    <x v="2"/>
    <n v="2500"/>
    <n v="1200"/>
    <n v="0.48"/>
    <m/>
    <m/>
    <x v="2"/>
    <x v="1"/>
  </r>
  <r>
    <x v="88"/>
    <n v="105"/>
    <x v="0"/>
    <n v="200"/>
    <n v="95"/>
    <n v="0.48"/>
    <m/>
    <m/>
    <x v="2"/>
    <x v="1"/>
  </r>
  <r>
    <x v="89"/>
    <n v="899"/>
    <x v="0"/>
    <n v="1699"/>
    <n v="800"/>
    <n v="0.47"/>
    <m/>
    <m/>
    <x v="2"/>
    <x v="1"/>
  </r>
  <r>
    <x v="90"/>
    <n v="1200"/>
    <x v="2"/>
    <n v="2400"/>
    <n v="1200"/>
    <n v="0.5"/>
    <m/>
    <m/>
    <x v="2"/>
    <x v="1"/>
  </r>
  <r>
    <x v="91"/>
    <n v="1526"/>
    <x v="2"/>
    <n v="1660"/>
    <n v="134"/>
    <n v="0.08"/>
    <m/>
    <m/>
    <x v="2"/>
    <x v="2"/>
  </r>
  <r>
    <x v="92"/>
    <n v="1462"/>
    <x v="2"/>
    <n v="1499"/>
    <n v="37"/>
    <n v="0.02"/>
    <m/>
    <m/>
    <x v="2"/>
    <x v="2"/>
  </r>
  <r>
    <x v="93"/>
    <n v="248"/>
    <x v="0"/>
    <n v="486"/>
    <n v="238"/>
    <n v="0.49"/>
    <m/>
    <m/>
    <x v="2"/>
    <x v="1"/>
  </r>
  <r>
    <x v="94"/>
    <n v="3546"/>
    <x v="1"/>
    <n v="3699"/>
    <n v="153"/>
    <n v="0.04"/>
    <m/>
    <m/>
    <x v="2"/>
    <x v="2"/>
  </r>
  <r>
    <x v="95"/>
    <n v="525"/>
    <x v="0"/>
    <n v="1029"/>
    <n v="504"/>
    <n v="0.49"/>
    <m/>
    <m/>
    <x v="2"/>
    <x v="1"/>
  </r>
  <r>
    <x v="96"/>
    <n v="1080"/>
    <x v="2"/>
    <n v="1874"/>
    <n v="794"/>
    <n v="0.42"/>
    <m/>
    <m/>
    <x v="2"/>
    <x v="1"/>
  </r>
  <r>
    <x v="97"/>
    <n v="3640"/>
    <x v="1"/>
    <n v="4588"/>
    <n v="948"/>
    <n v="0.21"/>
    <n v="5"/>
    <n v="1"/>
    <x v="0"/>
    <x v="0"/>
  </r>
  <r>
    <x v="98"/>
    <n v="1420"/>
    <x v="2"/>
    <n v="2420"/>
    <n v="1000"/>
    <n v="0.41"/>
    <m/>
    <m/>
    <x v="2"/>
    <x v="1"/>
  </r>
  <r>
    <x v="99"/>
    <n v="1875"/>
    <x v="2"/>
    <n v="1899"/>
    <n v="24"/>
    <n v="0.01"/>
    <m/>
    <m/>
    <x v="2"/>
    <x v="2"/>
  </r>
  <r>
    <x v="100"/>
    <n v="198"/>
    <x v="0"/>
    <n v="260"/>
    <n v="62"/>
    <n v="0.24"/>
    <m/>
    <m/>
    <x v="2"/>
    <x v="0"/>
  </r>
  <r>
    <x v="101"/>
    <n v="1150"/>
    <x v="2"/>
    <n v="1737"/>
    <n v="587"/>
    <n v="0.34"/>
    <m/>
    <m/>
    <x v="2"/>
    <x v="0"/>
  </r>
  <r>
    <x v="102"/>
    <n v="1190"/>
    <x v="2"/>
    <n v="1810"/>
    <n v="620"/>
    <n v="0.34"/>
    <m/>
    <m/>
    <x v="2"/>
    <x v="0"/>
  </r>
  <r>
    <x v="103"/>
    <n v="1658"/>
    <x v="2"/>
    <n v="1699"/>
    <n v="41"/>
    <n v="0.02"/>
    <m/>
    <m/>
    <x v="2"/>
    <x v="2"/>
  </r>
  <r>
    <x v="104"/>
    <n v="1768"/>
    <x v="2"/>
    <n v="1799"/>
    <n v="31"/>
    <n v="0.02"/>
    <m/>
    <m/>
    <x v="2"/>
    <x v="2"/>
  </r>
  <r>
    <x v="105"/>
    <n v="199"/>
    <x v="0"/>
    <n v="553"/>
    <n v="354"/>
    <n v="0.64"/>
    <m/>
    <m/>
    <x v="2"/>
    <x v="1"/>
  </r>
  <r>
    <x v="106"/>
    <n v="450"/>
    <x v="0"/>
    <n v="900"/>
    <n v="450"/>
    <n v="0.5"/>
    <n v="2"/>
    <n v="1"/>
    <x v="2"/>
    <x v="1"/>
  </r>
  <r>
    <x v="107"/>
    <n v="169"/>
    <x v="0"/>
    <n v="320"/>
    <n v="151"/>
    <n v="0.47"/>
    <m/>
    <m/>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C694BA-B5BC-4041-8392-66AF583130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8:C22" firstHeaderRow="1" firstDataRow="1" firstDataCol="1"/>
  <pivotFields count="10">
    <pivotField dataField="1" showAll="0"/>
    <pivotField numFmtId="164" showAll="0"/>
    <pivotField showAll="0">
      <items count="4">
        <item x="0"/>
        <item x="2"/>
        <item x="1"/>
        <item t="default"/>
      </items>
    </pivotField>
    <pivotField numFmtId="164" showAll="0"/>
    <pivotField numFmtId="164" showAll="0"/>
    <pivotField numFmtId="9" showAll="0"/>
    <pivotField showAll="0"/>
    <pivotField showAll="0"/>
    <pivotField axis="axisRow" showAll="0">
      <items count="4">
        <item x="1"/>
        <item x="0"/>
        <item x="2"/>
        <item t="default"/>
      </items>
    </pivotField>
    <pivotField showAll="0">
      <items count="4">
        <item x="1"/>
        <item x="2"/>
        <item x="0"/>
        <item t="default"/>
      </items>
    </pivotField>
  </pivotFields>
  <rowFields count="1">
    <field x="8"/>
  </rowFields>
  <rowItems count="4">
    <i>
      <x/>
    </i>
    <i>
      <x v="1"/>
    </i>
    <i>
      <x v="2"/>
    </i>
    <i t="grand">
      <x/>
    </i>
  </rowItems>
  <colItems count="1">
    <i/>
  </colItems>
  <dataFields count="1">
    <dataField name="Count of Product" fld="0" subtotal="count" baseField="0" baseItem="0"/>
  </dataFields>
  <chartFormats count="7">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41613C-235B-4DF3-B139-729996F01E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0:D14" firstHeaderRow="0" firstDataRow="1" firstDataCol="1"/>
  <pivotFields count="10">
    <pivotField showAll="0"/>
    <pivotField numFmtId="164" showAll="0"/>
    <pivotField showAll="0">
      <items count="4">
        <item x="0"/>
        <item x="2"/>
        <item x="1"/>
        <item t="default"/>
      </items>
    </pivotField>
    <pivotField numFmtId="164" showAll="0"/>
    <pivotField numFmtId="164" showAll="0"/>
    <pivotField dataField="1" numFmtId="9" showAll="0"/>
    <pivotField dataField="1" showAll="0"/>
    <pivotField showAll="0"/>
    <pivotField showAll="0">
      <items count="4">
        <item x="1"/>
        <item x="0"/>
        <item x="2"/>
        <item t="default"/>
      </items>
    </pivotField>
    <pivotField axis="axisRow" showAll="0">
      <items count="4">
        <item x="1"/>
        <item x="2"/>
        <item x="0"/>
        <item t="default"/>
      </items>
    </pivotField>
  </pivotFields>
  <rowFields count="1">
    <field x="9"/>
  </rowFields>
  <rowItems count="4">
    <i>
      <x/>
    </i>
    <i>
      <x v="1"/>
    </i>
    <i>
      <x v="2"/>
    </i>
    <i t="grand">
      <x/>
    </i>
  </rowItems>
  <colFields count="1">
    <field x="-2"/>
  </colFields>
  <colItems count="2">
    <i>
      <x/>
    </i>
    <i i="1">
      <x v="1"/>
    </i>
  </colItems>
  <dataFields count="2">
    <dataField name="Average of Ratings" fld="6" subtotal="average" baseField="8" baseItem="0" numFmtId="2"/>
    <dataField name="Average of Discount" fld="5" subtotal="average" baseField="8" baseItem="0" numFmtId="9"/>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9" count="1" selected="0">
            <x v="0"/>
          </reference>
        </references>
      </pivotArea>
    </chartFormat>
    <chartFormat chart="6" format="12">
      <pivotArea type="data" outline="0" fieldPosition="0">
        <references count="2">
          <reference field="4294967294" count="1" selected="0">
            <x v="0"/>
          </reference>
          <reference field="9" count="1" selected="0">
            <x v="1"/>
          </reference>
        </references>
      </pivotArea>
    </chartFormat>
    <chartFormat chart="6" format="13">
      <pivotArea type="data" outline="0" fieldPosition="0">
        <references count="2">
          <reference field="4294967294" count="1" selected="0">
            <x v="0"/>
          </reference>
          <reference field="9" count="1" selected="0">
            <x v="2"/>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9" count="1" selected="0">
            <x v="0"/>
          </reference>
        </references>
      </pivotArea>
    </chartFormat>
    <chartFormat chart="6" format="16">
      <pivotArea type="data" outline="0" fieldPosition="0">
        <references count="2">
          <reference field="4294967294" count="1" selected="0">
            <x v="1"/>
          </reference>
          <reference field="9" count="1" selected="0">
            <x v="1"/>
          </reference>
        </references>
      </pivotArea>
    </chartFormat>
    <chartFormat chart="6" format="17">
      <pivotArea type="data" outline="0" fieldPosition="0">
        <references count="2">
          <reference field="4294967294" count="1" selected="0">
            <x v="1"/>
          </reference>
          <reference field="9" count="1" selected="0">
            <x v="2"/>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1"/>
          </reference>
          <reference field="9" count="1" selected="0">
            <x v="1"/>
          </reference>
        </references>
      </pivotArea>
    </chartFormat>
    <chartFormat chart="0" format="5">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0A781F-1CD3-4578-A2E0-4D1D0B3E7107}" name="PivotTable19"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6" firstHeaderRow="1" firstDataRow="1" firstDataCol="1"/>
  <pivotFields count="10">
    <pivotField showAll="0"/>
    <pivotField dataField="1" numFmtId="164" showAll="0"/>
    <pivotField showAll="0">
      <items count="4">
        <item x="0"/>
        <item x="2"/>
        <item x="1"/>
        <item t="default"/>
      </items>
    </pivotField>
    <pivotField dataField="1" numFmtId="164" showAll="0"/>
    <pivotField numFmtId="164" showAll="0"/>
    <pivotField dataField="1" numFmtId="9" showAll="0"/>
    <pivotField dataField="1" showAll="0"/>
    <pivotField showAll="0"/>
    <pivotField showAll="0">
      <items count="4">
        <item x="1"/>
        <item x="0"/>
        <item x="2"/>
        <item t="default"/>
      </items>
    </pivotField>
    <pivotField showAll="0">
      <items count="4">
        <item x="1"/>
        <item x="2"/>
        <item x="0"/>
        <item t="default"/>
      </items>
    </pivotField>
  </pivotFields>
  <rowFields count="1">
    <field x="-2"/>
  </rowFields>
  <rowItems count="4">
    <i>
      <x/>
    </i>
    <i i="1">
      <x v="1"/>
    </i>
    <i i="2">
      <x v="2"/>
    </i>
    <i i="3">
      <x v="3"/>
    </i>
  </rowItems>
  <colItems count="1">
    <i/>
  </colItems>
  <dataFields count="4">
    <dataField name="Average of Discount" fld="5" subtotal="average" baseField="8" baseItem="0" numFmtId="9"/>
    <dataField name="Average of Current price" fld="1" subtotal="average" baseField="0" baseItem="0" numFmtId="164"/>
    <dataField name="Average of Old Price" fld="3" subtotal="average" baseField="4" baseItem="0" numFmtId="164"/>
    <dataField name="Average of Ratings"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70B0EA-C1E1-42DF-A34B-3DD75FB7129F}" name="PivotTable2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E112" firstHeaderRow="0" firstDataRow="1" firstDataCol="1"/>
  <pivotFields count="10">
    <pivotField axis="axisRow" compact="0" outline="0" showAll="0">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compact="0" numFmtId="164" outline="0" showAll="0"/>
    <pivotField compact="0" outline="0" showAll="0">
      <items count="4">
        <item x="0"/>
        <item x="2"/>
        <item x="1"/>
        <item t="default"/>
      </items>
    </pivotField>
    <pivotField compact="0" numFmtId="164" outline="0" showAll="0"/>
    <pivotField compact="0" numFmtId="164" outline="0" showAll="0"/>
    <pivotField dataField="1" compact="0" numFmtId="9" outline="0" showAll="0"/>
    <pivotField compact="0" outline="0" showAll="0"/>
    <pivotField dataField="1" compact="0" outline="0" showAll="0"/>
    <pivotField compact="0" outline="0" showAll="0">
      <items count="4">
        <item x="1"/>
        <item x="0"/>
        <item x="2"/>
        <item t="default"/>
      </items>
    </pivotField>
    <pivotField compact="0" outline="0" showAll="0">
      <items count="4">
        <item x="1"/>
        <item x="2"/>
        <item x="0"/>
        <item t="default"/>
      </items>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t="grand">
      <x/>
    </i>
  </rowItems>
  <colFields count="1">
    <field x="-2"/>
  </colFields>
  <colItems count="2">
    <i>
      <x/>
    </i>
    <i i="1">
      <x v="1"/>
    </i>
  </colItems>
  <dataFields count="2">
    <dataField name="Max of Discount" fld="5" subtotal="max" baseField="0" baseItem="7" numFmtId="9"/>
    <dataField name="Max of Review" fld="7" subtotal="max" baseField="0"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4255A6-5CF7-404B-B37E-60FD5516BE51}" name="PivotTable2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4:F113" firstHeaderRow="0" firstDataRow="1" firstDataCol="1"/>
  <pivotFields count="10">
    <pivotField axis="axisRow" compact="0" outline="0" showAll="0">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compact="0" numFmtId="164" outline="0" showAll="0"/>
    <pivotField compact="0" outline="0" showAll="0"/>
    <pivotField compact="0" numFmtId="164" outline="0" showAll="0"/>
    <pivotField compact="0" numFmtId="164" outline="0" showAll="0"/>
    <pivotField compact="0" numFmtId="9" outline="0" showAll="0"/>
    <pivotField dataField="1" compact="0" outline="0" showAll="0"/>
    <pivotField dataField="1" compact="0" outline="0" showAll="0"/>
    <pivotField compact="0" outline="0" showAll="0"/>
    <pivotField compact="0" outline="0" showAll="0">
      <items count="4">
        <item x="1"/>
        <item x="2"/>
        <item x="0"/>
        <item t="default"/>
      </items>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t="grand">
      <x/>
    </i>
  </rowItems>
  <colFields count="1">
    <field x="-2"/>
  </colFields>
  <colItems count="2">
    <i>
      <x/>
    </i>
    <i i="1">
      <x v="1"/>
    </i>
  </colItems>
  <dataFields count="2">
    <dataField name="Max of Ratings" fld="6" subtotal="max" baseField="0" baseItem="5"/>
    <dataField name="Max of Review" fld="7"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CBDCC5-0D59-4B99-B6E8-7D1B11AE9A85}"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C3:D14" firstHeaderRow="1" firstDataRow="1" firstDataCol="1"/>
  <pivotFields count="10">
    <pivotField axis="axisRow" compact="0" outline="0" showAll="0" measureFilter="1" sortType="descending">
      <items count="109">
        <item x="69"/>
        <item x="3"/>
        <item x="68"/>
        <item x="84"/>
        <item x="106"/>
        <item x="91"/>
        <item x="86"/>
        <item x="62"/>
        <item x="104"/>
        <item x="53"/>
        <item x="103"/>
        <item x="42"/>
        <item x="88"/>
        <item x="37"/>
        <item x="87"/>
        <item x="26"/>
        <item x="92"/>
        <item x="2"/>
        <item x="4"/>
        <item x="50"/>
        <item x="49"/>
        <item x="16"/>
        <item x="83"/>
        <item x="81"/>
        <item x="58"/>
        <item x="51"/>
        <item x="29"/>
        <item x="85"/>
        <item x="14"/>
        <item x="40"/>
        <item x="94"/>
        <item x="1"/>
        <item x="76"/>
        <item x="18"/>
        <item x="101"/>
        <item x="22"/>
        <item x="32"/>
        <item x="38"/>
        <item x="8"/>
        <item x="13"/>
        <item x="17"/>
        <item x="24"/>
        <item x="67"/>
        <item x="97"/>
        <item x="61"/>
        <item x="80"/>
        <item x="10"/>
        <item x="23"/>
        <item x="30"/>
        <item x="25"/>
        <item x="71"/>
        <item x="35"/>
        <item x="7"/>
        <item x="52"/>
        <item x="74"/>
        <item x="47"/>
        <item x="36"/>
        <item x="54"/>
        <item x="43"/>
        <item x="102"/>
        <item x="82"/>
        <item x="45"/>
        <item x="48"/>
        <item x="107"/>
        <item x="77"/>
        <item x="41"/>
        <item x="95"/>
        <item x="63"/>
        <item x="15"/>
        <item x="55"/>
        <item x="66"/>
        <item x="98"/>
        <item x="96"/>
        <item x="70"/>
        <item x="75"/>
        <item x="44"/>
        <item x="89"/>
        <item x="105"/>
        <item x="59"/>
        <item x="78"/>
        <item x="33"/>
        <item x="34"/>
        <item x="28"/>
        <item x="57"/>
        <item x="21"/>
        <item x="39"/>
        <item x="12"/>
        <item x="93"/>
        <item x="20"/>
        <item x="73"/>
        <item x="19"/>
        <item x="64"/>
        <item x="65"/>
        <item x="72"/>
        <item x="46"/>
        <item x="90"/>
        <item x="99"/>
        <item x="5"/>
        <item x="79"/>
        <item x="100"/>
        <item x="6"/>
        <item x="9"/>
        <item x="56"/>
        <item x="60"/>
        <item x="31"/>
        <item x="27"/>
        <item x="0"/>
        <item x="11"/>
        <item t="default"/>
      </items>
    </pivotField>
    <pivotField compact="0" numFmtId="164" outline="0" showAll="0"/>
    <pivotField compact="0" outline="0" showAll="0">
      <items count="4">
        <item x="0"/>
        <item x="2"/>
        <item x="1"/>
        <item t="default"/>
      </items>
    </pivotField>
    <pivotField compact="0" numFmtId="164" outline="0" showAll="0"/>
    <pivotField compact="0" numFmtId="164" outline="0" showAll="0"/>
    <pivotField dataField="1" compact="0" numFmtId="9" outline="0" showAll="0"/>
    <pivotField compact="0" outline="0" showAll="0"/>
    <pivotField compact="0" outline="0" showAll="0"/>
    <pivotField compact="0" outline="0" showAll="0">
      <items count="4">
        <item x="1"/>
        <item x="0"/>
        <item x="2"/>
        <item t="default"/>
      </items>
    </pivotField>
    <pivotField compact="0" outline="0" showAll="0">
      <items count="4">
        <item x="1"/>
        <item x="2"/>
        <item x="0"/>
        <item t="default"/>
      </items>
    </pivotField>
  </pivotFields>
  <rowFields count="1">
    <field x="0"/>
  </rowFields>
  <rowItems count="11">
    <i>
      <x v="24"/>
    </i>
    <i>
      <x v="38"/>
    </i>
    <i>
      <x v="41"/>
    </i>
    <i>
      <x v="44"/>
    </i>
    <i>
      <x v="48"/>
    </i>
    <i>
      <x v="55"/>
    </i>
    <i>
      <x v="56"/>
    </i>
    <i>
      <x v="77"/>
    </i>
    <i>
      <x v="78"/>
    </i>
    <i>
      <x v="88"/>
    </i>
    <i t="grand">
      <x/>
    </i>
  </rowItems>
  <colItems count="1">
    <i/>
  </colItems>
  <dataFields count="1">
    <dataField name="Max of Discount" fld="5" subtotal="max" baseField="0" baseItem="0" numFmtId="9"/>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F8997E-3BFF-40B4-85BC-3F13B13C60D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5:D46" firstHeaderRow="1" firstDataRow="1" firstDataCol="1"/>
  <pivotFields count="10">
    <pivotField axis="axisRow" showAll="0" measureFilter="1">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numFmtId="164" showAll="0"/>
    <pivotField showAll="0">
      <items count="4">
        <item x="0"/>
        <item x="2"/>
        <item x="1"/>
        <item t="default"/>
      </items>
    </pivotField>
    <pivotField numFmtId="164" showAll="0"/>
    <pivotField numFmtId="164" showAll="0"/>
    <pivotField numFmtId="9" showAll="0"/>
    <pivotField showAll="0"/>
    <pivotField dataField="1" showAll="0"/>
    <pivotField showAll="0">
      <items count="4">
        <item x="1"/>
        <item x="0"/>
        <item x="2"/>
        <item t="default"/>
      </items>
    </pivotField>
    <pivotField showAll="0">
      <items count="4">
        <item x="1"/>
        <item x="2"/>
        <item x="0"/>
        <item t="default"/>
      </items>
    </pivotField>
  </pivotFields>
  <rowFields count="1">
    <field x="0"/>
  </rowFields>
  <rowItems count="11">
    <i>
      <x/>
    </i>
    <i>
      <x v="4"/>
    </i>
    <i>
      <x v="7"/>
    </i>
    <i>
      <x v="17"/>
    </i>
    <i>
      <x v="25"/>
    </i>
    <i>
      <x v="26"/>
    </i>
    <i>
      <x v="27"/>
    </i>
    <i>
      <x v="58"/>
    </i>
    <i>
      <x v="90"/>
    </i>
    <i>
      <x v="94"/>
    </i>
    <i t="grand">
      <x/>
    </i>
  </rowItems>
  <colItems count="1">
    <i/>
  </colItems>
  <dataFields count="1">
    <dataField name="Max of Review" fld="7" subtotal="max"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87E598-0FA7-40C8-8096-7E235BE70C1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4:D12" firstHeaderRow="1" firstDataRow="1" firstDataCol="1"/>
  <pivotFields count="10">
    <pivotField axis="axisRow" showAll="0" measureFilter="1">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numFmtId="164" showAll="0"/>
    <pivotField showAll="0">
      <items count="4">
        <item x="0"/>
        <item x="2"/>
        <item x="1"/>
        <item t="default"/>
      </items>
    </pivotField>
    <pivotField numFmtId="164" showAll="0"/>
    <pivotField numFmtId="164" showAll="0"/>
    <pivotField numFmtId="9" showAll="0"/>
    <pivotField dataField="1" showAll="0" sortType="descending"/>
    <pivotField showAll="0"/>
    <pivotField showAll="0">
      <items count="4">
        <item x="1"/>
        <item x="0"/>
        <item x="2"/>
        <item t="default"/>
      </items>
    </pivotField>
    <pivotField showAll="0">
      <items count="4">
        <item x="1"/>
        <item x="2"/>
        <item x="0"/>
        <item t="default"/>
      </items>
    </pivotField>
  </pivotFields>
  <rowFields count="1">
    <field x="0"/>
  </rowFields>
  <rowItems count="8">
    <i>
      <x v="39"/>
    </i>
    <i>
      <x v="43"/>
    </i>
    <i>
      <x v="51"/>
    </i>
    <i>
      <x v="56"/>
    </i>
    <i>
      <x v="64"/>
    </i>
    <i>
      <x v="67"/>
    </i>
    <i>
      <x v="86"/>
    </i>
    <i t="grand">
      <x/>
    </i>
  </rowItems>
  <colItems count="1">
    <i/>
  </colItems>
  <dataFields count="1">
    <dataField name="Max of Ratings" fld="6" subtotal="max" baseField="0" baseItem="39"/>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ECE391-8229-4B47-9788-99423E044E9D}"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F37" firstHeaderRow="1" firstDataRow="1" firstDataCol="1"/>
  <pivotFields count="10">
    <pivotField dataField="1" showAll="0">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numFmtId="164" showAll="0"/>
    <pivotField axis="axisRow" showAll="0">
      <items count="4">
        <item x="0"/>
        <item x="2"/>
        <item x="1"/>
        <item t="default"/>
      </items>
    </pivotField>
    <pivotField numFmtId="164" showAll="0"/>
    <pivotField numFmtId="164" showAll="0"/>
    <pivotField numFmtId="9" showAll="0"/>
    <pivotField showAll="0"/>
    <pivotField showAll="0"/>
    <pivotField showAll="0">
      <items count="4">
        <item x="1"/>
        <item x="0"/>
        <item x="2"/>
        <item t="default"/>
      </items>
    </pivotField>
    <pivotField showAll="0">
      <items count="4">
        <item x="1"/>
        <item x="2"/>
        <item x="0"/>
        <item t="default"/>
      </items>
    </pivotField>
  </pivotFields>
  <rowFields count="1">
    <field x="2"/>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88847D-278D-4BDA-92D5-11DBD9465F2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E7" firstHeaderRow="0" firstDataRow="1" firstDataCol="1"/>
  <pivotFields count="10">
    <pivotField showAll="0"/>
    <pivotField numFmtId="164" showAll="0"/>
    <pivotField showAll="0">
      <items count="4">
        <item x="0"/>
        <item x="2"/>
        <item x="1"/>
        <item t="default"/>
      </items>
    </pivotField>
    <pivotField numFmtId="164" showAll="0"/>
    <pivotField numFmtId="164" showAll="0"/>
    <pivotField numFmtId="9" showAll="0"/>
    <pivotField dataField="1" showAll="0"/>
    <pivotField dataField="1" showAll="0"/>
    <pivotField showAll="0">
      <items count="4">
        <item x="1"/>
        <item x="0"/>
        <item x="2"/>
        <item t="default"/>
      </items>
    </pivotField>
    <pivotField axis="axisRow" showAll="0">
      <items count="4">
        <item x="1"/>
        <item x="2"/>
        <item x="0"/>
        <item t="default"/>
      </items>
    </pivotField>
  </pivotFields>
  <rowFields count="1">
    <field x="9"/>
  </rowFields>
  <rowItems count="4">
    <i>
      <x/>
    </i>
    <i>
      <x v="1"/>
    </i>
    <i>
      <x v="2"/>
    </i>
    <i t="grand">
      <x/>
    </i>
  </rowItems>
  <colFields count="1">
    <field x="-2"/>
  </colFields>
  <colItems count="2">
    <i>
      <x/>
    </i>
    <i i="1">
      <x v="1"/>
    </i>
  </colItems>
  <dataFields count="2">
    <dataField name="Average of Ratings" fld="6" subtotal="average" baseField="4" baseItem="0" numFmtId="165"/>
    <dataField name="Count of Review" fld="7" subtotal="count" baseField="4"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6FF51282-94A1-4B7A-99B6-69177E17DB93}" sourceName="Rating Category">
  <pivotTables>
    <pivotTable tabId="2" name="PivotTable2"/>
    <pivotTable tabId="2" name="PivotTable19"/>
    <pivotTable tabId="2" name="PivotTable3"/>
    <pivotTable tabId="3" name="PivotTable13"/>
    <pivotTable tabId="3" name="PivotTable14"/>
    <pivotTable tabId="4" name="PivotTable15"/>
    <pivotTable tabId="5" name="PivotTable17"/>
    <pivotTable tabId="5" name="PivotTable25"/>
    <pivotTable tabId="11" name="PivotTable26"/>
  </pivotTables>
  <data>
    <tabular pivotCacheId="16066015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D1B66370-E572-4A25-A0E4-BF84C897E92A}" sourceName="Discount Category">
  <pivotTables>
    <pivotTable tabId="2" name="PivotTable2"/>
    <pivotTable tabId="2" name="PivotTable19"/>
    <pivotTable tabId="2" name="PivotTable3"/>
    <pivotTable tabId="3" name="PivotTable13"/>
    <pivotTable tabId="3" name="PivotTable14"/>
    <pivotTable tabId="4" name="PivotTable15"/>
    <pivotTable tabId="5" name="PivotTable17"/>
    <pivotTable tabId="5" name="PivotTable25"/>
    <pivotTable tabId="11" name="PivotTable26"/>
    <pivotTable tabId="15" name="PivotTable27"/>
  </pivotTables>
  <data>
    <tabular pivotCacheId="16066015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D4A43653-73A7-488B-8461-5FD0F298EDA6}" sourceName="PRICE Category">
  <pivotTables>
    <pivotTable tabId="5" name="PivotTable25"/>
    <pivotTable tabId="2" name="PivotTable19"/>
    <pivotTable tabId="2" name="PivotTable2"/>
    <pivotTable tabId="2" name="PivotTable3"/>
    <pivotTable tabId="3" name="PivotTable13"/>
    <pivotTable tabId="3" name="PivotTable14"/>
    <pivotTable tabId="4" name="PivotTable15"/>
    <pivotTable tabId="5" name="PivotTable17"/>
    <pivotTable tabId="11" name="PivotTable26"/>
  </pivotTables>
  <data>
    <tabular pivotCacheId="1606601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F9C07724-FDAF-4132-8A6F-9FB6C4FE8086}" cache="Slicer_Rating_Category" caption="Rating Category" rowHeight="241300"/>
  <slicer name="Discount Category" xr10:uid="{F0B7D59E-0851-4417-9EC3-883F3932F1E1}" cache="Slicer_Discount_Category" caption="Discoun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2E54E2B8-CACD-4EC8-AE22-9FAAA66A6DEA}" cache="Slicer_PRICE_Category" caption="PRICE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1C2A9970-23EE-4999-9C28-C7237FF6960B}" cache="Slicer_Rating_Category" caption="Rating Category" rowHeight="241300"/>
  <slicer name="Discount Category 1" xr10:uid="{97D61E23-D609-427A-B569-C845406F4A80}" cache="Slicer_Discount_Category" caption="Discount Category" rowHeight="241300"/>
  <slicer name="PRICE Category 1" xr10:uid="{A1CF86AC-8ECD-4C88-B205-9B8433EEE2D6}" cache="Slicer_PRICE_Category" caption="PRICE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A667B-D209-4787-B768-D4E79AD09EB4}">
  <dimension ref="A1:J122"/>
  <sheetViews>
    <sheetView zoomScale="98" zoomScaleNormal="98" workbookViewId="0">
      <pane ySplit="1" topLeftCell="A59" activePane="bottomLeft" state="frozen"/>
      <selection pane="bottomLeft" activeCell="A87" sqref="A87"/>
    </sheetView>
  </sheetViews>
  <sheetFormatPr defaultRowHeight="15" x14ac:dyDescent="0.25"/>
  <cols>
    <col min="1" max="1" width="72.140625" customWidth="1"/>
    <col min="2" max="3" width="22.7109375" style="4" customWidth="1"/>
    <col min="4" max="5" width="16.7109375" style="4" customWidth="1"/>
    <col min="6" max="6" width="10.7109375" style="8" customWidth="1"/>
    <col min="7" max="7" width="11.7109375" style="6" customWidth="1"/>
    <col min="8" max="8" width="13.140625" customWidth="1"/>
    <col min="9" max="9" width="15" customWidth="1"/>
    <col min="10" max="10" width="17.42578125" bestFit="1" customWidth="1"/>
  </cols>
  <sheetData>
    <row r="1" spans="1:10" s="2" customFormat="1" x14ac:dyDescent="0.25">
      <c r="A1" s="2" t="s">
        <v>0</v>
      </c>
      <c r="B1" s="3" t="s">
        <v>1</v>
      </c>
      <c r="C1" s="3" t="s">
        <v>137</v>
      </c>
      <c r="D1" s="3" t="s">
        <v>114</v>
      </c>
      <c r="E1" s="3" t="s">
        <v>113</v>
      </c>
      <c r="F1" s="7" t="s">
        <v>2</v>
      </c>
      <c r="G1" s="5" t="s">
        <v>112</v>
      </c>
      <c r="H1" s="2" t="s">
        <v>3</v>
      </c>
      <c r="I1" s="2" t="s">
        <v>115</v>
      </c>
      <c r="J1" s="2" t="s">
        <v>116</v>
      </c>
    </row>
    <row r="2" spans="1:10" x14ac:dyDescent="0.25">
      <c r="A2" t="s">
        <v>4</v>
      </c>
      <c r="B2" s="4">
        <v>950</v>
      </c>
      <c r="C2" s="4" t="str">
        <f>IF(B2&lt;=1000, "0 - 1000", IF(B2 &lt;=2000,"1000 - 2000", IF(B2&lt;=4000,"2000 - 4000", "Above 400")))</f>
        <v>0 - 1000</v>
      </c>
      <c r="D2" s="4">
        <v>1525</v>
      </c>
      <c r="E2" s="4">
        <f t="shared" ref="E2:E33" si="0">D2-B2</f>
        <v>575</v>
      </c>
      <c r="F2" s="8">
        <v>0.38</v>
      </c>
      <c r="G2" s="6">
        <v>4.5</v>
      </c>
      <c r="H2">
        <v>2</v>
      </c>
      <c r="I2" t="str">
        <f t="shared" ref="I2:I33" si="1">IF(G2&lt;3,"Poor", IF(G2&gt;=4.5,"Excelent","Average"))</f>
        <v>Excelent</v>
      </c>
      <c r="J2" t="str" cm="1">
        <f t="array" ref="J2">_xlfn.IFS(F2&lt;=0.2,"Low Discount",F2&lt;=0.4,"Medium Discount",F2&gt;0.4,"High Discount")</f>
        <v>Medium Discount</v>
      </c>
    </row>
    <row r="3" spans="1:10" x14ac:dyDescent="0.25">
      <c r="A3" t="s">
        <v>5</v>
      </c>
      <c r="B3" s="4">
        <v>527</v>
      </c>
      <c r="C3" s="4" t="str">
        <f t="shared" ref="C3:C66" si="2">IF(B3&lt;=1000, "0 - 1000", IF(B3 &lt;=2000,"1000 - 2000", IF(B3&lt;=4000,"2000 - 4000", "Above 400")))</f>
        <v>0 - 1000</v>
      </c>
      <c r="D3" s="4">
        <v>999</v>
      </c>
      <c r="E3" s="4">
        <f t="shared" si="0"/>
        <v>472</v>
      </c>
      <c r="F3" s="8">
        <v>0.47</v>
      </c>
      <c r="G3" s="6">
        <v>4.0999999999999996</v>
      </c>
      <c r="H3">
        <v>14</v>
      </c>
      <c r="I3" t="str">
        <f t="shared" si="1"/>
        <v>Average</v>
      </c>
      <c r="J3" t="str" cm="1">
        <f t="array" ref="J3">_xlfn.IFS(F3&lt;=0.2,"Low Discount",F3&lt;=0.4,"Medium Discount",F3&gt;0.4,"High Discount")</f>
        <v>High Discount</v>
      </c>
    </row>
    <row r="4" spans="1:10" x14ac:dyDescent="0.25">
      <c r="A4" t="s">
        <v>6</v>
      </c>
      <c r="B4" s="4">
        <v>2199</v>
      </c>
      <c r="C4" s="4" t="str">
        <f t="shared" si="2"/>
        <v>2000 - 4000</v>
      </c>
      <c r="D4" s="4">
        <v>2923</v>
      </c>
      <c r="E4" s="4">
        <f t="shared" si="0"/>
        <v>724</v>
      </c>
      <c r="F4" s="8">
        <v>0.25</v>
      </c>
      <c r="G4" s="6">
        <v>4.5999999999999996</v>
      </c>
      <c r="H4">
        <v>24</v>
      </c>
      <c r="I4" t="str">
        <f t="shared" si="1"/>
        <v>Excelent</v>
      </c>
      <c r="J4" t="str" cm="1">
        <f t="array" ref="J4">_xlfn.IFS(F4&lt;=0.2,"Low Discount",F4&lt;=0.4,"Medium Discount",F4&gt;0.4,"High Discount")</f>
        <v>Medium Discount</v>
      </c>
    </row>
    <row r="5" spans="1:10" x14ac:dyDescent="0.25">
      <c r="A5" t="s">
        <v>7</v>
      </c>
      <c r="B5" s="4">
        <v>1580</v>
      </c>
      <c r="C5" s="4" t="str">
        <f t="shared" si="2"/>
        <v>1000 - 2000</v>
      </c>
      <c r="D5" s="4">
        <v>2499</v>
      </c>
      <c r="E5" s="4">
        <f t="shared" si="0"/>
        <v>919</v>
      </c>
      <c r="F5" s="8">
        <v>0.37</v>
      </c>
      <c r="G5" s="6">
        <v>4.7</v>
      </c>
      <c r="H5">
        <v>7</v>
      </c>
      <c r="I5" t="str">
        <f t="shared" si="1"/>
        <v>Excelent</v>
      </c>
      <c r="J5" t="str" cm="1">
        <f t="array" ref="J5">_xlfn.IFS(F5&lt;=0.2,"Low Discount",F5&lt;=0.4,"Medium Discount",F5&gt;0.4,"High Discount")</f>
        <v>Medium Discount</v>
      </c>
    </row>
    <row r="6" spans="1:10" x14ac:dyDescent="0.25">
      <c r="A6" t="s">
        <v>8</v>
      </c>
      <c r="B6" s="4">
        <v>1740</v>
      </c>
      <c r="C6" s="4" t="str">
        <f t="shared" si="2"/>
        <v>1000 - 2000</v>
      </c>
      <c r="D6" s="4">
        <v>2356</v>
      </c>
      <c r="E6" s="4">
        <f t="shared" si="0"/>
        <v>616</v>
      </c>
      <c r="F6" s="8">
        <v>0.26</v>
      </c>
      <c r="G6" s="6">
        <v>4.8</v>
      </c>
      <c r="H6">
        <v>5</v>
      </c>
      <c r="I6" t="str">
        <f t="shared" si="1"/>
        <v>Excelent</v>
      </c>
      <c r="J6" t="str" cm="1">
        <f t="array" ref="J6">_xlfn.IFS(F6&lt;=0.2,"Low Discount",F6&lt;=0.4,"Medium Discount",F6&gt;0.4,"High Discount")</f>
        <v>Medium Discount</v>
      </c>
    </row>
    <row r="7" spans="1:10" x14ac:dyDescent="0.25">
      <c r="A7" t="s">
        <v>9</v>
      </c>
      <c r="B7" s="4">
        <v>2999</v>
      </c>
      <c r="C7" s="4" t="str">
        <f t="shared" si="2"/>
        <v>2000 - 4000</v>
      </c>
      <c r="D7" s="4">
        <v>3290</v>
      </c>
      <c r="E7" s="4">
        <f t="shared" si="0"/>
        <v>291</v>
      </c>
      <c r="F7" s="8">
        <v>0.09</v>
      </c>
      <c r="G7" s="6">
        <v>4</v>
      </c>
      <c r="H7">
        <v>15</v>
      </c>
      <c r="I7" t="str">
        <f t="shared" si="1"/>
        <v>Average</v>
      </c>
      <c r="J7" t="str" cm="1">
        <f t="array" ref="J7">_xlfn.IFS(F7&lt;=0.2,"Low Discount",F7&lt;=0.4,"Medium Discount",F7&gt;0.4,"High Discount")</f>
        <v>Low Discount</v>
      </c>
    </row>
    <row r="8" spans="1:10" x14ac:dyDescent="0.25">
      <c r="A8" t="s">
        <v>10</v>
      </c>
      <c r="B8" s="4">
        <v>2319</v>
      </c>
      <c r="C8" s="4" t="str">
        <f t="shared" si="2"/>
        <v>2000 - 4000</v>
      </c>
      <c r="D8" s="4">
        <v>3032</v>
      </c>
      <c r="E8" s="4">
        <f t="shared" si="0"/>
        <v>713</v>
      </c>
      <c r="F8" s="8">
        <v>0.24</v>
      </c>
      <c r="G8" s="6">
        <v>4.5999999999999996</v>
      </c>
      <c r="H8">
        <v>55</v>
      </c>
      <c r="I8" t="str">
        <f t="shared" si="1"/>
        <v>Excelent</v>
      </c>
      <c r="J8" t="str" cm="1">
        <f t="array" ref="J8">_xlfn.IFS(F8&lt;=0.2,"Low Discount",F8&lt;=0.4,"Medium Discount",F8&gt;0.4,"High Discount")</f>
        <v>Medium Discount</v>
      </c>
    </row>
    <row r="9" spans="1:10" x14ac:dyDescent="0.25">
      <c r="A9" t="s">
        <v>11</v>
      </c>
      <c r="B9" s="4">
        <v>988</v>
      </c>
      <c r="C9" s="4" t="str">
        <f t="shared" si="2"/>
        <v>0 - 1000</v>
      </c>
      <c r="D9" s="4">
        <v>1580</v>
      </c>
      <c r="E9" s="4">
        <f t="shared" si="0"/>
        <v>592</v>
      </c>
      <c r="F9" s="8">
        <v>0.37</v>
      </c>
      <c r="G9" s="6">
        <v>4</v>
      </c>
      <c r="H9">
        <v>2</v>
      </c>
      <c r="I9" t="str">
        <f t="shared" si="1"/>
        <v>Average</v>
      </c>
      <c r="J9" t="str" cm="1">
        <f t="array" ref="J9">_xlfn.IFS(F9&lt;=0.2,"Low Discount",F9&lt;=0.4,"Medium Discount",F9&gt;0.4,"High Discount")</f>
        <v>Medium Discount</v>
      </c>
    </row>
    <row r="10" spans="1:10" x14ac:dyDescent="0.25">
      <c r="A10" t="s">
        <v>12</v>
      </c>
      <c r="B10" s="4">
        <v>1274</v>
      </c>
      <c r="C10" s="4" t="str">
        <f t="shared" si="2"/>
        <v>1000 - 2000</v>
      </c>
      <c r="D10" s="4">
        <v>2800</v>
      </c>
      <c r="E10" s="4">
        <f t="shared" si="0"/>
        <v>1526</v>
      </c>
      <c r="F10" s="8">
        <v>0.55000000000000004</v>
      </c>
      <c r="G10" s="6">
        <v>4.8</v>
      </c>
      <c r="H10">
        <v>5</v>
      </c>
      <c r="I10" t="str">
        <f t="shared" si="1"/>
        <v>Excelent</v>
      </c>
      <c r="J10" t="str" cm="1">
        <f t="array" ref="J10">_xlfn.IFS(F10&lt;=0.2,"Low Discount",F10&lt;=0.4,"Medium Discount",F10&gt;0.4,"High Discount")</f>
        <v>High Discount</v>
      </c>
    </row>
    <row r="11" spans="1:10" x14ac:dyDescent="0.25">
      <c r="A11" t="s">
        <v>13</v>
      </c>
      <c r="B11" s="4">
        <v>1600</v>
      </c>
      <c r="C11" s="4" t="str">
        <f t="shared" si="2"/>
        <v>1000 - 2000</v>
      </c>
      <c r="D11" s="4">
        <v>2929</v>
      </c>
      <c r="E11" s="4">
        <f t="shared" si="0"/>
        <v>1329</v>
      </c>
      <c r="F11" s="8">
        <v>0.45</v>
      </c>
      <c r="G11" s="6">
        <v>3.8</v>
      </c>
      <c r="H11">
        <v>5</v>
      </c>
      <c r="I11" t="str">
        <f t="shared" si="1"/>
        <v>Average</v>
      </c>
      <c r="J11" t="str" cm="1">
        <f t="array" ref="J11">_xlfn.IFS(F11&lt;=0.2,"Low Discount",F11&lt;=0.4,"Medium Discount",F11&gt;0.4,"High Discount")</f>
        <v>High Discount</v>
      </c>
    </row>
    <row r="12" spans="1:10" x14ac:dyDescent="0.25">
      <c r="A12" t="s">
        <v>14</v>
      </c>
      <c r="B12" s="4">
        <v>799</v>
      </c>
      <c r="C12" s="4" t="str">
        <f t="shared" si="2"/>
        <v>0 - 1000</v>
      </c>
      <c r="D12" s="4">
        <v>999</v>
      </c>
      <c r="E12" s="4">
        <f t="shared" si="0"/>
        <v>200</v>
      </c>
      <c r="F12" s="8">
        <v>0.2</v>
      </c>
      <c r="G12" s="6">
        <v>4.0999999999999996</v>
      </c>
      <c r="H12">
        <v>12</v>
      </c>
      <c r="I12" t="str">
        <f t="shared" si="1"/>
        <v>Average</v>
      </c>
      <c r="J12" t="str" cm="1">
        <f t="array" ref="J12">_xlfn.IFS(F12&lt;=0.2,"Low Discount",F12&lt;=0.4,"Medium Discount",F12&gt;0.4,"High Discount")</f>
        <v>Low Discount</v>
      </c>
    </row>
    <row r="13" spans="1:10" x14ac:dyDescent="0.25">
      <c r="A13" t="s">
        <v>15</v>
      </c>
      <c r="B13" s="4">
        <v>990</v>
      </c>
      <c r="C13" s="4" t="str">
        <f t="shared" si="2"/>
        <v>0 - 1000</v>
      </c>
      <c r="D13" s="4">
        <v>1500</v>
      </c>
      <c r="E13" s="4">
        <f t="shared" si="0"/>
        <v>510</v>
      </c>
      <c r="F13" s="8">
        <v>0.34</v>
      </c>
      <c r="G13" s="6">
        <v>4.7</v>
      </c>
      <c r="H13">
        <v>39</v>
      </c>
      <c r="I13" t="str">
        <f t="shared" si="1"/>
        <v>Excelent</v>
      </c>
      <c r="J13" t="str" cm="1">
        <f t="array" ref="J13">_xlfn.IFS(F13&lt;=0.2,"Low Discount",F13&lt;=0.4,"Medium Discount",F13&gt;0.4,"High Discount")</f>
        <v>Medium Discount</v>
      </c>
    </row>
    <row r="14" spans="1:10" x14ac:dyDescent="0.25">
      <c r="A14" t="s">
        <v>16</v>
      </c>
      <c r="B14" s="4">
        <v>552</v>
      </c>
      <c r="C14" s="4" t="str">
        <f t="shared" si="2"/>
        <v>0 - 1000</v>
      </c>
      <c r="D14" s="4">
        <v>1035</v>
      </c>
      <c r="E14" s="4">
        <f t="shared" si="0"/>
        <v>483</v>
      </c>
      <c r="F14" s="8">
        <v>0.47</v>
      </c>
      <c r="G14" s="6">
        <v>4.8</v>
      </c>
      <c r="H14">
        <v>12</v>
      </c>
      <c r="I14" t="str">
        <f t="shared" si="1"/>
        <v>Excelent</v>
      </c>
      <c r="J14" t="str" cm="1">
        <f t="array" ref="J14">_xlfn.IFS(F14&lt;=0.2,"Low Discount",F14&lt;=0.4,"Medium Discount",F14&gt;0.4,"High Discount")</f>
        <v>High Discount</v>
      </c>
    </row>
    <row r="15" spans="1:10" x14ac:dyDescent="0.25">
      <c r="A15" t="s">
        <v>17</v>
      </c>
      <c r="B15" s="4">
        <v>501</v>
      </c>
      <c r="C15" s="4" t="str">
        <f t="shared" si="2"/>
        <v>0 - 1000</v>
      </c>
      <c r="D15" s="4">
        <v>860</v>
      </c>
      <c r="E15" s="4">
        <f t="shared" si="0"/>
        <v>359</v>
      </c>
      <c r="F15" s="8">
        <v>0.42</v>
      </c>
      <c r="G15" s="6">
        <v>4.5</v>
      </c>
      <c r="H15">
        <v>6</v>
      </c>
      <c r="I15" t="str">
        <f t="shared" si="1"/>
        <v>Excelent</v>
      </c>
      <c r="J15" t="str" cm="1">
        <f t="array" ref="J15">_xlfn.IFS(F15&lt;=0.2,"Low Discount",F15&lt;=0.4,"Medium Discount",F15&gt;0.4,"High Discount")</f>
        <v>High Discount</v>
      </c>
    </row>
    <row r="16" spans="1:10" x14ac:dyDescent="0.25">
      <c r="A16" t="s">
        <v>18</v>
      </c>
      <c r="B16" s="4">
        <v>1680</v>
      </c>
      <c r="C16" s="4" t="str">
        <f t="shared" si="2"/>
        <v>1000 - 2000</v>
      </c>
      <c r="D16" s="4">
        <v>2499</v>
      </c>
      <c r="E16" s="4">
        <f t="shared" si="0"/>
        <v>819</v>
      </c>
      <c r="F16" s="8">
        <v>0.33</v>
      </c>
      <c r="G16" s="6">
        <v>4.2</v>
      </c>
      <c r="H16">
        <v>9</v>
      </c>
      <c r="I16" t="str">
        <f t="shared" si="1"/>
        <v>Average</v>
      </c>
      <c r="J16" t="str" cm="1">
        <f t="array" ref="J16">_xlfn.IFS(F16&lt;=0.2,"Low Discount",F16&lt;=0.4,"Medium Discount",F16&gt;0.4,"High Discount")</f>
        <v>Medium Discount</v>
      </c>
    </row>
    <row r="17" spans="1:10" x14ac:dyDescent="0.25">
      <c r="A17" t="s">
        <v>19</v>
      </c>
      <c r="B17" s="4">
        <v>332</v>
      </c>
      <c r="C17" s="4" t="str">
        <f t="shared" si="2"/>
        <v>0 - 1000</v>
      </c>
      <c r="D17" s="4">
        <v>684</v>
      </c>
      <c r="E17" s="4">
        <f t="shared" si="0"/>
        <v>352</v>
      </c>
      <c r="F17" s="8">
        <v>0.51</v>
      </c>
      <c r="G17" s="6">
        <v>5</v>
      </c>
      <c r="H17">
        <v>2</v>
      </c>
      <c r="I17" t="str">
        <f t="shared" si="1"/>
        <v>Excelent</v>
      </c>
      <c r="J17" t="str" cm="1">
        <f t="array" ref="J17">_xlfn.IFS(F17&lt;=0.2,"Low Discount",F17&lt;=0.4,"Medium Discount",F17&gt;0.4,"High Discount")</f>
        <v>High Discount</v>
      </c>
    </row>
    <row r="18" spans="1:10" x14ac:dyDescent="0.25">
      <c r="A18" t="s">
        <v>20</v>
      </c>
      <c r="B18" s="4">
        <v>195</v>
      </c>
      <c r="C18" s="4" t="str">
        <f t="shared" si="2"/>
        <v>0 - 1000</v>
      </c>
      <c r="D18" s="4">
        <v>360</v>
      </c>
      <c r="E18" s="4">
        <f t="shared" si="0"/>
        <v>165</v>
      </c>
      <c r="F18" s="8">
        <v>0.46</v>
      </c>
      <c r="G18" s="6">
        <v>5</v>
      </c>
      <c r="H18">
        <v>2</v>
      </c>
      <c r="I18" t="str">
        <f t="shared" si="1"/>
        <v>Excelent</v>
      </c>
      <c r="J18" t="str" cm="1">
        <f t="array" ref="J18">_xlfn.IFS(F18&lt;=0.2,"Low Discount",F18&lt;=0.4,"Medium Discount",F18&gt;0.4,"High Discount")</f>
        <v>High Discount</v>
      </c>
    </row>
    <row r="19" spans="1:10" x14ac:dyDescent="0.25">
      <c r="A19" t="s">
        <v>21</v>
      </c>
      <c r="B19" s="4">
        <v>2025</v>
      </c>
      <c r="C19" s="4" t="str">
        <f t="shared" si="2"/>
        <v>2000 - 4000</v>
      </c>
      <c r="D19" s="4">
        <v>3971</v>
      </c>
      <c r="E19" s="4">
        <f t="shared" si="0"/>
        <v>1946</v>
      </c>
      <c r="F19" s="8">
        <v>0.49</v>
      </c>
      <c r="G19" s="6">
        <v>5</v>
      </c>
      <c r="H19">
        <v>3</v>
      </c>
      <c r="I19" t="str">
        <f t="shared" si="1"/>
        <v>Excelent</v>
      </c>
      <c r="J19" t="str" cm="1">
        <f t="array" ref="J19">_xlfn.IFS(F19&lt;=0.2,"Low Discount",F19&lt;=0.4,"Medium Discount",F19&gt;0.4,"High Discount")</f>
        <v>High Discount</v>
      </c>
    </row>
    <row r="20" spans="1:10" x14ac:dyDescent="0.25">
      <c r="A20" t="s">
        <v>22</v>
      </c>
      <c r="B20" s="4">
        <v>2999</v>
      </c>
      <c r="C20" s="4" t="str">
        <f t="shared" si="2"/>
        <v>2000 - 4000</v>
      </c>
      <c r="D20" s="4">
        <v>3699</v>
      </c>
      <c r="E20" s="4">
        <f t="shared" si="0"/>
        <v>700</v>
      </c>
      <c r="F20" s="8">
        <v>0.19</v>
      </c>
      <c r="G20" s="6">
        <v>4.5999999999999996</v>
      </c>
      <c r="H20">
        <v>5</v>
      </c>
      <c r="I20" t="str">
        <f t="shared" si="1"/>
        <v>Excelent</v>
      </c>
      <c r="J20" t="str" cm="1">
        <f t="array" ref="J20">_xlfn.IFS(F20&lt;=0.2,"Low Discount",F20&lt;=0.4,"Medium Discount",F20&gt;0.4,"High Discount")</f>
        <v>Low Discount</v>
      </c>
    </row>
    <row r="21" spans="1:10" x14ac:dyDescent="0.25">
      <c r="A21" t="s">
        <v>23</v>
      </c>
      <c r="B21" s="4">
        <v>998</v>
      </c>
      <c r="C21" s="4" t="str">
        <f t="shared" si="2"/>
        <v>0 - 1000</v>
      </c>
      <c r="D21" s="4">
        <v>1966</v>
      </c>
      <c r="E21" s="4">
        <f t="shared" si="0"/>
        <v>968</v>
      </c>
      <c r="F21" s="8">
        <v>0.49</v>
      </c>
      <c r="G21" s="6">
        <v>4.5999999999999996</v>
      </c>
      <c r="H21">
        <v>44</v>
      </c>
      <c r="I21" t="str">
        <f t="shared" si="1"/>
        <v>Excelent</v>
      </c>
      <c r="J21" t="str" cm="1">
        <f t="array" ref="J21">_xlfn.IFS(F21&lt;=0.2,"Low Discount",F21&lt;=0.4,"Medium Discount",F21&gt;0.4,"High Discount")</f>
        <v>High Discount</v>
      </c>
    </row>
    <row r="22" spans="1:10" x14ac:dyDescent="0.25">
      <c r="A22" t="s">
        <v>24</v>
      </c>
      <c r="B22" s="4">
        <v>38</v>
      </c>
      <c r="C22" s="4" t="str">
        <f t="shared" si="2"/>
        <v>0 - 1000</v>
      </c>
      <c r="D22" s="4">
        <v>80</v>
      </c>
      <c r="E22" s="4">
        <f t="shared" si="0"/>
        <v>42</v>
      </c>
      <c r="F22" s="8">
        <v>0.53</v>
      </c>
      <c r="G22" s="6">
        <v>3.3</v>
      </c>
      <c r="H22">
        <v>13</v>
      </c>
      <c r="I22" t="str">
        <f t="shared" si="1"/>
        <v>Average</v>
      </c>
      <c r="J22" t="str" cm="1">
        <f t="array" ref="J22">_xlfn.IFS(F22&lt;=0.2,"Low Discount",F22&lt;=0.4,"Medium Discount",F22&gt;0.4,"High Discount")</f>
        <v>High Discount</v>
      </c>
    </row>
    <row r="23" spans="1:10" x14ac:dyDescent="0.25">
      <c r="A23" t="s">
        <v>25</v>
      </c>
      <c r="B23" s="4">
        <v>1860</v>
      </c>
      <c r="C23" s="4" t="str">
        <f t="shared" si="2"/>
        <v>1000 - 2000</v>
      </c>
      <c r="D23" s="4">
        <v>3220</v>
      </c>
      <c r="E23" s="4">
        <f t="shared" si="0"/>
        <v>1360</v>
      </c>
      <c r="F23" s="8">
        <v>0.42</v>
      </c>
      <c r="I23" t="str">
        <f t="shared" si="1"/>
        <v>Poor</v>
      </c>
      <c r="J23" t="str" cm="1">
        <f t="array" ref="J23">_xlfn.IFS(F23&lt;=0.2,"Low Discount",F23&lt;=0.4,"Medium Discount",F23&gt;0.4,"High Discount")</f>
        <v>High Discount</v>
      </c>
    </row>
    <row r="24" spans="1:10" x14ac:dyDescent="0.25">
      <c r="A24" t="s">
        <v>26</v>
      </c>
      <c r="B24" s="4">
        <v>880</v>
      </c>
      <c r="C24" s="4" t="str">
        <f t="shared" si="2"/>
        <v>0 - 1000</v>
      </c>
      <c r="D24" s="4">
        <v>1350</v>
      </c>
      <c r="E24" s="4">
        <f t="shared" si="0"/>
        <v>470</v>
      </c>
      <c r="F24" s="8">
        <v>0.35</v>
      </c>
      <c r="G24" s="6">
        <v>4</v>
      </c>
      <c r="H24">
        <v>6</v>
      </c>
      <c r="I24" t="str">
        <f t="shared" si="1"/>
        <v>Average</v>
      </c>
      <c r="J24" t="str" cm="1">
        <f t="array" ref="J24">_xlfn.IFS(F24&lt;=0.2,"Low Discount",F24&lt;=0.4,"Medium Discount",F24&gt;0.4,"High Discount")</f>
        <v>Medium Discount</v>
      </c>
    </row>
    <row r="25" spans="1:10" x14ac:dyDescent="0.25">
      <c r="A25" t="s">
        <v>27</v>
      </c>
      <c r="B25" s="4">
        <v>1650</v>
      </c>
      <c r="C25" s="4" t="str">
        <f t="shared" si="2"/>
        <v>1000 - 2000</v>
      </c>
      <c r="D25" s="4">
        <v>2150</v>
      </c>
      <c r="E25" s="4">
        <f t="shared" si="0"/>
        <v>500</v>
      </c>
      <c r="F25" s="8">
        <v>0.23</v>
      </c>
      <c r="G25" s="6">
        <v>4.4000000000000004</v>
      </c>
      <c r="H25">
        <v>14</v>
      </c>
      <c r="I25" t="str">
        <f t="shared" si="1"/>
        <v>Average</v>
      </c>
      <c r="J25" t="str" cm="1">
        <f t="array" ref="J25">_xlfn.IFS(F25&lt;=0.2,"Low Discount",F25&lt;=0.4,"Medium Discount",F25&gt;0.4,"High Discount")</f>
        <v>Medium Discount</v>
      </c>
    </row>
    <row r="26" spans="1:10" x14ac:dyDescent="0.25">
      <c r="A26" t="s">
        <v>28</v>
      </c>
      <c r="B26" s="4">
        <v>2048</v>
      </c>
      <c r="C26" s="4" t="str">
        <f t="shared" si="2"/>
        <v>2000 - 4000</v>
      </c>
      <c r="D26" s="4">
        <v>4500</v>
      </c>
      <c r="E26" s="4">
        <f t="shared" si="0"/>
        <v>2452</v>
      </c>
      <c r="F26" s="8">
        <v>0.54</v>
      </c>
      <c r="G26" s="6">
        <v>4.3</v>
      </c>
      <c r="H26">
        <v>7</v>
      </c>
      <c r="I26" t="str">
        <f t="shared" si="1"/>
        <v>Average</v>
      </c>
      <c r="J26" t="str" cm="1">
        <f t="array" ref="J26">_xlfn.IFS(F26&lt;=0.2,"Low Discount",F26&lt;=0.4,"Medium Discount",F26&gt;0.4,"High Discount")</f>
        <v>High Discount</v>
      </c>
    </row>
    <row r="27" spans="1:10" x14ac:dyDescent="0.25">
      <c r="A27" t="s">
        <v>29</v>
      </c>
      <c r="B27" s="4">
        <v>420</v>
      </c>
      <c r="C27" s="4" t="str">
        <f t="shared" si="2"/>
        <v>0 - 1000</v>
      </c>
      <c r="D27" s="4">
        <v>647</v>
      </c>
      <c r="E27" s="4">
        <f t="shared" si="0"/>
        <v>227</v>
      </c>
      <c r="F27" s="8">
        <v>0.35</v>
      </c>
      <c r="G27" s="6">
        <v>4.5999999999999996</v>
      </c>
      <c r="H27">
        <v>49</v>
      </c>
      <c r="I27" t="str">
        <f t="shared" si="1"/>
        <v>Excelent</v>
      </c>
      <c r="J27" t="str" cm="1">
        <f t="array" ref="J27">_xlfn.IFS(F27&lt;=0.2,"Low Discount",F27&lt;=0.4,"Medium Discount",F27&gt;0.4,"High Discount")</f>
        <v>Medium Discount</v>
      </c>
    </row>
    <row r="28" spans="1:10" x14ac:dyDescent="0.25">
      <c r="A28" t="s">
        <v>30</v>
      </c>
      <c r="B28" s="4">
        <v>2880</v>
      </c>
      <c r="C28" s="4" t="str">
        <f t="shared" si="2"/>
        <v>2000 - 4000</v>
      </c>
      <c r="D28" s="4">
        <v>3520</v>
      </c>
      <c r="E28" s="4">
        <f t="shared" si="0"/>
        <v>640</v>
      </c>
      <c r="F28" s="8">
        <v>0.18</v>
      </c>
      <c r="G28" s="6">
        <v>3.8</v>
      </c>
      <c r="H28">
        <v>12</v>
      </c>
      <c r="I28" t="str">
        <f t="shared" si="1"/>
        <v>Average</v>
      </c>
      <c r="J28" t="str" cm="1">
        <f t="array" ref="J28">_xlfn.IFS(F28&lt;=0.2,"Low Discount",F28&lt;=0.4,"Medium Discount",F28&gt;0.4,"High Discount")</f>
        <v>Low Discount</v>
      </c>
    </row>
    <row r="29" spans="1:10" x14ac:dyDescent="0.25">
      <c r="A29" t="s">
        <v>31</v>
      </c>
      <c r="B29" s="4">
        <v>1350</v>
      </c>
      <c r="C29" s="4" t="str">
        <f t="shared" si="2"/>
        <v>1000 - 2000</v>
      </c>
      <c r="D29" s="4">
        <v>1990</v>
      </c>
      <c r="E29" s="4">
        <f t="shared" si="0"/>
        <v>640</v>
      </c>
      <c r="F29" s="8">
        <v>0.32</v>
      </c>
      <c r="G29" s="6">
        <v>3.8</v>
      </c>
      <c r="H29">
        <v>13</v>
      </c>
      <c r="I29" t="str">
        <f t="shared" si="1"/>
        <v>Average</v>
      </c>
      <c r="J29" t="str" cm="1">
        <f t="array" ref="J29">_xlfn.IFS(F29&lt;=0.2,"Low Discount",F29&lt;=0.4,"Medium Discount",F29&gt;0.4,"High Discount")</f>
        <v>Medium Discount</v>
      </c>
    </row>
    <row r="30" spans="1:10" x14ac:dyDescent="0.25">
      <c r="A30" t="s">
        <v>32</v>
      </c>
      <c r="B30" s="4">
        <v>1758</v>
      </c>
      <c r="C30" s="4" t="str">
        <f t="shared" si="2"/>
        <v>1000 - 2000</v>
      </c>
      <c r="D30" s="4">
        <v>2499</v>
      </c>
      <c r="E30" s="4">
        <f t="shared" si="0"/>
        <v>741</v>
      </c>
      <c r="F30" s="8">
        <v>0.3</v>
      </c>
      <c r="G30" s="6">
        <v>4.0999999999999996</v>
      </c>
      <c r="H30">
        <v>20</v>
      </c>
      <c r="I30" t="str">
        <f t="shared" si="1"/>
        <v>Average</v>
      </c>
      <c r="J30" t="str" cm="1">
        <f t="array" ref="J30">_xlfn.IFS(F30&lt;=0.2,"Low Discount",F30&lt;=0.4,"Medium Discount",F30&gt;0.4,"High Discount")</f>
        <v>Medium Discount</v>
      </c>
    </row>
    <row r="31" spans="1:10" x14ac:dyDescent="0.25">
      <c r="A31" t="s">
        <v>33</v>
      </c>
      <c r="B31" s="4">
        <v>2200</v>
      </c>
      <c r="C31" s="4" t="str">
        <f t="shared" si="2"/>
        <v>2000 - 4000</v>
      </c>
      <c r="D31" s="4">
        <v>4080</v>
      </c>
      <c r="E31" s="4">
        <f t="shared" si="0"/>
        <v>1880</v>
      </c>
      <c r="F31" s="8">
        <v>0.46</v>
      </c>
      <c r="I31" t="str">
        <f t="shared" si="1"/>
        <v>Poor</v>
      </c>
      <c r="J31" t="str" cm="1">
        <f t="array" ref="J31">_xlfn.IFS(F31&lt;=0.2,"Low Discount",F31&lt;=0.4,"Medium Discount",F31&gt;0.4,"High Discount")</f>
        <v>High Discount</v>
      </c>
    </row>
    <row r="32" spans="1:10" x14ac:dyDescent="0.25">
      <c r="A32" t="s">
        <v>34</v>
      </c>
      <c r="B32" s="4">
        <v>185</v>
      </c>
      <c r="C32" s="4" t="str">
        <f t="shared" si="2"/>
        <v>0 - 1000</v>
      </c>
      <c r="D32" s="4">
        <v>382</v>
      </c>
      <c r="E32" s="4">
        <f t="shared" si="0"/>
        <v>197</v>
      </c>
      <c r="F32" s="8">
        <v>0.52</v>
      </c>
      <c r="G32" s="6">
        <v>4.3</v>
      </c>
      <c r="H32">
        <v>9</v>
      </c>
      <c r="I32" t="str">
        <f t="shared" si="1"/>
        <v>Average</v>
      </c>
      <c r="J32" t="str" cm="1">
        <f t="array" ref="J32">_xlfn.IFS(F32&lt;=0.2,"Low Discount",F32&lt;=0.4,"Medium Discount",F32&gt;0.4,"High Discount")</f>
        <v>High Discount</v>
      </c>
    </row>
    <row r="33" spans="1:10" x14ac:dyDescent="0.25">
      <c r="A33" t="s">
        <v>35</v>
      </c>
      <c r="B33" s="4">
        <v>980</v>
      </c>
      <c r="C33" s="4" t="str">
        <f t="shared" si="2"/>
        <v>0 - 1000</v>
      </c>
      <c r="D33" s="4">
        <v>1490</v>
      </c>
      <c r="E33" s="4">
        <f t="shared" si="0"/>
        <v>510</v>
      </c>
      <c r="F33" s="8">
        <v>0.34</v>
      </c>
      <c r="G33" s="6">
        <v>4.7</v>
      </c>
      <c r="H33">
        <v>12</v>
      </c>
      <c r="I33" t="str">
        <f t="shared" si="1"/>
        <v>Excelent</v>
      </c>
      <c r="J33" t="str" cm="1">
        <f t="array" ref="J33">_xlfn.IFS(F33&lt;=0.2,"Low Discount",F33&lt;=0.4,"Medium Discount",F33&gt;0.4,"High Discount")</f>
        <v>Medium Discount</v>
      </c>
    </row>
    <row r="34" spans="1:10" x14ac:dyDescent="0.25">
      <c r="A34" t="s">
        <v>36</v>
      </c>
      <c r="B34" s="4">
        <v>1820</v>
      </c>
      <c r="C34" s="4" t="str">
        <f t="shared" si="2"/>
        <v>1000 - 2000</v>
      </c>
      <c r="D34" s="4">
        <v>3490</v>
      </c>
      <c r="E34" s="4">
        <f t="shared" ref="E34:E65" si="3">D34-B34</f>
        <v>1670</v>
      </c>
      <c r="F34" s="8">
        <v>0.48</v>
      </c>
      <c r="G34" s="6">
        <v>4.3</v>
      </c>
      <c r="H34">
        <v>9</v>
      </c>
      <c r="I34" t="str">
        <f t="shared" ref="I34:I65" si="4">IF(G34&lt;3,"Poor", IF(G34&gt;=4.5,"Excelent","Average"))</f>
        <v>Average</v>
      </c>
      <c r="J34" t="str" cm="1">
        <f t="array" ref="J34">_xlfn.IFS(F34&lt;=0.2,"Low Discount",F34&lt;=0.4,"Medium Discount",F34&gt;0.4,"High Discount")</f>
        <v>High Discount</v>
      </c>
    </row>
    <row r="35" spans="1:10" x14ac:dyDescent="0.25">
      <c r="A35" t="s">
        <v>37</v>
      </c>
      <c r="B35" s="4">
        <v>1940</v>
      </c>
      <c r="C35" s="4" t="str">
        <f t="shared" si="2"/>
        <v>1000 - 2000</v>
      </c>
      <c r="D35" s="4">
        <v>2650</v>
      </c>
      <c r="E35" s="4">
        <f t="shared" si="3"/>
        <v>710</v>
      </c>
      <c r="F35" s="8">
        <v>0.27</v>
      </c>
      <c r="G35" s="6">
        <v>4.7</v>
      </c>
      <c r="H35">
        <v>20</v>
      </c>
      <c r="I35" t="str">
        <f t="shared" si="4"/>
        <v>Excelent</v>
      </c>
      <c r="J35" t="str" cm="1">
        <f t="array" ref="J35">_xlfn.IFS(F35&lt;=0.2,"Low Discount",F35&lt;=0.4,"Medium Discount",F35&gt;0.4,"High Discount")</f>
        <v>Medium Discount</v>
      </c>
    </row>
    <row r="36" spans="1:10" x14ac:dyDescent="0.25">
      <c r="A36" t="s">
        <v>38</v>
      </c>
      <c r="B36" s="4">
        <v>1980</v>
      </c>
      <c r="C36" s="4" t="str">
        <f t="shared" si="2"/>
        <v>1000 - 2000</v>
      </c>
      <c r="D36" s="4">
        <v>2699</v>
      </c>
      <c r="E36" s="4">
        <f t="shared" si="3"/>
        <v>719</v>
      </c>
      <c r="F36" s="8">
        <v>0.27</v>
      </c>
      <c r="G36" s="6">
        <v>4.5</v>
      </c>
      <c r="H36">
        <v>32</v>
      </c>
      <c r="I36" t="str">
        <f t="shared" si="4"/>
        <v>Excelent</v>
      </c>
      <c r="J36" t="str" cm="1">
        <f t="array" ref="J36">_xlfn.IFS(F36&lt;=0.2,"Low Discount",F36&lt;=0.4,"Medium Discount",F36&gt;0.4,"High Discount")</f>
        <v>Medium Discount</v>
      </c>
    </row>
    <row r="37" spans="1:10" x14ac:dyDescent="0.25">
      <c r="A37" t="s">
        <v>39</v>
      </c>
      <c r="B37" s="4">
        <v>1620</v>
      </c>
      <c r="C37" s="4" t="str">
        <f t="shared" si="2"/>
        <v>1000 - 2000</v>
      </c>
      <c r="D37" s="4">
        <v>2690</v>
      </c>
      <c r="E37" s="4">
        <f t="shared" si="3"/>
        <v>1070</v>
      </c>
      <c r="F37" s="8">
        <v>0.4</v>
      </c>
      <c r="G37" s="6">
        <v>5</v>
      </c>
      <c r="H37">
        <v>1</v>
      </c>
      <c r="I37" t="str">
        <f t="shared" si="4"/>
        <v>Excelent</v>
      </c>
      <c r="J37" t="str" cm="1">
        <f t="array" ref="J37">_xlfn.IFS(F37&lt;=0.2,"Low Discount",F37&lt;=0.4,"Medium Discount",F37&gt;0.4,"High Discount")</f>
        <v>Medium Discount</v>
      </c>
    </row>
    <row r="38" spans="1:10" x14ac:dyDescent="0.25">
      <c r="A38" t="s">
        <v>40</v>
      </c>
      <c r="B38" s="4">
        <v>171</v>
      </c>
      <c r="C38" s="4" t="str">
        <f t="shared" si="2"/>
        <v>0 - 1000</v>
      </c>
      <c r="D38" s="4">
        <v>360</v>
      </c>
      <c r="E38" s="4">
        <f t="shared" si="3"/>
        <v>189</v>
      </c>
      <c r="F38" s="8">
        <v>0.53</v>
      </c>
      <c r="G38" s="6">
        <v>5</v>
      </c>
      <c r="H38">
        <v>2</v>
      </c>
      <c r="I38" t="str">
        <f t="shared" si="4"/>
        <v>Excelent</v>
      </c>
      <c r="J38" t="str" cm="1">
        <f t="array" ref="J38">_xlfn.IFS(F38&lt;=0.2,"Low Discount",F38&lt;=0.4,"Medium Discount",F38&gt;0.4,"High Discount")</f>
        <v>High Discount</v>
      </c>
    </row>
    <row r="39" spans="1:10" x14ac:dyDescent="0.25">
      <c r="A39" t="s">
        <v>41</v>
      </c>
      <c r="B39" s="4">
        <v>389</v>
      </c>
      <c r="C39" s="4" t="str">
        <f t="shared" si="2"/>
        <v>0 - 1000</v>
      </c>
      <c r="D39" s="4">
        <v>656</v>
      </c>
      <c r="E39" s="4">
        <f t="shared" si="3"/>
        <v>267</v>
      </c>
      <c r="F39" s="8">
        <v>0.41</v>
      </c>
      <c r="G39" s="6">
        <v>4.3</v>
      </c>
      <c r="H39">
        <v>36</v>
      </c>
      <c r="I39" t="str">
        <f t="shared" si="4"/>
        <v>Average</v>
      </c>
      <c r="J39" t="str" cm="1">
        <f t="array" ref="J39">_xlfn.IFS(F39&lt;=0.2,"Low Discount",F39&lt;=0.4,"Medium Discount",F39&gt;0.4,"High Discount")</f>
        <v>High Discount</v>
      </c>
    </row>
    <row r="40" spans="1:10" x14ac:dyDescent="0.25">
      <c r="A40" t="s">
        <v>42</v>
      </c>
      <c r="B40" s="4">
        <v>2750</v>
      </c>
      <c r="C40" s="4" t="str">
        <f t="shared" si="2"/>
        <v>2000 - 4000</v>
      </c>
      <c r="D40" s="4">
        <v>4471</v>
      </c>
      <c r="E40" s="4">
        <f t="shared" si="3"/>
        <v>1721</v>
      </c>
      <c r="F40" s="8">
        <v>0.38</v>
      </c>
      <c r="I40" t="str">
        <f t="shared" si="4"/>
        <v>Poor</v>
      </c>
      <c r="J40" t="str" cm="1">
        <f t="array" ref="J40">_xlfn.IFS(F40&lt;=0.2,"Low Discount",F40&lt;=0.4,"Medium Discount",F40&gt;0.4,"High Discount")</f>
        <v>Medium Discount</v>
      </c>
    </row>
    <row r="41" spans="1:10" x14ac:dyDescent="0.25">
      <c r="A41" t="s">
        <v>43</v>
      </c>
      <c r="B41" s="4">
        <v>475</v>
      </c>
      <c r="C41" s="4" t="str">
        <f t="shared" si="2"/>
        <v>0 - 1000</v>
      </c>
      <c r="D41" s="4">
        <v>931</v>
      </c>
      <c r="E41" s="4">
        <f t="shared" si="3"/>
        <v>456</v>
      </c>
      <c r="F41" s="8">
        <v>0.49</v>
      </c>
      <c r="I41" t="str">
        <f t="shared" si="4"/>
        <v>Poor</v>
      </c>
      <c r="J41" t="str" cm="1">
        <f t="array" ref="J41">_xlfn.IFS(F41&lt;=0.2,"Low Discount",F41&lt;=0.4,"Medium Discount",F41&gt;0.4,"High Discount")</f>
        <v>High Discount</v>
      </c>
    </row>
    <row r="42" spans="1:10" x14ac:dyDescent="0.25">
      <c r="A42" t="s">
        <v>44</v>
      </c>
      <c r="B42" s="4">
        <v>238</v>
      </c>
      <c r="C42" s="4" t="str">
        <f t="shared" si="2"/>
        <v>0 - 1000</v>
      </c>
      <c r="D42" s="4">
        <v>476</v>
      </c>
      <c r="E42" s="4">
        <f t="shared" si="3"/>
        <v>238</v>
      </c>
      <c r="F42" s="8">
        <v>0.5</v>
      </c>
      <c r="I42" t="str">
        <f t="shared" si="4"/>
        <v>Poor</v>
      </c>
      <c r="J42" t="str" cm="1">
        <f t="array" ref="J42">_xlfn.IFS(F42&lt;=0.2,"Low Discount",F42&lt;=0.4,"Medium Discount",F42&gt;0.4,"High Discount")</f>
        <v>High Discount</v>
      </c>
    </row>
    <row r="43" spans="1:10" x14ac:dyDescent="0.25">
      <c r="A43" t="s">
        <v>45</v>
      </c>
      <c r="B43" s="4">
        <v>610</v>
      </c>
      <c r="C43" s="4" t="str">
        <f t="shared" si="2"/>
        <v>0 - 1000</v>
      </c>
      <c r="D43" s="4">
        <v>1060</v>
      </c>
      <c r="E43" s="4">
        <f t="shared" si="3"/>
        <v>450</v>
      </c>
      <c r="F43" s="8">
        <v>0.42</v>
      </c>
      <c r="I43" t="str">
        <f t="shared" si="4"/>
        <v>Poor</v>
      </c>
      <c r="J43" t="str" cm="1">
        <f t="array" ref="J43">_xlfn.IFS(F43&lt;=0.2,"Low Discount",F43&lt;=0.4,"Medium Discount",F43&gt;0.4,"High Discount")</f>
        <v>High Discount</v>
      </c>
    </row>
    <row r="44" spans="1:10" x14ac:dyDescent="0.25">
      <c r="A44" t="s">
        <v>46</v>
      </c>
      <c r="B44" s="4">
        <v>2132</v>
      </c>
      <c r="C44" s="4" t="str">
        <f t="shared" si="2"/>
        <v>2000 - 4000</v>
      </c>
      <c r="D44" s="4">
        <v>2169</v>
      </c>
      <c r="E44" s="4">
        <f t="shared" si="3"/>
        <v>37</v>
      </c>
      <c r="F44" s="8">
        <v>0.02</v>
      </c>
      <c r="I44" t="str">
        <f t="shared" si="4"/>
        <v>Poor</v>
      </c>
      <c r="J44" t="str" cm="1">
        <f t="array" ref="J44">_xlfn.IFS(F44&lt;=0.2,"Low Discount",F44&lt;=0.4,"Medium Discount",F44&gt;0.4,"High Discount")</f>
        <v>Low Discount</v>
      </c>
    </row>
    <row r="45" spans="1:10" x14ac:dyDescent="0.25">
      <c r="A45" t="s">
        <v>47</v>
      </c>
      <c r="B45" s="4">
        <v>999</v>
      </c>
      <c r="C45" s="4" t="str">
        <f t="shared" si="2"/>
        <v>0 - 1000</v>
      </c>
      <c r="D45" s="4">
        <v>2000</v>
      </c>
      <c r="E45" s="4">
        <f t="shared" si="3"/>
        <v>1001</v>
      </c>
      <c r="F45" s="8">
        <v>0.5</v>
      </c>
      <c r="I45" t="str">
        <f t="shared" si="4"/>
        <v>Poor</v>
      </c>
      <c r="J45" t="str" cm="1">
        <f t="array" ref="J45">_xlfn.IFS(F45&lt;=0.2,"Low Discount",F45&lt;=0.4,"Medium Discount",F45&gt;0.4,"High Discount")</f>
        <v>High Discount</v>
      </c>
    </row>
    <row r="46" spans="1:10" x14ac:dyDescent="0.25">
      <c r="A46" t="s">
        <v>48</v>
      </c>
      <c r="B46" s="4">
        <v>1190</v>
      </c>
      <c r="C46" s="4" t="str">
        <f t="shared" si="2"/>
        <v>1000 - 2000</v>
      </c>
      <c r="D46" s="4">
        <v>1785</v>
      </c>
      <c r="E46" s="4">
        <f t="shared" si="3"/>
        <v>595</v>
      </c>
      <c r="F46" s="8">
        <v>0.33</v>
      </c>
      <c r="I46" t="str">
        <f t="shared" si="4"/>
        <v>Poor</v>
      </c>
      <c r="J46" t="str" cm="1">
        <f t="array" ref="J46">_xlfn.IFS(F46&lt;=0.2,"Low Discount",F46&lt;=0.4,"Medium Discount",F46&gt;0.4,"High Discount")</f>
        <v>Medium Discount</v>
      </c>
    </row>
    <row r="47" spans="1:10" x14ac:dyDescent="0.25">
      <c r="A47" t="s">
        <v>49</v>
      </c>
      <c r="B47" s="4">
        <v>671</v>
      </c>
      <c r="C47" s="4" t="str">
        <f t="shared" si="2"/>
        <v>0 - 1000</v>
      </c>
      <c r="D47" s="4">
        <v>1316</v>
      </c>
      <c r="E47" s="4">
        <f t="shared" si="3"/>
        <v>645</v>
      </c>
      <c r="F47" s="8">
        <v>0.49</v>
      </c>
      <c r="I47" t="str">
        <f t="shared" si="4"/>
        <v>Poor</v>
      </c>
      <c r="J47" t="str" cm="1">
        <f t="array" ref="J47">_xlfn.IFS(F47&lt;=0.2,"Low Discount",F47&lt;=0.4,"Medium Discount",F47&gt;0.4,"High Discount")</f>
        <v>High Discount</v>
      </c>
    </row>
    <row r="48" spans="1:10" x14ac:dyDescent="0.25">
      <c r="A48" t="s">
        <v>50</v>
      </c>
      <c r="B48" s="4">
        <v>1200</v>
      </c>
      <c r="C48" s="4" t="str">
        <f t="shared" si="2"/>
        <v>1000 - 2000</v>
      </c>
      <c r="D48" s="4">
        <v>1950</v>
      </c>
      <c r="E48" s="4">
        <f t="shared" si="3"/>
        <v>750</v>
      </c>
      <c r="F48" s="8">
        <v>0.38</v>
      </c>
      <c r="I48" t="str">
        <f t="shared" si="4"/>
        <v>Poor</v>
      </c>
      <c r="J48" t="str" cm="1">
        <f t="array" ref="J48">_xlfn.IFS(F48&lt;=0.2,"Low Discount",F48&lt;=0.4,"Medium Discount",F48&gt;0.4,"High Discount")</f>
        <v>Medium Discount</v>
      </c>
    </row>
    <row r="49" spans="1:10" x14ac:dyDescent="0.25">
      <c r="A49" t="s">
        <v>51</v>
      </c>
      <c r="B49" s="4">
        <v>199</v>
      </c>
      <c r="C49" s="4" t="str">
        <f t="shared" si="2"/>
        <v>0 - 1000</v>
      </c>
      <c r="D49" s="4">
        <v>504</v>
      </c>
      <c r="E49" s="4">
        <f t="shared" si="3"/>
        <v>305</v>
      </c>
      <c r="F49" s="8">
        <v>0.61</v>
      </c>
      <c r="I49" t="str">
        <f t="shared" si="4"/>
        <v>Poor</v>
      </c>
      <c r="J49" t="str" cm="1">
        <f t="array" ref="J49">_xlfn.IFS(F49&lt;=0.2,"Low Discount",F49&lt;=0.4,"Medium Discount",F49&gt;0.4,"High Discount")</f>
        <v>High Discount</v>
      </c>
    </row>
    <row r="50" spans="1:10" x14ac:dyDescent="0.25">
      <c r="A50" t="s">
        <v>52</v>
      </c>
      <c r="B50" s="4">
        <v>299</v>
      </c>
      <c r="C50" s="4" t="str">
        <f t="shared" si="2"/>
        <v>0 - 1000</v>
      </c>
      <c r="D50" s="4">
        <v>600</v>
      </c>
      <c r="E50" s="4">
        <f t="shared" si="3"/>
        <v>301</v>
      </c>
      <c r="F50" s="8">
        <v>0.5</v>
      </c>
      <c r="I50" t="str">
        <f t="shared" si="4"/>
        <v>Poor</v>
      </c>
      <c r="J50" t="str" cm="1">
        <f t="array" ref="J50">_xlfn.IFS(F50&lt;=0.2,"Low Discount",F50&lt;=0.4,"Medium Discount",F50&gt;0.4,"High Discount")</f>
        <v>High Discount</v>
      </c>
    </row>
    <row r="51" spans="1:10" x14ac:dyDescent="0.25">
      <c r="A51" t="s">
        <v>53</v>
      </c>
      <c r="B51" s="4">
        <v>1660</v>
      </c>
      <c r="C51" s="4" t="str">
        <f t="shared" si="2"/>
        <v>1000 - 2000</v>
      </c>
      <c r="D51" s="4">
        <v>1699</v>
      </c>
      <c r="E51" s="4">
        <f t="shared" si="3"/>
        <v>39</v>
      </c>
      <c r="F51" s="8">
        <v>0.02</v>
      </c>
      <c r="I51" t="str">
        <f t="shared" si="4"/>
        <v>Poor</v>
      </c>
      <c r="J51" t="str" cm="1">
        <f t="array" ref="J51">_xlfn.IFS(F51&lt;=0.2,"Low Discount",F51&lt;=0.4,"Medium Discount",F51&gt;0.4,"High Discount")</f>
        <v>Low Discount</v>
      </c>
    </row>
    <row r="52" spans="1:10" x14ac:dyDescent="0.25">
      <c r="A52" t="s">
        <v>54</v>
      </c>
      <c r="B52" s="4">
        <v>299</v>
      </c>
      <c r="C52" s="4" t="str">
        <f t="shared" si="2"/>
        <v>0 - 1000</v>
      </c>
      <c r="D52" s="4">
        <v>384</v>
      </c>
      <c r="E52" s="4">
        <f t="shared" si="3"/>
        <v>85</v>
      </c>
      <c r="F52" s="8">
        <v>0.22</v>
      </c>
      <c r="I52" t="str">
        <f t="shared" si="4"/>
        <v>Poor</v>
      </c>
      <c r="J52" t="str" cm="1">
        <f t="array" ref="J52">_xlfn.IFS(F52&lt;=0.2,"Low Discount",F52&lt;=0.4,"Medium Discount",F52&gt;0.4,"High Discount")</f>
        <v>Medium Discount</v>
      </c>
    </row>
    <row r="53" spans="1:10" x14ac:dyDescent="0.25">
      <c r="A53" t="s">
        <v>55</v>
      </c>
      <c r="B53" s="4">
        <v>1459</v>
      </c>
      <c r="C53" s="4" t="str">
        <f t="shared" si="2"/>
        <v>1000 - 2000</v>
      </c>
      <c r="D53" s="4">
        <v>1499</v>
      </c>
      <c r="E53" s="4">
        <f t="shared" si="3"/>
        <v>40</v>
      </c>
      <c r="F53" s="8">
        <v>0.03</v>
      </c>
      <c r="I53" t="str">
        <f t="shared" si="4"/>
        <v>Poor</v>
      </c>
      <c r="J53" t="str" cm="1">
        <f t="array" ref="J53">_xlfn.IFS(F53&lt;=0.2,"Low Discount",F53&lt;=0.4,"Medium Discount",F53&gt;0.4,"High Discount")</f>
        <v>Low Discount</v>
      </c>
    </row>
    <row r="54" spans="1:10" x14ac:dyDescent="0.25">
      <c r="A54" t="s">
        <v>56</v>
      </c>
      <c r="B54" s="4">
        <v>799</v>
      </c>
      <c r="C54" s="4" t="str">
        <f t="shared" si="2"/>
        <v>0 - 1000</v>
      </c>
      <c r="D54" s="4">
        <v>1343</v>
      </c>
      <c r="E54" s="4">
        <f t="shared" si="3"/>
        <v>544</v>
      </c>
      <c r="F54" s="8">
        <v>0.41</v>
      </c>
      <c r="I54" t="str">
        <f t="shared" si="4"/>
        <v>Poor</v>
      </c>
      <c r="J54" t="str" cm="1">
        <f t="array" ref="J54">_xlfn.IFS(F54&lt;=0.2,"Low Discount",F54&lt;=0.4,"Medium Discount",F54&gt;0.4,"High Discount")</f>
        <v>High Discount</v>
      </c>
    </row>
    <row r="55" spans="1:10" x14ac:dyDescent="0.25">
      <c r="A55" t="s">
        <v>57</v>
      </c>
      <c r="B55" s="4">
        <v>499</v>
      </c>
      <c r="C55" s="4" t="str">
        <f t="shared" si="2"/>
        <v>0 - 1000</v>
      </c>
      <c r="D55" s="4">
        <v>900</v>
      </c>
      <c r="E55" s="4">
        <f t="shared" si="3"/>
        <v>401</v>
      </c>
      <c r="F55" s="8">
        <v>0.45</v>
      </c>
      <c r="I55" t="str">
        <f t="shared" si="4"/>
        <v>Poor</v>
      </c>
      <c r="J55" t="str" cm="1">
        <f t="array" ref="J55">_xlfn.IFS(F55&lt;=0.2,"Low Discount",F55&lt;=0.4,"Medium Discount",F55&gt;0.4,"High Discount")</f>
        <v>High Discount</v>
      </c>
    </row>
    <row r="56" spans="1:10" x14ac:dyDescent="0.25">
      <c r="A56" t="s">
        <v>58</v>
      </c>
      <c r="B56" s="4">
        <v>699</v>
      </c>
      <c r="C56" s="4" t="str">
        <f t="shared" si="2"/>
        <v>0 - 1000</v>
      </c>
      <c r="D56" s="4">
        <v>1343</v>
      </c>
      <c r="E56" s="4">
        <f t="shared" si="3"/>
        <v>644</v>
      </c>
      <c r="F56" s="8">
        <v>0.48</v>
      </c>
      <c r="I56" t="str">
        <f t="shared" si="4"/>
        <v>Poor</v>
      </c>
      <c r="J56" t="str" cm="1">
        <f t="array" ref="J56">_xlfn.IFS(F56&lt;=0.2,"Low Discount",F56&lt;=0.4,"Medium Discount",F56&gt;0.4,"High Discount")</f>
        <v>High Discount</v>
      </c>
    </row>
    <row r="57" spans="1:10" x14ac:dyDescent="0.25">
      <c r="A57" t="s">
        <v>59</v>
      </c>
      <c r="B57" s="4">
        <v>799</v>
      </c>
      <c r="C57" s="4" t="str">
        <f t="shared" si="2"/>
        <v>0 - 1000</v>
      </c>
      <c r="D57" s="4">
        <v>1567</v>
      </c>
      <c r="E57" s="4">
        <f t="shared" si="3"/>
        <v>768</v>
      </c>
      <c r="F57" s="8">
        <v>0.49</v>
      </c>
      <c r="I57" t="str">
        <f t="shared" si="4"/>
        <v>Poor</v>
      </c>
      <c r="J57" t="str" cm="1">
        <f t="array" ref="J57">_xlfn.IFS(F57&lt;=0.2,"Low Discount",F57&lt;=0.4,"Medium Discount",F57&gt;0.4,"High Discount")</f>
        <v>High Discount</v>
      </c>
    </row>
    <row r="58" spans="1:10" x14ac:dyDescent="0.25">
      <c r="A58" t="s">
        <v>60</v>
      </c>
      <c r="B58" s="4">
        <v>2799</v>
      </c>
      <c r="C58" s="4" t="str">
        <f t="shared" si="2"/>
        <v>2000 - 4000</v>
      </c>
      <c r="D58" s="4">
        <v>3810</v>
      </c>
      <c r="E58" s="4">
        <f t="shared" si="3"/>
        <v>1011</v>
      </c>
      <c r="F58" s="8">
        <v>0.27</v>
      </c>
      <c r="I58" t="str">
        <f t="shared" si="4"/>
        <v>Poor</v>
      </c>
      <c r="J58" t="str" cm="1">
        <f t="array" ref="J58">_xlfn.IFS(F58&lt;=0.2,"Low Discount",F58&lt;=0.4,"Medium Discount",F58&gt;0.4,"High Discount")</f>
        <v>Medium Discount</v>
      </c>
    </row>
    <row r="59" spans="1:10" x14ac:dyDescent="0.25">
      <c r="A59" t="s">
        <v>61</v>
      </c>
      <c r="B59" s="4">
        <v>2170</v>
      </c>
      <c r="C59" s="4" t="str">
        <f t="shared" si="2"/>
        <v>2000 - 4000</v>
      </c>
      <c r="D59" s="4">
        <v>2500</v>
      </c>
      <c r="E59" s="4">
        <f t="shared" si="3"/>
        <v>330</v>
      </c>
      <c r="F59" s="8">
        <v>0.13</v>
      </c>
      <c r="G59" s="6">
        <v>2.5</v>
      </c>
      <c r="H59">
        <v>6</v>
      </c>
      <c r="I59" t="str">
        <f t="shared" si="4"/>
        <v>Poor</v>
      </c>
      <c r="J59" t="str" cm="1">
        <f t="array" ref="J59">_xlfn.IFS(F59&lt;=0.2,"Low Discount",F59&lt;=0.4,"Medium Discount",F59&gt;0.4,"High Discount")</f>
        <v>Low Discount</v>
      </c>
    </row>
    <row r="60" spans="1:10" x14ac:dyDescent="0.25">
      <c r="A60" t="s">
        <v>62</v>
      </c>
      <c r="B60" s="4">
        <v>458</v>
      </c>
      <c r="C60" s="4" t="str">
        <f t="shared" si="2"/>
        <v>0 - 1000</v>
      </c>
      <c r="D60" s="4">
        <v>986</v>
      </c>
      <c r="E60" s="4">
        <f t="shared" si="3"/>
        <v>528</v>
      </c>
      <c r="F60" s="8">
        <v>0.54</v>
      </c>
      <c r="G60" s="6">
        <v>3</v>
      </c>
      <c r="H60">
        <v>10</v>
      </c>
      <c r="I60" t="str">
        <f t="shared" si="4"/>
        <v>Average</v>
      </c>
      <c r="J60" t="str" cm="1">
        <f t="array" ref="J60">_xlfn.IFS(F60&lt;=0.2,"Low Discount",F60&lt;=0.4,"Medium Discount",F60&gt;0.4,"High Discount")</f>
        <v>High Discount</v>
      </c>
    </row>
    <row r="61" spans="1:10" x14ac:dyDescent="0.25">
      <c r="A61" t="s">
        <v>63</v>
      </c>
      <c r="B61" s="4">
        <v>2115</v>
      </c>
      <c r="C61" s="4" t="str">
        <f t="shared" si="2"/>
        <v>2000 - 4000</v>
      </c>
      <c r="D61" s="4">
        <v>4700</v>
      </c>
      <c r="E61" s="4">
        <f t="shared" si="3"/>
        <v>2585</v>
      </c>
      <c r="F61" s="8">
        <v>0.55000000000000004</v>
      </c>
      <c r="G61" s="6">
        <v>2.1</v>
      </c>
      <c r="H61">
        <v>13</v>
      </c>
      <c r="I61" t="str">
        <f t="shared" si="4"/>
        <v>Poor</v>
      </c>
      <c r="J61" t="str" cm="1">
        <f t="array" ref="J61">_xlfn.IFS(F61&lt;=0.2,"Low Discount",F61&lt;=0.4,"Medium Discount",F61&gt;0.4,"High Discount")</f>
        <v>High Discount</v>
      </c>
    </row>
    <row r="62" spans="1:10" x14ac:dyDescent="0.25">
      <c r="A62" t="s">
        <v>64</v>
      </c>
      <c r="B62" s="4">
        <v>445</v>
      </c>
      <c r="C62" s="4" t="str">
        <f t="shared" si="2"/>
        <v>0 - 1000</v>
      </c>
      <c r="D62" s="4">
        <v>873</v>
      </c>
      <c r="E62" s="4">
        <f t="shared" si="3"/>
        <v>428</v>
      </c>
      <c r="F62" s="8">
        <v>0.49</v>
      </c>
      <c r="G62" s="6">
        <v>2.8</v>
      </c>
      <c r="H62">
        <v>69</v>
      </c>
      <c r="I62" t="str">
        <f t="shared" si="4"/>
        <v>Poor</v>
      </c>
      <c r="J62" t="str" cm="1">
        <f t="array" ref="J62">_xlfn.IFS(F62&lt;=0.2,"Low Discount",F62&lt;=0.4,"Medium Discount",F62&gt;0.4,"High Discount")</f>
        <v>High Discount</v>
      </c>
    </row>
    <row r="63" spans="1:10" x14ac:dyDescent="0.25">
      <c r="A63" t="s">
        <v>65</v>
      </c>
      <c r="B63" s="4">
        <v>325</v>
      </c>
      <c r="C63" s="4" t="str">
        <f t="shared" si="2"/>
        <v>0 - 1000</v>
      </c>
      <c r="D63" s="4">
        <v>680</v>
      </c>
      <c r="E63" s="4">
        <f t="shared" si="3"/>
        <v>355</v>
      </c>
      <c r="F63" s="8">
        <v>0.52</v>
      </c>
      <c r="G63" s="6">
        <v>2.7</v>
      </c>
      <c r="H63">
        <v>15</v>
      </c>
      <c r="I63" t="str">
        <f t="shared" si="4"/>
        <v>Poor</v>
      </c>
      <c r="J63" t="str" cm="1">
        <f t="array" ref="J63">_xlfn.IFS(F63&lt;=0.2,"Low Discount",F63&lt;=0.4,"Medium Discount",F63&gt;0.4,"High Discount")</f>
        <v>High Discount</v>
      </c>
    </row>
    <row r="64" spans="1:10" x14ac:dyDescent="0.25">
      <c r="A64" t="s">
        <v>66</v>
      </c>
      <c r="B64" s="4">
        <v>1220</v>
      </c>
      <c r="C64" s="4" t="str">
        <f t="shared" si="2"/>
        <v>1000 - 2000</v>
      </c>
      <c r="D64" s="4">
        <v>1555</v>
      </c>
      <c r="E64" s="4">
        <f t="shared" si="3"/>
        <v>335</v>
      </c>
      <c r="F64" s="8">
        <v>0.22</v>
      </c>
      <c r="G64" s="6">
        <v>2.9</v>
      </c>
      <c r="H64">
        <v>16</v>
      </c>
      <c r="I64" t="str">
        <f t="shared" si="4"/>
        <v>Poor</v>
      </c>
      <c r="J64" t="str" cm="1">
        <f t="array" ref="J64">_xlfn.IFS(F64&lt;=0.2,"Low Discount",F64&lt;=0.4,"Medium Discount",F64&gt;0.4,"High Discount")</f>
        <v>Medium Discount</v>
      </c>
    </row>
    <row r="65" spans="1:10" x14ac:dyDescent="0.25">
      <c r="A65" t="s">
        <v>67</v>
      </c>
      <c r="B65" s="4">
        <v>990</v>
      </c>
      <c r="C65" s="4" t="str">
        <f t="shared" si="2"/>
        <v>0 - 1000</v>
      </c>
      <c r="D65" s="4">
        <v>1814</v>
      </c>
      <c r="E65" s="4">
        <f t="shared" si="3"/>
        <v>824</v>
      </c>
      <c r="F65" s="8">
        <v>0.45</v>
      </c>
      <c r="G65" s="6">
        <v>2.2000000000000002</v>
      </c>
      <c r="H65">
        <v>6</v>
      </c>
      <c r="I65" t="str">
        <f t="shared" si="4"/>
        <v>Poor</v>
      </c>
      <c r="J65" t="str" cm="1">
        <f t="array" ref="J65">_xlfn.IFS(F65&lt;=0.2,"Low Discount",F65&lt;=0.4,"Medium Discount",F65&gt;0.4,"High Discount")</f>
        <v>High Discount</v>
      </c>
    </row>
    <row r="66" spans="1:10" x14ac:dyDescent="0.25">
      <c r="A66" t="s">
        <v>68</v>
      </c>
      <c r="B66" s="4">
        <v>1000</v>
      </c>
      <c r="C66" s="4" t="str">
        <f t="shared" si="2"/>
        <v>0 - 1000</v>
      </c>
      <c r="D66" s="4">
        <v>2000</v>
      </c>
      <c r="E66" s="4">
        <f t="shared" ref="E66:E97" si="5">D66-B66</f>
        <v>1000</v>
      </c>
      <c r="F66" s="8">
        <v>0.5</v>
      </c>
      <c r="G66" s="6">
        <v>2.2999999999999998</v>
      </c>
      <c r="H66">
        <v>7</v>
      </c>
      <c r="I66" t="str">
        <f t="shared" ref="I66:I97" si="6">IF(G66&lt;3,"Poor", IF(G66&gt;=4.5,"Excelent","Average"))</f>
        <v>Poor</v>
      </c>
      <c r="J66" t="str" cm="1">
        <f t="array" ref="J66">_xlfn.IFS(F66&lt;=0.2,"Low Discount",F66&lt;=0.4,"Medium Discount",F66&gt;0.4,"High Discount")</f>
        <v>High Discount</v>
      </c>
    </row>
    <row r="67" spans="1:10" x14ac:dyDescent="0.25">
      <c r="A67" t="s">
        <v>69</v>
      </c>
      <c r="B67" s="4">
        <v>3750</v>
      </c>
      <c r="C67" s="4" t="str">
        <f t="shared" ref="C67:C109" si="7">IF(B67&lt;=1000, "0 - 1000", IF(B67 &lt;=2000,"1000 - 2000", IF(B67&lt;=4000,"2000 - 4000", "Above 400")))</f>
        <v>2000 - 4000</v>
      </c>
      <c r="D67" s="4">
        <v>6143</v>
      </c>
      <c r="E67" s="4">
        <f t="shared" si="5"/>
        <v>2393</v>
      </c>
      <c r="F67" s="8">
        <v>0.39</v>
      </c>
      <c r="G67" s="6">
        <v>3</v>
      </c>
      <c r="H67">
        <v>5</v>
      </c>
      <c r="I67" t="str">
        <f t="shared" si="6"/>
        <v>Average</v>
      </c>
      <c r="J67" t="str" cm="1">
        <f t="array" ref="J67">_xlfn.IFS(F67&lt;=0.2,"Low Discount",F67&lt;=0.4,"Medium Discount",F67&gt;0.4,"High Discount")</f>
        <v>Medium Discount</v>
      </c>
    </row>
    <row r="68" spans="1:10" x14ac:dyDescent="0.25">
      <c r="A68" t="s">
        <v>70</v>
      </c>
      <c r="B68" s="4">
        <v>382</v>
      </c>
      <c r="C68" s="4" t="str">
        <f t="shared" si="7"/>
        <v>0 - 1000</v>
      </c>
      <c r="D68" s="4">
        <v>700</v>
      </c>
      <c r="E68" s="4">
        <f t="shared" si="5"/>
        <v>318</v>
      </c>
      <c r="F68" s="8">
        <v>0.45</v>
      </c>
      <c r="G68" s="6">
        <v>2.6</v>
      </c>
      <c r="H68">
        <v>17</v>
      </c>
      <c r="I68" t="str">
        <f t="shared" si="6"/>
        <v>Poor</v>
      </c>
      <c r="J68" t="str" cm="1">
        <f t="array" ref="J68">_xlfn.IFS(F68&lt;=0.2,"Low Discount",F68&lt;=0.4,"Medium Discount",F68&gt;0.4,"High Discount")</f>
        <v>High Discount</v>
      </c>
    </row>
    <row r="69" spans="1:10" x14ac:dyDescent="0.25">
      <c r="A69" t="s">
        <v>71</v>
      </c>
      <c r="B69" s="4">
        <v>2300</v>
      </c>
      <c r="C69" s="4" t="str">
        <f t="shared" si="7"/>
        <v>2000 - 4000</v>
      </c>
      <c r="D69" s="4">
        <v>3240</v>
      </c>
      <c r="E69" s="4">
        <f t="shared" si="5"/>
        <v>940</v>
      </c>
      <c r="F69" s="8">
        <v>0.28999999999999998</v>
      </c>
      <c r="G69" s="6">
        <v>3</v>
      </c>
      <c r="H69">
        <v>5</v>
      </c>
      <c r="I69" t="str">
        <f t="shared" si="6"/>
        <v>Average</v>
      </c>
      <c r="J69" t="str" cm="1">
        <f t="array" ref="J69">_xlfn.IFS(F69&lt;=0.2,"Low Discount",F69&lt;=0.4,"Medium Discount",F69&gt;0.4,"High Discount")</f>
        <v>Medium Discount</v>
      </c>
    </row>
    <row r="70" spans="1:10" x14ac:dyDescent="0.25">
      <c r="A70" t="s">
        <v>72</v>
      </c>
      <c r="B70" s="4">
        <v>345</v>
      </c>
      <c r="C70" s="4" t="str">
        <f t="shared" si="7"/>
        <v>0 - 1000</v>
      </c>
      <c r="D70" s="4">
        <v>602</v>
      </c>
      <c r="E70" s="4">
        <f t="shared" si="5"/>
        <v>257</v>
      </c>
      <c r="F70" s="8">
        <v>0.43</v>
      </c>
      <c r="G70" s="6">
        <v>2.2999999999999998</v>
      </c>
      <c r="H70">
        <v>6</v>
      </c>
      <c r="I70" t="str">
        <f t="shared" si="6"/>
        <v>Poor</v>
      </c>
      <c r="J70" t="str" cm="1">
        <f t="array" ref="J70">_xlfn.IFS(F70&lt;=0.2,"Low Discount",F70&lt;=0.4,"Medium Discount",F70&gt;0.4,"High Discount")</f>
        <v>High Discount</v>
      </c>
    </row>
    <row r="71" spans="1:10" x14ac:dyDescent="0.25">
      <c r="A71" t="s">
        <v>73</v>
      </c>
      <c r="B71" s="4">
        <v>509</v>
      </c>
      <c r="C71" s="4" t="str">
        <f t="shared" si="7"/>
        <v>0 - 1000</v>
      </c>
      <c r="D71" s="4">
        <v>899</v>
      </c>
      <c r="E71" s="4">
        <f t="shared" si="5"/>
        <v>390</v>
      </c>
      <c r="F71" s="8">
        <v>0.43</v>
      </c>
      <c r="G71" s="6">
        <v>3</v>
      </c>
      <c r="H71">
        <v>5</v>
      </c>
      <c r="I71" t="str">
        <f t="shared" si="6"/>
        <v>Average</v>
      </c>
      <c r="J71" t="str" cm="1">
        <f t="array" ref="J71">_xlfn.IFS(F71&lt;=0.2,"Low Discount",F71&lt;=0.4,"Medium Discount",F71&gt;0.4,"High Discount")</f>
        <v>High Discount</v>
      </c>
    </row>
    <row r="72" spans="1:10" x14ac:dyDescent="0.25">
      <c r="A72" t="s">
        <v>74</v>
      </c>
      <c r="B72" s="4">
        <v>968</v>
      </c>
      <c r="C72" s="4" t="str">
        <f t="shared" si="7"/>
        <v>0 - 1000</v>
      </c>
      <c r="D72" s="4">
        <v>1814</v>
      </c>
      <c r="E72" s="4">
        <f t="shared" si="5"/>
        <v>846</v>
      </c>
      <c r="F72" s="8">
        <v>0.47</v>
      </c>
      <c r="G72" s="6">
        <v>2.2000000000000002</v>
      </c>
      <c r="H72">
        <v>6</v>
      </c>
      <c r="I72" t="str">
        <f t="shared" si="6"/>
        <v>Poor</v>
      </c>
      <c r="J72" t="str" cm="1">
        <f t="array" ref="J72">_xlfn.IFS(F72&lt;=0.2,"Low Discount",F72&lt;=0.4,"Medium Discount",F72&gt;0.4,"High Discount")</f>
        <v>High Discount</v>
      </c>
    </row>
    <row r="73" spans="1:10" x14ac:dyDescent="0.25">
      <c r="A73" t="s">
        <v>75</v>
      </c>
      <c r="B73" s="4">
        <v>1570</v>
      </c>
      <c r="C73" s="4" t="str">
        <f t="shared" si="7"/>
        <v>1000 - 2000</v>
      </c>
      <c r="D73" s="4">
        <v>2988</v>
      </c>
      <c r="E73" s="4">
        <f t="shared" si="5"/>
        <v>1418</v>
      </c>
      <c r="F73" s="8">
        <v>0.47</v>
      </c>
      <c r="G73" s="6">
        <v>2.1</v>
      </c>
      <c r="H73">
        <v>7</v>
      </c>
      <c r="I73" t="str">
        <f t="shared" si="6"/>
        <v>Poor</v>
      </c>
      <c r="J73" t="str" cm="1">
        <f t="array" ref="J73">_xlfn.IFS(F73&lt;=0.2,"Low Discount",F73&lt;=0.4,"Medium Discount",F73&gt;0.4,"High Discount")</f>
        <v>High Discount</v>
      </c>
    </row>
    <row r="74" spans="1:10" x14ac:dyDescent="0.25">
      <c r="A74" t="s">
        <v>76</v>
      </c>
      <c r="B74" s="4">
        <v>790</v>
      </c>
      <c r="C74" s="4" t="str">
        <f t="shared" si="7"/>
        <v>0 - 1000</v>
      </c>
      <c r="D74" s="4">
        <v>1485</v>
      </c>
      <c r="E74" s="4">
        <f t="shared" si="5"/>
        <v>695</v>
      </c>
      <c r="F74" s="8">
        <v>0.47</v>
      </c>
      <c r="I74" t="str">
        <f t="shared" si="6"/>
        <v>Poor</v>
      </c>
      <c r="J74" t="str" cm="1">
        <f t="array" ref="J74">_xlfn.IFS(F74&lt;=0.2,"Low Discount",F74&lt;=0.4,"Medium Discount",F74&gt;0.4,"High Discount")</f>
        <v>High Discount</v>
      </c>
    </row>
    <row r="75" spans="1:10" x14ac:dyDescent="0.25">
      <c r="A75" t="s">
        <v>77</v>
      </c>
      <c r="B75" s="4">
        <v>690</v>
      </c>
      <c r="C75" s="4" t="str">
        <f t="shared" si="7"/>
        <v>0 - 1000</v>
      </c>
      <c r="D75" s="4">
        <v>1200</v>
      </c>
      <c r="E75" s="4">
        <f t="shared" si="5"/>
        <v>510</v>
      </c>
      <c r="F75" s="8">
        <v>0.43</v>
      </c>
      <c r="I75" t="str">
        <f t="shared" si="6"/>
        <v>Poor</v>
      </c>
      <c r="J75" t="str" cm="1">
        <f t="array" ref="J75">_xlfn.IFS(F75&lt;=0.2,"Low Discount",F75&lt;=0.4,"Medium Discount",F75&gt;0.4,"High Discount")</f>
        <v>High Discount</v>
      </c>
    </row>
    <row r="76" spans="1:10" x14ac:dyDescent="0.25">
      <c r="A76" t="s">
        <v>78</v>
      </c>
      <c r="B76" s="4">
        <v>1732</v>
      </c>
      <c r="C76" s="4" t="str">
        <f t="shared" si="7"/>
        <v>1000 - 2000</v>
      </c>
      <c r="D76" s="4">
        <v>1799</v>
      </c>
      <c r="E76" s="4">
        <f t="shared" si="5"/>
        <v>67</v>
      </c>
      <c r="F76" s="8">
        <v>0.04</v>
      </c>
      <c r="I76" t="str">
        <f t="shared" si="6"/>
        <v>Poor</v>
      </c>
      <c r="J76" t="str" cm="1">
        <f t="array" ref="J76">_xlfn.IFS(F76&lt;=0.2,"Low Discount",F76&lt;=0.4,"Medium Discount",F76&gt;0.4,"High Discount")</f>
        <v>Low Discount</v>
      </c>
    </row>
    <row r="77" spans="1:10" x14ac:dyDescent="0.25">
      <c r="A77" t="s">
        <v>79</v>
      </c>
      <c r="B77" s="4">
        <v>230</v>
      </c>
      <c r="C77" s="4" t="str">
        <f t="shared" si="7"/>
        <v>0 - 1000</v>
      </c>
      <c r="D77" s="4">
        <v>450</v>
      </c>
      <c r="E77" s="4">
        <f t="shared" si="5"/>
        <v>220</v>
      </c>
      <c r="F77" s="8">
        <v>0.49</v>
      </c>
      <c r="I77" t="str">
        <f t="shared" si="6"/>
        <v>Poor</v>
      </c>
      <c r="J77" t="str" cm="1">
        <f t="array" ref="J77">_xlfn.IFS(F77&lt;=0.2,"Low Discount",F77&lt;=0.4,"Medium Discount",F77&gt;0.4,"High Discount")</f>
        <v>High Discount</v>
      </c>
    </row>
    <row r="78" spans="1:10" x14ac:dyDescent="0.25">
      <c r="A78" t="s">
        <v>80</v>
      </c>
      <c r="B78" s="4">
        <v>1189</v>
      </c>
      <c r="C78" s="4" t="str">
        <f t="shared" si="7"/>
        <v>1000 - 2000</v>
      </c>
      <c r="D78" s="4">
        <v>2199</v>
      </c>
      <c r="E78" s="4">
        <f t="shared" si="5"/>
        <v>1010</v>
      </c>
      <c r="F78" s="8">
        <v>0.46</v>
      </c>
      <c r="G78" s="6">
        <v>3</v>
      </c>
      <c r="H78">
        <v>1</v>
      </c>
      <c r="I78" t="str">
        <f t="shared" si="6"/>
        <v>Average</v>
      </c>
      <c r="J78" t="str" cm="1">
        <f t="array" ref="J78">_xlfn.IFS(F78&lt;=0.2,"Low Discount",F78&lt;=0.4,"Medium Discount",F78&gt;0.4,"High Discount")</f>
        <v>High Discount</v>
      </c>
    </row>
    <row r="79" spans="1:10" x14ac:dyDescent="0.25">
      <c r="A79" t="s">
        <v>81</v>
      </c>
      <c r="B79" s="4">
        <v>979</v>
      </c>
      <c r="C79" s="4" t="str">
        <f t="shared" si="7"/>
        <v>0 - 1000</v>
      </c>
      <c r="D79" s="4">
        <v>1920</v>
      </c>
      <c r="E79" s="4">
        <f t="shared" si="5"/>
        <v>941</v>
      </c>
      <c r="F79" s="8">
        <v>0.49</v>
      </c>
      <c r="G79" s="6">
        <v>5</v>
      </c>
      <c r="H79">
        <v>1</v>
      </c>
      <c r="I79" t="str">
        <f t="shared" si="6"/>
        <v>Excelent</v>
      </c>
      <c r="J79" t="str" cm="1">
        <f t="array" ref="J79">_xlfn.IFS(F79&lt;=0.2,"Low Discount",F79&lt;=0.4,"Medium Discount",F79&gt;0.4,"High Discount")</f>
        <v>High Discount</v>
      </c>
    </row>
    <row r="80" spans="1:10" x14ac:dyDescent="0.25">
      <c r="A80" t="s">
        <v>82</v>
      </c>
      <c r="B80" s="4">
        <v>1460</v>
      </c>
      <c r="C80" s="4" t="str">
        <f t="shared" si="7"/>
        <v>1000 - 2000</v>
      </c>
      <c r="D80" s="4">
        <v>2290</v>
      </c>
      <c r="E80" s="4">
        <f t="shared" si="5"/>
        <v>830</v>
      </c>
      <c r="F80" s="8">
        <v>0.36</v>
      </c>
      <c r="I80" t="str">
        <f t="shared" si="6"/>
        <v>Poor</v>
      </c>
      <c r="J80" t="str" cm="1">
        <f t="array" ref="J80">_xlfn.IFS(F80&lt;=0.2,"Low Discount",F80&lt;=0.4,"Medium Discount",F80&gt;0.4,"High Discount")</f>
        <v>Medium Discount</v>
      </c>
    </row>
    <row r="81" spans="1:10" x14ac:dyDescent="0.25">
      <c r="A81" t="s">
        <v>83</v>
      </c>
      <c r="B81" s="4">
        <v>1666</v>
      </c>
      <c r="C81" s="4" t="str">
        <f t="shared" si="7"/>
        <v>1000 - 2000</v>
      </c>
      <c r="D81" s="4">
        <v>1699</v>
      </c>
      <c r="E81" s="4">
        <f t="shared" si="5"/>
        <v>33</v>
      </c>
      <c r="F81" s="8">
        <v>0.02</v>
      </c>
      <c r="I81" t="str">
        <f t="shared" si="6"/>
        <v>Poor</v>
      </c>
      <c r="J81" t="str" cm="1">
        <f t="array" ref="J81">_xlfn.IFS(F81&lt;=0.2,"Low Discount",F81&lt;=0.4,"Medium Discount",F81&gt;0.4,"High Discount")</f>
        <v>Low Discount</v>
      </c>
    </row>
    <row r="82" spans="1:10" x14ac:dyDescent="0.25">
      <c r="A82" t="s">
        <v>84</v>
      </c>
      <c r="B82" s="4">
        <v>330</v>
      </c>
      <c r="C82" s="4" t="str">
        <f t="shared" si="7"/>
        <v>0 - 1000</v>
      </c>
      <c r="D82" s="4">
        <v>647</v>
      </c>
      <c r="E82" s="4">
        <f t="shared" si="5"/>
        <v>317</v>
      </c>
      <c r="F82" s="8">
        <v>0.49</v>
      </c>
      <c r="G82" s="6">
        <v>4</v>
      </c>
      <c r="H82">
        <v>1</v>
      </c>
      <c r="I82" t="str">
        <f t="shared" si="6"/>
        <v>Average</v>
      </c>
      <c r="J82" t="str" cm="1">
        <f t="array" ref="J82">_xlfn.IFS(F82&lt;=0.2,"Low Discount",F82&lt;=0.4,"Medium Discount",F82&gt;0.4,"High Discount")</f>
        <v>High Discount</v>
      </c>
    </row>
    <row r="83" spans="1:10" x14ac:dyDescent="0.25">
      <c r="A83" t="s">
        <v>85</v>
      </c>
      <c r="B83" s="4">
        <v>1466</v>
      </c>
      <c r="C83" s="4" t="str">
        <f t="shared" si="7"/>
        <v>1000 - 2000</v>
      </c>
      <c r="D83" s="4">
        <v>1699</v>
      </c>
      <c r="E83" s="4">
        <f t="shared" si="5"/>
        <v>233</v>
      </c>
      <c r="F83" s="8">
        <v>0.14000000000000001</v>
      </c>
      <c r="I83" t="str">
        <f t="shared" si="6"/>
        <v>Poor</v>
      </c>
      <c r="J83" t="str" cm="1">
        <f t="array" ref="J83">_xlfn.IFS(F83&lt;=0.2,"Low Discount",F83&lt;=0.4,"Medium Discount",F83&gt;0.4,"High Discount")</f>
        <v>Low Discount</v>
      </c>
    </row>
    <row r="84" spans="1:10" x14ac:dyDescent="0.25">
      <c r="A84" t="s">
        <v>86</v>
      </c>
      <c r="B84" s="4">
        <v>274</v>
      </c>
      <c r="C84" s="4" t="str">
        <f t="shared" si="7"/>
        <v>0 - 1000</v>
      </c>
      <c r="D84" s="4">
        <v>537</v>
      </c>
      <c r="E84" s="4">
        <f t="shared" si="5"/>
        <v>263</v>
      </c>
      <c r="F84" s="8">
        <v>0.49</v>
      </c>
      <c r="I84" t="str">
        <f t="shared" si="6"/>
        <v>Poor</v>
      </c>
      <c r="J84" t="str" cm="1">
        <f t="array" ref="J84">_xlfn.IFS(F84&lt;=0.2,"Low Discount",F84&lt;=0.4,"Medium Discount",F84&gt;0.4,"High Discount")</f>
        <v>High Discount</v>
      </c>
    </row>
    <row r="85" spans="1:10" x14ac:dyDescent="0.25">
      <c r="A85" t="s">
        <v>87</v>
      </c>
      <c r="B85" s="4">
        <v>799</v>
      </c>
      <c r="C85" s="4" t="str">
        <f t="shared" si="7"/>
        <v>0 - 1000</v>
      </c>
      <c r="D85" s="4">
        <v>900</v>
      </c>
      <c r="E85" s="4">
        <f t="shared" si="5"/>
        <v>101</v>
      </c>
      <c r="F85" s="8">
        <v>0.11</v>
      </c>
      <c r="I85" t="str">
        <f t="shared" si="6"/>
        <v>Poor</v>
      </c>
      <c r="J85" t="str" cm="1">
        <f t="array" ref="J85">_xlfn.IFS(F85&lt;=0.2,"Low Discount",F85&lt;=0.4,"Medium Discount",F85&gt;0.4,"High Discount")</f>
        <v>Low Discount</v>
      </c>
    </row>
    <row r="86" spans="1:10" x14ac:dyDescent="0.25">
      <c r="A86" t="s">
        <v>88</v>
      </c>
      <c r="B86" s="4">
        <v>1468</v>
      </c>
      <c r="C86" s="4" t="str">
        <f t="shared" si="7"/>
        <v>1000 - 2000</v>
      </c>
      <c r="D86" s="4">
        <v>1699</v>
      </c>
      <c r="E86" s="4">
        <f t="shared" si="5"/>
        <v>231</v>
      </c>
      <c r="F86" s="8">
        <v>0.14000000000000001</v>
      </c>
      <c r="I86" t="str">
        <f t="shared" si="6"/>
        <v>Poor</v>
      </c>
      <c r="J86" t="str" cm="1">
        <f t="array" ref="J86">_xlfn.IFS(F86&lt;=0.2,"Low Discount",F86&lt;=0.4,"Medium Discount",F86&gt;0.4,"High Discount")</f>
        <v>Low Discount</v>
      </c>
    </row>
    <row r="87" spans="1:10" x14ac:dyDescent="0.25">
      <c r="A87" t="s">
        <v>143</v>
      </c>
      <c r="B87" s="4">
        <v>630</v>
      </c>
      <c r="C87" s="4" t="str">
        <f t="shared" si="7"/>
        <v>0 - 1000</v>
      </c>
      <c r="D87" s="4">
        <v>1100</v>
      </c>
      <c r="E87" s="4">
        <f t="shared" si="5"/>
        <v>470</v>
      </c>
      <c r="F87" s="8">
        <v>0.43</v>
      </c>
      <c r="I87" t="str">
        <f t="shared" si="6"/>
        <v>Poor</v>
      </c>
      <c r="J87" t="str" cm="1">
        <f t="array" ref="J87">_xlfn.IFS(F87&lt;=0.2,"Low Discount",F87&lt;=0.4,"Medium Discount",F87&gt;0.4,"High Discount")</f>
        <v>High Discount</v>
      </c>
    </row>
    <row r="88" spans="1:10" x14ac:dyDescent="0.25">
      <c r="A88" t="s">
        <v>90</v>
      </c>
      <c r="B88" s="4">
        <v>850</v>
      </c>
      <c r="C88" s="4" t="str">
        <f t="shared" si="7"/>
        <v>0 - 1000</v>
      </c>
      <c r="D88" s="4">
        <v>1700</v>
      </c>
      <c r="E88" s="4">
        <f t="shared" si="5"/>
        <v>850</v>
      </c>
      <c r="F88" s="8">
        <v>0.5</v>
      </c>
      <c r="I88" t="str">
        <f t="shared" si="6"/>
        <v>Poor</v>
      </c>
      <c r="J88" t="str" cm="1">
        <f t="array" ref="J88">_xlfn.IFS(F88&lt;=0.2,"Low Discount",F88&lt;=0.4,"Medium Discount",F88&gt;0.4,"High Discount")</f>
        <v>High Discount</v>
      </c>
    </row>
    <row r="89" spans="1:10" x14ac:dyDescent="0.25">
      <c r="A89" t="s">
        <v>91</v>
      </c>
      <c r="B89" s="4">
        <v>1300</v>
      </c>
      <c r="C89" s="4" t="str">
        <f t="shared" si="7"/>
        <v>1000 - 2000</v>
      </c>
      <c r="D89" s="4">
        <v>2500</v>
      </c>
      <c r="E89" s="4">
        <f t="shared" si="5"/>
        <v>1200</v>
      </c>
      <c r="F89" s="8">
        <v>0.48</v>
      </c>
      <c r="I89" t="str">
        <f t="shared" si="6"/>
        <v>Poor</v>
      </c>
      <c r="J89" t="str" cm="1">
        <f t="array" ref="J89">_xlfn.IFS(F89&lt;=0.2,"Low Discount",F89&lt;=0.4,"Medium Discount",F89&gt;0.4,"High Discount")</f>
        <v>High Discount</v>
      </c>
    </row>
    <row r="90" spans="1:10" x14ac:dyDescent="0.25">
      <c r="A90" t="s">
        <v>92</v>
      </c>
      <c r="B90" s="4">
        <v>105</v>
      </c>
      <c r="C90" s="4" t="str">
        <f t="shared" si="7"/>
        <v>0 - 1000</v>
      </c>
      <c r="D90" s="4">
        <v>200</v>
      </c>
      <c r="E90" s="4">
        <f t="shared" si="5"/>
        <v>95</v>
      </c>
      <c r="F90" s="8">
        <v>0.48</v>
      </c>
      <c r="I90" t="str">
        <f t="shared" si="6"/>
        <v>Poor</v>
      </c>
      <c r="J90" t="str" cm="1">
        <f t="array" ref="J90">_xlfn.IFS(F90&lt;=0.2,"Low Discount",F90&lt;=0.4,"Medium Discount",F90&gt;0.4,"High Discount")</f>
        <v>High Discount</v>
      </c>
    </row>
    <row r="91" spans="1:10" x14ac:dyDescent="0.25">
      <c r="A91" t="s">
        <v>93</v>
      </c>
      <c r="B91" s="4">
        <v>899</v>
      </c>
      <c r="C91" s="4" t="str">
        <f t="shared" si="7"/>
        <v>0 - 1000</v>
      </c>
      <c r="D91" s="4">
        <v>1699</v>
      </c>
      <c r="E91" s="4">
        <f t="shared" si="5"/>
        <v>800</v>
      </c>
      <c r="F91" s="8">
        <v>0.47</v>
      </c>
      <c r="I91" t="str">
        <f t="shared" si="6"/>
        <v>Poor</v>
      </c>
      <c r="J91" t="str" cm="1">
        <f t="array" ref="J91">_xlfn.IFS(F91&lt;=0.2,"Low Discount",F91&lt;=0.4,"Medium Discount",F91&gt;0.4,"High Discount")</f>
        <v>High Discount</v>
      </c>
    </row>
    <row r="92" spans="1:10" x14ac:dyDescent="0.25">
      <c r="A92" t="s">
        <v>94</v>
      </c>
      <c r="B92" s="4">
        <v>1200</v>
      </c>
      <c r="C92" s="4" t="str">
        <f t="shared" si="7"/>
        <v>1000 - 2000</v>
      </c>
      <c r="D92" s="4">
        <v>2400</v>
      </c>
      <c r="E92" s="4">
        <f t="shared" si="5"/>
        <v>1200</v>
      </c>
      <c r="F92" s="8">
        <v>0.5</v>
      </c>
      <c r="I92" t="str">
        <f t="shared" si="6"/>
        <v>Poor</v>
      </c>
      <c r="J92" t="str" cm="1">
        <f t="array" ref="J92">_xlfn.IFS(F92&lt;=0.2,"Low Discount",F92&lt;=0.4,"Medium Discount",F92&gt;0.4,"High Discount")</f>
        <v>High Discount</v>
      </c>
    </row>
    <row r="93" spans="1:10" x14ac:dyDescent="0.25">
      <c r="A93" t="s">
        <v>95</v>
      </c>
      <c r="B93" s="4">
        <v>1526</v>
      </c>
      <c r="C93" s="4" t="str">
        <f t="shared" si="7"/>
        <v>1000 - 2000</v>
      </c>
      <c r="D93" s="4">
        <v>1660</v>
      </c>
      <c r="E93" s="4">
        <f t="shared" si="5"/>
        <v>134</v>
      </c>
      <c r="F93" s="8">
        <v>0.08</v>
      </c>
      <c r="I93" t="str">
        <f t="shared" si="6"/>
        <v>Poor</v>
      </c>
      <c r="J93" t="str" cm="1">
        <f t="array" ref="J93">_xlfn.IFS(F93&lt;=0.2,"Low Discount",F93&lt;=0.4,"Medium Discount",F93&gt;0.4,"High Discount")</f>
        <v>Low Discount</v>
      </c>
    </row>
    <row r="94" spans="1:10" x14ac:dyDescent="0.25">
      <c r="A94" t="s">
        <v>96</v>
      </c>
      <c r="B94" s="4">
        <v>1462</v>
      </c>
      <c r="C94" s="4" t="str">
        <f t="shared" si="7"/>
        <v>1000 - 2000</v>
      </c>
      <c r="D94" s="4">
        <v>1499</v>
      </c>
      <c r="E94" s="4">
        <f t="shared" si="5"/>
        <v>37</v>
      </c>
      <c r="F94" s="8">
        <v>0.02</v>
      </c>
      <c r="I94" t="str">
        <f t="shared" si="6"/>
        <v>Poor</v>
      </c>
      <c r="J94" t="str" cm="1">
        <f t="array" ref="J94">_xlfn.IFS(F94&lt;=0.2,"Low Discount",F94&lt;=0.4,"Medium Discount",F94&gt;0.4,"High Discount")</f>
        <v>Low Discount</v>
      </c>
    </row>
    <row r="95" spans="1:10" x14ac:dyDescent="0.25">
      <c r="A95" t="s">
        <v>97</v>
      </c>
      <c r="B95" s="4">
        <v>248</v>
      </c>
      <c r="C95" s="4" t="str">
        <f t="shared" si="7"/>
        <v>0 - 1000</v>
      </c>
      <c r="D95" s="4">
        <v>486</v>
      </c>
      <c r="E95" s="4">
        <f t="shared" si="5"/>
        <v>238</v>
      </c>
      <c r="F95" s="8">
        <v>0.49</v>
      </c>
      <c r="I95" t="str">
        <f t="shared" si="6"/>
        <v>Poor</v>
      </c>
      <c r="J95" t="str" cm="1">
        <f t="array" ref="J95">_xlfn.IFS(F95&lt;=0.2,"Low Discount",F95&lt;=0.4,"Medium Discount",F95&gt;0.4,"High Discount")</f>
        <v>High Discount</v>
      </c>
    </row>
    <row r="96" spans="1:10" x14ac:dyDescent="0.25">
      <c r="A96" t="s">
        <v>98</v>
      </c>
      <c r="B96" s="4">
        <v>3546</v>
      </c>
      <c r="C96" s="4" t="str">
        <f t="shared" si="7"/>
        <v>2000 - 4000</v>
      </c>
      <c r="D96" s="4">
        <v>3699</v>
      </c>
      <c r="E96" s="4">
        <f t="shared" si="5"/>
        <v>153</v>
      </c>
      <c r="F96" s="8">
        <v>0.04</v>
      </c>
      <c r="I96" t="str">
        <f t="shared" si="6"/>
        <v>Poor</v>
      </c>
      <c r="J96" t="str" cm="1">
        <f t="array" ref="J96">_xlfn.IFS(F96&lt;=0.2,"Low Discount",F96&lt;=0.4,"Medium Discount",F96&gt;0.4,"High Discount")</f>
        <v>Low Discount</v>
      </c>
    </row>
    <row r="97" spans="1:10" x14ac:dyDescent="0.25">
      <c r="A97" t="s">
        <v>99</v>
      </c>
      <c r="B97" s="4">
        <v>525</v>
      </c>
      <c r="C97" s="4" t="str">
        <f t="shared" si="7"/>
        <v>0 - 1000</v>
      </c>
      <c r="D97" s="4">
        <v>1029</v>
      </c>
      <c r="E97" s="4">
        <f t="shared" si="5"/>
        <v>504</v>
      </c>
      <c r="F97" s="8">
        <v>0.49</v>
      </c>
      <c r="I97" t="str">
        <f t="shared" si="6"/>
        <v>Poor</v>
      </c>
      <c r="J97" t="str" cm="1">
        <f t="array" ref="J97">_xlfn.IFS(F97&lt;=0.2,"Low Discount",F97&lt;=0.4,"Medium Discount",F97&gt;0.4,"High Discount")</f>
        <v>High Discount</v>
      </c>
    </row>
    <row r="98" spans="1:10" x14ac:dyDescent="0.25">
      <c r="A98" t="s">
        <v>100</v>
      </c>
      <c r="B98" s="4">
        <v>1080</v>
      </c>
      <c r="C98" s="4" t="str">
        <f t="shared" si="7"/>
        <v>1000 - 2000</v>
      </c>
      <c r="D98" s="4">
        <v>1874</v>
      </c>
      <c r="E98" s="4">
        <f t="shared" ref="E98:E129" si="8">D98-B98</f>
        <v>794</v>
      </c>
      <c r="F98" s="8">
        <v>0.42</v>
      </c>
      <c r="I98" t="str">
        <f t="shared" ref="I98:I109" si="9">IF(G98&lt;3,"Poor", IF(G98&gt;=4.5,"Excelent","Average"))</f>
        <v>Poor</v>
      </c>
      <c r="J98" t="str" cm="1">
        <f t="array" ref="J98">_xlfn.IFS(F98&lt;=0.2,"Low Discount",F98&lt;=0.4,"Medium Discount",F98&gt;0.4,"High Discount")</f>
        <v>High Discount</v>
      </c>
    </row>
    <row r="99" spans="1:10" x14ac:dyDescent="0.25">
      <c r="A99" t="s">
        <v>101</v>
      </c>
      <c r="B99" s="4">
        <v>3640</v>
      </c>
      <c r="C99" s="4" t="str">
        <f t="shared" si="7"/>
        <v>2000 - 4000</v>
      </c>
      <c r="D99" s="4">
        <v>4588</v>
      </c>
      <c r="E99" s="4">
        <f t="shared" si="8"/>
        <v>948</v>
      </c>
      <c r="F99" s="8">
        <v>0.21</v>
      </c>
      <c r="G99" s="6">
        <v>5</v>
      </c>
      <c r="H99">
        <v>1</v>
      </c>
      <c r="I99" t="str">
        <f t="shared" si="9"/>
        <v>Excelent</v>
      </c>
      <c r="J99" t="str" cm="1">
        <f t="array" ref="J99">_xlfn.IFS(F99&lt;=0.2,"Low Discount",F99&lt;=0.4,"Medium Discount",F99&gt;0.4,"High Discount")</f>
        <v>Medium Discount</v>
      </c>
    </row>
    <row r="100" spans="1:10" x14ac:dyDescent="0.25">
      <c r="A100" t="s">
        <v>102</v>
      </c>
      <c r="B100" s="4">
        <v>1420</v>
      </c>
      <c r="C100" s="4" t="str">
        <f t="shared" si="7"/>
        <v>1000 - 2000</v>
      </c>
      <c r="D100" s="4">
        <v>2420</v>
      </c>
      <c r="E100" s="4">
        <f t="shared" si="8"/>
        <v>1000</v>
      </c>
      <c r="F100" s="8">
        <v>0.41</v>
      </c>
      <c r="I100" t="str">
        <f t="shared" si="9"/>
        <v>Poor</v>
      </c>
      <c r="J100" t="str" cm="1">
        <f t="array" ref="J100">_xlfn.IFS(F100&lt;=0.2,"Low Discount",F100&lt;=0.4,"Medium Discount",F100&gt;0.4,"High Discount")</f>
        <v>High Discount</v>
      </c>
    </row>
    <row r="101" spans="1:10" x14ac:dyDescent="0.25">
      <c r="A101" t="s">
        <v>103</v>
      </c>
      <c r="B101" s="4">
        <v>1875</v>
      </c>
      <c r="C101" s="4" t="str">
        <f t="shared" si="7"/>
        <v>1000 - 2000</v>
      </c>
      <c r="D101" s="4">
        <v>1899</v>
      </c>
      <c r="E101" s="4">
        <f t="shared" si="8"/>
        <v>24</v>
      </c>
      <c r="F101" s="8">
        <v>0.01</v>
      </c>
      <c r="I101" t="str">
        <f t="shared" si="9"/>
        <v>Poor</v>
      </c>
      <c r="J101" t="str" cm="1">
        <f t="array" ref="J101">_xlfn.IFS(F101&lt;=0.2,"Low Discount",F101&lt;=0.4,"Medium Discount",F101&gt;0.4,"High Discount")</f>
        <v>Low Discount</v>
      </c>
    </row>
    <row r="102" spans="1:10" x14ac:dyDescent="0.25">
      <c r="A102" t="s">
        <v>104</v>
      </c>
      <c r="B102" s="4">
        <v>198</v>
      </c>
      <c r="C102" s="4" t="str">
        <f t="shared" si="7"/>
        <v>0 - 1000</v>
      </c>
      <c r="D102" s="4">
        <v>260</v>
      </c>
      <c r="E102" s="4">
        <f t="shared" si="8"/>
        <v>62</v>
      </c>
      <c r="F102" s="8">
        <v>0.24</v>
      </c>
      <c r="I102" t="str">
        <f t="shared" si="9"/>
        <v>Poor</v>
      </c>
      <c r="J102" t="str" cm="1">
        <f t="array" ref="J102">_xlfn.IFS(F102&lt;=0.2,"Low Discount",F102&lt;=0.4,"Medium Discount",F102&gt;0.4,"High Discount")</f>
        <v>Medium Discount</v>
      </c>
    </row>
    <row r="103" spans="1:10" x14ac:dyDescent="0.25">
      <c r="A103" t="s">
        <v>105</v>
      </c>
      <c r="B103" s="4">
        <v>1150</v>
      </c>
      <c r="C103" s="4" t="str">
        <f t="shared" si="7"/>
        <v>1000 - 2000</v>
      </c>
      <c r="D103" s="4">
        <v>1737</v>
      </c>
      <c r="E103" s="4">
        <f t="shared" si="8"/>
        <v>587</v>
      </c>
      <c r="F103" s="8">
        <v>0.34</v>
      </c>
      <c r="I103" t="str">
        <f t="shared" si="9"/>
        <v>Poor</v>
      </c>
      <c r="J103" t="str" cm="1">
        <f t="array" ref="J103">_xlfn.IFS(F103&lt;=0.2,"Low Discount",F103&lt;=0.4,"Medium Discount",F103&gt;0.4,"High Discount")</f>
        <v>Medium Discount</v>
      </c>
    </row>
    <row r="104" spans="1:10" x14ac:dyDescent="0.25">
      <c r="A104" t="s">
        <v>106</v>
      </c>
      <c r="B104" s="4">
        <v>1190</v>
      </c>
      <c r="C104" s="4" t="str">
        <f t="shared" si="7"/>
        <v>1000 - 2000</v>
      </c>
      <c r="D104" s="4">
        <v>1810</v>
      </c>
      <c r="E104" s="4">
        <f t="shared" si="8"/>
        <v>620</v>
      </c>
      <c r="F104" s="8">
        <v>0.34</v>
      </c>
      <c r="I104" t="str">
        <f t="shared" si="9"/>
        <v>Poor</v>
      </c>
      <c r="J104" t="str" cm="1">
        <f t="array" ref="J104">_xlfn.IFS(F104&lt;=0.2,"Low Discount",F104&lt;=0.4,"Medium Discount",F104&gt;0.4,"High Discount")</f>
        <v>Medium Discount</v>
      </c>
    </row>
    <row r="105" spans="1:10" x14ac:dyDescent="0.25">
      <c r="A105" t="s">
        <v>107</v>
      </c>
      <c r="B105" s="4">
        <v>1658</v>
      </c>
      <c r="C105" s="4" t="str">
        <f t="shared" si="7"/>
        <v>1000 - 2000</v>
      </c>
      <c r="D105" s="4">
        <v>1699</v>
      </c>
      <c r="E105" s="4">
        <f t="shared" si="8"/>
        <v>41</v>
      </c>
      <c r="F105" s="8">
        <v>0.02</v>
      </c>
      <c r="I105" t="str">
        <f t="shared" si="9"/>
        <v>Poor</v>
      </c>
      <c r="J105" t="str" cm="1">
        <f t="array" ref="J105">_xlfn.IFS(F105&lt;=0.2,"Low Discount",F105&lt;=0.4,"Medium Discount",F105&gt;0.4,"High Discount")</f>
        <v>Low Discount</v>
      </c>
    </row>
    <row r="106" spans="1:10" x14ac:dyDescent="0.25">
      <c r="A106" t="s">
        <v>108</v>
      </c>
      <c r="B106" s="4">
        <v>1768</v>
      </c>
      <c r="C106" s="4" t="str">
        <f t="shared" si="7"/>
        <v>1000 - 2000</v>
      </c>
      <c r="D106" s="4">
        <v>1799</v>
      </c>
      <c r="E106" s="4">
        <f t="shared" si="8"/>
        <v>31</v>
      </c>
      <c r="F106" s="8">
        <v>0.02</v>
      </c>
      <c r="I106" t="str">
        <f t="shared" si="9"/>
        <v>Poor</v>
      </c>
      <c r="J106" t="str" cm="1">
        <f t="array" ref="J106">_xlfn.IFS(F106&lt;=0.2,"Low Discount",F106&lt;=0.4,"Medium Discount",F106&gt;0.4,"High Discount")</f>
        <v>Low Discount</v>
      </c>
    </row>
    <row r="107" spans="1:10" x14ac:dyDescent="0.25">
      <c r="A107" t="s">
        <v>109</v>
      </c>
      <c r="B107" s="4">
        <v>199</v>
      </c>
      <c r="C107" s="4" t="str">
        <f t="shared" si="7"/>
        <v>0 - 1000</v>
      </c>
      <c r="D107" s="4">
        <v>553</v>
      </c>
      <c r="E107" s="4">
        <f t="shared" si="8"/>
        <v>354</v>
      </c>
      <c r="F107" s="8">
        <v>0.64</v>
      </c>
      <c r="I107" t="str">
        <f t="shared" si="9"/>
        <v>Poor</v>
      </c>
      <c r="J107" t="str" cm="1">
        <f t="array" ref="J107">_xlfn.IFS(F107&lt;=0.2,"Low Discount",F107&lt;=0.4,"Medium Discount",F107&gt;0.4,"High Discount")</f>
        <v>High Discount</v>
      </c>
    </row>
    <row r="108" spans="1:10" x14ac:dyDescent="0.25">
      <c r="A108" t="s">
        <v>110</v>
      </c>
      <c r="B108" s="4">
        <v>450</v>
      </c>
      <c r="C108" s="4" t="str">
        <f t="shared" si="7"/>
        <v>0 - 1000</v>
      </c>
      <c r="D108" s="4">
        <v>900</v>
      </c>
      <c r="E108" s="4">
        <f t="shared" si="8"/>
        <v>450</v>
      </c>
      <c r="F108" s="8">
        <v>0.5</v>
      </c>
      <c r="G108" s="6">
        <v>2</v>
      </c>
      <c r="H108">
        <v>1</v>
      </c>
      <c r="I108" t="str">
        <f t="shared" si="9"/>
        <v>Poor</v>
      </c>
      <c r="J108" t="str" cm="1">
        <f t="array" ref="J108">_xlfn.IFS(F108&lt;=0.2,"Low Discount",F108&lt;=0.4,"Medium Discount",F108&gt;0.4,"High Discount")</f>
        <v>High Discount</v>
      </c>
    </row>
    <row r="109" spans="1:10" x14ac:dyDescent="0.25">
      <c r="A109" t="s">
        <v>111</v>
      </c>
      <c r="B109" s="4">
        <v>169</v>
      </c>
      <c r="C109" s="4" t="str">
        <f t="shared" si="7"/>
        <v>0 - 1000</v>
      </c>
      <c r="D109" s="4">
        <v>320</v>
      </c>
      <c r="E109" s="4">
        <f t="shared" si="8"/>
        <v>151</v>
      </c>
      <c r="F109" s="8">
        <v>0.47</v>
      </c>
      <c r="I109" t="str">
        <f t="shared" si="9"/>
        <v>Poor</v>
      </c>
      <c r="J109" t="str" cm="1">
        <f t="array" ref="J109">_xlfn.IFS(F109&lt;=0.2,"Low Discount",F109&lt;=0.4,"Medium Discount",F109&gt;0.4,"High Discount")</f>
        <v>High Discount</v>
      </c>
    </row>
    <row r="110" spans="1:10" x14ac:dyDescent="0.25">
      <c r="D110" s="8"/>
      <c r="E110"/>
      <c r="F110" s="6"/>
      <c r="G110"/>
    </row>
    <row r="116" spans="2:4" x14ac:dyDescent="0.25">
      <c r="B116" s="3" t="s">
        <v>126</v>
      </c>
      <c r="C116" s="3"/>
      <c r="D116" s="4">
        <f>MAX(B2:B109)</f>
        <v>3750</v>
      </c>
    </row>
    <row r="117" spans="2:4" x14ac:dyDescent="0.25">
      <c r="B117" s="3" t="s">
        <v>127</v>
      </c>
      <c r="C117" s="3"/>
      <c r="D117" s="4">
        <f>MIN(B2:B109)</f>
        <v>38</v>
      </c>
    </row>
    <row r="121" spans="2:4" x14ac:dyDescent="0.25">
      <c r="B121" s="4" t="s">
        <v>136</v>
      </c>
      <c r="D121" s="4" t="str">
        <f>_xlfn.XLOOKUP(D116,B:B,A:A)</f>
        <v>32PCS Portable Cordless Drill Set With Cyclic Battery Drive -26 Variable Speed</v>
      </c>
    </row>
    <row r="122" spans="2:4" x14ac:dyDescent="0.25">
      <c r="B122" s="3" t="s">
        <v>128</v>
      </c>
      <c r="C122" s="3"/>
      <c r="D122" s="4" t="str">
        <f>_xlfn.XLOOKUP(D117,B:B,A:A)</f>
        <v>3PCS Single Head Knitting Crochet Sweater Needle Set</v>
      </c>
    </row>
  </sheetData>
  <autoFilter ref="A1:A109" xr:uid="{684A667B-D209-4787-B768-D4E79AD09EB4}"/>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CEA8E-60DC-4565-AFE8-98FC072BF5B2}">
  <dimension ref="B2:D22"/>
  <sheetViews>
    <sheetView zoomScaleNormal="100" workbookViewId="0">
      <selection activeCell="C12" sqref="C12"/>
    </sheetView>
  </sheetViews>
  <sheetFormatPr defaultRowHeight="15" x14ac:dyDescent="0.25"/>
  <cols>
    <col min="2" max="2" width="13.140625" bestFit="1" customWidth="1"/>
    <col min="3" max="3" width="16" bestFit="1" customWidth="1"/>
    <col min="4" max="4" width="19" bestFit="1" customWidth="1"/>
    <col min="5" max="5" width="19.28515625" bestFit="1" customWidth="1"/>
    <col min="6" max="6" width="17.7109375" bestFit="1" customWidth="1"/>
  </cols>
  <sheetData>
    <row r="2" spans="2:4" x14ac:dyDescent="0.25">
      <c r="B2" s="9" t="s">
        <v>125</v>
      </c>
    </row>
    <row r="3" spans="2:4" x14ac:dyDescent="0.25">
      <c r="B3" s="10" t="s">
        <v>124</v>
      </c>
      <c r="C3" s="1">
        <v>0.36370370370370358</v>
      </c>
    </row>
    <row r="4" spans="2:4" x14ac:dyDescent="0.25">
      <c r="B4" s="10" t="s">
        <v>119</v>
      </c>
      <c r="C4" s="4">
        <v>1202.7777777777778</v>
      </c>
    </row>
    <row r="5" spans="2:4" x14ac:dyDescent="0.25">
      <c r="B5" s="10" t="s">
        <v>120</v>
      </c>
      <c r="C5" s="4">
        <v>1829.7685185185185</v>
      </c>
    </row>
    <row r="6" spans="2:4" x14ac:dyDescent="0.25">
      <c r="B6" s="10" t="s">
        <v>121</v>
      </c>
      <c r="C6" s="13">
        <v>3.8785714285714277</v>
      </c>
    </row>
    <row r="10" spans="2:4" x14ac:dyDescent="0.25">
      <c r="B10" s="9" t="s">
        <v>117</v>
      </c>
      <c r="C10" t="s">
        <v>121</v>
      </c>
      <c r="D10" t="s">
        <v>124</v>
      </c>
    </row>
    <row r="11" spans="2:4" x14ac:dyDescent="0.25">
      <c r="B11" s="10" t="s">
        <v>141</v>
      </c>
      <c r="C11" s="11">
        <v>3.6133333333333324</v>
      </c>
      <c r="D11" s="1">
        <v>0.48203389830508458</v>
      </c>
    </row>
    <row r="12" spans="2:4" x14ac:dyDescent="0.25">
      <c r="B12" s="10" t="s">
        <v>122</v>
      </c>
      <c r="C12" s="11">
        <v>3.8</v>
      </c>
      <c r="D12" s="1">
        <v>7.8947368421052641E-2</v>
      </c>
    </row>
    <row r="13" spans="2:4" x14ac:dyDescent="0.25">
      <c r="B13" s="10" t="s">
        <v>123</v>
      </c>
      <c r="C13" s="11">
        <v>4.276190476190477</v>
      </c>
      <c r="D13" s="1">
        <v>0.31133333333333335</v>
      </c>
    </row>
    <row r="14" spans="2:4" x14ac:dyDescent="0.25">
      <c r="B14" s="10" t="s">
        <v>118</v>
      </c>
      <c r="C14" s="11">
        <v>3.8785714285714272</v>
      </c>
      <c r="D14" s="1">
        <v>0.36370370370370381</v>
      </c>
    </row>
    <row r="18" spans="2:3" x14ac:dyDescent="0.25">
      <c r="B18" s="9" t="s">
        <v>117</v>
      </c>
      <c r="C18" t="s">
        <v>131</v>
      </c>
    </row>
    <row r="19" spans="2:3" x14ac:dyDescent="0.25">
      <c r="B19" s="10" t="s">
        <v>140</v>
      </c>
      <c r="C19" s="13">
        <v>22</v>
      </c>
    </row>
    <row r="20" spans="2:3" x14ac:dyDescent="0.25">
      <c r="B20" s="10" t="s">
        <v>129</v>
      </c>
      <c r="C20" s="13">
        <v>22</v>
      </c>
    </row>
    <row r="21" spans="2:3" x14ac:dyDescent="0.25">
      <c r="B21" s="10" t="s">
        <v>130</v>
      </c>
      <c r="C21" s="13">
        <v>64</v>
      </c>
    </row>
    <row r="22" spans="2:3" x14ac:dyDescent="0.25">
      <c r="B22" s="10" t="s">
        <v>118</v>
      </c>
      <c r="C22" s="13">
        <v>108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84D5D-4F3A-4C60-9C11-547728ADAF44}">
  <dimension ref="A1"/>
  <sheetViews>
    <sheetView workbookViewId="0">
      <selection activeCell="R11" sqref="R11"/>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95247-1266-4664-A292-FDEFE67794D3}">
  <dimension ref="C3:E112"/>
  <sheetViews>
    <sheetView topLeftCell="K1" workbookViewId="0">
      <selection activeCell="G5" sqref="G5"/>
    </sheetView>
  </sheetViews>
  <sheetFormatPr defaultRowHeight="15" x14ac:dyDescent="0.25"/>
  <cols>
    <col min="3" max="3" width="95.7109375" bestFit="1" customWidth="1"/>
    <col min="4" max="4" width="15.42578125" bestFit="1" customWidth="1"/>
    <col min="5" max="5" width="14.28515625" bestFit="1" customWidth="1"/>
  </cols>
  <sheetData>
    <row r="3" spans="3:5" x14ac:dyDescent="0.25">
      <c r="C3" s="9" t="s">
        <v>0</v>
      </c>
      <c r="D3" t="s">
        <v>133</v>
      </c>
      <c r="E3" t="s">
        <v>134</v>
      </c>
    </row>
    <row r="4" spans="3:5" x14ac:dyDescent="0.25">
      <c r="C4" t="s">
        <v>15</v>
      </c>
      <c r="D4" s="1">
        <v>0.34</v>
      </c>
      <c r="E4" s="13">
        <v>39</v>
      </c>
    </row>
    <row r="5" spans="3:5" x14ac:dyDescent="0.25">
      <c r="C5" t="s">
        <v>4</v>
      </c>
      <c r="D5" s="1">
        <v>0.38</v>
      </c>
      <c r="E5" s="13">
        <v>2</v>
      </c>
    </row>
    <row r="6" spans="3:5" x14ac:dyDescent="0.25">
      <c r="C6" t="s">
        <v>31</v>
      </c>
      <c r="D6" s="1">
        <v>0.32</v>
      </c>
      <c r="E6" s="13">
        <v>13</v>
      </c>
    </row>
    <row r="7" spans="3:5" x14ac:dyDescent="0.25">
      <c r="C7" t="s">
        <v>35</v>
      </c>
      <c r="D7" s="1">
        <v>0.34</v>
      </c>
      <c r="E7" s="13">
        <v>12</v>
      </c>
    </row>
    <row r="8" spans="3:5" x14ac:dyDescent="0.25">
      <c r="C8" t="s">
        <v>64</v>
      </c>
      <c r="D8" s="1">
        <v>0.49</v>
      </c>
      <c r="E8" s="13">
        <v>69</v>
      </c>
    </row>
    <row r="9" spans="3:5" x14ac:dyDescent="0.25">
      <c r="C9" t="s">
        <v>60</v>
      </c>
      <c r="D9" s="1">
        <v>0.27</v>
      </c>
      <c r="E9" s="13"/>
    </row>
    <row r="10" spans="3:5" x14ac:dyDescent="0.25">
      <c r="C10" t="s">
        <v>13</v>
      </c>
      <c r="D10" s="1">
        <v>0.45</v>
      </c>
      <c r="E10" s="13">
        <v>5</v>
      </c>
    </row>
    <row r="11" spans="3:5" x14ac:dyDescent="0.25">
      <c r="C11" t="s">
        <v>10</v>
      </c>
      <c r="D11" s="1">
        <v>0.24</v>
      </c>
      <c r="E11" s="13">
        <v>55</v>
      </c>
    </row>
    <row r="12" spans="3:5" x14ac:dyDescent="0.25">
      <c r="C12" t="s">
        <v>104</v>
      </c>
      <c r="D12" s="1">
        <v>0.24</v>
      </c>
      <c r="E12" s="13"/>
    </row>
    <row r="13" spans="3:5" x14ac:dyDescent="0.25">
      <c r="C13" t="s">
        <v>83</v>
      </c>
      <c r="D13" s="1">
        <v>0.02</v>
      </c>
      <c r="E13" s="13"/>
    </row>
    <row r="14" spans="3:5" x14ac:dyDescent="0.25">
      <c r="C14" t="s">
        <v>9</v>
      </c>
      <c r="D14" s="1">
        <v>0.09</v>
      </c>
      <c r="E14" s="13">
        <v>15</v>
      </c>
    </row>
    <row r="15" spans="3:5" x14ac:dyDescent="0.25">
      <c r="C15" t="s">
        <v>103</v>
      </c>
      <c r="D15" s="1">
        <v>0.01</v>
      </c>
      <c r="E15" s="13"/>
    </row>
    <row r="16" spans="3:5" x14ac:dyDescent="0.25">
      <c r="C16" t="s">
        <v>94</v>
      </c>
      <c r="D16" s="1">
        <v>0.5</v>
      </c>
      <c r="E16" s="13"/>
    </row>
    <row r="17" spans="3:5" x14ac:dyDescent="0.25">
      <c r="C17" t="s">
        <v>50</v>
      </c>
      <c r="D17" s="1">
        <v>0.38</v>
      </c>
      <c r="E17" s="13"/>
    </row>
    <row r="18" spans="3:5" x14ac:dyDescent="0.25">
      <c r="C18" t="s">
        <v>76</v>
      </c>
      <c r="D18" s="1">
        <v>0.47</v>
      </c>
      <c r="E18" s="13"/>
    </row>
    <row r="19" spans="3:5" x14ac:dyDescent="0.25">
      <c r="C19" t="s">
        <v>69</v>
      </c>
      <c r="D19" s="1">
        <v>0.39</v>
      </c>
      <c r="E19" s="13">
        <v>5</v>
      </c>
    </row>
    <row r="20" spans="3:5" x14ac:dyDescent="0.25">
      <c r="C20" t="s">
        <v>68</v>
      </c>
      <c r="D20" s="1">
        <v>0.5</v>
      </c>
      <c r="E20" s="13">
        <v>7</v>
      </c>
    </row>
    <row r="21" spans="3:5" x14ac:dyDescent="0.25">
      <c r="C21" t="s">
        <v>23</v>
      </c>
      <c r="D21" s="1">
        <v>0.49</v>
      </c>
      <c r="E21" s="13">
        <v>44</v>
      </c>
    </row>
    <row r="22" spans="3:5" x14ac:dyDescent="0.25">
      <c r="C22" t="s">
        <v>77</v>
      </c>
      <c r="D22" s="1">
        <v>0.43</v>
      </c>
      <c r="E22" s="13"/>
    </row>
    <row r="23" spans="3:5" x14ac:dyDescent="0.25">
      <c r="C23" t="s">
        <v>24</v>
      </c>
      <c r="D23" s="1">
        <v>0.53</v>
      </c>
      <c r="E23" s="13">
        <v>13</v>
      </c>
    </row>
    <row r="24" spans="3:5" x14ac:dyDescent="0.25">
      <c r="C24" t="s">
        <v>97</v>
      </c>
      <c r="D24" s="1">
        <v>0.49</v>
      </c>
      <c r="E24" s="13"/>
    </row>
    <row r="25" spans="3:5" x14ac:dyDescent="0.25">
      <c r="C25" t="s">
        <v>16</v>
      </c>
      <c r="D25" s="1">
        <v>0.47</v>
      </c>
      <c r="E25" s="13">
        <v>12</v>
      </c>
    </row>
    <row r="26" spans="3:5" x14ac:dyDescent="0.25">
      <c r="C26" t="s">
        <v>43</v>
      </c>
      <c r="D26" s="1">
        <v>0.49</v>
      </c>
      <c r="E26" s="13"/>
    </row>
    <row r="27" spans="3:5" x14ac:dyDescent="0.25">
      <c r="C27" t="s">
        <v>25</v>
      </c>
      <c r="D27" s="1">
        <v>0.42</v>
      </c>
      <c r="E27" s="13"/>
    </row>
    <row r="28" spans="3:5" x14ac:dyDescent="0.25">
      <c r="C28" t="s">
        <v>61</v>
      </c>
      <c r="D28" s="1">
        <v>0.13</v>
      </c>
      <c r="E28" s="13">
        <v>6</v>
      </c>
    </row>
    <row r="29" spans="3:5" x14ac:dyDescent="0.25">
      <c r="C29" t="s">
        <v>32</v>
      </c>
      <c r="D29" s="1">
        <v>0.3</v>
      </c>
      <c r="E29" s="13">
        <v>20</v>
      </c>
    </row>
    <row r="30" spans="3:5" x14ac:dyDescent="0.25">
      <c r="C30" t="s">
        <v>38</v>
      </c>
      <c r="D30" s="1">
        <v>0.27</v>
      </c>
      <c r="E30" s="13">
        <v>32</v>
      </c>
    </row>
    <row r="31" spans="3:5" x14ac:dyDescent="0.25">
      <c r="C31" t="s">
        <v>37</v>
      </c>
      <c r="D31" s="1">
        <v>0.27</v>
      </c>
      <c r="E31" s="13">
        <v>20</v>
      </c>
    </row>
    <row r="32" spans="3:5" x14ac:dyDescent="0.25">
      <c r="C32" t="s">
        <v>82</v>
      </c>
      <c r="D32" s="1">
        <v>0.36</v>
      </c>
      <c r="E32" s="13"/>
    </row>
    <row r="33" spans="3:5" x14ac:dyDescent="0.25">
      <c r="C33" t="s">
        <v>63</v>
      </c>
      <c r="D33" s="1">
        <v>0.55000000000000004</v>
      </c>
      <c r="E33" s="13">
        <v>13</v>
      </c>
    </row>
    <row r="34" spans="3:5" x14ac:dyDescent="0.25">
      <c r="C34" t="s">
        <v>109</v>
      </c>
      <c r="D34" s="1">
        <v>0.64</v>
      </c>
      <c r="E34" s="13"/>
    </row>
    <row r="35" spans="3:5" x14ac:dyDescent="0.25">
      <c r="C35" t="s">
        <v>93</v>
      </c>
      <c r="D35" s="1">
        <v>0.47</v>
      </c>
      <c r="E35" s="13"/>
    </row>
    <row r="36" spans="3:5" x14ac:dyDescent="0.25">
      <c r="C36" t="s">
        <v>48</v>
      </c>
      <c r="D36" s="1">
        <v>0.33</v>
      </c>
      <c r="E36" s="13"/>
    </row>
    <row r="37" spans="3:5" x14ac:dyDescent="0.25">
      <c r="C37" t="s">
        <v>79</v>
      </c>
      <c r="D37" s="1">
        <v>0.49</v>
      </c>
      <c r="E37" s="13"/>
    </row>
    <row r="38" spans="3:5" x14ac:dyDescent="0.25">
      <c r="C38" t="s">
        <v>74</v>
      </c>
      <c r="D38" s="1">
        <v>0.47</v>
      </c>
      <c r="E38" s="13">
        <v>6</v>
      </c>
    </row>
    <row r="39" spans="3:5" x14ac:dyDescent="0.25">
      <c r="C39" t="s">
        <v>100</v>
      </c>
      <c r="D39" s="1">
        <v>0.42</v>
      </c>
      <c r="E39" s="13"/>
    </row>
    <row r="40" spans="3:5" x14ac:dyDescent="0.25">
      <c r="C40" t="s">
        <v>102</v>
      </c>
      <c r="D40" s="1">
        <v>0.41</v>
      </c>
      <c r="E40" s="13"/>
    </row>
    <row r="41" spans="3:5" x14ac:dyDescent="0.25">
      <c r="C41" t="s">
        <v>70</v>
      </c>
      <c r="D41" s="1">
        <v>0.45</v>
      </c>
      <c r="E41" s="13">
        <v>17</v>
      </c>
    </row>
    <row r="42" spans="3:5" x14ac:dyDescent="0.25">
      <c r="C42" t="s">
        <v>59</v>
      </c>
      <c r="D42" s="1">
        <v>0.49</v>
      </c>
      <c r="E42" s="13"/>
    </row>
    <row r="43" spans="3:5" x14ac:dyDescent="0.25">
      <c r="C43" t="s">
        <v>19</v>
      </c>
      <c r="D43" s="1">
        <v>0.51</v>
      </c>
      <c r="E43" s="13">
        <v>2</v>
      </c>
    </row>
    <row r="44" spans="3:5" x14ac:dyDescent="0.25">
      <c r="C44" t="s">
        <v>67</v>
      </c>
      <c r="D44" s="1">
        <v>0.45</v>
      </c>
      <c r="E44" s="13">
        <v>6</v>
      </c>
    </row>
    <row r="45" spans="3:5" x14ac:dyDescent="0.25">
      <c r="C45" t="s">
        <v>99</v>
      </c>
      <c r="D45" s="1">
        <v>0.49</v>
      </c>
      <c r="E45" s="13"/>
    </row>
    <row r="46" spans="3:5" x14ac:dyDescent="0.25">
      <c r="C46" t="s">
        <v>45</v>
      </c>
      <c r="D46" s="1">
        <v>0.42</v>
      </c>
      <c r="E46" s="13"/>
    </row>
    <row r="47" spans="3:5" x14ac:dyDescent="0.25">
      <c r="C47" t="s">
        <v>81</v>
      </c>
      <c r="D47" s="1">
        <v>0.49</v>
      </c>
      <c r="E47" s="13">
        <v>1</v>
      </c>
    </row>
    <row r="48" spans="3:5" x14ac:dyDescent="0.25">
      <c r="C48" t="s">
        <v>111</v>
      </c>
      <c r="D48" s="1">
        <v>0.47</v>
      </c>
      <c r="E48" s="13"/>
    </row>
    <row r="49" spans="3:5" x14ac:dyDescent="0.25">
      <c r="C49" t="s">
        <v>52</v>
      </c>
      <c r="D49" s="1">
        <v>0.5</v>
      </c>
      <c r="E49" s="13"/>
    </row>
    <row r="50" spans="3:5" x14ac:dyDescent="0.25">
      <c r="C50" t="s">
        <v>49</v>
      </c>
      <c r="D50" s="1">
        <v>0.49</v>
      </c>
      <c r="E50" s="13"/>
    </row>
    <row r="51" spans="3:5" x14ac:dyDescent="0.25">
      <c r="C51" t="s">
        <v>86</v>
      </c>
      <c r="D51" s="1">
        <v>0.49</v>
      </c>
      <c r="E51" s="13"/>
    </row>
    <row r="52" spans="3:5" x14ac:dyDescent="0.25">
      <c r="C52" t="s">
        <v>106</v>
      </c>
      <c r="D52" s="1">
        <v>0.34</v>
      </c>
      <c r="E52" s="13"/>
    </row>
    <row r="53" spans="3:5" x14ac:dyDescent="0.25">
      <c r="C53" t="s">
        <v>47</v>
      </c>
      <c r="D53" s="1">
        <v>0.5</v>
      </c>
      <c r="E53" s="13"/>
    </row>
    <row r="54" spans="3:5" x14ac:dyDescent="0.25">
      <c r="C54" t="s">
        <v>58</v>
      </c>
      <c r="D54" s="1">
        <v>0.48</v>
      </c>
      <c r="E54" s="13"/>
    </row>
    <row r="55" spans="3:5" x14ac:dyDescent="0.25">
      <c r="C55" t="s">
        <v>40</v>
      </c>
      <c r="D55" s="1">
        <v>0.53</v>
      </c>
      <c r="E55" s="13">
        <v>2</v>
      </c>
    </row>
    <row r="56" spans="3:5" x14ac:dyDescent="0.25">
      <c r="C56" t="s">
        <v>51</v>
      </c>
      <c r="D56" s="1">
        <v>0.61</v>
      </c>
      <c r="E56" s="13"/>
    </row>
    <row r="57" spans="3:5" x14ac:dyDescent="0.25">
      <c r="C57" t="s">
        <v>78</v>
      </c>
      <c r="D57" s="1">
        <v>0.04</v>
      </c>
      <c r="E57" s="13"/>
    </row>
    <row r="58" spans="3:5" x14ac:dyDescent="0.25">
      <c r="C58" t="s">
        <v>56</v>
      </c>
      <c r="D58" s="1">
        <v>0.41</v>
      </c>
      <c r="E58" s="13"/>
    </row>
    <row r="59" spans="3:5" x14ac:dyDescent="0.25">
      <c r="C59" t="s">
        <v>11</v>
      </c>
      <c r="D59" s="1">
        <v>0.37</v>
      </c>
      <c r="E59" s="13">
        <v>2</v>
      </c>
    </row>
    <row r="60" spans="3:5" x14ac:dyDescent="0.25">
      <c r="C60" t="s">
        <v>39</v>
      </c>
      <c r="D60" s="1">
        <v>0.4</v>
      </c>
      <c r="E60" s="13">
        <v>1</v>
      </c>
    </row>
    <row r="61" spans="3:5" x14ac:dyDescent="0.25">
      <c r="C61" t="s">
        <v>75</v>
      </c>
      <c r="D61" s="1">
        <v>0.47</v>
      </c>
      <c r="E61" s="13">
        <v>7</v>
      </c>
    </row>
    <row r="62" spans="3:5" x14ac:dyDescent="0.25">
      <c r="C62" t="s">
        <v>29</v>
      </c>
      <c r="D62" s="1">
        <v>0.35</v>
      </c>
      <c r="E62" s="13">
        <v>49</v>
      </c>
    </row>
    <row r="63" spans="3:5" x14ac:dyDescent="0.25">
      <c r="C63" t="s">
        <v>34</v>
      </c>
      <c r="D63" s="1">
        <v>0.52</v>
      </c>
      <c r="E63" s="13">
        <v>9</v>
      </c>
    </row>
    <row r="64" spans="3:5" x14ac:dyDescent="0.25">
      <c r="C64" t="s">
        <v>27</v>
      </c>
      <c r="D64" s="1">
        <v>0.23</v>
      </c>
      <c r="E64" s="13">
        <v>14</v>
      </c>
    </row>
    <row r="65" spans="3:5" x14ac:dyDescent="0.25">
      <c r="C65" t="s">
        <v>14</v>
      </c>
      <c r="D65" s="1">
        <v>0.2</v>
      </c>
      <c r="E65" s="13">
        <v>12</v>
      </c>
    </row>
    <row r="66" spans="3:5" x14ac:dyDescent="0.25">
      <c r="C66" t="s">
        <v>84</v>
      </c>
      <c r="D66" s="1">
        <v>0.49</v>
      </c>
      <c r="E66" s="13">
        <v>1</v>
      </c>
    </row>
    <row r="67" spans="3:5" x14ac:dyDescent="0.25">
      <c r="C67" t="s">
        <v>65</v>
      </c>
      <c r="D67" s="1">
        <v>0.52</v>
      </c>
      <c r="E67" s="13">
        <v>15</v>
      </c>
    </row>
    <row r="68" spans="3:5" x14ac:dyDescent="0.25">
      <c r="C68" t="s">
        <v>101</v>
      </c>
      <c r="D68" s="1">
        <v>0.21</v>
      </c>
      <c r="E68" s="13">
        <v>1</v>
      </c>
    </row>
    <row r="69" spans="3:5" x14ac:dyDescent="0.25">
      <c r="C69" t="s">
        <v>71</v>
      </c>
      <c r="D69" s="1">
        <v>0.28999999999999998</v>
      </c>
      <c r="E69" s="13">
        <v>5</v>
      </c>
    </row>
    <row r="70" spans="3:5" x14ac:dyDescent="0.25">
      <c r="C70" t="s">
        <v>28</v>
      </c>
      <c r="D70" s="1">
        <v>0.54</v>
      </c>
      <c r="E70" s="13">
        <v>7</v>
      </c>
    </row>
    <row r="71" spans="3:5" x14ac:dyDescent="0.25">
      <c r="C71" t="s">
        <v>21</v>
      </c>
      <c r="D71" s="1">
        <v>0.49</v>
      </c>
      <c r="E71" s="13">
        <v>3</v>
      </c>
    </row>
    <row r="72" spans="3:5" x14ac:dyDescent="0.25">
      <c r="C72" t="s">
        <v>17</v>
      </c>
      <c r="D72" s="1">
        <v>0.42</v>
      </c>
      <c r="E72" s="13">
        <v>6</v>
      </c>
    </row>
    <row r="73" spans="3:5" x14ac:dyDescent="0.25">
      <c r="C73" t="s">
        <v>12</v>
      </c>
      <c r="D73" s="1">
        <v>0.55000000000000004</v>
      </c>
      <c r="E73" s="13">
        <v>5</v>
      </c>
    </row>
    <row r="74" spans="3:5" x14ac:dyDescent="0.25">
      <c r="C74" t="s">
        <v>42</v>
      </c>
      <c r="D74" s="1">
        <v>0.38</v>
      </c>
      <c r="E74" s="13"/>
    </row>
    <row r="75" spans="3:5" x14ac:dyDescent="0.25">
      <c r="C75" t="s">
        <v>36</v>
      </c>
      <c r="D75" s="1">
        <v>0.48</v>
      </c>
      <c r="E75" s="13">
        <v>9</v>
      </c>
    </row>
    <row r="76" spans="3:5" x14ac:dyDescent="0.25">
      <c r="C76" t="s">
        <v>26</v>
      </c>
      <c r="D76" s="1">
        <v>0.35</v>
      </c>
      <c r="E76" s="13">
        <v>6</v>
      </c>
    </row>
    <row r="77" spans="3:5" x14ac:dyDescent="0.25">
      <c r="C77" t="s">
        <v>105</v>
      </c>
      <c r="D77" s="1">
        <v>0.34</v>
      </c>
      <c r="E77" s="13"/>
    </row>
    <row r="78" spans="3:5" x14ac:dyDescent="0.25">
      <c r="C78" t="s">
        <v>22</v>
      </c>
      <c r="D78" s="1">
        <v>0.19</v>
      </c>
      <c r="E78" s="13">
        <v>5</v>
      </c>
    </row>
    <row r="79" spans="3:5" x14ac:dyDescent="0.25">
      <c r="C79" t="s">
        <v>80</v>
      </c>
      <c r="D79" s="1">
        <v>0.46</v>
      </c>
      <c r="E79" s="13">
        <v>1</v>
      </c>
    </row>
    <row r="80" spans="3:5" x14ac:dyDescent="0.25">
      <c r="C80" t="s">
        <v>5</v>
      </c>
      <c r="D80" s="1">
        <v>0.47</v>
      </c>
      <c r="E80" s="13">
        <v>14</v>
      </c>
    </row>
    <row r="81" spans="3:5" x14ac:dyDescent="0.25">
      <c r="C81" t="s">
        <v>98</v>
      </c>
      <c r="D81" s="1">
        <v>0.04</v>
      </c>
      <c r="E81" s="13"/>
    </row>
    <row r="82" spans="3:5" x14ac:dyDescent="0.25">
      <c r="C82" t="s">
        <v>44</v>
      </c>
      <c r="D82" s="1">
        <v>0.5</v>
      </c>
      <c r="E82" s="13"/>
    </row>
    <row r="83" spans="3:5" x14ac:dyDescent="0.25">
      <c r="C83" t="s">
        <v>18</v>
      </c>
      <c r="D83" s="1">
        <v>0.33</v>
      </c>
      <c r="E83" s="13">
        <v>9</v>
      </c>
    </row>
    <row r="84" spans="3:5" x14ac:dyDescent="0.25">
      <c r="C84" t="s">
        <v>89</v>
      </c>
      <c r="D84" s="1">
        <v>0.43</v>
      </c>
      <c r="E84" s="13"/>
    </row>
    <row r="85" spans="3:5" x14ac:dyDescent="0.25">
      <c r="C85" t="s">
        <v>33</v>
      </c>
      <c r="D85" s="1">
        <v>0.46</v>
      </c>
      <c r="E85" s="13"/>
    </row>
    <row r="86" spans="3:5" x14ac:dyDescent="0.25">
      <c r="C86" t="s">
        <v>55</v>
      </c>
      <c r="D86" s="1">
        <v>0.03</v>
      </c>
      <c r="E86" s="13"/>
    </row>
    <row r="87" spans="3:5" x14ac:dyDescent="0.25">
      <c r="C87" t="s">
        <v>62</v>
      </c>
      <c r="D87" s="1">
        <v>0.54</v>
      </c>
      <c r="E87" s="13">
        <v>10</v>
      </c>
    </row>
    <row r="88" spans="3:5" x14ac:dyDescent="0.25">
      <c r="C88" t="s">
        <v>85</v>
      </c>
      <c r="D88" s="1">
        <v>0.14000000000000001</v>
      </c>
      <c r="E88" s="13"/>
    </row>
    <row r="89" spans="3:5" x14ac:dyDescent="0.25">
      <c r="C89" t="s">
        <v>87</v>
      </c>
      <c r="D89" s="1">
        <v>0.11</v>
      </c>
      <c r="E89" s="13"/>
    </row>
    <row r="90" spans="3:5" x14ac:dyDescent="0.25">
      <c r="C90" t="s">
        <v>20</v>
      </c>
      <c r="D90" s="1">
        <v>0.46</v>
      </c>
      <c r="E90" s="13">
        <v>2</v>
      </c>
    </row>
    <row r="91" spans="3:5" x14ac:dyDescent="0.25">
      <c r="C91" t="s">
        <v>53</v>
      </c>
      <c r="D91" s="1">
        <v>0.02</v>
      </c>
      <c r="E91" s="13"/>
    </row>
    <row r="92" spans="3:5" x14ac:dyDescent="0.25">
      <c r="C92" t="s">
        <v>54</v>
      </c>
      <c r="D92" s="1">
        <v>0.22</v>
      </c>
      <c r="E92" s="13"/>
    </row>
    <row r="93" spans="3:5" x14ac:dyDescent="0.25">
      <c r="C93" t="s">
        <v>8</v>
      </c>
      <c r="D93" s="1">
        <v>0.26</v>
      </c>
      <c r="E93" s="13">
        <v>5</v>
      </c>
    </row>
    <row r="94" spans="3:5" x14ac:dyDescent="0.25">
      <c r="C94" t="s">
        <v>6</v>
      </c>
      <c r="D94" s="1">
        <v>0.25</v>
      </c>
      <c r="E94" s="13">
        <v>24</v>
      </c>
    </row>
    <row r="95" spans="3:5" x14ac:dyDescent="0.25">
      <c r="C95" t="s">
        <v>96</v>
      </c>
      <c r="D95" s="1">
        <v>0.02</v>
      </c>
      <c r="E95" s="13"/>
    </row>
    <row r="96" spans="3:5" x14ac:dyDescent="0.25">
      <c r="C96" t="s">
        <v>30</v>
      </c>
      <c r="D96" s="1">
        <v>0.18</v>
      </c>
      <c r="E96" s="13">
        <v>12</v>
      </c>
    </row>
    <row r="97" spans="3:5" x14ac:dyDescent="0.25">
      <c r="C97" t="s">
        <v>91</v>
      </c>
      <c r="D97" s="1">
        <v>0.48</v>
      </c>
      <c r="E97" s="13"/>
    </row>
    <row r="98" spans="3:5" x14ac:dyDescent="0.25">
      <c r="C98" t="s">
        <v>41</v>
      </c>
      <c r="D98" s="1">
        <v>0.41</v>
      </c>
      <c r="E98" s="13">
        <v>36</v>
      </c>
    </row>
    <row r="99" spans="3:5" x14ac:dyDescent="0.25">
      <c r="C99" t="s">
        <v>92</v>
      </c>
      <c r="D99" s="1">
        <v>0.48</v>
      </c>
      <c r="E99" s="13"/>
    </row>
    <row r="100" spans="3:5" x14ac:dyDescent="0.25">
      <c r="C100" t="s">
        <v>46</v>
      </c>
      <c r="D100" s="1">
        <v>0.02</v>
      </c>
      <c r="E100" s="13"/>
    </row>
    <row r="101" spans="3:5" x14ac:dyDescent="0.25">
      <c r="C101" t="s">
        <v>107</v>
      </c>
      <c r="D101" s="1">
        <v>0.02</v>
      </c>
      <c r="E101" s="13"/>
    </row>
    <row r="102" spans="3:5" x14ac:dyDescent="0.25">
      <c r="C102" t="s">
        <v>57</v>
      </c>
      <c r="D102" s="1">
        <v>0.45</v>
      </c>
      <c r="E102" s="13"/>
    </row>
    <row r="103" spans="3:5" x14ac:dyDescent="0.25">
      <c r="C103" t="s">
        <v>108</v>
      </c>
      <c r="D103" s="1">
        <v>0.02</v>
      </c>
      <c r="E103" s="13"/>
    </row>
    <row r="104" spans="3:5" x14ac:dyDescent="0.25">
      <c r="C104" t="s">
        <v>66</v>
      </c>
      <c r="D104" s="1">
        <v>0.22</v>
      </c>
      <c r="E104" s="13">
        <v>16</v>
      </c>
    </row>
    <row r="105" spans="3:5" x14ac:dyDescent="0.25">
      <c r="C105" t="s">
        <v>90</v>
      </c>
      <c r="D105" s="1">
        <v>0.5</v>
      </c>
      <c r="E105" s="13"/>
    </row>
    <row r="106" spans="3:5" x14ac:dyDescent="0.25">
      <c r="C106" t="s">
        <v>95</v>
      </c>
      <c r="D106" s="1">
        <v>0.08</v>
      </c>
      <c r="E106" s="13"/>
    </row>
    <row r="107" spans="3:5" x14ac:dyDescent="0.25">
      <c r="C107" t="s">
        <v>110</v>
      </c>
      <c r="D107" s="1">
        <v>0.5</v>
      </c>
      <c r="E107" s="13">
        <v>1</v>
      </c>
    </row>
    <row r="108" spans="3:5" x14ac:dyDescent="0.25">
      <c r="C108" t="s">
        <v>88</v>
      </c>
      <c r="D108" s="1">
        <v>0.14000000000000001</v>
      </c>
      <c r="E108" s="13"/>
    </row>
    <row r="109" spans="3:5" x14ac:dyDescent="0.25">
      <c r="C109" t="s">
        <v>72</v>
      </c>
      <c r="D109" s="1">
        <v>0.43</v>
      </c>
      <c r="E109" s="13">
        <v>6</v>
      </c>
    </row>
    <row r="110" spans="3:5" x14ac:dyDescent="0.25">
      <c r="C110" t="s">
        <v>7</v>
      </c>
      <c r="D110" s="1">
        <v>0.37</v>
      </c>
      <c r="E110" s="13">
        <v>7</v>
      </c>
    </row>
    <row r="111" spans="3:5" x14ac:dyDescent="0.25">
      <c r="C111" t="s">
        <v>73</v>
      </c>
      <c r="D111" s="1">
        <v>0.43</v>
      </c>
      <c r="E111" s="13">
        <v>5</v>
      </c>
    </row>
    <row r="112" spans="3:5" x14ac:dyDescent="0.25">
      <c r="C112" t="s">
        <v>118</v>
      </c>
      <c r="D112" s="1">
        <v>0.64</v>
      </c>
      <c r="E112" s="13">
        <v>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A1AD-0069-4D46-ADE0-4D79960B90F1}">
  <dimension ref="D4:F113"/>
  <sheetViews>
    <sheetView workbookViewId="0">
      <selection activeCell="F4" sqref="F4"/>
    </sheetView>
  </sheetViews>
  <sheetFormatPr defaultRowHeight="15" x14ac:dyDescent="0.25"/>
  <cols>
    <col min="4" max="4" width="95.7109375" bestFit="1" customWidth="1"/>
    <col min="5" max="5" width="14.140625" bestFit="1" customWidth="1"/>
    <col min="6" max="6" width="14.28515625" bestFit="1" customWidth="1"/>
  </cols>
  <sheetData>
    <row r="4" spans="4:6" x14ac:dyDescent="0.25">
      <c r="D4" s="9" t="s">
        <v>0</v>
      </c>
      <c r="E4" t="s">
        <v>135</v>
      </c>
      <c r="F4" t="s">
        <v>134</v>
      </c>
    </row>
    <row r="5" spans="4:6" x14ac:dyDescent="0.25">
      <c r="D5" t="s">
        <v>15</v>
      </c>
      <c r="E5" s="13">
        <v>4.7</v>
      </c>
      <c r="F5" s="13">
        <v>39</v>
      </c>
    </row>
    <row r="6" spans="4:6" x14ac:dyDescent="0.25">
      <c r="D6" t="s">
        <v>4</v>
      </c>
      <c r="E6" s="13">
        <v>4.5</v>
      </c>
      <c r="F6" s="13">
        <v>2</v>
      </c>
    </row>
    <row r="7" spans="4:6" x14ac:dyDescent="0.25">
      <c r="D7" t="s">
        <v>31</v>
      </c>
      <c r="E7" s="13">
        <v>3.8</v>
      </c>
      <c r="F7" s="13">
        <v>13</v>
      </c>
    </row>
    <row r="8" spans="4:6" x14ac:dyDescent="0.25">
      <c r="D8" t="s">
        <v>35</v>
      </c>
      <c r="E8" s="13">
        <v>4.7</v>
      </c>
      <c r="F8" s="13">
        <v>12</v>
      </c>
    </row>
    <row r="9" spans="4:6" x14ac:dyDescent="0.25">
      <c r="D9" t="s">
        <v>64</v>
      </c>
      <c r="E9" s="13">
        <v>2.8</v>
      </c>
      <c r="F9" s="13">
        <v>69</v>
      </c>
    </row>
    <row r="10" spans="4:6" x14ac:dyDescent="0.25">
      <c r="D10" t="s">
        <v>60</v>
      </c>
      <c r="E10" s="13"/>
      <c r="F10" s="13"/>
    </row>
    <row r="11" spans="4:6" x14ac:dyDescent="0.25">
      <c r="D11" t="s">
        <v>13</v>
      </c>
      <c r="E11" s="13">
        <v>3.8</v>
      </c>
      <c r="F11" s="13">
        <v>5</v>
      </c>
    </row>
    <row r="12" spans="4:6" x14ac:dyDescent="0.25">
      <c r="D12" t="s">
        <v>10</v>
      </c>
      <c r="E12" s="13">
        <v>4.5999999999999996</v>
      </c>
      <c r="F12" s="13">
        <v>55</v>
      </c>
    </row>
    <row r="13" spans="4:6" x14ac:dyDescent="0.25">
      <c r="D13" t="s">
        <v>104</v>
      </c>
      <c r="E13" s="13"/>
      <c r="F13" s="13"/>
    </row>
    <row r="14" spans="4:6" x14ac:dyDescent="0.25">
      <c r="D14" t="s">
        <v>83</v>
      </c>
      <c r="E14" s="13"/>
      <c r="F14" s="13"/>
    </row>
    <row r="15" spans="4:6" x14ac:dyDescent="0.25">
      <c r="D15" t="s">
        <v>9</v>
      </c>
      <c r="E15" s="13">
        <v>4</v>
      </c>
      <c r="F15" s="13">
        <v>15</v>
      </c>
    </row>
    <row r="16" spans="4:6" x14ac:dyDescent="0.25">
      <c r="D16" t="s">
        <v>103</v>
      </c>
      <c r="E16" s="13"/>
      <c r="F16" s="13"/>
    </row>
    <row r="17" spans="4:6" x14ac:dyDescent="0.25">
      <c r="D17" t="s">
        <v>94</v>
      </c>
      <c r="E17" s="13"/>
      <c r="F17" s="13"/>
    </row>
    <row r="18" spans="4:6" x14ac:dyDescent="0.25">
      <c r="D18" t="s">
        <v>50</v>
      </c>
      <c r="E18" s="13"/>
      <c r="F18" s="13"/>
    </row>
    <row r="19" spans="4:6" x14ac:dyDescent="0.25">
      <c r="D19" t="s">
        <v>76</v>
      </c>
      <c r="E19" s="13"/>
      <c r="F19" s="13"/>
    </row>
    <row r="20" spans="4:6" x14ac:dyDescent="0.25">
      <c r="D20" t="s">
        <v>69</v>
      </c>
      <c r="E20" s="13">
        <v>3</v>
      </c>
      <c r="F20" s="13">
        <v>5</v>
      </c>
    </row>
    <row r="21" spans="4:6" x14ac:dyDescent="0.25">
      <c r="D21" t="s">
        <v>68</v>
      </c>
      <c r="E21" s="13">
        <v>2.2999999999999998</v>
      </c>
      <c r="F21" s="13">
        <v>7</v>
      </c>
    </row>
    <row r="22" spans="4:6" x14ac:dyDescent="0.25">
      <c r="D22" t="s">
        <v>23</v>
      </c>
      <c r="E22" s="13">
        <v>4.5999999999999996</v>
      </c>
      <c r="F22" s="13">
        <v>44</v>
      </c>
    </row>
    <row r="23" spans="4:6" x14ac:dyDescent="0.25">
      <c r="D23" t="s">
        <v>77</v>
      </c>
      <c r="E23" s="13"/>
      <c r="F23" s="13"/>
    </row>
    <row r="24" spans="4:6" x14ac:dyDescent="0.25">
      <c r="D24" t="s">
        <v>24</v>
      </c>
      <c r="E24" s="13">
        <v>3.3</v>
      </c>
      <c r="F24" s="13">
        <v>13</v>
      </c>
    </row>
    <row r="25" spans="4:6" x14ac:dyDescent="0.25">
      <c r="D25" t="s">
        <v>97</v>
      </c>
      <c r="E25" s="13"/>
      <c r="F25" s="13"/>
    </row>
    <row r="26" spans="4:6" x14ac:dyDescent="0.25">
      <c r="D26" t="s">
        <v>16</v>
      </c>
      <c r="E26" s="13">
        <v>4.8</v>
      </c>
      <c r="F26" s="13">
        <v>12</v>
      </c>
    </row>
    <row r="27" spans="4:6" x14ac:dyDescent="0.25">
      <c r="D27" t="s">
        <v>43</v>
      </c>
      <c r="E27" s="13"/>
      <c r="F27" s="13"/>
    </row>
    <row r="28" spans="4:6" x14ac:dyDescent="0.25">
      <c r="D28" t="s">
        <v>25</v>
      </c>
      <c r="E28" s="13"/>
      <c r="F28" s="13"/>
    </row>
    <row r="29" spans="4:6" x14ac:dyDescent="0.25">
      <c r="D29" t="s">
        <v>61</v>
      </c>
      <c r="E29" s="13">
        <v>2.5</v>
      </c>
      <c r="F29" s="13">
        <v>6</v>
      </c>
    </row>
    <row r="30" spans="4:6" x14ac:dyDescent="0.25">
      <c r="D30" t="s">
        <v>32</v>
      </c>
      <c r="E30" s="13">
        <v>4.0999999999999996</v>
      </c>
      <c r="F30" s="13">
        <v>20</v>
      </c>
    </row>
    <row r="31" spans="4:6" x14ac:dyDescent="0.25">
      <c r="D31" t="s">
        <v>38</v>
      </c>
      <c r="E31" s="13">
        <v>4.5</v>
      </c>
      <c r="F31" s="13">
        <v>32</v>
      </c>
    </row>
    <row r="32" spans="4:6" x14ac:dyDescent="0.25">
      <c r="D32" t="s">
        <v>37</v>
      </c>
      <c r="E32" s="13">
        <v>4.7</v>
      </c>
      <c r="F32" s="13">
        <v>20</v>
      </c>
    </row>
    <row r="33" spans="4:6" x14ac:dyDescent="0.25">
      <c r="D33" t="s">
        <v>82</v>
      </c>
      <c r="E33" s="13"/>
      <c r="F33" s="13"/>
    </row>
    <row r="34" spans="4:6" x14ac:dyDescent="0.25">
      <c r="D34" t="s">
        <v>63</v>
      </c>
      <c r="E34" s="13">
        <v>2.1</v>
      </c>
      <c r="F34" s="13">
        <v>13</v>
      </c>
    </row>
    <row r="35" spans="4:6" x14ac:dyDescent="0.25">
      <c r="D35" t="s">
        <v>109</v>
      </c>
      <c r="E35" s="13"/>
      <c r="F35" s="13"/>
    </row>
    <row r="36" spans="4:6" x14ac:dyDescent="0.25">
      <c r="D36" t="s">
        <v>93</v>
      </c>
      <c r="E36" s="13"/>
      <c r="F36" s="13"/>
    </row>
    <row r="37" spans="4:6" x14ac:dyDescent="0.25">
      <c r="D37" t="s">
        <v>48</v>
      </c>
      <c r="E37" s="13"/>
      <c r="F37" s="13"/>
    </row>
    <row r="38" spans="4:6" x14ac:dyDescent="0.25">
      <c r="D38" t="s">
        <v>79</v>
      </c>
      <c r="E38" s="13"/>
      <c r="F38" s="13"/>
    </row>
    <row r="39" spans="4:6" x14ac:dyDescent="0.25">
      <c r="D39" t="s">
        <v>74</v>
      </c>
      <c r="E39" s="13">
        <v>2.2000000000000002</v>
      </c>
      <c r="F39" s="13">
        <v>6</v>
      </c>
    </row>
    <row r="40" spans="4:6" x14ac:dyDescent="0.25">
      <c r="D40" t="s">
        <v>100</v>
      </c>
      <c r="E40" s="13"/>
      <c r="F40" s="13"/>
    </row>
    <row r="41" spans="4:6" x14ac:dyDescent="0.25">
      <c r="D41" t="s">
        <v>102</v>
      </c>
      <c r="E41" s="13"/>
      <c r="F41" s="13"/>
    </row>
    <row r="42" spans="4:6" x14ac:dyDescent="0.25">
      <c r="D42" t="s">
        <v>70</v>
      </c>
      <c r="E42" s="13">
        <v>2.6</v>
      </c>
      <c r="F42" s="13">
        <v>17</v>
      </c>
    </row>
    <row r="43" spans="4:6" x14ac:dyDescent="0.25">
      <c r="D43" t="s">
        <v>59</v>
      </c>
      <c r="E43" s="13"/>
      <c r="F43" s="13"/>
    </row>
    <row r="44" spans="4:6" x14ac:dyDescent="0.25">
      <c r="D44" t="s">
        <v>19</v>
      </c>
      <c r="E44" s="13">
        <v>5</v>
      </c>
      <c r="F44" s="13">
        <v>2</v>
      </c>
    </row>
    <row r="45" spans="4:6" x14ac:dyDescent="0.25">
      <c r="D45" t="s">
        <v>67</v>
      </c>
      <c r="E45" s="13">
        <v>2.2000000000000002</v>
      </c>
      <c r="F45" s="13">
        <v>6</v>
      </c>
    </row>
    <row r="46" spans="4:6" x14ac:dyDescent="0.25">
      <c r="D46" t="s">
        <v>99</v>
      </c>
      <c r="E46" s="13"/>
      <c r="F46" s="13"/>
    </row>
    <row r="47" spans="4:6" x14ac:dyDescent="0.25">
      <c r="D47" t="s">
        <v>45</v>
      </c>
      <c r="E47" s="13"/>
      <c r="F47" s="13"/>
    </row>
    <row r="48" spans="4:6" x14ac:dyDescent="0.25">
      <c r="D48" t="s">
        <v>81</v>
      </c>
      <c r="E48" s="13">
        <v>5</v>
      </c>
      <c r="F48" s="13">
        <v>1</v>
      </c>
    </row>
    <row r="49" spans="4:6" x14ac:dyDescent="0.25">
      <c r="D49" t="s">
        <v>111</v>
      </c>
      <c r="E49" s="13"/>
      <c r="F49" s="13"/>
    </row>
    <row r="50" spans="4:6" x14ac:dyDescent="0.25">
      <c r="D50" t="s">
        <v>52</v>
      </c>
      <c r="E50" s="13"/>
      <c r="F50" s="13"/>
    </row>
    <row r="51" spans="4:6" x14ac:dyDescent="0.25">
      <c r="D51" t="s">
        <v>49</v>
      </c>
      <c r="E51" s="13"/>
      <c r="F51" s="13"/>
    </row>
    <row r="52" spans="4:6" x14ac:dyDescent="0.25">
      <c r="D52" t="s">
        <v>86</v>
      </c>
      <c r="E52" s="13"/>
      <c r="F52" s="13"/>
    </row>
    <row r="53" spans="4:6" x14ac:dyDescent="0.25">
      <c r="D53" t="s">
        <v>106</v>
      </c>
      <c r="E53" s="13"/>
      <c r="F53" s="13"/>
    </row>
    <row r="54" spans="4:6" x14ac:dyDescent="0.25">
      <c r="D54" t="s">
        <v>47</v>
      </c>
      <c r="E54" s="13"/>
      <c r="F54" s="13"/>
    </row>
    <row r="55" spans="4:6" x14ac:dyDescent="0.25">
      <c r="D55" t="s">
        <v>58</v>
      </c>
      <c r="E55" s="13"/>
      <c r="F55" s="13"/>
    </row>
    <row r="56" spans="4:6" x14ac:dyDescent="0.25">
      <c r="D56" t="s">
        <v>40</v>
      </c>
      <c r="E56" s="13">
        <v>5</v>
      </c>
      <c r="F56" s="13">
        <v>2</v>
      </c>
    </row>
    <row r="57" spans="4:6" x14ac:dyDescent="0.25">
      <c r="D57" t="s">
        <v>51</v>
      </c>
      <c r="E57" s="13"/>
      <c r="F57" s="13"/>
    </row>
    <row r="58" spans="4:6" x14ac:dyDescent="0.25">
      <c r="D58" t="s">
        <v>78</v>
      </c>
      <c r="E58" s="13"/>
      <c r="F58" s="13"/>
    </row>
    <row r="59" spans="4:6" x14ac:dyDescent="0.25">
      <c r="D59" t="s">
        <v>56</v>
      </c>
      <c r="E59" s="13"/>
      <c r="F59" s="13"/>
    </row>
    <row r="60" spans="4:6" x14ac:dyDescent="0.25">
      <c r="D60" t="s">
        <v>11</v>
      </c>
      <c r="E60" s="13">
        <v>4</v>
      </c>
      <c r="F60" s="13">
        <v>2</v>
      </c>
    </row>
    <row r="61" spans="4:6" x14ac:dyDescent="0.25">
      <c r="D61" t="s">
        <v>39</v>
      </c>
      <c r="E61" s="13">
        <v>5</v>
      </c>
      <c r="F61" s="13">
        <v>1</v>
      </c>
    </row>
    <row r="62" spans="4:6" x14ac:dyDescent="0.25">
      <c r="D62" t="s">
        <v>75</v>
      </c>
      <c r="E62" s="13">
        <v>2.1</v>
      </c>
      <c r="F62" s="13">
        <v>7</v>
      </c>
    </row>
    <row r="63" spans="4:6" x14ac:dyDescent="0.25">
      <c r="D63" t="s">
        <v>29</v>
      </c>
      <c r="E63" s="13">
        <v>4.5999999999999996</v>
      </c>
      <c r="F63" s="13">
        <v>49</v>
      </c>
    </row>
    <row r="64" spans="4:6" x14ac:dyDescent="0.25">
      <c r="D64" t="s">
        <v>34</v>
      </c>
      <c r="E64" s="13">
        <v>4.3</v>
      </c>
      <c r="F64" s="13">
        <v>9</v>
      </c>
    </row>
    <row r="65" spans="4:6" x14ac:dyDescent="0.25">
      <c r="D65" t="s">
        <v>27</v>
      </c>
      <c r="E65" s="13">
        <v>4.4000000000000004</v>
      </c>
      <c r="F65" s="13">
        <v>14</v>
      </c>
    </row>
    <row r="66" spans="4:6" x14ac:dyDescent="0.25">
      <c r="D66" t="s">
        <v>14</v>
      </c>
      <c r="E66" s="13">
        <v>4.0999999999999996</v>
      </c>
      <c r="F66" s="13">
        <v>12</v>
      </c>
    </row>
    <row r="67" spans="4:6" x14ac:dyDescent="0.25">
      <c r="D67" t="s">
        <v>84</v>
      </c>
      <c r="E67" s="13">
        <v>4</v>
      </c>
      <c r="F67" s="13">
        <v>1</v>
      </c>
    </row>
    <row r="68" spans="4:6" x14ac:dyDescent="0.25">
      <c r="D68" t="s">
        <v>65</v>
      </c>
      <c r="E68" s="13">
        <v>2.7</v>
      </c>
      <c r="F68" s="13">
        <v>15</v>
      </c>
    </row>
    <row r="69" spans="4:6" x14ac:dyDescent="0.25">
      <c r="D69" t="s">
        <v>101</v>
      </c>
      <c r="E69" s="13">
        <v>5</v>
      </c>
      <c r="F69" s="13">
        <v>1</v>
      </c>
    </row>
    <row r="70" spans="4:6" x14ac:dyDescent="0.25">
      <c r="D70" t="s">
        <v>71</v>
      </c>
      <c r="E70" s="13">
        <v>3</v>
      </c>
      <c r="F70" s="13">
        <v>5</v>
      </c>
    </row>
    <row r="71" spans="4:6" x14ac:dyDescent="0.25">
      <c r="D71" t="s">
        <v>28</v>
      </c>
      <c r="E71" s="13">
        <v>4.3</v>
      </c>
      <c r="F71" s="13">
        <v>7</v>
      </c>
    </row>
    <row r="72" spans="4:6" x14ac:dyDescent="0.25">
      <c r="D72" t="s">
        <v>21</v>
      </c>
      <c r="E72" s="13">
        <v>5</v>
      </c>
      <c r="F72" s="13">
        <v>3</v>
      </c>
    </row>
    <row r="73" spans="4:6" x14ac:dyDescent="0.25">
      <c r="D73" t="s">
        <v>17</v>
      </c>
      <c r="E73" s="13">
        <v>4.5</v>
      </c>
      <c r="F73" s="13">
        <v>6</v>
      </c>
    </row>
    <row r="74" spans="4:6" x14ac:dyDescent="0.25">
      <c r="D74" t="s">
        <v>12</v>
      </c>
      <c r="E74" s="13">
        <v>4.8</v>
      </c>
      <c r="F74" s="13">
        <v>5</v>
      </c>
    </row>
    <row r="75" spans="4:6" x14ac:dyDescent="0.25">
      <c r="D75" t="s">
        <v>42</v>
      </c>
      <c r="E75" s="13"/>
      <c r="F75" s="13"/>
    </row>
    <row r="76" spans="4:6" x14ac:dyDescent="0.25">
      <c r="D76" t="s">
        <v>36</v>
      </c>
      <c r="E76" s="13">
        <v>4.3</v>
      </c>
      <c r="F76" s="13">
        <v>9</v>
      </c>
    </row>
    <row r="77" spans="4:6" x14ac:dyDescent="0.25">
      <c r="D77" t="s">
        <v>26</v>
      </c>
      <c r="E77" s="13">
        <v>4</v>
      </c>
      <c r="F77" s="13">
        <v>6</v>
      </c>
    </row>
    <row r="78" spans="4:6" x14ac:dyDescent="0.25">
      <c r="D78" t="s">
        <v>105</v>
      </c>
      <c r="E78" s="13"/>
      <c r="F78" s="13"/>
    </row>
    <row r="79" spans="4:6" x14ac:dyDescent="0.25">
      <c r="D79" t="s">
        <v>22</v>
      </c>
      <c r="E79" s="13">
        <v>4.5999999999999996</v>
      </c>
      <c r="F79" s="13">
        <v>5</v>
      </c>
    </row>
    <row r="80" spans="4:6" x14ac:dyDescent="0.25">
      <c r="D80" t="s">
        <v>80</v>
      </c>
      <c r="E80" s="13">
        <v>3</v>
      </c>
      <c r="F80" s="13">
        <v>1</v>
      </c>
    </row>
    <row r="81" spans="4:6" x14ac:dyDescent="0.25">
      <c r="D81" t="s">
        <v>5</v>
      </c>
      <c r="E81" s="13">
        <v>4.0999999999999996</v>
      </c>
      <c r="F81" s="13">
        <v>14</v>
      </c>
    </row>
    <row r="82" spans="4:6" x14ac:dyDescent="0.25">
      <c r="D82" t="s">
        <v>98</v>
      </c>
      <c r="E82" s="13"/>
      <c r="F82" s="13"/>
    </row>
    <row r="83" spans="4:6" x14ac:dyDescent="0.25">
      <c r="D83" t="s">
        <v>44</v>
      </c>
      <c r="E83" s="13"/>
      <c r="F83" s="13"/>
    </row>
    <row r="84" spans="4:6" x14ac:dyDescent="0.25">
      <c r="D84" t="s">
        <v>18</v>
      </c>
      <c r="E84" s="13">
        <v>4.2</v>
      </c>
      <c r="F84" s="13">
        <v>9</v>
      </c>
    </row>
    <row r="85" spans="4:6" x14ac:dyDescent="0.25">
      <c r="D85" t="s">
        <v>89</v>
      </c>
      <c r="E85" s="13"/>
      <c r="F85" s="13"/>
    </row>
    <row r="86" spans="4:6" x14ac:dyDescent="0.25">
      <c r="D86" t="s">
        <v>33</v>
      </c>
      <c r="E86" s="13"/>
      <c r="F86" s="13"/>
    </row>
    <row r="87" spans="4:6" x14ac:dyDescent="0.25">
      <c r="D87" t="s">
        <v>55</v>
      </c>
      <c r="E87" s="13"/>
      <c r="F87" s="13"/>
    </row>
    <row r="88" spans="4:6" x14ac:dyDescent="0.25">
      <c r="D88" t="s">
        <v>62</v>
      </c>
      <c r="E88" s="13">
        <v>3</v>
      </c>
      <c r="F88" s="13">
        <v>10</v>
      </c>
    </row>
    <row r="89" spans="4:6" x14ac:dyDescent="0.25">
      <c r="D89" t="s">
        <v>85</v>
      </c>
      <c r="E89" s="13"/>
      <c r="F89" s="13"/>
    </row>
    <row r="90" spans="4:6" x14ac:dyDescent="0.25">
      <c r="D90" t="s">
        <v>87</v>
      </c>
      <c r="E90" s="13"/>
      <c r="F90" s="13"/>
    </row>
    <row r="91" spans="4:6" x14ac:dyDescent="0.25">
      <c r="D91" t="s">
        <v>20</v>
      </c>
      <c r="E91" s="13">
        <v>5</v>
      </c>
      <c r="F91" s="13">
        <v>2</v>
      </c>
    </row>
    <row r="92" spans="4:6" x14ac:dyDescent="0.25">
      <c r="D92" t="s">
        <v>53</v>
      </c>
      <c r="E92" s="13"/>
      <c r="F92" s="13"/>
    </row>
    <row r="93" spans="4:6" x14ac:dyDescent="0.25">
      <c r="D93" t="s">
        <v>54</v>
      </c>
      <c r="E93" s="13"/>
      <c r="F93" s="13"/>
    </row>
    <row r="94" spans="4:6" x14ac:dyDescent="0.25">
      <c r="D94" t="s">
        <v>8</v>
      </c>
      <c r="E94" s="13">
        <v>4.8</v>
      </c>
      <c r="F94" s="13">
        <v>5</v>
      </c>
    </row>
    <row r="95" spans="4:6" x14ac:dyDescent="0.25">
      <c r="D95" t="s">
        <v>6</v>
      </c>
      <c r="E95" s="13">
        <v>4.5999999999999996</v>
      </c>
      <c r="F95" s="13">
        <v>24</v>
      </c>
    </row>
    <row r="96" spans="4:6" x14ac:dyDescent="0.25">
      <c r="D96" t="s">
        <v>96</v>
      </c>
      <c r="E96" s="13"/>
      <c r="F96" s="13"/>
    </row>
    <row r="97" spans="4:6" x14ac:dyDescent="0.25">
      <c r="D97" t="s">
        <v>30</v>
      </c>
      <c r="E97" s="13">
        <v>3.8</v>
      </c>
      <c r="F97" s="13">
        <v>12</v>
      </c>
    </row>
    <row r="98" spans="4:6" x14ac:dyDescent="0.25">
      <c r="D98" t="s">
        <v>91</v>
      </c>
      <c r="E98" s="13"/>
      <c r="F98" s="13"/>
    </row>
    <row r="99" spans="4:6" x14ac:dyDescent="0.25">
      <c r="D99" t="s">
        <v>41</v>
      </c>
      <c r="E99" s="13">
        <v>4.3</v>
      </c>
      <c r="F99" s="13">
        <v>36</v>
      </c>
    </row>
    <row r="100" spans="4:6" x14ac:dyDescent="0.25">
      <c r="D100" t="s">
        <v>92</v>
      </c>
      <c r="E100" s="13"/>
      <c r="F100" s="13"/>
    </row>
    <row r="101" spans="4:6" x14ac:dyDescent="0.25">
      <c r="D101" t="s">
        <v>46</v>
      </c>
      <c r="E101" s="13"/>
      <c r="F101" s="13"/>
    </row>
    <row r="102" spans="4:6" x14ac:dyDescent="0.25">
      <c r="D102" t="s">
        <v>107</v>
      </c>
      <c r="E102" s="13"/>
      <c r="F102" s="13"/>
    </row>
    <row r="103" spans="4:6" x14ac:dyDescent="0.25">
      <c r="D103" t="s">
        <v>57</v>
      </c>
      <c r="E103" s="13"/>
      <c r="F103" s="13"/>
    </row>
    <row r="104" spans="4:6" x14ac:dyDescent="0.25">
      <c r="D104" t="s">
        <v>108</v>
      </c>
      <c r="E104" s="13"/>
      <c r="F104" s="13"/>
    </row>
    <row r="105" spans="4:6" x14ac:dyDescent="0.25">
      <c r="D105" t="s">
        <v>66</v>
      </c>
      <c r="E105" s="13">
        <v>2.9</v>
      </c>
      <c r="F105" s="13">
        <v>16</v>
      </c>
    </row>
    <row r="106" spans="4:6" x14ac:dyDescent="0.25">
      <c r="D106" t="s">
        <v>90</v>
      </c>
      <c r="E106" s="13"/>
      <c r="F106" s="13"/>
    </row>
    <row r="107" spans="4:6" x14ac:dyDescent="0.25">
      <c r="D107" t="s">
        <v>95</v>
      </c>
      <c r="E107" s="13"/>
      <c r="F107" s="13"/>
    </row>
    <row r="108" spans="4:6" x14ac:dyDescent="0.25">
      <c r="D108" t="s">
        <v>110</v>
      </c>
      <c r="E108" s="13">
        <v>2</v>
      </c>
      <c r="F108" s="13">
        <v>1</v>
      </c>
    </row>
    <row r="109" spans="4:6" x14ac:dyDescent="0.25">
      <c r="D109" t="s">
        <v>88</v>
      </c>
      <c r="E109" s="13"/>
      <c r="F109" s="13"/>
    </row>
    <row r="110" spans="4:6" x14ac:dyDescent="0.25">
      <c r="D110" t="s">
        <v>72</v>
      </c>
      <c r="E110" s="13">
        <v>2.2999999999999998</v>
      </c>
      <c r="F110" s="13">
        <v>6</v>
      </c>
    </row>
    <row r="111" spans="4:6" x14ac:dyDescent="0.25">
      <c r="D111" t="s">
        <v>7</v>
      </c>
      <c r="E111" s="13">
        <v>4.7</v>
      </c>
      <c r="F111" s="13">
        <v>7</v>
      </c>
    </row>
    <row r="112" spans="4:6" x14ac:dyDescent="0.25">
      <c r="D112" t="s">
        <v>73</v>
      </c>
      <c r="E112" s="13">
        <v>3</v>
      </c>
      <c r="F112" s="13">
        <v>5</v>
      </c>
    </row>
    <row r="113" spans="4:6" x14ac:dyDescent="0.25">
      <c r="D113" t="s">
        <v>118</v>
      </c>
      <c r="E113" s="13">
        <v>5</v>
      </c>
      <c r="F113" s="13">
        <v>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98956-171C-4A09-BCF7-B295C4EEBE80}">
  <dimension ref="C3:D46"/>
  <sheetViews>
    <sheetView topLeftCell="A31" zoomScale="115" zoomScaleNormal="115" workbookViewId="0">
      <selection activeCell="I17" sqref="I17"/>
    </sheetView>
  </sheetViews>
  <sheetFormatPr defaultRowHeight="15" x14ac:dyDescent="0.25"/>
  <cols>
    <col min="3" max="3" width="66" bestFit="1" customWidth="1"/>
    <col min="4" max="4" width="14.28515625" bestFit="1" customWidth="1"/>
  </cols>
  <sheetData>
    <row r="3" spans="3:4" x14ac:dyDescent="0.25">
      <c r="C3" s="9" t="s">
        <v>0</v>
      </c>
      <c r="D3" t="s">
        <v>133</v>
      </c>
    </row>
    <row r="4" spans="3:4" x14ac:dyDescent="0.25">
      <c r="C4" t="s">
        <v>62</v>
      </c>
      <c r="D4" s="1">
        <v>0.54</v>
      </c>
    </row>
    <row r="5" spans="3:4" x14ac:dyDescent="0.25">
      <c r="C5" t="s">
        <v>12</v>
      </c>
      <c r="D5" s="1">
        <v>0.55000000000000004</v>
      </c>
    </row>
    <row r="6" spans="3:4" x14ac:dyDescent="0.25">
      <c r="C6" t="s">
        <v>28</v>
      </c>
      <c r="D6" s="1">
        <v>0.54</v>
      </c>
    </row>
    <row r="7" spans="3:4" x14ac:dyDescent="0.25">
      <c r="C7" t="s">
        <v>65</v>
      </c>
      <c r="D7" s="1">
        <v>0.52</v>
      </c>
    </row>
    <row r="8" spans="3:4" x14ac:dyDescent="0.25">
      <c r="C8" t="s">
        <v>34</v>
      </c>
      <c r="D8" s="1">
        <v>0.52</v>
      </c>
    </row>
    <row r="9" spans="3:4" x14ac:dyDescent="0.25">
      <c r="C9" t="s">
        <v>51</v>
      </c>
      <c r="D9" s="1">
        <v>0.61</v>
      </c>
    </row>
    <row r="10" spans="3:4" x14ac:dyDescent="0.25">
      <c r="C10" t="s">
        <v>40</v>
      </c>
      <c r="D10" s="1">
        <v>0.53</v>
      </c>
    </row>
    <row r="11" spans="3:4" x14ac:dyDescent="0.25">
      <c r="C11" t="s">
        <v>109</v>
      </c>
      <c r="D11" s="1">
        <v>0.64</v>
      </c>
    </row>
    <row r="12" spans="3:4" x14ac:dyDescent="0.25">
      <c r="C12" t="s">
        <v>63</v>
      </c>
      <c r="D12" s="1">
        <v>0.55000000000000004</v>
      </c>
    </row>
    <row r="13" spans="3:4" x14ac:dyDescent="0.25">
      <c r="C13" t="s">
        <v>24</v>
      </c>
      <c r="D13" s="1">
        <v>0.53</v>
      </c>
    </row>
    <row r="14" spans="3:4" x14ac:dyDescent="0.25">
      <c r="C14" t="s">
        <v>118</v>
      </c>
      <c r="D14" s="1">
        <v>0.64</v>
      </c>
    </row>
    <row r="35" spans="3:4" x14ac:dyDescent="0.25">
      <c r="C35" s="9" t="s">
        <v>117</v>
      </c>
      <c r="D35" t="s">
        <v>134</v>
      </c>
    </row>
    <row r="36" spans="3:4" x14ac:dyDescent="0.25">
      <c r="C36" s="10" t="s">
        <v>15</v>
      </c>
      <c r="D36" s="13">
        <v>39</v>
      </c>
    </row>
    <row r="37" spans="3:4" x14ac:dyDescent="0.25">
      <c r="C37" s="10" t="s">
        <v>64</v>
      </c>
      <c r="D37" s="13">
        <v>69</v>
      </c>
    </row>
    <row r="38" spans="3:4" x14ac:dyDescent="0.25">
      <c r="C38" s="10" t="s">
        <v>10</v>
      </c>
      <c r="D38" s="13">
        <v>55</v>
      </c>
    </row>
    <row r="39" spans="3:4" x14ac:dyDescent="0.25">
      <c r="C39" s="10" t="s">
        <v>23</v>
      </c>
      <c r="D39" s="13">
        <v>44</v>
      </c>
    </row>
    <row r="40" spans="3:4" x14ac:dyDescent="0.25">
      <c r="C40" s="10" t="s">
        <v>32</v>
      </c>
      <c r="D40" s="13">
        <v>20</v>
      </c>
    </row>
    <row r="41" spans="3:4" x14ac:dyDescent="0.25">
      <c r="C41" s="10" t="s">
        <v>38</v>
      </c>
      <c r="D41" s="13">
        <v>32</v>
      </c>
    </row>
    <row r="42" spans="3:4" x14ac:dyDescent="0.25">
      <c r="C42" s="10" t="s">
        <v>37</v>
      </c>
      <c r="D42" s="13">
        <v>20</v>
      </c>
    </row>
    <row r="43" spans="3:4" x14ac:dyDescent="0.25">
      <c r="C43" s="10" t="s">
        <v>29</v>
      </c>
      <c r="D43" s="13">
        <v>49</v>
      </c>
    </row>
    <row r="44" spans="3:4" x14ac:dyDescent="0.25">
      <c r="C44" s="10" t="s">
        <v>6</v>
      </c>
      <c r="D44" s="13">
        <v>24</v>
      </c>
    </row>
    <row r="45" spans="3:4" x14ac:dyDescent="0.25">
      <c r="C45" s="10" t="s">
        <v>41</v>
      </c>
      <c r="D45" s="13">
        <v>36</v>
      </c>
    </row>
    <row r="46" spans="3:4" x14ac:dyDescent="0.25">
      <c r="C46" s="10" t="s">
        <v>118</v>
      </c>
      <c r="D46" s="13">
        <v>69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31EC8-31D9-4140-8B6A-B3EC464861C4}">
  <dimension ref="C4:D12"/>
  <sheetViews>
    <sheetView topLeftCell="A17" zoomScale="115" zoomScaleNormal="115" workbookViewId="0">
      <selection activeCell="C42" sqref="C42"/>
    </sheetView>
  </sheetViews>
  <sheetFormatPr defaultRowHeight="15" x14ac:dyDescent="0.25"/>
  <cols>
    <col min="3" max="3" width="69.85546875" bestFit="1" customWidth="1"/>
    <col min="4" max="4" width="14.140625" bestFit="1" customWidth="1"/>
  </cols>
  <sheetData>
    <row r="4" spans="3:4" x14ac:dyDescent="0.25">
      <c r="C4" s="9" t="s">
        <v>117</v>
      </c>
      <c r="D4" t="s">
        <v>135</v>
      </c>
    </row>
    <row r="5" spans="3:4" x14ac:dyDescent="0.25">
      <c r="C5" s="10" t="s">
        <v>19</v>
      </c>
      <c r="D5" s="13">
        <v>5</v>
      </c>
    </row>
    <row r="6" spans="3:4" x14ac:dyDescent="0.25">
      <c r="C6" s="10" t="s">
        <v>81</v>
      </c>
      <c r="D6" s="13">
        <v>5</v>
      </c>
    </row>
    <row r="7" spans="3:4" x14ac:dyDescent="0.25">
      <c r="C7" s="10" t="s">
        <v>40</v>
      </c>
      <c r="D7" s="13">
        <v>5</v>
      </c>
    </row>
    <row r="8" spans="3:4" x14ac:dyDescent="0.25">
      <c r="C8" s="10" t="s">
        <v>39</v>
      </c>
      <c r="D8" s="13">
        <v>5</v>
      </c>
    </row>
    <row r="9" spans="3:4" x14ac:dyDescent="0.25">
      <c r="C9" s="10" t="s">
        <v>101</v>
      </c>
      <c r="D9" s="13">
        <v>5</v>
      </c>
    </row>
    <row r="10" spans="3:4" x14ac:dyDescent="0.25">
      <c r="C10" s="10" t="s">
        <v>21</v>
      </c>
      <c r="D10" s="13">
        <v>5</v>
      </c>
    </row>
    <row r="11" spans="3:4" x14ac:dyDescent="0.25">
      <c r="C11" s="10" t="s">
        <v>20</v>
      </c>
      <c r="D11" s="13">
        <v>5</v>
      </c>
    </row>
    <row r="12" spans="3:4" x14ac:dyDescent="0.25">
      <c r="C12" s="10" t="s">
        <v>118</v>
      </c>
      <c r="D12" s="13">
        <v>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FDEE9-F5A6-4E22-A1D9-D2D125CD4A34}">
  <dimension ref="C3:F37"/>
  <sheetViews>
    <sheetView zoomScale="91" zoomScaleNormal="91" workbookViewId="0">
      <selection activeCell="E4" sqref="E4"/>
    </sheetView>
  </sheetViews>
  <sheetFormatPr defaultRowHeight="15" x14ac:dyDescent="0.25"/>
  <cols>
    <col min="3" max="3" width="16.7109375" bestFit="1" customWidth="1"/>
    <col min="4" max="4" width="17.7109375" bestFit="1" customWidth="1"/>
    <col min="5" max="5" width="15.7109375" bestFit="1" customWidth="1"/>
    <col min="6" max="6" width="16" bestFit="1" customWidth="1"/>
    <col min="7" max="7" width="15.7109375" bestFit="1" customWidth="1"/>
  </cols>
  <sheetData>
    <row r="3" spans="3:5" x14ac:dyDescent="0.25">
      <c r="C3" s="9" t="s">
        <v>117</v>
      </c>
      <c r="D3" t="s">
        <v>121</v>
      </c>
      <c r="E3" t="s">
        <v>132</v>
      </c>
    </row>
    <row r="4" spans="3:5" x14ac:dyDescent="0.25">
      <c r="C4" s="10" t="s">
        <v>141</v>
      </c>
      <c r="D4" s="6">
        <v>3.6133333333333324</v>
      </c>
      <c r="E4" s="12">
        <v>30</v>
      </c>
    </row>
    <row r="5" spans="3:5" x14ac:dyDescent="0.25">
      <c r="C5" s="10" t="s">
        <v>122</v>
      </c>
      <c r="D5" s="6">
        <v>3.8</v>
      </c>
      <c r="E5" s="12">
        <v>5</v>
      </c>
    </row>
    <row r="6" spans="3:5" x14ac:dyDescent="0.25">
      <c r="C6" s="10" t="s">
        <v>123</v>
      </c>
      <c r="D6" s="6">
        <v>4.276190476190477</v>
      </c>
      <c r="E6" s="12">
        <v>21</v>
      </c>
    </row>
    <row r="7" spans="3:5" x14ac:dyDescent="0.25">
      <c r="C7" s="10" t="s">
        <v>118</v>
      </c>
      <c r="D7" s="6">
        <v>3.8785714285714272</v>
      </c>
      <c r="E7" s="12">
        <v>56</v>
      </c>
    </row>
    <row r="33" spans="5:6" x14ac:dyDescent="0.25">
      <c r="E33" s="9" t="s">
        <v>117</v>
      </c>
      <c r="F33" t="s">
        <v>131</v>
      </c>
    </row>
    <row r="34" spans="5:6" x14ac:dyDescent="0.25">
      <c r="E34" s="10" t="s">
        <v>139</v>
      </c>
      <c r="F34" s="13">
        <v>55</v>
      </c>
    </row>
    <row r="35" spans="5:6" x14ac:dyDescent="0.25">
      <c r="E35" s="10" t="s">
        <v>142</v>
      </c>
      <c r="F35" s="13">
        <v>36</v>
      </c>
    </row>
    <row r="36" spans="5:6" x14ac:dyDescent="0.25">
      <c r="E36" s="10" t="s">
        <v>138</v>
      </c>
      <c r="F36" s="13">
        <v>17</v>
      </c>
    </row>
    <row r="37" spans="5:6" x14ac:dyDescent="0.25">
      <c r="E37" s="10" t="s">
        <v>118</v>
      </c>
      <c r="F37" s="13">
        <v>108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3ACEC-1297-49F3-AE2A-CA59712C93E7}">
  <dimension ref="AM39:AV147"/>
  <sheetViews>
    <sheetView tabSelected="1" topLeftCell="A19" zoomScale="87" zoomScaleNormal="84" workbookViewId="0">
      <selection activeCell="P49" sqref="P49"/>
    </sheetView>
  </sheetViews>
  <sheetFormatPr defaultRowHeight="15" x14ac:dyDescent="0.25"/>
  <cols>
    <col min="1" max="34" width="9.140625" style="14"/>
    <col min="35" max="35" width="9.140625" style="14" customWidth="1"/>
    <col min="36" max="38" width="9.140625" style="14"/>
    <col min="39" max="39" width="27.85546875" style="14" hidden="1" customWidth="1"/>
    <col min="40" max="40" width="24" style="14" hidden="1" customWidth="1"/>
    <col min="41" max="46" width="9.140625" style="14"/>
    <col min="47" max="48" width="0" style="14" hidden="1" customWidth="1"/>
    <col min="49" max="16384" width="9.140625" style="14"/>
  </cols>
  <sheetData>
    <row r="39" spans="39:48" s="14" customFormat="1" x14ac:dyDescent="0.25">
      <c r="AM39" s="14" t="s">
        <v>2</v>
      </c>
      <c r="AN39" s="14" t="s">
        <v>3</v>
      </c>
      <c r="AU39" s="14" t="s">
        <v>112</v>
      </c>
      <c r="AV39" s="14" t="s">
        <v>3</v>
      </c>
    </row>
    <row r="40" spans="39:48" s="14" customFormat="1" x14ac:dyDescent="0.25">
      <c r="AM40" s="15">
        <f>'Scattered Helper Discount'!D4</f>
        <v>0.34</v>
      </c>
      <c r="AN40" s="14">
        <f>'Scattered Helper Discount'!E4</f>
        <v>39</v>
      </c>
      <c r="AU40" s="14">
        <f>'Scattered Plot Ratings'!E5</f>
        <v>4.7</v>
      </c>
      <c r="AV40" s="14">
        <f>'Scattered Plot Ratings'!F5</f>
        <v>39</v>
      </c>
    </row>
    <row r="41" spans="39:48" s="14" customFormat="1" x14ac:dyDescent="0.25">
      <c r="AM41" s="15">
        <f>'Scattered Helper Discount'!D5</f>
        <v>0.38</v>
      </c>
      <c r="AN41" s="14">
        <f>'Scattered Helper Discount'!E5</f>
        <v>2</v>
      </c>
      <c r="AU41" s="14">
        <f>'Scattered Plot Ratings'!E6</f>
        <v>4.5</v>
      </c>
      <c r="AV41" s="14">
        <f>'Scattered Plot Ratings'!F6</f>
        <v>2</v>
      </c>
    </row>
    <row r="42" spans="39:48" s="14" customFormat="1" x14ac:dyDescent="0.25">
      <c r="AM42" s="15">
        <f>'Scattered Helper Discount'!D6</f>
        <v>0.32</v>
      </c>
      <c r="AN42" s="14">
        <f>'Scattered Helper Discount'!E6</f>
        <v>13</v>
      </c>
      <c r="AU42" s="14">
        <f>'Scattered Plot Ratings'!E7</f>
        <v>3.8</v>
      </c>
      <c r="AV42" s="14">
        <f>'Scattered Plot Ratings'!F7</f>
        <v>13</v>
      </c>
    </row>
    <row r="43" spans="39:48" s="14" customFormat="1" x14ac:dyDescent="0.25">
      <c r="AM43" s="15">
        <f>'Scattered Helper Discount'!D7</f>
        <v>0.34</v>
      </c>
      <c r="AN43" s="14">
        <f>'Scattered Helper Discount'!E7</f>
        <v>12</v>
      </c>
      <c r="AU43" s="14">
        <f>'Scattered Plot Ratings'!E8</f>
        <v>4.7</v>
      </c>
      <c r="AV43" s="14">
        <f>'Scattered Plot Ratings'!F8</f>
        <v>12</v>
      </c>
    </row>
    <row r="44" spans="39:48" s="14" customFormat="1" x14ac:dyDescent="0.25">
      <c r="AM44" s="15">
        <f>'Scattered Helper Discount'!D8</f>
        <v>0.49</v>
      </c>
      <c r="AN44" s="14">
        <f>'Scattered Helper Discount'!E8</f>
        <v>69</v>
      </c>
      <c r="AU44" s="14">
        <f>'Scattered Plot Ratings'!E9</f>
        <v>2.8</v>
      </c>
      <c r="AV44" s="14">
        <f>'Scattered Plot Ratings'!F9</f>
        <v>69</v>
      </c>
    </row>
    <row r="45" spans="39:48" s="14" customFormat="1" x14ac:dyDescent="0.25">
      <c r="AM45" s="15">
        <f>'Scattered Helper Discount'!D9</f>
        <v>0.27</v>
      </c>
      <c r="AN45" s="14">
        <f>'Scattered Helper Discount'!E9</f>
        <v>0</v>
      </c>
      <c r="AU45" s="14">
        <f>'Scattered Plot Ratings'!E10</f>
        <v>0</v>
      </c>
      <c r="AV45" s="14">
        <f>'Scattered Plot Ratings'!F10</f>
        <v>0</v>
      </c>
    </row>
    <row r="46" spans="39:48" s="14" customFormat="1" x14ac:dyDescent="0.25">
      <c r="AM46" s="15">
        <f>'Scattered Helper Discount'!D10</f>
        <v>0.45</v>
      </c>
      <c r="AN46" s="14">
        <f>'Scattered Helper Discount'!E10</f>
        <v>5</v>
      </c>
      <c r="AU46" s="14">
        <f>'Scattered Plot Ratings'!E11</f>
        <v>3.8</v>
      </c>
      <c r="AV46" s="14">
        <f>'Scattered Plot Ratings'!F11</f>
        <v>5</v>
      </c>
    </row>
    <row r="47" spans="39:48" s="14" customFormat="1" x14ac:dyDescent="0.25">
      <c r="AM47" s="15">
        <f>'Scattered Helper Discount'!D11</f>
        <v>0.24</v>
      </c>
      <c r="AN47" s="14">
        <f>'Scattered Helper Discount'!E11</f>
        <v>55</v>
      </c>
      <c r="AU47" s="14">
        <f>'Scattered Plot Ratings'!E12</f>
        <v>4.5999999999999996</v>
      </c>
      <c r="AV47" s="14">
        <f>'Scattered Plot Ratings'!F12</f>
        <v>55</v>
      </c>
    </row>
    <row r="48" spans="39:48" s="14" customFormat="1" x14ac:dyDescent="0.25">
      <c r="AM48" s="15">
        <f>'Scattered Helper Discount'!D12</f>
        <v>0.24</v>
      </c>
      <c r="AN48" s="14">
        <f>'Scattered Helper Discount'!E12</f>
        <v>0</v>
      </c>
      <c r="AU48" s="14">
        <f>'Scattered Plot Ratings'!E13</f>
        <v>0</v>
      </c>
      <c r="AV48" s="14">
        <f>'Scattered Plot Ratings'!F13</f>
        <v>0</v>
      </c>
    </row>
    <row r="49" spans="39:48" s="14" customFormat="1" x14ac:dyDescent="0.25">
      <c r="AM49" s="15">
        <f>'Scattered Helper Discount'!D13</f>
        <v>0.02</v>
      </c>
      <c r="AN49" s="14">
        <f>'Scattered Helper Discount'!E13</f>
        <v>0</v>
      </c>
      <c r="AU49" s="14">
        <f>'Scattered Plot Ratings'!E14</f>
        <v>0</v>
      </c>
      <c r="AV49" s="14">
        <f>'Scattered Plot Ratings'!F14</f>
        <v>0</v>
      </c>
    </row>
    <row r="50" spans="39:48" s="14" customFormat="1" x14ac:dyDescent="0.25">
      <c r="AM50" s="15">
        <f>'Scattered Helper Discount'!D14</f>
        <v>0.09</v>
      </c>
      <c r="AN50" s="14">
        <f>'Scattered Helper Discount'!E14</f>
        <v>15</v>
      </c>
      <c r="AU50" s="14">
        <f>'Scattered Plot Ratings'!E15</f>
        <v>4</v>
      </c>
      <c r="AV50" s="14">
        <f>'Scattered Plot Ratings'!F15</f>
        <v>15</v>
      </c>
    </row>
    <row r="51" spans="39:48" s="14" customFormat="1" x14ac:dyDescent="0.25">
      <c r="AM51" s="15">
        <f>'Scattered Helper Discount'!D15</f>
        <v>0.01</v>
      </c>
      <c r="AN51" s="14">
        <f>'Scattered Helper Discount'!E15</f>
        <v>0</v>
      </c>
      <c r="AU51" s="14">
        <f>'Scattered Plot Ratings'!E16</f>
        <v>0</v>
      </c>
      <c r="AV51" s="14">
        <f>'Scattered Plot Ratings'!F16</f>
        <v>0</v>
      </c>
    </row>
    <row r="52" spans="39:48" s="14" customFormat="1" x14ac:dyDescent="0.25">
      <c r="AM52" s="15">
        <f>'Scattered Helper Discount'!D16</f>
        <v>0.5</v>
      </c>
      <c r="AN52" s="14">
        <f>'Scattered Helper Discount'!E16</f>
        <v>0</v>
      </c>
      <c r="AU52" s="14">
        <f>'Scattered Plot Ratings'!E17</f>
        <v>0</v>
      </c>
      <c r="AV52" s="14">
        <f>'Scattered Plot Ratings'!F17</f>
        <v>0</v>
      </c>
    </row>
    <row r="53" spans="39:48" s="14" customFormat="1" x14ac:dyDescent="0.25">
      <c r="AM53" s="15">
        <f>'Scattered Helper Discount'!D17</f>
        <v>0.38</v>
      </c>
      <c r="AN53" s="14">
        <f>'Scattered Helper Discount'!E17</f>
        <v>0</v>
      </c>
      <c r="AU53" s="14">
        <f>'Scattered Plot Ratings'!E18</f>
        <v>0</v>
      </c>
      <c r="AV53" s="14">
        <f>'Scattered Plot Ratings'!F18</f>
        <v>0</v>
      </c>
    </row>
    <row r="54" spans="39:48" s="14" customFormat="1" x14ac:dyDescent="0.25">
      <c r="AM54" s="15">
        <f>'Scattered Helper Discount'!D18</f>
        <v>0.47</v>
      </c>
      <c r="AN54" s="14">
        <f>'Scattered Helper Discount'!E18</f>
        <v>0</v>
      </c>
      <c r="AU54" s="14">
        <f>'Scattered Plot Ratings'!E19</f>
        <v>0</v>
      </c>
      <c r="AV54" s="14">
        <f>'Scattered Plot Ratings'!F19</f>
        <v>0</v>
      </c>
    </row>
    <row r="55" spans="39:48" s="14" customFormat="1" x14ac:dyDescent="0.25">
      <c r="AM55" s="15">
        <f>'Scattered Helper Discount'!D19</f>
        <v>0.39</v>
      </c>
      <c r="AN55" s="14">
        <f>'Scattered Helper Discount'!E19</f>
        <v>5</v>
      </c>
      <c r="AU55" s="14">
        <f>'Scattered Plot Ratings'!E20</f>
        <v>3</v>
      </c>
      <c r="AV55" s="14">
        <f>'Scattered Plot Ratings'!F20</f>
        <v>5</v>
      </c>
    </row>
    <row r="56" spans="39:48" s="14" customFormat="1" x14ac:dyDescent="0.25">
      <c r="AM56" s="15">
        <f>'Scattered Helper Discount'!D20</f>
        <v>0.5</v>
      </c>
      <c r="AN56" s="14">
        <f>'Scattered Helper Discount'!E20</f>
        <v>7</v>
      </c>
      <c r="AU56" s="14">
        <f>'Scattered Plot Ratings'!E21</f>
        <v>2.2999999999999998</v>
      </c>
      <c r="AV56" s="14">
        <f>'Scattered Plot Ratings'!F21</f>
        <v>7</v>
      </c>
    </row>
    <row r="57" spans="39:48" s="14" customFormat="1" x14ac:dyDescent="0.25">
      <c r="AM57" s="15">
        <f>'Scattered Helper Discount'!D21</f>
        <v>0.49</v>
      </c>
      <c r="AN57" s="14">
        <f>'Scattered Helper Discount'!E21</f>
        <v>44</v>
      </c>
      <c r="AU57" s="14">
        <f>'Scattered Plot Ratings'!E22</f>
        <v>4.5999999999999996</v>
      </c>
      <c r="AV57" s="14">
        <f>'Scattered Plot Ratings'!F22</f>
        <v>44</v>
      </c>
    </row>
    <row r="58" spans="39:48" s="14" customFormat="1" x14ac:dyDescent="0.25">
      <c r="AM58" s="15">
        <f>'Scattered Helper Discount'!D22</f>
        <v>0.43</v>
      </c>
      <c r="AN58" s="14">
        <f>'Scattered Helper Discount'!E22</f>
        <v>0</v>
      </c>
      <c r="AU58" s="14">
        <f>'Scattered Plot Ratings'!E23</f>
        <v>0</v>
      </c>
      <c r="AV58" s="14">
        <f>'Scattered Plot Ratings'!F23</f>
        <v>0</v>
      </c>
    </row>
    <row r="59" spans="39:48" s="14" customFormat="1" x14ac:dyDescent="0.25">
      <c r="AM59" s="15">
        <f>'Scattered Helper Discount'!D23</f>
        <v>0.53</v>
      </c>
      <c r="AN59" s="14">
        <f>'Scattered Helper Discount'!E23</f>
        <v>13</v>
      </c>
      <c r="AU59" s="14">
        <f>'Scattered Plot Ratings'!E24</f>
        <v>3.3</v>
      </c>
      <c r="AV59" s="14">
        <f>'Scattered Plot Ratings'!F24</f>
        <v>13</v>
      </c>
    </row>
    <row r="60" spans="39:48" s="14" customFormat="1" x14ac:dyDescent="0.25">
      <c r="AM60" s="15">
        <f>'Scattered Helper Discount'!D24</f>
        <v>0.49</v>
      </c>
      <c r="AN60" s="14">
        <f>'Scattered Helper Discount'!E24</f>
        <v>0</v>
      </c>
      <c r="AU60" s="14">
        <f>'Scattered Plot Ratings'!E25</f>
        <v>0</v>
      </c>
      <c r="AV60" s="14">
        <f>'Scattered Plot Ratings'!F25</f>
        <v>0</v>
      </c>
    </row>
    <row r="61" spans="39:48" s="14" customFormat="1" x14ac:dyDescent="0.25">
      <c r="AM61" s="15">
        <f>'Scattered Helper Discount'!D25</f>
        <v>0.47</v>
      </c>
      <c r="AN61" s="14">
        <f>'Scattered Helper Discount'!E25</f>
        <v>12</v>
      </c>
      <c r="AU61" s="14">
        <f>'Scattered Plot Ratings'!E26</f>
        <v>4.8</v>
      </c>
      <c r="AV61" s="14">
        <f>'Scattered Plot Ratings'!F26</f>
        <v>12</v>
      </c>
    </row>
    <row r="62" spans="39:48" s="14" customFormat="1" x14ac:dyDescent="0.25">
      <c r="AM62" s="15">
        <f>'Scattered Helper Discount'!D26</f>
        <v>0.49</v>
      </c>
      <c r="AN62" s="14">
        <f>'Scattered Helper Discount'!E26</f>
        <v>0</v>
      </c>
      <c r="AU62" s="14">
        <f>'Scattered Plot Ratings'!E27</f>
        <v>0</v>
      </c>
      <c r="AV62" s="14">
        <f>'Scattered Plot Ratings'!F27</f>
        <v>0</v>
      </c>
    </row>
    <row r="63" spans="39:48" s="14" customFormat="1" x14ac:dyDescent="0.25">
      <c r="AM63" s="15">
        <f>'Scattered Helper Discount'!D27</f>
        <v>0.42</v>
      </c>
      <c r="AN63" s="14">
        <f>'Scattered Helper Discount'!E27</f>
        <v>0</v>
      </c>
      <c r="AU63" s="14">
        <f>'Scattered Plot Ratings'!E28</f>
        <v>0</v>
      </c>
      <c r="AV63" s="14">
        <f>'Scattered Plot Ratings'!F28</f>
        <v>0</v>
      </c>
    </row>
    <row r="64" spans="39:48" s="14" customFormat="1" x14ac:dyDescent="0.25">
      <c r="AM64" s="15">
        <f>'Scattered Helper Discount'!D28</f>
        <v>0.13</v>
      </c>
      <c r="AN64" s="14">
        <f>'Scattered Helper Discount'!E28</f>
        <v>6</v>
      </c>
      <c r="AU64" s="14">
        <f>'Scattered Plot Ratings'!E29</f>
        <v>2.5</v>
      </c>
      <c r="AV64" s="14">
        <f>'Scattered Plot Ratings'!F29</f>
        <v>6</v>
      </c>
    </row>
    <row r="65" spans="39:48" s="14" customFormat="1" x14ac:dyDescent="0.25">
      <c r="AM65" s="15">
        <f>'Scattered Helper Discount'!D29</f>
        <v>0.3</v>
      </c>
      <c r="AN65" s="14">
        <f>'Scattered Helper Discount'!E29</f>
        <v>20</v>
      </c>
      <c r="AU65" s="14">
        <f>'Scattered Plot Ratings'!E30</f>
        <v>4.0999999999999996</v>
      </c>
      <c r="AV65" s="14">
        <f>'Scattered Plot Ratings'!F30</f>
        <v>20</v>
      </c>
    </row>
    <row r="66" spans="39:48" s="14" customFormat="1" x14ac:dyDescent="0.25">
      <c r="AM66" s="15">
        <f>'Scattered Helper Discount'!D30</f>
        <v>0.27</v>
      </c>
      <c r="AN66" s="14">
        <f>'Scattered Helper Discount'!E30</f>
        <v>32</v>
      </c>
      <c r="AU66" s="14">
        <f>'Scattered Plot Ratings'!E31</f>
        <v>4.5</v>
      </c>
      <c r="AV66" s="14">
        <f>'Scattered Plot Ratings'!F31</f>
        <v>32</v>
      </c>
    </row>
    <row r="67" spans="39:48" s="14" customFormat="1" x14ac:dyDescent="0.25">
      <c r="AM67" s="15">
        <f>'Scattered Helper Discount'!D31</f>
        <v>0.27</v>
      </c>
      <c r="AN67" s="14">
        <f>'Scattered Helper Discount'!E31</f>
        <v>20</v>
      </c>
      <c r="AU67" s="14">
        <f>'Scattered Plot Ratings'!E32</f>
        <v>4.7</v>
      </c>
      <c r="AV67" s="14">
        <f>'Scattered Plot Ratings'!F32</f>
        <v>20</v>
      </c>
    </row>
    <row r="68" spans="39:48" s="14" customFormat="1" x14ac:dyDescent="0.25">
      <c r="AM68" s="15">
        <f>'Scattered Helper Discount'!D32</f>
        <v>0.36</v>
      </c>
      <c r="AN68" s="14">
        <f>'Scattered Helper Discount'!E32</f>
        <v>0</v>
      </c>
      <c r="AU68" s="14">
        <f>'Scattered Plot Ratings'!E33</f>
        <v>0</v>
      </c>
      <c r="AV68" s="14">
        <f>'Scattered Plot Ratings'!F33</f>
        <v>0</v>
      </c>
    </row>
    <row r="69" spans="39:48" s="14" customFormat="1" x14ac:dyDescent="0.25">
      <c r="AM69" s="15">
        <f>'Scattered Helper Discount'!D33</f>
        <v>0.55000000000000004</v>
      </c>
      <c r="AN69" s="14">
        <f>'Scattered Helper Discount'!E33</f>
        <v>13</v>
      </c>
      <c r="AU69" s="14">
        <f>'Scattered Plot Ratings'!E34</f>
        <v>2.1</v>
      </c>
      <c r="AV69" s="14">
        <f>'Scattered Plot Ratings'!F34</f>
        <v>13</v>
      </c>
    </row>
    <row r="70" spans="39:48" s="14" customFormat="1" x14ac:dyDescent="0.25">
      <c r="AM70" s="15">
        <f>'Scattered Helper Discount'!D34</f>
        <v>0.64</v>
      </c>
      <c r="AN70" s="14">
        <f>'Scattered Helper Discount'!E34</f>
        <v>0</v>
      </c>
      <c r="AU70" s="14">
        <f>'Scattered Plot Ratings'!E35</f>
        <v>0</v>
      </c>
      <c r="AV70" s="14">
        <f>'Scattered Plot Ratings'!F35</f>
        <v>0</v>
      </c>
    </row>
    <row r="71" spans="39:48" s="14" customFormat="1" x14ac:dyDescent="0.25">
      <c r="AM71" s="15">
        <f>'Scattered Helper Discount'!D35</f>
        <v>0.47</v>
      </c>
      <c r="AN71" s="14">
        <f>'Scattered Helper Discount'!E35</f>
        <v>0</v>
      </c>
      <c r="AU71" s="14">
        <f>'Scattered Plot Ratings'!E36</f>
        <v>0</v>
      </c>
      <c r="AV71" s="14">
        <f>'Scattered Plot Ratings'!F36</f>
        <v>0</v>
      </c>
    </row>
    <row r="72" spans="39:48" s="14" customFormat="1" x14ac:dyDescent="0.25">
      <c r="AM72" s="15">
        <f>'Scattered Helper Discount'!D36</f>
        <v>0.33</v>
      </c>
      <c r="AN72" s="14">
        <f>'Scattered Helper Discount'!E36</f>
        <v>0</v>
      </c>
      <c r="AU72" s="14">
        <f>'Scattered Plot Ratings'!E37</f>
        <v>0</v>
      </c>
      <c r="AV72" s="14">
        <f>'Scattered Plot Ratings'!F37</f>
        <v>0</v>
      </c>
    </row>
    <row r="73" spans="39:48" s="14" customFormat="1" x14ac:dyDescent="0.25">
      <c r="AM73" s="15">
        <f>'Scattered Helper Discount'!D37</f>
        <v>0.49</v>
      </c>
      <c r="AN73" s="14">
        <f>'Scattered Helper Discount'!E37</f>
        <v>0</v>
      </c>
      <c r="AU73" s="14">
        <f>'Scattered Plot Ratings'!E38</f>
        <v>0</v>
      </c>
      <c r="AV73" s="14">
        <f>'Scattered Plot Ratings'!F38</f>
        <v>0</v>
      </c>
    </row>
    <row r="74" spans="39:48" s="14" customFormat="1" x14ac:dyDescent="0.25">
      <c r="AM74" s="15">
        <f>'Scattered Helper Discount'!D38</f>
        <v>0.47</v>
      </c>
      <c r="AN74" s="14">
        <f>'Scattered Helper Discount'!E38</f>
        <v>6</v>
      </c>
      <c r="AU74" s="14">
        <f>'Scattered Plot Ratings'!E39</f>
        <v>2.2000000000000002</v>
      </c>
      <c r="AV74" s="14">
        <f>'Scattered Plot Ratings'!F39</f>
        <v>6</v>
      </c>
    </row>
    <row r="75" spans="39:48" s="14" customFormat="1" x14ac:dyDescent="0.25">
      <c r="AM75" s="15">
        <f>'Scattered Helper Discount'!D39</f>
        <v>0.42</v>
      </c>
      <c r="AN75" s="14">
        <f>'Scattered Helper Discount'!E39</f>
        <v>0</v>
      </c>
      <c r="AU75" s="14">
        <f>'Scattered Plot Ratings'!E40</f>
        <v>0</v>
      </c>
      <c r="AV75" s="14">
        <f>'Scattered Plot Ratings'!F40</f>
        <v>0</v>
      </c>
    </row>
    <row r="76" spans="39:48" s="14" customFormat="1" x14ac:dyDescent="0.25">
      <c r="AM76" s="15">
        <f>'Scattered Helper Discount'!D40</f>
        <v>0.41</v>
      </c>
      <c r="AN76" s="14">
        <f>'Scattered Helper Discount'!E40</f>
        <v>0</v>
      </c>
      <c r="AU76" s="14">
        <f>'Scattered Plot Ratings'!E41</f>
        <v>0</v>
      </c>
      <c r="AV76" s="14">
        <f>'Scattered Plot Ratings'!F41</f>
        <v>0</v>
      </c>
    </row>
    <row r="77" spans="39:48" s="14" customFormat="1" x14ac:dyDescent="0.25">
      <c r="AM77" s="15">
        <f>'Scattered Helper Discount'!D41</f>
        <v>0.45</v>
      </c>
      <c r="AN77" s="14">
        <f>'Scattered Helper Discount'!E41</f>
        <v>17</v>
      </c>
      <c r="AU77" s="14">
        <f>'Scattered Plot Ratings'!E42</f>
        <v>2.6</v>
      </c>
      <c r="AV77" s="14">
        <f>'Scattered Plot Ratings'!F42</f>
        <v>17</v>
      </c>
    </row>
    <row r="78" spans="39:48" s="14" customFormat="1" x14ac:dyDescent="0.25">
      <c r="AM78" s="15">
        <f>'Scattered Helper Discount'!D42</f>
        <v>0.49</v>
      </c>
      <c r="AN78" s="14">
        <f>'Scattered Helper Discount'!E42</f>
        <v>0</v>
      </c>
      <c r="AU78" s="14">
        <f>'Scattered Plot Ratings'!E43</f>
        <v>0</v>
      </c>
      <c r="AV78" s="14">
        <f>'Scattered Plot Ratings'!F43</f>
        <v>0</v>
      </c>
    </row>
    <row r="79" spans="39:48" s="14" customFormat="1" x14ac:dyDescent="0.25">
      <c r="AM79" s="15">
        <f>'Scattered Helper Discount'!D43</f>
        <v>0.51</v>
      </c>
      <c r="AN79" s="14">
        <f>'Scattered Helper Discount'!E43</f>
        <v>2</v>
      </c>
      <c r="AU79" s="14">
        <f>'Scattered Plot Ratings'!E44</f>
        <v>5</v>
      </c>
      <c r="AV79" s="14">
        <f>'Scattered Plot Ratings'!F44</f>
        <v>2</v>
      </c>
    </row>
    <row r="80" spans="39:48" s="14" customFormat="1" x14ac:dyDescent="0.25">
      <c r="AM80" s="15">
        <f>'Scattered Helper Discount'!D44</f>
        <v>0.45</v>
      </c>
      <c r="AN80" s="14">
        <f>'Scattered Helper Discount'!E44</f>
        <v>6</v>
      </c>
      <c r="AU80" s="14">
        <f>'Scattered Plot Ratings'!E45</f>
        <v>2.2000000000000002</v>
      </c>
      <c r="AV80" s="14">
        <f>'Scattered Plot Ratings'!F45</f>
        <v>6</v>
      </c>
    </row>
    <row r="81" spans="39:48" s="14" customFormat="1" x14ac:dyDescent="0.25">
      <c r="AM81" s="15">
        <f>'Scattered Helper Discount'!D45</f>
        <v>0.49</v>
      </c>
      <c r="AN81" s="14">
        <f>'Scattered Helper Discount'!E45</f>
        <v>0</v>
      </c>
      <c r="AU81" s="14">
        <f>'Scattered Plot Ratings'!E46</f>
        <v>0</v>
      </c>
      <c r="AV81" s="14">
        <f>'Scattered Plot Ratings'!F46</f>
        <v>0</v>
      </c>
    </row>
    <row r="82" spans="39:48" s="14" customFormat="1" x14ac:dyDescent="0.25">
      <c r="AM82" s="15">
        <f>'Scattered Helper Discount'!D46</f>
        <v>0.42</v>
      </c>
      <c r="AN82" s="14">
        <f>'Scattered Helper Discount'!E46</f>
        <v>0</v>
      </c>
      <c r="AU82" s="14">
        <f>'Scattered Plot Ratings'!E47</f>
        <v>0</v>
      </c>
      <c r="AV82" s="14">
        <f>'Scattered Plot Ratings'!F47</f>
        <v>0</v>
      </c>
    </row>
    <row r="83" spans="39:48" s="14" customFormat="1" x14ac:dyDescent="0.25">
      <c r="AM83" s="15">
        <f>'Scattered Helper Discount'!D47</f>
        <v>0.49</v>
      </c>
      <c r="AN83" s="14">
        <f>'Scattered Helper Discount'!E47</f>
        <v>1</v>
      </c>
      <c r="AU83" s="14">
        <f>'Scattered Plot Ratings'!E48</f>
        <v>5</v>
      </c>
      <c r="AV83" s="14">
        <f>'Scattered Plot Ratings'!F48</f>
        <v>1</v>
      </c>
    </row>
    <row r="84" spans="39:48" s="14" customFormat="1" x14ac:dyDescent="0.25">
      <c r="AM84" s="15">
        <f>'Scattered Helper Discount'!D48</f>
        <v>0.47</v>
      </c>
      <c r="AN84" s="14">
        <f>'Scattered Helper Discount'!E48</f>
        <v>0</v>
      </c>
      <c r="AU84" s="14">
        <f>'Scattered Plot Ratings'!E49</f>
        <v>0</v>
      </c>
      <c r="AV84" s="14">
        <f>'Scattered Plot Ratings'!F49</f>
        <v>0</v>
      </c>
    </row>
    <row r="85" spans="39:48" s="14" customFormat="1" x14ac:dyDescent="0.25">
      <c r="AM85" s="15">
        <f>'Scattered Helper Discount'!D49</f>
        <v>0.5</v>
      </c>
      <c r="AN85" s="14">
        <f>'Scattered Helper Discount'!E49</f>
        <v>0</v>
      </c>
      <c r="AU85" s="14">
        <f>'Scattered Plot Ratings'!E50</f>
        <v>0</v>
      </c>
      <c r="AV85" s="14">
        <f>'Scattered Plot Ratings'!F50</f>
        <v>0</v>
      </c>
    </row>
    <row r="86" spans="39:48" s="14" customFormat="1" x14ac:dyDescent="0.25">
      <c r="AM86" s="15">
        <f>'Scattered Helper Discount'!D50</f>
        <v>0.49</v>
      </c>
      <c r="AN86" s="14">
        <f>'Scattered Helper Discount'!E50</f>
        <v>0</v>
      </c>
      <c r="AU86" s="14">
        <f>'Scattered Plot Ratings'!E51</f>
        <v>0</v>
      </c>
      <c r="AV86" s="14">
        <f>'Scattered Plot Ratings'!F51</f>
        <v>0</v>
      </c>
    </row>
    <row r="87" spans="39:48" s="14" customFormat="1" x14ac:dyDescent="0.25">
      <c r="AM87" s="15">
        <f>'Scattered Helper Discount'!D51</f>
        <v>0.49</v>
      </c>
      <c r="AN87" s="14">
        <f>'Scattered Helper Discount'!E51</f>
        <v>0</v>
      </c>
      <c r="AU87" s="14">
        <f>'Scattered Plot Ratings'!E52</f>
        <v>0</v>
      </c>
      <c r="AV87" s="14">
        <f>'Scattered Plot Ratings'!F52</f>
        <v>0</v>
      </c>
    </row>
    <row r="88" spans="39:48" s="14" customFormat="1" x14ac:dyDescent="0.25">
      <c r="AM88" s="15">
        <f>'Scattered Helper Discount'!D52</f>
        <v>0.34</v>
      </c>
      <c r="AN88" s="14">
        <f>'Scattered Helper Discount'!E52</f>
        <v>0</v>
      </c>
      <c r="AU88" s="14">
        <f>'Scattered Plot Ratings'!E53</f>
        <v>0</v>
      </c>
      <c r="AV88" s="14">
        <f>'Scattered Plot Ratings'!F53</f>
        <v>0</v>
      </c>
    </row>
    <row r="89" spans="39:48" s="14" customFormat="1" x14ac:dyDescent="0.25">
      <c r="AM89" s="15">
        <f>'Scattered Helper Discount'!D53</f>
        <v>0.5</v>
      </c>
      <c r="AN89" s="14">
        <f>'Scattered Helper Discount'!E53</f>
        <v>0</v>
      </c>
      <c r="AU89" s="14">
        <f>'Scattered Plot Ratings'!E54</f>
        <v>0</v>
      </c>
      <c r="AV89" s="14">
        <f>'Scattered Plot Ratings'!F54</f>
        <v>0</v>
      </c>
    </row>
    <row r="90" spans="39:48" s="14" customFormat="1" x14ac:dyDescent="0.25">
      <c r="AM90" s="15">
        <f>'Scattered Helper Discount'!D54</f>
        <v>0.48</v>
      </c>
      <c r="AN90" s="14">
        <f>'Scattered Helper Discount'!E54</f>
        <v>0</v>
      </c>
      <c r="AU90" s="14">
        <f>'Scattered Plot Ratings'!E55</f>
        <v>0</v>
      </c>
      <c r="AV90" s="14">
        <f>'Scattered Plot Ratings'!F55</f>
        <v>0</v>
      </c>
    </row>
    <row r="91" spans="39:48" s="14" customFormat="1" x14ac:dyDescent="0.25">
      <c r="AM91" s="15">
        <f>'Scattered Helper Discount'!D55</f>
        <v>0.53</v>
      </c>
      <c r="AN91" s="14">
        <f>'Scattered Helper Discount'!E55</f>
        <v>2</v>
      </c>
      <c r="AU91" s="14">
        <f>'Scattered Plot Ratings'!E56</f>
        <v>5</v>
      </c>
      <c r="AV91" s="14">
        <f>'Scattered Plot Ratings'!F56</f>
        <v>2</v>
      </c>
    </row>
    <row r="92" spans="39:48" s="14" customFormat="1" x14ac:dyDescent="0.25">
      <c r="AM92" s="15">
        <f>'Scattered Helper Discount'!D56</f>
        <v>0.61</v>
      </c>
      <c r="AN92" s="14">
        <f>'Scattered Helper Discount'!E56</f>
        <v>0</v>
      </c>
      <c r="AU92" s="14">
        <f>'Scattered Plot Ratings'!E57</f>
        <v>0</v>
      </c>
      <c r="AV92" s="14">
        <f>'Scattered Plot Ratings'!F57</f>
        <v>0</v>
      </c>
    </row>
    <row r="93" spans="39:48" s="14" customFormat="1" x14ac:dyDescent="0.25">
      <c r="AM93" s="15">
        <f>'Scattered Helper Discount'!D57</f>
        <v>0.04</v>
      </c>
      <c r="AN93" s="14">
        <f>'Scattered Helper Discount'!E57</f>
        <v>0</v>
      </c>
      <c r="AU93" s="14">
        <f>'Scattered Plot Ratings'!E58</f>
        <v>0</v>
      </c>
      <c r="AV93" s="14">
        <f>'Scattered Plot Ratings'!F58</f>
        <v>0</v>
      </c>
    </row>
    <row r="94" spans="39:48" s="14" customFormat="1" x14ac:dyDescent="0.25">
      <c r="AM94" s="15">
        <f>'Scattered Helper Discount'!D58</f>
        <v>0.41</v>
      </c>
      <c r="AN94" s="14">
        <f>'Scattered Helper Discount'!E58</f>
        <v>0</v>
      </c>
      <c r="AU94" s="14">
        <f>'Scattered Plot Ratings'!E59</f>
        <v>0</v>
      </c>
      <c r="AV94" s="14">
        <f>'Scattered Plot Ratings'!F59</f>
        <v>0</v>
      </c>
    </row>
    <row r="95" spans="39:48" s="14" customFormat="1" x14ac:dyDescent="0.25">
      <c r="AM95" s="15">
        <f>'Scattered Helper Discount'!D59</f>
        <v>0.37</v>
      </c>
      <c r="AN95" s="14">
        <f>'Scattered Helper Discount'!E59</f>
        <v>2</v>
      </c>
      <c r="AU95" s="14">
        <f>'Scattered Plot Ratings'!E60</f>
        <v>4</v>
      </c>
      <c r="AV95" s="14">
        <f>'Scattered Plot Ratings'!F60</f>
        <v>2</v>
      </c>
    </row>
    <row r="96" spans="39:48" s="14" customFormat="1" x14ac:dyDescent="0.25">
      <c r="AM96" s="15">
        <f>'Scattered Helper Discount'!D60</f>
        <v>0.4</v>
      </c>
      <c r="AN96" s="14">
        <f>'Scattered Helper Discount'!E60</f>
        <v>1</v>
      </c>
      <c r="AU96" s="14">
        <f>'Scattered Plot Ratings'!E61</f>
        <v>5</v>
      </c>
      <c r="AV96" s="14">
        <f>'Scattered Plot Ratings'!F61</f>
        <v>1</v>
      </c>
    </row>
    <row r="97" spans="39:48" s="14" customFormat="1" x14ac:dyDescent="0.25">
      <c r="AM97" s="15">
        <f>'Scattered Helper Discount'!D61</f>
        <v>0.47</v>
      </c>
      <c r="AN97" s="14">
        <f>'Scattered Helper Discount'!E61</f>
        <v>7</v>
      </c>
      <c r="AU97" s="14">
        <f>'Scattered Plot Ratings'!E62</f>
        <v>2.1</v>
      </c>
      <c r="AV97" s="14">
        <f>'Scattered Plot Ratings'!F62</f>
        <v>7</v>
      </c>
    </row>
    <row r="98" spans="39:48" s="14" customFormat="1" x14ac:dyDescent="0.25">
      <c r="AM98" s="15">
        <f>'Scattered Helper Discount'!D62</f>
        <v>0.35</v>
      </c>
      <c r="AN98" s="14">
        <f>'Scattered Helper Discount'!E62</f>
        <v>49</v>
      </c>
      <c r="AU98" s="14">
        <f>'Scattered Plot Ratings'!E63</f>
        <v>4.5999999999999996</v>
      </c>
      <c r="AV98" s="14">
        <f>'Scattered Plot Ratings'!F63</f>
        <v>49</v>
      </c>
    </row>
    <row r="99" spans="39:48" s="14" customFormat="1" x14ac:dyDescent="0.25">
      <c r="AM99" s="15">
        <f>'Scattered Helper Discount'!D63</f>
        <v>0.52</v>
      </c>
      <c r="AN99" s="14">
        <f>'Scattered Helper Discount'!E63</f>
        <v>9</v>
      </c>
      <c r="AU99" s="14">
        <f>'Scattered Plot Ratings'!E64</f>
        <v>4.3</v>
      </c>
      <c r="AV99" s="14">
        <f>'Scattered Plot Ratings'!F64</f>
        <v>9</v>
      </c>
    </row>
    <row r="100" spans="39:48" s="14" customFormat="1" x14ac:dyDescent="0.25">
      <c r="AM100" s="15">
        <f>'Scattered Helper Discount'!D64</f>
        <v>0.23</v>
      </c>
      <c r="AN100" s="14">
        <f>'Scattered Helper Discount'!E64</f>
        <v>14</v>
      </c>
      <c r="AU100" s="14">
        <f>'Scattered Plot Ratings'!E65</f>
        <v>4.4000000000000004</v>
      </c>
      <c r="AV100" s="14">
        <f>'Scattered Plot Ratings'!F65</f>
        <v>14</v>
      </c>
    </row>
    <row r="101" spans="39:48" s="14" customFormat="1" x14ac:dyDescent="0.25">
      <c r="AM101" s="15">
        <f>'Scattered Helper Discount'!D65</f>
        <v>0.2</v>
      </c>
      <c r="AN101" s="14">
        <f>'Scattered Helper Discount'!E65</f>
        <v>12</v>
      </c>
      <c r="AU101" s="14">
        <f>'Scattered Plot Ratings'!E66</f>
        <v>4.0999999999999996</v>
      </c>
      <c r="AV101" s="14">
        <f>'Scattered Plot Ratings'!F66</f>
        <v>12</v>
      </c>
    </row>
    <row r="102" spans="39:48" s="14" customFormat="1" x14ac:dyDescent="0.25">
      <c r="AM102" s="15">
        <f>'Scattered Helper Discount'!D66</f>
        <v>0.49</v>
      </c>
      <c r="AN102" s="14">
        <f>'Scattered Helper Discount'!E66</f>
        <v>1</v>
      </c>
      <c r="AU102" s="14">
        <f>'Scattered Plot Ratings'!E67</f>
        <v>4</v>
      </c>
      <c r="AV102" s="14">
        <f>'Scattered Plot Ratings'!F67</f>
        <v>1</v>
      </c>
    </row>
    <row r="103" spans="39:48" s="14" customFormat="1" x14ac:dyDescent="0.25">
      <c r="AM103" s="15">
        <f>'Scattered Helper Discount'!D67</f>
        <v>0.52</v>
      </c>
      <c r="AN103" s="14">
        <f>'Scattered Helper Discount'!E67</f>
        <v>15</v>
      </c>
      <c r="AU103" s="14">
        <f>'Scattered Plot Ratings'!E68</f>
        <v>2.7</v>
      </c>
      <c r="AV103" s="14">
        <f>'Scattered Plot Ratings'!F68</f>
        <v>15</v>
      </c>
    </row>
    <row r="104" spans="39:48" s="14" customFormat="1" x14ac:dyDescent="0.25">
      <c r="AM104" s="15">
        <f>'Scattered Helper Discount'!D68</f>
        <v>0.21</v>
      </c>
      <c r="AN104" s="14">
        <f>'Scattered Helper Discount'!E68</f>
        <v>1</v>
      </c>
      <c r="AU104" s="14">
        <f>'Scattered Plot Ratings'!E69</f>
        <v>5</v>
      </c>
      <c r="AV104" s="14">
        <f>'Scattered Plot Ratings'!F69</f>
        <v>1</v>
      </c>
    </row>
    <row r="105" spans="39:48" s="14" customFormat="1" x14ac:dyDescent="0.25">
      <c r="AM105" s="15">
        <f>'Scattered Helper Discount'!D69</f>
        <v>0.28999999999999998</v>
      </c>
      <c r="AN105" s="14">
        <f>'Scattered Helper Discount'!E69</f>
        <v>5</v>
      </c>
      <c r="AU105" s="14">
        <f>'Scattered Plot Ratings'!E70</f>
        <v>3</v>
      </c>
      <c r="AV105" s="14">
        <f>'Scattered Plot Ratings'!F70</f>
        <v>5</v>
      </c>
    </row>
    <row r="106" spans="39:48" s="14" customFormat="1" x14ac:dyDescent="0.25">
      <c r="AM106" s="15">
        <f>'Scattered Helper Discount'!D70</f>
        <v>0.54</v>
      </c>
      <c r="AN106" s="14">
        <f>'Scattered Helper Discount'!E70</f>
        <v>7</v>
      </c>
      <c r="AU106" s="14">
        <f>'Scattered Plot Ratings'!E71</f>
        <v>4.3</v>
      </c>
      <c r="AV106" s="14">
        <f>'Scattered Plot Ratings'!F71</f>
        <v>7</v>
      </c>
    </row>
    <row r="107" spans="39:48" s="14" customFormat="1" x14ac:dyDescent="0.25">
      <c r="AM107" s="15">
        <f>'Scattered Helper Discount'!D71</f>
        <v>0.49</v>
      </c>
      <c r="AN107" s="14">
        <f>'Scattered Helper Discount'!E71</f>
        <v>3</v>
      </c>
      <c r="AU107" s="14">
        <f>'Scattered Plot Ratings'!E72</f>
        <v>5</v>
      </c>
      <c r="AV107" s="14">
        <f>'Scattered Plot Ratings'!F72</f>
        <v>3</v>
      </c>
    </row>
    <row r="108" spans="39:48" s="14" customFormat="1" x14ac:dyDescent="0.25">
      <c r="AM108" s="15">
        <f>'Scattered Helper Discount'!D72</f>
        <v>0.42</v>
      </c>
      <c r="AN108" s="14">
        <f>'Scattered Helper Discount'!E72</f>
        <v>6</v>
      </c>
      <c r="AU108" s="14">
        <f>'Scattered Plot Ratings'!E73</f>
        <v>4.5</v>
      </c>
      <c r="AV108" s="14">
        <f>'Scattered Plot Ratings'!F73</f>
        <v>6</v>
      </c>
    </row>
    <row r="109" spans="39:48" s="14" customFormat="1" x14ac:dyDescent="0.25">
      <c r="AM109" s="15">
        <f>'Scattered Helper Discount'!D73</f>
        <v>0.55000000000000004</v>
      </c>
      <c r="AN109" s="14">
        <f>'Scattered Helper Discount'!E73</f>
        <v>5</v>
      </c>
      <c r="AU109" s="14">
        <f>'Scattered Plot Ratings'!E74</f>
        <v>4.8</v>
      </c>
      <c r="AV109" s="14">
        <f>'Scattered Plot Ratings'!F74</f>
        <v>5</v>
      </c>
    </row>
    <row r="110" spans="39:48" s="14" customFormat="1" x14ac:dyDescent="0.25">
      <c r="AM110" s="15">
        <f>'Scattered Helper Discount'!D74</f>
        <v>0.38</v>
      </c>
      <c r="AN110" s="14">
        <f>'Scattered Helper Discount'!E74</f>
        <v>0</v>
      </c>
      <c r="AU110" s="14">
        <f>'Scattered Plot Ratings'!E75</f>
        <v>0</v>
      </c>
      <c r="AV110" s="14">
        <f>'Scattered Plot Ratings'!F75</f>
        <v>0</v>
      </c>
    </row>
    <row r="111" spans="39:48" s="14" customFormat="1" x14ac:dyDescent="0.25">
      <c r="AM111" s="15">
        <f>'Scattered Helper Discount'!D75</f>
        <v>0.48</v>
      </c>
      <c r="AN111" s="14">
        <f>'Scattered Helper Discount'!E75</f>
        <v>9</v>
      </c>
      <c r="AU111" s="14">
        <f>'Scattered Plot Ratings'!E76</f>
        <v>4.3</v>
      </c>
      <c r="AV111" s="14">
        <f>'Scattered Plot Ratings'!F76</f>
        <v>9</v>
      </c>
    </row>
    <row r="112" spans="39:48" s="14" customFormat="1" x14ac:dyDescent="0.25">
      <c r="AM112" s="15">
        <f>'Scattered Helper Discount'!D76</f>
        <v>0.35</v>
      </c>
      <c r="AN112" s="14">
        <f>'Scattered Helper Discount'!E76</f>
        <v>6</v>
      </c>
      <c r="AU112" s="14">
        <f>'Scattered Plot Ratings'!E77</f>
        <v>4</v>
      </c>
      <c r="AV112" s="14">
        <f>'Scattered Plot Ratings'!F77</f>
        <v>6</v>
      </c>
    </row>
    <row r="113" spans="39:48" s="14" customFormat="1" x14ac:dyDescent="0.25">
      <c r="AM113" s="15">
        <f>'Scattered Helper Discount'!D77</f>
        <v>0.34</v>
      </c>
      <c r="AN113" s="14">
        <f>'Scattered Helper Discount'!E77</f>
        <v>0</v>
      </c>
      <c r="AU113" s="14">
        <f>'Scattered Plot Ratings'!E78</f>
        <v>0</v>
      </c>
      <c r="AV113" s="14">
        <f>'Scattered Plot Ratings'!F78</f>
        <v>0</v>
      </c>
    </row>
    <row r="114" spans="39:48" s="14" customFormat="1" x14ac:dyDescent="0.25">
      <c r="AM114" s="15">
        <f>'Scattered Helper Discount'!D78</f>
        <v>0.19</v>
      </c>
      <c r="AN114" s="14">
        <f>'Scattered Helper Discount'!E78</f>
        <v>5</v>
      </c>
      <c r="AU114" s="14">
        <f>'Scattered Plot Ratings'!E79</f>
        <v>4.5999999999999996</v>
      </c>
      <c r="AV114" s="14">
        <f>'Scattered Plot Ratings'!F79</f>
        <v>5</v>
      </c>
    </row>
    <row r="115" spans="39:48" s="14" customFormat="1" x14ac:dyDescent="0.25">
      <c r="AM115" s="15">
        <f>'Scattered Helper Discount'!D79</f>
        <v>0.46</v>
      </c>
      <c r="AN115" s="14">
        <f>'Scattered Helper Discount'!E79</f>
        <v>1</v>
      </c>
      <c r="AU115" s="14">
        <f>'Scattered Plot Ratings'!E80</f>
        <v>3</v>
      </c>
      <c r="AV115" s="14">
        <f>'Scattered Plot Ratings'!F80</f>
        <v>1</v>
      </c>
    </row>
    <row r="116" spans="39:48" s="14" customFormat="1" x14ac:dyDescent="0.25">
      <c r="AM116" s="15">
        <f>'Scattered Helper Discount'!D80</f>
        <v>0.47</v>
      </c>
      <c r="AN116" s="14">
        <f>'Scattered Helper Discount'!E80</f>
        <v>14</v>
      </c>
      <c r="AU116" s="14">
        <f>'Scattered Plot Ratings'!E81</f>
        <v>4.0999999999999996</v>
      </c>
      <c r="AV116" s="14">
        <f>'Scattered Plot Ratings'!F81</f>
        <v>14</v>
      </c>
    </row>
    <row r="117" spans="39:48" s="14" customFormat="1" x14ac:dyDescent="0.25">
      <c r="AM117" s="15">
        <f>'Scattered Helper Discount'!D81</f>
        <v>0.04</v>
      </c>
      <c r="AN117" s="14">
        <f>'Scattered Helper Discount'!E81</f>
        <v>0</v>
      </c>
      <c r="AU117" s="14">
        <f>'Scattered Plot Ratings'!E82</f>
        <v>0</v>
      </c>
      <c r="AV117" s="14">
        <f>'Scattered Plot Ratings'!F82</f>
        <v>0</v>
      </c>
    </row>
    <row r="118" spans="39:48" s="14" customFormat="1" x14ac:dyDescent="0.25">
      <c r="AM118" s="15">
        <f>'Scattered Helper Discount'!D82</f>
        <v>0.5</v>
      </c>
      <c r="AN118" s="14">
        <f>'Scattered Helper Discount'!E82</f>
        <v>0</v>
      </c>
      <c r="AU118" s="14">
        <f>'Scattered Plot Ratings'!E83</f>
        <v>0</v>
      </c>
      <c r="AV118" s="14">
        <f>'Scattered Plot Ratings'!F83</f>
        <v>0</v>
      </c>
    </row>
    <row r="119" spans="39:48" s="14" customFormat="1" x14ac:dyDescent="0.25">
      <c r="AM119" s="15">
        <f>'Scattered Helper Discount'!D83</f>
        <v>0.33</v>
      </c>
      <c r="AN119" s="14">
        <f>'Scattered Helper Discount'!E83</f>
        <v>9</v>
      </c>
      <c r="AU119" s="14">
        <f>'Scattered Plot Ratings'!E84</f>
        <v>4.2</v>
      </c>
      <c r="AV119" s="14">
        <f>'Scattered Plot Ratings'!F84</f>
        <v>9</v>
      </c>
    </row>
    <row r="120" spans="39:48" s="14" customFormat="1" x14ac:dyDescent="0.25">
      <c r="AM120" s="15">
        <f>'Scattered Helper Discount'!D84</f>
        <v>0.43</v>
      </c>
      <c r="AN120" s="14">
        <f>'Scattered Helper Discount'!E84</f>
        <v>0</v>
      </c>
      <c r="AU120" s="14">
        <f>'Scattered Plot Ratings'!E85</f>
        <v>0</v>
      </c>
      <c r="AV120" s="14">
        <f>'Scattered Plot Ratings'!F85</f>
        <v>0</v>
      </c>
    </row>
    <row r="121" spans="39:48" s="14" customFormat="1" x14ac:dyDescent="0.25">
      <c r="AM121" s="15">
        <f>'Scattered Helper Discount'!D85</f>
        <v>0.46</v>
      </c>
      <c r="AN121" s="14">
        <f>'Scattered Helper Discount'!E85</f>
        <v>0</v>
      </c>
      <c r="AU121" s="14">
        <f>'Scattered Plot Ratings'!E86</f>
        <v>0</v>
      </c>
      <c r="AV121" s="14">
        <f>'Scattered Plot Ratings'!F86</f>
        <v>0</v>
      </c>
    </row>
    <row r="122" spans="39:48" s="14" customFormat="1" x14ac:dyDescent="0.25">
      <c r="AM122" s="15">
        <f>'Scattered Helper Discount'!D86</f>
        <v>0.03</v>
      </c>
      <c r="AN122" s="14">
        <f>'Scattered Helper Discount'!E86</f>
        <v>0</v>
      </c>
      <c r="AU122" s="14">
        <f>'Scattered Plot Ratings'!E87</f>
        <v>0</v>
      </c>
      <c r="AV122" s="14">
        <f>'Scattered Plot Ratings'!F87</f>
        <v>0</v>
      </c>
    </row>
    <row r="123" spans="39:48" s="14" customFormat="1" x14ac:dyDescent="0.25">
      <c r="AM123" s="15">
        <f>'Scattered Helper Discount'!D87</f>
        <v>0.54</v>
      </c>
      <c r="AN123" s="14">
        <f>'Scattered Helper Discount'!E87</f>
        <v>10</v>
      </c>
      <c r="AU123" s="14">
        <f>'Scattered Plot Ratings'!E88</f>
        <v>3</v>
      </c>
      <c r="AV123" s="14">
        <f>'Scattered Plot Ratings'!F88</f>
        <v>10</v>
      </c>
    </row>
    <row r="124" spans="39:48" s="14" customFormat="1" x14ac:dyDescent="0.25">
      <c r="AM124" s="15">
        <f>'Scattered Helper Discount'!D88</f>
        <v>0.14000000000000001</v>
      </c>
      <c r="AN124" s="14">
        <f>'Scattered Helper Discount'!E88</f>
        <v>0</v>
      </c>
      <c r="AU124" s="14">
        <f>'Scattered Plot Ratings'!E89</f>
        <v>0</v>
      </c>
      <c r="AV124" s="14">
        <f>'Scattered Plot Ratings'!F89</f>
        <v>0</v>
      </c>
    </row>
    <row r="125" spans="39:48" s="14" customFormat="1" x14ac:dyDescent="0.25">
      <c r="AM125" s="15">
        <f>'Scattered Helper Discount'!D89</f>
        <v>0.11</v>
      </c>
      <c r="AN125" s="14">
        <f>'Scattered Helper Discount'!E89</f>
        <v>0</v>
      </c>
      <c r="AU125" s="14">
        <f>'Scattered Plot Ratings'!E90</f>
        <v>0</v>
      </c>
      <c r="AV125" s="14">
        <f>'Scattered Plot Ratings'!F90</f>
        <v>0</v>
      </c>
    </row>
    <row r="126" spans="39:48" s="14" customFormat="1" x14ac:dyDescent="0.25">
      <c r="AM126" s="15">
        <f>'Scattered Helper Discount'!D90</f>
        <v>0.46</v>
      </c>
      <c r="AN126" s="14">
        <f>'Scattered Helper Discount'!E90</f>
        <v>2</v>
      </c>
      <c r="AU126" s="14">
        <f>'Scattered Plot Ratings'!E91</f>
        <v>5</v>
      </c>
      <c r="AV126" s="14">
        <f>'Scattered Plot Ratings'!F91</f>
        <v>2</v>
      </c>
    </row>
    <row r="127" spans="39:48" s="14" customFormat="1" x14ac:dyDescent="0.25">
      <c r="AM127" s="15">
        <f>'Scattered Helper Discount'!D91</f>
        <v>0.02</v>
      </c>
      <c r="AN127" s="14">
        <f>'Scattered Helper Discount'!E91</f>
        <v>0</v>
      </c>
      <c r="AU127" s="14">
        <f>'Scattered Plot Ratings'!E92</f>
        <v>0</v>
      </c>
      <c r="AV127" s="14">
        <f>'Scattered Plot Ratings'!F92</f>
        <v>0</v>
      </c>
    </row>
    <row r="128" spans="39:48" s="14" customFormat="1" x14ac:dyDescent="0.25">
      <c r="AM128" s="15">
        <f>'Scattered Helper Discount'!D92</f>
        <v>0.22</v>
      </c>
      <c r="AN128" s="14">
        <f>'Scattered Helper Discount'!E92</f>
        <v>0</v>
      </c>
      <c r="AU128" s="14">
        <f>'Scattered Plot Ratings'!E93</f>
        <v>0</v>
      </c>
      <c r="AV128" s="14">
        <f>'Scattered Plot Ratings'!F93</f>
        <v>0</v>
      </c>
    </row>
    <row r="129" spans="39:48" s="14" customFormat="1" x14ac:dyDescent="0.25">
      <c r="AM129" s="15">
        <f>'Scattered Helper Discount'!D93</f>
        <v>0.26</v>
      </c>
      <c r="AN129" s="14">
        <f>'Scattered Helper Discount'!E93</f>
        <v>5</v>
      </c>
      <c r="AU129" s="14">
        <f>'Scattered Plot Ratings'!E94</f>
        <v>4.8</v>
      </c>
      <c r="AV129" s="14">
        <f>'Scattered Plot Ratings'!F94</f>
        <v>5</v>
      </c>
    </row>
    <row r="130" spans="39:48" s="14" customFormat="1" x14ac:dyDescent="0.25">
      <c r="AM130" s="15">
        <f>'Scattered Helper Discount'!D94</f>
        <v>0.25</v>
      </c>
      <c r="AN130" s="14">
        <f>'Scattered Helper Discount'!E94</f>
        <v>24</v>
      </c>
      <c r="AU130" s="14">
        <f>'Scattered Plot Ratings'!E95</f>
        <v>4.5999999999999996</v>
      </c>
      <c r="AV130" s="14">
        <f>'Scattered Plot Ratings'!F95</f>
        <v>24</v>
      </c>
    </row>
    <row r="131" spans="39:48" s="14" customFormat="1" x14ac:dyDescent="0.25">
      <c r="AM131" s="15">
        <f>'Scattered Helper Discount'!D95</f>
        <v>0.02</v>
      </c>
      <c r="AN131" s="14">
        <f>'Scattered Helper Discount'!E95</f>
        <v>0</v>
      </c>
      <c r="AU131" s="14">
        <f>'Scattered Plot Ratings'!E96</f>
        <v>0</v>
      </c>
      <c r="AV131" s="14">
        <f>'Scattered Plot Ratings'!F96</f>
        <v>0</v>
      </c>
    </row>
    <row r="132" spans="39:48" s="14" customFormat="1" x14ac:dyDescent="0.25">
      <c r="AM132" s="15">
        <f>'Scattered Helper Discount'!D96</f>
        <v>0.18</v>
      </c>
      <c r="AN132" s="14">
        <f>'Scattered Helper Discount'!E96</f>
        <v>12</v>
      </c>
      <c r="AU132" s="14">
        <f>'Scattered Plot Ratings'!E97</f>
        <v>3.8</v>
      </c>
      <c r="AV132" s="14">
        <f>'Scattered Plot Ratings'!F97</f>
        <v>12</v>
      </c>
    </row>
    <row r="133" spans="39:48" s="14" customFormat="1" x14ac:dyDescent="0.25">
      <c r="AM133" s="15">
        <f>'Scattered Helper Discount'!D97</f>
        <v>0.48</v>
      </c>
      <c r="AN133" s="14">
        <f>'Scattered Helper Discount'!E97</f>
        <v>0</v>
      </c>
      <c r="AU133" s="14">
        <f>'Scattered Plot Ratings'!E98</f>
        <v>0</v>
      </c>
      <c r="AV133" s="14">
        <f>'Scattered Plot Ratings'!F98</f>
        <v>0</v>
      </c>
    </row>
    <row r="134" spans="39:48" s="14" customFormat="1" x14ac:dyDescent="0.25">
      <c r="AM134" s="15">
        <f>'Scattered Helper Discount'!D98</f>
        <v>0.41</v>
      </c>
      <c r="AN134" s="14">
        <f>'Scattered Helper Discount'!E98</f>
        <v>36</v>
      </c>
      <c r="AU134" s="14">
        <f>'Scattered Plot Ratings'!E99</f>
        <v>4.3</v>
      </c>
      <c r="AV134" s="14">
        <f>'Scattered Plot Ratings'!F99</f>
        <v>36</v>
      </c>
    </row>
    <row r="135" spans="39:48" s="14" customFormat="1" x14ac:dyDescent="0.25">
      <c r="AM135" s="15">
        <f>'Scattered Helper Discount'!D99</f>
        <v>0.48</v>
      </c>
      <c r="AN135" s="14">
        <f>'Scattered Helper Discount'!E99</f>
        <v>0</v>
      </c>
      <c r="AU135" s="14">
        <f>'Scattered Plot Ratings'!E100</f>
        <v>0</v>
      </c>
      <c r="AV135" s="14">
        <f>'Scattered Plot Ratings'!F100</f>
        <v>0</v>
      </c>
    </row>
    <row r="136" spans="39:48" s="14" customFormat="1" x14ac:dyDescent="0.25">
      <c r="AM136" s="15">
        <f>'Scattered Helper Discount'!D100</f>
        <v>0.02</v>
      </c>
      <c r="AN136" s="14">
        <f>'Scattered Helper Discount'!E100</f>
        <v>0</v>
      </c>
      <c r="AU136" s="14">
        <f>'Scattered Plot Ratings'!E101</f>
        <v>0</v>
      </c>
      <c r="AV136" s="14">
        <f>'Scattered Plot Ratings'!F101</f>
        <v>0</v>
      </c>
    </row>
    <row r="137" spans="39:48" s="14" customFormat="1" x14ac:dyDescent="0.25">
      <c r="AM137" s="15">
        <f>'Scattered Helper Discount'!D101</f>
        <v>0.02</v>
      </c>
      <c r="AN137" s="14">
        <f>'Scattered Helper Discount'!E101</f>
        <v>0</v>
      </c>
      <c r="AU137" s="14">
        <f>'Scattered Plot Ratings'!E102</f>
        <v>0</v>
      </c>
      <c r="AV137" s="14">
        <f>'Scattered Plot Ratings'!F102</f>
        <v>0</v>
      </c>
    </row>
    <row r="138" spans="39:48" s="14" customFormat="1" x14ac:dyDescent="0.25">
      <c r="AM138" s="15">
        <f>'Scattered Helper Discount'!D102</f>
        <v>0.45</v>
      </c>
      <c r="AN138" s="14">
        <f>'Scattered Helper Discount'!E102</f>
        <v>0</v>
      </c>
      <c r="AU138" s="14">
        <f>'Scattered Plot Ratings'!E103</f>
        <v>0</v>
      </c>
      <c r="AV138" s="14">
        <f>'Scattered Plot Ratings'!F103</f>
        <v>0</v>
      </c>
    </row>
    <row r="139" spans="39:48" s="14" customFormat="1" x14ac:dyDescent="0.25">
      <c r="AM139" s="15">
        <f>'Scattered Helper Discount'!D103</f>
        <v>0.02</v>
      </c>
      <c r="AN139" s="14">
        <f>'Scattered Helper Discount'!E103</f>
        <v>0</v>
      </c>
      <c r="AU139" s="14">
        <f>'Scattered Plot Ratings'!E104</f>
        <v>0</v>
      </c>
      <c r="AV139" s="14">
        <f>'Scattered Plot Ratings'!F104</f>
        <v>0</v>
      </c>
    </row>
    <row r="140" spans="39:48" s="14" customFormat="1" x14ac:dyDescent="0.25">
      <c r="AM140" s="15">
        <f>'Scattered Helper Discount'!D104</f>
        <v>0.22</v>
      </c>
      <c r="AN140" s="14">
        <f>'Scattered Helper Discount'!E104</f>
        <v>16</v>
      </c>
      <c r="AU140" s="14">
        <f>'Scattered Plot Ratings'!E105</f>
        <v>2.9</v>
      </c>
      <c r="AV140" s="14">
        <f>'Scattered Plot Ratings'!F105</f>
        <v>16</v>
      </c>
    </row>
    <row r="141" spans="39:48" s="14" customFormat="1" x14ac:dyDescent="0.25">
      <c r="AM141" s="15">
        <f>'Scattered Helper Discount'!D105</f>
        <v>0.5</v>
      </c>
      <c r="AN141" s="14">
        <f>'Scattered Helper Discount'!E105</f>
        <v>0</v>
      </c>
      <c r="AU141" s="14">
        <f>'Scattered Plot Ratings'!E106</f>
        <v>0</v>
      </c>
      <c r="AV141" s="14">
        <f>'Scattered Plot Ratings'!F106</f>
        <v>0</v>
      </c>
    </row>
    <row r="142" spans="39:48" s="14" customFormat="1" x14ac:dyDescent="0.25">
      <c r="AM142" s="15">
        <f>'Scattered Helper Discount'!D106</f>
        <v>0.08</v>
      </c>
      <c r="AN142" s="14">
        <f>'Scattered Helper Discount'!E106</f>
        <v>0</v>
      </c>
      <c r="AU142" s="14">
        <f>'Scattered Plot Ratings'!E107</f>
        <v>0</v>
      </c>
      <c r="AV142" s="14">
        <f>'Scattered Plot Ratings'!F107</f>
        <v>0</v>
      </c>
    </row>
    <row r="143" spans="39:48" s="14" customFormat="1" x14ac:dyDescent="0.25">
      <c r="AM143" s="15">
        <f>'Scattered Helper Discount'!D107</f>
        <v>0.5</v>
      </c>
      <c r="AN143" s="14">
        <f>'Scattered Helper Discount'!E107</f>
        <v>1</v>
      </c>
      <c r="AU143" s="14">
        <f>'Scattered Plot Ratings'!E108</f>
        <v>2</v>
      </c>
      <c r="AV143" s="14">
        <f>'Scattered Plot Ratings'!F108</f>
        <v>1</v>
      </c>
    </row>
    <row r="144" spans="39:48" s="14" customFormat="1" x14ac:dyDescent="0.25">
      <c r="AM144" s="15">
        <f>'Scattered Helper Discount'!D108</f>
        <v>0.14000000000000001</v>
      </c>
      <c r="AN144" s="14">
        <f>'Scattered Helper Discount'!E108</f>
        <v>0</v>
      </c>
      <c r="AU144" s="14">
        <f>'Scattered Plot Ratings'!E109</f>
        <v>0</v>
      </c>
      <c r="AV144" s="14">
        <f>'Scattered Plot Ratings'!F109</f>
        <v>0</v>
      </c>
    </row>
    <row r="145" spans="39:48" s="14" customFormat="1" x14ac:dyDescent="0.25">
      <c r="AM145" s="15">
        <f>'Scattered Helper Discount'!D109</f>
        <v>0.43</v>
      </c>
      <c r="AN145" s="14">
        <f>'Scattered Helper Discount'!E109</f>
        <v>6</v>
      </c>
      <c r="AU145" s="14">
        <f>'Scattered Plot Ratings'!E110</f>
        <v>2.2999999999999998</v>
      </c>
      <c r="AV145" s="14">
        <f>'Scattered Plot Ratings'!F110</f>
        <v>6</v>
      </c>
    </row>
    <row r="146" spans="39:48" s="14" customFormat="1" x14ac:dyDescent="0.25">
      <c r="AM146" s="15">
        <f>'Scattered Helper Discount'!D110</f>
        <v>0.37</v>
      </c>
      <c r="AN146" s="14">
        <f>'Scattered Helper Discount'!E110</f>
        <v>7</v>
      </c>
      <c r="AU146" s="14">
        <f>'Scattered Plot Ratings'!E111</f>
        <v>4.7</v>
      </c>
      <c r="AV146" s="14">
        <f>'Scattered Plot Ratings'!F111</f>
        <v>7</v>
      </c>
    </row>
    <row r="147" spans="39:48" s="14" customFormat="1" x14ac:dyDescent="0.25">
      <c r="AM147" s="15">
        <f>'Scattered Helper Discount'!D111</f>
        <v>0.43</v>
      </c>
      <c r="AN147" s="14">
        <f>'Scattered Helper Discount'!E111</f>
        <v>5</v>
      </c>
      <c r="AU147" s="14">
        <f>'Scattered Plot Ratings'!E112</f>
        <v>3</v>
      </c>
      <c r="AV147" s="14">
        <f>'Scattered Plot Ratings'!F112</f>
        <v>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 Jumia Data</vt:lpstr>
      <vt:lpstr>Descriptive Analysis</vt:lpstr>
      <vt:lpstr>Trend and Relationship Analysis</vt:lpstr>
      <vt:lpstr>Scattered Helper Discount</vt:lpstr>
      <vt:lpstr>Scattered Plot Ratings</vt:lpstr>
      <vt:lpstr>Product perfomance</vt:lpstr>
      <vt:lpstr>Top 5 Highest</vt:lpstr>
      <vt:lpstr>Range slicer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JULES</dc:creator>
  <cp:lastModifiedBy>Jullian Musyoka</cp:lastModifiedBy>
  <dcterms:created xsi:type="dcterms:W3CDTF">2026-03-19T14:08:37Z</dcterms:created>
  <dcterms:modified xsi:type="dcterms:W3CDTF">2026-03-26T17:16:28Z</dcterms:modified>
</cp:coreProperties>
</file>